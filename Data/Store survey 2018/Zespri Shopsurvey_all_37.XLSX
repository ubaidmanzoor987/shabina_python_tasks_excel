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miyagi!$A$1:$BA$136</definedName>
    <definedName name="_xlnm._FilterDatabase" localSheetId="2" hidden="1">nagoya!$A$1:$BA$52</definedName>
    <definedName name="_xlnm._FilterDatabase" localSheetId="3" hidden="1">osaka!$A$1:$BA$67</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91" i="32" l="1"/>
  <c r="V91" i="32" s="1"/>
  <c r="Q91" i="32"/>
  <c r="T90" i="32"/>
  <c r="V90" i="32" s="1"/>
  <c r="Q90" i="32"/>
  <c r="T89" i="32"/>
  <c r="V89" i="32" s="1"/>
  <c r="Q89" i="32"/>
  <c r="T88" i="32"/>
  <c r="V88" i="32" s="1"/>
  <c r="Q88" i="32"/>
  <c r="V87" i="32"/>
  <c r="T87" i="32"/>
  <c r="Q87" i="32"/>
  <c r="V86" i="32"/>
  <c r="T86" i="32"/>
  <c r="Q86" i="32"/>
  <c r="T85" i="32"/>
  <c r="V85" i="32" s="1"/>
  <c r="Q85" i="32"/>
  <c r="T84" i="32"/>
  <c r="V84" i="32" s="1"/>
  <c r="Q84" i="32"/>
  <c r="T83" i="32"/>
  <c r="V83" i="32" s="1"/>
  <c r="Q83" i="32"/>
  <c r="T82" i="32"/>
  <c r="V82" i="32" s="1"/>
  <c r="Q82" i="32"/>
  <c r="T81" i="32"/>
  <c r="V81" i="32" s="1"/>
  <c r="Q81" i="32"/>
  <c r="T80" i="32"/>
  <c r="V80" i="32" s="1"/>
  <c r="Q80" i="32"/>
  <c r="V79" i="32"/>
  <c r="T79" i="32"/>
  <c r="Q79" i="32"/>
  <c r="V78" i="32"/>
  <c r="T78" i="32"/>
  <c r="Q78" i="32"/>
  <c r="T77" i="32"/>
  <c r="V77" i="32" s="1"/>
  <c r="Q77" i="32"/>
  <c r="T76" i="32"/>
  <c r="V76" i="32" s="1"/>
  <c r="Q76" i="32"/>
  <c r="T75" i="32"/>
  <c r="V75" i="32" s="1"/>
  <c r="Q75" i="32"/>
  <c r="T74" i="32"/>
  <c r="V74" i="32" s="1"/>
  <c r="Q74" i="32"/>
  <c r="T73" i="32"/>
  <c r="V73" i="32" s="1"/>
  <c r="Q73" i="32"/>
  <c r="T72" i="32"/>
  <c r="V72" i="32" s="1"/>
  <c r="Q72" i="32"/>
  <c r="V71" i="32"/>
  <c r="T71" i="32"/>
  <c r="Q71" i="32"/>
  <c r="V70" i="32"/>
  <c r="T70" i="32"/>
  <c r="Q70" i="32"/>
  <c r="T69" i="32"/>
  <c r="V69" i="32" s="1"/>
  <c r="Q69" i="32"/>
  <c r="T68" i="32"/>
  <c r="V68" i="32" s="1"/>
  <c r="Q68" i="32"/>
  <c r="T67" i="32"/>
  <c r="V67" i="32" s="1"/>
  <c r="Q67" i="32"/>
  <c r="T66" i="32"/>
  <c r="V66" i="32" s="1"/>
  <c r="Q66" i="32"/>
  <c r="T65" i="32"/>
  <c r="V65" i="32" s="1"/>
  <c r="Q65" i="32"/>
  <c r="T64" i="32"/>
  <c r="V64" i="32" s="1"/>
  <c r="Q64" i="32"/>
  <c r="V63" i="32"/>
  <c r="T63" i="32"/>
  <c r="Q63" i="32"/>
  <c r="V62" i="32"/>
  <c r="T62" i="32"/>
  <c r="Q62" i="32"/>
  <c r="T61" i="32"/>
  <c r="V61" i="32" s="1"/>
  <c r="Q61" i="32"/>
  <c r="T60" i="32"/>
  <c r="V60" i="32" s="1"/>
  <c r="Q60" i="32"/>
  <c r="T59" i="32"/>
  <c r="V59" i="32" s="1"/>
  <c r="Q59" i="32"/>
  <c r="T58" i="32"/>
  <c r="V58" i="32" s="1"/>
  <c r="Q58" i="32"/>
  <c r="T57" i="32"/>
  <c r="V57" i="32" s="1"/>
  <c r="Q57" i="32"/>
  <c r="T56" i="32"/>
  <c r="V56" i="32" s="1"/>
  <c r="Q56" i="32"/>
  <c r="V55" i="32"/>
  <c r="T55" i="32"/>
  <c r="Q55" i="32"/>
  <c r="V54" i="32"/>
  <c r="T54" i="32"/>
  <c r="Q54" i="32"/>
  <c r="T53" i="32"/>
  <c r="V53" i="32" s="1"/>
  <c r="Q53" i="32"/>
  <c r="T52" i="32"/>
  <c r="V52" i="32" s="1"/>
  <c r="Q52" i="32"/>
  <c r="T51" i="32"/>
  <c r="V51" i="32" s="1"/>
  <c r="Q51" i="32"/>
  <c r="T50" i="32"/>
  <c r="V50" i="32" s="1"/>
  <c r="Q50" i="32"/>
  <c r="T49" i="32"/>
  <c r="V49" i="32" s="1"/>
  <c r="Q49" i="32"/>
  <c r="T48" i="32"/>
  <c r="V48" i="32" s="1"/>
  <c r="Q48" i="32"/>
  <c r="V47" i="32"/>
  <c r="T47" i="32"/>
  <c r="Q47" i="32"/>
  <c r="V46" i="32"/>
  <c r="T46" i="32"/>
  <c r="Q46" i="32"/>
  <c r="T45" i="32"/>
  <c r="V45" i="32" s="1"/>
  <c r="Q45" i="32"/>
  <c r="T44" i="32"/>
  <c r="V44" i="32" s="1"/>
  <c r="Q44" i="32"/>
  <c r="T43" i="32"/>
  <c r="V43" i="32" s="1"/>
  <c r="Q43" i="32"/>
  <c r="T42" i="32"/>
  <c r="V42" i="32" s="1"/>
  <c r="Q42" i="32"/>
  <c r="T41" i="32"/>
  <c r="V41" i="32" s="1"/>
  <c r="Q41" i="32"/>
  <c r="T40" i="32"/>
  <c r="V40" i="32" s="1"/>
  <c r="Q40" i="32"/>
  <c r="V39" i="32"/>
  <c r="T39" i="32"/>
  <c r="Q39" i="32"/>
  <c r="V38" i="32"/>
  <c r="T38" i="32"/>
  <c r="Q38" i="32"/>
  <c r="T37" i="32"/>
  <c r="V37" i="32" s="1"/>
  <c r="Q37" i="32"/>
  <c r="T36" i="32"/>
  <c r="V36" i="32" s="1"/>
  <c r="Q36" i="32"/>
  <c r="T35" i="32"/>
  <c r="V35" i="32" s="1"/>
  <c r="Q35" i="32"/>
  <c r="T34" i="32"/>
  <c r="V34" i="32" s="1"/>
  <c r="Q34" i="32"/>
  <c r="T33" i="32"/>
  <c r="V33" i="32" s="1"/>
  <c r="Q33" i="32"/>
  <c r="T32" i="32"/>
  <c r="V32" i="32" s="1"/>
  <c r="Q32" i="32"/>
  <c r="V31" i="32"/>
  <c r="T31" i="32"/>
  <c r="Q31" i="32"/>
  <c r="V30" i="32"/>
  <c r="T30" i="32"/>
  <c r="Q30" i="32"/>
  <c r="T29" i="32"/>
  <c r="V29" i="32" s="1"/>
  <c r="Q29" i="32"/>
  <c r="T28" i="32"/>
  <c r="V28" i="32" s="1"/>
  <c r="Q28" i="32"/>
  <c r="T27" i="32"/>
  <c r="V27" i="32" s="1"/>
  <c r="Q27" i="32"/>
  <c r="T26" i="32"/>
  <c r="V26" i="32" s="1"/>
  <c r="Q26" i="32"/>
  <c r="T25" i="32"/>
  <c r="V25" i="32" s="1"/>
  <c r="Q25" i="32"/>
  <c r="T24" i="32"/>
  <c r="V24" i="32" s="1"/>
  <c r="Q24" i="32"/>
  <c r="V23" i="32"/>
  <c r="T23" i="32"/>
  <c r="Q23" i="32"/>
  <c r="V22" i="32"/>
  <c r="T22" i="32"/>
  <c r="Q22" i="32"/>
  <c r="T21" i="32"/>
  <c r="V21" i="32" s="1"/>
  <c r="Q21" i="32"/>
  <c r="T20" i="32"/>
  <c r="V20" i="32" s="1"/>
  <c r="Q20" i="32"/>
  <c r="T19" i="32"/>
  <c r="V19" i="32" s="1"/>
  <c r="Q19" i="32"/>
  <c r="T18" i="32"/>
  <c r="V18" i="32" s="1"/>
  <c r="Q18" i="32"/>
  <c r="T17" i="32"/>
  <c r="V17" i="32" s="1"/>
  <c r="Q17" i="32"/>
  <c r="T16" i="32"/>
  <c r="V16" i="32" s="1"/>
  <c r="Q16" i="32"/>
  <c r="V15" i="32"/>
  <c r="T15" i="32"/>
  <c r="Q15" i="32"/>
  <c r="V14" i="32"/>
  <c r="T14" i="32"/>
  <c r="Q14" i="32"/>
  <c r="T13" i="32"/>
  <c r="V13" i="32" s="1"/>
  <c r="Q13" i="32"/>
  <c r="T12" i="32"/>
  <c r="V12" i="32" s="1"/>
  <c r="Q12" i="32"/>
  <c r="T11" i="32"/>
  <c r="V11" i="32" s="1"/>
  <c r="Q11" i="32"/>
  <c r="T10" i="32"/>
  <c r="V10" i="32" s="1"/>
  <c r="Q10" i="32"/>
  <c r="T9" i="32"/>
  <c r="V9" i="32" s="1"/>
  <c r="Q9" i="32"/>
  <c r="T8" i="32"/>
  <c r="V8" i="32" s="1"/>
  <c r="Q8" i="32"/>
  <c r="V7" i="32"/>
  <c r="T7" i="32"/>
  <c r="Q7" i="32"/>
  <c r="V6" i="32"/>
  <c r="T6" i="32"/>
  <c r="Q6" i="32"/>
  <c r="T5" i="32"/>
  <c r="V5" i="32" s="1"/>
  <c r="Q5" i="32"/>
  <c r="T4" i="32"/>
  <c r="V4" i="32" s="1"/>
  <c r="Q4" i="32"/>
  <c r="T3" i="32"/>
  <c r="V3" i="32" s="1"/>
  <c r="Q3" i="32"/>
  <c r="T2" i="32"/>
  <c r="V2" i="32" s="1"/>
  <c r="Q2" i="32"/>
  <c r="V91" i="31" l="1"/>
  <c r="T91" i="31"/>
  <c r="Q91" i="31"/>
  <c r="V90" i="31"/>
  <c r="T90" i="31"/>
  <c r="Q90" i="31"/>
  <c r="T89" i="31"/>
  <c r="V89" i="31" s="1"/>
  <c r="Q89" i="31"/>
  <c r="T88" i="31"/>
  <c r="V88" i="31" s="1"/>
  <c r="Q88" i="31"/>
  <c r="V87" i="31"/>
  <c r="T87" i="31"/>
  <c r="Q87" i="31"/>
  <c r="T86" i="31"/>
  <c r="V86" i="31" s="1"/>
  <c r="Q86" i="31"/>
  <c r="T85" i="31"/>
  <c r="V85" i="31" s="1"/>
  <c r="Q85" i="31"/>
  <c r="T84" i="31"/>
  <c r="V84" i="31" s="1"/>
  <c r="Q84" i="31"/>
  <c r="V83" i="31"/>
  <c r="T83" i="31"/>
  <c r="Q83" i="31"/>
  <c r="V82" i="31"/>
  <c r="T82" i="31"/>
  <c r="Q82" i="31"/>
  <c r="T81" i="31"/>
  <c r="V81" i="31" s="1"/>
  <c r="Q81" i="31"/>
  <c r="T80" i="31"/>
  <c r="V80" i="31" s="1"/>
  <c r="Q80" i="31"/>
  <c r="V79" i="31"/>
  <c r="T79" i="31"/>
  <c r="Q79" i="31"/>
  <c r="T78" i="31"/>
  <c r="V78" i="31" s="1"/>
  <c r="Q78" i="31"/>
  <c r="T77" i="31"/>
  <c r="V77" i="31" s="1"/>
  <c r="Q77" i="31"/>
  <c r="T76" i="31"/>
  <c r="V76" i="31" s="1"/>
  <c r="Q76" i="31"/>
  <c r="V75" i="31"/>
  <c r="T75" i="31"/>
  <c r="Q75" i="31"/>
  <c r="V74" i="31"/>
  <c r="T74" i="31"/>
  <c r="Q74" i="31"/>
  <c r="T73" i="31"/>
  <c r="V73" i="31" s="1"/>
  <c r="Q73" i="31"/>
  <c r="T72" i="31"/>
  <c r="V72" i="31" s="1"/>
  <c r="Q72" i="31"/>
  <c r="V71" i="31"/>
  <c r="T71" i="31"/>
  <c r="Q71" i="31"/>
  <c r="T70" i="31"/>
  <c r="V70" i="31" s="1"/>
  <c r="Q70" i="31"/>
  <c r="T69" i="31"/>
  <c r="V69" i="31" s="1"/>
  <c r="Q69" i="31"/>
  <c r="T68" i="31"/>
  <c r="V68" i="31" s="1"/>
  <c r="Q68" i="31"/>
  <c r="V67" i="31"/>
  <c r="T67" i="31"/>
  <c r="Q67" i="31"/>
  <c r="V66" i="31"/>
  <c r="T66" i="31"/>
  <c r="Q66" i="31"/>
  <c r="T65" i="31"/>
  <c r="V65" i="31" s="1"/>
  <c r="Q65" i="31"/>
  <c r="T64" i="31"/>
  <c r="V64" i="31" s="1"/>
  <c r="Q64" i="31"/>
  <c r="V63" i="31"/>
  <c r="T63" i="31"/>
  <c r="Q63" i="31"/>
  <c r="T62" i="31"/>
  <c r="V62" i="31" s="1"/>
  <c r="Q62" i="31"/>
  <c r="T61" i="31"/>
  <c r="V61" i="31" s="1"/>
  <c r="Q61" i="31"/>
  <c r="T60" i="31"/>
  <c r="V60" i="31" s="1"/>
  <c r="Q60" i="31"/>
  <c r="V59" i="31"/>
  <c r="T59" i="31"/>
  <c r="Q59" i="31"/>
  <c r="V58" i="31"/>
  <c r="T58" i="31"/>
  <c r="Q58" i="31"/>
  <c r="T57" i="31"/>
  <c r="V57" i="31" s="1"/>
  <c r="Q57" i="31"/>
  <c r="T56" i="31"/>
  <c r="V56" i="31" s="1"/>
  <c r="Q56" i="31"/>
  <c r="V55" i="31"/>
  <c r="T55" i="31"/>
  <c r="Q55" i="31"/>
  <c r="T54" i="31"/>
  <c r="V54" i="31" s="1"/>
  <c r="Q54" i="31"/>
  <c r="T53" i="31"/>
  <c r="V53" i="31" s="1"/>
  <c r="Q53" i="31"/>
  <c r="T52" i="31"/>
  <c r="V52" i="31" s="1"/>
  <c r="Q52" i="31"/>
  <c r="V51" i="31"/>
  <c r="T51" i="31"/>
  <c r="Q51" i="31"/>
  <c r="V50" i="31"/>
  <c r="T50" i="31"/>
  <c r="Q50" i="31"/>
  <c r="T49" i="31"/>
  <c r="V49" i="31" s="1"/>
  <c r="Q49" i="31"/>
  <c r="T48" i="31"/>
  <c r="V48" i="31" s="1"/>
  <c r="Q48" i="31"/>
  <c r="V47" i="31"/>
  <c r="T47" i="31"/>
  <c r="Q47" i="31"/>
  <c r="T46" i="31"/>
  <c r="V46" i="31" s="1"/>
  <c r="Q46" i="31"/>
  <c r="T45" i="31"/>
  <c r="V45" i="31" s="1"/>
  <c r="Q45" i="31"/>
  <c r="T44" i="31"/>
  <c r="V44" i="31" s="1"/>
  <c r="Q44" i="31"/>
  <c r="V43" i="31"/>
  <c r="T43" i="31"/>
  <c r="Q43" i="31"/>
  <c r="V42" i="31"/>
  <c r="T42" i="31"/>
  <c r="Q42" i="31"/>
  <c r="T41" i="31"/>
  <c r="V41" i="31" s="1"/>
  <c r="Q41" i="31"/>
  <c r="T40" i="31"/>
  <c r="V40" i="31" s="1"/>
  <c r="Q40" i="31"/>
  <c r="V39" i="31"/>
  <c r="T39" i="31"/>
  <c r="Q39" i="31"/>
  <c r="T38" i="31"/>
  <c r="V38" i="31" s="1"/>
  <c r="Q38" i="31"/>
  <c r="T37" i="31"/>
  <c r="V37" i="31" s="1"/>
  <c r="Q37" i="31"/>
  <c r="T36" i="31"/>
  <c r="V36" i="31" s="1"/>
  <c r="Q36" i="31"/>
  <c r="V35" i="31"/>
  <c r="T35" i="31"/>
  <c r="Q35" i="31"/>
  <c r="V34" i="31"/>
  <c r="T34" i="31"/>
  <c r="Q34" i="31"/>
  <c r="T33" i="31"/>
  <c r="V33" i="31" s="1"/>
  <c r="Q33" i="31"/>
  <c r="T32" i="31"/>
  <c r="V32" i="31" s="1"/>
  <c r="Q32" i="31"/>
  <c r="V31" i="31"/>
  <c r="T31" i="31"/>
  <c r="Q31" i="31"/>
  <c r="T30" i="31"/>
  <c r="V30" i="31" s="1"/>
  <c r="Q30" i="31"/>
  <c r="T29" i="31"/>
  <c r="V29" i="31" s="1"/>
  <c r="Q29" i="31"/>
  <c r="T28" i="31"/>
  <c r="V28" i="31" s="1"/>
  <c r="Q28" i="31"/>
  <c r="V27" i="31"/>
  <c r="T27" i="31"/>
  <c r="Q27" i="31"/>
  <c r="V26" i="31"/>
  <c r="T26" i="31"/>
  <c r="Q26" i="31"/>
  <c r="T25" i="31"/>
  <c r="V25" i="31" s="1"/>
  <c r="Q25" i="31"/>
  <c r="T24" i="31"/>
  <c r="V24" i="31" s="1"/>
  <c r="Q24" i="31"/>
  <c r="V23" i="31"/>
  <c r="T23" i="31"/>
  <c r="Q23" i="31"/>
  <c r="T22" i="31"/>
  <c r="V22" i="31" s="1"/>
  <c r="Q22" i="31"/>
  <c r="T21" i="31"/>
  <c r="V21" i="31" s="1"/>
  <c r="Q21" i="31"/>
  <c r="T20" i="31"/>
  <c r="V20" i="31" s="1"/>
  <c r="Q20" i="31"/>
  <c r="V19" i="31"/>
  <c r="T19" i="31"/>
  <c r="Q19" i="31"/>
  <c r="V18" i="31"/>
  <c r="T18" i="31"/>
  <c r="Q18" i="31"/>
  <c r="T17" i="31"/>
  <c r="V17" i="31" s="1"/>
  <c r="Q17" i="31"/>
  <c r="T16" i="31"/>
  <c r="V16" i="31" s="1"/>
  <c r="Q16" i="31"/>
  <c r="V15" i="31"/>
  <c r="T15" i="31"/>
  <c r="Q15" i="31"/>
  <c r="T14" i="31"/>
  <c r="V14" i="31" s="1"/>
  <c r="Q14" i="31"/>
  <c r="T13" i="31"/>
  <c r="V13" i="31" s="1"/>
  <c r="Q13" i="31"/>
  <c r="T12" i="31"/>
  <c r="V12" i="31" s="1"/>
  <c r="Q12" i="31"/>
  <c r="V11" i="31"/>
  <c r="T11" i="31"/>
  <c r="Q11" i="31"/>
  <c r="V10" i="31"/>
  <c r="T10" i="31"/>
  <c r="Q10" i="31"/>
  <c r="T9" i="31"/>
  <c r="V9" i="31" s="1"/>
  <c r="Q9" i="31"/>
  <c r="T8" i="31"/>
  <c r="V8" i="31" s="1"/>
  <c r="Q8" i="31"/>
  <c r="V7" i="31"/>
  <c r="T7" i="31"/>
  <c r="Q7" i="31"/>
  <c r="T6" i="31"/>
  <c r="V6" i="31" s="1"/>
  <c r="Q6" i="31"/>
  <c r="T5" i="31"/>
  <c r="V5" i="31" s="1"/>
  <c r="Q5" i="31"/>
  <c r="T4" i="31"/>
  <c r="V4" i="31" s="1"/>
  <c r="Q4" i="31"/>
  <c r="V3" i="31"/>
  <c r="T3" i="31"/>
  <c r="Q3" i="31"/>
  <c r="V2" i="31"/>
  <c r="T2" i="3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V78" i="29"/>
  <c r="T78" i="29"/>
  <c r="Q78" i="29"/>
  <c r="T77" i="29"/>
  <c r="V77" i="29" s="1"/>
  <c r="Q77" i="29"/>
  <c r="T76" i="29"/>
  <c r="V76" i="29" s="1"/>
  <c r="Q76" i="29"/>
  <c r="T75" i="29"/>
  <c r="V75" i="29" s="1"/>
  <c r="Q75" i="29"/>
  <c r="V74" i="29"/>
  <c r="T74" i="29"/>
  <c r="Q74" i="29"/>
  <c r="T67" i="29"/>
  <c r="V67" i="29" s="1"/>
  <c r="Q67" i="29"/>
  <c r="T66" i="29"/>
  <c r="V66" i="29" s="1"/>
  <c r="Q66" i="29"/>
  <c r="T65" i="29"/>
  <c r="V65" i="29" s="1"/>
  <c r="Q65" i="29"/>
  <c r="V64" i="29"/>
  <c r="T64" i="29"/>
  <c r="Q64" i="29"/>
  <c r="T63" i="29"/>
  <c r="V63" i="29" s="1"/>
  <c r="Q63" i="29"/>
  <c r="T62" i="29"/>
  <c r="V62" i="29" s="1"/>
  <c r="Q62" i="29"/>
  <c r="T61" i="29"/>
  <c r="V61" i="29" s="1"/>
  <c r="Q61" i="29"/>
  <c r="V60" i="29"/>
  <c r="T60" i="29"/>
  <c r="Q60" i="29"/>
  <c r="T59" i="29"/>
  <c r="V59" i="29" s="1"/>
  <c r="Q59" i="29"/>
  <c r="T58" i="29"/>
  <c r="V58" i="29" s="1"/>
  <c r="Q58" i="29"/>
  <c r="T57" i="29"/>
  <c r="V57" i="29" s="1"/>
  <c r="Q57" i="29"/>
  <c r="V56" i="29"/>
  <c r="T56" i="29"/>
  <c r="Q56" i="29"/>
  <c r="T55" i="29"/>
  <c r="V55" i="29" s="1"/>
  <c r="Q55" i="29"/>
  <c r="T54" i="29"/>
  <c r="V54" i="29" s="1"/>
  <c r="Q54" i="29"/>
  <c r="T53" i="29"/>
  <c r="V53" i="29" s="1"/>
  <c r="Q53" i="29"/>
  <c r="V52" i="29"/>
  <c r="T52" i="29"/>
  <c r="Q52" i="29"/>
  <c r="T51" i="29"/>
  <c r="V51" i="29" s="1"/>
  <c r="Q51" i="29"/>
  <c r="T50" i="29"/>
  <c r="V50" i="29" s="1"/>
  <c r="Q50" i="29"/>
  <c r="T49" i="29"/>
  <c r="V49" i="29" s="1"/>
  <c r="Q49" i="29"/>
  <c r="V48" i="29"/>
  <c r="T48" i="29"/>
  <c r="Q48" i="29"/>
  <c r="T47" i="29"/>
  <c r="V47" i="29" s="1"/>
  <c r="Q47" i="29"/>
  <c r="T46" i="29"/>
  <c r="V46" i="29" s="1"/>
  <c r="Q46" i="29"/>
  <c r="T45" i="29"/>
  <c r="V45" i="29" s="1"/>
  <c r="Q45" i="29"/>
  <c r="V44" i="29"/>
  <c r="T44" i="29"/>
  <c r="Q44" i="29"/>
  <c r="T43" i="29"/>
  <c r="V43" i="29" s="1"/>
  <c r="Q43" i="29"/>
  <c r="T42" i="29"/>
  <c r="V42" i="29" s="1"/>
  <c r="Q42" i="29"/>
  <c r="T41" i="29"/>
  <c r="V41" i="29" s="1"/>
  <c r="Q41" i="29"/>
  <c r="V40" i="29"/>
  <c r="T40" i="29"/>
  <c r="Q40" i="29"/>
  <c r="T39" i="29"/>
  <c r="V39" i="29" s="1"/>
  <c r="Q39" i="29"/>
  <c r="T38" i="29"/>
  <c r="V38" i="29" s="1"/>
  <c r="Q38" i="29"/>
  <c r="T37" i="29"/>
  <c r="V37" i="29" s="1"/>
  <c r="Q37" i="29"/>
  <c r="V36" i="29"/>
  <c r="T36" i="29"/>
  <c r="Q36" i="29"/>
  <c r="T35" i="29"/>
  <c r="V35" i="29" s="1"/>
  <c r="Q35" i="29"/>
  <c r="T34" i="29"/>
  <c r="V34" i="29" s="1"/>
  <c r="Q34" i="29"/>
  <c r="T33" i="29"/>
  <c r="V33" i="29" s="1"/>
  <c r="Q33" i="29"/>
  <c r="V32" i="29"/>
  <c r="T32" i="29"/>
  <c r="Q32" i="29"/>
  <c r="T31" i="29"/>
  <c r="V31" i="29" s="1"/>
  <c r="Q31" i="29"/>
  <c r="T30" i="29"/>
  <c r="V30" i="29" s="1"/>
  <c r="Q30" i="29"/>
  <c r="T29" i="29"/>
  <c r="V29" i="29" s="1"/>
  <c r="Q29" i="29"/>
  <c r="V28" i="29"/>
  <c r="T28" i="29"/>
  <c r="Q28" i="29"/>
  <c r="T27" i="29"/>
  <c r="V27" i="29" s="1"/>
  <c r="Q27" i="29"/>
  <c r="T26" i="29"/>
  <c r="V26" i="29" s="1"/>
  <c r="Q26" i="29"/>
  <c r="T25" i="29"/>
  <c r="V25" i="29" s="1"/>
  <c r="Q25" i="29"/>
  <c r="V24" i="29"/>
  <c r="T24" i="29"/>
  <c r="Q24" i="29"/>
  <c r="T23" i="29"/>
  <c r="V23" i="29" s="1"/>
  <c r="Q23" i="29"/>
  <c r="T22" i="29"/>
  <c r="V22" i="29" s="1"/>
  <c r="Q22" i="29"/>
  <c r="T21" i="29"/>
  <c r="V21" i="29" s="1"/>
  <c r="Q21" i="29"/>
  <c r="V20" i="29"/>
  <c r="T20" i="29"/>
  <c r="Q20" i="29"/>
  <c r="T19" i="29"/>
  <c r="V19" i="29" s="1"/>
  <c r="Q19" i="29"/>
  <c r="T18" i="29"/>
  <c r="V18" i="29" s="1"/>
  <c r="Q18" i="29"/>
  <c r="T17" i="29"/>
  <c r="V17" i="29" s="1"/>
  <c r="Q17" i="29"/>
  <c r="V16" i="29"/>
  <c r="T16" i="29"/>
  <c r="Q16" i="29"/>
  <c r="T15" i="29"/>
  <c r="V15" i="29" s="1"/>
  <c r="Q15" i="29"/>
  <c r="T14" i="29"/>
  <c r="V14" i="29" s="1"/>
  <c r="Q14" i="29"/>
  <c r="T13" i="29"/>
  <c r="V13" i="29" s="1"/>
  <c r="Q13" i="29"/>
  <c r="V12" i="29"/>
  <c r="T12" i="29"/>
  <c r="Q12" i="29"/>
  <c r="T11" i="29"/>
  <c r="V11" i="29" s="1"/>
  <c r="Q11" i="29"/>
  <c r="T10" i="29"/>
  <c r="V10" i="29" s="1"/>
  <c r="Q10" i="29"/>
  <c r="T9" i="29"/>
  <c r="V9" i="29" s="1"/>
  <c r="Q9" i="29"/>
  <c r="V8" i="29"/>
  <c r="T8" i="29"/>
  <c r="Q8" i="29"/>
  <c r="T7" i="29"/>
  <c r="V7" i="29" s="1"/>
  <c r="Q7" i="29"/>
  <c r="T6" i="29"/>
  <c r="V6" i="29" s="1"/>
  <c r="Q6" i="29"/>
  <c r="T5" i="29"/>
  <c r="V5" i="29" s="1"/>
  <c r="Q5" i="29"/>
  <c r="V4" i="29"/>
  <c r="T4" i="29"/>
  <c r="Q4" i="29"/>
  <c r="T3" i="29"/>
  <c r="V3" i="29" s="1"/>
  <c r="Q3" i="29"/>
  <c r="T2" i="29"/>
  <c r="V2" i="29" s="1"/>
  <c r="Q2" i="29"/>
  <c r="T67" i="28" l="1"/>
  <c r="V67" i="28" s="1"/>
  <c r="Q67" i="28"/>
  <c r="V66" i="28"/>
  <c r="T66" i="28"/>
  <c r="Q66" i="28"/>
  <c r="T65" i="28"/>
  <c r="V65" i="28" s="1"/>
  <c r="Q65" i="28"/>
  <c r="T64" i="28"/>
  <c r="V64" i="28" s="1"/>
  <c r="Q64" i="28"/>
  <c r="T63" i="28"/>
  <c r="V63" i="28" s="1"/>
  <c r="Q63" i="28"/>
  <c r="V62" i="28"/>
  <c r="T62" i="28"/>
  <c r="Q62" i="28"/>
  <c r="T61" i="28"/>
  <c r="V61" i="28" s="1"/>
  <c r="Q61" i="28"/>
  <c r="T60" i="28"/>
  <c r="V60" i="28" s="1"/>
  <c r="Q60" i="28"/>
  <c r="T59" i="28"/>
  <c r="V59" i="28" s="1"/>
  <c r="Q59" i="28"/>
  <c r="V58" i="28"/>
  <c r="T58" i="28"/>
  <c r="Q58" i="28"/>
  <c r="T57" i="28"/>
  <c r="V57" i="28" s="1"/>
  <c r="Q57" i="28"/>
  <c r="T56" i="28"/>
  <c r="V56" i="28" s="1"/>
  <c r="Q56" i="28"/>
  <c r="T55" i="28"/>
  <c r="V55" i="28" s="1"/>
  <c r="Q55" i="28"/>
  <c r="V54" i="28"/>
  <c r="T54" i="28"/>
  <c r="Q54" i="28"/>
  <c r="T53" i="28"/>
  <c r="V53" i="28" s="1"/>
  <c r="Q53" i="28"/>
  <c r="T52" i="28"/>
  <c r="V52" i="28" s="1"/>
  <c r="Q52" i="28"/>
  <c r="T51" i="28"/>
  <c r="V51" i="28" s="1"/>
  <c r="Q51" i="28"/>
  <c r="V50" i="28"/>
  <c r="T50" i="28"/>
  <c r="Q50" i="28"/>
  <c r="T49" i="28"/>
  <c r="V49" i="28" s="1"/>
  <c r="Q49" i="28"/>
  <c r="T48" i="28"/>
  <c r="V48" i="28" s="1"/>
  <c r="Q48" i="28"/>
  <c r="T47" i="28"/>
  <c r="V47" i="28" s="1"/>
  <c r="Q47" i="28"/>
  <c r="V46" i="28"/>
  <c r="T46" i="28"/>
  <c r="Q46" i="28"/>
  <c r="T45" i="28"/>
  <c r="V45" i="28" s="1"/>
  <c r="Q45" i="28"/>
  <c r="T44" i="28"/>
  <c r="V44" i="28" s="1"/>
  <c r="Q44" i="28"/>
  <c r="T43" i="28"/>
  <c r="V43" i="28" s="1"/>
  <c r="Q43" i="28"/>
  <c r="V42" i="28"/>
  <c r="T42" i="28"/>
  <c r="Q42" i="28"/>
  <c r="T41" i="28"/>
  <c r="V41" i="28" s="1"/>
  <c r="Q41" i="28"/>
  <c r="T40" i="28"/>
  <c r="V40" i="28" s="1"/>
  <c r="Q40" i="28"/>
  <c r="T39" i="28"/>
  <c r="V39" i="28" s="1"/>
  <c r="Q39" i="28"/>
  <c r="V38" i="28"/>
  <c r="T38" i="28"/>
  <c r="Q38" i="28"/>
  <c r="T37" i="28"/>
  <c r="V37" i="28" s="1"/>
  <c r="Q37" i="28"/>
  <c r="T36" i="28"/>
  <c r="V36" i="28" s="1"/>
  <c r="Q36" i="28"/>
  <c r="T35" i="28"/>
  <c r="V35" i="28" s="1"/>
  <c r="Q35" i="28"/>
  <c r="V34" i="28"/>
  <c r="T34" i="28"/>
  <c r="Q34" i="28"/>
  <c r="T33" i="28"/>
  <c r="V33" i="28" s="1"/>
  <c r="Q33" i="28"/>
  <c r="T32" i="28"/>
  <c r="V32" i="28" s="1"/>
  <c r="Q32" i="28"/>
  <c r="T31" i="28"/>
  <c r="V31" i="28" s="1"/>
  <c r="Q31" i="28"/>
  <c r="V30" i="28"/>
  <c r="T30" i="28"/>
  <c r="Q30" i="28"/>
  <c r="T29" i="28"/>
  <c r="V29" i="28" s="1"/>
  <c r="Q29" i="28"/>
  <c r="T28" i="28"/>
  <c r="V28" i="28" s="1"/>
  <c r="Q28" i="28"/>
  <c r="T27" i="28"/>
  <c r="V27" i="28" s="1"/>
  <c r="Q27" i="28"/>
  <c r="V26" i="28"/>
  <c r="T26" i="28"/>
  <c r="Q26" i="28"/>
  <c r="T25" i="28"/>
  <c r="V25" i="28" s="1"/>
  <c r="Q25" i="28"/>
  <c r="T24" i="28"/>
  <c r="V24" i="28" s="1"/>
  <c r="Q24" i="28"/>
  <c r="T23" i="28"/>
  <c r="V23" i="28" s="1"/>
  <c r="Q23" i="28"/>
  <c r="V22" i="28"/>
  <c r="T22" i="28"/>
  <c r="Q22" i="28"/>
  <c r="T21" i="28"/>
  <c r="V21" i="28" s="1"/>
  <c r="Q21" i="28"/>
  <c r="T20" i="28"/>
  <c r="V20" i="28" s="1"/>
  <c r="Q20" i="28"/>
  <c r="T19" i="28"/>
  <c r="V19" i="28" s="1"/>
  <c r="Q19" i="28"/>
  <c r="V18" i="28"/>
  <c r="T18" i="28"/>
  <c r="Q18" i="28"/>
  <c r="T17" i="28"/>
  <c r="V17" i="28" s="1"/>
  <c r="Q17" i="28"/>
  <c r="T16" i="28"/>
  <c r="V16" i="28" s="1"/>
  <c r="Q16" i="28"/>
  <c r="T15" i="28"/>
  <c r="V15" i="28" s="1"/>
  <c r="Q15" i="28"/>
  <c r="V14" i="28"/>
  <c r="T14" i="28"/>
  <c r="Q14" i="28"/>
  <c r="T13" i="28"/>
  <c r="V13" i="28" s="1"/>
  <c r="Q13" i="28"/>
  <c r="T12" i="28"/>
  <c r="V12" i="28" s="1"/>
  <c r="Q12" i="28"/>
  <c r="T11" i="28"/>
  <c r="V11" i="28" s="1"/>
  <c r="Q11" i="28"/>
  <c r="V10" i="28"/>
  <c r="T10" i="28"/>
  <c r="Q10" i="28"/>
  <c r="T9" i="28"/>
  <c r="V9" i="28" s="1"/>
  <c r="Q9" i="28"/>
  <c r="T8" i="28"/>
  <c r="V8" i="28" s="1"/>
  <c r="Q8" i="28"/>
  <c r="T7" i="28"/>
  <c r="V7" i="28" s="1"/>
  <c r="Q7" i="28"/>
  <c r="V6" i="28"/>
  <c r="T6" i="28"/>
  <c r="Q6" i="28"/>
  <c r="T5" i="28"/>
  <c r="V5" i="28" s="1"/>
  <c r="Q5" i="28"/>
  <c r="T4" i="28"/>
  <c r="V4" i="28" s="1"/>
  <c r="Q4" i="28"/>
  <c r="T3" i="28"/>
  <c r="V3" i="28" s="1"/>
  <c r="Q3" i="28"/>
  <c r="V2" i="28"/>
  <c r="T2" i="28"/>
  <c r="Q2" i="28"/>
  <c r="V61" i="27"/>
  <c r="T61" i="27"/>
  <c r="Q61" i="27"/>
  <c r="T60" i="27"/>
  <c r="V60" i="27" s="1"/>
  <c r="Q60" i="27"/>
  <c r="T59" i="27"/>
  <c r="V59" i="27" s="1"/>
  <c r="Q59" i="27"/>
  <c r="T58" i="27"/>
  <c r="V58" i="27" s="1"/>
  <c r="Q58" i="27"/>
  <c r="T57" i="27"/>
  <c r="V57" i="27" s="1"/>
  <c r="Q57" i="27"/>
  <c r="V56" i="27"/>
  <c r="T56" i="27"/>
  <c r="Q56" i="27"/>
  <c r="V55" i="27"/>
  <c r="T55" i="27"/>
  <c r="Q55" i="27"/>
  <c r="T54" i="27"/>
  <c r="V54" i="27" s="1"/>
  <c r="Q54" i="27"/>
  <c r="V53" i="27"/>
  <c r="T53" i="27"/>
  <c r="Q53" i="27"/>
  <c r="T52" i="27"/>
  <c r="V52" i="27" s="1"/>
  <c r="Q52" i="27"/>
  <c r="T51" i="27"/>
  <c r="V51" i="27" s="1"/>
  <c r="Q51" i="27"/>
  <c r="T50" i="27"/>
  <c r="V50" i="27" s="1"/>
  <c r="Q50" i="27"/>
  <c r="T49" i="27"/>
  <c r="V49" i="27" s="1"/>
  <c r="Q49" i="27"/>
  <c r="V48" i="27"/>
  <c r="T48" i="27"/>
  <c r="Q48" i="27"/>
  <c r="V47" i="27"/>
  <c r="T47" i="27"/>
  <c r="Q47" i="27"/>
  <c r="T46" i="27"/>
  <c r="V46" i="27" s="1"/>
  <c r="Q46" i="27"/>
  <c r="V45" i="27"/>
  <c r="T45" i="27"/>
  <c r="Q45" i="27"/>
  <c r="T44" i="27"/>
  <c r="V44" i="27" s="1"/>
  <c r="Q44" i="27"/>
  <c r="T43" i="27"/>
  <c r="V43" i="27" s="1"/>
  <c r="Q43" i="27"/>
  <c r="T42" i="27"/>
  <c r="V42" i="27" s="1"/>
  <c r="Q42" i="27"/>
  <c r="T41" i="27"/>
  <c r="V41" i="27" s="1"/>
  <c r="Q41" i="27"/>
  <c r="V40" i="27"/>
  <c r="T40" i="27"/>
  <c r="Q40" i="27"/>
  <c r="V39" i="27"/>
  <c r="T39" i="27"/>
  <c r="Q39" i="27"/>
  <c r="T38" i="27"/>
  <c r="V38" i="27" s="1"/>
  <c r="Q38" i="27"/>
  <c r="V37" i="27"/>
  <c r="T37" i="27"/>
  <c r="Q37" i="27"/>
  <c r="T36" i="27"/>
  <c r="V36" i="27" s="1"/>
  <c r="Q36" i="27"/>
  <c r="T35" i="27"/>
  <c r="V35" i="27" s="1"/>
  <c r="Q35" i="27"/>
  <c r="T34" i="27"/>
  <c r="V34" i="27" s="1"/>
  <c r="Q34" i="27"/>
  <c r="T33" i="27"/>
  <c r="V33" i="27" s="1"/>
  <c r="Q33" i="27"/>
  <c r="V32" i="27"/>
  <c r="T32" i="27"/>
  <c r="Q32" i="27"/>
  <c r="V31" i="27"/>
  <c r="T31" i="27"/>
  <c r="Q31" i="27"/>
  <c r="T30" i="27"/>
  <c r="V30" i="27" s="1"/>
  <c r="Q30" i="27"/>
  <c r="V29" i="27"/>
  <c r="T29" i="27"/>
  <c r="Q29" i="27"/>
  <c r="T28" i="27"/>
  <c r="V28" i="27" s="1"/>
  <c r="Q28" i="27"/>
  <c r="T27" i="27"/>
  <c r="V27" i="27" s="1"/>
  <c r="Q27" i="27"/>
  <c r="T26" i="27"/>
  <c r="V26" i="27" s="1"/>
  <c r="Q26" i="27"/>
  <c r="T25" i="27"/>
  <c r="V25" i="27" s="1"/>
  <c r="Q25" i="27"/>
  <c r="V24" i="27"/>
  <c r="T24" i="27"/>
  <c r="Q24" i="27"/>
  <c r="V23" i="27"/>
  <c r="T23" i="27"/>
  <c r="Q23" i="27"/>
  <c r="T22" i="27"/>
  <c r="V22" i="27" s="1"/>
  <c r="Q22" i="27"/>
  <c r="V21" i="27"/>
  <c r="T21" i="27"/>
  <c r="Q21" i="27"/>
  <c r="T20" i="27"/>
  <c r="V20" i="27" s="1"/>
  <c r="Q20" i="27"/>
  <c r="T19" i="27"/>
  <c r="V19" i="27" s="1"/>
  <c r="Q19" i="27"/>
  <c r="T18" i="27"/>
  <c r="V18" i="27" s="1"/>
  <c r="Q18" i="27"/>
  <c r="T17" i="27"/>
  <c r="V17" i="27" s="1"/>
  <c r="Q17" i="27"/>
  <c r="V16" i="27"/>
  <c r="T16" i="27"/>
  <c r="Q16" i="27"/>
  <c r="V15" i="27"/>
  <c r="T15" i="27"/>
  <c r="Q15" i="27"/>
  <c r="T14" i="27"/>
  <c r="V14" i="27" s="1"/>
  <c r="Q14" i="27"/>
  <c r="V13" i="27"/>
  <c r="T13" i="27"/>
  <c r="Q13" i="27"/>
  <c r="T12" i="27"/>
  <c r="V12" i="27" s="1"/>
  <c r="Q12" i="27"/>
  <c r="T11" i="27"/>
  <c r="V11" i="27" s="1"/>
  <c r="Q11" i="27"/>
  <c r="T10" i="27"/>
  <c r="V10" i="27" s="1"/>
  <c r="Q10" i="27"/>
  <c r="T9" i="27"/>
  <c r="V9" i="27" s="1"/>
  <c r="Q9" i="27"/>
  <c r="V8" i="27"/>
  <c r="T8" i="27"/>
  <c r="Q8" i="27"/>
  <c r="V7" i="27"/>
  <c r="T7" i="27"/>
  <c r="Q7" i="27"/>
  <c r="T6" i="27"/>
  <c r="V6" i="27" s="1"/>
  <c r="Q6" i="27"/>
  <c r="V5" i="27"/>
  <c r="T5" i="27"/>
  <c r="Q5" i="27"/>
  <c r="T4" i="27"/>
  <c r="V4" i="27" s="1"/>
  <c r="Q4" i="27"/>
  <c r="T3" i="27"/>
  <c r="V3" i="27" s="1"/>
  <c r="Q3" i="27"/>
  <c r="T2" i="27"/>
  <c r="V2" i="27" s="1"/>
  <c r="Q2" i="27"/>
  <c r="T133" i="26" l="1"/>
  <c r="V133" i="26" s="1"/>
  <c r="Q133" i="26"/>
  <c r="V132" i="26"/>
  <c r="T132" i="26"/>
  <c r="Q132" i="26"/>
  <c r="T131" i="26"/>
  <c r="V131" i="26" s="1"/>
  <c r="Q131" i="26"/>
  <c r="V130" i="26"/>
  <c r="T130" i="26"/>
  <c r="Q130" i="26"/>
  <c r="T129" i="26"/>
  <c r="V129" i="26" s="1"/>
  <c r="Q129" i="26"/>
  <c r="V128" i="26"/>
  <c r="T128" i="26"/>
  <c r="Q128" i="26"/>
  <c r="T127" i="26"/>
  <c r="V127" i="26" s="1"/>
  <c r="Q127" i="26"/>
  <c r="T126" i="26"/>
  <c r="V126" i="26" s="1"/>
  <c r="Q126" i="26"/>
  <c r="T125" i="26"/>
  <c r="V125" i="26" s="1"/>
  <c r="Q125" i="26"/>
  <c r="V124" i="26"/>
  <c r="T124" i="26"/>
  <c r="Q124" i="26"/>
  <c r="T123" i="26"/>
  <c r="V123" i="26" s="1"/>
  <c r="Q123" i="26"/>
  <c r="V122" i="26"/>
  <c r="T122" i="26"/>
  <c r="Q122" i="26"/>
  <c r="T121" i="26"/>
  <c r="V121" i="26" s="1"/>
  <c r="Q121" i="26"/>
  <c r="V120" i="26"/>
  <c r="T120" i="26"/>
  <c r="Q120" i="26"/>
  <c r="T119" i="26"/>
  <c r="V119" i="26" s="1"/>
  <c r="Q119" i="26"/>
  <c r="T118" i="26"/>
  <c r="V118" i="26" s="1"/>
  <c r="Q118" i="26"/>
  <c r="T117" i="26"/>
  <c r="V117" i="26" s="1"/>
  <c r="Q117" i="26"/>
  <c r="V116" i="26"/>
  <c r="T116" i="26"/>
  <c r="Q116" i="26"/>
  <c r="T115" i="26"/>
  <c r="V115" i="26" s="1"/>
  <c r="Q115" i="26"/>
  <c r="V114" i="26"/>
  <c r="T114" i="26"/>
  <c r="Q114" i="26"/>
  <c r="T113" i="26"/>
  <c r="V113" i="26" s="1"/>
  <c r="Q113" i="26"/>
  <c r="V112" i="26"/>
  <c r="T112" i="26"/>
  <c r="Q112" i="26"/>
  <c r="T111" i="26"/>
  <c r="V111" i="26" s="1"/>
  <c r="Q111" i="26"/>
  <c r="T110" i="26"/>
  <c r="V110" i="26" s="1"/>
  <c r="Q110" i="26"/>
  <c r="T109" i="26"/>
  <c r="V109" i="26" s="1"/>
  <c r="Q109" i="26"/>
  <c r="V108" i="26"/>
  <c r="T108" i="26"/>
  <c r="Q108" i="26"/>
  <c r="T107" i="26"/>
  <c r="V107" i="26" s="1"/>
  <c r="Q107" i="26"/>
  <c r="V106" i="26"/>
  <c r="T106" i="26"/>
  <c r="Q106" i="26"/>
  <c r="T105" i="26"/>
  <c r="V105" i="26" s="1"/>
  <c r="Q105" i="26"/>
  <c r="V104" i="26"/>
  <c r="T104" i="26"/>
  <c r="Q104" i="26"/>
  <c r="T103" i="26"/>
  <c r="V103" i="26" s="1"/>
  <c r="Q103" i="26"/>
  <c r="T102" i="26"/>
  <c r="V102" i="26" s="1"/>
  <c r="Q102" i="26"/>
  <c r="T101" i="26"/>
  <c r="V101" i="26" s="1"/>
  <c r="Q101" i="26"/>
  <c r="V100" i="26"/>
  <c r="T100" i="26"/>
  <c r="Q100" i="26"/>
  <c r="T99" i="26"/>
  <c r="V99" i="26" s="1"/>
  <c r="Q99" i="26"/>
  <c r="V98" i="26"/>
  <c r="T98" i="26"/>
  <c r="Q98" i="26"/>
  <c r="T97" i="26"/>
  <c r="V97" i="26" s="1"/>
  <c r="Q97" i="26"/>
  <c r="V96" i="26"/>
  <c r="T96" i="26"/>
  <c r="Q96" i="26"/>
  <c r="T95" i="26"/>
  <c r="V95" i="26" s="1"/>
  <c r="Q95" i="26"/>
  <c r="T94" i="26"/>
  <c r="V94" i="26" s="1"/>
  <c r="Q94" i="26"/>
  <c r="T93" i="26"/>
  <c r="V93" i="26" s="1"/>
  <c r="Q93" i="26"/>
  <c r="V92" i="26"/>
  <c r="T92" i="26"/>
  <c r="Q92" i="26"/>
  <c r="T91" i="26"/>
  <c r="V91" i="26" s="1"/>
  <c r="Q91" i="26"/>
  <c r="V90" i="26"/>
  <c r="T90" i="26"/>
  <c r="Q90" i="26"/>
  <c r="T89" i="26"/>
  <c r="V89" i="26" s="1"/>
  <c r="Q89" i="26"/>
  <c r="V88" i="26"/>
  <c r="T88" i="26"/>
  <c r="Q88" i="26"/>
  <c r="T87" i="26"/>
  <c r="V87" i="26" s="1"/>
  <c r="Q87" i="26"/>
  <c r="T86" i="26"/>
  <c r="V86" i="26" s="1"/>
  <c r="Q86" i="26"/>
  <c r="T85" i="26"/>
  <c r="V85" i="26" s="1"/>
  <c r="Q85" i="26"/>
  <c r="V84" i="26"/>
  <c r="T84" i="26"/>
  <c r="Q84" i="26"/>
  <c r="T83" i="26"/>
  <c r="V83" i="26" s="1"/>
  <c r="Q83" i="26"/>
  <c r="V82" i="26"/>
  <c r="T82" i="26"/>
  <c r="Q82" i="26"/>
  <c r="T81" i="26"/>
  <c r="V81" i="26" s="1"/>
  <c r="Q81" i="26"/>
  <c r="V80" i="26"/>
  <c r="T80" i="26"/>
  <c r="Q80" i="26"/>
  <c r="T79" i="26"/>
  <c r="V79" i="26" s="1"/>
  <c r="Q79" i="26"/>
  <c r="T78" i="26"/>
  <c r="V78" i="26" s="1"/>
  <c r="Q78" i="26"/>
  <c r="T77" i="26"/>
  <c r="V77" i="26" s="1"/>
  <c r="Q77" i="26"/>
  <c r="V76" i="26"/>
  <c r="T76" i="26"/>
  <c r="Q76" i="26"/>
  <c r="T75" i="26"/>
  <c r="V75" i="26" s="1"/>
  <c r="Q75" i="26"/>
  <c r="V74" i="26"/>
  <c r="T74" i="26"/>
  <c r="Q74" i="26"/>
  <c r="T73" i="26"/>
  <c r="V73" i="26" s="1"/>
  <c r="Q73" i="26"/>
  <c r="V72" i="26"/>
  <c r="T72" i="26"/>
  <c r="Q72" i="26"/>
  <c r="T71" i="26"/>
  <c r="V71" i="26" s="1"/>
  <c r="Q71" i="26"/>
  <c r="T70" i="26"/>
  <c r="V70" i="26" s="1"/>
  <c r="Q70" i="26"/>
  <c r="T69" i="26"/>
  <c r="V69" i="26" s="1"/>
  <c r="Q69" i="26"/>
  <c r="V68" i="26"/>
  <c r="T68" i="26"/>
  <c r="Q68" i="26"/>
  <c r="T67" i="26"/>
  <c r="V67" i="26" s="1"/>
  <c r="Q67" i="26"/>
  <c r="V66" i="26"/>
  <c r="T66" i="26"/>
  <c r="Q66" i="26"/>
  <c r="T65" i="26"/>
  <c r="V65" i="26" s="1"/>
  <c r="Q65" i="26"/>
  <c r="V64" i="26"/>
  <c r="T64" i="26"/>
  <c r="Q64" i="26"/>
  <c r="T63" i="26"/>
  <c r="V63" i="26" s="1"/>
  <c r="Q63" i="26"/>
  <c r="T62" i="26"/>
  <c r="V62" i="26" s="1"/>
  <c r="Q62" i="26"/>
  <c r="T61" i="26"/>
  <c r="V61" i="26" s="1"/>
  <c r="Q61" i="26"/>
  <c r="V60" i="26"/>
  <c r="T60" i="26"/>
  <c r="Q60" i="26"/>
  <c r="T59" i="26"/>
  <c r="V59" i="26" s="1"/>
  <c r="Q59" i="26"/>
  <c r="V58" i="26"/>
  <c r="T58" i="26"/>
  <c r="Q58" i="26"/>
  <c r="T57" i="26"/>
  <c r="V57" i="26" s="1"/>
  <c r="Q57" i="26"/>
  <c r="V56" i="26"/>
  <c r="T56" i="26"/>
  <c r="Q56" i="26"/>
  <c r="T55" i="26"/>
  <c r="V55" i="26" s="1"/>
  <c r="Q55" i="26"/>
  <c r="T54" i="26"/>
  <c r="V54" i="26" s="1"/>
  <c r="Q54" i="26"/>
  <c r="T53" i="26"/>
  <c r="V53" i="26" s="1"/>
  <c r="Q53" i="26"/>
  <c r="V52" i="26"/>
  <c r="T52" i="26"/>
  <c r="Q52" i="26"/>
  <c r="T51" i="26"/>
  <c r="V51" i="26" s="1"/>
  <c r="Q51" i="26"/>
  <c r="V50" i="26"/>
  <c r="T50" i="26"/>
  <c r="Q50" i="26"/>
  <c r="T49" i="26"/>
  <c r="V49" i="26" s="1"/>
  <c r="Q49" i="26"/>
  <c r="V48" i="26"/>
  <c r="T48" i="26"/>
  <c r="Q48" i="26"/>
  <c r="T47" i="26"/>
  <c r="V47" i="26" s="1"/>
  <c r="Q47" i="26"/>
  <c r="T46" i="26"/>
  <c r="V46" i="26" s="1"/>
  <c r="Q46" i="26"/>
  <c r="T45" i="26"/>
  <c r="V45" i="26" s="1"/>
  <c r="Q45" i="26"/>
  <c r="V44" i="26"/>
  <c r="T44" i="26"/>
  <c r="Q44" i="26"/>
  <c r="T43" i="26"/>
  <c r="V43" i="26" s="1"/>
  <c r="Q43" i="26"/>
  <c r="V42" i="26"/>
  <c r="T42" i="26"/>
  <c r="Q42" i="26"/>
  <c r="T41" i="26"/>
  <c r="V41" i="26" s="1"/>
  <c r="Q41" i="26"/>
  <c r="V40" i="26"/>
  <c r="T40" i="26"/>
  <c r="Q40" i="26"/>
  <c r="T39" i="26"/>
  <c r="V39" i="26" s="1"/>
  <c r="Q39" i="26"/>
  <c r="T38" i="26"/>
  <c r="V38" i="26" s="1"/>
  <c r="Q38" i="26"/>
  <c r="T37" i="26"/>
  <c r="V37" i="26" s="1"/>
  <c r="Q37" i="26"/>
  <c r="V36" i="26"/>
  <c r="T36" i="26"/>
  <c r="Q36" i="26"/>
  <c r="T35" i="26"/>
  <c r="V35" i="26" s="1"/>
  <c r="Q35" i="26"/>
  <c r="V34" i="26"/>
  <c r="T34" i="26"/>
  <c r="Q34" i="26"/>
  <c r="T33" i="26"/>
  <c r="V33" i="26" s="1"/>
  <c r="Q33" i="26"/>
  <c r="V32" i="26"/>
  <c r="T32" i="26"/>
  <c r="Q32" i="26"/>
  <c r="T31" i="26"/>
  <c r="V31" i="26" s="1"/>
  <c r="Q31" i="26"/>
  <c r="T30" i="26"/>
  <c r="V30" i="26" s="1"/>
  <c r="Q30" i="26"/>
  <c r="T29" i="26"/>
  <c r="V29" i="26" s="1"/>
  <c r="Q29" i="26"/>
  <c r="V28" i="26"/>
  <c r="T28" i="26"/>
  <c r="Q28" i="26"/>
  <c r="T27" i="26"/>
  <c r="V27" i="26" s="1"/>
  <c r="Q27" i="26"/>
  <c r="V26" i="26"/>
  <c r="T26" i="26"/>
  <c r="Q26" i="26"/>
  <c r="T25" i="26"/>
  <c r="V25" i="26" s="1"/>
  <c r="Q25" i="26"/>
  <c r="V24" i="26"/>
  <c r="T24" i="26"/>
  <c r="Q24" i="26"/>
  <c r="T23" i="26"/>
  <c r="V23" i="26" s="1"/>
  <c r="Q23" i="26"/>
  <c r="T22" i="26"/>
  <c r="V22" i="26" s="1"/>
  <c r="Q22" i="26"/>
  <c r="T21" i="26"/>
  <c r="V21" i="26" s="1"/>
  <c r="Q21" i="26"/>
  <c r="V20" i="26"/>
  <c r="T20" i="26"/>
  <c r="Q20" i="26"/>
  <c r="T19" i="26"/>
  <c r="V19" i="26" s="1"/>
  <c r="Q19" i="26"/>
  <c r="V18" i="26"/>
  <c r="T18" i="26"/>
  <c r="Q18" i="26"/>
  <c r="T17" i="26"/>
  <c r="V17" i="26" s="1"/>
  <c r="Q17" i="26"/>
  <c r="V16" i="26"/>
  <c r="T16" i="26"/>
  <c r="Q16" i="26"/>
  <c r="T15" i="26"/>
  <c r="V15" i="26" s="1"/>
  <c r="Q15" i="26"/>
  <c r="T14" i="26"/>
  <c r="V14" i="26" s="1"/>
  <c r="Q14" i="26"/>
  <c r="T13" i="26"/>
  <c r="V13" i="26" s="1"/>
  <c r="Q13" i="26"/>
  <c r="V12" i="26"/>
  <c r="T12" i="26"/>
  <c r="Q12" i="26"/>
  <c r="T11" i="26"/>
  <c r="V11" i="26" s="1"/>
  <c r="Q11" i="26"/>
  <c r="V10" i="26"/>
  <c r="T10" i="26"/>
  <c r="Q10" i="26"/>
  <c r="T9" i="26"/>
  <c r="V9" i="26" s="1"/>
  <c r="Q9" i="26"/>
  <c r="V8" i="26"/>
  <c r="T8" i="26"/>
  <c r="Q8" i="26"/>
  <c r="T7" i="26"/>
  <c r="V7" i="26" s="1"/>
  <c r="Q7" i="26"/>
  <c r="T6" i="26"/>
  <c r="V6" i="26" s="1"/>
  <c r="Q6" i="26"/>
  <c r="T5" i="26"/>
  <c r="V5" i="26" s="1"/>
  <c r="Q5" i="26"/>
  <c r="V4" i="26"/>
  <c r="T4" i="26"/>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<sst xmlns="http://schemas.openxmlformats.org/spreadsheetml/2006/main" count="10132" uniqueCount="516">
  <si>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</si>
  <si>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</si>
  <si>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</si>
  <si>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</si>
  <si>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</si>
  <si>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</si>
  <si>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</si>
  <si>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</si>
  <si>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</si>
  <si>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</si>
  <si>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</si>
  <si>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</si>
  <si>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</si>
  <si>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</si>
  <si>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</si>
  <si>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</si>
  <si>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</si>
  <si>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</si>
  <si>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</si>
  <si>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</si>
  <si>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</si>
  <si>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</si>
  <si>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</si>
  <si>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</si>
  <si>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</si>
  <si>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</si>
  <si>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</si>
  <si>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</si>
  <si>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</si>
  <si>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</si>
  <si>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</si>
  <si>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</si>
  <si>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</si>
  <si>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</si>
  <si>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</si>
  <si>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</si>
  <si>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</si>
  <si>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</si>
  <si>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</si>
  <si>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</si>
  <si>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</si>
  <si>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</si>
  <si>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</si>
  <si>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</si>
  <si>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</si>
  <si>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</si>
  <si>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</si>
  <si>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</si>
  <si>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</si>
  <si>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</si>
  <si>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</si>
  <si>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</si>
  <si>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</si>
  <si>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</si>
  <si>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</si>
  <si>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</si>
  <si>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</si>
  <si>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</si>
  <si>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</si>
  <si>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</si>
  <si>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</si>
  <si>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</si>
  <si>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</si>
  <si>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</si>
  <si>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</si>
  <si>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</si>
  <si>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</si>
  <si>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</si>
  <si>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</si>
  <si>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</si>
  <si>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</si>
  <si>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</si>
  <si>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</si>
  <si>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</si>
  <si>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</si>
  <si>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</si>
  <si>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</si>
  <si>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</si>
  <si>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</si>
  <si>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</si>
  <si>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</si>
  <si>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</si>
  <si>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</si>
  <si>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</si>
  <si>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</si>
  <si>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</si>
  <si>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</si>
  <si>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</si>
  <si>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</si>
  <si>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</si>
  <si>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</si>
  <si>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</si>
  <si>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</si>
  <si>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</si>
  <si>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</si>
  <si>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</si>
  <si>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</si>
  <si>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</si>
  <si>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</si>
  <si>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</si>
  <si>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</si>
  <si>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</si>
  <si>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</si>
  <si>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</si>
  <si>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</si>
  <si>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</si>
  <si>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</si>
  <si>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</si>
  <si>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</si>
  <si>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</si>
  <si>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</si>
  <si>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</si>
  <si>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</si>
  <si>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</si>
  <si>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</si>
  <si>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</si>
  <si>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</si>
  <si>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</si>
  <si>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</si>
  <si>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</si>
  <si>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</si>
  <si>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</si>
  <si>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</si>
  <si>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</si>
  <si>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</si>
  <si>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</si>
  <si>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</si>
  <si>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</si>
  <si>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</si>
  <si>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</si>
  <si>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</si>
  <si>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</si>
  <si>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</si>
  <si>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</si>
  <si>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</si>
  <si>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</si>
  <si>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</si>
  <si>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</si>
  <si>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</si>
  <si>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</si>
  <si>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</si>
  <si>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</si>
  <si>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</si>
  <si>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</si>
  <si>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</si>
  <si>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</si>
  <si>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</si>
  <si>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</si>
  <si>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</si>
  <si>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</si>
  <si>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</si>
  <si>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</si>
  <si>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</si>
  <si>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</si>
  <si>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</si>
  <si>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</si>
  <si>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</si>
  <si>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</si>
  <si>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</si>
  <si>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</si>
  <si>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</si>
  <si>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</si>
  <si>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</si>
  <si>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</si>
  <si>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</si>
  <si>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</si>
  <si>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</si>
  <si>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D'lish</t>
    <phoneticPr fontId="4"/>
  </si>
  <si>
    <t>GA</t>
  </si>
  <si>
    <t>大阪</t>
    <phoneticPr fontId="4"/>
  </si>
  <si>
    <t>HW</t>
    <phoneticPr fontId="4"/>
  </si>
  <si>
    <t>CK</t>
    <phoneticPr fontId="4"/>
  </si>
  <si>
    <t>Del Monte</t>
    <phoneticPr fontId="3"/>
  </si>
  <si>
    <t>GK</t>
    <phoneticPr fontId="4"/>
  </si>
  <si>
    <t>OB</t>
    <phoneticPr fontId="4"/>
  </si>
  <si>
    <t>HE</t>
    <phoneticPr fontId="4"/>
  </si>
  <si>
    <t>佐賀</t>
    <rPh sb="0" eb="2">
      <t>サガ</t>
    </rPh>
    <phoneticPr fontId="3"/>
  </si>
  <si>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</si>
  <si>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</si>
  <si>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</si>
  <si>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</si>
  <si>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</si>
  <si>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</si>
  <si>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</si>
  <si>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</si>
  <si>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</si>
  <si>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</si>
  <si>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</si>
  <si>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</si>
  <si>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</si>
  <si>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</si>
  <si>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</si>
  <si>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</si>
  <si>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</si>
  <si>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</si>
  <si>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</si>
  <si>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</si>
  <si>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</si>
  <si>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</si>
  <si>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</si>
  <si>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</si>
  <si>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</si>
  <si>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</si>
  <si>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</si>
  <si>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</si>
  <si>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</si>
  <si>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</si>
  <si>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</si>
  <si>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</si>
  <si>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</si>
  <si>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</si>
  <si>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</si>
  <si>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</si>
  <si>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</si>
  <si>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</si>
  <si>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</si>
  <si>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</si>
  <si>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</si>
  <si>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</si>
  <si>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</si>
  <si>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</si>
  <si>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</si>
  <si>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</si>
  <si>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</si>
  <si>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</si>
  <si>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</si>
  <si>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</si>
  <si>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</si>
  <si>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</si>
  <si>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</si>
  <si>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</si>
  <si>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</si>
  <si>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</si>
  <si>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</si>
  <si>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</si>
  <si>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</si>
  <si>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</si>
  <si>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</si>
  <si>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</si>
  <si>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</si>
  <si>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</si>
  <si>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</si>
  <si>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</si>
  <si>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</si>
  <si>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</si>
  <si>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</si>
  <si>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キラキラ</t>
  </si>
  <si>
    <t>グリーンアイ</t>
  </si>
  <si>
    <t>ＪＡ大阪</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</si>
  <si>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</si>
  <si>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</si>
  <si>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</si>
  <si>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</si>
  <si>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</si>
  <si>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</si>
  <si>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</si>
  <si>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</si>
  <si>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</si>
  <si>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</si>
  <si>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</si>
  <si>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</si>
  <si>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</si>
  <si>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</si>
  <si>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</si>
  <si>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</si>
  <si>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</si>
  <si>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</si>
  <si>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</si>
  <si>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</si>
  <si>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</si>
  <si>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</si>
  <si>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</si>
  <si>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</si>
  <si>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</si>
  <si>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</si>
  <si>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</si>
  <si>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</si>
  <si>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</si>
  <si>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</si>
  <si>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</si>
  <si>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</si>
  <si>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</si>
  <si>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</si>
  <si>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</si>
  <si>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</si>
  <si>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</si>
  <si>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</si>
  <si>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</si>
  <si>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</si>
  <si>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</si>
  <si>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</si>
  <si>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</si>
  <si>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</si>
  <si>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</si>
  <si>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</si>
  <si>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</si>
  <si>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</si>
  <si>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</si>
  <si>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</si>
  <si>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</si>
  <si>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</si>
  <si>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</si>
  <si>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</si>
  <si>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</si>
  <si>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</si>
  <si>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</si>
  <si>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</si>
  <si>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</si>
  <si>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</si>
  <si>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</si>
  <si>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</si>
  <si>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</si>
  <si>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</si>
  <si>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</si>
  <si>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</si>
  <si>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</si>
  <si>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</si>
  <si>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</si>
  <si>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</si>
  <si>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</si>
  <si>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</si>
  <si>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</si>
  <si>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</si>
  <si>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</si>
  <si>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</si>
  <si>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</si>
  <si>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</si>
  <si>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</si>
  <si>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</si>
  <si>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</si>
  <si>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</si>
  <si>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</si>
  <si>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</si>
  <si>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</si>
  <si>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</si>
  <si>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</si>
  <si>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</si>
  <si>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</si>
  <si>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</si>
  <si>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</si>
  <si>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</si>
  <si>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</si>
  <si>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</si>
  <si>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</si>
  <si>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</si>
  <si>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</si>
  <si>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</si>
  <si>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</si>
  <si>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</si>
  <si>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</si>
  <si>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</si>
  <si>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</si>
  <si>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11.09.2018</t>
  </si>
  <si>
    <t>11.09.2018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</si>
  <si>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</si>
  <si>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</si>
  <si>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</si>
  <si>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</si>
  <si>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</si>
  <si>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</si>
  <si>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</si>
  <si>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color theme="1"/>
        <rFont val="ＭＳ Ｐゴシック"/>
        <family val="3"/>
        <charset val="128"/>
      </rPr>
      <t>最低重量</t>
    </r>
    <phoneticPr fontId="4"/>
  </si>
  <si>
    <t>Green
Other
SIZE</t>
    <phoneticPr fontId="4"/>
  </si>
  <si>
    <r>
      <t xml:space="preserve">Gold
</t>
    </r>
    <r>
      <rPr>
        <b/>
        <sz val="8"/>
        <color theme="1"/>
        <rFont val="ＭＳ Ｐゴシック"/>
        <family val="3"/>
        <charset val="128"/>
      </rPr>
      <t>最低重量</t>
    </r>
    <phoneticPr fontId="4"/>
  </si>
  <si>
    <t>Gold
SIZE</t>
    <phoneticPr fontId="4"/>
  </si>
  <si>
    <t>10.09.2018</t>
    <phoneticPr fontId="3"/>
  </si>
  <si>
    <t>10.09.2018</t>
    <phoneticPr fontId="3"/>
  </si>
  <si>
    <t>10.09.2018</t>
  </si>
  <si>
    <t>GA</t>
    <phoneticPr fontId="4"/>
  </si>
  <si>
    <t>いちじく</t>
    <phoneticPr fontId="4"/>
  </si>
  <si>
    <t>ラフランス</t>
    <phoneticPr fontId="3"/>
  </si>
  <si>
    <t>JPY</t>
    <phoneticPr fontId="3"/>
  </si>
  <si>
    <t>14.09.2018</t>
    <phoneticPr fontId="3"/>
  </si>
  <si>
    <t>アオキスーパー</t>
  </si>
  <si>
    <t>マックスバリュ</t>
    <phoneticPr fontId="4"/>
  </si>
  <si>
    <t>HE</t>
    <phoneticPr fontId="4"/>
  </si>
  <si>
    <t>JP</t>
    <phoneticPr fontId="3"/>
  </si>
  <si>
    <t>14.09.2018</t>
    <phoneticPr fontId="3"/>
  </si>
  <si>
    <t>カネトク</t>
    <phoneticPr fontId="4"/>
  </si>
  <si>
    <t>JP</t>
    <phoneticPr fontId="3"/>
  </si>
  <si>
    <t>14.09.2018</t>
    <phoneticPr fontId="3"/>
  </si>
  <si>
    <t>マックスバリュ</t>
    <phoneticPr fontId="4"/>
  </si>
  <si>
    <t>長久手店</t>
    <phoneticPr fontId="4"/>
  </si>
  <si>
    <t>アピタ</t>
    <phoneticPr fontId="4"/>
  </si>
  <si>
    <t>JP</t>
    <phoneticPr fontId="3"/>
  </si>
  <si>
    <t>14.09.2018</t>
    <phoneticPr fontId="3"/>
  </si>
  <si>
    <t>アオキスーパー</t>
    <phoneticPr fontId="4"/>
  </si>
  <si>
    <t>長久手店</t>
    <phoneticPr fontId="4"/>
  </si>
  <si>
    <t>JP</t>
    <phoneticPr fontId="3"/>
  </si>
  <si>
    <t>14.09.2018</t>
    <phoneticPr fontId="3"/>
  </si>
  <si>
    <t>JP</t>
    <phoneticPr fontId="3"/>
  </si>
  <si>
    <t>14.09.2018</t>
    <phoneticPr fontId="3"/>
  </si>
  <si>
    <t>ピアゴ</t>
  </si>
  <si>
    <t>長久手南店</t>
  </si>
  <si>
    <t>JP</t>
    <phoneticPr fontId="3"/>
  </si>
  <si>
    <t>14.09.2018</t>
    <phoneticPr fontId="3"/>
  </si>
  <si>
    <t>カネスエ</t>
  </si>
  <si>
    <t>長久手店</t>
  </si>
  <si>
    <t>ラフランス</t>
    <phoneticPr fontId="4"/>
  </si>
  <si>
    <t>キラキラ</t>
    <phoneticPr fontId="4"/>
  </si>
  <si>
    <t>グリーンアイ</t>
    <phoneticPr fontId="4"/>
  </si>
  <si>
    <t>カネトク</t>
  </si>
  <si>
    <t>アピタ</t>
  </si>
  <si>
    <t>14.09.2018</t>
  </si>
  <si>
    <t>津久野店</t>
  </si>
  <si>
    <t>11.09.2018</t>
    <phoneticPr fontId="3"/>
  </si>
  <si>
    <t>JPY</t>
    <phoneticPr fontId="3"/>
  </si>
  <si>
    <t>11.09.2018</t>
    <phoneticPr fontId="3"/>
  </si>
  <si>
    <t>JPY</t>
    <phoneticPr fontId="3"/>
  </si>
  <si>
    <t>広島</t>
    <phoneticPr fontId="3"/>
  </si>
  <si>
    <t>バナナ</t>
    <phoneticPr fontId="4"/>
  </si>
  <si>
    <t>11.09.2018</t>
    <phoneticPr fontId="3"/>
  </si>
  <si>
    <t>JPY</t>
    <phoneticPr fontId="3"/>
  </si>
  <si>
    <t>パパイヤ</t>
    <phoneticPr fontId="4"/>
  </si>
  <si>
    <t>11.09.2018</t>
    <phoneticPr fontId="3"/>
  </si>
  <si>
    <t>JPY</t>
    <phoneticPr fontId="3"/>
  </si>
  <si>
    <t>びわ</t>
    <phoneticPr fontId="4"/>
  </si>
  <si>
    <t>11.09.2018</t>
    <phoneticPr fontId="3"/>
  </si>
  <si>
    <t>JPY</t>
    <phoneticPr fontId="3"/>
  </si>
  <si>
    <t>メロン</t>
    <phoneticPr fontId="4"/>
  </si>
  <si>
    <t>桃</t>
    <phoneticPr fontId="4"/>
  </si>
  <si>
    <t>11.09.2018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</si>
  <si>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</si>
  <si>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</si>
  <si>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</si>
  <si>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</si>
  <si>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</si>
  <si>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</si>
  <si>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</si>
  <si>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12.09.2018</t>
    <phoneticPr fontId="3"/>
  </si>
  <si>
    <t>マルショク</t>
    <phoneticPr fontId="3"/>
  </si>
  <si>
    <t>JPY</t>
    <phoneticPr fontId="4"/>
  </si>
  <si>
    <t>一般栽培</t>
    <phoneticPr fontId="4"/>
  </si>
  <si>
    <t>ﾆｭｰｼﾞｰﾗﾝﾄﾞ</t>
    <phoneticPr fontId="4"/>
  </si>
  <si>
    <t>JP</t>
    <phoneticPr fontId="3"/>
  </si>
  <si>
    <t>12.09.2018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</si>
  <si>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</si>
  <si>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</si>
  <si>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</si>
  <si>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</si>
  <si>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</si>
  <si>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</si>
  <si>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</si>
  <si>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</si>
  <si>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</si>
  <si>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</si>
  <si>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</si>
  <si>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</si>
  <si>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12.09.2018</t>
    <phoneticPr fontId="3"/>
  </si>
  <si>
    <t>マルショク</t>
    <phoneticPr fontId="3"/>
  </si>
  <si>
    <t>JPY</t>
    <phoneticPr fontId="4"/>
  </si>
  <si>
    <t>HE</t>
    <phoneticPr fontId="4"/>
  </si>
  <si>
    <t>JP</t>
    <phoneticPr fontId="3"/>
  </si>
  <si>
    <t>12.09.2018</t>
    <phoneticPr fontId="3"/>
  </si>
  <si>
    <t>GA</t>
    <phoneticPr fontId="4"/>
  </si>
  <si>
    <t>12.09.2018</t>
    <phoneticPr fontId="3"/>
  </si>
  <si>
    <t>オレンジ</t>
    <phoneticPr fontId="3"/>
  </si>
  <si>
    <t>JP</t>
    <phoneticPr fontId="3"/>
  </si>
  <si>
    <t>12.09.2018</t>
    <phoneticPr fontId="3"/>
  </si>
  <si>
    <t>12.09.2018</t>
    <phoneticPr fontId="3"/>
  </si>
  <si>
    <t>12.09.2018</t>
    <phoneticPr fontId="3"/>
  </si>
  <si>
    <t>JPY</t>
    <phoneticPr fontId="4"/>
  </si>
  <si>
    <t>12.09.2018</t>
    <phoneticPr fontId="3"/>
  </si>
  <si>
    <t>JPY</t>
    <phoneticPr fontId="4"/>
  </si>
  <si>
    <t>JP</t>
    <phoneticPr fontId="3"/>
  </si>
  <si>
    <t>12.09.2018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</si>
  <si>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</si>
  <si>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</si>
  <si>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</si>
  <si>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</si>
  <si>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</si>
  <si>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</si>
  <si>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</si>
  <si>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</si>
  <si>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</si>
  <si>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</si>
  <si>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</si>
  <si>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</si>
  <si>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</si>
  <si>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</si>
  <si>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</si>
  <si>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</si>
  <si>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</si>
  <si>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</si>
  <si>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</si>
  <si>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</si>
  <si>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</si>
  <si>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14.09.2018</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</si>
  <si>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</si>
  <si>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</si>
  <si>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</si>
  <si>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</si>
  <si>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</si>
  <si>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</si>
  <si>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</si>
  <si>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</si>
  <si>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</si>
  <si>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</si>
  <si>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</si>
  <si>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</si>
  <si>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</si>
  <si>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</si>
  <si>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</si>
  <si>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</si>
  <si>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</si>
  <si>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</si>
  <si>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</si>
  <si>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</si>
  <si>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</si>
  <si>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13.09.2018</t>
    <phoneticPr fontId="3"/>
  </si>
  <si>
    <t>13.09.2018</t>
    <phoneticPr fontId="3"/>
  </si>
  <si>
    <t>13.09.2018</t>
    <phoneticPr fontId="3"/>
  </si>
  <si>
    <t>13.09.2018</t>
    <phoneticPr fontId="3"/>
  </si>
  <si>
    <t>13.09.2018</t>
    <phoneticPr fontId="3"/>
  </si>
  <si>
    <t>13.09.2018</t>
    <phoneticPr fontId="3"/>
  </si>
  <si>
    <t>13.09.2018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</si>
</sst>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6"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1"/>
      <name val="ＭＳ Ｐゴシック"/>
      <family val="2"/>
      <charset val="128"/>
      <scheme val="minor"/>
    </font>
    <font>
      <sz val="11"/>
      <color indexed="8"/>
      <name val="ＭＳ Ｐゴシック"/>
      <family val="3"/>
      <charset val="128"/>
    </font>
    <font>
      <sz val="11"/>
      <color theme="1"/>
      <name val="ＭＳ Ｐゴシック"/>
      <family val="2"/>
      <charset val="128"/>
      <scheme val="minor"/>
    </font>
    <font>
      <sz val="9"/>
      <color theme="1"/>
      <name val="ＭＳ Ｐゴシック"/>
      <family val="3"/>
      <charset val="128"/>
    </font>
    <font>
      <sz val="9"/>
      <color theme="1"/>
      <name val="Cg omega"/>
      <family val="2"/>
    </font>
    <font>
      <sz val="11"/>
      <color theme="1"/>
      <name val="ＭＳ Ｐゴシック"/>
      <family val="3"/>
      <charset val="128"/>
    </font>
    <font>
      <b/>
      <sz val="8"/>
      <color theme="1"/>
      <name val="ＭＳ Ｐゴシック"/>
      <family val="3"/>
      <charset val="128"/>
    </font>
    <font>
      <b/>
      <sz val="8"/>
      <color theme="1"/>
      <name val="Cg omega"/>
      <family val="2"/>
    </font>
    <font>
      <b/>
      <sz val="8"/>
      <color theme="1"/>
      <name val="Arial"/>
      <family val="2"/>
    </font>
    <font>
      <sz val="10"/>
      <color theme="1"/>
      <name val="ＭＳ Ｐゴシック"/>
      <family val="3"/>
      <charset val="128"/>
    </font>
    <font>
      <sz val="10"/>
      <color theme="1"/>
      <name val="ＭＳ 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8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applyFont="1" applyFill="1"/>
    <xf numFmtId="0" fontId="1" fillId="0" borderId="18" xfId="1" applyFont="1" applyFill="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applyFill="1"/>
    <xf numFmtId="0" fontId="1" fillId="0" borderId="12" xfId="1" applyFont="1" applyFill="1" applyBorder="1" applyAlignment="1">
      <alignment shrinkToFit="1"/>
    </xf>
    <xf numFmtId="0" fontId="16"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6" fillId="0" borderId="0" xfId="1" applyNumberFormat="1" applyFont="1" applyAlignment="1">
      <alignment horizontal="center"/>
    </xf>
    <xf numFmtId="0" fontId="15"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49" fontId="18" fillId="5" borderId="1" xfId="1" applyNumberFormat="1" applyFont="1" applyFill="1" applyBorder="1" applyAlignment="1">
      <alignment horizontal="center" vertical="center" wrapText="1"/>
    </xf>
    <xf numFmtId="49" fontId="18" fillId="0" borderId="2" xfId="1" applyNumberFormat="1" applyFont="1" applyFill="1" applyBorder="1" applyAlignment="1">
      <alignment horizontal="center" vertical="center" wrapText="1"/>
    </xf>
    <xf numFmtId="49" fontId="18" fillId="0" borderId="3" xfId="1" applyNumberFormat="1" applyFont="1" applyFill="1" applyBorder="1" applyAlignment="1">
      <alignment horizontal="center" vertical="center" wrapText="1"/>
    </xf>
    <xf numFmtId="49" fontId="18" fillId="5" borderId="3" xfId="1" applyNumberFormat="1" applyFont="1" applyFill="1" applyBorder="1" applyAlignment="1">
      <alignment horizontal="center" vertical="center" wrapText="1"/>
    </xf>
    <xf numFmtId="49" fontId="18" fillId="3" borderId="3" xfId="1" applyNumberFormat="1" applyFont="1" applyFill="1" applyBorder="1" applyAlignment="1">
      <alignment horizontal="center" vertical="center" wrapText="1"/>
    </xf>
    <xf numFmtId="49" fontId="19" fillId="0" borderId="3" xfId="1" applyNumberFormat="1" applyFont="1" applyFill="1" applyBorder="1" applyAlignment="1">
      <alignment horizontal="center" vertical="center" wrapText="1"/>
    </xf>
    <xf numFmtId="0" fontId="18" fillId="3" borderId="3" xfId="1" applyNumberFormat="1" applyFont="1" applyFill="1" applyBorder="1" applyAlignment="1">
      <alignment horizontal="center" vertical="center" wrapText="1"/>
    </xf>
    <xf numFmtId="49" fontId="18" fillId="5" borderId="4" xfId="1" applyNumberFormat="1" applyFont="1" applyFill="1" applyBorder="1" applyAlignment="1">
      <alignment horizontal="center" vertical="center" wrapText="1"/>
    </xf>
    <xf numFmtId="0" fontId="20" fillId="0" borderId="0" xfId="1" applyFont="1"/>
    <xf numFmtId="49" fontId="21" fillId="0" borderId="6" xfId="1" applyNumberFormat="1" applyFont="1" applyFill="1" applyBorder="1" applyAlignment="1">
      <alignment horizontal="center" vertical="center" wrapText="1"/>
    </xf>
    <xf numFmtId="49" fontId="22" fillId="0" borderId="0" xfId="1" applyNumberFormat="1" applyFont="1" applyFill="1" applyBorder="1" applyAlignment="1">
      <alignment horizontal="center" vertical="center" wrapText="1"/>
    </xf>
    <xf numFmtId="0" fontId="21" fillId="0" borderId="6" xfId="1" applyFont="1" applyBorder="1" applyAlignment="1">
      <alignment horizontal="center" vertical="center"/>
    </xf>
    <xf numFmtId="0" fontId="21" fillId="0" borderId="6" xfId="1" applyFont="1" applyBorder="1" applyAlignment="1">
      <alignment horizontal="center" vertical="center" wrapText="1"/>
    </xf>
    <xf numFmtId="0" fontId="23" fillId="0" borderId="1" xfId="1" applyFont="1" applyBorder="1" applyAlignment="1">
      <alignment horizontal="center" vertical="center" wrapText="1"/>
    </xf>
    <xf numFmtId="0" fontId="23" fillId="0" borderId="3" xfId="1" applyFont="1" applyBorder="1" applyAlignment="1">
      <alignment horizontal="center" vertical="center" wrapText="1"/>
    </xf>
    <xf numFmtId="0" fontId="23" fillId="0" borderId="4" xfId="1" applyFont="1" applyBorder="1" applyAlignment="1">
      <alignment horizontal="center" vertical="center" wrapText="1"/>
    </xf>
    <xf numFmtId="0" fontId="20" fillId="0" borderId="0" xfId="1" applyFont="1" applyFill="1"/>
    <xf numFmtId="0" fontId="20" fillId="0" borderId="0" xfId="1" applyFont="1" applyAlignment="1">
      <alignment horizontal="center"/>
    </xf>
    <xf numFmtId="14" fontId="11" fillId="0" borderId="0" xfId="1" applyNumberFormat="1" applyFont="1" applyFill="1" applyAlignment="1">
      <alignment horizontal="right"/>
    </xf>
    <xf numFmtId="178" fontId="20" fillId="2" borderId="0" xfId="1" applyNumberFormat="1" applyFont="1" applyFill="1"/>
    <xf numFmtId="0" fontId="20" fillId="2" borderId="0" xfId="1" applyFont="1" applyFill="1"/>
    <xf numFmtId="0" fontId="20" fillId="2" borderId="0" xfId="1" applyNumberFormat="1" applyFont="1" applyFill="1"/>
    <xf numFmtId="0" fontId="24" fillId="0" borderId="7" xfId="1" applyFont="1" applyFill="1" applyBorder="1"/>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0" fillId="0" borderId="8" xfId="1" applyFont="1" applyFill="1" applyBorder="1"/>
    <xf numFmtId="0" fontId="20" fillId="0" borderId="9" xfId="1" applyFont="1" applyFill="1" applyBorder="1" applyAlignment="1">
      <alignment wrapText="1"/>
    </xf>
    <xf numFmtId="0" fontId="20" fillId="0" borderId="10" xfId="1" applyFont="1" applyFill="1" applyBorder="1" applyAlignment="1">
      <alignment wrapText="1"/>
    </xf>
    <xf numFmtId="0" fontId="20" fillId="0" borderId="11" xfId="1" applyFont="1" applyFill="1" applyBorder="1" applyAlignment="1">
      <alignment wrapText="1"/>
    </xf>
    <xf numFmtId="0" fontId="24" fillId="0" borderId="12" xfId="1" applyFont="1" applyBorder="1"/>
    <xf numFmtId="0" fontId="25" fillId="0" borderId="12" xfId="0" applyFont="1" applyBorder="1" applyAlignment="1">
      <alignment horizontal="center" vertical="center"/>
    </xf>
    <xf numFmtId="0" fontId="20" fillId="0" borderId="12" xfId="1" applyFont="1" applyBorder="1"/>
    <xf numFmtId="0" fontId="20" fillId="0" borderId="12" xfId="1" applyFont="1" applyFill="1" applyBorder="1"/>
    <xf numFmtId="0" fontId="20" fillId="0" borderId="13" xfId="1" applyFont="1" applyBorder="1" applyAlignment="1">
      <alignment wrapText="1"/>
    </xf>
    <xf numFmtId="0" fontId="20" fillId="0" borderId="14" xfId="1" applyFont="1" applyBorder="1" applyAlignment="1">
      <alignment wrapText="1"/>
    </xf>
    <xf numFmtId="0" fontId="20" fillId="0" borderId="15" xfId="1" applyFont="1" applyBorder="1" applyAlignment="1">
      <alignment wrapText="1"/>
    </xf>
    <xf numFmtId="0" fontId="20" fillId="0" borderId="16" xfId="1" applyFont="1" applyBorder="1"/>
    <xf numFmtId="0" fontId="20" fillId="0" borderId="17" xfId="1" applyFont="1" applyBorder="1"/>
    <xf numFmtId="0" fontId="20" fillId="3" borderId="0" xfId="1" applyFont="1" applyFill="1"/>
    <xf numFmtId="0" fontId="20" fillId="3" borderId="0" xfId="1" applyNumberFormat="1" applyFont="1" applyFill="1"/>
    <xf numFmtId="0" fontId="24" fillId="0" borderId="12" xfId="1" applyFont="1" applyFill="1" applyBorder="1"/>
    <xf numFmtId="0" fontId="20" fillId="0" borderId="17" xfId="1" applyFont="1" applyFill="1" applyBorder="1"/>
    <xf numFmtId="0" fontId="20" fillId="0" borderId="18" xfId="1" applyFont="1" applyFill="1" applyBorder="1"/>
    <xf numFmtId="0" fontId="20" fillId="0" borderId="13" xfId="1" applyFont="1" applyFill="1" applyBorder="1" applyAlignment="1">
      <alignment wrapText="1"/>
    </xf>
    <xf numFmtId="0" fontId="20" fillId="0" borderId="14" xfId="1" applyFont="1" applyFill="1" applyBorder="1" applyAlignment="1">
      <alignment wrapText="1"/>
    </xf>
    <xf numFmtId="0" fontId="20" fillId="0" borderId="15" xfId="1" applyFont="1" applyFill="1" applyBorder="1" applyAlignment="1">
      <alignment wrapText="1"/>
    </xf>
    <xf numFmtId="0" fontId="17" fillId="0" borderId="0" xfId="1" applyFont="1"/>
    <xf numFmtId="0" fontId="20" fillId="0" borderId="19" xfId="1" applyFont="1" applyBorder="1" applyAlignment="1">
      <alignment wrapText="1"/>
    </xf>
    <xf numFmtId="0" fontId="20" fillId="0" borderId="20" xfId="1" applyFont="1" applyBorder="1" applyAlignment="1">
      <alignment wrapText="1"/>
    </xf>
    <xf numFmtId="0" fontId="20" fillId="0" borderId="21" xfId="1" applyFont="1" applyBorder="1" applyAlignment="1">
      <alignment wrapText="1"/>
    </xf>
    <xf numFmtId="0" fontId="20" fillId="0" borderId="16" xfId="1" applyFont="1" applyFill="1" applyBorder="1"/>
    <xf numFmtId="0" fontId="24" fillId="0" borderId="16" xfId="1" applyFont="1" applyBorder="1"/>
    <xf numFmtId="0" fontId="20" fillId="0" borderId="0" xfId="1" applyFont="1" applyBorder="1"/>
    <xf numFmtId="0" fontId="24" fillId="0" borderId="0" xfId="1" applyFont="1" applyBorder="1"/>
    <xf numFmtId="0" fontId="20" fillId="0" borderId="0" xfId="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3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345</v>
      </c>
      <c r="B2" s="15" t="s">
        <v>347</v>
      </c>
      <c r="C2" s="15">
        <v>2018</v>
      </c>
      <c r="D2" s="50" t="s">
        <v>353</v>
      </c>
      <c r="E2" s="15" t="s">
        <v>141</v>
      </c>
      <c r="F2" s="15" t="s">
        <v>149</v>
      </c>
      <c r="G2" s="15" t="s">
        <v>36</v>
      </c>
      <c r="H2" s="15" t="s">
        <v>155</v>
      </c>
      <c r="I2" s="15" t="s">
        <v>153</v>
      </c>
      <c r="J2" s="15" t="s">
        <v>38</v>
      </c>
      <c r="K2" s="7" t="s">
        <v>154</v>
      </c>
      <c r="L2" s="7">
        <v>1</v>
      </c>
      <c r="N2" s="47">
        <v>1</v>
      </c>
      <c r="O2" s="15">
        <v>0.5</v>
      </c>
      <c r="P2" s="15">
        <v>0.5</v>
      </c>
      <c r="Q2" s="51">
        <f t="shared" ref="Q2:Q65" si="0">IF(OR(O2="",P2=""),"",AVERAGE(O2,P2))</f>
        <v>0.5</v>
      </c>
      <c r="R2" s="15">
        <v>14.9</v>
      </c>
      <c r="S2" s="15">
        <v>117</v>
      </c>
      <c r="T2" s="38">
        <f t="shared" ref="T2:T59" si="1">IF(H2="","",IF(OR(H2="GREEN",H2="GK"),IF(S2&gt;=$AX$2,VLOOKUP(S2,$AX$2:$AY$12,2,1),""),IF(S2&gt;=$AZ$2,VLOOKUP(S2,$AZ$2:$BA$12,2,1),"")))</f>
        <v>30</v>
      </c>
      <c r="U2" s="15">
        <v>105</v>
      </c>
      <c r="V2" s="38">
        <f t="shared" ref="V2:V65" si="2">IF(OR(N2="",U2="",T2=""),"",U2/N2*T2)</f>
        <v>3150</v>
      </c>
      <c r="W2" s="15">
        <v>2</v>
      </c>
      <c r="X2" s="15" t="s">
        <v>46</v>
      </c>
      <c r="Y2" s="15" t="s">
        <v>102</v>
      </c>
      <c r="Z2" s="15" t="s">
        <v>78</v>
      </c>
      <c r="AA2" s="15" t="s">
        <v>90</v>
      </c>
      <c r="AB2" s="39" t="s">
        <v>371</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345</v>
      </c>
      <c r="B3" s="15" t="s">
        <v>346</v>
      </c>
      <c r="C3" s="15">
        <v>2018</v>
      </c>
      <c r="D3" s="37" t="s">
        <v>352</v>
      </c>
      <c r="E3" s="15" t="s">
        <v>141</v>
      </c>
      <c r="F3" s="7" t="s">
        <v>149</v>
      </c>
      <c r="G3" s="7" t="s">
        <v>36</v>
      </c>
      <c r="H3" s="15" t="s">
        <v>155</v>
      </c>
      <c r="I3" s="7" t="s">
        <v>153</v>
      </c>
      <c r="J3" s="15" t="s">
        <v>38</v>
      </c>
      <c r="K3" s="7" t="s">
        <v>154</v>
      </c>
      <c r="L3" s="7">
        <v>2</v>
      </c>
      <c r="N3" s="7">
        <v>1</v>
      </c>
      <c r="O3" s="34">
        <v>0.6</v>
      </c>
      <c r="P3" s="7">
        <v>0.7</v>
      </c>
      <c r="Q3" s="52">
        <f t="shared" si="0"/>
        <v>0.64999999999999991</v>
      </c>
      <c r="R3" s="7">
        <v>15</v>
      </c>
      <c r="S3" s="7">
        <v>118</v>
      </c>
      <c r="T3" s="16">
        <f t="shared" si="1"/>
        <v>30</v>
      </c>
      <c r="U3" s="15">
        <v>105</v>
      </c>
      <c r="V3" s="16">
        <f t="shared" si="2"/>
        <v>3150</v>
      </c>
      <c r="W3" s="15">
        <v>2</v>
      </c>
      <c r="X3" s="15" t="s">
        <v>46</v>
      </c>
      <c r="Y3" s="188" t="s">
        <v>102</v>
      </c>
      <c r="Z3" s="188" t="s">
        <v>78</v>
      </c>
      <c r="AA3" s="188" t="s">
        <v>90</v>
      </c>
      <c r="AB3" s="39" t="s">
        <v>348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345</v>
      </c>
      <c r="B4" s="15" t="s">
        <v>346</v>
      </c>
      <c r="C4" s="15">
        <v>2018</v>
      </c>
      <c r="D4" s="37" t="s">
        <v>352</v>
      </c>
      <c r="E4" s="15" t="s">
        <v>141</v>
      </c>
      <c r="F4" s="7" t="s">
        <v>149</v>
      </c>
      <c r="G4" s="7" t="s">
        <v>36</v>
      </c>
      <c r="H4" s="15" t="s">
        <v>155</v>
      </c>
      <c r="I4" s="180" t="s">
        <v>153</v>
      </c>
      <c r="J4" s="15" t="s">
        <v>38</v>
      </c>
      <c r="K4" s="7" t="s">
        <v>154</v>
      </c>
      <c r="L4" s="7">
        <v>3</v>
      </c>
      <c r="N4" s="7">
        <v>1</v>
      </c>
      <c r="O4" s="7">
        <v>0.7</v>
      </c>
      <c r="P4" s="7">
        <v>0.55000000000000004</v>
      </c>
      <c r="Q4" s="52">
        <f t="shared" si="0"/>
        <v>0.625</v>
      </c>
      <c r="R4" s="7">
        <v>14.8</v>
      </c>
      <c r="S4" s="7">
        <v>123</v>
      </c>
      <c r="T4" s="16">
        <f t="shared" si="1"/>
        <v>27</v>
      </c>
      <c r="U4" s="15">
        <v>105</v>
      </c>
      <c r="V4" s="16">
        <f t="shared" si="2"/>
        <v>2835</v>
      </c>
      <c r="W4" s="15">
        <v>2</v>
      </c>
      <c r="X4" s="15" t="s">
        <v>46</v>
      </c>
      <c r="Y4" s="188" t="s">
        <v>102</v>
      </c>
      <c r="Z4" s="188" t="s">
        <v>78</v>
      </c>
      <c r="AA4" s="188" t="s">
        <v>90</v>
      </c>
      <c r="AB4" s="39" t="s">
        <v>348</v>
      </c>
      <c r="AE4" s="22" t="s">
        <v>34</v>
      </c>
      <c r="AG4" s="49" t="s">
        <v>350</v>
      </c>
      <c r="AH4" s="49" t="s">
        <v>351</v>
      </c>
      <c r="AJ4" s="27" t="s">
        <v>48</v>
      </c>
      <c r="AL4" s="27" t="s">
        <v>129</v>
      </c>
      <c r="AN4" s="28" t="s">
        <v>49</v>
      </c>
      <c r="AP4" s="23" t="s">
        <v>93</v>
      </c>
      <c r="AR4" s="41" t="s">
        <v>121</v>
      </c>
      <c r="AT4" s="28"/>
      <c r="AV4" s="23" t="s">
        <v>50</v>
      </c>
      <c r="AX4" s="24">
        <v>75</v>
      </c>
      <c r="AY4" s="25">
        <v>42</v>
      </c>
      <c r="AZ4" s="25">
        <v>76</v>
      </c>
      <c r="BA4" s="26">
        <v>39</v>
      </c>
    </row>
    <row r="5" spans="1:53" x14ac:dyDescent="0.15">
      <c r="A5" s="15" t="s">
        <v>345</v>
      </c>
      <c r="B5" s="15" t="s">
        <v>346</v>
      </c>
      <c r="C5" s="15">
        <v>2018</v>
      </c>
      <c r="D5" s="37" t="s">
        <v>352</v>
      </c>
      <c r="E5" s="15" t="s">
        <v>141</v>
      </c>
      <c r="F5" s="15" t="s">
        <v>149</v>
      </c>
      <c r="G5" s="7" t="s">
        <v>36</v>
      </c>
      <c r="H5" s="15" t="s">
        <v>168</v>
      </c>
      <c r="I5" s="180" t="s">
        <v>153</v>
      </c>
      <c r="J5" s="15" t="s">
        <v>38</v>
      </c>
      <c r="K5" s="7" t="s">
        <v>154</v>
      </c>
      <c r="L5" s="7">
        <v>1</v>
      </c>
      <c r="N5" s="7">
        <v>1</v>
      </c>
      <c r="O5" s="7">
        <v>0.5</v>
      </c>
      <c r="P5" s="7">
        <v>0.5</v>
      </c>
      <c r="Q5" s="52">
        <f t="shared" si="0"/>
        <v>0.5</v>
      </c>
      <c r="R5" s="7">
        <v>14.4</v>
      </c>
      <c r="S5" s="7">
        <v>129</v>
      </c>
      <c r="T5" s="16">
        <f t="shared" si="1"/>
        <v>25</v>
      </c>
      <c r="U5" s="15">
        <v>145</v>
      </c>
      <c r="V5" s="16">
        <f t="shared" si="2"/>
        <v>3625</v>
      </c>
      <c r="W5" s="15">
        <v>3</v>
      </c>
      <c r="X5" s="15" t="s">
        <v>46</v>
      </c>
      <c r="Y5" s="188" t="s">
        <v>102</v>
      </c>
      <c r="Z5" s="188" t="s">
        <v>78</v>
      </c>
      <c r="AA5" s="188" t="s">
        <v>90</v>
      </c>
      <c r="AB5" s="39" t="s">
        <v>348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345</v>
      </c>
      <c r="B6" s="15" t="s">
        <v>346</v>
      </c>
      <c r="C6" s="15">
        <v>2018</v>
      </c>
      <c r="D6" s="37" t="s">
        <v>352</v>
      </c>
      <c r="E6" s="15" t="s">
        <v>141</v>
      </c>
      <c r="F6" s="7" t="s">
        <v>149</v>
      </c>
      <c r="G6" s="7" t="s">
        <v>36</v>
      </c>
      <c r="H6" s="188" t="s">
        <v>168</v>
      </c>
      <c r="I6" s="180" t="s">
        <v>153</v>
      </c>
      <c r="J6" s="188" t="s">
        <v>38</v>
      </c>
      <c r="K6" s="180" t="s">
        <v>154</v>
      </c>
      <c r="L6" s="7">
        <v>2</v>
      </c>
      <c r="N6" s="7">
        <v>1</v>
      </c>
      <c r="O6" s="7">
        <v>0.5</v>
      </c>
      <c r="P6" s="7">
        <v>0.5</v>
      </c>
      <c r="Q6" s="52">
        <f t="shared" si="0"/>
        <v>0.5</v>
      </c>
      <c r="R6" s="7">
        <v>15</v>
      </c>
      <c r="S6" s="7">
        <v>128</v>
      </c>
      <c r="T6" s="16">
        <f t="shared" si="1"/>
        <v>27</v>
      </c>
      <c r="U6" s="188">
        <v>145</v>
      </c>
      <c r="V6" s="16">
        <f t="shared" si="2"/>
        <v>3915</v>
      </c>
      <c r="W6" s="15">
        <v>3</v>
      </c>
      <c r="X6" s="15" t="s">
        <v>46</v>
      </c>
      <c r="Y6" s="188" t="s">
        <v>102</v>
      </c>
      <c r="Z6" s="188" t="s">
        <v>78</v>
      </c>
      <c r="AA6" s="188" t="s">
        <v>90</v>
      </c>
      <c r="AB6" s="39" t="s">
        <v>348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345</v>
      </c>
      <c r="B7" s="15" t="s">
        <v>346</v>
      </c>
      <c r="C7" s="15">
        <v>2018</v>
      </c>
      <c r="D7" s="37" t="s">
        <v>352</v>
      </c>
      <c r="E7" s="15" t="s">
        <v>141</v>
      </c>
      <c r="F7" s="7" t="s">
        <v>149</v>
      </c>
      <c r="G7" s="7" t="s">
        <v>36</v>
      </c>
      <c r="H7" s="188" t="s">
        <v>168</v>
      </c>
      <c r="I7" s="180" t="s">
        <v>153</v>
      </c>
      <c r="J7" s="188" t="s">
        <v>38</v>
      </c>
      <c r="K7" s="180" t="s">
        <v>154</v>
      </c>
      <c r="L7" s="7">
        <v>3</v>
      </c>
      <c r="N7" s="7">
        <v>1</v>
      </c>
      <c r="O7" s="7">
        <v>0.5</v>
      </c>
      <c r="P7" s="7">
        <v>0.5</v>
      </c>
      <c r="Q7" s="52">
        <f t="shared" si="0"/>
        <v>0.5</v>
      </c>
      <c r="R7" s="34">
        <v>14.7</v>
      </c>
      <c r="S7" s="7">
        <v>132</v>
      </c>
      <c r="T7" s="16">
        <f t="shared" si="1"/>
        <v>25</v>
      </c>
      <c r="U7" s="188">
        <v>145</v>
      </c>
      <c r="V7" s="16">
        <f t="shared" si="2"/>
        <v>3625</v>
      </c>
      <c r="W7" s="15">
        <v>3</v>
      </c>
      <c r="X7" s="15" t="s">
        <v>46</v>
      </c>
      <c r="Y7" s="188" t="s">
        <v>102</v>
      </c>
      <c r="Z7" s="188" t="s">
        <v>78</v>
      </c>
      <c r="AA7" s="188" t="s">
        <v>90</v>
      </c>
      <c r="AB7" s="39" t="s">
        <v>348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345</v>
      </c>
      <c r="B8" s="15" t="s">
        <v>346</v>
      </c>
      <c r="C8" s="15">
        <v>2018</v>
      </c>
      <c r="D8" s="37" t="s">
        <v>352</v>
      </c>
      <c r="E8" s="15" t="s">
        <v>133</v>
      </c>
      <c r="F8" s="7" t="s">
        <v>150</v>
      </c>
      <c r="G8" s="7" t="s">
        <v>36</v>
      </c>
      <c r="H8" s="15" t="s">
        <v>155</v>
      </c>
      <c r="I8" s="180" t="s">
        <v>153</v>
      </c>
      <c r="J8" s="15" t="s">
        <v>38</v>
      </c>
      <c r="K8" s="7" t="s">
        <v>154</v>
      </c>
      <c r="L8" s="7">
        <v>1</v>
      </c>
      <c r="N8" s="180">
        <v>1</v>
      </c>
      <c r="O8" s="7">
        <v>0.5</v>
      </c>
      <c r="P8" s="7">
        <v>0.6</v>
      </c>
      <c r="Q8" s="52">
        <f t="shared" si="0"/>
        <v>0.55000000000000004</v>
      </c>
      <c r="R8" s="34">
        <v>15.6</v>
      </c>
      <c r="S8" s="7">
        <v>110</v>
      </c>
      <c r="T8" s="16">
        <f t="shared" si="1"/>
        <v>33</v>
      </c>
      <c r="U8" s="15">
        <v>105</v>
      </c>
      <c r="V8" s="16">
        <f t="shared" si="2"/>
        <v>3465</v>
      </c>
      <c r="W8" s="15">
        <v>6</v>
      </c>
      <c r="X8" s="15" t="s">
        <v>46</v>
      </c>
      <c r="Y8" s="188" t="s">
        <v>102</v>
      </c>
      <c r="Z8" s="188" t="s">
        <v>88</v>
      </c>
      <c r="AA8" s="188" t="s">
        <v>90</v>
      </c>
      <c r="AB8" s="39" t="s">
        <v>348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345</v>
      </c>
      <c r="B9" s="15" t="s">
        <v>346</v>
      </c>
      <c r="C9" s="15">
        <v>2018</v>
      </c>
      <c r="D9" s="37" t="s">
        <v>352</v>
      </c>
      <c r="E9" s="15" t="s">
        <v>133</v>
      </c>
      <c r="F9" s="7" t="s">
        <v>150</v>
      </c>
      <c r="G9" s="7" t="s">
        <v>36</v>
      </c>
      <c r="H9" s="188" t="s">
        <v>155</v>
      </c>
      <c r="I9" s="180" t="s">
        <v>153</v>
      </c>
      <c r="J9" s="188" t="s">
        <v>38</v>
      </c>
      <c r="K9" s="180" t="s">
        <v>154</v>
      </c>
      <c r="L9" s="7">
        <v>2</v>
      </c>
      <c r="N9" s="180">
        <v>1</v>
      </c>
      <c r="O9" s="7">
        <v>0.5</v>
      </c>
      <c r="P9" s="7">
        <v>0.5</v>
      </c>
      <c r="Q9" s="52">
        <f t="shared" si="0"/>
        <v>0.5</v>
      </c>
      <c r="R9" s="7">
        <v>15.2</v>
      </c>
      <c r="S9" s="7">
        <v>114</v>
      </c>
      <c r="T9" s="16">
        <f t="shared" si="1"/>
        <v>30</v>
      </c>
      <c r="U9" s="188">
        <v>105</v>
      </c>
      <c r="V9" s="16">
        <f t="shared" si="2"/>
        <v>3150</v>
      </c>
      <c r="W9" s="15">
        <v>6</v>
      </c>
      <c r="X9" s="15" t="s">
        <v>46</v>
      </c>
      <c r="Y9" s="188" t="s">
        <v>102</v>
      </c>
      <c r="Z9" s="188" t="s">
        <v>88</v>
      </c>
      <c r="AA9" s="188" t="s">
        <v>90</v>
      </c>
      <c r="AB9" s="39" t="s">
        <v>348</v>
      </c>
      <c r="AE9" s="22" t="s">
        <v>98</v>
      </c>
      <c r="AG9" s="49" t="s">
        <v>133</v>
      </c>
      <c r="AH9" s="49" t="s">
        <v>150</v>
      </c>
      <c r="AL9" s="34"/>
      <c r="AP9" s="23" t="s">
        <v>95</v>
      </c>
      <c r="AR9" s="30" t="s">
        <v>89</v>
      </c>
      <c r="AV9" s="23" t="s">
        <v>102</v>
      </c>
      <c r="AX9" s="24">
        <v>128</v>
      </c>
      <c r="AY9" s="25">
        <v>27</v>
      </c>
      <c r="AZ9" s="25">
        <v>129</v>
      </c>
      <c r="BA9" s="26">
        <v>25</v>
      </c>
    </row>
    <row r="10" spans="1:53" x14ac:dyDescent="0.15">
      <c r="A10" s="15" t="s">
        <v>345</v>
      </c>
      <c r="B10" s="15" t="s">
        <v>346</v>
      </c>
      <c r="C10" s="15">
        <v>2018</v>
      </c>
      <c r="D10" s="37" t="s">
        <v>352</v>
      </c>
      <c r="E10" s="15" t="s">
        <v>133</v>
      </c>
      <c r="F10" s="7" t="s">
        <v>150</v>
      </c>
      <c r="G10" s="7" t="s">
        <v>36</v>
      </c>
      <c r="H10" s="188" t="s">
        <v>155</v>
      </c>
      <c r="I10" s="180" t="s">
        <v>153</v>
      </c>
      <c r="J10" s="188" t="s">
        <v>38</v>
      </c>
      <c r="K10" s="180" t="s">
        <v>154</v>
      </c>
      <c r="L10" s="7">
        <v>3</v>
      </c>
      <c r="N10" s="180">
        <v>1</v>
      </c>
      <c r="O10" s="7">
        <v>0.5</v>
      </c>
      <c r="P10" s="7">
        <v>0.5</v>
      </c>
      <c r="Q10" s="52">
        <f t="shared" si="0"/>
        <v>0.5</v>
      </c>
      <c r="R10" s="7">
        <v>13.6</v>
      </c>
      <c r="S10" s="7">
        <v>107</v>
      </c>
      <c r="T10" s="16">
        <f t="shared" si="1"/>
        <v>33</v>
      </c>
      <c r="U10" s="188">
        <v>105</v>
      </c>
      <c r="V10" s="16">
        <f t="shared" si="2"/>
        <v>3465</v>
      </c>
      <c r="W10" s="15">
        <v>6</v>
      </c>
      <c r="X10" s="15" t="s">
        <v>46</v>
      </c>
      <c r="Y10" s="188" t="s">
        <v>102</v>
      </c>
      <c r="Z10" s="188" t="s">
        <v>88</v>
      </c>
      <c r="AA10" s="188" t="s">
        <v>90</v>
      </c>
      <c r="AB10" s="39" t="s">
        <v>348</v>
      </c>
      <c r="AE10" s="22" t="s">
        <v>103</v>
      </c>
      <c r="AG10" s="49" t="s">
        <v>142</v>
      </c>
      <c r="AH10" s="49" t="s">
        <v>151</v>
      </c>
      <c r="AP10" s="23" t="s">
        <v>100</v>
      </c>
      <c r="AR10" s="30" t="s">
        <v>123</v>
      </c>
      <c r="AV10" s="23" t="s">
        <v>106</v>
      </c>
      <c r="AX10" s="24">
        <v>138</v>
      </c>
      <c r="AY10" s="25">
        <v>25</v>
      </c>
      <c r="AZ10" s="25">
        <v>138</v>
      </c>
      <c r="BA10" s="26">
        <v>22</v>
      </c>
    </row>
    <row r="11" spans="1:53" x14ac:dyDescent="0.15">
      <c r="A11" s="15" t="s">
        <v>345</v>
      </c>
      <c r="B11" s="15" t="s">
        <v>346</v>
      </c>
      <c r="C11" s="15">
        <v>2018</v>
      </c>
      <c r="D11" s="37" t="s">
        <v>352</v>
      </c>
      <c r="E11" s="15" t="s">
        <v>133</v>
      </c>
      <c r="F11" s="7" t="s">
        <v>150</v>
      </c>
      <c r="G11" s="7" t="s">
        <v>36</v>
      </c>
      <c r="H11" s="188" t="s">
        <v>168</v>
      </c>
      <c r="I11" s="7" t="s">
        <v>153</v>
      </c>
      <c r="J11" s="15" t="s">
        <v>38</v>
      </c>
      <c r="K11" s="7" t="s">
        <v>154</v>
      </c>
      <c r="L11" s="7">
        <v>1</v>
      </c>
      <c r="N11" s="180">
        <v>1</v>
      </c>
      <c r="O11" s="7">
        <v>0.55000000000000004</v>
      </c>
      <c r="P11" s="7">
        <v>0.65</v>
      </c>
      <c r="Q11" s="52">
        <f t="shared" si="0"/>
        <v>0.60000000000000009</v>
      </c>
      <c r="R11" s="7">
        <v>15.2</v>
      </c>
      <c r="S11" s="7">
        <v>120</v>
      </c>
      <c r="T11" s="16">
        <f t="shared" si="1"/>
        <v>30</v>
      </c>
      <c r="U11" s="7">
        <v>105</v>
      </c>
      <c r="V11" s="16">
        <f t="shared" si="2"/>
        <v>3150</v>
      </c>
      <c r="W11" s="7">
        <v>4</v>
      </c>
      <c r="X11" s="15" t="s">
        <v>46</v>
      </c>
      <c r="Y11" s="188" t="s">
        <v>102</v>
      </c>
      <c r="Z11" s="188" t="s">
        <v>88</v>
      </c>
      <c r="AA11" s="188" t="s">
        <v>90</v>
      </c>
      <c r="AB11" s="39" t="s">
        <v>348</v>
      </c>
      <c r="AE11" s="22" t="s">
        <v>65</v>
      </c>
      <c r="AG11" s="49" t="s">
        <v>143</v>
      </c>
      <c r="AH11" s="49" t="s">
        <v>152</v>
      </c>
      <c r="AP11" s="23" t="s">
        <v>104</v>
      </c>
      <c r="AR11" s="30" t="s">
        <v>87</v>
      </c>
      <c r="AV11" s="23" t="s">
        <v>69</v>
      </c>
      <c r="AX11" s="24">
        <v>151</v>
      </c>
      <c r="AY11" s="25">
        <v>22</v>
      </c>
      <c r="AZ11" s="25">
        <v>152</v>
      </c>
      <c r="BA11" s="26">
        <v>18</v>
      </c>
    </row>
    <row r="12" spans="1:53" x14ac:dyDescent="0.15">
      <c r="A12" s="15" t="s">
        <v>345</v>
      </c>
      <c r="B12" s="15" t="s">
        <v>346</v>
      </c>
      <c r="C12" s="15">
        <v>2018</v>
      </c>
      <c r="D12" s="37" t="s">
        <v>352</v>
      </c>
      <c r="E12" s="15" t="s">
        <v>133</v>
      </c>
      <c r="F12" s="7" t="s">
        <v>150</v>
      </c>
      <c r="G12" s="7" t="s">
        <v>36</v>
      </c>
      <c r="H12" s="188" t="s">
        <v>168</v>
      </c>
      <c r="I12" s="180" t="s">
        <v>153</v>
      </c>
      <c r="J12" s="188" t="s">
        <v>38</v>
      </c>
      <c r="K12" s="180" t="s">
        <v>154</v>
      </c>
      <c r="L12" s="7">
        <v>2</v>
      </c>
      <c r="N12" s="7">
        <v>1</v>
      </c>
      <c r="O12" s="7">
        <v>0.5</v>
      </c>
      <c r="P12" s="7">
        <v>0.5</v>
      </c>
      <c r="Q12" s="52">
        <f t="shared" si="0"/>
        <v>0.5</v>
      </c>
      <c r="R12" s="34">
        <v>14.8</v>
      </c>
      <c r="S12" s="7">
        <v>121</v>
      </c>
      <c r="T12" s="16">
        <f t="shared" si="1"/>
        <v>27</v>
      </c>
      <c r="U12" s="180">
        <v>105</v>
      </c>
      <c r="V12" s="16">
        <f t="shared" si="2"/>
        <v>2835</v>
      </c>
      <c r="W12" s="7">
        <v>4</v>
      </c>
      <c r="X12" s="15" t="s">
        <v>46</v>
      </c>
      <c r="Y12" s="188" t="s">
        <v>102</v>
      </c>
      <c r="Z12" s="188" t="s">
        <v>88</v>
      </c>
      <c r="AA12" s="188" t="s">
        <v>90</v>
      </c>
      <c r="AB12" s="39" t="s">
        <v>348</v>
      </c>
      <c r="AE12" s="22" t="s">
        <v>70</v>
      </c>
      <c r="AG12" s="40"/>
      <c r="AH12" s="40"/>
      <c r="AP12" s="23" t="s">
        <v>67</v>
      </c>
      <c r="AR12" s="30" t="s">
        <v>124</v>
      </c>
      <c r="AV12" s="23" t="s">
        <v>72</v>
      </c>
      <c r="AX12" s="31">
        <v>180</v>
      </c>
      <c r="AY12" s="32">
        <v>18</v>
      </c>
      <c r="AZ12" s="32">
        <v>181</v>
      </c>
      <c r="BA12" s="33">
        <v>16</v>
      </c>
    </row>
    <row r="13" spans="1:53" x14ac:dyDescent="0.15">
      <c r="A13" s="15" t="s">
        <v>345</v>
      </c>
      <c r="B13" s="15" t="s">
        <v>346</v>
      </c>
      <c r="C13" s="15">
        <v>2018</v>
      </c>
      <c r="D13" s="37" t="s">
        <v>352</v>
      </c>
      <c r="E13" s="15" t="s">
        <v>133</v>
      </c>
      <c r="F13" s="7" t="s">
        <v>150</v>
      </c>
      <c r="G13" s="7" t="s">
        <v>36</v>
      </c>
      <c r="H13" s="188" t="s">
        <v>168</v>
      </c>
      <c r="I13" s="180" t="s">
        <v>153</v>
      </c>
      <c r="J13" s="188" t="s">
        <v>38</v>
      </c>
      <c r="K13" s="180" t="s">
        <v>154</v>
      </c>
      <c r="L13" s="7">
        <v>3</v>
      </c>
      <c r="N13" s="7">
        <v>1</v>
      </c>
      <c r="O13" s="7">
        <v>0.5</v>
      </c>
      <c r="P13" s="7">
        <v>0.5</v>
      </c>
      <c r="Q13" s="52">
        <f t="shared" si="0"/>
        <v>0.5</v>
      </c>
      <c r="R13" s="7">
        <v>18.3</v>
      </c>
      <c r="S13" s="7">
        <v>122</v>
      </c>
      <c r="T13" s="16">
        <f t="shared" si="1"/>
        <v>27</v>
      </c>
      <c r="U13" s="180">
        <v>105</v>
      </c>
      <c r="V13" s="16">
        <f t="shared" si="2"/>
        <v>2835</v>
      </c>
      <c r="W13" s="7">
        <v>4</v>
      </c>
      <c r="X13" s="15" t="s">
        <v>46</v>
      </c>
      <c r="Y13" s="188" t="s">
        <v>102</v>
      </c>
      <c r="Z13" s="188" t="s">
        <v>88</v>
      </c>
      <c r="AA13" s="188" t="s">
        <v>90</v>
      </c>
      <c r="AB13" s="39" t="s">
        <v>348</v>
      </c>
      <c r="AE13" s="22" t="s">
        <v>73</v>
      </c>
      <c r="AG13" s="23"/>
      <c r="AH13" s="23"/>
      <c r="AP13" s="23" t="s">
        <v>71</v>
      </c>
      <c r="AR13" s="30" t="s">
        <v>103</v>
      </c>
      <c r="AV13" s="23" t="s">
        <v>75</v>
      </c>
    </row>
    <row r="14" spans="1:53" x14ac:dyDescent="0.15">
      <c r="A14" s="15" t="s">
        <v>345</v>
      </c>
      <c r="B14" s="15" t="s">
        <v>346</v>
      </c>
      <c r="C14" s="15">
        <v>2018</v>
      </c>
      <c r="D14" s="37" t="s">
        <v>352</v>
      </c>
      <c r="E14" s="15" t="s">
        <v>142</v>
      </c>
      <c r="F14" s="7" t="s">
        <v>151</v>
      </c>
      <c r="G14" s="7" t="s">
        <v>36</v>
      </c>
      <c r="H14" s="15" t="s">
        <v>155</v>
      </c>
      <c r="I14" s="7" t="s">
        <v>153</v>
      </c>
      <c r="J14" s="15" t="s">
        <v>38</v>
      </c>
      <c r="K14" s="7" t="s">
        <v>154</v>
      </c>
      <c r="L14" s="7">
        <v>1</v>
      </c>
      <c r="N14" s="7">
        <v>1</v>
      </c>
      <c r="O14" s="7">
        <v>0.5</v>
      </c>
      <c r="P14" s="7">
        <v>0.5</v>
      </c>
      <c r="Q14" s="52">
        <f t="shared" si="0"/>
        <v>0.5</v>
      </c>
      <c r="R14" s="7">
        <v>14.3</v>
      </c>
      <c r="S14" s="7">
        <v>125</v>
      </c>
      <c r="T14" s="16">
        <f t="shared" si="1"/>
        <v>27</v>
      </c>
      <c r="U14" s="7">
        <v>149</v>
      </c>
      <c r="V14" s="16">
        <f t="shared" si="2"/>
        <v>4023</v>
      </c>
      <c r="W14" s="7">
        <v>3</v>
      </c>
      <c r="X14" s="15" t="s">
        <v>46</v>
      </c>
      <c r="Y14" s="188" t="s">
        <v>90</v>
      </c>
      <c r="Z14" s="188" t="s">
        <v>102</v>
      </c>
      <c r="AA14" s="188" t="s">
        <v>78</v>
      </c>
      <c r="AB14" s="39" t="s">
        <v>348</v>
      </c>
      <c r="AE14" s="22" t="s">
        <v>76</v>
      </c>
      <c r="AG14" s="23"/>
      <c r="AH14" s="23"/>
      <c r="AP14" s="23" t="s">
        <v>74</v>
      </c>
      <c r="AR14" s="30" t="s">
        <v>125</v>
      </c>
      <c r="AV14" s="23" t="s">
        <v>78</v>
      </c>
    </row>
    <row r="15" spans="1:53" x14ac:dyDescent="0.15">
      <c r="A15" s="15" t="s">
        <v>345</v>
      </c>
      <c r="B15" s="15" t="s">
        <v>346</v>
      </c>
      <c r="C15" s="15">
        <v>2018</v>
      </c>
      <c r="D15" s="37" t="s">
        <v>352</v>
      </c>
      <c r="E15" s="15" t="s">
        <v>142</v>
      </c>
      <c r="F15" s="7" t="s">
        <v>151</v>
      </c>
      <c r="G15" s="7" t="s">
        <v>36</v>
      </c>
      <c r="H15" s="188" t="s">
        <v>155</v>
      </c>
      <c r="I15" s="180" t="s">
        <v>153</v>
      </c>
      <c r="J15" s="188" t="s">
        <v>38</v>
      </c>
      <c r="K15" s="180" t="s">
        <v>154</v>
      </c>
      <c r="L15" s="7">
        <v>2</v>
      </c>
      <c r="N15" s="7">
        <v>1</v>
      </c>
      <c r="O15" s="7">
        <v>0.5</v>
      </c>
      <c r="P15" s="7">
        <v>0.55000000000000004</v>
      </c>
      <c r="Q15" s="52">
        <f t="shared" si="0"/>
        <v>0.52500000000000002</v>
      </c>
      <c r="R15" s="7">
        <v>13.9</v>
      </c>
      <c r="S15" s="7">
        <v>124</v>
      </c>
      <c r="T15" s="16">
        <f t="shared" si="1"/>
        <v>27</v>
      </c>
      <c r="U15" s="180">
        <v>149</v>
      </c>
      <c r="V15" s="16">
        <f t="shared" si="2"/>
        <v>4023</v>
      </c>
      <c r="W15" s="7">
        <v>3</v>
      </c>
      <c r="X15" s="188" t="s">
        <v>46</v>
      </c>
      <c r="Y15" s="188" t="s">
        <v>90</v>
      </c>
      <c r="Z15" s="188" t="s">
        <v>102</v>
      </c>
      <c r="AA15" s="188" t="s">
        <v>78</v>
      </c>
      <c r="AB15" s="39" t="s">
        <v>348</v>
      </c>
      <c r="AE15" s="22" t="s">
        <v>79</v>
      </c>
      <c r="AG15" s="23"/>
      <c r="AH15" s="23"/>
      <c r="AP15" s="23" t="s">
        <v>77</v>
      </c>
      <c r="AR15" s="30" t="s">
        <v>94</v>
      </c>
      <c r="AV15" s="23" t="s">
        <v>107</v>
      </c>
    </row>
    <row r="16" spans="1:53" x14ac:dyDescent="0.15">
      <c r="A16" s="15" t="s">
        <v>345</v>
      </c>
      <c r="B16" s="15" t="s">
        <v>346</v>
      </c>
      <c r="C16" s="15">
        <v>2018</v>
      </c>
      <c r="D16" s="37" t="s">
        <v>352</v>
      </c>
      <c r="E16" s="15" t="s">
        <v>142</v>
      </c>
      <c r="F16" s="7" t="s">
        <v>151</v>
      </c>
      <c r="G16" s="7" t="s">
        <v>36</v>
      </c>
      <c r="H16" s="188" t="s">
        <v>155</v>
      </c>
      <c r="I16" s="180" t="s">
        <v>153</v>
      </c>
      <c r="J16" s="188" t="s">
        <v>38</v>
      </c>
      <c r="K16" s="180" t="s">
        <v>154</v>
      </c>
      <c r="L16" s="7">
        <v>3</v>
      </c>
      <c r="N16" s="7">
        <v>1</v>
      </c>
      <c r="O16" s="7">
        <v>0.55000000000000004</v>
      </c>
      <c r="P16" s="7">
        <v>0.55000000000000004</v>
      </c>
      <c r="Q16" s="52">
        <f t="shared" si="0"/>
        <v>0.55000000000000004</v>
      </c>
      <c r="R16" s="7">
        <v>14.8</v>
      </c>
      <c r="S16" s="7">
        <v>123</v>
      </c>
      <c r="T16" s="16">
        <f t="shared" si="1"/>
        <v>27</v>
      </c>
      <c r="U16" s="180">
        <v>149</v>
      </c>
      <c r="V16" s="16">
        <f t="shared" si="2"/>
        <v>4023</v>
      </c>
      <c r="W16" s="7">
        <v>3</v>
      </c>
      <c r="X16" s="188" t="s">
        <v>46</v>
      </c>
      <c r="Y16" s="188" t="s">
        <v>90</v>
      </c>
      <c r="Z16" s="188" t="s">
        <v>102</v>
      </c>
      <c r="AA16" s="188" t="s">
        <v>78</v>
      </c>
      <c r="AB16" s="39" t="s">
        <v>348</v>
      </c>
      <c r="AE16" s="22" t="s">
        <v>82</v>
      </c>
      <c r="AG16" s="28"/>
      <c r="AH16" s="28"/>
      <c r="AP16" s="23" t="s">
        <v>80</v>
      </c>
      <c r="AR16" s="41" t="s">
        <v>63</v>
      </c>
      <c r="AV16" s="23" t="s">
        <v>84</v>
      </c>
    </row>
    <row r="17" spans="1:48" x14ac:dyDescent="0.15">
      <c r="A17" s="15" t="s">
        <v>345</v>
      </c>
      <c r="B17" s="15" t="s">
        <v>346</v>
      </c>
      <c r="C17" s="15">
        <v>2018</v>
      </c>
      <c r="D17" s="37" t="s">
        <v>352</v>
      </c>
      <c r="E17" s="15" t="s">
        <v>142</v>
      </c>
      <c r="F17" s="7" t="s">
        <v>151</v>
      </c>
      <c r="G17" s="7" t="s">
        <v>36</v>
      </c>
      <c r="H17" s="15" t="s">
        <v>168</v>
      </c>
      <c r="I17" s="180" t="s">
        <v>153</v>
      </c>
      <c r="J17" s="188" t="s">
        <v>38</v>
      </c>
      <c r="K17" s="180" t="s">
        <v>154</v>
      </c>
      <c r="L17" s="7">
        <v>1</v>
      </c>
      <c r="N17" s="7">
        <v>1</v>
      </c>
      <c r="O17" s="7">
        <v>0.55000000000000004</v>
      </c>
      <c r="P17" s="7">
        <v>0.6</v>
      </c>
      <c r="Q17" s="52">
        <f t="shared" si="0"/>
        <v>0.57499999999999996</v>
      </c>
      <c r="R17" s="7">
        <v>14.8</v>
      </c>
      <c r="S17" s="7">
        <v>146</v>
      </c>
      <c r="T17" s="16">
        <f t="shared" si="1"/>
        <v>22</v>
      </c>
      <c r="U17" s="7">
        <v>170</v>
      </c>
      <c r="V17" s="16">
        <f t="shared" si="2"/>
        <v>3740</v>
      </c>
      <c r="W17" s="7">
        <v>1</v>
      </c>
      <c r="X17" s="188" t="s">
        <v>46</v>
      </c>
      <c r="Y17" s="188" t="s">
        <v>90</v>
      </c>
      <c r="Z17" s="188" t="s">
        <v>102</v>
      </c>
      <c r="AA17" s="188" t="s">
        <v>78</v>
      </c>
      <c r="AB17" s="39" t="s">
        <v>348</v>
      </c>
      <c r="AE17" s="22" t="s">
        <v>85</v>
      </c>
      <c r="AP17" s="43" t="s">
        <v>110</v>
      </c>
      <c r="AR17" s="41" t="s">
        <v>96</v>
      </c>
      <c r="AV17" s="23" t="s">
        <v>86</v>
      </c>
    </row>
    <row r="18" spans="1:48" x14ac:dyDescent="0.15">
      <c r="A18" s="15" t="s">
        <v>345</v>
      </c>
      <c r="B18" s="15" t="s">
        <v>346</v>
      </c>
      <c r="C18" s="15">
        <v>2018</v>
      </c>
      <c r="D18" s="37" t="s">
        <v>352</v>
      </c>
      <c r="E18" s="15" t="s">
        <v>142</v>
      </c>
      <c r="F18" s="7" t="s">
        <v>151</v>
      </c>
      <c r="G18" s="7" t="s">
        <v>36</v>
      </c>
      <c r="H18" s="188" t="s">
        <v>168</v>
      </c>
      <c r="I18" s="180" t="s">
        <v>153</v>
      </c>
      <c r="J18" s="188" t="s">
        <v>38</v>
      </c>
      <c r="K18" s="180" t="s">
        <v>154</v>
      </c>
      <c r="L18" s="7">
        <v>2</v>
      </c>
      <c r="N18" s="7">
        <v>1</v>
      </c>
      <c r="O18" s="7">
        <v>0.5</v>
      </c>
      <c r="P18" s="7">
        <v>0.5</v>
      </c>
      <c r="Q18" s="52">
        <f t="shared" si="0"/>
        <v>0.5</v>
      </c>
      <c r="R18" s="7">
        <v>18.600000000000001</v>
      </c>
      <c r="S18" s="7">
        <v>141</v>
      </c>
      <c r="T18" s="16">
        <f t="shared" si="1"/>
        <v>22</v>
      </c>
      <c r="U18" s="180">
        <v>170</v>
      </c>
      <c r="V18" s="16">
        <f t="shared" si="2"/>
        <v>3740</v>
      </c>
      <c r="W18" s="7">
        <v>1</v>
      </c>
      <c r="X18" s="188" t="s">
        <v>46</v>
      </c>
      <c r="Y18" s="188" t="s">
        <v>90</v>
      </c>
      <c r="Z18" s="188" t="s">
        <v>102</v>
      </c>
      <c r="AA18" s="188" t="s">
        <v>78</v>
      </c>
      <c r="AB18" s="39" t="s">
        <v>348</v>
      </c>
      <c r="AE18" s="22" t="s">
        <v>87</v>
      </c>
      <c r="AP18" s="43" t="s">
        <v>111</v>
      </c>
      <c r="AR18" s="41" t="s">
        <v>101</v>
      </c>
      <c r="AV18" s="23" t="s">
        <v>88</v>
      </c>
    </row>
    <row r="19" spans="1:48" x14ac:dyDescent="0.15">
      <c r="A19" s="15" t="s">
        <v>345</v>
      </c>
      <c r="B19" s="15" t="s">
        <v>346</v>
      </c>
      <c r="C19" s="15">
        <v>2018</v>
      </c>
      <c r="D19" s="37" t="s">
        <v>352</v>
      </c>
      <c r="E19" s="15" t="s">
        <v>142</v>
      </c>
      <c r="F19" s="7" t="s">
        <v>151</v>
      </c>
      <c r="G19" s="7" t="s">
        <v>36</v>
      </c>
      <c r="H19" s="188" t="s">
        <v>168</v>
      </c>
      <c r="I19" s="180" t="s">
        <v>153</v>
      </c>
      <c r="J19" s="188" t="s">
        <v>38</v>
      </c>
      <c r="K19" s="180" t="s">
        <v>154</v>
      </c>
      <c r="L19" s="7">
        <v>3</v>
      </c>
      <c r="N19" s="7">
        <v>1</v>
      </c>
      <c r="O19" s="7">
        <v>0.5</v>
      </c>
      <c r="P19" s="7">
        <v>0.55000000000000004</v>
      </c>
      <c r="Q19" s="52">
        <f t="shared" si="0"/>
        <v>0.52500000000000002</v>
      </c>
      <c r="R19" s="7">
        <v>17.100000000000001</v>
      </c>
      <c r="S19" s="7">
        <v>141</v>
      </c>
      <c r="T19" s="16">
        <f t="shared" si="1"/>
        <v>22</v>
      </c>
      <c r="U19" s="180">
        <v>170</v>
      </c>
      <c r="V19" s="16">
        <f t="shared" si="2"/>
        <v>3740</v>
      </c>
      <c r="W19" s="7">
        <v>1</v>
      </c>
      <c r="X19" s="188" t="s">
        <v>46</v>
      </c>
      <c r="Y19" s="188" t="s">
        <v>90</v>
      </c>
      <c r="Z19" s="188" t="s">
        <v>102</v>
      </c>
      <c r="AA19" s="188" t="s">
        <v>78</v>
      </c>
      <c r="AB19" s="39" t="s">
        <v>348</v>
      </c>
      <c r="AE19" s="35" t="s">
        <v>89</v>
      </c>
      <c r="AP19" s="43" t="s">
        <v>112</v>
      </c>
      <c r="AR19" s="30" t="s">
        <v>126</v>
      </c>
      <c r="AV19" s="23" t="s">
        <v>90</v>
      </c>
    </row>
    <row r="20" spans="1:48" x14ac:dyDescent="0.15">
      <c r="A20" s="15" t="s">
        <v>345</v>
      </c>
      <c r="B20" s="15" t="s">
        <v>346</v>
      </c>
      <c r="C20" s="15">
        <v>2018</v>
      </c>
      <c r="D20" s="37" t="s">
        <v>352</v>
      </c>
      <c r="E20" s="15" t="s">
        <v>143</v>
      </c>
      <c r="F20" s="7" t="s">
        <v>152</v>
      </c>
      <c r="G20" s="7" t="s">
        <v>36</v>
      </c>
      <c r="H20" s="15" t="s">
        <v>155</v>
      </c>
      <c r="I20" s="180" t="s">
        <v>153</v>
      </c>
      <c r="J20" s="15" t="s">
        <v>38</v>
      </c>
      <c r="K20" s="7" t="s">
        <v>154</v>
      </c>
      <c r="L20" s="7">
        <v>1</v>
      </c>
      <c r="N20" s="7">
        <v>1</v>
      </c>
      <c r="O20" s="7">
        <v>0.5</v>
      </c>
      <c r="P20" s="34">
        <v>0.5</v>
      </c>
      <c r="Q20" s="52">
        <f t="shared" si="0"/>
        <v>0.5</v>
      </c>
      <c r="R20" s="7">
        <v>14.9</v>
      </c>
      <c r="S20" s="7">
        <v>124</v>
      </c>
      <c r="T20" s="16">
        <f t="shared" si="1"/>
        <v>27</v>
      </c>
      <c r="U20" s="7">
        <v>105</v>
      </c>
      <c r="V20" s="16">
        <f t="shared" si="2"/>
        <v>2835</v>
      </c>
      <c r="W20" s="7">
        <v>2</v>
      </c>
      <c r="X20" s="188" t="s">
        <v>39</v>
      </c>
      <c r="Y20" s="188" t="s">
        <v>102</v>
      </c>
      <c r="Z20" s="188" t="s">
        <v>78</v>
      </c>
      <c r="AA20" s="188" t="s">
        <v>90</v>
      </c>
      <c r="AB20" s="39" t="s">
        <v>348</v>
      </c>
      <c r="AE20" s="22"/>
      <c r="AP20" s="43" t="s">
        <v>113</v>
      </c>
      <c r="AR20" s="41" t="s">
        <v>105</v>
      </c>
      <c r="AV20" s="27" t="s">
        <v>135</v>
      </c>
    </row>
    <row r="21" spans="1:48" x14ac:dyDescent="0.15">
      <c r="A21" s="15" t="s">
        <v>345</v>
      </c>
      <c r="B21" s="15" t="s">
        <v>346</v>
      </c>
      <c r="C21" s="15">
        <v>2018</v>
      </c>
      <c r="D21" s="37" t="s">
        <v>352</v>
      </c>
      <c r="E21" s="15" t="s">
        <v>143</v>
      </c>
      <c r="F21" s="7" t="s">
        <v>152</v>
      </c>
      <c r="G21" s="7" t="s">
        <v>36</v>
      </c>
      <c r="H21" s="188" t="s">
        <v>155</v>
      </c>
      <c r="I21" s="180" t="s">
        <v>153</v>
      </c>
      <c r="J21" s="188" t="s">
        <v>38</v>
      </c>
      <c r="K21" s="180" t="s">
        <v>154</v>
      </c>
      <c r="L21" s="7">
        <v>2</v>
      </c>
      <c r="N21" s="7">
        <v>1</v>
      </c>
      <c r="O21" s="7">
        <v>0.6</v>
      </c>
      <c r="P21" s="7">
        <v>0.75</v>
      </c>
      <c r="Q21" s="52">
        <f t="shared" si="0"/>
        <v>0.67500000000000004</v>
      </c>
      <c r="R21" s="7">
        <v>13.5</v>
      </c>
      <c r="S21" s="7">
        <v>137</v>
      </c>
      <c r="T21" s="16">
        <f t="shared" si="1"/>
        <v>25</v>
      </c>
      <c r="U21" s="180">
        <v>105</v>
      </c>
      <c r="V21" s="16">
        <f t="shared" si="2"/>
        <v>2625</v>
      </c>
      <c r="W21" s="7">
        <v>2</v>
      </c>
      <c r="X21" s="188" t="s">
        <v>39</v>
      </c>
      <c r="Y21" s="188" t="s">
        <v>102</v>
      </c>
      <c r="Z21" s="188" t="s">
        <v>78</v>
      </c>
      <c r="AA21" s="188" t="s">
        <v>90</v>
      </c>
      <c r="AB21" s="39" t="s">
        <v>348</v>
      </c>
      <c r="AE21" s="22"/>
      <c r="AP21" s="43" t="s">
        <v>114</v>
      </c>
      <c r="AR21" s="41" t="s">
        <v>68</v>
      </c>
      <c r="AV21" s="27" t="s">
        <v>136</v>
      </c>
    </row>
    <row r="22" spans="1:48" x14ac:dyDescent="0.15">
      <c r="A22" s="15" t="s">
        <v>345</v>
      </c>
      <c r="B22" s="15" t="s">
        <v>346</v>
      </c>
      <c r="C22" s="15">
        <v>2018</v>
      </c>
      <c r="D22" s="37" t="s">
        <v>352</v>
      </c>
      <c r="E22" s="15" t="s">
        <v>143</v>
      </c>
      <c r="F22" s="7" t="s">
        <v>152</v>
      </c>
      <c r="G22" s="7" t="s">
        <v>36</v>
      </c>
      <c r="H22" s="188" t="s">
        <v>155</v>
      </c>
      <c r="I22" s="180" t="s">
        <v>153</v>
      </c>
      <c r="J22" s="188" t="s">
        <v>38</v>
      </c>
      <c r="K22" s="180" t="s">
        <v>154</v>
      </c>
      <c r="L22" s="7">
        <v>3</v>
      </c>
      <c r="N22" s="7">
        <v>1</v>
      </c>
      <c r="O22" s="34">
        <v>0.5</v>
      </c>
      <c r="P22" s="7">
        <v>0.5</v>
      </c>
      <c r="Q22" s="52">
        <f t="shared" si="0"/>
        <v>0.5</v>
      </c>
      <c r="R22" s="7">
        <v>16</v>
      </c>
      <c r="S22" s="7">
        <v>131</v>
      </c>
      <c r="T22" s="16">
        <f t="shared" si="1"/>
        <v>25</v>
      </c>
      <c r="U22" s="180">
        <v>105</v>
      </c>
      <c r="V22" s="16">
        <f t="shared" si="2"/>
        <v>2625</v>
      </c>
      <c r="W22" s="7">
        <v>2</v>
      </c>
      <c r="X22" s="188" t="s">
        <v>39</v>
      </c>
      <c r="Y22" s="188" t="s">
        <v>102</v>
      </c>
      <c r="Z22" s="188" t="s">
        <v>78</v>
      </c>
      <c r="AA22" s="188" t="s">
        <v>90</v>
      </c>
      <c r="AB22" s="39" t="s">
        <v>348</v>
      </c>
      <c r="AE22" s="35"/>
      <c r="AP22" s="43" t="s">
        <v>115</v>
      </c>
      <c r="AR22" s="41" t="s">
        <v>83</v>
      </c>
      <c r="AV22" s="27"/>
    </row>
    <row r="23" spans="1:48" x14ac:dyDescent="0.15">
      <c r="A23" s="15" t="s">
        <v>345</v>
      </c>
      <c r="B23" s="15" t="s">
        <v>346</v>
      </c>
      <c r="C23" s="15">
        <v>2018</v>
      </c>
      <c r="D23" s="37" t="s">
        <v>352</v>
      </c>
      <c r="E23" s="7" t="s">
        <v>143</v>
      </c>
      <c r="F23" s="7" t="s">
        <v>152</v>
      </c>
      <c r="G23" s="7" t="s">
        <v>36</v>
      </c>
      <c r="H23" s="15" t="s">
        <v>168</v>
      </c>
      <c r="I23" s="180" t="s">
        <v>153</v>
      </c>
      <c r="J23" s="15" t="s">
        <v>38</v>
      </c>
      <c r="K23" s="7" t="s">
        <v>154</v>
      </c>
      <c r="L23" s="7">
        <v>1</v>
      </c>
      <c r="N23" s="7">
        <v>1</v>
      </c>
      <c r="O23" s="34">
        <v>0.55000000000000004</v>
      </c>
      <c r="P23" s="7">
        <v>0.5</v>
      </c>
      <c r="Q23" s="52">
        <f t="shared" si="0"/>
        <v>0.52500000000000002</v>
      </c>
      <c r="R23" s="7">
        <v>18.7</v>
      </c>
      <c r="S23" s="7">
        <v>132</v>
      </c>
      <c r="T23" s="16">
        <f t="shared" si="1"/>
        <v>25</v>
      </c>
      <c r="U23" s="7">
        <v>149</v>
      </c>
      <c r="V23" s="16">
        <f t="shared" si="2"/>
        <v>3725</v>
      </c>
      <c r="W23" s="7">
        <v>2</v>
      </c>
      <c r="X23" s="188" t="s">
        <v>39</v>
      </c>
      <c r="Y23" s="188" t="s">
        <v>102</v>
      </c>
      <c r="Z23" s="188" t="s">
        <v>78</v>
      </c>
      <c r="AA23" s="188" t="s">
        <v>90</v>
      </c>
      <c r="AB23" s="39" t="s">
        <v>348</v>
      </c>
      <c r="AE23" s="22"/>
      <c r="AP23" s="43" t="s">
        <v>137</v>
      </c>
      <c r="AR23" s="41" t="s">
        <v>61</v>
      </c>
      <c r="AV23" s="27"/>
    </row>
    <row r="24" spans="1:48" x14ac:dyDescent="0.15">
      <c r="A24" s="15" t="s">
        <v>345</v>
      </c>
      <c r="B24" s="15" t="s">
        <v>346</v>
      </c>
      <c r="C24" s="15">
        <v>2018</v>
      </c>
      <c r="D24" s="37" t="s">
        <v>352</v>
      </c>
      <c r="E24" s="7" t="s">
        <v>143</v>
      </c>
      <c r="F24" s="7" t="s">
        <v>152</v>
      </c>
      <c r="G24" s="7" t="s">
        <v>36</v>
      </c>
      <c r="H24" s="188" t="s">
        <v>168</v>
      </c>
      <c r="I24" s="180" t="s">
        <v>153</v>
      </c>
      <c r="J24" s="15" t="s">
        <v>38</v>
      </c>
      <c r="K24" s="7" t="s">
        <v>154</v>
      </c>
      <c r="L24" s="7">
        <v>2</v>
      </c>
      <c r="N24" s="7">
        <v>1</v>
      </c>
      <c r="O24" s="7">
        <v>0.55000000000000004</v>
      </c>
      <c r="P24" s="7">
        <v>0.55000000000000004</v>
      </c>
      <c r="Q24" s="52">
        <f t="shared" si="0"/>
        <v>0.55000000000000004</v>
      </c>
      <c r="R24" s="7">
        <v>19</v>
      </c>
      <c r="S24" s="7">
        <v>134</v>
      </c>
      <c r="T24" s="16">
        <f t="shared" si="1"/>
        <v>25</v>
      </c>
      <c r="U24" s="180">
        <v>149</v>
      </c>
      <c r="V24" s="16">
        <f t="shared" si="2"/>
        <v>3725</v>
      </c>
      <c r="W24" s="7">
        <v>2</v>
      </c>
      <c r="X24" s="188" t="s">
        <v>39</v>
      </c>
      <c r="Y24" s="188" t="s">
        <v>102</v>
      </c>
      <c r="Z24" s="188" t="s">
        <v>78</v>
      </c>
      <c r="AA24" s="188" t="s">
        <v>90</v>
      </c>
      <c r="AB24" s="39" t="s">
        <v>348</v>
      </c>
      <c r="AE24" s="22"/>
      <c r="AP24" s="43" t="s">
        <v>138</v>
      </c>
      <c r="AR24" s="41" t="s">
        <v>91</v>
      </c>
      <c r="AV24" s="27"/>
    </row>
    <row r="25" spans="1:48" x14ac:dyDescent="0.15">
      <c r="A25" s="15" t="s">
        <v>345</v>
      </c>
      <c r="B25" s="15" t="s">
        <v>346</v>
      </c>
      <c r="C25" s="15">
        <v>2018</v>
      </c>
      <c r="D25" s="37" t="s">
        <v>352</v>
      </c>
      <c r="E25" s="7" t="s">
        <v>143</v>
      </c>
      <c r="F25" s="7" t="s">
        <v>152</v>
      </c>
      <c r="G25" s="7" t="s">
        <v>36</v>
      </c>
      <c r="H25" s="188" t="s">
        <v>168</v>
      </c>
      <c r="I25" s="180" t="s">
        <v>153</v>
      </c>
      <c r="J25" s="15" t="s">
        <v>38</v>
      </c>
      <c r="K25" s="7" t="s">
        <v>154</v>
      </c>
      <c r="L25" s="7">
        <v>3</v>
      </c>
      <c r="N25" s="7">
        <v>1</v>
      </c>
      <c r="O25" s="7">
        <v>0.5</v>
      </c>
      <c r="P25" s="7">
        <v>0.5</v>
      </c>
      <c r="Q25" s="52">
        <f t="shared" si="0"/>
        <v>0.5</v>
      </c>
      <c r="R25" s="7">
        <v>16.2</v>
      </c>
      <c r="S25" s="7">
        <v>129</v>
      </c>
      <c r="T25" s="16">
        <f t="shared" si="1"/>
        <v>25</v>
      </c>
      <c r="U25" s="180">
        <v>149</v>
      </c>
      <c r="V25" s="16">
        <f t="shared" si="2"/>
        <v>3725</v>
      </c>
      <c r="W25" s="7">
        <v>2</v>
      </c>
      <c r="X25" s="188" t="s">
        <v>39</v>
      </c>
      <c r="Y25" s="188" t="s">
        <v>102</v>
      </c>
      <c r="Z25" s="188" t="s">
        <v>78</v>
      </c>
      <c r="AA25" s="188" t="s">
        <v>90</v>
      </c>
      <c r="AB25" s="39" t="s">
        <v>348</v>
      </c>
      <c r="AE25" s="35"/>
      <c r="AP25" s="43" t="s">
        <v>116</v>
      </c>
      <c r="AR25" s="42" t="s">
        <v>92</v>
      </c>
      <c r="AV25" s="27"/>
    </row>
    <row r="26" spans="1:48" x14ac:dyDescent="0.15">
      <c r="A26" s="15" t="s">
        <v>345</v>
      </c>
      <c r="B26" s="15" t="s">
        <v>346</v>
      </c>
      <c r="C26" s="15">
        <v>2018</v>
      </c>
      <c r="D26" s="37" t="s">
        <v>352</v>
      </c>
      <c r="E26" s="7" t="s">
        <v>131</v>
      </c>
      <c r="F26" s="7" t="s">
        <v>144</v>
      </c>
      <c r="G26" s="7" t="s">
        <v>36</v>
      </c>
      <c r="H26" s="15" t="s">
        <v>155</v>
      </c>
      <c r="I26" s="180" t="s">
        <v>153</v>
      </c>
      <c r="J26" s="15" t="s">
        <v>38</v>
      </c>
      <c r="K26" s="7" t="s">
        <v>154</v>
      </c>
      <c r="L26" s="7">
        <v>1</v>
      </c>
      <c r="N26" s="7">
        <v>1</v>
      </c>
      <c r="O26" s="7">
        <v>0.65</v>
      </c>
      <c r="P26" s="7">
        <v>0.7</v>
      </c>
      <c r="Q26" s="52">
        <f t="shared" si="0"/>
        <v>0.67500000000000004</v>
      </c>
      <c r="R26" s="7">
        <v>14.7</v>
      </c>
      <c r="S26" s="7">
        <v>141</v>
      </c>
      <c r="T26" s="16">
        <f t="shared" si="1"/>
        <v>22</v>
      </c>
      <c r="U26" s="7">
        <v>138</v>
      </c>
      <c r="V26" s="16">
        <f t="shared" si="2"/>
        <v>3036</v>
      </c>
      <c r="W26" s="7">
        <v>2</v>
      </c>
      <c r="X26" s="15" t="s">
        <v>46</v>
      </c>
      <c r="Y26" s="188" t="s">
        <v>78</v>
      </c>
      <c r="Z26" s="188" t="s">
        <v>102</v>
      </c>
      <c r="AA26" s="188" t="s">
        <v>55</v>
      </c>
      <c r="AB26" s="39" t="s">
        <v>348</v>
      </c>
      <c r="AE26" s="35"/>
      <c r="AP26" s="43" t="s">
        <v>117</v>
      </c>
      <c r="AR26" s="23" t="s">
        <v>298</v>
      </c>
      <c r="AV26" s="28"/>
    </row>
    <row r="27" spans="1:48" x14ac:dyDescent="0.15">
      <c r="A27" s="15" t="s">
        <v>345</v>
      </c>
      <c r="B27" s="15" t="s">
        <v>346</v>
      </c>
      <c r="C27" s="15">
        <v>2018</v>
      </c>
      <c r="D27" s="37" t="s">
        <v>352</v>
      </c>
      <c r="E27" s="7" t="s">
        <v>131</v>
      </c>
      <c r="F27" s="7" t="s">
        <v>144</v>
      </c>
      <c r="G27" s="7" t="s">
        <v>36</v>
      </c>
      <c r="H27" s="188" t="s">
        <v>155</v>
      </c>
      <c r="I27" s="180" t="s">
        <v>153</v>
      </c>
      <c r="J27" s="15" t="s">
        <v>38</v>
      </c>
      <c r="K27" s="7" t="s">
        <v>154</v>
      </c>
      <c r="L27" s="7">
        <v>2</v>
      </c>
      <c r="N27" s="7">
        <v>1</v>
      </c>
      <c r="O27" s="7">
        <v>0.65</v>
      </c>
      <c r="P27" s="7">
        <v>0.8</v>
      </c>
      <c r="Q27" s="52">
        <f t="shared" si="0"/>
        <v>0.72500000000000009</v>
      </c>
      <c r="R27" s="7">
        <v>14.1</v>
      </c>
      <c r="S27" s="7">
        <v>141</v>
      </c>
      <c r="T27" s="16">
        <f t="shared" si="1"/>
        <v>22</v>
      </c>
      <c r="U27" s="180">
        <v>138</v>
      </c>
      <c r="V27" s="16">
        <f t="shared" si="2"/>
        <v>3036</v>
      </c>
      <c r="W27" s="7">
        <v>2</v>
      </c>
      <c r="X27" s="15" t="s">
        <v>46</v>
      </c>
      <c r="Y27" s="188" t="s">
        <v>78</v>
      </c>
      <c r="Z27" s="188" t="s">
        <v>102</v>
      </c>
      <c r="AA27" s="188" t="s">
        <v>55</v>
      </c>
      <c r="AB27" s="39" t="s">
        <v>348</v>
      </c>
      <c r="AE27" s="28"/>
      <c r="AP27" s="43" t="s">
        <v>118</v>
      </c>
      <c r="AR27" s="23"/>
    </row>
    <row r="28" spans="1:48" x14ac:dyDescent="0.15">
      <c r="A28" s="15" t="s">
        <v>345</v>
      </c>
      <c r="B28" s="15" t="s">
        <v>346</v>
      </c>
      <c r="C28" s="15">
        <v>2018</v>
      </c>
      <c r="D28" s="37" t="s">
        <v>352</v>
      </c>
      <c r="E28" s="7" t="s">
        <v>131</v>
      </c>
      <c r="F28" s="7" t="s">
        <v>144</v>
      </c>
      <c r="G28" s="7" t="s">
        <v>36</v>
      </c>
      <c r="H28" s="188" t="s">
        <v>155</v>
      </c>
      <c r="I28" s="180" t="s">
        <v>153</v>
      </c>
      <c r="J28" s="15" t="s">
        <v>38</v>
      </c>
      <c r="K28" s="7" t="s">
        <v>154</v>
      </c>
      <c r="L28" s="7">
        <v>3</v>
      </c>
      <c r="N28" s="7">
        <v>1</v>
      </c>
      <c r="O28" s="7">
        <v>0.7</v>
      </c>
      <c r="P28" s="7">
        <v>0.75</v>
      </c>
      <c r="Q28" s="52">
        <f t="shared" si="0"/>
        <v>0.72499999999999998</v>
      </c>
      <c r="R28" s="7">
        <v>13.2</v>
      </c>
      <c r="S28" s="7">
        <v>140</v>
      </c>
      <c r="T28" s="16">
        <f t="shared" si="1"/>
        <v>22</v>
      </c>
      <c r="U28" s="180">
        <v>138</v>
      </c>
      <c r="V28" s="16">
        <f t="shared" si="2"/>
        <v>3036</v>
      </c>
      <c r="W28" s="7">
        <v>2</v>
      </c>
      <c r="X28" s="15" t="s">
        <v>46</v>
      </c>
      <c r="Y28" s="188" t="s">
        <v>78</v>
      </c>
      <c r="Z28" s="188" t="s">
        <v>102</v>
      </c>
      <c r="AA28" s="188" t="s">
        <v>55</v>
      </c>
      <c r="AB28" s="39" t="s">
        <v>348</v>
      </c>
      <c r="AP28" s="27"/>
      <c r="AR28" s="23"/>
    </row>
    <row r="29" spans="1:48" x14ac:dyDescent="0.15">
      <c r="A29" s="15" t="s">
        <v>345</v>
      </c>
      <c r="B29" s="15" t="s">
        <v>346</v>
      </c>
      <c r="C29" s="15">
        <v>2018</v>
      </c>
      <c r="D29" s="37" t="s">
        <v>352</v>
      </c>
      <c r="E29" s="7" t="s">
        <v>131</v>
      </c>
      <c r="F29" s="7" t="s">
        <v>144</v>
      </c>
      <c r="G29" s="7" t="s">
        <v>36</v>
      </c>
      <c r="H29" s="15" t="s">
        <v>155</v>
      </c>
      <c r="I29" s="180" t="s">
        <v>156</v>
      </c>
      <c r="J29" s="15" t="s">
        <v>38</v>
      </c>
      <c r="K29" s="7" t="s">
        <v>154</v>
      </c>
      <c r="L29" s="7">
        <v>1</v>
      </c>
      <c r="N29" s="7">
        <v>4</v>
      </c>
      <c r="O29" s="7">
        <v>0.5</v>
      </c>
      <c r="P29" s="7">
        <v>0.5</v>
      </c>
      <c r="Q29" s="52">
        <f t="shared" si="0"/>
        <v>0.5</v>
      </c>
      <c r="R29" s="7">
        <v>12.6</v>
      </c>
      <c r="S29" s="7">
        <v>90</v>
      </c>
      <c r="T29" s="16">
        <f t="shared" si="1"/>
        <v>36</v>
      </c>
      <c r="U29" s="7">
        <v>430</v>
      </c>
      <c r="V29" s="16">
        <f t="shared" si="2"/>
        <v>3870</v>
      </c>
      <c r="W29" s="7">
        <v>4</v>
      </c>
      <c r="X29" s="15" t="s">
        <v>46</v>
      </c>
      <c r="Y29" s="188" t="s">
        <v>78</v>
      </c>
      <c r="Z29" s="188" t="s">
        <v>102</v>
      </c>
      <c r="AA29" s="188" t="s">
        <v>55</v>
      </c>
      <c r="AB29" s="39" t="s">
        <v>348</v>
      </c>
      <c r="AP29" s="27"/>
      <c r="AR29" s="27"/>
      <c r="AV29" s="28"/>
    </row>
    <row r="30" spans="1:48" x14ac:dyDescent="0.15">
      <c r="A30" s="15" t="s">
        <v>345</v>
      </c>
      <c r="B30" s="15" t="s">
        <v>346</v>
      </c>
      <c r="C30" s="15">
        <v>2018</v>
      </c>
      <c r="D30" s="37" t="s">
        <v>352</v>
      </c>
      <c r="E30" s="7" t="s">
        <v>131</v>
      </c>
      <c r="F30" s="7" t="s">
        <v>144</v>
      </c>
      <c r="G30" s="7" t="s">
        <v>36</v>
      </c>
      <c r="H30" s="188" t="s">
        <v>155</v>
      </c>
      <c r="I30" s="180" t="s">
        <v>156</v>
      </c>
      <c r="J30" s="15" t="s">
        <v>38</v>
      </c>
      <c r="K30" s="7" t="s">
        <v>154</v>
      </c>
      <c r="L30" s="7">
        <v>2</v>
      </c>
      <c r="N30" s="7">
        <v>4</v>
      </c>
      <c r="O30" s="7">
        <v>0.6</v>
      </c>
      <c r="P30" s="7">
        <v>0.75</v>
      </c>
      <c r="Q30" s="52">
        <f t="shared" si="0"/>
        <v>0.67500000000000004</v>
      </c>
      <c r="R30" s="7">
        <v>12.4</v>
      </c>
      <c r="S30" s="7">
        <v>92</v>
      </c>
      <c r="T30" s="16">
        <f t="shared" si="1"/>
        <v>36</v>
      </c>
      <c r="U30" s="180">
        <v>430</v>
      </c>
      <c r="V30" s="16">
        <f t="shared" si="2"/>
        <v>3870</v>
      </c>
      <c r="W30" s="7">
        <v>4</v>
      </c>
      <c r="X30" s="15" t="s">
        <v>46</v>
      </c>
      <c r="Y30" s="188" t="s">
        <v>78</v>
      </c>
      <c r="Z30" s="188" t="s">
        <v>102</v>
      </c>
      <c r="AA30" s="188" t="s">
        <v>55</v>
      </c>
      <c r="AB30" s="39" t="s">
        <v>348</v>
      </c>
      <c r="AP30" s="27"/>
      <c r="AR30" s="27"/>
    </row>
    <row r="31" spans="1:48" x14ac:dyDescent="0.15">
      <c r="A31" s="15" t="s">
        <v>345</v>
      </c>
      <c r="B31" s="15" t="s">
        <v>346</v>
      </c>
      <c r="C31" s="15">
        <v>2018</v>
      </c>
      <c r="D31" s="37" t="s">
        <v>352</v>
      </c>
      <c r="E31" s="7" t="s">
        <v>131</v>
      </c>
      <c r="F31" s="7" t="s">
        <v>144</v>
      </c>
      <c r="G31" s="7" t="s">
        <v>36</v>
      </c>
      <c r="H31" s="188" t="s">
        <v>155</v>
      </c>
      <c r="I31" s="180" t="s">
        <v>156</v>
      </c>
      <c r="J31" s="15" t="s">
        <v>38</v>
      </c>
      <c r="K31" s="7" t="s">
        <v>154</v>
      </c>
      <c r="L31" s="7">
        <v>3</v>
      </c>
      <c r="N31" s="7">
        <v>4</v>
      </c>
      <c r="O31" s="7">
        <v>0.55000000000000004</v>
      </c>
      <c r="P31" s="7">
        <v>0.55000000000000004</v>
      </c>
      <c r="Q31" s="52">
        <f t="shared" si="0"/>
        <v>0.55000000000000004</v>
      </c>
      <c r="R31" s="7">
        <v>12.7</v>
      </c>
      <c r="S31" s="7">
        <v>92</v>
      </c>
      <c r="T31" s="16">
        <f t="shared" si="1"/>
        <v>36</v>
      </c>
      <c r="U31" s="180">
        <v>430</v>
      </c>
      <c r="V31" s="16">
        <f t="shared" si="2"/>
        <v>3870</v>
      </c>
      <c r="W31" s="7">
        <v>4</v>
      </c>
      <c r="X31" s="15" t="s">
        <v>46</v>
      </c>
      <c r="Y31" s="188" t="s">
        <v>78</v>
      </c>
      <c r="Z31" s="188" t="s">
        <v>102</v>
      </c>
      <c r="AA31" s="188" t="s">
        <v>55</v>
      </c>
      <c r="AB31" s="39" t="s">
        <v>348</v>
      </c>
      <c r="AP31" s="27"/>
      <c r="AR31" s="27"/>
    </row>
    <row r="32" spans="1:48" x14ac:dyDescent="0.15">
      <c r="A32" s="15" t="s">
        <v>345</v>
      </c>
      <c r="B32" s="15" t="s">
        <v>346</v>
      </c>
      <c r="C32" s="15">
        <v>2018</v>
      </c>
      <c r="D32" s="37" t="s">
        <v>352</v>
      </c>
      <c r="E32" s="7" t="s">
        <v>131</v>
      </c>
      <c r="F32" s="7" t="s">
        <v>144</v>
      </c>
      <c r="G32" s="7" t="s">
        <v>36</v>
      </c>
      <c r="H32" s="15" t="s">
        <v>168</v>
      </c>
      <c r="I32" s="180" t="s">
        <v>153</v>
      </c>
      <c r="J32" s="15" t="s">
        <v>38</v>
      </c>
      <c r="K32" s="7" t="s">
        <v>154</v>
      </c>
      <c r="L32" s="7">
        <v>1</v>
      </c>
      <c r="N32" s="7">
        <v>1</v>
      </c>
      <c r="O32" s="7">
        <v>0.5</v>
      </c>
      <c r="P32" s="7">
        <v>0.5</v>
      </c>
      <c r="Q32" s="52">
        <f t="shared" si="0"/>
        <v>0.5</v>
      </c>
      <c r="R32" s="7">
        <v>15.4</v>
      </c>
      <c r="S32" s="7">
        <v>144</v>
      </c>
      <c r="T32" s="16">
        <f t="shared" si="1"/>
        <v>22</v>
      </c>
      <c r="U32" s="7">
        <v>138</v>
      </c>
      <c r="V32" s="16">
        <f t="shared" si="2"/>
        <v>3036</v>
      </c>
      <c r="W32" s="7">
        <v>6</v>
      </c>
      <c r="X32" s="15" t="s">
        <v>46</v>
      </c>
      <c r="Y32" s="188" t="s">
        <v>78</v>
      </c>
      <c r="Z32" s="188" t="s">
        <v>102</v>
      </c>
      <c r="AA32" s="188" t="s">
        <v>55</v>
      </c>
      <c r="AB32" s="39" t="s">
        <v>348</v>
      </c>
      <c r="AP32" s="28"/>
      <c r="AR32" s="28"/>
    </row>
    <row r="33" spans="1:44" x14ac:dyDescent="0.15">
      <c r="A33" s="15" t="s">
        <v>345</v>
      </c>
      <c r="B33" s="15" t="s">
        <v>346</v>
      </c>
      <c r="C33" s="15">
        <v>2018</v>
      </c>
      <c r="D33" s="37" t="s">
        <v>352</v>
      </c>
      <c r="E33" s="7" t="s">
        <v>131</v>
      </c>
      <c r="F33" s="7" t="s">
        <v>144</v>
      </c>
      <c r="G33" s="7" t="s">
        <v>36</v>
      </c>
      <c r="H33" s="188" t="s">
        <v>168</v>
      </c>
      <c r="I33" s="180" t="s">
        <v>153</v>
      </c>
      <c r="J33" s="15" t="s">
        <v>38</v>
      </c>
      <c r="K33" s="7" t="s">
        <v>154</v>
      </c>
      <c r="L33" s="7">
        <v>2</v>
      </c>
      <c r="N33" s="7">
        <v>1</v>
      </c>
      <c r="O33" s="7">
        <v>0.5</v>
      </c>
      <c r="P33" s="7">
        <v>0.5</v>
      </c>
      <c r="Q33" s="52">
        <f t="shared" si="0"/>
        <v>0.5</v>
      </c>
      <c r="R33" s="7">
        <v>17.899999999999999</v>
      </c>
      <c r="S33" s="7">
        <v>144</v>
      </c>
      <c r="T33" s="16">
        <f t="shared" si="1"/>
        <v>22</v>
      </c>
      <c r="U33" s="180">
        <v>138</v>
      </c>
      <c r="V33" s="16">
        <f t="shared" si="2"/>
        <v>3036</v>
      </c>
      <c r="W33" s="7">
        <v>6</v>
      </c>
      <c r="X33" s="15" t="s">
        <v>46</v>
      </c>
      <c r="Y33" s="188" t="s">
        <v>78</v>
      </c>
      <c r="Z33" s="188" t="s">
        <v>102</v>
      </c>
      <c r="AA33" s="188" t="s">
        <v>55</v>
      </c>
      <c r="AB33" s="39" t="s">
        <v>348</v>
      </c>
    </row>
    <row r="34" spans="1:44" x14ac:dyDescent="0.15">
      <c r="A34" s="15" t="s">
        <v>345</v>
      </c>
      <c r="B34" s="15" t="s">
        <v>346</v>
      </c>
      <c r="C34" s="15">
        <v>2018</v>
      </c>
      <c r="D34" s="37" t="s">
        <v>352</v>
      </c>
      <c r="E34" s="7" t="s">
        <v>131</v>
      </c>
      <c r="F34" s="7" t="s">
        <v>144</v>
      </c>
      <c r="G34" s="7" t="s">
        <v>36</v>
      </c>
      <c r="H34" s="188" t="s">
        <v>168</v>
      </c>
      <c r="I34" s="180" t="s">
        <v>153</v>
      </c>
      <c r="J34" s="15" t="s">
        <v>38</v>
      </c>
      <c r="K34" s="7" t="s">
        <v>154</v>
      </c>
      <c r="L34" s="7">
        <v>3</v>
      </c>
      <c r="N34" s="7">
        <v>1</v>
      </c>
      <c r="O34" s="7">
        <v>0.5</v>
      </c>
      <c r="P34" s="7">
        <v>0.5</v>
      </c>
      <c r="Q34" s="52">
        <f t="shared" si="0"/>
        <v>0.5</v>
      </c>
      <c r="R34" s="7">
        <v>17</v>
      </c>
      <c r="S34" s="7">
        <v>138</v>
      </c>
      <c r="T34" s="16">
        <f t="shared" si="1"/>
        <v>22</v>
      </c>
      <c r="U34" s="180">
        <v>138</v>
      </c>
      <c r="V34" s="16">
        <f t="shared" si="2"/>
        <v>3036</v>
      </c>
      <c r="W34" s="7">
        <v>6</v>
      </c>
      <c r="X34" s="15" t="s">
        <v>46</v>
      </c>
      <c r="Y34" s="188" t="s">
        <v>78</v>
      </c>
      <c r="Z34" s="188" t="s">
        <v>102</v>
      </c>
      <c r="AA34" s="188" t="s">
        <v>55</v>
      </c>
      <c r="AB34" s="39" t="s">
        <v>348</v>
      </c>
    </row>
    <row r="35" spans="1:44" x14ac:dyDescent="0.15">
      <c r="A35" s="15" t="s">
        <v>345</v>
      </c>
      <c r="B35" s="15" t="s">
        <v>346</v>
      </c>
      <c r="C35" s="15">
        <v>2018</v>
      </c>
      <c r="D35" s="37" t="s">
        <v>352</v>
      </c>
      <c r="E35" s="7" t="s">
        <v>139</v>
      </c>
      <c r="F35" s="7" t="s">
        <v>145</v>
      </c>
      <c r="G35" s="7" t="s">
        <v>36</v>
      </c>
      <c r="H35" s="188" t="s">
        <v>155</v>
      </c>
      <c r="I35" s="180" t="s">
        <v>153</v>
      </c>
      <c r="J35" s="15" t="s">
        <v>38</v>
      </c>
      <c r="K35" s="7" t="s">
        <v>154</v>
      </c>
      <c r="L35" s="7">
        <v>1</v>
      </c>
      <c r="N35" s="7">
        <v>1</v>
      </c>
      <c r="O35" s="7">
        <v>0.5</v>
      </c>
      <c r="P35" s="7">
        <v>0.5</v>
      </c>
      <c r="Q35" s="52">
        <f t="shared" si="0"/>
        <v>0.5</v>
      </c>
      <c r="R35" s="7">
        <v>13.9</v>
      </c>
      <c r="S35" s="7">
        <v>143</v>
      </c>
      <c r="T35" s="16">
        <f t="shared" si="1"/>
        <v>22</v>
      </c>
      <c r="U35" s="7">
        <v>108</v>
      </c>
      <c r="V35" s="16">
        <f t="shared" si="2"/>
        <v>2376</v>
      </c>
      <c r="W35" s="7">
        <v>7</v>
      </c>
      <c r="X35" s="15" t="s">
        <v>46</v>
      </c>
      <c r="Y35" s="188" t="s">
        <v>102</v>
      </c>
      <c r="Z35" s="188" t="s">
        <v>90</v>
      </c>
      <c r="AA35" s="188" t="s">
        <v>47</v>
      </c>
      <c r="AB35" s="39" t="s">
        <v>348</v>
      </c>
      <c r="AP35" s="28"/>
      <c r="AR35" s="28"/>
    </row>
    <row r="36" spans="1:44" x14ac:dyDescent="0.15">
      <c r="A36" s="15" t="s">
        <v>345</v>
      </c>
      <c r="B36" s="15" t="s">
        <v>346</v>
      </c>
      <c r="C36" s="15">
        <v>2018</v>
      </c>
      <c r="D36" s="37" t="s">
        <v>352</v>
      </c>
      <c r="E36" s="7" t="s">
        <v>139</v>
      </c>
      <c r="F36" s="7" t="s">
        <v>145</v>
      </c>
      <c r="G36" s="7" t="s">
        <v>36</v>
      </c>
      <c r="H36" s="188" t="s">
        <v>155</v>
      </c>
      <c r="I36" s="180" t="s">
        <v>153</v>
      </c>
      <c r="J36" s="15" t="s">
        <v>38</v>
      </c>
      <c r="K36" s="7" t="s">
        <v>154</v>
      </c>
      <c r="L36" s="7">
        <v>2</v>
      </c>
      <c r="N36" s="180">
        <v>1</v>
      </c>
      <c r="O36" s="7">
        <v>0.6</v>
      </c>
      <c r="P36" s="7">
        <v>0.7</v>
      </c>
      <c r="Q36" s="52">
        <f t="shared" si="0"/>
        <v>0.64999999999999991</v>
      </c>
      <c r="R36" s="7">
        <v>16</v>
      </c>
      <c r="S36" s="7">
        <v>145</v>
      </c>
      <c r="T36" s="16">
        <f t="shared" si="1"/>
        <v>22</v>
      </c>
      <c r="U36" s="180">
        <v>108</v>
      </c>
      <c r="V36" s="16">
        <f t="shared" si="2"/>
        <v>2376</v>
      </c>
      <c r="W36" s="7">
        <v>7</v>
      </c>
      <c r="X36" s="15" t="s">
        <v>46</v>
      </c>
      <c r="Y36" s="188" t="s">
        <v>102</v>
      </c>
      <c r="Z36" s="188" t="s">
        <v>90</v>
      </c>
      <c r="AA36" s="188" t="s">
        <v>47</v>
      </c>
      <c r="AB36" s="39" t="s">
        <v>348</v>
      </c>
    </row>
    <row r="37" spans="1:44" x14ac:dyDescent="0.15">
      <c r="A37" s="15" t="s">
        <v>345</v>
      </c>
      <c r="B37" s="15" t="s">
        <v>346</v>
      </c>
      <c r="C37" s="15">
        <v>2018</v>
      </c>
      <c r="D37" s="37" t="s">
        <v>352</v>
      </c>
      <c r="E37" s="7" t="s">
        <v>139</v>
      </c>
      <c r="F37" s="7" t="s">
        <v>145</v>
      </c>
      <c r="G37" s="7" t="s">
        <v>36</v>
      </c>
      <c r="H37" s="188" t="s">
        <v>155</v>
      </c>
      <c r="I37" s="180" t="s">
        <v>153</v>
      </c>
      <c r="J37" s="15" t="s">
        <v>38</v>
      </c>
      <c r="K37" s="7" t="s">
        <v>154</v>
      </c>
      <c r="L37" s="7">
        <v>3</v>
      </c>
      <c r="N37" s="180">
        <v>1</v>
      </c>
      <c r="O37" s="34">
        <v>0.6</v>
      </c>
      <c r="P37" s="34">
        <v>0.6</v>
      </c>
      <c r="Q37" s="52">
        <f t="shared" si="0"/>
        <v>0.6</v>
      </c>
      <c r="R37" s="7">
        <v>15.4</v>
      </c>
      <c r="S37" s="7">
        <v>144</v>
      </c>
      <c r="T37" s="16">
        <f t="shared" si="1"/>
        <v>22</v>
      </c>
      <c r="U37" s="180">
        <v>108</v>
      </c>
      <c r="V37" s="16">
        <f t="shared" si="2"/>
        <v>2376</v>
      </c>
      <c r="W37" s="7">
        <v>7</v>
      </c>
      <c r="X37" s="15" t="s">
        <v>46</v>
      </c>
      <c r="Y37" s="188" t="s">
        <v>102</v>
      </c>
      <c r="Z37" s="188" t="s">
        <v>90</v>
      </c>
      <c r="AA37" s="188" t="s">
        <v>47</v>
      </c>
      <c r="AB37" s="39" t="s">
        <v>348</v>
      </c>
    </row>
    <row r="38" spans="1:44" x14ac:dyDescent="0.15">
      <c r="A38" s="15" t="s">
        <v>345</v>
      </c>
      <c r="B38" s="15" t="s">
        <v>346</v>
      </c>
      <c r="C38" s="15">
        <v>2018</v>
      </c>
      <c r="D38" s="37" t="s">
        <v>352</v>
      </c>
      <c r="E38" s="7" t="s">
        <v>139</v>
      </c>
      <c r="F38" s="7" t="s">
        <v>145</v>
      </c>
      <c r="G38" s="7" t="s">
        <v>36</v>
      </c>
      <c r="H38" s="188" t="s">
        <v>168</v>
      </c>
      <c r="I38" s="7" t="s">
        <v>153</v>
      </c>
      <c r="J38" s="188" t="s">
        <v>38</v>
      </c>
      <c r="K38" s="180" t="s">
        <v>154</v>
      </c>
      <c r="L38" s="7">
        <v>1</v>
      </c>
      <c r="N38" s="180">
        <v>1</v>
      </c>
      <c r="O38" s="34">
        <v>0.5</v>
      </c>
      <c r="P38" s="34">
        <v>0.5</v>
      </c>
      <c r="Q38" s="52">
        <f t="shared" si="0"/>
        <v>0.5</v>
      </c>
      <c r="R38" s="7">
        <v>18.7</v>
      </c>
      <c r="S38" s="7">
        <v>113</v>
      </c>
      <c r="T38" s="16">
        <f t="shared" si="1"/>
        <v>30</v>
      </c>
      <c r="U38" s="7">
        <v>108</v>
      </c>
      <c r="V38" s="16">
        <f t="shared" si="2"/>
        <v>3240</v>
      </c>
      <c r="W38" s="7">
        <v>5</v>
      </c>
      <c r="X38" s="15" t="s">
        <v>46</v>
      </c>
      <c r="Y38" s="188" t="s">
        <v>102</v>
      </c>
      <c r="Z38" s="188" t="s">
        <v>90</v>
      </c>
      <c r="AA38" s="188" t="s">
        <v>47</v>
      </c>
      <c r="AB38" s="39" t="s">
        <v>348</v>
      </c>
    </row>
    <row r="39" spans="1:44" x14ac:dyDescent="0.15">
      <c r="A39" s="15" t="s">
        <v>345</v>
      </c>
      <c r="B39" s="15" t="s">
        <v>346</v>
      </c>
      <c r="C39" s="15">
        <v>2018</v>
      </c>
      <c r="D39" s="37" t="s">
        <v>352</v>
      </c>
      <c r="E39" s="7" t="s">
        <v>139</v>
      </c>
      <c r="F39" s="7" t="s">
        <v>145</v>
      </c>
      <c r="G39" s="7" t="s">
        <v>36</v>
      </c>
      <c r="H39" s="188" t="s">
        <v>168</v>
      </c>
      <c r="I39" s="180" t="s">
        <v>153</v>
      </c>
      <c r="J39" s="188" t="s">
        <v>38</v>
      </c>
      <c r="K39" s="180" t="s">
        <v>154</v>
      </c>
      <c r="L39" s="7">
        <v>2</v>
      </c>
      <c r="N39" s="180">
        <v>1</v>
      </c>
      <c r="O39" s="7">
        <v>0.5</v>
      </c>
      <c r="P39" s="7">
        <v>0.5</v>
      </c>
      <c r="Q39" s="52">
        <f t="shared" si="0"/>
        <v>0.5</v>
      </c>
      <c r="R39" s="34">
        <v>17.3</v>
      </c>
      <c r="S39" s="7">
        <v>116</v>
      </c>
      <c r="T39" s="16">
        <f t="shared" si="1"/>
        <v>30</v>
      </c>
      <c r="U39" s="180">
        <v>108</v>
      </c>
      <c r="V39" s="16">
        <f t="shared" si="2"/>
        <v>3240</v>
      </c>
      <c r="W39" s="7">
        <v>5</v>
      </c>
      <c r="X39" s="15" t="s">
        <v>46</v>
      </c>
      <c r="Y39" s="188" t="s">
        <v>102</v>
      </c>
      <c r="Z39" s="188" t="s">
        <v>90</v>
      </c>
      <c r="AA39" s="188" t="s">
        <v>47</v>
      </c>
      <c r="AB39" s="39" t="s">
        <v>348</v>
      </c>
    </row>
    <row r="40" spans="1:44" x14ac:dyDescent="0.15">
      <c r="A40" s="15" t="s">
        <v>345</v>
      </c>
      <c r="B40" s="15" t="s">
        <v>346</v>
      </c>
      <c r="C40" s="15">
        <v>2018</v>
      </c>
      <c r="D40" s="37" t="s">
        <v>352</v>
      </c>
      <c r="E40" s="7" t="s">
        <v>139</v>
      </c>
      <c r="F40" s="7" t="s">
        <v>145</v>
      </c>
      <c r="G40" s="7" t="s">
        <v>36</v>
      </c>
      <c r="H40" s="188" t="s">
        <v>168</v>
      </c>
      <c r="I40" s="180" t="s">
        <v>153</v>
      </c>
      <c r="J40" s="188" t="s">
        <v>38</v>
      </c>
      <c r="K40" s="180" t="s">
        <v>154</v>
      </c>
      <c r="L40" s="7">
        <v>3</v>
      </c>
      <c r="N40" s="180">
        <v>1</v>
      </c>
      <c r="O40" s="7">
        <v>0.7</v>
      </c>
      <c r="P40" s="7">
        <v>0.6</v>
      </c>
      <c r="Q40" s="52">
        <f t="shared" si="0"/>
        <v>0.64999999999999991</v>
      </c>
      <c r="R40" s="7">
        <v>18.7</v>
      </c>
      <c r="S40" s="7">
        <v>111</v>
      </c>
      <c r="T40" s="16">
        <f t="shared" si="1"/>
        <v>33</v>
      </c>
      <c r="U40" s="180">
        <v>108</v>
      </c>
      <c r="V40" s="16">
        <f t="shared" si="2"/>
        <v>3564</v>
      </c>
      <c r="W40" s="7">
        <v>5</v>
      </c>
      <c r="X40" s="15" t="s">
        <v>46</v>
      </c>
      <c r="Y40" s="188" t="s">
        <v>102</v>
      </c>
      <c r="Z40" s="188" t="s">
        <v>90</v>
      </c>
      <c r="AA40" s="188" t="s">
        <v>47</v>
      </c>
      <c r="AB40" s="39" t="s">
        <v>348</v>
      </c>
    </row>
    <row r="41" spans="1:44" ht="12.75" customHeight="1" x14ac:dyDescent="0.15">
      <c r="A41" s="15" t="s">
        <v>345</v>
      </c>
      <c r="B41" s="15" t="s">
        <v>346</v>
      </c>
      <c r="C41" s="15">
        <v>2018</v>
      </c>
      <c r="D41" s="37" t="s">
        <v>352</v>
      </c>
      <c r="E41" s="7" t="s">
        <v>324</v>
      </c>
      <c r="F41" s="7" t="s">
        <v>351</v>
      </c>
      <c r="G41" s="7" t="s">
        <v>36</v>
      </c>
      <c r="H41" s="15" t="s">
        <v>155</v>
      </c>
      <c r="I41" s="7" t="s">
        <v>153</v>
      </c>
      <c r="J41" s="15" t="s">
        <v>38</v>
      </c>
      <c r="K41" s="7" t="s">
        <v>154</v>
      </c>
      <c r="L41" s="7">
        <v>1</v>
      </c>
      <c r="N41" s="180">
        <v>1</v>
      </c>
      <c r="O41" s="7">
        <v>0.5</v>
      </c>
      <c r="P41" s="7">
        <v>0.5</v>
      </c>
      <c r="Q41" s="52">
        <f t="shared" si="0"/>
        <v>0.5</v>
      </c>
      <c r="R41" s="7">
        <v>14.9</v>
      </c>
      <c r="S41" s="7">
        <v>114</v>
      </c>
      <c r="T41" s="16">
        <f t="shared" si="1"/>
        <v>30</v>
      </c>
      <c r="U41" s="7">
        <v>105</v>
      </c>
      <c r="V41" s="16">
        <f t="shared" si="2"/>
        <v>3150</v>
      </c>
      <c r="W41" s="7">
        <v>3</v>
      </c>
      <c r="X41" s="15" t="s">
        <v>46</v>
      </c>
      <c r="Y41" s="188" t="s">
        <v>78</v>
      </c>
      <c r="Z41" s="188" t="s">
        <v>90</v>
      </c>
      <c r="AA41" s="188" t="s">
        <v>102</v>
      </c>
      <c r="AB41" s="39" t="s">
        <v>348</v>
      </c>
    </row>
    <row r="42" spans="1:44" x14ac:dyDescent="0.15">
      <c r="A42" s="15" t="s">
        <v>345</v>
      </c>
      <c r="B42" s="15" t="s">
        <v>346</v>
      </c>
      <c r="C42" s="15">
        <v>2018</v>
      </c>
      <c r="D42" s="37" t="s">
        <v>352</v>
      </c>
      <c r="E42" s="7" t="s">
        <v>324</v>
      </c>
      <c r="F42" s="7" t="s">
        <v>351</v>
      </c>
      <c r="G42" s="7" t="s">
        <v>36</v>
      </c>
      <c r="H42" s="188" t="s">
        <v>155</v>
      </c>
      <c r="I42" s="180" t="s">
        <v>153</v>
      </c>
      <c r="J42" s="15" t="s">
        <v>38</v>
      </c>
      <c r="K42" s="7" t="s">
        <v>154</v>
      </c>
      <c r="L42" s="7">
        <v>2</v>
      </c>
      <c r="N42" s="180">
        <v>1</v>
      </c>
      <c r="O42" s="7">
        <v>0.5</v>
      </c>
      <c r="P42" s="7">
        <v>0.5</v>
      </c>
      <c r="Q42" s="52">
        <f t="shared" si="0"/>
        <v>0.5</v>
      </c>
      <c r="R42" s="7">
        <v>13.2</v>
      </c>
      <c r="S42" s="7">
        <v>114</v>
      </c>
      <c r="T42" s="16">
        <f t="shared" si="1"/>
        <v>30</v>
      </c>
      <c r="U42" s="180">
        <v>105</v>
      </c>
      <c r="V42" s="16">
        <f t="shared" si="2"/>
        <v>3150</v>
      </c>
      <c r="W42" s="7">
        <v>3</v>
      </c>
      <c r="X42" s="15" t="s">
        <v>46</v>
      </c>
      <c r="Y42" s="188" t="s">
        <v>78</v>
      </c>
      <c r="Z42" s="188" t="s">
        <v>90</v>
      </c>
      <c r="AA42" s="188" t="s">
        <v>102</v>
      </c>
      <c r="AB42" s="39" t="s">
        <v>348</v>
      </c>
    </row>
    <row r="43" spans="1:44" x14ac:dyDescent="0.15">
      <c r="A43" s="15" t="s">
        <v>345</v>
      </c>
      <c r="B43" s="15" t="s">
        <v>346</v>
      </c>
      <c r="C43" s="15">
        <v>2018</v>
      </c>
      <c r="D43" s="37" t="s">
        <v>352</v>
      </c>
      <c r="E43" s="7" t="s">
        <v>324</v>
      </c>
      <c r="F43" s="7" t="s">
        <v>351</v>
      </c>
      <c r="G43" s="7" t="s">
        <v>36</v>
      </c>
      <c r="H43" s="188" t="s">
        <v>155</v>
      </c>
      <c r="I43" s="180" t="s">
        <v>153</v>
      </c>
      <c r="J43" s="15" t="s">
        <v>38</v>
      </c>
      <c r="K43" s="7" t="s">
        <v>154</v>
      </c>
      <c r="L43" s="7">
        <v>3</v>
      </c>
      <c r="N43" s="180">
        <v>1</v>
      </c>
      <c r="O43" s="7">
        <v>0.5</v>
      </c>
      <c r="P43" s="7">
        <v>0.5</v>
      </c>
      <c r="Q43" s="52">
        <f t="shared" si="0"/>
        <v>0.5</v>
      </c>
      <c r="R43" s="7">
        <v>14</v>
      </c>
      <c r="S43" s="7">
        <v>118</v>
      </c>
      <c r="T43" s="16">
        <f t="shared" si="1"/>
        <v>30</v>
      </c>
      <c r="U43" s="180">
        <v>105</v>
      </c>
      <c r="V43" s="16">
        <f t="shared" si="2"/>
        <v>3150</v>
      </c>
      <c r="W43" s="7">
        <v>3</v>
      </c>
      <c r="X43" s="15" t="s">
        <v>46</v>
      </c>
      <c r="Y43" s="188" t="s">
        <v>78</v>
      </c>
      <c r="Z43" s="188" t="s">
        <v>90</v>
      </c>
      <c r="AA43" s="188" t="s">
        <v>102</v>
      </c>
      <c r="AB43" s="39" t="s">
        <v>348</v>
      </c>
    </row>
    <row r="44" spans="1:44" x14ac:dyDescent="0.15">
      <c r="A44" s="15" t="s">
        <v>345</v>
      </c>
      <c r="B44" s="15" t="s">
        <v>346</v>
      </c>
      <c r="C44" s="15">
        <v>2018</v>
      </c>
      <c r="D44" s="37" t="s">
        <v>352</v>
      </c>
      <c r="E44" s="7" t="s">
        <v>130</v>
      </c>
      <c r="F44" s="7" t="s">
        <v>146</v>
      </c>
      <c r="G44" s="7" t="s">
        <v>36</v>
      </c>
      <c r="H44" s="15" t="s">
        <v>155</v>
      </c>
      <c r="I44" s="180" t="s">
        <v>153</v>
      </c>
      <c r="J44" s="15" t="s">
        <v>38</v>
      </c>
      <c r="K44" s="7" t="s">
        <v>154</v>
      </c>
      <c r="L44" s="7">
        <v>1</v>
      </c>
      <c r="N44" s="180">
        <v>1</v>
      </c>
      <c r="O44" s="7">
        <v>0.6</v>
      </c>
      <c r="P44" s="7">
        <v>0.5</v>
      </c>
      <c r="Q44" s="52">
        <f t="shared" si="0"/>
        <v>0.55000000000000004</v>
      </c>
      <c r="R44" s="7">
        <v>15.7</v>
      </c>
      <c r="S44" s="7">
        <v>124</v>
      </c>
      <c r="T44" s="16">
        <f t="shared" si="1"/>
        <v>27</v>
      </c>
      <c r="U44" s="7">
        <v>102</v>
      </c>
      <c r="V44" s="16">
        <f t="shared" si="2"/>
        <v>2754</v>
      </c>
      <c r="W44" s="7">
        <v>3</v>
      </c>
      <c r="X44" s="15" t="s">
        <v>46</v>
      </c>
      <c r="Y44" s="188" t="s">
        <v>102</v>
      </c>
      <c r="Z44" s="188" t="s">
        <v>78</v>
      </c>
      <c r="AA44" s="188" t="s">
        <v>90</v>
      </c>
      <c r="AB44" s="39" t="s">
        <v>348</v>
      </c>
    </row>
    <row r="45" spans="1:44" x14ac:dyDescent="0.15">
      <c r="A45" s="15" t="s">
        <v>345</v>
      </c>
      <c r="B45" s="15" t="s">
        <v>346</v>
      </c>
      <c r="C45" s="15">
        <v>2018</v>
      </c>
      <c r="D45" s="37" t="s">
        <v>352</v>
      </c>
      <c r="E45" s="7" t="s">
        <v>130</v>
      </c>
      <c r="F45" s="7" t="s">
        <v>146</v>
      </c>
      <c r="G45" s="7" t="s">
        <v>36</v>
      </c>
      <c r="H45" s="188" t="s">
        <v>155</v>
      </c>
      <c r="I45" s="180" t="s">
        <v>153</v>
      </c>
      <c r="J45" s="15" t="s">
        <v>38</v>
      </c>
      <c r="K45" s="7" t="s">
        <v>154</v>
      </c>
      <c r="L45" s="7">
        <v>2</v>
      </c>
      <c r="N45" s="180">
        <v>1</v>
      </c>
      <c r="O45" s="7">
        <v>0.55000000000000004</v>
      </c>
      <c r="P45" s="7">
        <v>0.5</v>
      </c>
      <c r="Q45" s="52">
        <f t="shared" si="0"/>
        <v>0.52500000000000002</v>
      </c>
      <c r="R45" s="7">
        <v>12.5</v>
      </c>
      <c r="S45" s="7">
        <v>119</v>
      </c>
      <c r="T45" s="16">
        <f t="shared" si="1"/>
        <v>30</v>
      </c>
      <c r="U45" s="180">
        <v>102</v>
      </c>
      <c r="V45" s="16">
        <f t="shared" si="2"/>
        <v>3060</v>
      </c>
      <c r="W45" s="7">
        <v>3</v>
      </c>
      <c r="X45" s="15" t="s">
        <v>46</v>
      </c>
      <c r="Y45" s="188" t="s">
        <v>102</v>
      </c>
      <c r="Z45" s="188" t="s">
        <v>78</v>
      </c>
      <c r="AA45" s="188" t="s">
        <v>90</v>
      </c>
      <c r="AB45" s="39" t="s">
        <v>348</v>
      </c>
    </row>
    <row r="46" spans="1:44" x14ac:dyDescent="0.15">
      <c r="A46" s="15" t="s">
        <v>345</v>
      </c>
      <c r="B46" s="15" t="s">
        <v>346</v>
      </c>
      <c r="C46" s="15">
        <v>2018</v>
      </c>
      <c r="D46" s="37" t="s">
        <v>352</v>
      </c>
      <c r="E46" s="7" t="s">
        <v>130</v>
      </c>
      <c r="F46" s="7" t="s">
        <v>146</v>
      </c>
      <c r="G46" s="7" t="s">
        <v>36</v>
      </c>
      <c r="H46" s="188" t="s">
        <v>155</v>
      </c>
      <c r="I46" s="180" t="s">
        <v>153</v>
      </c>
      <c r="J46" s="15" t="s">
        <v>38</v>
      </c>
      <c r="K46" s="7" t="s">
        <v>154</v>
      </c>
      <c r="L46" s="7">
        <v>3</v>
      </c>
      <c r="N46" s="7">
        <v>1</v>
      </c>
      <c r="O46" s="7">
        <v>0.6</v>
      </c>
      <c r="P46" s="34">
        <v>0.6</v>
      </c>
      <c r="Q46" s="52">
        <f t="shared" si="0"/>
        <v>0.6</v>
      </c>
      <c r="R46" s="7">
        <v>13.4</v>
      </c>
      <c r="S46" s="7">
        <v>121</v>
      </c>
      <c r="T46" s="16">
        <f t="shared" si="1"/>
        <v>27</v>
      </c>
      <c r="U46" s="180">
        <v>102</v>
      </c>
      <c r="V46" s="16">
        <f t="shared" si="2"/>
        <v>2754</v>
      </c>
      <c r="W46" s="7">
        <v>3</v>
      </c>
      <c r="X46" s="15" t="s">
        <v>46</v>
      </c>
      <c r="Y46" s="188" t="s">
        <v>102</v>
      </c>
      <c r="Z46" s="188" t="s">
        <v>78</v>
      </c>
      <c r="AA46" s="188" t="s">
        <v>90</v>
      </c>
      <c r="AB46" s="39" t="s">
        <v>348</v>
      </c>
    </row>
    <row r="47" spans="1:44" x14ac:dyDescent="0.15">
      <c r="A47" s="15" t="s">
        <v>345</v>
      </c>
      <c r="B47" s="15" t="s">
        <v>346</v>
      </c>
      <c r="C47" s="15">
        <v>2018</v>
      </c>
      <c r="D47" s="37" t="s">
        <v>352</v>
      </c>
      <c r="E47" s="7" t="s">
        <v>130</v>
      </c>
      <c r="F47" s="7" t="s">
        <v>146</v>
      </c>
      <c r="G47" s="7" t="s">
        <v>36</v>
      </c>
      <c r="H47" s="15" t="s">
        <v>168</v>
      </c>
      <c r="I47" s="180" t="s">
        <v>153</v>
      </c>
      <c r="J47" s="15" t="s">
        <v>38</v>
      </c>
      <c r="K47" s="7" t="s">
        <v>154</v>
      </c>
      <c r="L47" s="7">
        <v>1</v>
      </c>
      <c r="N47" s="7">
        <v>1</v>
      </c>
      <c r="O47" s="7">
        <v>0.5</v>
      </c>
      <c r="P47" s="7">
        <v>0.5</v>
      </c>
      <c r="Q47" s="52">
        <f t="shared" si="0"/>
        <v>0.5</v>
      </c>
      <c r="R47" s="7">
        <v>16.100000000000001</v>
      </c>
      <c r="S47" s="7">
        <v>129</v>
      </c>
      <c r="T47" s="16">
        <f t="shared" si="1"/>
        <v>25</v>
      </c>
      <c r="U47" s="7">
        <v>145</v>
      </c>
      <c r="V47" s="16">
        <f t="shared" si="2"/>
        <v>3625</v>
      </c>
      <c r="W47" s="7">
        <v>7</v>
      </c>
      <c r="X47" s="15" t="s">
        <v>46</v>
      </c>
      <c r="Y47" s="188" t="s">
        <v>102</v>
      </c>
      <c r="Z47" s="188" t="s">
        <v>78</v>
      </c>
      <c r="AA47" s="188" t="s">
        <v>90</v>
      </c>
      <c r="AB47" s="39" t="s">
        <v>348</v>
      </c>
    </row>
    <row r="48" spans="1:44" x14ac:dyDescent="0.15">
      <c r="A48" s="15" t="s">
        <v>345</v>
      </c>
      <c r="B48" s="15" t="s">
        <v>346</v>
      </c>
      <c r="C48" s="15">
        <v>2018</v>
      </c>
      <c r="D48" s="37" t="s">
        <v>352</v>
      </c>
      <c r="E48" s="7" t="s">
        <v>130</v>
      </c>
      <c r="F48" s="7" t="s">
        <v>146</v>
      </c>
      <c r="G48" s="7" t="s">
        <v>36</v>
      </c>
      <c r="H48" s="188" t="s">
        <v>168</v>
      </c>
      <c r="I48" s="180" t="s">
        <v>153</v>
      </c>
      <c r="J48" s="15" t="s">
        <v>38</v>
      </c>
      <c r="K48" s="7" t="s">
        <v>154</v>
      </c>
      <c r="L48" s="7">
        <v>2</v>
      </c>
      <c r="N48" s="7">
        <v>1</v>
      </c>
      <c r="O48" s="7">
        <v>0.5</v>
      </c>
      <c r="P48" s="7">
        <v>0.5</v>
      </c>
      <c r="Q48" s="52">
        <f t="shared" si="0"/>
        <v>0.5</v>
      </c>
      <c r="R48" s="7">
        <v>15.4</v>
      </c>
      <c r="S48" s="7">
        <v>131</v>
      </c>
      <c r="T48" s="16">
        <f t="shared" si="1"/>
        <v>25</v>
      </c>
      <c r="U48" s="180">
        <v>145</v>
      </c>
      <c r="V48" s="16">
        <f t="shared" si="2"/>
        <v>3625</v>
      </c>
      <c r="W48" s="7">
        <v>7</v>
      </c>
      <c r="X48" s="15" t="s">
        <v>46</v>
      </c>
      <c r="Y48" s="188" t="s">
        <v>102</v>
      </c>
      <c r="Z48" s="188" t="s">
        <v>78</v>
      </c>
      <c r="AA48" s="188" t="s">
        <v>90</v>
      </c>
      <c r="AB48" s="39" t="s">
        <v>348</v>
      </c>
    </row>
    <row r="49" spans="1:29" x14ac:dyDescent="0.15">
      <c r="A49" s="15" t="s">
        <v>345</v>
      </c>
      <c r="B49" s="15" t="s">
        <v>346</v>
      </c>
      <c r="C49" s="15">
        <v>2018</v>
      </c>
      <c r="D49" s="37" t="s">
        <v>352</v>
      </c>
      <c r="E49" s="7" t="s">
        <v>130</v>
      </c>
      <c r="F49" s="7" t="s">
        <v>146</v>
      </c>
      <c r="G49" s="7" t="s">
        <v>36</v>
      </c>
      <c r="H49" s="188" t="s">
        <v>168</v>
      </c>
      <c r="I49" s="180" t="s">
        <v>153</v>
      </c>
      <c r="J49" s="15" t="s">
        <v>38</v>
      </c>
      <c r="K49" s="7" t="s">
        <v>154</v>
      </c>
      <c r="L49" s="7">
        <v>3</v>
      </c>
      <c r="N49" s="7">
        <v>1</v>
      </c>
      <c r="O49" s="7">
        <v>0.5</v>
      </c>
      <c r="P49" s="34">
        <v>0.5</v>
      </c>
      <c r="Q49" s="52">
        <f t="shared" si="0"/>
        <v>0.5</v>
      </c>
      <c r="R49" s="7">
        <v>14</v>
      </c>
      <c r="S49" s="7">
        <v>135</v>
      </c>
      <c r="T49" s="16">
        <f t="shared" si="1"/>
        <v>25</v>
      </c>
      <c r="U49" s="180">
        <v>145</v>
      </c>
      <c r="V49" s="16">
        <f t="shared" si="2"/>
        <v>3625</v>
      </c>
      <c r="W49" s="7">
        <v>7</v>
      </c>
      <c r="X49" s="15" t="s">
        <v>46</v>
      </c>
      <c r="Y49" s="188" t="s">
        <v>102</v>
      </c>
      <c r="Z49" s="188" t="s">
        <v>78</v>
      </c>
      <c r="AA49" s="188" t="s">
        <v>90</v>
      </c>
      <c r="AB49" s="39" t="s">
        <v>348</v>
      </c>
    </row>
    <row r="50" spans="1:29" x14ac:dyDescent="0.15">
      <c r="A50" s="15" t="s">
        <v>345</v>
      </c>
      <c r="B50" s="15" t="s">
        <v>346</v>
      </c>
      <c r="C50" s="15">
        <v>2018</v>
      </c>
      <c r="D50" s="37" t="s">
        <v>352</v>
      </c>
      <c r="E50" s="7" t="s">
        <v>132</v>
      </c>
      <c r="F50" s="7" t="s">
        <v>147</v>
      </c>
      <c r="G50" s="7" t="s">
        <v>36</v>
      </c>
      <c r="H50" s="15" t="s">
        <v>155</v>
      </c>
      <c r="I50" s="180" t="s">
        <v>153</v>
      </c>
      <c r="J50" s="15" t="s">
        <v>38</v>
      </c>
      <c r="K50" s="7" t="s">
        <v>154</v>
      </c>
      <c r="L50" s="7">
        <v>1</v>
      </c>
      <c r="N50" s="7">
        <v>1</v>
      </c>
      <c r="O50" s="7">
        <v>0.5</v>
      </c>
      <c r="P50" s="7">
        <v>0.55000000000000004</v>
      </c>
      <c r="Q50" s="52">
        <f t="shared" si="0"/>
        <v>0.52500000000000002</v>
      </c>
      <c r="R50" s="7">
        <v>13</v>
      </c>
      <c r="S50" s="7">
        <v>135</v>
      </c>
      <c r="T50" s="16">
        <f t="shared" si="1"/>
        <v>25</v>
      </c>
      <c r="U50" s="180">
        <v>105</v>
      </c>
      <c r="V50" s="16">
        <f t="shared" si="2"/>
        <v>2625</v>
      </c>
      <c r="W50" s="7">
        <v>6</v>
      </c>
      <c r="X50" s="15" t="s">
        <v>46</v>
      </c>
      <c r="Y50" s="188" t="s">
        <v>102</v>
      </c>
      <c r="Z50" s="188" t="s">
        <v>78</v>
      </c>
      <c r="AA50" s="188" t="s">
        <v>55</v>
      </c>
      <c r="AB50" s="39" t="s">
        <v>348</v>
      </c>
    </row>
    <row r="51" spans="1:29" x14ac:dyDescent="0.15">
      <c r="A51" s="15" t="s">
        <v>345</v>
      </c>
      <c r="B51" s="15" t="s">
        <v>346</v>
      </c>
      <c r="C51" s="15">
        <v>2018</v>
      </c>
      <c r="D51" s="37" t="s">
        <v>352</v>
      </c>
      <c r="E51" s="7" t="s">
        <v>132</v>
      </c>
      <c r="F51" s="7" t="s">
        <v>147</v>
      </c>
      <c r="G51" s="7" t="s">
        <v>36</v>
      </c>
      <c r="H51" s="188" t="s">
        <v>155</v>
      </c>
      <c r="I51" s="180" t="s">
        <v>153</v>
      </c>
      <c r="J51" s="15" t="s">
        <v>38</v>
      </c>
      <c r="K51" s="7" t="s">
        <v>154</v>
      </c>
      <c r="L51" s="7">
        <v>2</v>
      </c>
      <c r="N51" s="7">
        <v>1</v>
      </c>
      <c r="O51" s="7">
        <v>0.5</v>
      </c>
      <c r="P51" s="7">
        <v>0.5</v>
      </c>
      <c r="Q51" s="52">
        <f t="shared" si="0"/>
        <v>0.5</v>
      </c>
      <c r="R51" s="7">
        <v>13.1</v>
      </c>
      <c r="S51" s="7">
        <v>144</v>
      </c>
      <c r="T51" s="16">
        <f t="shared" si="1"/>
        <v>22</v>
      </c>
      <c r="U51" s="180">
        <v>105</v>
      </c>
      <c r="V51" s="16">
        <f t="shared" si="2"/>
        <v>2310</v>
      </c>
      <c r="W51" s="7">
        <v>6</v>
      </c>
      <c r="X51" s="15" t="s">
        <v>46</v>
      </c>
      <c r="Y51" s="188" t="s">
        <v>102</v>
      </c>
      <c r="Z51" s="188" t="s">
        <v>78</v>
      </c>
      <c r="AA51" s="188" t="s">
        <v>55</v>
      </c>
      <c r="AB51" s="39" t="s">
        <v>348</v>
      </c>
    </row>
    <row r="52" spans="1:29" x14ac:dyDescent="0.15">
      <c r="A52" s="15" t="s">
        <v>345</v>
      </c>
      <c r="B52" s="15" t="s">
        <v>346</v>
      </c>
      <c r="C52" s="15">
        <v>2018</v>
      </c>
      <c r="D52" s="37" t="s">
        <v>352</v>
      </c>
      <c r="E52" s="7" t="s">
        <v>132</v>
      </c>
      <c r="F52" s="7" t="s">
        <v>147</v>
      </c>
      <c r="G52" s="7" t="s">
        <v>36</v>
      </c>
      <c r="H52" s="188" t="s">
        <v>155</v>
      </c>
      <c r="I52" s="180" t="s">
        <v>153</v>
      </c>
      <c r="J52" s="15" t="s">
        <v>38</v>
      </c>
      <c r="K52" s="7" t="s">
        <v>154</v>
      </c>
      <c r="L52" s="7">
        <v>3</v>
      </c>
      <c r="N52" s="7">
        <v>1</v>
      </c>
      <c r="O52" s="7">
        <v>0.5</v>
      </c>
      <c r="P52" s="7">
        <v>0.55000000000000004</v>
      </c>
      <c r="Q52" s="52">
        <f t="shared" si="0"/>
        <v>0.52500000000000002</v>
      </c>
      <c r="R52" s="7">
        <v>15.3</v>
      </c>
      <c r="S52" s="7">
        <v>148</v>
      </c>
      <c r="T52" s="16">
        <f t="shared" si="1"/>
        <v>22</v>
      </c>
      <c r="U52" s="180">
        <v>105</v>
      </c>
      <c r="V52" s="16">
        <f t="shared" si="2"/>
        <v>2310</v>
      </c>
      <c r="W52" s="7">
        <v>6</v>
      </c>
      <c r="X52" s="15" t="s">
        <v>46</v>
      </c>
      <c r="Y52" s="188" t="s">
        <v>102</v>
      </c>
      <c r="Z52" s="188" t="s">
        <v>78</v>
      </c>
      <c r="AA52" s="188" t="s">
        <v>55</v>
      </c>
      <c r="AB52" s="39" t="s">
        <v>348</v>
      </c>
    </row>
    <row r="53" spans="1:29" x14ac:dyDescent="0.15">
      <c r="A53" s="15" t="s">
        <v>345</v>
      </c>
      <c r="B53" s="15" t="s">
        <v>346</v>
      </c>
      <c r="C53" s="15">
        <v>2018</v>
      </c>
      <c r="D53" s="37" t="s">
        <v>352</v>
      </c>
      <c r="E53" s="7" t="s">
        <v>132</v>
      </c>
      <c r="F53" s="7" t="s">
        <v>147</v>
      </c>
      <c r="G53" s="7" t="s">
        <v>36</v>
      </c>
      <c r="H53" s="15" t="s">
        <v>168</v>
      </c>
      <c r="I53" s="180" t="s">
        <v>153</v>
      </c>
      <c r="J53" s="15" t="s">
        <v>38</v>
      </c>
      <c r="K53" s="7" t="s">
        <v>154</v>
      </c>
      <c r="L53" s="7">
        <v>1</v>
      </c>
      <c r="N53" s="7">
        <v>1</v>
      </c>
      <c r="O53" s="7">
        <v>0.5</v>
      </c>
      <c r="P53" s="7">
        <v>0.5</v>
      </c>
      <c r="Q53" s="52">
        <f t="shared" si="0"/>
        <v>0.5</v>
      </c>
      <c r="R53" s="7">
        <v>15.8</v>
      </c>
      <c r="S53" s="7">
        <v>143</v>
      </c>
      <c r="T53" s="16">
        <f t="shared" si="1"/>
        <v>22</v>
      </c>
      <c r="U53" s="7">
        <v>138</v>
      </c>
      <c r="V53" s="16">
        <f t="shared" si="2"/>
        <v>3036</v>
      </c>
      <c r="W53" s="7">
        <v>11</v>
      </c>
      <c r="X53" s="15" t="s">
        <v>46</v>
      </c>
      <c r="Y53" s="188" t="s">
        <v>102</v>
      </c>
      <c r="Z53" s="188" t="s">
        <v>78</v>
      </c>
      <c r="AA53" s="188" t="s">
        <v>55</v>
      </c>
      <c r="AB53" s="39" t="s">
        <v>348</v>
      </c>
      <c r="AC53" s="36"/>
    </row>
    <row r="54" spans="1:29" x14ac:dyDescent="0.15">
      <c r="A54" s="15" t="s">
        <v>345</v>
      </c>
      <c r="B54" s="15" t="s">
        <v>346</v>
      </c>
      <c r="C54" s="15">
        <v>2018</v>
      </c>
      <c r="D54" s="37" t="s">
        <v>352</v>
      </c>
      <c r="E54" s="7" t="s">
        <v>132</v>
      </c>
      <c r="F54" s="7" t="s">
        <v>147</v>
      </c>
      <c r="G54" s="7" t="s">
        <v>36</v>
      </c>
      <c r="H54" s="188" t="s">
        <v>168</v>
      </c>
      <c r="I54" s="180" t="s">
        <v>153</v>
      </c>
      <c r="J54" s="188" t="s">
        <v>38</v>
      </c>
      <c r="K54" s="7" t="s">
        <v>154</v>
      </c>
      <c r="L54" s="7">
        <v>2</v>
      </c>
      <c r="N54" s="7">
        <v>1</v>
      </c>
      <c r="O54" s="7">
        <v>0.5</v>
      </c>
      <c r="P54" s="7">
        <v>0.5</v>
      </c>
      <c r="Q54" s="52">
        <f t="shared" si="0"/>
        <v>0.5</v>
      </c>
      <c r="R54" s="7">
        <v>18.100000000000001</v>
      </c>
      <c r="S54" s="7">
        <v>145</v>
      </c>
      <c r="T54" s="16">
        <f t="shared" si="1"/>
        <v>22</v>
      </c>
      <c r="U54" s="180">
        <v>138</v>
      </c>
      <c r="V54" s="16">
        <f t="shared" si="2"/>
        <v>3036</v>
      </c>
      <c r="W54" s="7">
        <v>11</v>
      </c>
      <c r="X54" s="15" t="s">
        <v>46</v>
      </c>
      <c r="Y54" s="188" t="s">
        <v>102</v>
      </c>
      <c r="Z54" s="188" t="s">
        <v>78</v>
      </c>
      <c r="AA54" s="188" t="s">
        <v>55</v>
      </c>
      <c r="AB54" s="39" t="s">
        <v>348</v>
      </c>
      <c r="AC54" s="36"/>
    </row>
    <row r="55" spans="1:29" x14ac:dyDescent="0.15">
      <c r="A55" s="15" t="s">
        <v>345</v>
      </c>
      <c r="B55" s="15" t="s">
        <v>346</v>
      </c>
      <c r="C55" s="15">
        <v>2018</v>
      </c>
      <c r="D55" s="37" t="s">
        <v>352</v>
      </c>
      <c r="E55" s="7" t="s">
        <v>132</v>
      </c>
      <c r="F55" s="7" t="s">
        <v>147</v>
      </c>
      <c r="G55" s="7" t="s">
        <v>36</v>
      </c>
      <c r="H55" s="188" t="s">
        <v>168</v>
      </c>
      <c r="I55" s="180" t="s">
        <v>153</v>
      </c>
      <c r="J55" s="188" t="s">
        <v>38</v>
      </c>
      <c r="K55" s="7" t="s">
        <v>154</v>
      </c>
      <c r="L55" s="7">
        <v>3</v>
      </c>
      <c r="N55" s="180">
        <v>1</v>
      </c>
      <c r="O55" s="7">
        <v>0.55000000000000004</v>
      </c>
      <c r="P55" s="7">
        <v>0.5</v>
      </c>
      <c r="Q55" s="52">
        <f t="shared" si="0"/>
        <v>0.52500000000000002</v>
      </c>
      <c r="R55" s="7">
        <v>18.600000000000001</v>
      </c>
      <c r="S55" s="7">
        <v>135</v>
      </c>
      <c r="T55" s="16">
        <f t="shared" si="1"/>
        <v>25</v>
      </c>
      <c r="U55" s="180">
        <v>138</v>
      </c>
      <c r="V55" s="16">
        <f t="shared" si="2"/>
        <v>3450</v>
      </c>
      <c r="W55" s="7">
        <v>11</v>
      </c>
      <c r="X55" s="15" t="s">
        <v>46</v>
      </c>
      <c r="Y55" s="188" t="s">
        <v>102</v>
      </c>
      <c r="Z55" s="188" t="s">
        <v>78</v>
      </c>
      <c r="AA55" s="188" t="s">
        <v>55</v>
      </c>
      <c r="AB55" s="39" t="s">
        <v>348</v>
      </c>
      <c r="AC55" s="36"/>
    </row>
    <row r="56" spans="1:29" x14ac:dyDescent="0.15">
      <c r="A56" s="15" t="s">
        <v>345</v>
      </c>
      <c r="B56" s="15" t="s">
        <v>346</v>
      </c>
      <c r="C56" s="15">
        <v>2018</v>
      </c>
      <c r="D56" s="37" t="s">
        <v>352</v>
      </c>
      <c r="E56" s="7" t="s">
        <v>140</v>
      </c>
      <c r="F56" s="7" t="s">
        <v>148</v>
      </c>
      <c r="G56" s="7" t="s">
        <v>36</v>
      </c>
      <c r="H56" s="15" t="s">
        <v>155</v>
      </c>
      <c r="I56" s="180" t="s">
        <v>153</v>
      </c>
      <c r="J56" s="15" t="s">
        <v>38</v>
      </c>
      <c r="K56" s="7" t="s">
        <v>154</v>
      </c>
      <c r="L56" s="7">
        <v>1</v>
      </c>
      <c r="N56" s="180">
        <v>1</v>
      </c>
      <c r="O56" s="7">
        <v>0.5</v>
      </c>
      <c r="P56" s="7">
        <v>0.5</v>
      </c>
      <c r="Q56" s="52">
        <f t="shared" si="0"/>
        <v>0.5</v>
      </c>
      <c r="R56" s="7">
        <v>15.5</v>
      </c>
      <c r="S56" s="7">
        <v>91</v>
      </c>
      <c r="T56" s="16">
        <f t="shared" si="1"/>
        <v>36</v>
      </c>
      <c r="U56" s="180">
        <v>95</v>
      </c>
      <c r="V56" s="16">
        <f t="shared" si="2"/>
        <v>3420</v>
      </c>
      <c r="W56" s="7">
        <v>4</v>
      </c>
      <c r="X56" s="15" t="s">
        <v>46</v>
      </c>
      <c r="Y56" s="188" t="s">
        <v>78</v>
      </c>
      <c r="Z56" s="188" t="s">
        <v>86</v>
      </c>
      <c r="AA56" s="188" t="s">
        <v>102</v>
      </c>
      <c r="AB56" s="39" t="s">
        <v>348</v>
      </c>
    </row>
    <row r="57" spans="1:29" x14ac:dyDescent="0.15">
      <c r="A57" s="15" t="s">
        <v>345</v>
      </c>
      <c r="B57" s="15" t="s">
        <v>346</v>
      </c>
      <c r="C57" s="15">
        <v>2018</v>
      </c>
      <c r="D57" s="37" t="s">
        <v>352</v>
      </c>
      <c r="E57" s="7" t="s">
        <v>140</v>
      </c>
      <c r="F57" s="7" t="s">
        <v>148</v>
      </c>
      <c r="G57" s="7" t="s">
        <v>36</v>
      </c>
      <c r="H57" s="188" t="s">
        <v>155</v>
      </c>
      <c r="I57" s="180" t="s">
        <v>153</v>
      </c>
      <c r="J57" s="15" t="s">
        <v>38</v>
      </c>
      <c r="K57" s="7" t="s">
        <v>154</v>
      </c>
      <c r="L57" s="7">
        <v>2</v>
      </c>
      <c r="N57" s="180">
        <v>1</v>
      </c>
      <c r="O57" s="7">
        <v>0.65</v>
      </c>
      <c r="P57" s="7">
        <v>0.6</v>
      </c>
      <c r="Q57" s="52">
        <f t="shared" si="0"/>
        <v>0.625</v>
      </c>
      <c r="R57" s="7">
        <v>14.9</v>
      </c>
      <c r="S57" s="7">
        <v>89</v>
      </c>
      <c r="T57" s="16">
        <f t="shared" si="1"/>
        <v>36</v>
      </c>
      <c r="U57" s="180">
        <v>95</v>
      </c>
      <c r="V57" s="16">
        <f t="shared" si="2"/>
        <v>3420</v>
      </c>
      <c r="W57" s="7">
        <v>4</v>
      </c>
      <c r="X57" s="15" t="s">
        <v>46</v>
      </c>
      <c r="Y57" s="188" t="s">
        <v>78</v>
      </c>
      <c r="Z57" s="188" t="s">
        <v>86</v>
      </c>
      <c r="AA57" s="188" t="s">
        <v>102</v>
      </c>
      <c r="AB57" s="39" t="s">
        <v>348</v>
      </c>
    </row>
    <row r="58" spans="1:29" x14ac:dyDescent="0.15">
      <c r="A58" s="15" t="s">
        <v>345</v>
      </c>
      <c r="B58" s="15" t="s">
        <v>346</v>
      </c>
      <c r="C58" s="15">
        <v>2018</v>
      </c>
      <c r="D58" s="37" t="s">
        <v>352</v>
      </c>
      <c r="E58" s="7" t="s">
        <v>140</v>
      </c>
      <c r="F58" s="7" t="s">
        <v>148</v>
      </c>
      <c r="G58" s="7" t="s">
        <v>36</v>
      </c>
      <c r="H58" s="188" t="s">
        <v>155</v>
      </c>
      <c r="I58" s="180" t="s">
        <v>153</v>
      </c>
      <c r="J58" s="15" t="s">
        <v>38</v>
      </c>
      <c r="K58" s="7" t="s">
        <v>154</v>
      </c>
      <c r="L58" s="7">
        <v>3</v>
      </c>
      <c r="N58" s="180">
        <v>1</v>
      </c>
      <c r="O58" s="7">
        <v>0.55000000000000004</v>
      </c>
      <c r="P58" s="7">
        <v>0.6</v>
      </c>
      <c r="Q58" s="52">
        <f t="shared" si="0"/>
        <v>0.57499999999999996</v>
      </c>
      <c r="R58" s="7">
        <v>15.4</v>
      </c>
      <c r="S58" s="7">
        <v>86</v>
      </c>
      <c r="T58" s="16">
        <f t="shared" si="1"/>
        <v>36</v>
      </c>
      <c r="U58" s="180">
        <v>95</v>
      </c>
      <c r="V58" s="16">
        <f t="shared" si="2"/>
        <v>3420</v>
      </c>
      <c r="W58" s="7">
        <v>4</v>
      </c>
      <c r="X58" s="15" t="s">
        <v>46</v>
      </c>
      <c r="Y58" s="188" t="s">
        <v>78</v>
      </c>
      <c r="Z58" s="188" t="s">
        <v>86</v>
      </c>
      <c r="AA58" s="188" t="s">
        <v>102</v>
      </c>
      <c r="AB58" s="39" t="s">
        <v>348</v>
      </c>
    </row>
    <row r="59" spans="1:29" x14ac:dyDescent="0.15">
      <c r="A59" s="15" t="s">
        <v>345</v>
      </c>
      <c r="B59" s="15" t="s">
        <v>346</v>
      </c>
      <c r="C59" s="15">
        <v>2018</v>
      </c>
      <c r="D59" s="37" t="s">
        <v>352</v>
      </c>
      <c r="E59" s="7" t="s">
        <v>140</v>
      </c>
      <c r="F59" s="7" t="s">
        <v>148</v>
      </c>
      <c r="G59" s="7" t="s">
        <v>36</v>
      </c>
      <c r="H59" s="15" t="s">
        <v>168</v>
      </c>
      <c r="I59" s="180" t="s">
        <v>153</v>
      </c>
      <c r="J59" s="15" t="s">
        <v>38</v>
      </c>
      <c r="K59" s="7" t="s">
        <v>154</v>
      </c>
      <c r="L59" s="7">
        <v>1</v>
      </c>
      <c r="N59" s="180">
        <v>1</v>
      </c>
      <c r="O59" s="7">
        <v>0.55000000000000004</v>
      </c>
      <c r="P59" s="7">
        <v>0.55000000000000004</v>
      </c>
      <c r="Q59" s="52">
        <f t="shared" si="0"/>
        <v>0.55000000000000004</v>
      </c>
      <c r="R59" s="7">
        <v>15.3</v>
      </c>
      <c r="S59" s="7">
        <v>129</v>
      </c>
      <c r="T59" s="16">
        <f t="shared" si="1"/>
        <v>25</v>
      </c>
      <c r="U59" s="7">
        <v>170</v>
      </c>
      <c r="V59" s="16">
        <f t="shared" si="2"/>
        <v>4250</v>
      </c>
      <c r="W59" s="7">
        <v>3</v>
      </c>
      <c r="X59" s="15" t="s">
        <v>46</v>
      </c>
      <c r="Y59" s="188" t="s">
        <v>78</v>
      </c>
      <c r="Z59" s="188" t="s">
        <v>86</v>
      </c>
      <c r="AA59" s="188" t="s">
        <v>102</v>
      </c>
      <c r="AB59" s="39" t="s">
        <v>348</v>
      </c>
    </row>
    <row r="60" spans="1:29" x14ac:dyDescent="0.15">
      <c r="A60" s="15" t="s">
        <v>345</v>
      </c>
      <c r="B60" s="15" t="s">
        <v>346</v>
      </c>
      <c r="C60" s="15">
        <v>2018</v>
      </c>
      <c r="D60" s="37" t="s">
        <v>352</v>
      </c>
      <c r="E60" s="7" t="s">
        <v>140</v>
      </c>
      <c r="F60" s="7" t="s">
        <v>148</v>
      </c>
      <c r="G60" s="7" t="s">
        <v>36</v>
      </c>
      <c r="H60" s="188" t="s">
        <v>168</v>
      </c>
      <c r="I60" s="180" t="s">
        <v>153</v>
      </c>
      <c r="J60" s="15" t="s">
        <v>38</v>
      </c>
      <c r="K60" s="7" t="s">
        <v>154</v>
      </c>
      <c r="L60" s="7">
        <v>2</v>
      </c>
      <c r="N60" s="7">
        <v>1</v>
      </c>
      <c r="O60" s="7">
        <v>0.75</v>
      </c>
      <c r="P60" s="7">
        <v>0.85</v>
      </c>
      <c r="Q60" s="52">
        <f t="shared" si="0"/>
        <v>0.8</v>
      </c>
      <c r="R60" s="7">
        <v>16</v>
      </c>
      <c r="S60" s="7">
        <v>136</v>
      </c>
      <c r="T60" s="16">
        <f>IF(H60="","",IF(OR(H60="GREEN",H60="GK"),IF(S60&gt;=$AX$2,VLOOKUP(S60,$AX$2:$AY$12,2,1),""),IF(S60&gt;=$AZ$2,VLOOKUP(S60,$AZ$2:$BA$12,2,1),"")))</f>
        <v>25</v>
      </c>
      <c r="U60" s="180">
        <v>170</v>
      </c>
      <c r="V60" s="16">
        <f t="shared" si="2"/>
        <v>4250</v>
      </c>
      <c r="W60" s="7">
        <v>3</v>
      </c>
      <c r="X60" s="15" t="s">
        <v>46</v>
      </c>
      <c r="Y60" s="188" t="s">
        <v>78</v>
      </c>
      <c r="Z60" s="188" t="s">
        <v>86</v>
      </c>
      <c r="AA60" s="188" t="s">
        <v>102</v>
      </c>
      <c r="AB60" s="39" t="s">
        <v>348</v>
      </c>
    </row>
    <row r="61" spans="1:29" x14ac:dyDescent="0.15">
      <c r="A61" s="15" t="s">
        <v>345</v>
      </c>
      <c r="B61" s="15" t="s">
        <v>346</v>
      </c>
      <c r="C61" s="15">
        <v>2018</v>
      </c>
      <c r="D61" s="37" t="s">
        <v>352</v>
      </c>
      <c r="E61" s="7" t="s">
        <v>140</v>
      </c>
      <c r="F61" s="7" t="s">
        <v>148</v>
      </c>
      <c r="G61" s="7" t="s">
        <v>36</v>
      </c>
      <c r="H61" s="188" t="s">
        <v>168</v>
      </c>
      <c r="I61" s="180" t="s">
        <v>153</v>
      </c>
      <c r="J61" s="15" t="s">
        <v>38</v>
      </c>
      <c r="K61" s="7" t="s">
        <v>154</v>
      </c>
      <c r="L61" s="7">
        <v>3</v>
      </c>
      <c r="N61" s="7">
        <v>1</v>
      </c>
      <c r="O61" s="7">
        <v>0.5</v>
      </c>
      <c r="P61" s="7">
        <v>0.65</v>
      </c>
      <c r="Q61" s="52">
        <f t="shared" si="0"/>
        <v>0.57499999999999996</v>
      </c>
      <c r="R61" s="7">
        <v>15.2</v>
      </c>
      <c r="S61" s="7">
        <v>136</v>
      </c>
      <c r="T61" s="16">
        <f>IF(H61="","",IF(OR(H61="GREEN",H61="GK"),IF(S61&gt;=$AX$2,VLOOKUP(S61,$AX$2:$AY$12,2,1),""),IF(S61&gt;=$AZ$2,VLOOKUP(S61,$AZ$2:$BA$12,2,1),"")))</f>
        <v>25</v>
      </c>
      <c r="U61" s="180">
        <v>170</v>
      </c>
      <c r="V61" s="16">
        <f t="shared" si="2"/>
        <v>4250</v>
      </c>
      <c r="W61" s="7">
        <v>3</v>
      </c>
      <c r="X61" s="15" t="s">
        <v>46</v>
      </c>
      <c r="Y61" s="188" t="s">
        <v>78</v>
      </c>
      <c r="Z61" s="188" t="s">
        <v>86</v>
      </c>
      <c r="AA61" s="188" t="s">
        <v>102</v>
      </c>
      <c r="AB61" s="39" t="s">
        <v>348</v>
      </c>
    </row>
    <row r="62" spans="1:29" x14ac:dyDescent="0.15">
      <c r="A62" s="15"/>
      <c r="B62" s="15"/>
      <c r="C62" s="15"/>
      <c r="D62" s="37"/>
      <c r="H62" s="15"/>
      <c r="I62" s="180"/>
      <c r="J62" s="15"/>
      <c r="Q62" s="52" t="str">
        <f t="shared" si="0"/>
        <v/>
      </c>
      <c r="T62" s="16" t="str">
        <f t="shared" ref="T62:T120" si="3">IF(H62="","",IF(OR(H62="GREEN",H62="GK"),IF(S62&gt;=$AX$2,VLOOKUP(S62,$AX$2:$AY$12,2,1),""),IF(S62&gt;=$AZ$2,VLOOKUP(S62,$AZ$2:$BA$12,2,1),"")))</f>
        <v/>
      </c>
      <c r="V62" s="16" t="str">
        <f t="shared" si="2"/>
        <v/>
      </c>
      <c r="X62" s="188"/>
      <c r="Y62" s="188"/>
      <c r="Z62" s="188"/>
      <c r="AA62" s="188"/>
      <c r="AB62" s="39"/>
    </row>
    <row r="63" spans="1:29" x14ac:dyDescent="0.15">
      <c r="A63" s="15"/>
      <c r="B63" s="15"/>
      <c r="C63" s="15"/>
      <c r="D63" s="37"/>
      <c r="H63" s="188"/>
      <c r="I63" s="180"/>
      <c r="J63" s="15"/>
      <c r="Q63" s="52" t="str">
        <f t="shared" si="0"/>
        <v/>
      </c>
      <c r="T63" s="16" t="str">
        <f t="shared" si="3"/>
        <v/>
      </c>
      <c r="U63" s="180"/>
      <c r="V63" s="16" t="str">
        <f t="shared" si="2"/>
        <v/>
      </c>
      <c r="X63" s="188"/>
      <c r="Y63" s="188"/>
      <c r="Z63" s="188"/>
      <c r="AA63" s="188"/>
      <c r="AB63" s="39"/>
    </row>
    <row r="64" spans="1:29" x14ac:dyDescent="0.15">
      <c r="A64" s="15"/>
      <c r="B64" s="15"/>
      <c r="C64" s="15"/>
      <c r="D64" s="37"/>
      <c r="H64" s="188"/>
      <c r="I64" s="180"/>
      <c r="J64" s="15"/>
      <c r="Q64" s="52" t="str">
        <f t="shared" si="0"/>
        <v/>
      </c>
      <c r="T64" s="16" t="str">
        <f t="shared" si="3"/>
        <v/>
      </c>
      <c r="U64" s="180"/>
      <c r="V64" s="16" t="str">
        <f t="shared" si="2"/>
        <v/>
      </c>
      <c r="X64" s="188"/>
      <c r="Y64" s="188"/>
      <c r="Z64" s="188"/>
      <c r="AA64" s="188"/>
      <c r="AB64" s="39"/>
    </row>
    <row r="65" spans="1:28" x14ac:dyDescent="0.15">
      <c r="A65" s="15"/>
      <c r="B65" s="15"/>
      <c r="C65" s="15"/>
      <c r="D65" s="37"/>
      <c r="H65" s="15"/>
      <c r="I65" s="180"/>
      <c r="J65" s="15"/>
      <c r="Q65" s="52" t="str">
        <f t="shared" si="0"/>
        <v/>
      </c>
      <c r="T65" s="16" t="str">
        <f t="shared" si="3"/>
        <v/>
      </c>
      <c r="V65" s="16" t="str">
        <f t="shared" si="2"/>
        <v/>
      </c>
      <c r="X65" s="188"/>
      <c r="Y65" s="188"/>
      <c r="Z65" s="188"/>
      <c r="AA65" s="188"/>
      <c r="AB65" s="39"/>
    </row>
    <row r="66" spans="1:28" x14ac:dyDescent="0.15">
      <c r="A66" s="15"/>
      <c r="B66" s="15"/>
      <c r="C66" s="15"/>
      <c r="D66" s="37"/>
      <c r="H66" s="188"/>
      <c r="I66" s="180"/>
      <c r="J66" s="15"/>
      <c r="Q66" s="52" t="str">
        <f t="shared" ref="Q66:Q77" si="4">IF(OR(O66="",P66=""),"",AVERAGE(O66,P66))</f>
        <v/>
      </c>
      <c r="T66" s="16" t="str">
        <f t="shared" si="3"/>
        <v/>
      </c>
      <c r="U66" s="180"/>
      <c r="V66" s="16" t="str">
        <f t="shared" ref="V66:V70" si="5">IF(OR(N66="",U66="",T66=""),"",U66/N66*T66)</f>
        <v/>
      </c>
      <c r="X66" s="188"/>
      <c r="Y66" s="188"/>
      <c r="Z66" s="188"/>
      <c r="AA66" s="188"/>
      <c r="AB66" s="39"/>
    </row>
    <row r="67" spans="1:28" x14ac:dyDescent="0.15">
      <c r="A67" s="15"/>
      <c r="B67" s="15"/>
      <c r="C67" s="15"/>
      <c r="D67" s="37"/>
      <c r="H67" s="188"/>
      <c r="I67" s="180"/>
      <c r="J67" s="15"/>
      <c r="Q67" s="52" t="str">
        <f t="shared" si="4"/>
        <v/>
      </c>
      <c r="T67" s="16" t="str">
        <f t="shared" si="3"/>
        <v/>
      </c>
      <c r="U67" s="180"/>
      <c r="V67" s="16" t="str">
        <f t="shared" si="5"/>
        <v/>
      </c>
      <c r="X67" s="188"/>
      <c r="Y67" s="188"/>
      <c r="Z67" s="188"/>
      <c r="AA67" s="188"/>
      <c r="AB67" s="39"/>
    </row>
    <row r="68" spans="1:28" x14ac:dyDescent="0.15">
      <c r="A68" s="15"/>
      <c r="B68" s="15"/>
      <c r="C68" s="15"/>
      <c r="D68" s="37"/>
      <c r="H68" s="15"/>
      <c r="I68" s="180"/>
      <c r="J68" s="15"/>
      <c r="Q68" s="52" t="str">
        <f t="shared" si="4"/>
        <v/>
      </c>
      <c r="T68" s="16" t="str">
        <f t="shared" si="3"/>
        <v/>
      </c>
      <c r="V68" s="16" t="str">
        <f t="shared" si="5"/>
        <v/>
      </c>
      <c r="X68" s="188"/>
      <c r="Y68" s="188"/>
      <c r="Z68" s="188"/>
      <c r="AA68" s="188"/>
      <c r="AB68" s="39"/>
    </row>
    <row r="69" spans="1:28" x14ac:dyDescent="0.15">
      <c r="A69" s="15"/>
      <c r="B69" s="15"/>
      <c r="C69" s="15"/>
      <c r="D69" s="37"/>
      <c r="H69" s="188"/>
      <c r="I69" s="180"/>
      <c r="J69" s="15"/>
      <c r="N69" s="180"/>
      <c r="Q69" s="52" t="str">
        <f t="shared" si="4"/>
        <v/>
      </c>
      <c r="T69" s="16" t="str">
        <f t="shared" si="3"/>
        <v/>
      </c>
      <c r="U69" s="180"/>
      <c r="V69" s="16" t="str">
        <f t="shared" si="5"/>
        <v/>
      </c>
      <c r="X69" s="188"/>
      <c r="Y69" s="188"/>
      <c r="Z69" s="188"/>
      <c r="AA69" s="188"/>
      <c r="AB69" s="39"/>
    </row>
    <row r="70" spans="1:28" x14ac:dyDescent="0.15">
      <c r="A70" s="15"/>
      <c r="B70" s="15"/>
      <c r="C70" s="15"/>
      <c r="D70" s="37"/>
      <c r="H70" s="188"/>
      <c r="I70" s="180"/>
      <c r="J70" s="15"/>
      <c r="N70" s="180"/>
      <c r="Q70" s="52" t="str">
        <f t="shared" si="4"/>
        <v/>
      </c>
      <c r="T70" s="16" t="str">
        <f t="shared" si="3"/>
        <v/>
      </c>
      <c r="U70" s="180"/>
      <c r="V70" s="16" t="str">
        <f t="shared" si="5"/>
        <v/>
      </c>
      <c r="X70" s="188"/>
      <c r="Y70" s="188"/>
      <c r="Z70" s="188"/>
      <c r="AA70" s="188"/>
      <c r="AB70" s="39"/>
    </row>
    <row r="71" spans="1:28" x14ac:dyDescent="0.15">
      <c r="A71" s="15"/>
      <c r="B71" s="15"/>
      <c r="C71" s="15"/>
      <c r="D71" s="37"/>
      <c r="H71" s="15"/>
      <c r="I71" s="180"/>
      <c r="J71" s="15"/>
      <c r="N71" s="180"/>
      <c r="Q71" s="52" t="str">
        <f t="shared" si="4"/>
        <v/>
      </c>
      <c r="T71" s="16" t="str">
        <f t="shared" si="3"/>
        <v/>
      </c>
      <c r="V71" s="16" t="str">
        <f>IF(OR(N71="",U71="",T71=""),"",U71/N71*T71)</f>
        <v/>
      </c>
      <c r="X71" s="15"/>
      <c r="Y71" s="15"/>
      <c r="Z71" s="15"/>
      <c r="AA71" s="15"/>
      <c r="AB71" s="39"/>
    </row>
    <row r="72" spans="1:28" x14ac:dyDescent="0.15">
      <c r="A72" s="15"/>
      <c r="B72" s="15"/>
      <c r="C72" s="15"/>
      <c r="D72" s="37"/>
      <c r="H72" s="188"/>
      <c r="I72" s="180"/>
      <c r="J72" s="188"/>
      <c r="K72" s="180"/>
      <c r="N72" s="180"/>
      <c r="Q72" s="52" t="str">
        <f t="shared" si="4"/>
        <v/>
      </c>
      <c r="T72" s="16" t="str">
        <f t="shared" si="3"/>
        <v/>
      </c>
      <c r="U72" s="180"/>
      <c r="V72" s="16" t="str">
        <f t="shared" ref="V72:V74" si="6">IF(OR(N72="",U72="",T72=""),"",U72/N72*T72)</f>
        <v/>
      </c>
      <c r="X72" s="15"/>
      <c r="Y72" s="188"/>
      <c r="Z72" s="188"/>
      <c r="AA72" s="188"/>
      <c r="AB72" s="39"/>
    </row>
    <row r="73" spans="1:28" x14ac:dyDescent="0.15">
      <c r="A73" s="15"/>
      <c r="B73" s="15"/>
      <c r="C73" s="15"/>
      <c r="D73" s="37"/>
      <c r="H73" s="188"/>
      <c r="I73" s="180"/>
      <c r="J73" s="188"/>
      <c r="K73" s="180"/>
      <c r="N73" s="180"/>
      <c r="Q73" s="52" t="str">
        <f t="shared" si="4"/>
        <v/>
      </c>
      <c r="T73" s="16" t="str">
        <f t="shared" si="3"/>
        <v/>
      </c>
      <c r="U73" s="180"/>
      <c r="V73" s="16" t="str">
        <f>IF(OR(N73="",U73="",T73=""),"",U73/N73*T73)</f>
        <v/>
      </c>
      <c r="X73" s="15"/>
      <c r="Y73" s="188"/>
      <c r="Z73" s="188"/>
      <c r="AA73" s="188"/>
      <c r="AB73" s="39"/>
    </row>
    <row r="74" spans="1:28" x14ac:dyDescent="0.15">
      <c r="A74" s="15"/>
      <c r="B74" s="15"/>
      <c r="C74" s="15"/>
      <c r="D74" s="37"/>
      <c r="H74" s="15"/>
      <c r="I74" s="180"/>
      <c r="J74" s="15"/>
      <c r="N74" s="180"/>
      <c r="Q74" s="52" t="str">
        <f t="shared" si="4"/>
        <v/>
      </c>
      <c r="T74" s="16" t="str">
        <f t="shared" si="3"/>
        <v/>
      </c>
      <c r="V74" s="16" t="str">
        <f t="shared" si="6"/>
        <v/>
      </c>
      <c r="X74" s="15"/>
      <c r="Y74" s="188"/>
      <c r="Z74" s="188"/>
      <c r="AA74" s="188"/>
      <c r="AB74" s="39"/>
    </row>
    <row r="75" spans="1:28" x14ac:dyDescent="0.15">
      <c r="A75" s="15"/>
      <c r="B75" s="15"/>
      <c r="C75" s="15"/>
      <c r="D75" s="37"/>
      <c r="H75" s="188"/>
      <c r="I75" s="180"/>
      <c r="J75" s="15"/>
      <c r="N75" s="180"/>
      <c r="Q75" s="52" t="str">
        <f t="shared" si="4"/>
        <v/>
      </c>
      <c r="T75" s="16" t="str">
        <f t="shared" si="3"/>
        <v/>
      </c>
      <c r="U75" s="180"/>
      <c r="V75" s="16" t="str">
        <f>IF(OR(N75="",U75="",T75=""),"",U75/N75*T75)</f>
        <v/>
      </c>
      <c r="X75" s="15"/>
      <c r="Y75" s="188"/>
      <c r="Z75" s="188"/>
      <c r="AA75" s="188"/>
      <c r="AB75" s="39"/>
    </row>
    <row r="76" spans="1:28" x14ac:dyDescent="0.15">
      <c r="A76" s="15"/>
      <c r="B76" s="15"/>
      <c r="C76" s="15"/>
      <c r="D76" s="37"/>
      <c r="H76" s="188"/>
      <c r="I76" s="180"/>
      <c r="J76" s="15"/>
      <c r="N76" s="180"/>
      <c r="Q76" s="52" t="str">
        <f t="shared" si="4"/>
        <v/>
      </c>
      <c r="T76" s="16" t="str">
        <f t="shared" si="3"/>
        <v/>
      </c>
      <c r="U76" s="180"/>
      <c r="V76" s="16" t="str">
        <f>IF(OR(N76="",U76="",T76=""),"",U76/N76*T76)</f>
        <v/>
      </c>
      <c r="X76" s="15"/>
      <c r="Y76" s="188"/>
      <c r="Z76" s="188"/>
      <c r="AA76" s="188"/>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5"/>
  <sheetViews>
    <sheetView zoomScale="80" zoomScaleNormal="80" workbookViewId="0">
      <selection activeCell="AE26" sqref="AE26"/>
    </sheetView>
  </sheetViews>
  <sheetFormatPr defaultColWidth="9" defaultRowHeight="13.5" x14ac:dyDescent="0.15"/>
  <cols>
    <col min="1" max="3" width="9" style="236"/>
    <col min="4" max="4" width="11" style="236" bestFit="1" customWidth="1"/>
    <col min="5" max="5" width="10.875" style="236" bestFit="1" customWidth="1"/>
    <col min="6" max="16" width="9" style="236"/>
    <col min="17" max="17" width="9" style="248"/>
    <col min="18" max="18" width="9" style="236"/>
    <col min="19" max="19" width="11.625" style="236" bestFit="1" customWidth="1"/>
    <col min="20" max="20" width="9" style="248"/>
    <col min="21" max="21" width="9" style="236"/>
    <col min="22" max="22" width="9" style="249"/>
    <col min="23" max="32" width="9" style="236"/>
    <col min="33" max="33" width="14.375" style="236" bestFit="1" customWidth="1"/>
    <col min="34" max="34" width="11.375" style="236" bestFit="1" customWidth="1"/>
    <col min="35" max="16384" width="9" style="236"/>
  </cols>
  <sheetData>
    <row r="1" spans="1:53" ht="45" x14ac:dyDescent="0.15">
      <c r="A1" s="228" t="s">
        <v>0</v>
      </c>
      <c r="B1" s="229" t="s">
        <v>1</v>
      </c>
      <c r="C1" s="229" t="s">
        <v>354</v>
      </c>
      <c r="D1" s="230" t="s">
        <v>3</v>
      </c>
      <c r="E1" s="231" t="s">
        <v>4</v>
      </c>
      <c r="F1" s="231" t="s">
        <v>5</v>
      </c>
      <c r="G1" s="231" t="s">
        <v>6</v>
      </c>
      <c r="H1" s="231" t="s">
        <v>7</v>
      </c>
      <c r="I1" s="231" t="s">
        <v>8</v>
      </c>
      <c r="J1" s="231" t="s">
        <v>9</v>
      </c>
      <c r="K1" s="231" t="s">
        <v>10</v>
      </c>
      <c r="L1" s="230" t="s">
        <v>355</v>
      </c>
      <c r="M1" s="230" t="s">
        <v>12</v>
      </c>
      <c r="N1" s="230" t="s">
        <v>13</v>
      </c>
      <c r="O1" s="230" t="s">
        <v>356</v>
      </c>
      <c r="P1" s="230" t="s">
        <v>357</v>
      </c>
      <c r="Q1" s="232" t="s">
        <v>16</v>
      </c>
      <c r="R1" s="230" t="s">
        <v>358</v>
      </c>
      <c r="S1" s="230" t="s">
        <v>359</v>
      </c>
      <c r="T1" s="232" t="s">
        <v>19</v>
      </c>
      <c r="U1" s="233" t="s">
        <v>108</v>
      </c>
      <c r="V1" s="234" t="s">
        <v>20</v>
      </c>
      <c r="W1" s="230" t="s">
        <v>21</v>
      </c>
      <c r="X1" s="231" t="s">
        <v>22</v>
      </c>
      <c r="Y1" s="231" t="s">
        <v>23</v>
      </c>
      <c r="Z1" s="231" t="s">
        <v>24</v>
      </c>
      <c r="AA1" s="231" t="s">
        <v>25</v>
      </c>
      <c r="AB1" s="235" t="s">
        <v>360</v>
      </c>
      <c r="AE1" s="237" t="s">
        <v>0</v>
      </c>
      <c r="AF1" s="238"/>
      <c r="AG1" s="237" t="s">
        <v>4</v>
      </c>
      <c r="AH1" s="237" t="s">
        <v>5</v>
      </c>
      <c r="AI1" s="238"/>
      <c r="AJ1" s="237" t="s">
        <v>6</v>
      </c>
      <c r="AK1" s="238"/>
      <c r="AL1" s="239" t="s">
        <v>7</v>
      </c>
      <c r="AM1" s="238"/>
      <c r="AN1" s="239" t="s">
        <v>8</v>
      </c>
      <c r="AO1" s="238"/>
      <c r="AP1" s="239" t="s">
        <v>27</v>
      </c>
      <c r="AQ1" s="238"/>
      <c r="AR1" s="239" t="s">
        <v>10</v>
      </c>
      <c r="AS1" s="238"/>
      <c r="AT1" s="240" t="s">
        <v>28</v>
      </c>
      <c r="AU1" s="238"/>
      <c r="AV1" s="239" t="s">
        <v>29</v>
      </c>
      <c r="AX1" s="241" t="s">
        <v>361</v>
      </c>
      <c r="AY1" s="242" t="s">
        <v>362</v>
      </c>
      <c r="AZ1" s="242" t="s">
        <v>363</v>
      </c>
      <c r="BA1" s="243" t="s">
        <v>364</v>
      </c>
    </row>
    <row r="2" spans="1:53" s="244" customFormat="1" x14ac:dyDescent="0.15">
      <c r="A2" s="244" t="s">
        <v>41</v>
      </c>
      <c r="B2" s="236" t="s">
        <v>346</v>
      </c>
      <c r="C2" s="245">
        <v>2018</v>
      </c>
      <c r="D2" s="246" t="s">
        <v>366</v>
      </c>
      <c r="E2" s="236" t="s">
        <v>133</v>
      </c>
      <c r="F2" s="236" t="s">
        <v>304</v>
      </c>
      <c r="G2" s="244" t="s">
        <v>42</v>
      </c>
      <c r="H2" s="244" t="s">
        <v>155</v>
      </c>
      <c r="I2" s="244" t="s">
        <v>153</v>
      </c>
      <c r="J2" s="244" t="s">
        <v>38</v>
      </c>
      <c r="K2" s="244" t="s">
        <v>154</v>
      </c>
      <c r="L2" s="236">
        <v>1</v>
      </c>
      <c r="M2" s="236"/>
      <c r="N2" s="244">
        <v>1</v>
      </c>
      <c r="O2" s="244">
        <v>0.5</v>
      </c>
      <c r="P2" s="244">
        <v>0.6</v>
      </c>
      <c r="Q2" s="247">
        <f t="shared" ref="Q2:Q65" si="0">IF(OR(O2="",P2=""),"",AVERAGE(O2,P2))</f>
        <v>0.55000000000000004</v>
      </c>
      <c r="R2" s="244">
        <v>15.3</v>
      </c>
      <c r="S2" s="244">
        <v>145</v>
      </c>
      <c r="T2" s="248">
        <f t="shared" ref="T2:T13" si="1">IF(H2="","",IF(OR(H2="GREEN",H2="GK"),IF(S2&gt;=$AX$2,VLOOKUP(S2,$AX$2:$AY$10,2,1),""),IF(S2&gt;=$AZ$2,VLOOKUP(S2,$AZ$2:$BA$10,2,1),"")))</f>
        <v>22</v>
      </c>
      <c r="U2" s="236">
        <v>105</v>
      </c>
      <c r="V2" s="249">
        <f t="shared" ref="V2:V65" si="2">IF(OR(N2="",U2="",T2=""),"",U2/N2*T2)</f>
        <v>2310</v>
      </c>
      <c r="W2" s="236">
        <v>3</v>
      </c>
      <c r="X2" s="244" t="s">
        <v>46</v>
      </c>
      <c r="Y2" s="244" t="s">
        <v>55</v>
      </c>
      <c r="Z2" s="244" t="s">
        <v>78</v>
      </c>
      <c r="AA2" s="244" t="s">
        <v>69</v>
      </c>
      <c r="AB2" s="244" t="s">
        <v>348</v>
      </c>
      <c r="AE2" s="250" t="s">
        <v>35</v>
      </c>
      <c r="AG2" s="251" t="s">
        <v>133</v>
      </c>
      <c r="AH2" s="252" t="s">
        <v>304</v>
      </c>
      <c r="AJ2" s="253" t="s">
        <v>36</v>
      </c>
      <c r="AL2" s="253" t="s">
        <v>127</v>
      </c>
      <c r="AN2" s="253" t="s">
        <v>37</v>
      </c>
      <c r="AP2" s="253" t="s">
        <v>38</v>
      </c>
      <c r="AR2" s="253" t="s">
        <v>120</v>
      </c>
      <c r="AT2" s="253" t="s">
        <v>39</v>
      </c>
      <c r="AV2" s="253" t="s">
        <v>40</v>
      </c>
      <c r="AX2" s="254">
        <v>1</v>
      </c>
      <c r="AY2" s="255">
        <v>50</v>
      </c>
      <c r="AZ2" s="255">
        <v>1</v>
      </c>
      <c r="BA2" s="256">
        <v>50</v>
      </c>
    </row>
    <row r="3" spans="1:53" x14ac:dyDescent="0.15">
      <c r="A3" s="244" t="s">
        <v>41</v>
      </c>
      <c r="B3" s="236" t="s">
        <v>346</v>
      </c>
      <c r="C3" s="245">
        <v>2018</v>
      </c>
      <c r="D3" s="246" t="s">
        <v>365</v>
      </c>
      <c r="E3" s="236" t="s">
        <v>133</v>
      </c>
      <c r="F3" s="236" t="s">
        <v>304</v>
      </c>
      <c r="G3" s="244" t="s">
        <v>42</v>
      </c>
      <c r="H3" s="244" t="s">
        <v>155</v>
      </c>
      <c r="I3" s="244" t="s">
        <v>153</v>
      </c>
      <c r="J3" s="244" t="s">
        <v>38</v>
      </c>
      <c r="K3" s="244" t="s">
        <v>154</v>
      </c>
      <c r="L3" s="236">
        <v>2</v>
      </c>
      <c r="N3" s="244">
        <v>1</v>
      </c>
      <c r="O3" s="244">
        <v>0.6</v>
      </c>
      <c r="P3" s="244">
        <v>0.55000000000000004</v>
      </c>
      <c r="Q3" s="247">
        <f t="shared" si="0"/>
        <v>0.57499999999999996</v>
      </c>
      <c r="R3" s="244">
        <v>16.2</v>
      </c>
      <c r="S3" s="244">
        <v>138</v>
      </c>
      <c r="T3" s="248">
        <f t="shared" si="1"/>
        <v>22</v>
      </c>
      <c r="U3" s="236">
        <v>105</v>
      </c>
      <c r="V3" s="249">
        <f t="shared" si="2"/>
        <v>2310</v>
      </c>
      <c r="W3" s="236">
        <v>3</v>
      </c>
      <c r="X3" s="244" t="s">
        <v>46</v>
      </c>
      <c r="Y3" s="244" t="s">
        <v>55</v>
      </c>
      <c r="Z3" s="244" t="s">
        <v>78</v>
      </c>
      <c r="AA3" s="244" t="s">
        <v>69</v>
      </c>
      <c r="AB3" s="244" t="s">
        <v>348</v>
      </c>
      <c r="AE3" s="257" t="s">
        <v>41</v>
      </c>
      <c r="AG3" s="258" t="s">
        <v>299</v>
      </c>
      <c r="AH3" s="258" t="s">
        <v>304</v>
      </c>
      <c r="AJ3" s="259" t="s">
        <v>42</v>
      </c>
      <c r="AL3" s="259" t="s">
        <v>128</v>
      </c>
      <c r="AN3" s="259" t="s">
        <v>43</v>
      </c>
      <c r="AP3" s="259" t="s">
        <v>44</v>
      </c>
      <c r="AR3" s="260" t="s">
        <v>45</v>
      </c>
      <c r="AT3" s="259" t="s">
        <v>46</v>
      </c>
      <c r="AV3" s="259" t="s">
        <v>47</v>
      </c>
      <c r="AX3" s="261">
        <v>72</v>
      </c>
      <c r="AY3" s="262">
        <v>46</v>
      </c>
      <c r="AZ3" s="262">
        <v>71</v>
      </c>
      <c r="BA3" s="263">
        <v>42</v>
      </c>
    </row>
    <row r="4" spans="1:53" x14ac:dyDescent="0.15">
      <c r="A4" s="244" t="s">
        <v>41</v>
      </c>
      <c r="B4" s="236" t="s">
        <v>346</v>
      </c>
      <c r="C4" s="245">
        <v>2018</v>
      </c>
      <c r="D4" s="246" t="s">
        <v>367</v>
      </c>
      <c r="E4" s="236" t="s">
        <v>133</v>
      </c>
      <c r="F4" s="236" t="s">
        <v>304</v>
      </c>
      <c r="G4" s="244" t="s">
        <v>42</v>
      </c>
      <c r="H4" s="244" t="s">
        <v>155</v>
      </c>
      <c r="I4" s="244" t="s">
        <v>153</v>
      </c>
      <c r="J4" s="244" t="s">
        <v>38</v>
      </c>
      <c r="K4" s="244" t="s">
        <v>154</v>
      </c>
      <c r="L4" s="236">
        <v>3</v>
      </c>
      <c r="N4" s="244">
        <v>1</v>
      </c>
      <c r="O4" s="236">
        <v>0.45</v>
      </c>
      <c r="P4" s="236">
        <v>0.5</v>
      </c>
      <c r="Q4" s="248">
        <f t="shared" si="0"/>
        <v>0.47499999999999998</v>
      </c>
      <c r="R4" s="236">
        <v>12.9</v>
      </c>
      <c r="S4" s="236">
        <v>134</v>
      </c>
      <c r="T4" s="248">
        <f t="shared" si="1"/>
        <v>25</v>
      </c>
      <c r="U4" s="236">
        <v>105</v>
      </c>
      <c r="V4" s="249">
        <f t="shared" si="2"/>
        <v>2625</v>
      </c>
      <c r="W4" s="236">
        <v>3</v>
      </c>
      <c r="X4" s="244" t="s">
        <v>46</v>
      </c>
      <c r="Y4" s="244" t="s">
        <v>55</v>
      </c>
      <c r="Z4" s="244" t="s">
        <v>78</v>
      </c>
      <c r="AA4" s="244" t="s">
        <v>69</v>
      </c>
      <c r="AB4" s="244" t="s">
        <v>348</v>
      </c>
      <c r="AE4" s="257" t="s">
        <v>34</v>
      </c>
      <c r="AG4" s="258" t="s">
        <v>299</v>
      </c>
      <c r="AH4" s="258" t="s">
        <v>305</v>
      </c>
      <c r="AJ4" s="264" t="s">
        <v>48</v>
      </c>
      <c r="AL4" s="264" t="s">
        <v>129</v>
      </c>
      <c r="AN4" s="265" t="s">
        <v>49</v>
      </c>
      <c r="AP4" s="259" t="s">
        <v>167</v>
      </c>
      <c r="AR4" s="260" t="s">
        <v>121</v>
      </c>
      <c r="AT4" s="265"/>
      <c r="AV4" s="259" t="s">
        <v>50</v>
      </c>
      <c r="AX4" s="261">
        <v>75</v>
      </c>
      <c r="AY4" s="262">
        <v>42</v>
      </c>
      <c r="AZ4" s="262">
        <v>76</v>
      </c>
      <c r="BA4" s="263">
        <v>39</v>
      </c>
    </row>
    <row r="5" spans="1:53" s="244" customFormat="1" ht="13.5" customHeight="1" x14ac:dyDescent="0.15">
      <c r="A5" s="244" t="s">
        <v>41</v>
      </c>
      <c r="B5" s="236" t="s">
        <v>346</v>
      </c>
      <c r="C5" s="245">
        <v>2018</v>
      </c>
      <c r="D5" s="246" t="s">
        <v>367</v>
      </c>
      <c r="E5" s="236" t="s">
        <v>133</v>
      </c>
      <c r="F5" s="236" t="s">
        <v>304</v>
      </c>
      <c r="G5" s="244" t="s">
        <v>42</v>
      </c>
      <c r="H5" s="244" t="s">
        <v>155</v>
      </c>
      <c r="I5" s="244" t="s">
        <v>153</v>
      </c>
      <c r="J5" s="244" t="s">
        <v>38</v>
      </c>
      <c r="K5" s="244" t="s">
        <v>154</v>
      </c>
      <c r="L5" s="236">
        <v>1</v>
      </c>
      <c r="N5" s="244">
        <v>9</v>
      </c>
      <c r="O5" s="244">
        <v>0.25</v>
      </c>
      <c r="P5" s="244">
        <v>0.25</v>
      </c>
      <c r="Q5" s="247">
        <f t="shared" si="0"/>
        <v>0.25</v>
      </c>
      <c r="R5" s="244">
        <v>15.8</v>
      </c>
      <c r="S5" s="244">
        <v>129</v>
      </c>
      <c r="T5" s="266">
        <f t="shared" si="1"/>
        <v>25</v>
      </c>
      <c r="U5" s="244">
        <v>753</v>
      </c>
      <c r="V5" s="267">
        <f t="shared" si="2"/>
        <v>2091.666666666667</v>
      </c>
      <c r="W5" s="244">
        <v>7</v>
      </c>
      <c r="X5" s="244" t="s">
        <v>46</v>
      </c>
      <c r="Y5" s="244" t="s">
        <v>55</v>
      </c>
      <c r="Z5" s="244" t="s">
        <v>78</v>
      </c>
      <c r="AA5" s="244" t="s">
        <v>69</v>
      </c>
      <c r="AB5" s="244" t="s">
        <v>348</v>
      </c>
      <c r="AC5" s="236"/>
      <c r="AD5" s="236"/>
      <c r="AE5" s="268" t="s">
        <v>169</v>
      </c>
      <c r="AG5" s="258" t="s">
        <v>300</v>
      </c>
      <c r="AH5" s="258" t="s">
        <v>304</v>
      </c>
      <c r="AJ5" s="269"/>
      <c r="AL5" s="270" t="s">
        <v>170</v>
      </c>
      <c r="AN5" s="270" t="s">
        <v>171</v>
      </c>
      <c r="AP5" s="260" t="s">
        <v>172</v>
      </c>
      <c r="AR5" s="260" t="s">
        <v>54</v>
      </c>
      <c r="AV5" s="260" t="s">
        <v>55</v>
      </c>
      <c r="AX5" s="271">
        <v>84</v>
      </c>
      <c r="AY5" s="272">
        <v>39</v>
      </c>
      <c r="AZ5" s="272">
        <v>84</v>
      </c>
      <c r="BA5" s="273">
        <v>36</v>
      </c>
    </row>
    <row r="6" spans="1:53" x14ac:dyDescent="0.15">
      <c r="A6" s="244" t="s">
        <v>41</v>
      </c>
      <c r="B6" s="236" t="s">
        <v>346</v>
      </c>
      <c r="C6" s="245">
        <v>2018</v>
      </c>
      <c r="D6" s="246" t="s">
        <v>367</v>
      </c>
      <c r="E6" s="236" t="s">
        <v>133</v>
      </c>
      <c r="F6" s="236" t="s">
        <v>304</v>
      </c>
      <c r="G6" s="244" t="s">
        <v>42</v>
      </c>
      <c r="H6" s="244" t="s">
        <v>155</v>
      </c>
      <c r="I6" s="244" t="s">
        <v>153</v>
      </c>
      <c r="J6" s="244" t="s">
        <v>38</v>
      </c>
      <c r="K6" s="244" t="s">
        <v>154</v>
      </c>
      <c r="L6" s="236">
        <v>2</v>
      </c>
      <c r="N6" s="244">
        <v>9</v>
      </c>
      <c r="O6" s="244">
        <v>0.45</v>
      </c>
      <c r="P6" s="244">
        <v>0.35</v>
      </c>
      <c r="Q6" s="247">
        <f t="shared" si="0"/>
        <v>0.4</v>
      </c>
      <c r="R6" s="244">
        <v>16.399999999999999</v>
      </c>
      <c r="S6" s="244">
        <v>124</v>
      </c>
      <c r="T6" s="266">
        <f t="shared" si="1"/>
        <v>27</v>
      </c>
      <c r="U6" s="244">
        <v>753</v>
      </c>
      <c r="V6" s="267">
        <f t="shared" si="2"/>
        <v>2259</v>
      </c>
      <c r="W6" s="244">
        <v>7</v>
      </c>
      <c r="X6" s="244" t="s">
        <v>46</v>
      </c>
      <c r="Y6" s="244" t="s">
        <v>55</v>
      </c>
      <c r="Z6" s="244" t="s">
        <v>78</v>
      </c>
      <c r="AA6" s="244" t="s">
        <v>69</v>
      </c>
      <c r="AB6" s="244" t="s">
        <v>348</v>
      </c>
      <c r="AE6" s="257" t="s">
        <v>56</v>
      </c>
      <c r="AG6" s="258" t="s">
        <v>300</v>
      </c>
      <c r="AH6" s="258" t="s">
        <v>306</v>
      </c>
      <c r="AL6" s="270" t="s">
        <v>173</v>
      </c>
      <c r="AN6" s="270" t="s">
        <v>174</v>
      </c>
      <c r="AP6" s="259" t="s">
        <v>53</v>
      </c>
      <c r="AR6" s="260" t="s">
        <v>59</v>
      </c>
      <c r="AV6" s="259" t="s">
        <v>60</v>
      </c>
      <c r="AX6" s="261">
        <v>97</v>
      </c>
      <c r="AY6" s="262">
        <v>36</v>
      </c>
      <c r="AZ6" s="262">
        <v>99</v>
      </c>
      <c r="BA6" s="263">
        <v>33</v>
      </c>
    </row>
    <row r="7" spans="1:53" x14ac:dyDescent="0.15">
      <c r="A7" s="244" t="s">
        <v>41</v>
      </c>
      <c r="B7" s="236" t="s">
        <v>346</v>
      </c>
      <c r="C7" s="245">
        <v>2018</v>
      </c>
      <c r="D7" s="246" t="s">
        <v>367</v>
      </c>
      <c r="E7" s="236" t="s">
        <v>133</v>
      </c>
      <c r="F7" s="236" t="s">
        <v>304</v>
      </c>
      <c r="G7" s="244" t="s">
        <v>42</v>
      </c>
      <c r="H7" s="244" t="s">
        <v>155</v>
      </c>
      <c r="I7" s="244" t="s">
        <v>153</v>
      </c>
      <c r="J7" s="244" t="s">
        <v>38</v>
      </c>
      <c r="K7" s="244" t="s">
        <v>154</v>
      </c>
      <c r="L7" s="236">
        <v>3</v>
      </c>
      <c r="N7" s="244">
        <v>9</v>
      </c>
      <c r="O7" s="236">
        <v>0.25</v>
      </c>
      <c r="P7" s="236">
        <v>0.3</v>
      </c>
      <c r="Q7" s="248">
        <f t="shared" si="0"/>
        <v>0.27500000000000002</v>
      </c>
      <c r="R7" s="236">
        <v>14.8</v>
      </c>
      <c r="S7" s="236">
        <v>126</v>
      </c>
      <c r="T7" s="266">
        <f t="shared" si="1"/>
        <v>27</v>
      </c>
      <c r="U7" s="244">
        <v>753</v>
      </c>
      <c r="V7" s="267">
        <f t="shared" si="2"/>
        <v>2259</v>
      </c>
      <c r="W7" s="236">
        <v>7</v>
      </c>
      <c r="X7" s="244" t="s">
        <v>46</v>
      </c>
      <c r="Y7" s="244" t="s">
        <v>55</v>
      </c>
      <c r="Z7" s="244" t="s">
        <v>78</v>
      </c>
      <c r="AA7" s="244" t="s">
        <v>69</v>
      </c>
      <c r="AB7" s="244" t="s">
        <v>348</v>
      </c>
      <c r="AE7" s="257" t="s">
        <v>61</v>
      </c>
      <c r="AG7" s="258" t="s">
        <v>301</v>
      </c>
      <c r="AH7" s="258" t="s">
        <v>306</v>
      </c>
      <c r="AL7" s="274" t="s">
        <v>175</v>
      </c>
      <c r="AP7" s="259" t="s">
        <v>58</v>
      </c>
      <c r="AR7" s="260" t="s">
        <v>122</v>
      </c>
      <c r="AV7" s="259" t="s">
        <v>64</v>
      </c>
      <c r="AX7" s="261">
        <v>109</v>
      </c>
      <c r="AY7" s="262">
        <v>33</v>
      </c>
      <c r="AZ7" s="262">
        <v>113</v>
      </c>
      <c r="BA7" s="263">
        <v>30</v>
      </c>
    </row>
    <row r="8" spans="1:53" x14ac:dyDescent="0.15">
      <c r="A8" s="244" t="s">
        <v>41</v>
      </c>
      <c r="B8" s="236" t="s">
        <v>346</v>
      </c>
      <c r="C8" s="245">
        <v>2018</v>
      </c>
      <c r="D8" s="246" t="s">
        <v>367</v>
      </c>
      <c r="E8" s="236" t="s">
        <v>133</v>
      </c>
      <c r="F8" s="236" t="s">
        <v>304</v>
      </c>
      <c r="G8" s="244" t="s">
        <v>42</v>
      </c>
      <c r="H8" s="244" t="s">
        <v>168</v>
      </c>
      <c r="I8" s="244" t="s">
        <v>153</v>
      </c>
      <c r="J8" s="244" t="s">
        <v>38</v>
      </c>
      <c r="K8" s="244" t="s">
        <v>154</v>
      </c>
      <c r="L8" s="236">
        <v>1</v>
      </c>
      <c r="M8" s="244"/>
      <c r="N8" s="244">
        <v>1</v>
      </c>
      <c r="O8" s="236">
        <v>0.55000000000000004</v>
      </c>
      <c r="P8" s="236">
        <v>0.4</v>
      </c>
      <c r="Q8" s="248">
        <f t="shared" si="0"/>
        <v>0.47500000000000003</v>
      </c>
      <c r="R8" s="236">
        <v>13.8</v>
      </c>
      <c r="S8" s="236">
        <v>135</v>
      </c>
      <c r="T8" s="266">
        <f t="shared" si="1"/>
        <v>25</v>
      </c>
      <c r="U8" s="244">
        <v>149</v>
      </c>
      <c r="V8" s="267">
        <f t="shared" si="2"/>
        <v>3725</v>
      </c>
      <c r="W8" s="244">
        <v>2</v>
      </c>
      <c r="X8" s="244" t="s">
        <v>46</v>
      </c>
      <c r="Y8" s="244" t="s">
        <v>55</v>
      </c>
      <c r="Z8" s="244" t="s">
        <v>78</v>
      </c>
      <c r="AA8" s="244" t="s">
        <v>69</v>
      </c>
      <c r="AB8" s="244" t="s">
        <v>348</v>
      </c>
      <c r="AC8" s="244"/>
      <c r="AD8" s="244"/>
      <c r="AE8" s="257" t="s">
        <v>59</v>
      </c>
      <c r="AG8" s="258" t="s">
        <v>302</v>
      </c>
      <c r="AH8" s="258" t="s">
        <v>307</v>
      </c>
      <c r="AL8" s="274" t="s">
        <v>368</v>
      </c>
      <c r="AP8" s="259" t="s">
        <v>62</v>
      </c>
      <c r="AR8" s="260" t="s">
        <v>81</v>
      </c>
      <c r="AV8" s="259" t="s">
        <v>97</v>
      </c>
      <c r="AX8" s="261">
        <v>119</v>
      </c>
      <c r="AY8" s="262">
        <v>30</v>
      </c>
      <c r="AZ8" s="262">
        <v>121</v>
      </c>
      <c r="BA8" s="263">
        <v>27</v>
      </c>
    </row>
    <row r="9" spans="1:53" x14ac:dyDescent="0.15">
      <c r="A9" s="244" t="s">
        <v>41</v>
      </c>
      <c r="B9" s="236" t="s">
        <v>346</v>
      </c>
      <c r="C9" s="245">
        <v>2018</v>
      </c>
      <c r="D9" s="246" t="s">
        <v>367</v>
      </c>
      <c r="E9" s="236" t="s">
        <v>133</v>
      </c>
      <c r="F9" s="236" t="s">
        <v>304</v>
      </c>
      <c r="G9" s="244" t="s">
        <v>42</v>
      </c>
      <c r="H9" s="244" t="s">
        <v>168</v>
      </c>
      <c r="I9" s="244" t="s">
        <v>153</v>
      </c>
      <c r="J9" s="244" t="s">
        <v>38</v>
      </c>
      <c r="K9" s="244" t="s">
        <v>154</v>
      </c>
      <c r="L9" s="236">
        <v>2</v>
      </c>
      <c r="N9" s="244">
        <v>1</v>
      </c>
      <c r="O9" s="236">
        <v>0.35</v>
      </c>
      <c r="P9" s="236">
        <v>0.4</v>
      </c>
      <c r="Q9" s="248">
        <f t="shared" si="0"/>
        <v>0.375</v>
      </c>
      <c r="R9" s="236">
        <v>17.399999999999999</v>
      </c>
      <c r="S9" s="236">
        <v>134</v>
      </c>
      <c r="T9" s="266">
        <f t="shared" si="1"/>
        <v>25</v>
      </c>
      <c r="U9" s="244">
        <v>149</v>
      </c>
      <c r="V9" s="249">
        <f t="shared" si="2"/>
        <v>3725</v>
      </c>
      <c r="W9" s="236">
        <v>2</v>
      </c>
      <c r="X9" s="244" t="s">
        <v>46</v>
      </c>
      <c r="Y9" s="244" t="s">
        <v>55</v>
      </c>
      <c r="Z9" s="244" t="s">
        <v>78</v>
      </c>
      <c r="AA9" s="244" t="s">
        <v>69</v>
      </c>
      <c r="AB9" s="244" t="s">
        <v>348</v>
      </c>
      <c r="AE9" s="257" t="s">
        <v>98</v>
      </c>
      <c r="AG9" s="258" t="s">
        <v>302</v>
      </c>
      <c r="AH9" s="258" t="s">
        <v>308</v>
      </c>
      <c r="AL9" s="270"/>
      <c r="AP9" s="259" t="s">
        <v>95</v>
      </c>
      <c r="AR9" s="260" t="s">
        <v>89</v>
      </c>
      <c r="AV9" s="259" t="s">
        <v>102</v>
      </c>
      <c r="AX9" s="261">
        <v>128</v>
      </c>
      <c r="AY9" s="262">
        <v>27</v>
      </c>
      <c r="AZ9" s="262">
        <v>129</v>
      </c>
      <c r="BA9" s="263">
        <v>25</v>
      </c>
    </row>
    <row r="10" spans="1:53" x14ac:dyDescent="0.15">
      <c r="A10" s="244" t="s">
        <v>41</v>
      </c>
      <c r="B10" s="236" t="s">
        <v>346</v>
      </c>
      <c r="C10" s="245">
        <v>2018</v>
      </c>
      <c r="D10" s="246" t="s">
        <v>367</v>
      </c>
      <c r="E10" s="236" t="s">
        <v>133</v>
      </c>
      <c r="F10" s="236" t="s">
        <v>304</v>
      </c>
      <c r="G10" s="244" t="s">
        <v>42</v>
      </c>
      <c r="H10" s="244" t="s">
        <v>168</v>
      </c>
      <c r="I10" s="244" t="s">
        <v>153</v>
      </c>
      <c r="J10" s="244" t="s">
        <v>38</v>
      </c>
      <c r="K10" s="244" t="s">
        <v>154</v>
      </c>
      <c r="L10" s="236">
        <v>3</v>
      </c>
      <c r="N10" s="244">
        <v>1</v>
      </c>
      <c r="O10" s="236">
        <v>0.5</v>
      </c>
      <c r="P10" s="236">
        <v>0.65</v>
      </c>
      <c r="Q10" s="248">
        <f t="shared" si="0"/>
        <v>0.57499999999999996</v>
      </c>
      <c r="R10" s="236">
        <v>17</v>
      </c>
      <c r="S10" s="236">
        <v>132</v>
      </c>
      <c r="T10" s="266">
        <f t="shared" si="1"/>
        <v>25</v>
      </c>
      <c r="U10" s="244">
        <v>149</v>
      </c>
      <c r="V10" s="249">
        <f t="shared" si="2"/>
        <v>3725</v>
      </c>
      <c r="W10" s="236">
        <v>2</v>
      </c>
      <c r="X10" s="244" t="s">
        <v>46</v>
      </c>
      <c r="Y10" s="244" t="s">
        <v>55</v>
      </c>
      <c r="Z10" s="244" t="s">
        <v>78</v>
      </c>
      <c r="AA10" s="244" t="s">
        <v>69</v>
      </c>
      <c r="AB10" s="244" t="s">
        <v>348</v>
      </c>
      <c r="AE10" s="257" t="s">
        <v>103</v>
      </c>
      <c r="AG10" s="258" t="s">
        <v>303</v>
      </c>
      <c r="AH10" s="258" t="s">
        <v>309</v>
      </c>
      <c r="AL10" s="274"/>
      <c r="AP10" s="259" t="s">
        <v>100</v>
      </c>
      <c r="AR10" s="260" t="s">
        <v>123</v>
      </c>
      <c r="AV10" s="259" t="s">
        <v>106</v>
      </c>
      <c r="AX10" s="261">
        <v>138</v>
      </c>
      <c r="AY10" s="262">
        <v>25</v>
      </c>
      <c r="AZ10" s="262">
        <v>138</v>
      </c>
      <c r="BA10" s="263">
        <v>22</v>
      </c>
    </row>
    <row r="11" spans="1:53" x14ac:dyDescent="0.15">
      <c r="A11" s="244" t="s">
        <v>41</v>
      </c>
      <c r="B11" s="236" t="s">
        <v>346</v>
      </c>
      <c r="C11" s="245">
        <v>2018</v>
      </c>
      <c r="D11" s="246" t="s">
        <v>367</v>
      </c>
      <c r="E11" s="236" t="s">
        <v>133</v>
      </c>
      <c r="F11" s="236" t="s">
        <v>304</v>
      </c>
      <c r="G11" s="244" t="s">
        <v>42</v>
      </c>
      <c r="H11" s="244" t="s">
        <v>168</v>
      </c>
      <c r="I11" s="244" t="s">
        <v>153</v>
      </c>
      <c r="J11" s="244" t="s">
        <v>38</v>
      </c>
      <c r="K11" s="244" t="s">
        <v>154</v>
      </c>
      <c r="L11" s="236">
        <v>1</v>
      </c>
      <c r="M11" s="244"/>
      <c r="N11" s="244">
        <v>8</v>
      </c>
      <c r="O11" s="236">
        <v>0.6</v>
      </c>
      <c r="P11" s="236">
        <v>0.65</v>
      </c>
      <c r="Q11" s="248">
        <f t="shared" si="0"/>
        <v>0.625</v>
      </c>
      <c r="R11" s="236">
        <v>15.4</v>
      </c>
      <c r="S11" s="236">
        <v>154</v>
      </c>
      <c r="T11" s="266">
        <f t="shared" si="1"/>
        <v>22</v>
      </c>
      <c r="U11" s="244">
        <v>842</v>
      </c>
      <c r="V11" s="267">
        <f t="shared" si="2"/>
        <v>2315.5</v>
      </c>
      <c r="W11" s="244">
        <v>6</v>
      </c>
      <c r="X11" s="244" t="s">
        <v>46</v>
      </c>
      <c r="Y11" s="244" t="s">
        <v>55</v>
      </c>
      <c r="Z11" s="244" t="s">
        <v>78</v>
      </c>
      <c r="AA11" s="244" t="s">
        <v>69</v>
      </c>
      <c r="AB11" s="244" t="s">
        <v>348</v>
      </c>
      <c r="AE11" s="257" t="s">
        <v>65</v>
      </c>
      <c r="AG11" s="258" t="s">
        <v>177</v>
      </c>
      <c r="AH11" s="258" t="s">
        <v>310</v>
      </c>
      <c r="AL11" s="274"/>
      <c r="AP11" s="259" t="s">
        <v>104</v>
      </c>
      <c r="AR11" s="260" t="s">
        <v>87</v>
      </c>
      <c r="AV11" s="259" t="s">
        <v>69</v>
      </c>
      <c r="AX11" s="261">
        <v>151</v>
      </c>
      <c r="AY11" s="262">
        <v>22</v>
      </c>
      <c r="AZ11" s="262">
        <v>152</v>
      </c>
      <c r="BA11" s="263">
        <v>18</v>
      </c>
    </row>
    <row r="12" spans="1:53" x14ac:dyDescent="0.15">
      <c r="A12" s="244" t="s">
        <v>41</v>
      </c>
      <c r="B12" s="236" t="s">
        <v>346</v>
      </c>
      <c r="C12" s="245">
        <v>2018</v>
      </c>
      <c r="D12" s="246" t="s">
        <v>367</v>
      </c>
      <c r="E12" s="236" t="s">
        <v>133</v>
      </c>
      <c r="F12" s="236" t="s">
        <v>304</v>
      </c>
      <c r="G12" s="244" t="s">
        <v>42</v>
      </c>
      <c r="H12" s="244" t="s">
        <v>168</v>
      </c>
      <c r="I12" s="244" t="s">
        <v>153</v>
      </c>
      <c r="J12" s="244" t="s">
        <v>38</v>
      </c>
      <c r="K12" s="244" t="s">
        <v>154</v>
      </c>
      <c r="L12" s="236">
        <v>2</v>
      </c>
      <c r="N12" s="244">
        <v>8</v>
      </c>
      <c r="O12" s="236">
        <v>0.3</v>
      </c>
      <c r="P12" s="236">
        <v>0.4</v>
      </c>
      <c r="Q12" s="248">
        <f t="shared" si="0"/>
        <v>0.35</v>
      </c>
      <c r="R12" s="236">
        <v>15.8</v>
      </c>
      <c r="S12" s="236">
        <v>142</v>
      </c>
      <c r="T12" s="266">
        <f t="shared" si="1"/>
        <v>22</v>
      </c>
      <c r="U12" s="244">
        <v>842</v>
      </c>
      <c r="V12" s="249">
        <f t="shared" si="2"/>
        <v>2315.5</v>
      </c>
      <c r="W12" s="236">
        <v>6</v>
      </c>
      <c r="X12" s="244" t="s">
        <v>46</v>
      </c>
      <c r="Y12" s="244" t="s">
        <v>55</v>
      </c>
      <c r="Z12" s="244" t="s">
        <v>78</v>
      </c>
      <c r="AA12" s="244" t="s">
        <v>69</v>
      </c>
      <c r="AB12" s="244" t="s">
        <v>348</v>
      </c>
      <c r="AE12" s="257" t="s">
        <v>70</v>
      </c>
      <c r="AG12" s="268"/>
      <c r="AH12" s="268"/>
      <c r="AL12" s="274"/>
      <c r="AP12" s="259" t="s">
        <v>67</v>
      </c>
      <c r="AR12" s="260" t="s">
        <v>124</v>
      </c>
      <c r="AV12" s="259" t="s">
        <v>72</v>
      </c>
      <c r="AX12" s="275">
        <v>180</v>
      </c>
      <c r="AY12" s="276">
        <v>18</v>
      </c>
      <c r="AZ12" s="276">
        <v>181</v>
      </c>
      <c r="BA12" s="277">
        <v>16</v>
      </c>
    </row>
    <row r="13" spans="1:53" x14ac:dyDescent="0.15">
      <c r="A13" s="244" t="s">
        <v>41</v>
      </c>
      <c r="B13" s="236" t="s">
        <v>346</v>
      </c>
      <c r="C13" s="245">
        <v>2018</v>
      </c>
      <c r="D13" s="246" t="s">
        <v>367</v>
      </c>
      <c r="E13" s="236" t="s">
        <v>133</v>
      </c>
      <c r="F13" s="236" t="s">
        <v>304</v>
      </c>
      <c r="G13" s="244" t="s">
        <v>42</v>
      </c>
      <c r="H13" s="244" t="s">
        <v>168</v>
      </c>
      <c r="I13" s="244" t="s">
        <v>153</v>
      </c>
      <c r="J13" s="244" t="s">
        <v>38</v>
      </c>
      <c r="K13" s="244" t="s">
        <v>154</v>
      </c>
      <c r="L13" s="236">
        <v>3</v>
      </c>
      <c r="N13" s="244">
        <v>8</v>
      </c>
      <c r="O13" s="236">
        <v>0.3</v>
      </c>
      <c r="P13" s="236">
        <v>0.35</v>
      </c>
      <c r="Q13" s="248">
        <f t="shared" si="0"/>
        <v>0.32499999999999996</v>
      </c>
      <c r="R13" s="236">
        <v>14.9</v>
      </c>
      <c r="S13" s="236">
        <v>150</v>
      </c>
      <c r="T13" s="266">
        <f t="shared" si="1"/>
        <v>22</v>
      </c>
      <c r="U13" s="244">
        <v>842</v>
      </c>
      <c r="V13" s="249">
        <f t="shared" si="2"/>
        <v>2315.5</v>
      </c>
      <c r="W13" s="236">
        <v>6</v>
      </c>
      <c r="X13" s="244" t="s">
        <v>46</v>
      </c>
      <c r="Y13" s="244" t="s">
        <v>55</v>
      </c>
      <c r="Z13" s="244" t="s">
        <v>78</v>
      </c>
      <c r="AA13" s="244" t="s">
        <v>69</v>
      </c>
      <c r="AB13" s="244" t="s">
        <v>348</v>
      </c>
      <c r="AE13" s="257" t="s">
        <v>73</v>
      </c>
      <c r="AG13" s="260"/>
      <c r="AH13" s="260"/>
      <c r="AP13" s="259" t="s">
        <v>71</v>
      </c>
      <c r="AR13" s="260" t="s">
        <v>103</v>
      </c>
      <c r="AV13" s="259" t="s">
        <v>75</v>
      </c>
    </row>
    <row r="14" spans="1:53" x14ac:dyDescent="0.15">
      <c r="A14" s="244" t="s">
        <v>41</v>
      </c>
      <c r="B14" s="236" t="s">
        <v>346</v>
      </c>
      <c r="C14" s="245">
        <v>2018</v>
      </c>
      <c r="D14" s="246" t="s">
        <v>367</v>
      </c>
      <c r="E14" s="236" t="s">
        <v>133</v>
      </c>
      <c r="F14" s="236" t="s">
        <v>304</v>
      </c>
      <c r="G14" s="244" t="s">
        <v>42</v>
      </c>
      <c r="H14" s="244" t="s">
        <v>168</v>
      </c>
      <c r="I14" s="244" t="s">
        <v>153</v>
      </c>
      <c r="J14" s="244" t="s">
        <v>38</v>
      </c>
      <c r="K14" s="244" t="s">
        <v>154</v>
      </c>
      <c r="L14" s="236">
        <v>1</v>
      </c>
      <c r="M14" s="244"/>
      <c r="N14" s="244">
        <v>8</v>
      </c>
      <c r="O14" s="244">
        <v>0.6</v>
      </c>
      <c r="P14" s="244">
        <v>0.7</v>
      </c>
      <c r="Q14" s="248">
        <f t="shared" si="0"/>
        <v>0.64999999999999991</v>
      </c>
      <c r="R14" s="236">
        <v>18.100000000000001</v>
      </c>
      <c r="S14" s="236">
        <v>130</v>
      </c>
      <c r="T14" s="248">
        <f t="shared" ref="T14:T28" si="3">IF(H14="","",IF(OR(H14="GREEN",H14="GK"),IF(S14&gt;=$AX$2,VLOOKUP(S14,$AX$2:$AY$12,2,1),""),IF(S14&gt;=$AZ$2,VLOOKUP(S14,$AZ$2:$BA$12,2,1),"")))</f>
        <v>25</v>
      </c>
      <c r="U14" s="236">
        <v>626</v>
      </c>
      <c r="V14" s="267">
        <f t="shared" si="2"/>
        <v>1956.25</v>
      </c>
      <c r="W14" s="244">
        <v>3</v>
      </c>
      <c r="X14" s="244" t="s">
        <v>46</v>
      </c>
      <c r="Y14" s="244" t="s">
        <v>55</v>
      </c>
      <c r="Z14" s="244" t="s">
        <v>78</v>
      </c>
      <c r="AA14" s="244" t="s">
        <v>69</v>
      </c>
      <c r="AB14" s="244" t="s">
        <v>348</v>
      </c>
      <c r="AE14" s="257" t="s">
        <v>76</v>
      </c>
      <c r="AG14" s="260"/>
      <c r="AH14" s="260"/>
      <c r="AP14" s="259" t="s">
        <v>74</v>
      </c>
      <c r="AR14" s="260" t="s">
        <v>125</v>
      </c>
      <c r="AV14" s="259" t="s">
        <v>78</v>
      </c>
    </row>
    <row r="15" spans="1:53" x14ac:dyDescent="0.15">
      <c r="A15" s="244" t="s">
        <v>41</v>
      </c>
      <c r="B15" s="236" t="s">
        <v>346</v>
      </c>
      <c r="C15" s="245">
        <v>2018</v>
      </c>
      <c r="D15" s="246" t="s">
        <v>367</v>
      </c>
      <c r="E15" s="236" t="s">
        <v>133</v>
      </c>
      <c r="F15" s="236" t="s">
        <v>304</v>
      </c>
      <c r="G15" s="244" t="s">
        <v>42</v>
      </c>
      <c r="H15" s="244" t="s">
        <v>168</v>
      </c>
      <c r="I15" s="244" t="s">
        <v>153</v>
      </c>
      <c r="J15" s="244" t="s">
        <v>38</v>
      </c>
      <c r="K15" s="244" t="s">
        <v>154</v>
      </c>
      <c r="L15" s="236">
        <v>2</v>
      </c>
      <c r="N15" s="244">
        <v>8</v>
      </c>
      <c r="O15" s="244">
        <v>0.6</v>
      </c>
      <c r="P15" s="244">
        <v>0.5</v>
      </c>
      <c r="Q15" s="248">
        <f t="shared" si="0"/>
        <v>0.55000000000000004</v>
      </c>
      <c r="R15" s="236">
        <v>13.8</v>
      </c>
      <c r="S15" s="236">
        <v>128</v>
      </c>
      <c r="T15" s="248">
        <f t="shared" si="3"/>
        <v>27</v>
      </c>
      <c r="U15" s="236">
        <v>626</v>
      </c>
      <c r="V15" s="267">
        <f t="shared" si="2"/>
        <v>2112.75</v>
      </c>
      <c r="W15" s="244">
        <v>3</v>
      </c>
      <c r="X15" s="244" t="s">
        <v>46</v>
      </c>
      <c r="Y15" s="244" t="s">
        <v>55</v>
      </c>
      <c r="Z15" s="244" t="s">
        <v>78</v>
      </c>
      <c r="AA15" s="244" t="s">
        <v>69</v>
      </c>
      <c r="AB15" s="244" t="s">
        <v>348</v>
      </c>
      <c r="AE15" s="257" t="s">
        <v>79</v>
      </c>
      <c r="AG15" s="260"/>
      <c r="AH15" s="260"/>
      <c r="AP15" s="259" t="s">
        <v>77</v>
      </c>
      <c r="AR15" s="260" t="s">
        <v>94</v>
      </c>
      <c r="AV15" s="259" t="s">
        <v>107</v>
      </c>
    </row>
    <row r="16" spans="1:53" x14ac:dyDescent="0.15">
      <c r="A16" s="244" t="s">
        <v>41</v>
      </c>
      <c r="B16" s="236" t="s">
        <v>346</v>
      </c>
      <c r="C16" s="245">
        <v>2018</v>
      </c>
      <c r="D16" s="246" t="s">
        <v>367</v>
      </c>
      <c r="E16" s="236" t="s">
        <v>133</v>
      </c>
      <c r="F16" s="236" t="s">
        <v>304</v>
      </c>
      <c r="G16" s="244" t="s">
        <v>42</v>
      </c>
      <c r="H16" s="244" t="s">
        <v>168</v>
      </c>
      <c r="I16" s="244" t="s">
        <v>153</v>
      </c>
      <c r="J16" s="244" t="s">
        <v>38</v>
      </c>
      <c r="K16" s="244" t="s">
        <v>154</v>
      </c>
      <c r="L16" s="236">
        <v>3</v>
      </c>
      <c r="N16" s="244">
        <v>8</v>
      </c>
      <c r="O16" s="244">
        <v>0.8</v>
      </c>
      <c r="P16" s="244">
        <v>0.65</v>
      </c>
      <c r="Q16" s="248">
        <f t="shared" si="0"/>
        <v>0.72500000000000009</v>
      </c>
      <c r="R16" s="236">
        <v>14</v>
      </c>
      <c r="S16" s="236">
        <v>125</v>
      </c>
      <c r="T16" s="248">
        <f t="shared" si="3"/>
        <v>27</v>
      </c>
      <c r="U16" s="236">
        <v>626</v>
      </c>
      <c r="V16" s="267">
        <f t="shared" si="2"/>
        <v>2112.75</v>
      </c>
      <c r="W16" s="236">
        <v>3</v>
      </c>
      <c r="X16" s="244" t="s">
        <v>46</v>
      </c>
      <c r="Y16" s="244" t="s">
        <v>55</v>
      </c>
      <c r="Z16" s="244" t="s">
        <v>78</v>
      </c>
      <c r="AA16" s="244" t="s">
        <v>69</v>
      </c>
      <c r="AB16" s="244" t="s">
        <v>348</v>
      </c>
      <c r="AE16" s="257" t="s">
        <v>82</v>
      </c>
      <c r="AG16" s="269"/>
      <c r="AH16" s="269"/>
      <c r="AP16" s="259" t="s">
        <v>80</v>
      </c>
      <c r="AR16" s="260" t="s">
        <v>63</v>
      </c>
      <c r="AV16" s="259" t="s">
        <v>84</v>
      </c>
    </row>
    <row r="17" spans="1:49" x14ac:dyDescent="0.15">
      <c r="A17" s="244" t="s">
        <v>41</v>
      </c>
      <c r="B17" s="236" t="s">
        <v>346</v>
      </c>
      <c r="C17" s="245">
        <v>2018</v>
      </c>
      <c r="D17" s="246" t="s">
        <v>367</v>
      </c>
      <c r="E17" s="236" t="s">
        <v>299</v>
      </c>
      <c r="F17" s="244" t="s">
        <v>304</v>
      </c>
      <c r="G17" s="244" t="s">
        <v>42</v>
      </c>
      <c r="H17" s="244" t="s">
        <v>168</v>
      </c>
      <c r="I17" s="244" t="s">
        <v>153</v>
      </c>
      <c r="J17" s="244" t="s">
        <v>38</v>
      </c>
      <c r="K17" s="244" t="s">
        <v>154</v>
      </c>
      <c r="L17" s="236">
        <v>1</v>
      </c>
      <c r="M17" s="244"/>
      <c r="N17" s="244">
        <v>5</v>
      </c>
      <c r="O17" s="244">
        <v>0.5</v>
      </c>
      <c r="P17" s="244">
        <v>0.6</v>
      </c>
      <c r="Q17" s="248">
        <f t="shared" si="0"/>
        <v>0.55000000000000004</v>
      </c>
      <c r="R17" s="236">
        <v>15.4</v>
      </c>
      <c r="S17" s="236">
        <v>118</v>
      </c>
      <c r="T17" s="248">
        <f t="shared" si="3"/>
        <v>30</v>
      </c>
      <c r="U17" s="244">
        <v>645</v>
      </c>
      <c r="V17" s="267">
        <f t="shared" si="2"/>
        <v>3870</v>
      </c>
      <c r="W17" s="244">
        <v>1</v>
      </c>
      <c r="X17" s="244" t="s">
        <v>46</v>
      </c>
      <c r="Y17" s="244" t="s">
        <v>102</v>
      </c>
      <c r="Z17" s="244" t="s">
        <v>69</v>
      </c>
      <c r="AA17" s="244" t="s">
        <v>78</v>
      </c>
      <c r="AB17" s="244" t="s">
        <v>348</v>
      </c>
      <c r="AE17" s="257" t="s">
        <v>85</v>
      </c>
      <c r="AP17" s="278" t="s">
        <v>110</v>
      </c>
      <c r="AR17" s="260" t="s">
        <v>96</v>
      </c>
      <c r="AV17" s="259" t="s">
        <v>86</v>
      </c>
    </row>
    <row r="18" spans="1:49" x14ac:dyDescent="0.15">
      <c r="A18" s="244" t="s">
        <v>41</v>
      </c>
      <c r="B18" s="236" t="s">
        <v>346</v>
      </c>
      <c r="C18" s="245">
        <v>2018</v>
      </c>
      <c r="D18" s="246" t="s">
        <v>367</v>
      </c>
      <c r="E18" s="236" t="s">
        <v>299</v>
      </c>
      <c r="F18" s="244" t="s">
        <v>304</v>
      </c>
      <c r="G18" s="244" t="s">
        <v>42</v>
      </c>
      <c r="H18" s="244" t="s">
        <v>168</v>
      </c>
      <c r="I18" s="244" t="s">
        <v>153</v>
      </c>
      <c r="J18" s="244" t="s">
        <v>38</v>
      </c>
      <c r="K18" s="244" t="s">
        <v>154</v>
      </c>
      <c r="L18" s="236">
        <v>2</v>
      </c>
      <c r="N18" s="244">
        <v>5</v>
      </c>
      <c r="O18" s="244">
        <v>0.5</v>
      </c>
      <c r="P18" s="244">
        <v>0.6</v>
      </c>
      <c r="Q18" s="248">
        <f t="shared" si="0"/>
        <v>0.55000000000000004</v>
      </c>
      <c r="R18" s="236">
        <v>17.399999999999999</v>
      </c>
      <c r="S18" s="236">
        <v>122</v>
      </c>
      <c r="T18" s="248">
        <f t="shared" si="3"/>
        <v>27</v>
      </c>
      <c r="U18" s="244">
        <v>645</v>
      </c>
      <c r="V18" s="249">
        <f t="shared" si="2"/>
        <v>3483</v>
      </c>
      <c r="W18" s="236">
        <v>1</v>
      </c>
      <c r="X18" s="244" t="s">
        <v>46</v>
      </c>
      <c r="Y18" s="244" t="s">
        <v>102</v>
      </c>
      <c r="Z18" s="244" t="s">
        <v>69</v>
      </c>
      <c r="AA18" s="244" t="s">
        <v>78</v>
      </c>
      <c r="AB18" s="244" t="s">
        <v>348</v>
      </c>
      <c r="AE18" s="257" t="s">
        <v>87</v>
      </c>
      <c r="AP18" s="278" t="s">
        <v>111</v>
      </c>
      <c r="AR18" s="260" t="s">
        <v>101</v>
      </c>
      <c r="AV18" s="259" t="s">
        <v>88</v>
      </c>
    </row>
    <row r="19" spans="1:49" x14ac:dyDescent="0.15">
      <c r="A19" s="244" t="s">
        <v>41</v>
      </c>
      <c r="B19" s="236" t="s">
        <v>346</v>
      </c>
      <c r="C19" s="245">
        <v>2018</v>
      </c>
      <c r="D19" s="246" t="s">
        <v>367</v>
      </c>
      <c r="E19" s="236" t="s">
        <v>299</v>
      </c>
      <c r="F19" s="244" t="s">
        <v>304</v>
      </c>
      <c r="G19" s="244" t="s">
        <v>42</v>
      </c>
      <c r="H19" s="244" t="s">
        <v>168</v>
      </c>
      <c r="I19" s="244" t="s">
        <v>153</v>
      </c>
      <c r="J19" s="244" t="s">
        <v>38</v>
      </c>
      <c r="K19" s="244" t="s">
        <v>154</v>
      </c>
      <c r="L19" s="236">
        <v>3</v>
      </c>
      <c r="N19" s="244">
        <v>5</v>
      </c>
      <c r="O19" s="244">
        <v>0.45</v>
      </c>
      <c r="P19" s="244">
        <v>0.5</v>
      </c>
      <c r="Q19" s="248">
        <f t="shared" si="0"/>
        <v>0.47499999999999998</v>
      </c>
      <c r="R19" s="236">
        <v>13.8</v>
      </c>
      <c r="S19" s="236">
        <v>120</v>
      </c>
      <c r="T19" s="248">
        <f t="shared" si="3"/>
        <v>30</v>
      </c>
      <c r="U19" s="244">
        <v>645</v>
      </c>
      <c r="V19" s="249">
        <f t="shared" si="2"/>
        <v>3870</v>
      </c>
      <c r="W19" s="236">
        <v>1</v>
      </c>
      <c r="X19" s="244" t="s">
        <v>46</v>
      </c>
      <c r="Y19" s="244" t="s">
        <v>102</v>
      </c>
      <c r="Z19" s="244" t="s">
        <v>69</v>
      </c>
      <c r="AA19" s="244" t="s">
        <v>78</v>
      </c>
      <c r="AB19" s="244" t="s">
        <v>348</v>
      </c>
      <c r="AE19" s="279" t="s">
        <v>89</v>
      </c>
      <c r="AP19" s="278" t="s">
        <v>112</v>
      </c>
      <c r="AR19" s="260" t="s">
        <v>126</v>
      </c>
      <c r="AV19" s="259" t="s">
        <v>90</v>
      </c>
    </row>
    <row r="20" spans="1:49" x14ac:dyDescent="0.15">
      <c r="A20" s="244" t="s">
        <v>41</v>
      </c>
      <c r="B20" s="236" t="s">
        <v>346</v>
      </c>
      <c r="C20" s="245">
        <v>2018</v>
      </c>
      <c r="D20" s="246" t="s">
        <v>367</v>
      </c>
      <c r="E20" s="236" t="s">
        <v>299</v>
      </c>
      <c r="F20" s="244" t="s">
        <v>304</v>
      </c>
      <c r="G20" s="244" t="s">
        <v>42</v>
      </c>
      <c r="H20" s="244" t="s">
        <v>168</v>
      </c>
      <c r="I20" s="244" t="s">
        <v>153</v>
      </c>
      <c r="J20" s="244" t="s">
        <v>38</v>
      </c>
      <c r="K20" s="244" t="s">
        <v>154</v>
      </c>
      <c r="L20" s="236">
        <v>1</v>
      </c>
      <c r="N20" s="244">
        <v>3</v>
      </c>
      <c r="O20" s="244">
        <v>0.25</v>
      </c>
      <c r="P20" s="244">
        <v>0.25</v>
      </c>
      <c r="Q20" s="247">
        <f t="shared" si="0"/>
        <v>0.25</v>
      </c>
      <c r="R20" s="244">
        <v>15.8</v>
      </c>
      <c r="S20" s="244">
        <v>125</v>
      </c>
      <c r="T20" s="266">
        <f t="shared" si="3"/>
        <v>27</v>
      </c>
      <c r="U20" s="244">
        <v>429</v>
      </c>
      <c r="V20" s="249">
        <f t="shared" si="2"/>
        <v>3861</v>
      </c>
      <c r="W20" s="236">
        <v>1</v>
      </c>
      <c r="X20" s="244" t="s">
        <v>46</v>
      </c>
      <c r="Y20" s="244" t="s">
        <v>102</v>
      </c>
      <c r="Z20" s="244" t="s">
        <v>69</v>
      </c>
      <c r="AA20" s="244" t="s">
        <v>78</v>
      </c>
      <c r="AB20" s="244" t="s">
        <v>348</v>
      </c>
      <c r="AE20" s="279"/>
      <c r="AP20" s="278" t="s">
        <v>113</v>
      </c>
      <c r="AR20" s="260" t="s">
        <v>105</v>
      </c>
      <c r="AV20" s="264" t="s">
        <v>369</v>
      </c>
    </row>
    <row r="21" spans="1:49" x14ac:dyDescent="0.15">
      <c r="A21" s="244" t="s">
        <v>41</v>
      </c>
      <c r="B21" s="236" t="s">
        <v>346</v>
      </c>
      <c r="C21" s="245">
        <v>2018</v>
      </c>
      <c r="D21" s="246" t="s">
        <v>367</v>
      </c>
      <c r="E21" s="236" t="s">
        <v>299</v>
      </c>
      <c r="F21" s="244" t="s">
        <v>304</v>
      </c>
      <c r="G21" s="244" t="s">
        <v>42</v>
      </c>
      <c r="H21" s="244" t="s">
        <v>168</v>
      </c>
      <c r="I21" s="244" t="s">
        <v>153</v>
      </c>
      <c r="J21" s="244" t="s">
        <v>38</v>
      </c>
      <c r="K21" s="244" t="s">
        <v>154</v>
      </c>
      <c r="L21" s="236">
        <v>2</v>
      </c>
      <c r="N21" s="244">
        <v>3</v>
      </c>
      <c r="O21" s="244">
        <v>0.45</v>
      </c>
      <c r="P21" s="244">
        <v>0.3</v>
      </c>
      <c r="Q21" s="247">
        <f t="shared" si="0"/>
        <v>0.375</v>
      </c>
      <c r="R21" s="244">
        <v>14</v>
      </c>
      <c r="S21" s="244">
        <v>130</v>
      </c>
      <c r="T21" s="266">
        <f t="shared" si="3"/>
        <v>25</v>
      </c>
      <c r="U21" s="244">
        <v>429</v>
      </c>
      <c r="V21" s="249">
        <f t="shared" si="2"/>
        <v>3575</v>
      </c>
      <c r="W21" s="236">
        <v>1</v>
      </c>
      <c r="X21" s="244" t="s">
        <v>46</v>
      </c>
      <c r="Y21" s="244" t="s">
        <v>102</v>
      </c>
      <c r="Z21" s="244" t="s">
        <v>69</v>
      </c>
      <c r="AA21" s="244" t="s">
        <v>78</v>
      </c>
      <c r="AB21" s="244" t="s">
        <v>348</v>
      </c>
      <c r="AE21" s="265"/>
      <c r="AP21" s="278" t="s">
        <v>114</v>
      </c>
      <c r="AR21" s="260" t="s">
        <v>68</v>
      </c>
      <c r="AV21" s="264" t="s">
        <v>370</v>
      </c>
    </row>
    <row r="22" spans="1:49" x14ac:dyDescent="0.15">
      <c r="A22" s="244" t="s">
        <v>41</v>
      </c>
      <c r="B22" s="236" t="s">
        <v>346</v>
      </c>
      <c r="C22" s="245">
        <v>2018</v>
      </c>
      <c r="D22" s="246" t="s">
        <v>367</v>
      </c>
      <c r="E22" s="236" t="s">
        <v>299</v>
      </c>
      <c r="F22" s="244" t="s">
        <v>304</v>
      </c>
      <c r="G22" s="244" t="s">
        <v>42</v>
      </c>
      <c r="H22" s="244" t="s">
        <v>168</v>
      </c>
      <c r="I22" s="244" t="s">
        <v>153</v>
      </c>
      <c r="J22" s="244" t="s">
        <v>38</v>
      </c>
      <c r="K22" s="244" t="s">
        <v>154</v>
      </c>
      <c r="L22" s="236">
        <v>3</v>
      </c>
      <c r="N22" s="244">
        <v>3</v>
      </c>
      <c r="O22" s="244">
        <v>0.5</v>
      </c>
      <c r="P22" s="244">
        <v>0.35</v>
      </c>
      <c r="Q22" s="247">
        <f t="shared" si="0"/>
        <v>0.42499999999999999</v>
      </c>
      <c r="R22" s="244">
        <v>13.8</v>
      </c>
      <c r="S22" s="244">
        <v>128</v>
      </c>
      <c r="T22" s="266">
        <f t="shared" si="3"/>
        <v>27</v>
      </c>
      <c r="U22" s="244">
        <v>429</v>
      </c>
      <c r="V22" s="249">
        <f t="shared" si="2"/>
        <v>3861</v>
      </c>
      <c r="W22" s="236">
        <v>1</v>
      </c>
      <c r="X22" s="244" t="s">
        <v>46</v>
      </c>
      <c r="Y22" s="244" t="s">
        <v>102</v>
      </c>
      <c r="Z22" s="244" t="s">
        <v>69</v>
      </c>
      <c r="AA22" s="244" t="s">
        <v>78</v>
      </c>
      <c r="AB22" s="244" t="s">
        <v>348</v>
      </c>
      <c r="AP22" s="278" t="s">
        <v>115</v>
      </c>
      <c r="AR22" s="260" t="s">
        <v>83</v>
      </c>
      <c r="AV22" s="264"/>
    </row>
    <row r="23" spans="1:49" x14ac:dyDescent="0.15">
      <c r="A23" s="244" t="s">
        <v>41</v>
      </c>
      <c r="B23" s="236" t="s">
        <v>346</v>
      </c>
      <c r="C23" s="245">
        <v>2018</v>
      </c>
      <c r="D23" s="246" t="s">
        <v>367</v>
      </c>
      <c r="E23" s="236" t="s">
        <v>299</v>
      </c>
      <c r="F23" s="236" t="s">
        <v>304</v>
      </c>
      <c r="G23" s="244" t="s">
        <v>42</v>
      </c>
      <c r="H23" s="244" t="s">
        <v>168</v>
      </c>
      <c r="I23" s="244" t="s">
        <v>153</v>
      </c>
      <c r="J23" s="244" t="s">
        <v>38</v>
      </c>
      <c r="K23" s="244" t="s">
        <v>154</v>
      </c>
      <c r="L23" s="236">
        <v>1</v>
      </c>
      <c r="M23" s="244"/>
      <c r="N23" s="244">
        <v>1</v>
      </c>
      <c r="O23" s="236">
        <v>0.3</v>
      </c>
      <c r="P23" s="236">
        <v>0.35</v>
      </c>
      <c r="Q23" s="248">
        <f t="shared" si="0"/>
        <v>0.32499999999999996</v>
      </c>
      <c r="R23" s="236">
        <v>16.8</v>
      </c>
      <c r="S23" s="236">
        <v>131</v>
      </c>
      <c r="T23" s="266">
        <f t="shared" si="3"/>
        <v>25</v>
      </c>
      <c r="U23" s="244">
        <v>95</v>
      </c>
      <c r="V23" s="267">
        <f t="shared" si="2"/>
        <v>2375</v>
      </c>
      <c r="W23" s="244">
        <v>2</v>
      </c>
      <c r="X23" s="244" t="s">
        <v>46</v>
      </c>
      <c r="Y23" s="244" t="s">
        <v>102</v>
      </c>
      <c r="Z23" s="244" t="s">
        <v>69</v>
      </c>
      <c r="AA23" s="244" t="s">
        <v>78</v>
      </c>
      <c r="AB23" s="244" t="s">
        <v>348</v>
      </c>
      <c r="AP23" s="278" t="s">
        <v>117</v>
      </c>
      <c r="AR23" s="265" t="s">
        <v>298</v>
      </c>
      <c r="AV23" s="265"/>
    </row>
    <row r="24" spans="1:49" x14ac:dyDescent="0.15">
      <c r="A24" s="244" t="s">
        <v>41</v>
      </c>
      <c r="B24" s="236" t="s">
        <v>346</v>
      </c>
      <c r="C24" s="245">
        <v>2018</v>
      </c>
      <c r="D24" s="246" t="s">
        <v>367</v>
      </c>
      <c r="E24" s="236" t="s">
        <v>299</v>
      </c>
      <c r="F24" s="236" t="s">
        <v>304</v>
      </c>
      <c r="G24" s="244" t="s">
        <v>42</v>
      </c>
      <c r="H24" s="244" t="s">
        <v>168</v>
      </c>
      <c r="I24" s="244" t="s">
        <v>153</v>
      </c>
      <c r="J24" s="244" t="s">
        <v>38</v>
      </c>
      <c r="K24" s="244" t="s">
        <v>154</v>
      </c>
      <c r="L24" s="236">
        <v>2</v>
      </c>
      <c r="N24" s="244">
        <v>1</v>
      </c>
      <c r="O24" s="244">
        <v>0.45</v>
      </c>
      <c r="P24" s="244">
        <v>0.5</v>
      </c>
      <c r="Q24" s="248">
        <f t="shared" si="0"/>
        <v>0.47499999999999998</v>
      </c>
      <c r="R24" s="236">
        <v>14.8</v>
      </c>
      <c r="S24" s="236">
        <v>133</v>
      </c>
      <c r="T24" s="266">
        <f t="shared" si="3"/>
        <v>25</v>
      </c>
      <c r="U24" s="244">
        <v>95</v>
      </c>
      <c r="V24" s="249">
        <f t="shared" si="2"/>
        <v>2375</v>
      </c>
      <c r="W24" s="236">
        <v>2</v>
      </c>
      <c r="X24" s="244" t="s">
        <v>46</v>
      </c>
      <c r="Y24" s="244" t="s">
        <v>102</v>
      </c>
      <c r="Z24" s="244" t="s">
        <v>69</v>
      </c>
      <c r="AA24" s="244" t="s">
        <v>78</v>
      </c>
      <c r="AB24" s="244" t="s">
        <v>348</v>
      </c>
      <c r="AP24" s="278" t="s">
        <v>118</v>
      </c>
    </row>
    <row r="25" spans="1:49" x14ac:dyDescent="0.15">
      <c r="A25" s="244" t="s">
        <v>41</v>
      </c>
      <c r="B25" s="236" t="s">
        <v>346</v>
      </c>
      <c r="C25" s="245">
        <v>2018</v>
      </c>
      <c r="D25" s="246" t="s">
        <v>367</v>
      </c>
      <c r="E25" s="236" t="s">
        <v>299</v>
      </c>
      <c r="F25" s="236" t="s">
        <v>304</v>
      </c>
      <c r="G25" s="244" t="s">
        <v>42</v>
      </c>
      <c r="H25" s="244" t="s">
        <v>168</v>
      </c>
      <c r="I25" s="244" t="s">
        <v>153</v>
      </c>
      <c r="J25" s="244" t="s">
        <v>38</v>
      </c>
      <c r="K25" s="244" t="s">
        <v>154</v>
      </c>
      <c r="L25" s="236">
        <v>3</v>
      </c>
      <c r="N25" s="244">
        <v>1</v>
      </c>
      <c r="O25" s="244">
        <v>0.6</v>
      </c>
      <c r="P25" s="244">
        <v>0.5</v>
      </c>
      <c r="Q25" s="248">
        <f t="shared" si="0"/>
        <v>0.55000000000000004</v>
      </c>
      <c r="R25" s="236">
        <v>13</v>
      </c>
      <c r="S25" s="236">
        <v>129</v>
      </c>
      <c r="T25" s="266">
        <f t="shared" si="3"/>
        <v>25</v>
      </c>
      <c r="U25" s="244">
        <v>95</v>
      </c>
      <c r="V25" s="249">
        <f t="shared" si="2"/>
        <v>2375</v>
      </c>
      <c r="W25" s="236">
        <v>2</v>
      </c>
      <c r="X25" s="244" t="s">
        <v>46</v>
      </c>
      <c r="Y25" s="244" t="s">
        <v>102</v>
      </c>
      <c r="Z25" s="244" t="s">
        <v>69</v>
      </c>
      <c r="AA25" s="244" t="s">
        <v>78</v>
      </c>
      <c r="AB25" s="244" t="s">
        <v>348</v>
      </c>
    </row>
    <row r="26" spans="1:49" x14ac:dyDescent="0.15">
      <c r="A26" s="244" t="s">
        <v>41</v>
      </c>
      <c r="B26" s="236" t="s">
        <v>346</v>
      </c>
      <c r="C26" s="245">
        <v>2018</v>
      </c>
      <c r="D26" s="246" t="s">
        <v>367</v>
      </c>
      <c r="E26" s="236" t="s">
        <v>299</v>
      </c>
      <c r="F26" s="236" t="s">
        <v>304</v>
      </c>
      <c r="G26" s="244" t="s">
        <v>42</v>
      </c>
      <c r="H26" s="244" t="s">
        <v>155</v>
      </c>
      <c r="I26" s="244" t="s">
        <v>153</v>
      </c>
      <c r="J26" s="244" t="s">
        <v>38</v>
      </c>
      <c r="K26" s="244" t="s">
        <v>154</v>
      </c>
      <c r="L26" s="236">
        <v>1</v>
      </c>
      <c r="M26" s="244"/>
      <c r="N26" s="244">
        <v>6</v>
      </c>
      <c r="O26" s="244">
        <v>0.25</v>
      </c>
      <c r="P26" s="244">
        <v>0.3</v>
      </c>
      <c r="Q26" s="248">
        <f t="shared" si="0"/>
        <v>0.27500000000000002</v>
      </c>
      <c r="R26" s="236">
        <v>12.8</v>
      </c>
      <c r="S26" s="236">
        <v>100</v>
      </c>
      <c r="T26" s="266">
        <f t="shared" si="3"/>
        <v>33</v>
      </c>
      <c r="U26" s="244">
        <v>378</v>
      </c>
      <c r="V26" s="267">
        <f t="shared" si="2"/>
        <v>2079</v>
      </c>
      <c r="W26" s="244">
        <v>1</v>
      </c>
      <c r="X26" s="244" t="s">
        <v>46</v>
      </c>
      <c r="Y26" s="244" t="s">
        <v>102</v>
      </c>
      <c r="Z26" s="244" t="s">
        <v>69</v>
      </c>
      <c r="AA26" s="244" t="s">
        <v>78</v>
      </c>
      <c r="AB26" s="244" t="s">
        <v>348</v>
      </c>
    </row>
    <row r="27" spans="1:49" x14ac:dyDescent="0.15">
      <c r="A27" s="244" t="s">
        <v>41</v>
      </c>
      <c r="B27" s="236" t="s">
        <v>346</v>
      </c>
      <c r="C27" s="245">
        <v>2018</v>
      </c>
      <c r="D27" s="246" t="s">
        <v>367</v>
      </c>
      <c r="E27" s="236" t="s">
        <v>299</v>
      </c>
      <c r="F27" s="236" t="s">
        <v>304</v>
      </c>
      <c r="G27" s="244" t="s">
        <v>42</v>
      </c>
      <c r="H27" s="244" t="s">
        <v>155</v>
      </c>
      <c r="I27" s="244" t="s">
        <v>153</v>
      </c>
      <c r="J27" s="244" t="s">
        <v>38</v>
      </c>
      <c r="K27" s="244" t="s">
        <v>154</v>
      </c>
      <c r="L27" s="236">
        <v>2</v>
      </c>
      <c r="N27" s="244">
        <v>6</v>
      </c>
      <c r="O27" s="236">
        <v>0.3</v>
      </c>
      <c r="P27" s="236">
        <v>0.25</v>
      </c>
      <c r="Q27" s="248">
        <f t="shared" si="0"/>
        <v>0.27500000000000002</v>
      </c>
      <c r="R27" s="236">
        <v>14.8</v>
      </c>
      <c r="S27" s="236">
        <v>105</v>
      </c>
      <c r="T27" s="266">
        <f t="shared" si="3"/>
        <v>33</v>
      </c>
      <c r="U27" s="244">
        <v>378</v>
      </c>
      <c r="V27" s="249">
        <f t="shared" si="2"/>
        <v>2079</v>
      </c>
      <c r="W27" s="236">
        <v>1</v>
      </c>
      <c r="X27" s="244" t="s">
        <v>46</v>
      </c>
      <c r="Y27" s="244" t="s">
        <v>102</v>
      </c>
      <c r="Z27" s="244" t="s">
        <v>69</v>
      </c>
      <c r="AA27" s="244" t="s">
        <v>78</v>
      </c>
      <c r="AB27" s="244" t="s">
        <v>348</v>
      </c>
    </row>
    <row r="28" spans="1:49" x14ac:dyDescent="0.15">
      <c r="A28" s="244" t="s">
        <v>41</v>
      </c>
      <c r="B28" s="236" t="s">
        <v>346</v>
      </c>
      <c r="C28" s="245">
        <v>2018</v>
      </c>
      <c r="D28" s="246" t="s">
        <v>367</v>
      </c>
      <c r="E28" s="236" t="s">
        <v>299</v>
      </c>
      <c r="F28" s="236" t="s">
        <v>304</v>
      </c>
      <c r="G28" s="244" t="s">
        <v>42</v>
      </c>
      <c r="H28" s="244" t="s">
        <v>155</v>
      </c>
      <c r="I28" s="244" t="s">
        <v>153</v>
      </c>
      <c r="J28" s="244" t="s">
        <v>38</v>
      </c>
      <c r="K28" s="244" t="s">
        <v>154</v>
      </c>
      <c r="L28" s="236">
        <v>3</v>
      </c>
      <c r="N28" s="244">
        <v>6</v>
      </c>
      <c r="O28" s="236">
        <v>0.4</v>
      </c>
      <c r="P28" s="236">
        <v>0.3</v>
      </c>
      <c r="Q28" s="248">
        <f t="shared" si="0"/>
        <v>0.35</v>
      </c>
      <c r="R28" s="236">
        <v>15.1</v>
      </c>
      <c r="S28" s="236">
        <v>102</v>
      </c>
      <c r="T28" s="266">
        <f t="shared" si="3"/>
        <v>33</v>
      </c>
      <c r="U28" s="244">
        <v>378</v>
      </c>
      <c r="V28" s="249">
        <f t="shared" si="2"/>
        <v>2079</v>
      </c>
      <c r="W28" s="236">
        <v>1</v>
      </c>
      <c r="X28" s="244" t="s">
        <v>46</v>
      </c>
      <c r="Y28" s="244" t="s">
        <v>102</v>
      </c>
      <c r="Z28" s="244" t="s">
        <v>69</v>
      </c>
      <c r="AA28" s="244" t="s">
        <v>78</v>
      </c>
      <c r="AB28" s="244" t="s">
        <v>348</v>
      </c>
    </row>
    <row r="29" spans="1:49" x14ac:dyDescent="0.15">
      <c r="A29" s="244" t="s">
        <v>41</v>
      </c>
      <c r="B29" s="236" t="s">
        <v>346</v>
      </c>
      <c r="C29" s="245">
        <v>2018</v>
      </c>
      <c r="D29" s="246" t="s">
        <v>367</v>
      </c>
      <c r="E29" s="236" t="s">
        <v>299</v>
      </c>
      <c r="F29" s="236" t="s">
        <v>304</v>
      </c>
      <c r="G29" s="244" t="s">
        <v>42</v>
      </c>
      <c r="H29" s="244" t="s">
        <v>155</v>
      </c>
      <c r="I29" s="244" t="s">
        <v>153</v>
      </c>
      <c r="J29" s="244" t="s">
        <v>38</v>
      </c>
      <c r="K29" s="244" t="s">
        <v>154</v>
      </c>
      <c r="L29" s="236">
        <v>1</v>
      </c>
      <c r="M29" s="244"/>
      <c r="N29" s="244">
        <v>3</v>
      </c>
      <c r="O29" s="236">
        <v>1.1499999999999999</v>
      </c>
      <c r="P29" s="236">
        <v>1</v>
      </c>
      <c r="Q29" s="248">
        <f t="shared" si="0"/>
        <v>1.075</v>
      </c>
      <c r="R29" s="236">
        <v>14.7</v>
      </c>
      <c r="S29" s="236">
        <v>132</v>
      </c>
      <c r="T29" s="266">
        <f t="shared" ref="T29:T92" si="4">IF(H29="","",IF(OR(H29="GREEN",H29="GK"),IF(S29&gt;=$AX$2,VLOOKUP(S29,$AX$2:$AY$10,2,1),""),IF(S29&gt;=$AZ$2,VLOOKUP(S29,$AZ$2:$BA$10,2,1),"")))</f>
        <v>25</v>
      </c>
      <c r="U29" s="244">
        <v>429</v>
      </c>
      <c r="V29" s="267">
        <f t="shared" si="2"/>
        <v>3575</v>
      </c>
      <c r="W29" s="244">
        <v>1</v>
      </c>
      <c r="X29" s="244" t="s">
        <v>46</v>
      </c>
      <c r="Y29" s="244" t="s">
        <v>102</v>
      </c>
      <c r="Z29" s="244" t="s">
        <v>69</v>
      </c>
      <c r="AA29" s="244" t="s">
        <v>78</v>
      </c>
      <c r="AB29" s="244" t="s">
        <v>348</v>
      </c>
    </row>
    <row r="30" spans="1:49" x14ac:dyDescent="0.15">
      <c r="A30" s="244" t="s">
        <v>41</v>
      </c>
      <c r="B30" s="236" t="s">
        <v>346</v>
      </c>
      <c r="C30" s="245">
        <v>2018</v>
      </c>
      <c r="D30" s="246" t="s">
        <v>367</v>
      </c>
      <c r="E30" s="236" t="s">
        <v>299</v>
      </c>
      <c r="F30" s="236" t="s">
        <v>304</v>
      </c>
      <c r="G30" s="244" t="s">
        <v>42</v>
      </c>
      <c r="H30" s="244" t="s">
        <v>155</v>
      </c>
      <c r="I30" s="244" t="s">
        <v>153</v>
      </c>
      <c r="J30" s="244" t="s">
        <v>38</v>
      </c>
      <c r="K30" s="244" t="s">
        <v>154</v>
      </c>
      <c r="L30" s="236">
        <v>2</v>
      </c>
      <c r="N30" s="244">
        <v>3</v>
      </c>
      <c r="O30" s="236">
        <v>1.3</v>
      </c>
      <c r="P30" s="236">
        <v>1.1499999999999999</v>
      </c>
      <c r="Q30" s="248">
        <f t="shared" si="0"/>
        <v>1.2250000000000001</v>
      </c>
      <c r="R30" s="236">
        <v>13.4</v>
      </c>
      <c r="S30" s="236">
        <v>128</v>
      </c>
      <c r="T30" s="266">
        <f t="shared" si="4"/>
        <v>27</v>
      </c>
      <c r="U30" s="244">
        <v>429</v>
      </c>
      <c r="V30" s="249">
        <f t="shared" si="2"/>
        <v>3861</v>
      </c>
      <c r="W30" s="236">
        <v>1</v>
      </c>
      <c r="X30" s="244" t="s">
        <v>46</v>
      </c>
      <c r="Y30" s="244" t="s">
        <v>102</v>
      </c>
      <c r="Z30" s="244" t="s">
        <v>69</v>
      </c>
      <c r="AA30" s="244" t="s">
        <v>78</v>
      </c>
      <c r="AB30" s="244" t="s">
        <v>348</v>
      </c>
      <c r="AE30" s="280"/>
      <c r="AF30" s="280"/>
      <c r="AG30" s="280"/>
      <c r="AH30" s="280"/>
      <c r="AI30" s="280"/>
      <c r="AJ30" s="280"/>
      <c r="AK30" s="280"/>
      <c r="AL30" s="280"/>
      <c r="AM30" s="280"/>
      <c r="AN30" s="280"/>
      <c r="AO30" s="280"/>
      <c r="AP30" s="280"/>
      <c r="AQ30" s="280"/>
      <c r="AR30" s="280"/>
      <c r="AS30" s="280"/>
      <c r="AT30" s="280"/>
      <c r="AU30" s="280"/>
      <c r="AV30" s="280"/>
      <c r="AW30" s="280"/>
    </row>
    <row r="31" spans="1:49" x14ac:dyDescent="0.15">
      <c r="A31" s="244" t="s">
        <v>41</v>
      </c>
      <c r="B31" s="236" t="s">
        <v>346</v>
      </c>
      <c r="C31" s="245">
        <v>2018</v>
      </c>
      <c r="D31" s="246" t="s">
        <v>367</v>
      </c>
      <c r="E31" s="236" t="s">
        <v>299</v>
      </c>
      <c r="F31" s="236" t="s">
        <v>304</v>
      </c>
      <c r="G31" s="244" t="s">
        <v>42</v>
      </c>
      <c r="H31" s="244" t="s">
        <v>155</v>
      </c>
      <c r="I31" s="244" t="s">
        <v>153</v>
      </c>
      <c r="J31" s="244" t="s">
        <v>38</v>
      </c>
      <c r="K31" s="244" t="s">
        <v>154</v>
      </c>
      <c r="L31" s="236">
        <v>3</v>
      </c>
      <c r="N31" s="244">
        <v>3</v>
      </c>
      <c r="O31" s="236">
        <v>1.2</v>
      </c>
      <c r="P31" s="236">
        <v>1.1499999999999999</v>
      </c>
      <c r="Q31" s="248">
        <f t="shared" si="0"/>
        <v>1.1749999999999998</v>
      </c>
      <c r="R31" s="236">
        <v>12.8</v>
      </c>
      <c r="S31" s="236">
        <v>125</v>
      </c>
      <c r="T31" s="266">
        <f t="shared" si="4"/>
        <v>27</v>
      </c>
      <c r="U31" s="244">
        <v>429</v>
      </c>
      <c r="V31" s="249">
        <f t="shared" si="2"/>
        <v>3861</v>
      </c>
      <c r="W31" s="236">
        <v>1</v>
      </c>
      <c r="X31" s="244" t="s">
        <v>46</v>
      </c>
      <c r="Y31" s="244" t="s">
        <v>102</v>
      </c>
      <c r="Z31" s="244" t="s">
        <v>69</v>
      </c>
      <c r="AA31" s="244" t="s">
        <v>78</v>
      </c>
      <c r="AB31" s="244" t="s">
        <v>348</v>
      </c>
      <c r="AE31" s="280"/>
      <c r="AF31" s="280"/>
      <c r="AG31" s="280"/>
      <c r="AH31" s="280"/>
      <c r="AI31" s="280"/>
      <c r="AJ31" s="280"/>
      <c r="AK31" s="280"/>
      <c r="AL31" s="280"/>
      <c r="AM31" s="280"/>
      <c r="AN31" s="280"/>
      <c r="AO31" s="280"/>
      <c r="AP31" s="280"/>
      <c r="AQ31" s="280"/>
      <c r="AR31" s="280"/>
      <c r="AS31" s="280"/>
      <c r="AT31" s="280"/>
      <c r="AU31" s="280"/>
      <c r="AV31" s="280"/>
      <c r="AW31" s="280"/>
    </row>
    <row r="32" spans="1:49" x14ac:dyDescent="0.15">
      <c r="A32" s="244" t="s">
        <v>41</v>
      </c>
      <c r="B32" s="236" t="s">
        <v>346</v>
      </c>
      <c r="C32" s="245">
        <v>2018</v>
      </c>
      <c r="D32" s="246" t="s">
        <v>367</v>
      </c>
      <c r="E32" s="236" t="s">
        <v>299</v>
      </c>
      <c r="F32" s="236" t="s">
        <v>304</v>
      </c>
      <c r="G32" s="244" t="s">
        <v>42</v>
      </c>
      <c r="H32" s="244" t="s">
        <v>155</v>
      </c>
      <c r="I32" s="244" t="s">
        <v>153</v>
      </c>
      <c r="J32" s="244" t="s">
        <v>38</v>
      </c>
      <c r="K32" s="244" t="s">
        <v>154</v>
      </c>
      <c r="L32" s="236">
        <v>1</v>
      </c>
      <c r="M32" s="244"/>
      <c r="N32" s="244">
        <v>1</v>
      </c>
      <c r="O32" s="236">
        <v>0.8</v>
      </c>
      <c r="P32" s="236">
        <v>0.85</v>
      </c>
      <c r="Q32" s="248">
        <f t="shared" si="0"/>
        <v>0.82499999999999996</v>
      </c>
      <c r="R32" s="236">
        <v>15.1</v>
      </c>
      <c r="S32" s="236">
        <v>127</v>
      </c>
      <c r="T32" s="266">
        <f t="shared" si="4"/>
        <v>27</v>
      </c>
      <c r="U32" s="244">
        <v>95</v>
      </c>
      <c r="V32" s="267">
        <f t="shared" si="2"/>
        <v>2565</v>
      </c>
      <c r="W32" s="244">
        <v>1</v>
      </c>
      <c r="X32" s="244" t="s">
        <v>46</v>
      </c>
      <c r="Y32" s="244" t="s">
        <v>102</v>
      </c>
      <c r="Z32" s="244" t="s">
        <v>69</v>
      </c>
      <c r="AA32" s="244" t="s">
        <v>78</v>
      </c>
      <c r="AB32" s="244" t="s">
        <v>348</v>
      </c>
    </row>
    <row r="33" spans="1:49" x14ac:dyDescent="0.15">
      <c r="A33" s="244" t="s">
        <v>41</v>
      </c>
      <c r="B33" s="236" t="s">
        <v>346</v>
      </c>
      <c r="C33" s="245">
        <v>2018</v>
      </c>
      <c r="D33" s="246" t="s">
        <v>367</v>
      </c>
      <c r="E33" s="236" t="s">
        <v>299</v>
      </c>
      <c r="F33" s="236" t="s">
        <v>304</v>
      </c>
      <c r="G33" s="244" t="s">
        <v>42</v>
      </c>
      <c r="H33" s="244" t="s">
        <v>155</v>
      </c>
      <c r="I33" s="244" t="s">
        <v>153</v>
      </c>
      <c r="J33" s="244" t="s">
        <v>38</v>
      </c>
      <c r="K33" s="244" t="s">
        <v>154</v>
      </c>
      <c r="L33" s="236">
        <v>2</v>
      </c>
      <c r="N33" s="244">
        <v>1</v>
      </c>
      <c r="O33" s="244">
        <v>1</v>
      </c>
      <c r="P33" s="244">
        <v>0.105</v>
      </c>
      <c r="Q33" s="247">
        <f t="shared" si="0"/>
        <v>0.55249999999999999</v>
      </c>
      <c r="R33" s="244">
        <v>14.4</v>
      </c>
      <c r="S33" s="244">
        <v>128</v>
      </c>
      <c r="T33" s="266">
        <f t="shared" si="4"/>
        <v>27</v>
      </c>
      <c r="U33" s="244">
        <v>95</v>
      </c>
      <c r="V33" s="267">
        <f t="shared" si="2"/>
        <v>2565</v>
      </c>
      <c r="W33" s="244">
        <v>1</v>
      </c>
      <c r="X33" s="244" t="s">
        <v>46</v>
      </c>
      <c r="Y33" s="244" t="s">
        <v>102</v>
      </c>
      <c r="Z33" s="244" t="s">
        <v>69</v>
      </c>
      <c r="AA33" s="244" t="s">
        <v>78</v>
      </c>
      <c r="AB33" s="244" t="s">
        <v>348</v>
      </c>
      <c r="AE33" s="280"/>
      <c r="AF33" s="280"/>
      <c r="AG33" s="280"/>
      <c r="AH33" s="280"/>
      <c r="AI33" s="280"/>
      <c r="AJ33" s="280"/>
      <c r="AK33" s="280"/>
      <c r="AL33" s="280"/>
      <c r="AM33" s="280"/>
      <c r="AN33" s="280"/>
      <c r="AO33" s="280"/>
      <c r="AP33" s="280"/>
      <c r="AQ33" s="280"/>
      <c r="AR33" s="280"/>
      <c r="AS33" s="280"/>
      <c r="AT33" s="280"/>
      <c r="AU33" s="280"/>
      <c r="AV33" s="280"/>
      <c r="AW33" s="280"/>
    </row>
    <row r="34" spans="1:49" x14ac:dyDescent="0.15">
      <c r="A34" s="244" t="s">
        <v>41</v>
      </c>
      <c r="B34" s="236" t="s">
        <v>346</v>
      </c>
      <c r="C34" s="245">
        <v>2018</v>
      </c>
      <c r="D34" s="246" t="s">
        <v>367</v>
      </c>
      <c r="E34" s="236" t="s">
        <v>299</v>
      </c>
      <c r="F34" s="236" t="s">
        <v>304</v>
      </c>
      <c r="G34" s="244" t="s">
        <v>42</v>
      </c>
      <c r="H34" s="244" t="s">
        <v>155</v>
      </c>
      <c r="I34" s="244" t="s">
        <v>153</v>
      </c>
      <c r="J34" s="244" t="s">
        <v>38</v>
      </c>
      <c r="K34" s="244" t="s">
        <v>154</v>
      </c>
      <c r="L34" s="236">
        <v>3</v>
      </c>
      <c r="N34" s="244">
        <v>1</v>
      </c>
      <c r="O34" s="244">
        <v>1.1499999999999999</v>
      </c>
      <c r="P34" s="244">
        <v>1.05</v>
      </c>
      <c r="Q34" s="247">
        <f t="shared" si="0"/>
        <v>1.1000000000000001</v>
      </c>
      <c r="R34" s="244">
        <v>13.2</v>
      </c>
      <c r="S34" s="244">
        <v>129</v>
      </c>
      <c r="T34" s="266">
        <f t="shared" si="4"/>
        <v>25</v>
      </c>
      <c r="U34" s="244">
        <v>95</v>
      </c>
      <c r="V34" s="267">
        <f t="shared" si="2"/>
        <v>2375</v>
      </c>
      <c r="W34" s="236">
        <v>1</v>
      </c>
      <c r="X34" s="244" t="s">
        <v>46</v>
      </c>
      <c r="Y34" s="244" t="s">
        <v>102</v>
      </c>
      <c r="Z34" s="244" t="s">
        <v>69</v>
      </c>
      <c r="AA34" s="244" t="s">
        <v>78</v>
      </c>
      <c r="AB34" s="244" t="s">
        <v>348</v>
      </c>
      <c r="AE34" s="280"/>
      <c r="AF34" s="280"/>
      <c r="AG34" s="280"/>
      <c r="AH34" s="280"/>
      <c r="AI34" s="280"/>
      <c r="AJ34" s="280"/>
      <c r="AK34" s="280"/>
      <c r="AL34" s="280"/>
      <c r="AM34" s="280"/>
      <c r="AN34" s="280"/>
      <c r="AO34" s="280"/>
      <c r="AP34" s="280"/>
      <c r="AQ34" s="280"/>
      <c r="AR34" s="280"/>
      <c r="AS34" s="280"/>
      <c r="AT34" s="280"/>
      <c r="AU34" s="280"/>
      <c r="AV34" s="280"/>
      <c r="AW34" s="280"/>
    </row>
    <row r="35" spans="1:49" x14ac:dyDescent="0.15">
      <c r="A35" s="244" t="s">
        <v>41</v>
      </c>
      <c r="B35" s="236" t="s">
        <v>346</v>
      </c>
      <c r="C35" s="245">
        <v>2018</v>
      </c>
      <c r="D35" s="246" t="s">
        <v>367</v>
      </c>
      <c r="E35" s="236" t="s">
        <v>299</v>
      </c>
      <c r="F35" s="236" t="s">
        <v>305</v>
      </c>
      <c r="G35" s="244" t="s">
        <v>42</v>
      </c>
      <c r="H35" s="244" t="s">
        <v>168</v>
      </c>
      <c r="I35" s="244" t="s">
        <v>153</v>
      </c>
      <c r="J35" s="244" t="s">
        <v>38</v>
      </c>
      <c r="K35" s="244" t="s">
        <v>154</v>
      </c>
      <c r="L35" s="236">
        <v>1</v>
      </c>
      <c r="M35" s="244"/>
      <c r="N35" s="244">
        <v>1</v>
      </c>
      <c r="O35" s="244">
        <v>1.2</v>
      </c>
      <c r="P35" s="244">
        <v>1.05</v>
      </c>
      <c r="Q35" s="247">
        <f t="shared" si="0"/>
        <v>1.125</v>
      </c>
      <c r="R35" s="244">
        <v>15.8</v>
      </c>
      <c r="S35" s="244">
        <v>134</v>
      </c>
      <c r="T35" s="266">
        <f t="shared" si="4"/>
        <v>25</v>
      </c>
      <c r="U35" s="244">
        <v>148</v>
      </c>
      <c r="V35" s="267">
        <f t="shared" si="2"/>
        <v>3700</v>
      </c>
      <c r="W35" s="244">
        <v>2</v>
      </c>
      <c r="X35" s="244" t="s">
        <v>46</v>
      </c>
      <c r="Y35" s="244" t="s">
        <v>78</v>
      </c>
      <c r="Z35" s="244" t="s">
        <v>102</v>
      </c>
      <c r="AA35" s="244" t="s">
        <v>60</v>
      </c>
      <c r="AB35" s="244" t="s">
        <v>348</v>
      </c>
    </row>
    <row r="36" spans="1:49" x14ac:dyDescent="0.15">
      <c r="A36" s="244" t="s">
        <v>41</v>
      </c>
      <c r="B36" s="236" t="s">
        <v>346</v>
      </c>
      <c r="C36" s="245">
        <v>2018</v>
      </c>
      <c r="D36" s="246" t="s">
        <v>367</v>
      </c>
      <c r="E36" s="236" t="s">
        <v>299</v>
      </c>
      <c r="F36" s="236" t="s">
        <v>305</v>
      </c>
      <c r="G36" s="244" t="s">
        <v>42</v>
      </c>
      <c r="H36" s="244" t="s">
        <v>168</v>
      </c>
      <c r="I36" s="244" t="s">
        <v>153</v>
      </c>
      <c r="J36" s="244" t="s">
        <v>38</v>
      </c>
      <c r="K36" s="244" t="s">
        <v>154</v>
      </c>
      <c r="L36" s="236">
        <v>2</v>
      </c>
      <c r="N36" s="244">
        <v>1</v>
      </c>
      <c r="O36" s="244">
        <v>0.95</v>
      </c>
      <c r="P36" s="244">
        <v>1</v>
      </c>
      <c r="Q36" s="247">
        <f t="shared" si="0"/>
        <v>0.97499999999999998</v>
      </c>
      <c r="R36" s="244">
        <v>14.5</v>
      </c>
      <c r="S36" s="244">
        <v>130</v>
      </c>
      <c r="T36" s="266">
        <f t="shared" si="4"/>
        <v>25</v>
      </c>
      <c r="U36" s="244">
        <v>148</v>
      </c>
      <c r="V36" s="249">
        <f t="shared" si="2"/>
        <v>3700</v>
      </c>
      <c r="W36" s="236">
        <v>2</v>
      </c>
      <c r="X36" s="244" t="s">
        <v>46</v>
      </c>
      <c r="Y36" s="244" t="s">
        <v>78</v>
      </c>
      <c r="Z36" s="244" t="s">
        <v>102</v>
      </c>
      <c r="AA36" s="244" t="s">
        <v>60</v>
      </c>
      <c r="AB36" s="244" t="s">
        <v>348</v>
      </c>
      <c r="AE36" s="280"/>
      <c r="AF36" s="280"/>
      <c r="AG36" s="280"/>
      <c r="AH36" s="280"/>
      <c r="AI36" s="280"/>
      <c r="AJ36" s="280"/>
      <c r="AK36" s="280"/>
      <c r="AL36" s="280"/>
      <c r="AM36" s="280"/>
      <c r="AN36" s="280"/>
      <c r="AO36" s="280"/>
      <c r="AP36" s="280"/>
      <c r="AQ36" s="280"/>
      <c r="AR36" s="280"/>
      <c r="AS36" s="280"/>
      <c r="AT36" s="280"/>
      <c r="AU36" s="280"/>
      <c r="AV36" s="280"/>
      <c r="AW36" s="280"/>
    </row>
    <row r="37" spans="1:49" x14ac:dyDescent="0.15">
      <c r="A37" s="244" t="s">
        <v>41</v>
      </c>
      <c r="B37" s="236" t="s">
        <v>346</v>
      </c>
      <c r="C37" s="245">
        <v>2018</v>
      </c>
      <c r="D37" s="246" t="s">
        <v>367</v>
      </c>
      <c r="E37" s="236" t="s">
        <v>299</v>
      </c>
      <c r="F37" s="236" t="s">
        <v>305</v>
      </c>
      <c r="G37" s="244" t="s">
        <v>42</v>
      </c>
      <c r="H37" s="244" t="s">
        <v>168</v>
      </c>
      <c r="I37" s="244" t="s">
        <v>153</v>
      </c>
      <c r="J37" s="244" t="s">
        <v>38</v>
      </c>
      <c r="K37" s="244" t="s">
        <v>154</v>
      </c>
      <c r="L37" s="236">
        <v>3</v>
      </c>
      <c r="N37" s="244">
        <v>1</v>
      </c>
      <c r="O37" s="244">
        <v>0.8</v>
      </c>
      <c r="P37" s="244">
        <v>0.95</v>
      </c>
      <c r="Q37" s="247">
        <f t="shared" si="0"/>
        <v>0.875</v>
      </c>
      <c r="R37" s="244">
        <v>16.399999999999999</v>
      </c>
      <c r="S37" s="244">
        <v>133</v>
      </c>
      <c r="T37" s="266">
        <f t="shared" si="4"/>
        <v>25</v>
      </c>
      <c r="U37" s="244">
        <v>148</v>
      </c>
      <c r="V37" s="249">
        <f t="shared" si="2"/>
        <v>3700</v>
      </c>
      <c r="W37" s="236">
        <v>2</v>
      </c>
      <c r="X37" s="244" t="s">
        <v>46</v>
      </c>
      <c r="Y37" s="244" t="s">
        <v>78</v>
      </c>
      <c r="Z37" s="244" t="s">
        <v>102</v>
      </c>
      <c r="AA37" s="244" t="s">
        <v>60</v>
      </c>
      <c r="AB37" s="244" t="s">
        <v>348</v>
      </c>
      <c r="AE37" s="280"/>
      <c r="AF37" s="280"/>
      <c r="AG37" s="280"/>
      <c r="AH37" s="280"/>
      <c r="AI37" s="280"/>
      <c r="AJ37" s="280"/>
      <c r="AK37" s="280"/>
      <c r="AL37" s="280"/>
      <c r="AM37" s="280"/>
      <c r="AN37" s="280"/>
      <c r="AO37" s="280"/>
      <c r="AP37" s="280"/>
      <c r="AQ37" s="280"/>
      <c r="AR37" s="280"/>
      <c r="AS37" s="280"/>
      <c r="AT37" s="280"/>
      <c r="AU37" s="280"/>
      <c r="AV37" s="280"/>
      <c r="AW37" s="280"/>
    </row>
    <row r="38" spans="1:49" x14ac:dyDescent="0.15">
      <c r="A38" s="244" t="s">
        <v>41</v>
      </c>
      <c r="B38" s="236" t="s">
        <v>346</v>
      </c>
      <c r="C38" s="245">
        <v>2018</v>
      </c>
      <c r="D38" s="246" t="s">
        <v>367</v>
      </c>
      <c r="E38" s="236" t="s">
        <v>299</v>
      </c>
      <c r="F38" s="236" t="s">
        <v>305</v>
      </c>
      <c r="G38" s="244" t="s">
        <v>42</v>
      </c>
      <c r="H38" s="244" t="s">
        <v>168</v>
      </c>
      <c r="I38" s="244" t="s">
        <v>153</v>
      </c>
      <c r="J38" s="244" t="s">
        <v>38</v>
      </c>
      <c r="K38" s="244" t="s">
        <v>154</v>
      </c>
      <c r="L38" s="236">
        <v>1</v>
      </c>
      <c r="M38" s="244"/>
      <c r="N38" s="244">
        <v>3</v>
      </c>
      <c r="O38" s="244">
        <v>0.65</v>
      </c>
      <c r="P38" s="244">
        <v>0.55000000000000004</v>
      </c>
      <c r="Q38" s="247">
        <f t="shared" si="0"/>
        <v>0.60000000000000009</v>
      </c>
      <c r="R38" s="244">
        <v>13.4</v>
      </c>
      <c r="S38" s="244">
        <v>130</v>
      </c>
      <c r="T38" s="266">
        <f t="shared" si="4"/>
        <v>25</v>
      </c>
      <c r="U38" s="244">
        <v>429</v>
      </c>
      <c r="V38" s="267">
        <f t="shared" si="2"/>
        <v>3575</v>
      </c>
      <c r="W38" s="244">
        <v>1</v>
      </c>
      <c r="X38" s="244" t="s">
        <v>46</v>
      </c>
      <c r="Y38" s="244" t="s">
        <v>78</v>
      </c>
      <c r="Z38" s="244" t="s">
        <v>102</v>
      </c>
      <c r="AA38" s="244" t="s">
        <v>60</v>
      </c>
      <c r="AB38" s="244" t="s">
        <v>348</v>
      </c>
    </row>
    <row r="39" spans="1:49" x14ac:dyDescent="0.15">
      <c r="A39" s="244" t="s">
        <v>41</v>
      </c>
      <c r="B39" s="236" t="s">
        <v>346</v>
      </c>
      <c r="C39" s="245">
        <v>2018</v>
      </c>
      <c r="D39" s="246" t="s">
        <v>367</v>
      </c>
      <c r="E39" s="236" t="s">
        <v>299</v>
      </c>
      <c r="F39" s="236" t="s">
        <v>305</v>
      </c>
      <c r="G39" s="244" t="s">
        <v>42</v>
      </c>
      <c r="H39" s="244" t="s">
        <v>168</v>
      </c>
      <c r="I39" s="244" t="s">
        <v>153</v>
      </c>
      <c r="J39" s="244" t="s">
        <v>38</v>
      </c>
      <c r="K39" s="244" t="s">
        <v>154</v>
      </c>
      <c r="L39" s="236">
        <v>2</v>
      </c>
      <c r="N39" s="244">
        <v>3</v>
      </c>
      <c r="O39" s="244">
        <v>0.75</v>
      </c>
      <c r="P39" s="244">
        <v>0.8</v>
      </c>
      <c r="Q39" s="247">
        <f t="shared" si="0"/>
        <v>0.77500000000000002</v>
      </c>
      <c r="R39" s="244">
        <v>14.5</v>
      </c>
      <c r="S39" s="244">
        <v>135</v>
      </c>
      <c r="T39" s="266">
        <f t="shared" si="4"/>
        <v>25</v>
      </c>
      <c r="U39" s="244">
        <v>429</v>
      </c>
      <c r="V39" s="249">
        <f t="shared" si="2"/>
        <v>3575</v>
      </c>
      <c r="W39" s="236">
        <v>1</v>
      </c>
      <c r="X39" s="244" t="s">
        <v>46</v>
      </c>
      <c r="Y39" s="244" t="s">
        <v>78</v>
      </c>
      <c r="Z39" s="244" t="s">
        <v>102</v>
      </c>
      <c r="AA39" s="244" t="s">
        <v>60</v>
      </c>
      <c r="AB39" s="244" t="s">
        <v>348</v>
      </c>
      <c r="AE39" s="280"/>
      <c r="AF39" s="280"/>
      <c r="AG39" s="280"/>
      <c r="AH39" s="280"/>
      <c r="AI39" s="280"/>
      <c r="AJ39" s="280"/>
      <c r="AK39" s="280"/>
      <c r="AL39" s="280"/>
      <c r="AM39" s="280"/>
      <c r="AN39" s="280"/>
      <c r="AO39" s="280"/>
      <c r="AP39" s="280"/>
      <c r="AQ39" s="280"/>
      <c r="AR39" s="280"/>
      <c r="AS39" s="280"/>
      <c r="AT39" s="280"/>
      <c r="AU39" s="280"/>
      <c r="AV39" s="280"/>
      <c r="AW39" s="280"/>
    </row>
    <row r="40" spans="1:49" x14ac:dyDescent="0.15">
      <c r="A40" s="244" t="s">
        <v>41</v>
      </c>
      <c r="B40" s="236" t="s">
        <v>346</v>
      </c>
      <c r="C40" s="245">
        <v>2018</v>
      </c>
      <c r="D40" s="246" t="s">
        <v>367</v>
      </c>
      <c r="E40" s="236" t="s">
        <v>299</v>
      </c>
      <c r="F40" s="236" t="s">
        <v>305</v>
      </c>
      <c r="G40" s="244" t="s">
        <v>42</v>
      </c>
      <c r="H40" s="244" t="s">
        <v>168</v>
      </c>
      <c r="I40" s="244" t="s">
        <v>153</v>
      </c>
      <c r="J40" s="244" t="s">
        <v>38</v>
      </c>
      <c r="K40" s="244" t="s">
        <v>154</v>
      </c>
      <c r="L40" s="236">
        <v>3</v>
      </c>
      <c r="N40" s="244">
        <v>3</v>
      </c>
      <c r="O40" s="244">
        <v>0.8</v>
      </c>
      <c r="P40" s="244">
        <v>0.75</v>
      </c>
      <c r="Q40" s="247">
        <f t="shared" si="0"/>
        <v>0.77500000000000002</v>
      </c>
      <c r="R40" s="244">
        <v>14.6</v>
      </c>
      <c r="S40" s="244">
        <v>133</v>
      </c>
      <c r="T40" s="266">
        <f t="shared" si="4"/>
        <v>25</v>
      </c>
      <c r="U40" s="244">
        <v>429</v>
      </c>
      <c r="V40" s="249">
        <f t="shared" si="2"/>
        <v>3575</v>
      </c>
      <c r="W40" s="236">
        <v>1</v>
      </c>
      <c r="X40" s="244" t="s">
        <v>46</v>
      </c>
      <c r="Y40" s="244" t="s">
        <v>78</v>
      </c>
      <c r="Z40" s="244" t="s">
        <v>102</v>
      </c>
      <c r="AA40" s="244" t="s">
        <v>60</v>
      </c>
      <c r="AB40" s="244" t="s">
        <v>348</v>
      </c>
      <c r="AE40" s="280"/>
      <c r="AF40" s="280"/>
      <c r="AG40" s="280"/>
      <c r="AH40" s="280"/>
      <c r="AI40" s="280"/>
      <c r="AJ40" s="280"/>
      <c r="AK40" s="280"/>
      <c r="AL40" s="280"/>
      <c r="AM40" s="280"/>
      <c r="AN40" s="280"/>
      <c r="AO40" s="280"/>
      <c r="AP40" s="280"/>
      <c r="AQ40" s="280"/>
      <c r="AR40" s="280"/>
      <c r="AS40" s="280"/>
      <c r="AT40" s="280"/>
      <c r="AU40" s="280"/>
      <c r="AV40" s="280"/>
      <c r="AW40" s="280"/>
    </row>
    <row r="41" spans="1:49" x14ac:dyDescent="0.15">
      <c r="A41" s="244" t="s">
        <v>41</v>
      </c>
      <c r="B41" s="236" t="s">
        <v>346</v>
      </c>
      <c r="C41" s="245">
        <v>2018</v>
      </c>
      <c r="D41" s="246" t="s">
        <v>367</v>
      </c>
      <c r="E41" s="236" t="s">
        <v>299</v>
      </c>
      <c r="F41" s="236" t="s">
        <v>305</v>
      </c>
      <c r="G41" s="244" t="s">
        <v>42</v>
      </c>
      <c r="H41" s="244" t="s">
        <v>155</v>
      </c>
      <c r="I41" s="244" t="s">
        <v>153</v>
      </c>
      <c r="J41" s="244" t="s">
        <v>38</v>
      </c>
      <c r="K41" s="244" t="s">
        <v>154</v>
      </c>
      <c r="L41" s="236">
        <v>1</v>
      </c>
      <c r="M41" s="244"/>
      <c r="N41" s="244">
        <v>1</v>
      </c>
      <c r="O41" s="244">
        <v>0.6</v>
      </c>
      <c r="P41" s="244">
        <v>0.65</v>
      </c>
      <c r="Q41" s="247">
        <f t="shared" si="0"/>
        <v>0.625</v>
      </c>
      <c r="R41" s="244">
        <v>16.2</v>
      </c>
      <c r="S41" s="244">
        <v>129</v>
      </c>
      <c r="T41" s="266">
        <f t="shared" si="4"/>
        <v>25</v>
      </c>
      <c r="U41" s="244">
        <v>105</v>
      </c>
      <c r="V41" s="267">
        <f t="shared" si="2"/>
        <v>2625</v>
      </c>
      <c r="W41" s="244">
        <v>2</v>
      </c>
      <c r="X41" s="244" t="s">
        <v>46</v>
      </c>
      <c r="Y41" s="244" t="s">
        <v>78</v>
      </c>
      <c r="Z41" s="244" t="s">
        <v>102</v>
      </c>
      <c r="AA41" s="244" t="s">
        <v>60</v>
      </c>
      <c r="AB41" s="244" t="s">
        <v>348</v>
      </c>
    </row>
    <row r="42" spans="1:49" x14ac:dyDescent="0.15">
      <c r="A42" s="244" t="s">
        <v>41</v>
      </c>
      <c r="B42" s="236" t="s">
        <v>346</v>
      </c>
      <c r="C42" s="245">
        <v>2018</v>
      </c>
      <c r="D42" s="246" t="s">
        <v>367</v>
      </c>
      <c r="E42" s="236" t="s">
        <v>299</v>
      </c>
      <c r="F42" s="236" t="s">
        <v>305</v>
      </c>
      <c r="G42" s="244" t="s">
        <v>42</v>
      </c>
      <c r="H42" s="244" t="s">
        <v>155</v>
      </c>
      <c r="I42" s="244" t="s">
        <v>153</v>
      </c>
      <c r="J42" s="244" t="s">
        <v>38</v>
      </c>
      <c r="K42" s="244" t="s">
        <v>154</v>
      </c>
      <c r="L42" s="236">
        <v>2</v>
      </c>
      <c r="N42" s="244">
        <v>1</v>
      </c>
      <c r="O42" s="244">
        <v>0.6</v>
      </c>
      <c r="P42" s="244">
        <v>0.5</v>
      </c>
      <c r="Q42" s="247">
        <f t="shared" si="0"/>
        <v>0.55000000000000004</v>
      </c>
      <c r="R42" s="244">
        <v>14.8</v>
      </c>
      <c r="S42" s="244">
        <v>131</v>
      </c>
      <c r="T42" s="266">
        <f t="shared" si="4"/>
        <v>25</v>
      </c>
      <c r="U42" s="244">
        <v>105</v>
      </c>
      <c r="V42" s="249">
        <f t="shared" si="2"/>
        <v>2625</v>
      </c>
      <c r="W42" s="236">
        <v>2</v>
      </c>
      <c r="X42" s="244" t="s">
        <v>46</v>
      </c>
      <c r="Y42" s="244" t="s">
        <v>78</v>
      </c>
      <c r="Z42" s="244" t="s">
        <v>102</v>
      </c>
      <c r="AA42" s="244" t="s">
        <v>60</v>
      </c>
      <c r="AB42" s="244" t="s">
        <v>348</v>
      </c>
      <c r="AE42" s="280"/>
      <c r="AF42" s="280"/>
      <c r="AG42" s="280"/>
      <c r="AH42" s="280"/>
      <c r="AI42" s="280"/>
      <c r="AJ42" s="280"/>
      <c r="AK42" s="280"/>
      <c r="AL42" s="280"/>
      <c r="AM42" s="280"/>
      <c r="AN42" s="280"/>
      <c r="AO42" s="280"/>
      <c r="AP42" s="280"/>
      <c r="AQ42" s="280"/>
      <c r="AR42" s="280"/>
      <c r="AS42" s="280"/>
      <c r="AT42" s="280"/>
      <c r="AU42" s="280"/>
      <c r="AV42" s="280"/>
      <c r="AW42" s="280"/>
    </row>
    <row r="43" spans="1:49" x14ac:dyDescent="0.15">
      <c r="A43" s="244" t="s">
        <v>41</v>
      </c>
      <c r="B43" s="236" t="s">
        <v>346</v>
      </c>
      <c r="C43" s="245">
        <v>2018</v>
      </c>
      <c r="D43" s="246" t="s">
        <v>367</v>
      </c>
      <c r="E43" s="236" t="s">
        <v>299</v>
      </c>
      <c r="F43" s="236" t="s">
        <v>305</v>
      </c>
      <c r="G43" s="244" t="s">
        <v>42</v>
      </c>
      <c r="H43" s="244" t="s">
        <v>155</v>
      </c>
      <c r="I43" s="244" t="s">
        <v>153</v>
      </c>
      <c r="J43" s="244" t="s">
        <v>38</v>
      </c>
      <c r="K43" s="244" t="s">
        <v>154</v>
      </c>
      <c r="L43" s="236">
        <v>3</v>
      </c>
      <c r="N43" s="244">
        <v>1</v>
      </c>
      <c r="O43" s="244">
        <v>0.6</v>
      </c>
      <c r="P43" s="244">
        <v>0.7</v>
      </c>
      <c r="Q43" s="247">
        <f t="shared" si="0"/>
        <v>0.64999999999999991</v>
      </c>
      <c r="R43" s="244">
        <v>13</v>
      </c>
      <c r="S43" s="244">
        <v>130</v>
      </c>
      <c r="T43" s="266">
        <f t="shared" si="4"/>
        <v>25</v>
      </c>
      <c r="U43" s="244">
        <v>105</v>
      </c>
      <c r="V43" s="249">
        <f t="shared" si="2"/>
        <v>2625</v>
      </c>
      <c r="W43" s="236">
        <v>2</v>
      </c>
      <c r="X43" s="244" t="s">
        <v>46</v>
      </c>
      <c r="Y43" s="244" t="s">
        <v>78</v>
      </c>
      <c r="Z43" s="244" t="s">
        <v>102</v>
      </c>
      <c r="AA43" s="244" t="s">
        <v>60</v>
      </c>
      <c r="AB43" s="244" t="s">
        <v>348</v>
      </c>
      <c r="AE43" s="280"/>
      <c r="AF43" s="280"/>
      <c r="AG43" s="280"/>
      <c r="AH43" s="280"/>
      <c r="AI43" s="280"/>
      <c r="AJ43" s="280"/>
      <c r="AK43" s="280"/>
      <c r="AL43" s="280"/>
      <c r="AM43" s="280"/>
      <c r="AN43" s="280"/>
      <c r="AO43" s="280"/>
      <c r="AP43" s="280"/>
      <c r="AQ43" s="280"/>
      <c r="AR43" s="280"/>
      <c r="AS43" s="280"/>
      <c r="AT43" s="280"/>
      <c r="AU43" s="280"/>
      <c r="AV43" s="280"/>
      <c r="AW43" s="280"/>
    </row>
    <row r="44" spans="1:49" x14ac:dyDescent="0.15">
      <c r="A44" s="244" t="s">
        <v>41</v>
      </c>
      <c r="B44" s="236" t="s">
        <v>346</v>
      </c>
      <c r="C44" s="245">
        <v>2018</v>
      </c>
      <c r="D44" s="246" t="s">
        <v>367</v>
      </c>
      <c r="E44" s="236" t="s">
        <v>299</v>
      </c>
      <c r="F44" s="236" t="s">
        <v>305</v>
      </c>
      <c r="G44" s="244" t="s">
        <v>42</v>
      </c>
      <c r="H44" s="244" t="s">
        <v>155</v>
      </c>
      <c r="I44" s="244" t="s">
        <v>153</v>
      </c>
      <c r="J44" s="244" t="s">
        <v>38</v>
      </c>
      <c r="K44" s="244" t="s">
        <v>154</v>
      </c>
      <c r="L44" s="236">
        <v>1</v>
      </c>
      <c r="M44" s="244"/>
      <c r="N44" s="244">
        <v>3</v>
      </c>
      <c r="O44" s="236">
        <v>0.35</v>
      </c>
      <c r="P44" s="236">
        <v>0.4</v>
      </c>
      <c r="Q44" s="248">
        <f t="shared" si="0"/>
        <v>0.375</v>
      </c>
      <c r="R44" s="236">
        <v>14.8</v>
      </c>
      <c r="S44" s="236">
        <v>128</v>
      </c>
      <c r="T44" s="266">
        <f t="shared" si="4"/>
        <v>27</v>
      </c>
      <c r="U44" s="244">
        <v>378</v>
      </c>
      <c r="V44" s="267">
        <f t="shared" si="2"/>
        <v>3402</v>
      </c>
      <c r="W44" s="244">
        <v>1</v>
      </c>
      <c r="X44" s="244" t="s">
        <v>46</v>
      </c>
      <c r="Y44" s="244" t="s">
        <v>78</v>
      </c>
      <c r="Z44" s="244" t="s">
        <v>102</v>
      </c>
      <c r="AA44" s="244" t="s">
        <v>60</v>
      </c>
      <c r="AB44" s="244" t="s">
        <v>348</v>
      </c>
      <c r="AE44" s="281"/>
      <c r="AF44" s="280"/>
      <c r="AG44" s="282"/>
      <c r="AH44" s="282"/>
      <c r="AI44" s="280"/>
      <c r="AJ44" s="280"/>
      <c r="AK44" s="280"/>
      <c r="AL44" s="280"/>
      <c r="AM44" s="280"/>
      <c r="AN44" s="280"/>
      <c r="AO44" s="280"/>
      <c r="AP44" s="280"/>
      <c r="AQ44" s="280"/>
      <c r="AR44" s="282"/>
      <c r="AS44" s="280"/>
      <c r="AT44" s="280"/>
      <c r="AU44" s="280"/>
      <c r="AV44" s="280"/>
      <c r="AW44" s="280"/>
    </row>
    <row r="45" spans="1:49" x14ac:dyDescent="0.15">
      <c r="A45" s="244" t="s">
        <v>41</v>
      </c>
      <c r="B45" s="236" t="s">
        <v>346</v>
      </c>
      <c r="C45" s="245">
        <v>2018</v>
      </c>
      <c r="D45" s="246" t="s">
        <v>367</v>
      </c>
      <c r="E45" s="236" t="s">
        <v>299</v>
      </c>
      <c r="F45" s="236" t="s">
        <v>305</v>
      </c>
      <c r="G45" s="244" t="s">
        <v>42</v>
      </c>
      <c r="H45" s="244" t="s">
        <v>155</v>
      </c>
      <c r="I45" s="244" t="s">
        <v>153</v>
      </c>
      <c r="J45" s="244" t="s">
        <v>38</v>
      </c>
      <c r="K45" s="244" t="s">
        <v>154</v>
      </c>
      <c r="L45" s="236">
        <v>2</v>
      </c>
      <c r="N45" s="244">
        <v>3</v>
      </c>
      <c r="O45" s="236">
        <v>0.4</v>
      </c>
      <c r="P45" s="236">
        <v>0.5</v>
      </c>
      <c r="Q45" s="248">
        <f t="shared" si="0"/>
        <v>0.45</v>
      </c>
      <c r="R45" s="236">
        <v>15.2</v>
      </c>
      <c r="S45" s="236">
        <v>127</v>
      </c>
      <c r="T45" s="266">
        <f t="shared" si="4"/>
        <v>27</v>
      </c>
      <c r="U45" s="244">
        <v>378</v>
      </c>
      <c r="V45" s="249">
        <f t="shared" si="2"/>
        <v>3402</v>
      </c>
      <c r="W45" s="236">
        <v>1</v>
      </c>
      <c r="X45" s="244" t="s">
        <v>46</v>
      </c>
      <c r="Y45" s="244" t="s">
        <v>78</v>
      </c>
      <c r="Z45" s="244" t="s">
        <v>102</v>
      </c>
      <c r="AA45" s="244" t="s">
        <v>60</v>
      </c>
      <c r="AB45" s="244" t="s">
        <v>348</v>
      </c>
      <c r="AE45" s="281"/>
      <c r="AF45" s="280"/>
      <c r="AG45" s="282"/>
      <c r="AH45" s="282"/>
      <c r="AI45" s="280"/>
      <c r="AJ45" s="280"/>
      <c r="AK45" s="280"/>
      <c r="AL45" s="280"/>
      <c r="AM45" s="280"/>
      <c r="AN45" s="280"/>
      <c r="AO45" s="280"/>
      <c r="AP45" s="280"/>
      <c r="AQ45" s="280"/>
      <c r="AR45" s="282"/>
      <c r="AS45" s="280"/>
      <c r="AT45" s="280"/>
      <c r="AU45" s="280"/>
      <c r="AV45" s="280"/>
      <c r="AW45" s="280"/>
    </row>
    <row r="46" spans="1:49" x14ac:dyDescent="0.15">
      <c r="A46" s="244" t="s">
        <v>41</v>
      </c>
      <c r="B46" s="236" t="s">
        <v>346</v>
      </c>
      <c r="C46" s="245">
        <v>2018</v>
      </c>
      <c r="D46" s="246" t="s">
        <v>367</v>
      </c>
      <c r="E46" s="236" t="s">
        <v>299</v>
      </c>
      <c r="F46" s="236" t="s">
        <v>305</v>
      </c>
      <c r="G46" s="244" t="s">
        <v>42</v>
      </c>
      <c r="H46" s="244" t="s">
        <v>155</v>
      </c>
      <c r="I46" s="244" t="s">
        <v>153</v>
      </c>
      <c r="J46" s="244" t="s">
        <v>38</v>
      </c>
      <c r="K46" s="244" t="s">
        <v>154</v>
      </c>
      <c r="L46" s="236">
        <v>3</v>
      </c>
      <c r="N46" s="244">
        <v>3</v>
      </c>
      <c r="O46" s="236">
        <v>0.25</v>
      </c>
      <c r="P46" s="236">
        <v>0.35</v>
      </c>
      <c r="Q46" s="248">
        <f t="shared" si="0"/>
        <v>0.3</v>
      </c>
      <c r="R46" s="236">
        <v>12.7</v>
      </c>
      <c r="S46" s="236">
        <v>125</v>
      </c>
      <c r="T46" s="266">
        <f t="shared" si="4"/>
        <v>27</v>
      </c>
      <c r="U46" s="244">
        <v>378</v>
      </c>
      <c r="V46" s="249">
        <f t="shared" si="2"/>
        <v>3402</v>
      </c>
      <c r="W46" s="236">
        <v>1</v>
      </c>
      <c r="X46" s="244" t="s">
        <v>46</v>
      </c>
      <c r="Y46" s="244" t="s">
        <v>78</v>
      </c>
      <c r="Z46" s="244" t="s">
        <v>102</v>
      </c>
      <c r="AA46" s="244" t="s">
        <v>60</v>
      </c>
      <c r="AB46" s="244" t="s">
        <v>348</v>
      </c>
      <c r="AE46" s="281"/>
      <c r="AF46" s="280"/>
      <c r="AG46" s="282"/>
      <c r="AH46" s="282"/>
      <c r="AI46" s="280"/>
      <c r="AJ46" s="280"/>
      <c r="AK46" s="280"/>
      <c r="AL46" s="280"/>
      <c r="AM46" s="280"/>
      <c r="AN46" s="280"/>
      <c r="AO46" s="280"/>
      <c r="AP46" s="280"/>
      <c r="AQ46" s="280"/>
      <c r="AR46" s="282"/>
      <c r="AS46" s="280"/>
      <c r="AT46" s="280"/>
      <c r="AU46" s="280"/>
      <c r="AV46" s="280"/>
      <c r="AW46" s="280"/>
    </row>
    <row r="47" spans="1:49" x14ac:dyDescent="0.15">
      <c r="A47" s="244" t="s">
        <v>41</v>
      </c>
      <c r="B47" s="236" t="s">
        <v>346</v>
      </c>
      <c r="C47" s="245">
        <v>2018</v>
      </c>
      <c r="D47" s="246" t="s">
        <v>367</v>
      </c>
      <c r="E47" s="236" t="s">
        <v>300</v>
      </c>
      <c r="F47" s="236" t="s">
        <v>304</v>
      </c>
      <c r="G47" s="244" t="s">
        <v>42</v>
      </c>
      <c r="H47" s="244" t="s">
        <v>155</v>
      </c>
      <c r="I47" s="244" t="s">
        <v>153</v>
      </c>
      <c r="J47" s="244" t="s">
        <v>38</v>
      </c>
      <c r="K47" s="244" t="s">
        <v>154</v>
      </c>
      <c r="L47" s="236">
        <v>1</v>
      </c>
      <c r="N47" s="244">
        <v>1</v>
      </c>
      <c r="O47" s="244">
        <v>0.95</v>
      </c>
      <c r="P47" s="244">
        <v>1</v>
      </c>
      <c r="Q47" s="247">
        <f t="shared" si="0"/>
        <v>0.97499999999999998</v>
      </c>
      <c r="R47" s="244">
        <v>15.5</v>
      </c>
      <c r="S47" s="244">
        <v>128</v>
      </c>
      <c r="T47" s="248">
        <f t="shared" si="4"/>
        <v>27</v>
      </c>
      <c r="U47" s="236">
        <v>108</v>
      </c>
      <c r="V47" s="249">
        <f t="shared" si="2"/>
        <v>2916</v>
      </c>
      <c r="W47" s="236">
        <v>1</v>
      </c>
      <c r="X47" s="244" t="s">
        <v>46</v>
      </c>
      <c r="Y47" s="244" t="s">
        <v>102</v>
      </c>
      <c r="Z47" s="244" t="s">
        <v>78</v>
      </c>
      <c r="AA47" s="244" t="s">
        <v>88</v>
      </c>
      <c r="AB47" s="244" t="s">
        <v>348</v>
      </c>
      <c r="AE47" s="281"/>
      <c r="AF47" s="280"/>
      <c r="AG47" s="282"/>
      <c r="AH47" s="282"/>
      <c r="AI47" s="280"/>
      <c r="AJ47" s="280"/>
      <c r="AK47" s="280"/>
      <c r="AL47" s="280"/>
      <c r="AM47" s="280"/>
      <c r="AN47" s="280"/>
      <c r="AO47" s="280"/>
      <c r="AP47" s="280"/>
      <c r="AQ47" s="280"/>
      <c r="AR47" s="282"/>
      <c r="AS47" s="280"/>
      <c r="AT47" s="280"/>
      <c r="AU47" s="280"/>
      <c r="AV47" s="280"/>
      <c r="AW47" s="280"/>
    </row>
    <row r="48" spans="1:49" x14ac:dyDescent="0.15">
      <c r="A48" s="244" t="s">
        <v>41</v>
      </c>
      <c r="B48" s="236" t="s">
        <v>346</v>
      </c>
      <c r="C48" s="245">
        <v>2018</v>
      </c>
      <c r="D48" s="246" t="s">
        <v>367</v>
      </c>
      <c r="E48" s="236" t="s">
        <v>300</v>
      </c>
      <c r="F48" s="236" t="s">
        <v>304</v>
      </c>
      <c r="G48" s="244" t="s">
        <v>42</v>
      </c>
      <c r="H48" s="244" t="s">
        <v>155</v>
      </c>
      <c r="I48" s="244" t="s">
        <v>153</v>
      </c>
      <c r="J48" s="244" t="s">
        <v>38</v>
      </c>
      <c r="K48" s="244" t="s">
        <v>154</v>
      </c>
      <c r="L48" s="236">
        <v>2</v>
      </c>
      <c r="N48" s="244">
        <v>1</v>
      </c>
      <c r="O48" s="244">
        <v>0.85</v>
      </c>
      <c r="P48" s="244">
        <v>0.75</v>
      </c>
      <c r="Q48" s="247">
        <f t="shared" si="0"/>
        <v>0.8</v>
      </c>
      <c r="R48" s="244">
        <v>14.8</v>
      </c>
      <c r="S48" s="244">
        <v>131</v>
      </c>
      <c r="T48" s="248">
        <f t="shared" si="4"/>
        <v>25</v>
      </c>
      <c r="U48" s="236">
        <v>108</v>
      </c>
      <c r="V48" s="249">
        <f t="shared" si="2"/>
        <v>2700</v>
      </c>
      <c r="W48" s="236">
        <v>1</v>
      </c>
      <c r="X48" s="244" t="s">
        <v>46</v>
      </c>
      <c r="Y48" s="244" t="s">
        <v>102</v>
      </c>
      <c r="Z48" s="244" t="s">
        <v>78</v>
      </c>
      <c r="AA48" s="244" t="s">
        <v>88</v>
      </c>
      <c r="AB48" s="244" t="s">
        <v>348</v>
      </c>
      <c r="AE48" s="281"/>
      <c r="AF48" s="280"/>
      <c r="AG48" s="282"/>
      <c r="AH48" s="282"/>
      <c r="AI48" s="280"/>
      <c r="AJ48" s="280"/>
      <c r="AK48" s="280"/>
      <c r="AL48" s="280"/>
      <c r="AM48" s="280"/>
      <c r="AN48" s="280"/>
      <c r="AO48" s="280"/>
      <c r="AP48" s="280"/>
      <c r="AQ48" s="280"/>
      <c r="AR48" s="282"/>
      <c r="AS48" s="280"/>
      <c r="AT48" s="280"/>
      <c r="AU48" s="280"/>
      <c r="AV48" s="280"/>
      <c r="AW48" s="280"/>
    </row>
    <row r="49" spans="1:49" x14ac:dyDescent="0.15">
      <c r="A49" s="244" t="s">
        <v>41</v>
      </c>
      <c r="B49" s="236" t="s">
        <v>346</v>
      </c>
      <c r="C49" s="245">
        <v>2018</v>
      </c>
      <c r="D49" s="246" t="s">
        <v>367</v>
      </c>
      <c r="E49" s="236" t="s">
        <v>300</v>
      </c>
      <c r="F49" s="236" t="s">
        <v>304</v>
      </c>
      <c r="G49" s="244" t="s">
        <v>42</v>
      </c>
      <c r="H49" s="244" t="s">
        <v>155</v>
      </c>
      <c r="I49" s="244" t="s">
        <v>153</v>
      </c>
      <c r="J49" s="244" t="s">
        <v>38</v>
      </c>
      <c r="K49" s="244" t="s">
        <v>154</v>
      </c>
      <c r="L49" s="236">
        <v>3</v>
      </c>
      <c r="N49" s="244">
        <v>1</v>
      </c>
      <c r="O49" s="244">
        <v>0.6</v>
      </c>
      <c r="P49" s="244">
        <v>0.65</v>
      </c>
      <c r="Q49" s="247">
        <f t="shared" si="0"/>
        <v>0.625</v>
      </c>
      <c r="R49" s="244">
        <v>13.8</v>
      </c>
      <c r="S49" s="244">
        <v>128</v>
      </c>
      <c r="T49" s="248">
        <f t="shared" si="4"/>
        <v>27</v>
      </c>
      <c r="U49" s="236">
        <v>108</v>
      </c>
      <c r="V49" s="249">
        <f t="shared" si="2"/>
        <v>2916</v>
      </c>
      <c r="W49" s="236">
        <v>1</v>
      </c>
      <c r="X49" s="244" t="s">
        <v>46</v>
      </c>
      <c r="Y49" s="244" t="s">
        <v>102</v>
      </c>
      <c r="Z49" s="244" t="s">
        <v>78</v>
      </c>
      <c r="AA49" s="244" t="s">
        <v>88</v>
      </c>
      <c r="AB49" s="244" t="s">
        <v>348</v>
      </c>
      <c r="AE49" s="281"/>
      <c r="AF49" s="280"/>
      <c r="AG49" s="282"/>
      <c r="AH49" s="282"/>
      <c r="AI49" s="280"/>
      <c r="AJ49" s="280"/>
      <c r="AK49" s="280"/>
      <c r="AL49" s="280"/>
      <c r="AM49" s="280"/>
      <c r="AN49" s="280"/>
      <c r="AO49" s="280"/>
      <c r="AP49" s="280"/>
      <c r="AQ49" s="280"/>
      <c r="AR49" s="282"/>
      <c r="AS49" s="280"/>
      <c r="AT49" s="280"/>
      <c r="AU49" s="280"/>
      <c r="AV49" s="280"/>
      <c r="AW49" s="280"/>
    </row>
    <row r="50" spans="1:49" x14ac:dyDescent="0.15">
      <c r="A50" s="244" t="s">
        <v>41</v>
      </c>
      <c r="B50" s="236" t="s">
        <v>346</v>
      </c>
      <c r="C50" s="245">
        <v>2018</v>
      </c>
      <c r="D50" s="246" t="s">
        <v>367</v>
      </c>
      <c r="E50" s="236" t="s">
        <v>300</v>
      </c>
      <c r="F50" s="236" t="s">
        <v>304</v>
      </c>
      <c r="G50" s="244" t="s">
        <v>42</v>
      </c>
      <c r="H50" s="244" t="s">
        <v>168</v>
      </c>
      <c r="I50" s="244" t="s">
        <v>153</v>
      </c>
      <c r="J50" s="244" t="s">
        <v>38</v>
      </c>
      <c r="K50" s="244" t="s">
        <v>154</v>
      </c>
      <c r="L50" s="236">
        <v>1</v>
      </c>
      <c r="N50" s="244">
        <v>1</v>
      </c>
      <c r="O50" s="244">
        <v>0.55000000000000004</v>
      </c>
      <c r="P50" s="244">
        <v>0.6</v>
      </c>
      <c r="Q50" s="247">
        <f t="shared" si="0"/>
        <v>0.57499999999999996</v>
      </c>
      <c r="R50" s="244">
        <v>15.9</v>
      </c>
      <c r="S50" s="244">
        <v>125</v>
      </c>
      <c r="T50" s="248">
        <f t="shared" si="4"/>
        <v>27</v>
      </c>
      <c r="U50" s="236">
        <v>170</v>
      </c>
      <c r="V50" s="249">
        <f t="shared" si="2"/>
        <v>4590</v>
      </c>
      <c r="W50" s="236">
        <v>1</v>
      </c>
      <c r="X50" s="244" t="s">
        <v>46</v>
      </c>
      <c r="Y50" s="244" t="s">
        <v>102</v>
      </c>
      <c r="Z50" s="244" t="s">
        <v>78</v>
      </c>
      <c r="AA50" s="244" t="s">
        <v>88</v>
      </c>
      <c r="AB50" s="244" t="s">
        <v>348</v>
      </c>
    </row>
    <row r="51" spans="1:49" x14ac:dyDescent="0.15">
      <c r="A51" s="244" t="s">
        <v>41</v>
      </c>
      <c r="B51" s="236" t="s">
        <v>346</v>
      </c>
      <c r="C51" s="245">
        <v>2018</v>
      </c>
      <c r="D51" s="246" t="s">
        <v>367</v>
      </c>
      <c r="E51" s="236" t="s">
        <v>300</v>
      </c>
      <c r="F51" s="236" t="s">
        <v>304</v>
      </c>
      <c r="G51" s="244" t="s">
        <v>42</v>
      </c>
      <c r="H51" s="244" t="s">
        <v>168</v>
      </c>
      <c r="I51" s="244" t="s">
        <v>153</v>
      </c>
      <c r="J51" s="244" t="s">
        <v>38</v>
      </c>
      <c r="K51" s="244" t="s">
        <v>154</v>
      </c>
      <c r="L51" s="236">
        <v>2</v>
      </c>
      <c r="N51" s="244">
        <v>1</v>
      </c>
      <c r="O51" s="244">
        <v>0.5</v>
      </c>
      <c r="P51" s="244">
        <v>0.65</v>
      </c>
      <c r="Q51" s="247">
        <f t="shared" si="0"/>
        <v>0.57499999999999996</v>
      </c>
      <c r="R51" s="244">
        <v>13.5</v>
      </c>
      <c r="S51" s="244">
        <v>128</v>
      </c>
      <c r="T51" s="248">
        <f t="shared" si="4"/>
        <v>27</v>
      </c>
      <c r="U51" s="236">
        <v>170</v>
      </c>
      <c r="V51" s="249">
        <f t="shared" si="2"/>
        <v>4590</v>
      </c>
      <c r="W51" s="236">
        <v>1</v>
      </c>
      <c r="X51" s="244" t="s">
        <v>46</v>
      </c>
      <c r="Y51" s="244" t="s">
        <v>102</v>
      </c>
      <c r="Z51" s="244" t="s">
        <v>78</v>
      </c>
      <c r="AA51" s="244" t="s">
        <v>88</v>
      </c>
      <c r="AB51" s="244" t="s">
        <v>348</v>
      </c>
    </row>
    <row r="52" spans="1:49" x14ac:dyDescent="0.15">
      <c r="A52" s="244" t="s">
        <v>41</v>
      </c>
      <c r="B52" s="236" t="s">
        <v>346</v>
      </c>
      <c r="C52" s="245">
        <v>2018</v>
      </c>
      <c r="D52" s="246" t="s">
        <v>367</v>
      </c>
      <c r="E52" s="236" t="s">
        <v>300</v>
      </c>
      <c r="F52" s="236" t="s">
        <v>304</v>
      </c>
      <c r="G52" s="244" t="s">
        <v>42</v>
      </c>
      <c r="H52" s="244" t="s">
        <v>168</v>
      </c>
      <c r="I52" s="244" t="s">
        <v>153</v>
      </c>
      <c r="J52" s="244" t="s">
        <v>38</v>
      </c>
      <c r="K52" s="244" t="s">
        <v>154</v>
      </c>
      <c r="L52" s="236">
        <v>3</v>
      </c>
      <c r="N52" s="244">
        <v>1</v>
      </c>
      <c r="O52" s="244">
        <v>0.4</v>
      </c>
      <c r="P52" s="244">
        <v>0.35</v>
      </c>
      <c r="Q52" s="247">
        <f t="shared" si="0"/>
        <v>0.375</v>
      </c>
      <c r="R52" s="244">
        <v>13.4</v>
      </c>
      <c r="S52" s="244">
        <v>131</v>
      </c>
      <c r="T52" s="248">
        <f t="shared" si="4"/>
        <v>25</v>
      </c>
      <c r="U52" s="236">
        <v>170</v>
      </c>
      <c r="V52" s="249">
        <f t="shared" si="2"/>
        <v>4250</v>
      </c>
      <c r="W52" s="236">
        <v>1</v>
      </c>
      <c r="X52" s="244" t="s">
        <v>46</v>
      </c>
      <c r="Y52" s="244" t="s">
        <v>102</v>
      </c>
      <c r="Z52" s="244" t="s">
        <v>78</v>
      </c>
      <c r="AA52" s="244" t="s">
        <v>88</v>
      </c>
      <c r="AB52" s="244" t="s">
        <v>348</v>
      </c>
    </row>
    <row r="53" spans="1:49" x14ac:dyDescent="0.15">
      <c r="A53" s="244" t="s">
        <v>41</v>
      </c>
      <c r="B53" s="236" t="s">
        <v>346</v>
      </c>
      <c r="C53" s="245">
        <v>2018</v>
      </c>
      <c r="D53" s="246" t="s">
        <v>367</v>
      </c>
      <c r="E53" s="236" t="s">
        <v>300</v>
      </c>
      <c r="F53" s="236" t="s">
        <v>304</v>
      </c>
      <c r="G53" s="244" t="s">
        <v>42</v>
      </c>
      <c r="H53" s="244" t="s">
        <v>168</v>
      </c>
      <c r="I53" s="244" t="s">
        <v>153</v>
      </c>
      <c r="J53" s="244" t="s">
        <v>38</v>
      </c>
      <c r="K53" s="244" t="s">
        <v>154</v>
      </c>
      <c r="L53" s="236">
        <v>1</v>
      </c>
      <c r="N53" s="244">
        <v>4</v>
      </c>
      <c r="O53" s="244">
        <v>0.45</v>
      </c>
      <c r="P53" s="244">
        <v>0.4</v>
      </c>
      <c r="Q53" s="247">
        <f t="shared" si="0"/>
        <v>0.42500000000000004</v>
      </c>
      <c r="R53" s="244">
        <v>15.1</v>
      </c>
      <c r="S53" s="244">
        <v>124</v>
      </c>
      <c r="T53" s="248">
        <f t="shared" si="4"/>
        <v>27</v>
      </c>
      <c r="U53" s="236">
        <v>645</v>
      </c>
      <c r="V53" s="249">
        <f t="shared" si="2"/>
        <v>4353.75</v>
      </c>
      <c r="W53" s="236">
        <v>1</v>
      </c>
      <c r="X53" s="244" t="s">
        <v>46</v>
      </c>
      <c r="Y53" s="244" t="s">
        <v>102</v>
      </c>
      <c r="Z53" s="244" t="s">
        <v>78</v>
      </c>
      <c r="AA53" s="244" t="s">
        <v>88</v>
      </c>
      <c r="AB53" s="244" t="s">
        <v>348</v>
      </c>
      <c r="AC53" s="244"/>
      <c r="AD53" s="244"/>
    </row>
    <row r="54" spans="1:49" x14ac:dyDescent="0.15">
      <c r="A54" s="244" t="s">
        <v>41</v>
      </c>
      <c r="B54" s="236" t="s">
        <v>346</v>
      </c>
      <c r="C54" s="245">
        <v>2018</v>
      </c>
      <c r="D54" s="246" t="s">
        <v>367</v>
      </c>
      <c r="E54" s="236" t="s">
        <v>300</v>
      </c>
      <c r="F54" s="236" t="s">
        <v>304</v>
      </c>
      <c r="G54" s="244" t="s">
        <v>42</v>
      </c>
      <c r="H54" s="244" t="s">
        <v>168</v>
      </c>
      <c r="I54" s="244" t="s">
        <v>153</v>
      </c>
      <c r="J54" s="244" t="s">
        <v>38</v>
      </c>
      <c r="K54" s="244" t="s">
        <v>154</v>
      </c>
      <c r="L54" s="236">
        <v>2</v>
      </c>
      <c r="N54" s="244">
        <v>4</v>
      </c>
      <c r="O54" s="244">
        <v>0.6</v>
      </c>
      <c r="P54" s="244">
        <v>0.55000000000000004</v>
      </c>
      <c r="Q54" s="247">
        <f t="shared" si="0"/>
        <v>0.57499999999999996</v>
      </c>
      <c r="R54" s="244">
        <v>14.7</v>
      </c>
      <c r="S54" s="244">
        <v>121</v>
      </c>
      <c r="T54" s="248">
        <f t="shared" si="4"/>
        <v>27</v>
      </c>
      <c r="U54" s="236">
        <v>645</v>
      </c>
      <c r="V54" s="249">
        <f t="shared" si="2"/>
        <v>4353.75</v>
      </c>
      <c r="W54" s="236">
        <v>1</v>
      </c>
      <c r="X54" s="244" t="s">
        <v>46</v>
      </c>
      <c r="Y54" s="244" t="s">
        <v>102</v>
      </c>
      <c r="Z54" s="244" t="s">
        <v>78</v>
      </c>
      <c r="AA54" s="244" t="s">
        <v>88</v>
      </c>
      <c r="AB54" s="244" t="s">
        <v>348</v>
      </c>
      <c r="AC54" s="244"/>
      <c r="AD54" s="244"/>
    </row>
    <row r="55" spans="1:49" x14ac:dyDescent="0.15">
      <c r="A55" s="244" t="s">
        <v>41</v>
      </c>
      <c r="B55" s="236" t="s">
        <v>346</v>
      </c>
      <c r="C55" s="245">
        <v>2018</v>
      </c>
      <c r="D55" s="246" t="s">
        <v>367</v>
      </c>
      <c r="E55" s="236" t="s">
        <v>300</v>
      </c>
      <c r="F55" s="236" t="s">
        <v>304</v>
      </c>
      <c r="G55" s="244" t="s">
        <v>42</v>
      </c>
      <c r="H55" s="244" t="s">
        <v>168</v>
      </c>
      <c r="I55" s="244" t="s">
        <v>153</v>
      </c>
      <c r="J55" s="244" t="s">
        <v>38</v>
      </c>
      <c r="K55" s="244" t="s">
        <v>154</v>
      </c>
      <c r="L55" s="236">
        <v>3</v>
      </c>
      <c r="N55" s="244">
        <v>4</v>
      </c>
      <c r="O55" s="244">
        <v>0.4</v>
      </c>
      <c r="P55" s="244">
        <v>0.45</v>
      </c>
      <c r="Q55" s="247">
        <f t="shared" si="0"/>
        <v>0.42500000000000004</v>
      </c>
      <c r="R55" s="244">
        <v>14.8</v>
      </c>
      <c r="S55" s="244">
        <v>120</v>
      </c>
      <c r="T55" s="248">
        <f t="shared" si="4"/>
        <v>30</v>
      </c>
      <c r="U55" s="244">
        <v>645</v>
      </c>
      <c r="V55" s="249">
        <f t="shared" si="2"/>
        <v>4837.5</v>
      </c>
      <c r="W55" s="236">
        <v>1</v>
      </c>
      <c r="X55" s="244" t="s">
        <v>46</v>
      </c>
      <c r="Y55" s="244" t="s">
        <v>102</v>
      </c>
      <c r="Z55" s="244" t="s">
        <v>78</v>
      </c>
      <c r="AA55" s="244" t="s">
        <v>88</v>
      </c>
      <c r="AB55" s="244" t="s">
        <v>348</v>
      </c>
      <c r="AC55" s="244"/>
      <c r="AD55" s="244"/>
    </row>
    <row r="56" spans="1:49" x14ac:dyDescent="0.15">
      <c r="A56" s="244" t="s">
        <v>41</v>
      </c>
      <c r="B56" s="236" t="s">
        <v>346</v>
      </c>
      <c r="C56" s="245">
        <v>2018</v>
      </c>
      <c r="D56" s="246" t="s">
        <v>367</v>
      </c>
      <c r="E56" s="236" t="s">
        <v>300</v>
      </c>
      <c r="F56" s="236" t="s">
        <v>304</v>
      </c>
      <c r="G56" s="244" t="s">
        <v>42</v>
      </c>
      <c r="H56" s="244" t="s">
        <v>168</v>
      </c>
      <c r="I56" s="244" t="s">
        <v>153</v>
      </c>
      <c r="J56" s="244" t="s">
        <v>38</v>
      </c>
      <c r="K56" s="244" t="s">
        <v>154</v>
      </c>
      <c r="L56" s="236">
        <v>1</v>
      </c>
      <c r="N56" s="236">
        <v>8</v>
      </c>
      <c r="O56" s="244">
        <v>0.75</v>
      </c>
      <c r="P56" s="244">
        <v>0.65</v>
      </c>
      <c r="Q56" s="247">
        <f t="shared" si="0"/>
        <v>0.7</v>
      </c>
      <c r="R56" s="244">
        <v>14</v>
      </c>
      <c r="S56" s="244">
        <v>121</v>
      </c>
      <c r="T56" s="248">
        <f t="shared" si="4"/>
        <v>27</v>
      </c>
      <c r="U56" s="236">
        <v>1058</v>
      </c>
      <c r="V56" s="249">
        <f t="shared" si="2"/>
        <v>3570.75</v>
      </c>
      <c r="W56" s="236">
        <v>1</v>
      </c>
      <c r="X56" s="244" t="s">
        <v>46</v>
      </c>
      <c r="Y56" s="244" t="s">
        <v>102</v>
      </c>
      <c r="Z56" s="244" t="s">
        <v>78</v>
      </c>
      <c r="AA56" s="244" t="s">
        <v>88</v>
      </c>
      <c r="AB56" s="244" t="s">
        <v>348</v>
      </c>
    </row>
    <row r="57" spans="1:49" x14ac:dyDescent="0.15">
      <c r="A57" s="244" t="s">
        <v>41</v>
      </c>
      <c r="B57" s="236" t="s">
        <v>346</v>
      </c>
      <c r="C57" s="245">
        <v>2018</v>
      </c>
      <c r="D57" s="246" t="s">
        <v>367</v>
      </c>
      <c r="E57" s="236" t="s">
        <v>300</v>
      </c>
      <c r="F57" s="236" t="s">
        <v>304</v>
      </c>
      <c r="G57" s="244" t="s">
        <v>42</v>
      </c>
      <c r="H57" s="244" t="s">
        <v>168</v>
      </c>
      <c r="I57" s="244" t="s">
        <v>153</v>
      </c>
      <c r="J57" s="244" t="s">
        <v>38</v>
      </c>
      <c r="K57" s="244" t="s">
        <v>154</v>
      </c>
      <c r="L57" s="236">
        <v>2</v>
      </c>
      <c r="N57" s="236">
        <v>8</v>
      </c>
      <c r="O57" s="244">
        <v>0.85</v>
      </c>
      <c r="P57" s="244">
        <v>0.75</v>
      </c>
      <c r="Q57" s="247">
        <f t="shared" si="0"/>
        <v>0.8</v>
      </c>
      <c r="R57" s="244">
        <v>15</v>
      </c>
      <c r="S57" s="244">
        <v>118</v>
      </c>
      <c r="T57" s="248">
        <f t="shared" si="4"/>
        <v>30</v>
      </c>
      <c r="U57" s="236">
        <v>1058</v>
      </c>
      <c r="V57" s="249">
        <f t="shared" si="2"/>
        <v>3967.5</v>
      </c>
      <c r="W57" s="236">
        <v>1</v>
      </c>
      <c r="X57" s="244" t="s">
        <v>46</v>
      </c>
      <c r="Y57" s="244" t="s">
        <v>102</v>
      </c>
      <c r="Z57" s="244" t="s">
        <v>78</v>
      </c>
      <c r="AA57" s="244" t="s">
        <v>88</v>
      </c>
      <c r="AB57" s="244" t="s">
        <v>348</v>
      </c>
    </row>
    <row r="58" spans="1:49" x14ac:dyDescent="0.15">
      <c r="A58" s="244" t="s">
        <v>41</v>
      </c>
      <c r="B58" s="236" t="s">
        <v>346</v>
      </c>
      <c r="C58" s="245">
        <v>2018</v>
      </c>
      <c r="D58" s="246" t="s">
        <v>367</v>
      </c>
      <c r="E58" s="236" t="s">
        <v>300</v>
      </c>
      <c r="F58" s="236" t="s">
        <v>304</v>
      </c>
      <c r="G58" s="244" t="s">
        <v>42</v>
      </c>
      <c r="H58" s="244" t="s">
        <v>168</v>
      </c>
      <c r="I58" s="244" t="s">
        <v>153</v>
      </c>
      <c r="J58" s="244" t="s">
        <v>38</v>
      </c>
      <c r="K58" s="244" t="s">
        <v>154</v>
      </c>
      <c r="L58" s="236">
        <v>3</v>
      </c>
      <c r="N58" s="236">
        <v>8</v>
      </c>
      <c r="O58" s="244">
        <v>0.65</v>
      </c>
      <c r="P58" s="244">
        <v>0.7</v>
      </c>
      <c r="Q58" s="247">
        <f t="shared" si="0"/>
        <v>0.67500000000000004</v>
      </c>
      <c r="R58" s="244">
        <v>14.7</v>
      </c>
      <c r="S58" s="244">
        <v>119</v>
      </c>
      <c r="T58" s="248">
        <f t="shared" si="4"/>
        <v>30</v>
      </c>
      <c r="U58" s="236">
        <v>1058</v>
      </c>
      <c r="V58" s="249">
        <f t="shared" si="2"/>
        <v>3967.5</v>
      </c>
      <c r="W58" s="236">
        <v>1</v>
      </c>
      <c r="X58" s="244" t="s">
        <v>46</v>
      </c>
      <c r="Y58" s="244" t="s">
        <v>102</v>
      </c>
      <c r="Z58" s="244" t="s">
        <v>78</v>
      </c>
      <c r="AA58" s="244" t="s">
        <v>88</v>
      </c>
      <c r="AB58" s="244" t="s">
        <v>348</v>
      </c>
    </row>
    <row r="59" spans="1:49" x14ac:dyDescent="0.15">
      <c r="A59" s="244" t="s">
        <v>41</v>
      </c>
      <c r="B59" s="236" t="s">
        <v>346</v>
      </c>
      <c r="C59" s="245">
        <v>2018</v>
      </c>
      <c r="D59" s="246" t="s">
        <v>367</v>
      </c>
      <c r="E59" s="236" t="s">
        <v>300</v>
      </c>
      <c r="F59" s="236" t="s">
        <v>304</v>
      </c>
      <c r="G59" s="244" t="s">
        <v>42</v>
      </c>
      <c r="H59" s="244" t="s">
        <v>155</v>
      </c>
      <c r="I59" s="244" t="s">
        <v>153</v>
      </c>
      <c r="J59" s="244" t="s">
        <v>38</v>
      </c>
      <c r="K59" s="244" t="s">
        <v>154</v>
      </c>
      <c r="L59" s="236">
        <v>1</v>
      </c>
      <c r="N59" s="236">
        <v>5</v>
      </c>
      <c r="O59" s="244">
        <v>0.55000000000000004</v>
      </c>
      <c r="P59" s="244">
        <v>0.45</v>
      </c>
      <c r="Q59" s="247">
        <f t="shared" si="0"/>
        <v>0.5</v>
      </c>
      <c r="R59" s="244">
        <v>15.9</v>
      </c>
      <c r="S59" s="244">
        <v>115</v>
      </c>
      <c r="T59" s="248">
        <f t="shared" si="4"/>
        <v>30</v>
      </c>
      <c r="U59" s="236">
        <v>429</v>
      </c>
      <c r="V59" s="249">
        <f t="shared" si="2"/>
        <v>2574</v>
      </c>
      <c r="W59" s="236">
        <v>5</v>
      </c>
      <c r="X59" s="244" t="s">
        <v>46</v>
      </c>
      <c r="Y59" s="244" t="s">
        <v>102</v>
      </c>
      <c r="Z59" s="244" t="s">
        <v>78</v>
      </c>
      <c r="AA59" s="244" t="s">
        <v>88</v>
      </c>
      <c r="AB59" s="244" t="s">
        <v>348</v>
      </c>
    </row>
    <row r="60" spans="1:49" x14ac:dyDescent="0.15">
      <c r="A60" s="244" t="s">
        <v>41</v>
      </c>
      <c r="B60" s="236" t="s">
        <v>346</v>
      </c>
      <c r="C60" s="245">
        <v>2018</v>
      </c>
      <c r="D60" s="246" t="s">
        <v>367</v>
      </c>
      <c r="E60" s="236" t="s">
        <v>300</v>
      </c>
      <c r="F60" s="236" t="s">
        <v>304</v>
      </c>
      <c r="G60" s="244" t="s">
        <v>42</v>
      </c>
      <c r="H60" s="244" t="s">
        <v>155</v>
      </c>
      <c r="I60" s="244" t="s">
        <v>153</v>
      </c>
      <c r="J60" s="244" t="s">
        <v>38</v>
      </c>
      <c r="K60" s="244" t="s">
        <v>154</v>
      </c>
      <c r="L60" s="236">
        <v>2</v>
      </c>
      <c r="N60" s="236">
        <v>5</v>
      </c>
      <c r="O60" s="244">
        <v>0.55000000000000004</v>
      </c>
      <c r="P60" s="244">
        <v>0.4</v>
      </c>
      <c r="Q60" s="247">
        <f t="shared" si="0"/>
        <v>0.47500000000000003</v>
      </c>
      <c r="R60" s="244">
        <v>14</v>
      </c>
      <c r="S60" s="244">
        <v>114</v>
      </c>
      <c r="T60" s="248">
        <f t="shared" si="4"/>
        <v>30</v>
      </c>
      <c r="U60" s="236">
        <v>429</v>
      </c>
      <c r="V60" s="249">
        <f t="shared" si="2"/>
        <v>2574</v>
      </c>
      <c r="W60" s="236">
        <v>5</v>
      </c>
      <c r="X60" s="244" t="s">
        <v>46</v>
      </c>
      <c r="Y60" s="244" t="s">
        <v>102</v>
      </c>
      <c r="Z60" s="244" t="s">
        <v>78</v>
      </c>
      <c r="AA60" s="244" t="s">
        <v>88</v>
      </c>
      <c r="AB60" s="244" t="s">
        <v>348</v>
      </c>
    </row>
    <row r="61" spans="1:49" x14ac:dyDescent="0.15">
      <c r="A61" s="244" t="s">
        <v>41</v>
      </c>
      <c r="B61" s="236" t="s">
        <v>346</v>
      </c>
      <c r="C61" s="245">
        <v>2018</v>
      </c>
      <c r="D61" s="246" t="s">
        <v>367</v>
      </c>
      <c r="E61" s="236" t="s">
        <v>300</v>
      </c>
      <c r="F61" s="236" t="s">
        <v>304</v>
      </c>
      <c r="G61" s="244" t="s">
        <v>42</v>
      </c>
      <c r="H61" s="244" t="s">
        <v>155</v>
      </c>
      <c r="I61" s="244" t="s">
        <v>153</v>
      </c>
      <c r="J61" s="244" t="s">
        <v>38</v>
      </c>
      <c r="K61" s="244" t="s">
        <v>154</v>
      </c>
      <c r="L61" s="236">
        <v>3</v>
      </c>
      <c r="N61" s="236">
        <v>5</v>
      </c>
      <c r="O61" s="244">
        <v>0.6</v>
      </c>
      <c r="P61" s="244">
        <v>0.5</v>
      </c>
      <c r="Q61" s="247">
        <f t="shared" si="0"/>
        <v>0.55000000000000004</v>
      </c>
      <c r="R61" s="244">
        <v>13.1</v>
      </c>
      <c r="S61" s="244">
        <v>115</v>
      </c>
      <c r="T61" s="248">
        <f t="shared" si="4"/>
        <v>30</v>
      </c>
      <c r="U61" s="236">
        <v>429</v>
      </c>
      <c r="V61" s="249">
        <f t="shared" si="2"/>
        <v>2574</v>
      </c>
      <c r="W61" s="236">
        <v>5</v>
      </c>
      <c r="X61" s="244" t="s">
        <v>46</v>
      </c>
      <c r="Y61" s="244" t="s">
        <v>102</v>
      </c>
      <c r="Z61" s="244" t="s">
        <v>78</v>
      </c>
      <c r="AA61" s="244" t="s">
        <v>88</v>
      </c>
      <c r="AB61" s="244" t="s">
        <v>348</v>
      </c>
    </row>
    <row r="62" spans="1:49" x14ac:dyDescent="0.15">
      <c r="A62" s="244" t="s">
        <v>41</v>
      </c>
      <c r="B62" s="236" t="s">
        <v>346</v>
      </c>
      <c r="C62" s="245">
        <v>2018</v>
      </c>
      <c r="D62" s="246" t="s">
        <v>367</v>
      </c>
      <c r="E62" s="236" t="s">
        <v>300</v>
      </c>
      <c r="F62" s="236" t="s">
        <v>306</v>
      </c>
      <c r="G62" s="244" t="s">
        <v>42</v>
      </c>
      <c r="H62" s="244" t="s">
        <v>155</v>
      </c>
      <c r="I62" s="244" t="s">
        <v>153</v>
      </c>
      <c r="J62" s="244" t="s">
        <v>38</v>
      </c>
      <c r="K62" s="244" t="s">
        <v>154</v>
      </c>
      <c r="L62" s="236">
        <v>1</v>
      </c>
      <c r="N62" s="244">
        <v>1</v>
      </c>
      <c r="O62" s="236">
        <v>0.25</v>
      </c>
      <c r="P62" s="236">
        <v>0.2</v>
      </c>
      <c r="Q62" s="248">
        <f t="shared" si="0"/>
        <v>0.22500000000000001</v>
      </c>
      <c r="R62" s="236">
        <v>13.5</v>
      </c>
      <c r="S62" s="236">
        <v>121</v>
      </c>
      <c r="T62" s="248">
        <f t="shared" si="4"/>
        <v>27</v>
      </c>
      <c r="U62" s="236">
        <v>108</v>
      </c>
      <c r="V62" s="249">
        <f t="shared" si="2"/>
        <v>2916</v>
      </c>
      <c r="W62" s="236">
        <v>1</v>
      </c>
      <c r="X62" s="244" t="s">
        <v>46</v>
      </c>
      <c r="Y62" s="244" t="s">
        <v>69</v>
      </c>
      <c r="Z62" s="244" t="s">
        <v>78</v>
      </c>
      <c r="AA62" s="244" t="s">
        <v>102</v>
      </c>
      <c r="AB62" s="244" t="s">
        <v>348</v>
      </c>
    </row>
    <row r="63" spans="1:49" x14ac:dyDescent="0.15">
      <c r="A63" s="244" t="s">
        <v>41</v>
      </c>
      <c r="B63" s="236" t="s">
        <v>346</v>
      </c>
      <c r="C63" s="245">
        <v>2018</v>
      </c>
      <c r="D63" s="246" t="s">
        <v>367</v>
      </c>
      <c r="E63" s="236" t="s">
        <v>300</v>
      </c>
      <c r="F63" s="236" t="s">
        <v>306</v>
      </c>
      <c r="G63" s="244" t="s">
        <v>42</v>
      </c>
      <c r="H63" s="244" t="s">
        <v>155</v>
      </c>
      <c r="I63" s="244" t="s">
        <v>153</v>
      </c>
      <c r="J63" s="244" t="s">
        <v>38</v>
      </c>
      <c r="K63" s="244" t="s">
        <v>154</v>
      </c>
      <c r="L63" s="236">
        <v>2</v>
      </c>
      <c r="N63" s="244">
        <v>1</v>
      </c>
      <c r="O63" s="236">
        <v>0.3</v>
      </c>
      <c r="P63" s="236">
        <v>0.25</v>
      </c>
      <c r="Q63" s="248">
        <f t="shared" si="0"/>
        <v>0.27500000000000002</v>
      </c>
      <c r="R63" s="236">
        <v>15.4</v>
      </c>
      <c r="S63" s="236">
        <v>124</v>
      </c>
      <c r="T63" s="248">
        <f t="shared" si="4"/>
        <v>27</v>
      </c>
      <c r="U63" s="236">
        <v>108</v>
      </c>
      <c r="V63" s="249">
        <f t="shared" si="2"/>
        <v>2916</v>
      </c>
      <c r="W63" s="236">
        <v>1</v>
      </c>
      <c r="X63" s="244" t="s">
        <v>46</v>
      </c>
      <c r="Y63" s="244" t="s">
        <v>69</v>
      </c>
      <c r="Z63" s="244" t="s">
        <v>78</v>
      </c>
      <c r="AA63" s="244" t="s">
        <v>102</v>
      </c>
      <c r="AB63" s="244" t="s">
        <v>348</v>
      </c>
    </row>
    <row r="64" spans="1:49" x14ac:dyDescent="0.15">
      <c r="A64" s="244" t="s">
        <v>41</v>
      </c>
      <c r="B64" s="236" t="s">
        <v>346</v>
      </c>
      <c r="C64" s="245">
        <v>2018</v>
      </c>
      <c r="D64" s="246" t="s">
        <v>367</v>
      </c>
      <c r="E64" s="236" t="s">
        <v>300</v>
      </c>
      <c r="F64" s="236" t="s">
        <v>306</v>
      </c>
      <c r="G64" s="244" t="s">
        <v>42</v>
      </c>
      <c r="H64" s="244" t="s">
        <v>155</v>
      </c>
      <c r="I64" s="244" t="s">
        <v>153</v>
      </c>
      <c r="J64" s="244" t="s">
        <v>38</v>
      </c>
      <c r="K64" s="244" t="s">
        <v>154</v>
      </c>
      <c r="L64" s="236">
        <v>3</v>
      </c>
      <c r="N64" s="244">
        <v>1</v>
      </c>
      <c r="O64" s="236">
        <v>0.25</v>
      </c>
      <c r="P64" s="236">
        <v>0.25</v>
      </c>
      <c r="Q64" s="248">
        <f t="shared" si="0"/>
        <v>0.25</v>
      </c>
      <c r="R64" s="236">
        <v>13</v>
      </c>
      <c r="S64" s="236">
        <v>125</v>
      </c>
      <c r="T64" s="248">
        <f t="shared" si="4"/>
        <v>27</v>
      </c>
      <c r="U64" s="244">
        <v>108</v>
      </c>
      <c r="V64" s="249">
        <f t="shared" si="2"/>
        <v>2916</v>
      </c>
      <c r="W64" s="236">
        <v>1</v>
      </c>
      <c r="X64" s="244" t="s">
        <v>46</v>
      </c>
      <c r="Y64" s="244" t="s">
        <v>69</v>
      </c>
      <c r="Z64" s="244" t="s">
        <v>78</v>
      </c>
      <c r="AA64" s="244" t="s">
        <v>102</v>
      </c>
      <c r="AB64" s="244" t="s">
        <v>348</v>
      </c>
    </row>
    <row r="65" spans="1:30" x14ac:dyDescent="0.15">
      <c r="A65" s="244" t="s">
        <v>41</v>
      </c>
      <c r="B65" s="236" t="s">
        <v>346</v>
      </c>
      <c r="C65" s="245">
        <v>2018</v>
      </c>
      <c r="D65" s="246" t="s">
        <v>367</v>
      </c>
      <c r="E65" s="236" t="s">
        <v>300</v>
      </c>
      <c r="F65" s="236" t="s">
        <v>306</v>
      </c>
      <c r="G65" s="244" t="s">
        <v>42</v>
      </c>
      <c r="H65" s="244" t="s">
        <v>155</v>
      </c>
      <c r="I65" s="244" t="s">
        <v>153</v>
      </c>
      <c r="J65" s="244" t="s">
        <v>38</v>
      </c>
      <c r="K65" s="244" t="s">
        <v>154</v>
      </c>
      <c r="L65" s="236">
        <v>1</v>
      </c>
      <c r="N65" s="244">
        <v>5</v>
      </c>
      <c r="O65" s="244">
        <v>0.65</v>
      </c>
      <c r="P65" s="244">
        <v>0.6</v>
      </c>
      <c r="Q65" s="247">
        <f t="shared" si="0"/>
        <v>0.625</v>
      </c>
      <c r="R65" s="244">
        <v>16.100000000000001</v>
      </c>
      <c r="S65" s="244">
        <v>118</v>
      </c>
      <c r="T65" s="248">
        <f t="shared" si="4"/>
        <v>30</v>
      </c>
      <c r="U65" s="236">
        <v>429</v>
      </c>
      <c r="V65" s="249">
        <f t="shared" si="2"/>
        <v>2574</v>
      </c>
      <c r="W65" s="236">
        <v>2</v>
      </c>
      <c r="X65" s="244" t="s">
        <v>46</v>
      </c>
      <c r="Y65" s="244" t="s">
        <v>69</v>
      </c>
      <c r="Z65" s="244" t="s">
        <v>78</v>
      </c>
      <c r="AA65" s="244" t="s">
        <v>102</v>
      </c>
      <c r="AB65" s="244" t="s">
        <v>348</v>
      </c>
      <c r="AC65" s="244"/>
      <c r="AD65" s="244"/>
    </row>
    <row r="66" spans="1:30" x14ac:dyDescent="0.15">
      <c r="A66" s="244" t="s">
        <v>41</v>
      </c>
      <c r="B66" s="236" t="s">
        <v>346</v>
      </c>
      <c r="C66" s="245">
        <v>2018</v>
      </c>
      <c r="D66" s="246" t="s">
        <v>367</v>
      </c>
      <c r="E66" s="236" t="s">
        <v>300</v>
      </c>
      <c r="F66" s="236" t="s">
        <v>306</v>
      </c>
      <c r="G66" s="244" t="s">
        <v>42</v>
      </c>
      <c r="H66" s="244" t="s">
        <v>155</v>
      </c>
      <c r="I66" s="244" t="s">
        <v>153</v>
      </c>
      <c r="J66" s="244" t="s">
        <v>38</v>
      </c>
      <c r="K66" s="244" t="s">
        <v>154</v>
      </c>
      <c r="L66" s="236">
        <v>2</v>
      </c>
      <c r="N66" s="244">
        <v>5</v>
      </c>
      <c r="O66" s="244">
        <v>0.75</v>
      </c>
      <c r="P66" s="244">
        <v>0.7</v>
      </c>
      <c r="Q66" s="247">
        <f t="shared" ref="Q66:Q135" si="5">IF(OR(O66="",P66=""),"",AVERAGE(O66,P66))</f>
        <v>0.72499999999999998</v>
      </c>
      <c r="R66" s="244">
        <v>14.7</v>
      </c>
      <c r="S66" s="244">
        <v>121</v>
      </c>
      <c r="T66" s="248">
        <f t="shared" si="4"/>
        <v>27</v>
      </c>
      <c r="U66" s="236">
        <v>429</v>
      </c>
      <c r="V66" s="249">
        <f t="shared" ref="V66:V135" si="6">IF(OR(N66="",U66="",T66=""),"",U66/N66*T66)</f>
        <v>2316.6</v>
      </c>
      <c r="W66" s="236">
        <v>2</v>
      </c>
      <c r="X66" s="244" t="s">
        <v>46</v>
      </c>
      <c r="Y66" s="244" t="s">
        <v>69</v>
      </c>
      <c r="Z66" s="244" t="s">
        <v>78</v>
      </c>
      <c r="AA66" s="244" t="s">
        <v>102</v>
      </c>
      <c r="AB66" s="244" t="s">
        <v>348</v>
      </c>
      <c r="AC66" s="244"/>
      <c r="AD66" s="244"/>
    </row>
    <row r="67" spans="1:30" x14ac:dyDescent="0.15">
      <c r="A67" s="244" t="s">
        <v>41</v>
      </c>
      <c r="B67" s="236" t="s">
        <v>346</v>
      </c>
      <c r="C67" s="245">
        <v>2018</v>
      </c>
      <c r="D67" s="246" t="s">
        <v>367</v>
      </c>
      <c r="E67" s="236" t="s">
        <v>300</v>
      </c>
      <c r="F67" s="236" t="s">
        <v>306</v>
      </c>
      <c r="G67" s="244" t="s">
        <v>42</v>
      </c>
      <c r="H67" s="244" t="s">
        <v>155</v>
      </c>
      <c r="I67" s="244" t="s">
        <v>153</v>
      </c>
      <c r="J67" s="244" t="s">
        <v>38</v>
      </c>
      <c r="K67" s="244" t="s">
        <v>154</v>
      </c>
      <c r="L67" s="236">
        <v>3</v>
      </c>
      <c r="N67" s="244">
        <v>5</v>
      </c>
      <c r="O67" s="244">
        <v>0.6</v>
      </c>
      <c r="P67" s="244">
        <v>0.65</v>
      </c>
      <c r="Q67" s="247">
        <f t="shared" si="5"/>
        <v>0.625</v>
      </c>
      <c r="R67" s="244">
        <v>13.4</v>
      </c>
      <c r="S67" s="244">
        <v>122</v>
      </c>
      <c r="T67" s="248">
        <f t="shared" si="4"/>
        <v>27</v>
      </c>
      <c r="U67" s="244">
        <v>429</v>
      </c>
      <c r="V67" s="249">
        <f t="shared" si="6"/>
        <v>2316.6</v>
      </c>
      <c r="W67" s="236">
        <v>2</v>
      </c>
      <c r="X67" s="244" t="s">
        <v>46</v>
      </c>
      <c r="Y67" s="244" t="s">
        <v>69</v>
      </c>
      <c r="Z67" s="244" t="s">
        <v>78</v>
      </c>
      <c r="AA67" s="244" t="s">
        <v>102</v>
      </c>
      <c r="AB67" s="244" t="s">
        <v>348</v>
      </c>
      <c r="AC67" s="244"/>
      <c r="AD67" s="244"/>
    </row>
    <row r="68" spans="1:30" x14ac:dyDescent="0.15">
      <c r="A68" s="244" t="s">
        <v>41</v>
      </c>
      <c r="B68" s="236" t="s">
        <v>346</v>
      </c>
      <c r="C68" s="245">
        <v>2018</v>
      </c>
      <c r="D68" s="246" t="s">
        <v>367</v>
      </c>
      <c r="E68" s="236" t="s">
        <v>300</v>
      </c>
      <c r="F68" s="236" t="s">
        <v>306</v>
      </c>
      <c r="G68" s="244" t="s">
        <v>42</v>
      </c>
      <c r="H68" s="244" t="s">
        <v>168</v>
      </c>
      <c r="I68" s="244" t="s">
        <v>153</v>
      </c>
      <c r="J68" s="244" t="s">
        <v>38</v>
      </c>
      <c r="K68" s="244" t="s">
        <v>154</v>
      </c>
      <c r="L68" s="236">
        <v>1</v>
      </c>
      <c r="N68" s="236">
        <v>8</v>
      </c>
      <c r="O68" s="244">
        <v>0.55000000000000004</v>
      </c>
      <c r="P68" s="244">
        <v>0.5</v>
      </c>
      <c r="Q68" s="247">
        <f t="shared" si="5"/>
        <v>0.52500000000000002</v>
      </c>
      <c r="R68" s="244">
        <v>15.8</v>
      </c>
      <c r="S68" s="244">
        <v>118</v>
      </c>
      <c r="T68" s="248">
        <f t="shared" si="4"/>
        <v>30</v>
      </c>
      <c r="U68" s="236">
        <v>1058</v>
      </c>
      <c r="V68" s="249">
        <f t="shared" si="6"/>
        <v>3967.5</v>
      </c>
      <c r="W68" s="236">
        <v>1</v>
      </c>
      <c r="X68" s="244" t="s">
        <v>46</v>
      </c>
      <c r="Y68" s="244" t="s">
        <v>69</v>
      </c>
      <c r="Z68" s="244" t="s">
        <v>78</v>
      </c>
      <c r="AA68" s="244" t="s">
        <v>102</v>
      </c>
      <c r="AB68" s="244" t="s">
        <v>348</v>
      </c>
      <c r="AC68" s="244"/>
      <c r="AD68" s="244"/>
    </row>
    <row r="69" spans="1:30" x14ac:dyDescent="0.15">
      <c r="A69" s="244" t="s">
        <v>41</v>
      </c>
      <c r="B69" s="236" t="s">
        <v>346</v>
      </c>
      <c r="C69" s="245">
        <v>2018</v>
      </c>
      <c r="D69" s="246" t="s">
        <v>367</v>
      </c>
      <c r="E69" s="236" t="s">
        <v>300</v>
      </c>
      <c r="F69" s="236" t="s">
        <v>306</v>
      </c>
      <c r="G69" s="244" t="s">
        <v>42</v>
      </c>
      <c r="H69" s="244" t="s">
        <v>168</v>
      </c>
      <c r="I69" s="244" t="s">
        <v>153</v>
      </c>
      <c r="J69" s="244" t="s">
        <v>38</v>
      </c>
      <c r="K69" s="244" t="s">
        <v>154</v>
      </c>
      <c r="L69" s="236">
        <v>2</v>
      </c>
      <c r="N69" s="236">
        <v>8</v>
      </c>
      <c r="O69" s="244">
        <v>0.45</v>
      </c>
      <c r="P69" s="244">
        <v>0.55000000000000004</v>
      </c>
      <c r="Q69" s="247">
        <f t="shared" si="5"/>
        <v>0.5</v>
      </c>
      <c r="R69" s="244">
        <v>13.2</v>
      </c>
      <c r="S69" s="244">
        <v>119</v>
      </c>
      <c r="T69" s="248">
        <f t="shared" si="4"/>
        <v>30</v>
      </c>
      <c r="U69" s="236">
        <v>1058</v>
      </c>
      <c r="V69" s="249">
        <f t="shared" si="6"/>
        <v>3967.5</v>
      </c>
      <c r="W69" s="236">
        <v>1</v>
      </c>
      <c r="X69" s="244" t="s">
        <v>46</v>
      </c>
      <c r="Y69" s="244" t="s">
        <v>69</v>
      </c>
      <c r="Z69" s="244" t="s">
        <v>78</v>
      </c>
      <c r="AA69" s="244" t="s">
        <v>102</v>
      </c>
      <c r="AB69" s="244" t="s">
        <v>348</v>
      </c>
    </row>
    <row r="70" spans="1:30" x14ac:dyDescent="0.15">
      <c r="A70" s="244" t="s">
        <v>41</v>
      </c>
      <c r="B70" s="236" t="s">
        <v>346</v>
      </c>
      <c r="C70" s="245">
        <v>2018</v>
      </c>
      <c r="D70" s="246" t="s">
        <v>367</v>
      </c>
      <c r="E70" s="236" t="s">
        <v>300</v>
      </c>
      <c r="F70" s="236" t="s">
        <v>306</v>
      </c>
      <c r="G70" s="244" t="s">
        <v>42</v>
      </c>
      <c r="H70" s="244" t="s">
        <v>168</v>
      </c>
      <c r="I70" s="244" t="s">
        <v>153</v>
      </c>
      <c r="J70" s="244" t="s">
        <v>38</v>
      </c>
      <c r="K70" s="244" t="s">
        <v>154</v>
      </c>
      <c r="L70" s="236">
        <v>3</v>
      </c>
      <c r="N70" s="236">
        <v>8</v>
      </c>
      <c r="O70" s="244">
        <v>0.6</v>
      </c>
      <c r="P70" s="244">
        <v>0.75</v>
      </c>
      <c r="Q70" s="247">
        <f t="shared" si="5"/>
        <v>0.67500000000000004</v>
      </c>
      <c r="R70" s="244">
        <v>14</v>
      </c>
      <c r="S70" s="244">
        <v>121</v>
      </c>
      <c r="T70" s="248">
        <f t="shared" si="4"/>
        <v>27</v>
      </c>
      <c r="U70" s="236">
        <v>1058</v>
      </c>
      <c r="V70" s="249">
        <f t="shared" si="6"/>
        <v>3570.75</v>
      </c>
      <c r="W70" s="236">
        <v>1</v>
      </c>
      <c r="X70" s="244" t="s">
        <v>46</v>
      </c>
      <c r="Y70" s="244" t="s">
        <v>69</v>
      </c>
      <c r="Z70" s="244" t="s">
        <v>78</v>
      </c>
      <c r="AA70" s="244" t="s">
        <v>102</v>
      </c>
      <c r="AB70" s="244" t="s">
        <v>348</v>
      </c>
    </row>
    <row r="71" spans="1:30" x14ac:dyDescent="0.15">
      <c r="A71" s="244" t="s">
        <v>41</v>
      </c>
      <c r="B71" s="236" t="s">
        <v>346</v>
      </c>
      <c r="C71" s="245">
        <v>2018</v>
      </c>
      <c r="D71" s="246" t="s">
        <v>367</v>
      </c>
      <c r="E71" s="236" t="s">
        <v>300</v>
      </c>
      <c r="F71" s="236" t="s">
        <v>306</v>
      </c>
      <c r="G71" s="244" t="s">
        <v>42</v>
      </c>
      <c r="H71" s="244" t="s">
        <v>168</v>
      </c>
      <c r="I71" s="244" t="s">
        <v>153</v>
      </c>
      <c r="J71" s="244" t="s">
        <v>38</v>
      </c>
      <c r="K71" s="244" t="s">
        <v>154</v>
      </c>
      <c r="L71" s="236">
        <v>1</v>
      </c>
      <c r="N71" s="244">
        <v>1</v>
      </c>
      <c r="O71" s="244">
        <v>0.25</v>
      </c>
      <c r="P71" s="244">
        <v>0.25</v>
      </c>
      <c r="Q71" s="247">
        <f t="shared" si="5"/>
        <v>0.25</v>
      </c>
      <c r="R71" s="244">
        <v>17.600000000000001</v>
      </c>
      <c r="S71" s="244">
        <v>125</v>
      </c>
      <c r="T71" s="248">
        <f t="shared" si="4"/>
        <v>27</v>
      </c>
      <c r="U71" s="236">
        <v>170</v>
      </c>
      <c r="V71" s="249">
        <f t="shared" si="6"/>
        <v>4590</v>
      </c>
      <c r="W71" s="236">
        <v>1</v>
      </c>
      <c r="X71" s="244" t="s">
        <v>46</v>
      </c>
      <c r="Y71" s="244" t="s">
        <v>69</v>
      </c>
      <c r="Z71" s="244" t="s">
        <v>78</v>
      </c>
      <c r="AA71" s="244" t="s">
        <v>102</v>
      </c>
      <c r="AB71" s="244" t="s">
        <v>348</v>
      </c>
      <c r="AC71" s="244"/>
      <c r="AD71" s="244"/>
    </row>
    <row r="72" spans="1:30" x14ac:dyDescent="0.15">
      <c r="A72" s="244" t="s">
        <v>41</v>
      </c>
      <c r="B72" s="236" t="s">
        <v>346</v>
      </c>
      <c r="C72" s="245">
        <v>2018</v>
      </c>
      <c r="D72" s="246" t="s">
        <v>367</v>
      </c>
      <c r="E72" s="236" t="s">
        <v>300</v>
      </c>
      <c r="F72" s="236" t="s">
        <v>306</v>
      </c>
      <c r="G72" s="244" t="s">
        <v>42</v>
      </c>
      <c r="H72" s="244" t="s">
        <v>168</v>
      </c>
      <c r="I72" s="244" t="s">
        <v>153</v>
      </c>
      <c r="J72" s="244" t="s">
        <v>38</v>
      </c>
      <c r="K72" s="244" t="s">
        <v>154</v>
      </c>
      <c r="L72" s="236">
        <v>2</v>
      </c>
      <c r="N72" s="244">
        <v>1</v>
      </c>
      <c r="O72" s="244">
        <v>0.6</v>
      </c>
      <c r="P72" s="244">
        <v>0.5</v>
      </c>
      <c r="Q72" s="247">
        <f t="shared" si="5"/>
        <v>0.55000000000000004</v>
      </c>
      <c r="R72" s="244">
        <v>15.8</v>
      </c>
      <c r="S72" s="244">
        <v>124</v>
      </c>
      <c r="T72" s="248">
        <f t="shared" si="4"/>
        <v>27</v>
      </c>
      <c r="U72" s="236">
        <v>170</v>
      </c>
      <c r="V72" s="249">
        <f t="shared" si="6"/>
        <v>4590</v>
      </c>
      <c r="W72" s="236">
        <v>1</v>
      </c>
      <c r="X72" s="244" t="s">
        <v>46</v>
      </c>
      <c r="Y72" s="244" t="s">
        <v>69</v>
      </c>
      <c r="Z72" s="244" t="s">
        <v>78</v>
      </c>
      <c r="AA72" s="244" t="s">
        <v>102</v>
      </c>
      <c r="AB72" s="244" t="s">
        <v>348</v>
      </c>
    </row>
    <row r="73" spans="1:30" x14ac:dyDescent="0.15">
      <c r="A73" s="244" t="s">
        <v>41</v>
      </c>
      <c r="B73" s="236" t="s">
        <v>346</v>
      </c>
      <c r="C73" s="245">
        <v>2018</v>
      </c>
      <c r="D73" s="246" t="s">
        <v>367</v>
      </c>
      <c r="E73" s="236" t="s">
        <v>300</v>
      </c>
      <c r="F73" s="236" t="s">
        <v>306</v>
      </c>
      <c r="G73" s="244" t="s">
        <v>42</v>
      </c>
      <c r="H73" s="244" t="s">
        <v>168</v>
      </c>
      <c r="I73" s="244" t="s">
        <v>153</v>
      </c>
      <c r="J73" s="244" t="s">
        <v>38</v>
      </c>
      <c r="K73" s="244" t="s">
        <v>154</v>
      </c>
      <c r="L73" s="236">
        <v>3</v>
      </c>
      <c r="N73" s="244">
        <v>1</v>
      </c>
      <c r="O73" s="244">
        <v>0.45</v>
      </c>
      <c r="P73" s="244">
        <v>0.45</v>
      </c>
      <c r="Q73" s="247">
        <f t="shared" si="5"/>
        <v>0.45</v>
      </c>
      <c r="R73" s="244">
        <v>16</v>
      </c>
      <c r="S73" s="244">
        <v>126</v>
      </c>
      <c r="T73" s="248">
        <f t="shared" si="4"/>
        <v>27</v>
      </c>
      <c r="U73" s="244">
        <v>170</v>
      </c>
      <c r="V73" s="249">
        <f t="shared" si="6"/>
        <v>4590</v>
      </c>
      <c r="W73" s="236">
        <v>1</v>
      </c>
      <c r="X73" s="244" t="s">
        <v>46</v>
      </c>
      <c r="Y73" s="244" t="s">
        <v>69</v>
      </c>
      <c r="Z73" s="244" t="s">
        <v>78</v>
      </c>
      <c r="AA73" s="244" t="s">
        <v>102</v>
      </c>
      <c r="AB73" s="244" t="s">
        <v>348</v>
      </c>
    </row>
    <row r="74" spans="1:30" x14ac:dyDescent="0.15">
      <c r="A74" s="244" t="s">
        <v>41</v>
      </c>
      <c r="B74" s="236" t="s">
        <v>346</v>
      </c>
      <c r="C74" s="245">
        <v>2018</v>
      </c>
      <c r="D74" s="246" t="s">
        <v>367</v>
      </c>
      <c r="E74" s="236" t="s">
        <v>300</v>
      </c>
      <c r="F74" s="236" t="s">
        <v>306</v>
      </c>
      <c r="G74" s="244" t="s">
        <v>42</v>
      </c>
      <c r="H74" s="244" t="s">
        <v>168</v>
      </c>
      <c r="I74" s="244" t="s">
        <v>153</v>
      </c>
      <c r="J74" s="244" t="s">
        <v>38</v>
      </c>
      <c r="K74" s="244" t="s">
        <v>154</v>
      </c>
      <c r="L74" s="236">
        <v>1</v>
      </c>
      <c r="N74" s="244">
        <v>4</v>
      </c>
      <c r="O74" s="244">
        <v>0.5</v>
      </c>
      <c r="P74" s="244">
        <v>0.45</v>
      </c>
      <c r="Q74" s="247">
        <f t="shared" si="5"/>
        <v>0.47499999999999998</v>
      </c>
      <c r="R74" s="244">
        <v>14.9</v>
      </c>
      <c r="S74" s="244">
        <v>121</v>
      </c>
      <c r="T74" s="248">
        <f t="shared" si="4"/>
        <v>27</v>
      </c>
      <c r="U74" s="236">
        <v>626</v>
      </c>
      <c r="V74" s="249">
        <f t="shared" si="6"/>
        <v>4225.5</v>
      </c>
      <c r="W74" s="236">
        <v>2</v>
      </c>
      <c r="X74" s="244" t="s">
        <v>46</v>
      </c>
      <c r="Y74" s="244" t="s">
        <v>69</v>
      </c>
      <c r="Z74" s="244" t="s">
        <v>78</v>
      </c>
      <c r="AA74" s="244" t="s">
        <v>102</v>
      </c>
      <c r="AB74" s="244" t="s">
        <v>348</v>
      </c>
    </row>
    <row r="75" spans="1:30" x14ac:dyDescent="0.15">
      <c r="A75" s="244" t="s">
        <v>41</v>
      </c>
      <c r="B75" s="236" t="s">
        <v>346</v>
      </c>
      <c r="C75" s="245">
        <v>2018</v>
      </c>
      <c r="D75" s="246" t="s">
        <v>367</v>
      </c>
      <c r="E75" s="236" t="s">
        <v>300</v>
      </c>
      <c r="F75" s="236" t="s">
        <v>306</v>
      </c>
      <c r="G75" s="244" t="s">
        <v>42</v>
      </c>
      <c r="H75" s="244" t="s">
        <v>168</v>
      </c>
      <c r="I75" s="244" t="s">
        <v>153</v>
      </c>
      <c r="J75" s="244" t="s">
        <v>38</v>
      </c>
      <c r="K75" s="244" t="s">
        <v>154</v>
      </c>
      <c r="L75" s="236">
        <v>2</v>
      </c>
      <c r="N75" s="244">
        <v>4</v>
      </c>
      <c r="O75" s="244">
        <v>0.55000000000000004</v>
      </c>
      <c r="P75" s="244">
        <v>0.5</v>
      </c>
      <c r="Q75" s="247">
        <f t="shared" si="5"/>
        <v>0.52500000000000002</v>
      </c>
      <c r="R75" s="244">
        <v>14.7</v>
      </c>
      <c r="S75" s="244">
        <v>120</v>
      </c>
      <c r="T75" s="248">
        <f t="shared" si="4"/>
        <v>30</v>
      </c>
      <c r="U75" s="236">
        <v>626</v>
      </c>
      <c r="V75" s="249">
        <f t="shared" si="6"/>
        <v>4695</v>
      </c>
      <c r="W75" s="236">
        <v>2</v>
      </c>
      <c r="X75" s="244" t="s">
        <v>46</v>
      </c>
      <c r="Y75" s="244" t="s">
        <v>69</v>
      </c>
      <c r="Z75" s="244" t="s">
        <v>78</v>
      </c>
      <c r="AA75" s="244" t="s">
        <v>102</v>
      </c>
      <c r="AB75" s="244" t="s">
        <v>348</v>
      </c>
    </row>
    <row r="76" spans="1:30" x14ac:dyDescent="0.15">
      <c r="A76" s="244" t="s">
        <v>41</v>
      </c>
      <c r="B76" s="236" t="s">
        <v>346</v>
      </c>
      <c r="C76" s="245">
        <v>2018</v>
      </c>
      <c r="D76" s="246" t="s">
        <v>367</v>
      </c>
      <c r="E76" s="236" t="s">
        <v>300</v>
      </c>
      <c r="F76" s="236" t="s">
        <v>306</v>
      </c>
      <c r="G76" s="244" t="s">
        <v>42</v>
      </c>
      <c r="H76" s="244" t="s">
        <v>168</v>
      </c>
      <c r="I76" s="244" t="s">
        <v>153</v>
      </c>
      <c r="J76" s="244" t="s">
        <v>38</v>
      </c>
      <c r="K76" s="244" t="s">
        <v>154</v>
      </c>
      <c r="L76" s="236">
        <v>3</v>
      </c>
      <c r="N76" s="244">
        <v>4</v>
      </c>
      <c r="O76" s="244">
        <v>0.6</v>
      </c>
      <c r="P76" s="244">
        <v>0.45</v>
      </c>
      <c r="Q76" s="247">
        <f t="shared" si="5"/>
        <v>0.52500000000000002</v>
      </c>
      <c r="R76" s="244">
        <v>15.8</v>
      </c>
      <c r="S76" s="244">
        <v>120</v>
      </c>
      <c r="T76" s="248">
        <f t="shared" si="4"/>
        <v>30</v>
      </c>
      <c r="U76" s="244">
        <v>626</v>
      </c>
      <c r="V76" s="249">
        <f t="shared" si="6"/>
        <v>4695</v>
      </c>
      <c r="W76" s="236">
        <v>2</v>
      </c>
      <c r="X76" s="244" t="s">
        <v>46</v>
      </c>
      <c r="Y76" s="244" t="s">
        <v>69</v>
      </c>
      <c r="Z76" s="244" t="s">
        <v>78</v>
      </c>
      <c r="AA76" s="244" t="s">
        <v>102</v>
      </c>
      <c r="AB76" s="244" t="s">
        <v>348</v>
      </c>
    </row>
    <row r="77" spans="1:30" x14ac:dyDescent="0.15">
      <c r="A77" s="244" t="s">
        <v>41</v>
      </c>
      <c r="B77" s="236" t="s">
        <v>346</v>
      </c>
      <c r="C77" s="245">
        <v>2018</v>
      </c>
      <c r="D77" s="246" t="s">
        <v>367</v>
      </c>
      <c r="E77" s="244" t="s">
        <v>302</v>
      </c>
      <c r="F77" s="236" t="s">
        <v>307</v>
      </c>
      <c r="G77" s="244" t="s">
        <v>42</v>
      </c>
      <c r="H77" s="244" t="s">
        <v>155</v>
      </c>
      <c r="I77" s="244" t="s">
        <v>153</v>
      </c>
      <c r="J77" s="244" t="s">
        <v>38</v>
      </c>
      <c r="K77" s="244" t="s">
        <v>154</v>
      </c>
      <c r="L77" s="236">
        <v>1</v>
      </c>
      <c r="N77" s="236">
        <v>1</v>
      </c>
      <c r="O77" s="244">
        <v>0.25</v>
      </c>
      <c r="P77" s="244">
        <v>0.3</v>
      </c>
      <c r="Q77" s="247">
        <f t="shared" si="5"/>
        <v>0.27500000000000002</v>
      </c>
      <c r="R77" s="244">
        <v>15.2</v>
      </c>
      <c r="S77" s="244">
        <v>115</v>
      </c>
      <c r="T77" s="248">
        <f t="shared" si="4"/>
        <v>30</v>
      </c>
      <c r="U77" s="236">
        <v>105</v>
      </c>
      <c r="V77" s="249">
        <f t="shared" si="6"/>
        <v>3150</v>
      </c>
      <c r="W77" s="236">
        <v>1</v>
      </c>
      <c r="X77" s="244" t="s">
        <v>46</v>
      </c>
      <c r="Y77" s="244" t="s">
        <v>102</v>
      </c>
      <c r="Z77" s="244" t="s">
        <v>78</v>
      </c>
      <c r="AA77" s="244" t="s">
        <v>69</v>
      </c>
      <c r="AB77" s="244" t="s">
        <v>348</v>
      </c>
    </row>
    <row r="78" spans="1:30" x14ac:dyDescent="0.15">
      <c r="A78" s="244" t="s">
        <v>41</v>
      </c>
      <c r="B78" s="236" t="s">
        <v>346</v>
      </c>
      <c r="C78" s="245">
        <v>2018</v>
      </c>
      <c r="D78" s="246" t="s">
        <v>367</v>
      </c>
      <c r="E78" s="244" t="s">
        <v>302</v>
      </c>
      <c r="F78" s="236" t="s">
        <v>307</v>
      </c>
      <c r="G78" s="244" t="s">
        <v>42</v>
      </c>
      <c r="H78" s="244" t="s">
        <v>155</v>
      </c>
      <c r="I78" s="244" t="s">
        <v>153</v>
      </c>
      <c r="J78" s="244" t="s">
        <v>38</v>
      </c>
      <c r="K78" s="244" t="s">
        <v>154</v>
      </c>
      <c r="L78" s="236">
        <v>2</v>
      </c>
      <c r="N78" s="236">
        <v>1</v>
      </c>
      <c r="O78" s="244">
        <v>0.35</v>
      </c>
      <c r="P78" s="244">
        <v>0.3</v>
      </c>
      <c r="Q78" s="247">
        <f t="shared" si="5"/>
        <v>0.32499999999999996</v>
      </c>
      <c r="R78" s="244">
        <v>15</v>
      </c>
      <c r="S78" s="244">
        <v>121</v>
      </c>
      <c r="T78" s="248">
        <f t="shared" si="4"/>
        <v>27</v>
      </c>
      <c r="U78" s="236">
        <v>105</v>
      </c>
      <c r="V78" s="249">
        <f t="shared" si="6"/>
        <v>2835</v>
      </c>
      <c r="W78" s="236">
        <v>1</v>
      </c>
      <c r="X78" s="244" t="s">
        <v>46</v>
      </c>
      <c r="Y78" s="244" t="s">
        <v>102</v>
      </c>
      <c r="Z78" s="244" t="s">
        <v>78</v>
      </c>
      <c r="AA78" s="244" t="s">
        <v>69</v>
      </c>
      <c r="AB78" s="244" t="s">
        <v>348</v>
      </c>
    </row>
    <row r="79" spans="1:30" x14ac:dyDescent="0.15">
      <c r="A79" s="244" t="s">
        <v>41</v>
      </c>
      <c r="B79" s="236" t="s">
        <v>346</v>
      </c>
      <c r="C79" s="245">
        <v>2018</v>
      </c>
      <c r="D79" s="246" t="s">
        <v>367</v>
      </c>
      <c r="E79" s="244" t="s">
        <v>302</v>
      </c>
      <c r="F79" s="236" t="s">
        <v>307</v>
      </c>
      <c r="G79" s="244" t="s">
        <v>42</v>
      </c>
      <c r="H79" s="244" t="s">
        <v>155</v>
      </c>
      <c r="I79" s="244" t="s">
        <v>153</v>
      </c>
      <c r="J79" s="244" t="s">
        <v>38</v>
      </c>
      <c r="K79" s="244" t="s">
        <v>154</v>
      </c>
      <c r="L79" s="236">
        <v>3</v>
      </c>
      <c r="N79" s="236">
        <v>1</v>
      </c>
      <c r="O79" s="244">
        <v>0.3</v>
      </c>
      <c r="P79" s="244">
        <v>0.35</v>
      </c>
      <c r="Q79" s="247">
        <f t="shared" si="5"/>
        <v>0.32499999999999996</v>
      </c>
      <c r="R79" s="244">
        <v>13.8</v>
      </c>
      <c r="S79" s="244">
        <v>118</v>
      </c>
      <c r="T79" s="248">
        <f t="shared" si="4"/>
        <v>30</v>
      </c>
      <c r="U79" s="236">
        <v>105</v>
      </c>
      <c r="V79" s="249">
        <f t="shared" si="6"/>
        <v>3150</v>
      </c>
      <c r="W79" s="236">
        <v>1</v>
      </c>
      <c r="X79" s="244" t="s">
        <v>46</v>
      </c>
      <c r="Y79" s="244" t="s">
        <v>102</v>
      </c>
      <c r="Z79" s="244" t="s">
        <v>78</v>
      </c>
      <c r="AA79" s="244" t="s">
        <v>69</v>
      </c>
      <c r="AB79" s="244" t="s">
        <v>348</v>
      </c>
    </row>
    <row r="80" spans="1:30" x14ac:dyDescent="0.15">
      <c r="A80" s="244" t="s">
        <v>41</v>
      </c>
      <c r="B80" s="236" t="s">
        <v>346</v>
      </c>
      <c r="C80" s="245">
        <v>2018</v>
      </c>
      <c r="D80" s="246" t="s">
        <v>367</v>
      </c>
      <c r="E80" s="244" t="s">
        <v>302</v>
      </c>
      <c r="F80" s="236" t="s">
        <v>307</v>
      </c>
      <c r="G80" s="244" t="s">
        <v>42</v>
      </c>
      <c r="H80" s="244" t="s">
        <v>155</v>
      </c>
      <c r="I80" s="244" t="s">
        <v>153</v>
      </c>
      <c r="J80" s="244" t="s">
        <v>38</v>
      </c>
      <c r="K80" s="244" t="s">
        <v>154</v>
      </c>
      <c r="L80" s="236">
        <v>1</v>
      </c>
      <c r="N80" s="236">
        <v>3</v>
      </c>
      <c r="O80" s="244">
        <v>0.4</v>
      </c>
      <c r="P80" s="244">
        <v>0.5</v>
      </c>
      <c r="Q80" s="247">
        <f t="shared" si="5"/>
        <v>0.45</v>
      </c>
      <c r="R80" s="244">
        <v>14.9</v>
      </c>
      <c r="S80" s="244">
        <v>121</v>
      </c>
      <c r="T80" s="248">
        <f t="shared" si="4"/>
        <v>27</v>
      </c>
      <c r="U80" s="236">
        <v>414</v>
      </c>
      <c r="V80" s="249">
        <f t="shared" si="6"/>
        <v>3726</v>
      </c>
      <c r="W80" s="236">
        <v>2</v>
      </c>
      <c r="X80" s="244" t="s">
        <v>46</v>
      </c>
      <c r="Y80" s="244" t="s">
        <v>102</v>
      </c>
      <c r="Z80" s="244" t="s">
        <v>78</v>
      </c>
      <c r="AA80" s="244" t="s">
        <v>69</v>
      </c>
      <c r="AB80" s="244" t="s">
        <v>348</v>
      </c>
    </row>
    <row r="81" spans="1:28" x14ac:dyDescent="0.15">
      <c r="A81" s="244" t="s">
        <v>41</v>
      </c>
      <c r="B81" s="236" t="s">
        <v>346</v>
      </c>
      <c r="C81" s="245">
        <v>2018</v>
      </c>
      <c r="D81" s="246" t="s">
        <v>367</v>
      </c>
      <c r="E81" s="244" t="s">
        <v>302</v>
      </c>
      <c r="F81" s="236" t="s">
        <v>307</v>
      </c>
      <c r="G81" s="244" t="s">
        <v>42</v>
      </c>
      <c r="H81" s="244" t="s">
        <v>155</v>
      </c>
      <c r="I81" s="244" t="s">
        <v>153</v>
      </c>
      <c r="J81" s="244" t="s">
        <v>38</v>
      </c>
      <c r="K81" s="244" t="s">
        <v>154</v>
      </c>
      <c r="L81" s="236">
        <v>2</v>
      </c>
      <c r="N81" s="236">
        <v>3</v>
      </c>
      <c r="O81" s="244">
        <v>0.4</v>
      </c>
      <c r="P81" s="244">
        <v>0.5</v>
      </c>
      <c r="Q81" s="247">
        <f t="shared" si="5"/>
        <v>0.45</v>
      </c>
      <c r="R81" s="244">
        <v>13.5</v>
      </c>
      <c r="S81" s="244">
        <v>123</v>
      </c>
      <c r="T81" s="248">
        <f t="shared" si="4"/>
        <v>27</v>
      </c>
      <c r="U81" s="236">
        <v>414</v>
      </c>
      <c r="V81" s="249">
        <f t="shared" si="6"/>
        <v>3726</v>
      </c>
      <c r="W81" s="236">
        <v>2</v>
      </c>
      <c r="X81" s="244" t="s">
        <v>46</v>
      </c>
      <c r="Y81" s="244" t="s">
        <v>102</v>
      </c>
      <c r="Z81" s="244" t="s">
        <v>78</v>
      </c>
      <c r="AA81" s="244" t="s">
        <v>69</v>
      </c>
      <c r="AB81" s="244" t="s">
        <v>348</v>
      </c>
    </row>
    <row r="82" spans="1:28" x14ac:dyDescent="0.15">
      <c r="A82" s="244" t="s">
        <v>41</v>
      </c>
      <c r="B82" s="236" t="s">
        <v>346</v>
      </c>
      <c r="C82" s="245">
        <v>2018</v>
      </c>
      <c r="D82" s="246" t="s">
        <v>367</v>
      </c>
      <c r="E82" s="244" t="s">
        <v>302</v>
      </c>
      <c r="F82" s="236" t="s">
        <v>307</v>
      </c>
      <c r="G82" s="244" t="s">
        <v>42</v>
      </c>
      <c r="H82" s="244" t="s">
        <v>155</v>
      </c>
      <c r="I82" s="244" t="s">
        <v>153</v>
      </c>
      <c r="J82" s="244" t="s">
        <v>38</v>
      </c>
      <c r="K82" s="244" t="s">
        <v>154</v>
      </c>
      <c r="L82" s="236">
        <v>3</v>
      </c>
      <c r="N82" s="236">
        <v>3</v>
      </c>
      <c r="O82" s="244">
        <v>0.4</v>
      </c>
      <c r="P82" s="244">
        <v>0.5</v>
      </c>
      <c r="Q82" s="247">
        <f t="shared" si="5"/>
        <v>0.45</v>
      </c>
      <c r="R82" s="244">
        <v>14.8</v>
      </c>
      <c r="S82" s="244">
        <v>123</v>
      </c>
      <c r="T82" s="248">
        <f t="shared" si="4"/>
        <v>27</v>
      </c>
      <c r="U82" s="236">
        <v>414</v>
      </c>
      <c r="V82" s="249">
        <f t="shared" si="6"/>
        <v>3726</v>
      </c>
      <c r="W82" s="236">
        <v>2</v>
      </c>
      <c r="X82" s="244" t="s">
        <v>46</v>
      </c>
      <c r="Y82" s="244" t="s">
        <v>102</v>
      </c>
      <c r="Z82" s="244" t="s">
        <v>78</v>
      </c>
      <c r="AA82" s="244" t="s">
        <v>69</v>
      </c>
      <c r="AB82" s="244" t="s">
        <v>348</v>
      </c>
    </row>
    <row r="83" spans="1:28" x14ac:dyDescent="0.15">
      <c r="A83" s="244" t="s">
        <v>41</v>
      </c>
      <c r="B83" s="236" t="s">
        <v>346</v>
      </c>
      <c r="C83" s="245">
        <v>2018</v>
      </c>
      <c r="D83" s="246" t="s">
        <v>367</v>
      </c>
      <c r="E83" s="244" t="s">
        <v>302</v>
      </c>
      <c r="F83" s="236" t="s">
        <v>307</v>
      </c>
      <c r="G83" s="244" t="s">
        <v>42</v>
      </c>
      <c r="H83" s="244" t="s">
        <v>168</v>
      </c>
      <c r="I83" s="244" t="s">
        <v>153</v>
      </c>
      <c r="J83" s="244" t="s">
        <v>38</v>
      </c>
      <c r="K83" s="244" t="s">
        <v>154</v>
      </c>
      <c r="L83" s="236">
        <v>1</v>
      </c>
      <c r="N83" s="236">
        <v>3</v>
      </c>
      <c r="O83" s="236">
        <v>0.35</v>
      </c>
      <c r="P83" s="236">
        <v>0.4</v>
      </c>
      <c r="Q83" s="248">
        <f t="shared" si="5"/>
        <v>0.375</v>
      </c>
      <c r="R83" s="236">
        <v>16.7</v>
      </c>
      <c r="S83" s="236">
        <v>130</v>
      </c>
      <c r="T83" s="248">
        <f t="shared" si="4"/>
        <v>25</v>
      </c>
      <c r="U83" s="236">
        <v>537</v>
      </c>
      <c r="V83" s="249">
        <f t="shared" si="6"/>
        <v>4475</v>
      </c>
      <c r="W83" s="236">
        <v>2</v>
      </c>
      <c r="X83" s="244" t="s">
        <v>46</v>
      </c>
      <c r="Y83" s="244" t="s">
        <v>102</v>
      </c>
      <c r="Z83" s="244" t="s">
        <v>78</v>
      </c>
      <c r="AA83" s="244" t="s">
        <v>69</v>
      </c>
      <c r="AB83" s="244" t="s">
        <v>348</v>
      </c>
    </row>
    <row r="84" spans="1:28" x14ac:dyDescent="0.15">
      <c r="A84" s="244" t="s">
        <v>41</v>
      </c>
      <c r="B84" s="236" t="s">
        <v>346</v>
      </c>
      <c r="C84" s="245">
        <v>2018</v>
      </c>
      <c r="D84" s="246" t="s">
        <v>367</v>
      </c>
      <c r="E84" s="244" t="s">
        <v>302</v>
      </c>
      <c r="F84" s="236" t="s">
        <v>307</v>
      </c>
      <c r="G84" s="244" t="s">
        <v>42</v>
      </c>
      <c r="H84" s="244" t="s">
        <v>168</v>
      </c>
      <c r="I84" s="244" t="s">
        <v>153</v>
      </c>
      <c r="J84" s="244" t="s">
        <v>38</v>
      </c>
      <c r="K84" s="244" t="s">
        <v>154</v>
      </c>
      <c r="L84" s="236">
        <v>2</v>
      </c>
      <c r="N84" s="236">
        <v>3</v>
      </c>
      <c r="O84" s="236">
        <v>0.35</v>
      </c>
      <c r="P84" s="236">
        <v>0.3</v>
      </c>
      <c r="Q84" s="248">
        <f t="shared" si="5"/>
        <v>0.32499999999999996</v>
      </c>
      <c r="R84" s="236">
        <v>17</v>
      </c>
      <c r="S84" s="236">
        <v>128</v>
      </c>
      <c r="T84" s="248">
        <f t="shared" si="4"/>
        <v>27</v>
      </c>
      <c r="U84" s="236">
        <v>537</v>
      </c>
      <c r="V84" s="249">
        <f t="shared" si="6"/>
        <v>4833</v>
      </c>
      <c r="W84" s="236">
        <v>2</v>
      </c>
      <c r="X84" s="244" t="s">
        <v>46</v>
      </c>
      <c r="Y84" s="244" t="s">
        <v>102</v>
      </c>
      <c r="Z84" s="244" t="s">
        <v>78</v>
      </c>
      <c r="AA84" s="244" t="s">
        <v>69</v>
      </c>
      <c r="AB84" s="244" t="s">
        <v>348</v>
      </c>
    </row>
    <row r="85" spans="1:28" x14ac:dyDescent="0.15">
      <c r="A85" s="244" t="s">
        <v>41</v>
      </c>
      <c r="B85" s="236" t="s">
        <v>346</v>
      </c>
      <c r="C85" s="245">
        <v>2018</v>
      </c>
      <c r="D85" s="246" t="s">
        <v>367</v>
      </c>
      <c r="E85" s="244" t="s">
        <v>302</v>
      </c>
      <c r="F85" s="236" t="s">
        <v>307</v>
      </c>
      <c r="G85" s="244" t="s">
        <v>42</v>
      </c>
      <c r="H85" s="244" t="s">
        <v>168</v>
      </c>
      <c r="I85" s="244" t="s">
        <v>153</v>
      </c>
      <c r="J85" s="244" t="s">
        <v>38</v>
      </c>
      <c r="K85" s="244" t="s">
        <v>154</v>
      </c>
      <c r="L85" s="236">
        <v>3</v>
      </c>
      <c r="N85" s="236">
        <v>3</v>
      </c>
      <c r="O85" s="236">
        <v>0.25</v>
      </c>
      <c r="P85" s="236">
        <v>0.25</v>
      </c>
      <c r="Q85" s="248">
        <f t="shared" si="5"/>
        <v>0.25</v>
      </c>
      <c r="R85" s="236">
        <v>15.9</v>
      </c>
      <c r="S85" s="236">
        <v>124</v>
      </c>
      <c r="T85" s="248">
        <f t="shared" si="4"/>
        <v>27</v>
      </c>
      <c r="U85" s="236">
        <v>537</v>
      </c>
      <c r="V85" s="249">
        <f t="shared" si="6"/>
        <v>4833</v>
      </c>
      <c r="W85" s="236">
        <v>2</v>
      </c>
      <c r="X85" s="244" t="s">
        <v>46</v>
      </c>
      <c r="Y85" s="244" t="s">
        <v>102</v>
      </c>
      <c r="Z85" s="244" t="s">
        <v>78</v>
      </c>
      <c r="AA85" s="244" t="s">
        <v>69</v>
      </c>
      <c r="AB85" s="244" t="s">
        <v>348</v>
      </c>
    </row>
    <row r="86" spans="1:28" x14ac:dyDescent="0.15">
      <c r="A86" s="244" t="s">
        <v>41</v>
      </c>
      <c r="B86" s="236" t="s">
        <v>346</v>
      </c>
      <c r="C86" s="245">
        <v>2018</v>
      </c>
      <c r="D86" s="246" t="s">
        <v>367</v>
      </c>
      <c r="E86" s="244" t="s">
        <v>302</v>
      </c>
      <c r="F86" s="236" t="s">
        <v>307</v>
      </c>
      <c r="G86" s="244" t="s">
        <v>42</v>
      </c>
      <c r="H86" s="244" t="s">
        <v>168</v>
      </c>
      <c r="I86" s="244" t="s">
        <v>153</v>
      </c>
      <c r="J86" s="244" t="s">
        <v>38</v>
      </c>
      <c r="K86" s="244" t="s">
        <v>154</v>
      </c>
      <c r="L86" s="236">
        <v>1</v>
      </c>
      <c r="N86" s="244">
        <v>1</v>
      </c>
      <c r="O86" s="236">
        <v>1</v>
      </c>
      <c r="P86" s="236">
        <v>0.95</v>
      </c>
      <c r="Q86" s="248">
        <f t="shared" si="5"/>
        <v>0.97499999999999998</v>
      </c>
      <c r="R86" s="236">
        <v>15.1</v>
      </c>
      <c r="S86" s="236">
        <v>121</v>
      </c>
      <c r="T86" s="248">
        <f t="shared" si="4"/>
        <v>27</v>
      </c>
      <c r="U86" s="236">
        <v>138</v>
      </c>
      <c r="V86" s="249">
        <f t="shared" si="6"/>
        <v>3726</v>
      </c>
      <c r="W86" s="236">
        <v>1</v>
      </c>
      <c r="X86" s="244" t="s">
        <v>46</v>
      </c>
      <c r="Y86" s="244" t="s">
        <v>102</v>
      </c>
      <c r="Z86" s="244" t="s">
        <v>78</v>
      </c>
      <c r="AA86" s="244" t="s">
        <v>69</v>
      </c>
      <c r="AB86" s="244" t="s">
        <v>348</v>
      </c>
    </row>
    <row r="87" spans="1:28" x14ac:dyDescent="0.15">
      <c r="A87" s="244" t="s">
        <v>41</v>
      </c>
      <c r="B87" s="236" t="s">
        <v>346</v>
      </c>
      <c r="C87" s="245">
        <v>2018</v>
      </c>
      <c r="D87" s="246" t="s">
        <v>367</v>
      </c>
      <c r="E87" s="244" t="s">
        <v>302</v>
      </c>
      <c r="F87" s="236" t="s">
        <v>307</v>
      </c>
      <c r="G87" s="244" t="s">
        <v>42</v>
      </c>
      <c r="H87" s="244" t="s">
        <v>168</v>
      </c>
      <c r="I87" s="244" t="s">
        <v>153</v>
      </c>
      <c r="J87" s="244" t="s">
        <v>38</v>
      </c>
      <c r="K87" s="244" t="s">
        <v>154</v>
      </c>
      <c r="L87" s="236">
        <v>2</v>
      </c>
      <c r="N87" s="244">
        <v>1</v>
      </c>
      <c r="O87" s="236">
        <v>1.05</v>
      </c>
      <c r="P87" s="236">
        <v>0.9</v>
      </c>
      <c r="Q87" s="248">
        <f t="shared" si="5"/>
        <v>0.97500000000000009</v>
      </c>
      <c r="R87" s="236">
        <v>12.8</v>
      </c>
      <c r="S87" s="236">
        <v>120</v>
      </c>
      <c r="T87" s="248">
        <f t="shared" si="4"/>
        <v>30</v>
      </c>
      <c r="U87" s="236">
        <v>138</v>
      </c>
      <c r="V87" s="249">
        <f t="shared" si="6"/>
        <v>4140</v>
      </c>
      <c r="W87" s="236">
        <v>1</v>
      </c>
      <c r="X87" s="244" t="s">
        <v>46</v>
      </c>
      <c r="Y87" s="244" t="s">
        <v>102</v>
      </c>
      <c r="Z87" s="244" t="s">
        <v>78</v>
      </c>
      <c r="AA87" s="244" t="s">
        <v>69</v>
      </c>
      <c r="AB87" s="244" t="s">
        <v>348</v>
      </c>
    </row>
    <row r="88" spans="1:28" x14ac:dyDescent="0.15">
      <c r="A88" s="244" t="s">
        <v>41</v>
      </c>
      <c r="B88" s="236" t="s">
        <v>346</v>
      </c>
      <c r="C88" s="245">
        <v>2018</v>
      </c>
      <c r="D88" s="246" t="s">
        <v>367</v>
      </c>
      <c r="E88" s="244" t="s">
        <v>302</v>
      </c>
      <c r="F88" s="236" t="s">
        <v>307</v>
      </c>
      <c r="G88" s="244" t="s">
        <v>42</v>
      </c>
      <c r="H88" s="244" t="s">
        <v>168</v>
      </c>
      <c r="I88" s="244" t="s">
        <v>153</v>
      </c>
      <c r="J88" s="244" t="s">
        <v>38</v>
      </c>
      <c r="K88" s="244" t="s">
        <v>154</v>
      </c>
      <c r="L88" s="236">
        <v>3</v>
      </c>
      <c r="N88" s="236">
        <v>1</v>
      </c>
      <c r="O88" s="236">
        <v>0.8</v>
      </c>
      <c r="P88" s="236">
        <v>0.95</v>
      </c>
      <c r="Q88" s="248">
        <f t="shared" si="5"/>
        <v>0.875</v>
      </c>
      <c r="R88" s="236">
        <v>14.8</v>
      </c>
      <c r="S88" s="236">
        <v>120</v>
      </c>
      <c r="T88" s="248">
        <f t="shared" si="4"/>
        <v>30</v>
      </c>
      <c r="U88" s="236">
        <v>138</v>
      </c>
      <c r="V88" s="249">
        <f t="shared" si="6"/>
        <v>4140</v>
      </c>
      <c r="W88" s="236">
        <v>1</v>
      </c>
      <c r="X88" s="244" t="s">
        <v>46</v>
      </c>
      <c r="Y88" s="244" t="s">
        <v>102</v>
      </c>
      <c r="Z88" s="244" t="s">
        <v>78</v>
      </c>
      <c r="AA88" s="244" t="s">
        <v>69</v>
      </c>
      <c r="AB88" s="244" t="s">
        <v>348</v>
      </c>
    </row>
    <row r="89" spans="1:28" x14ac:dyDescent="0.15">
      <c r="A89" s="244" t="s">
        <v>41</v>
      </c>
      <c r="B89" s="236" t="s">
        <v>346</v>
      </c>
      <c r="C89" s="245">
        <v>2018</v>
      </c>
      <c r="D89" s="246" t="s">
        <v>367</v>
      </c>
      <c r="E89" s="244" t="s">
        <v>302</v>
      </c>
      <c r="F89" s="236" t="s">
        <v>308</v>
      </c>
      <c r="G89" s="244" t="s">
        <v>42</v>
      </c>
      <c r="H89" s="244" t="s">
        <v>155</v>
      </c>
      <c r="I89" s="244" t="s">
        <v>153</v>
      </c>
      <c r="J89" s="244" t="s">
        <v>38</v>
      </c>
      <c r="K89" s="244" t="s">
        <v>154</v>
      </c>
      <c r="L89" s="236">
        <v>1</v>
      </c>
      <c r="N89" s="236">
        <v>1</v>
      </c>
      <c r="O89" s="236">
        <v>0.55000000000000004</v>
      </c>
      <c r="P89" s="236">
        <v>0.6</v>
      </c>
      <c r="Q89" s="248">
        <f t="shared" si="5"/>
        <v>0.57499999999999996</v>
      </c>
      <c r="R89" s="236">
        <v>14.8</v>
      </c>
      <c r="S89" s="236">
        <v>122</v>
      </c>
      <c r="T89" s="248">
        <f t="shared" si="4"/>
        <v>27</v>
      </c>
      <c r="U89" s="236">
        <v>84</v>
      </c>
      <c r="V89" s="249">
        <f t="shared" si="6"/>
        <v>2268</v>
      </c>
      <c r="W89" s="236">
        <v>1</v>
      </c>
      <c r="X89" s="244" t="s">
        <v>46</v>
      </c>
      <c r="Y89" s="244" t="s">
        <v>78</v>
      </c>
      <c r="Z89" s="244" t="s">
        <v>69</v>
      </c>
      <c r="AA89" s="244" t="s">
        <v>102</v>
      </c>
      <c r="AB89" s="244" t="s">
        <v>348</v>
      </c>
    </row>
    <row r="90" spans="1:28" x14ac:dyDescent="0.15">
      <c r="A90" s="244" t="s">
        <v>41</v>
      </c>
      <c r="B90" s="236" t="s">
        <v>346</v>
      </c>
      <c r="C90" s="245">
        <v>2018</v>
      </c>
      <c r="D90" s="246" t="s">
        <v>367</v>
      </c>
      <c r="E90" s="244" t="s">
        <v>302</v>
      </c>
      <c r="F90" s="236" t="s">
        <v>308</v>
      </c>
      <c r="G90" s="244" t="s">
        <v>42</v>
      </c>
      <c r="H90" s="244" t="s">
        <v>155</v>
      </c>
      <c r="I90" s="244" t="s">
        <v>153</v>
      </c>
      <c r="J90" s="244" t="s">
        <v>38</v>
      </c>
      <c r="K90" s="244" t="s">
        <v>154</v>
      </c>
      <c r="L90" s="236">
        <v>2</v>
      </c>
      <c r="N90" s="236">
        <v>1</v>
      </c>
      <c r="O90" s="236">
        <v>0.7</v>
      </c>
      <c r="P90" s="236">
        <v>0.5</v>
      </c>
      <c r="Q90" s="248">
        <f t="shared" si="5"/>
        <v>0.6</v>
      </c>
      <c r="R90" s="236">
        <v>14.4</v>
      </c>
      <c r="S90" s="236">
        <v>120</v>
      </c>
      <c r="T90" s="248">
        <f t="shared" si="4"/>
        <v>30</v>
      </c>
      <c r="U90" s="236">
        <v>84</v>
      </c>
      <c r="V90" s="249">
        <f t="shared" si="6"/>
        <v>2520</v>
      </c>
      <c r="W90" s="236">
        <v>1</v>
      </c>
      <c r="X90" s="244" t="s">
        <v>46</v>
      </c>
      <c r="Y90" s="244" t="s">
        <v>78</v>
      </c>
      <c r="Z90" s="244" t="s">
        <v>69</v>
      </c>
      <c r="AA90" s="244" t="s">
        <v>102</v>
      </c>
      <c r="AB90" s="244" t="s">
        <v>348</v>
      </c>
    </row>
    <row r="91" spans="1:28" x14ac:dyDescent="0.15">
      <c r="A91" s="244" t="s">
        <v>41</v>
      </c>
      <c r="B91" s="236" t="s">
        <v>346</v>
      </c>
      <c r="C91" s="245">
        <v>2018</v>
      </c>
      <c r="D91" s="246" t="s">
        <v>367</v>
      </c>
      <c r="E91" s="244" t="s">
        <v>302</v>
      </c>
      <c r="F91" s="236" t="s">
        <v>308</v>
      </c>
      <c r="G91" s="244" t="s">
        <v>42</v>
      </c>
      <c r="H91" s="244" t="s">
        <v>155</v>
      </c>
      <c r="I91" s="244" t="s">
        <v>153</v>
      </c>
      <c r="J91" s="244" t="s">
        <v>38</v>
      </c>
      <c r="K91" s="244" t="s">
        <v>154</v>
      </c>
      <c r="L91" s="236">
        <v>3</v>
      </c>
      <c r="N91" s="236">
        <v>1</v>
      </c>
      <c r="O91" s="236">
        <v>0.65</v>
      </c>
      <c r="P91" s="236">
        <v>0.5</v>
      </c>
      <c r="Q91" s="248">
        <f t="shared" si="5"/>
        <v>0.57499999999999996</v>
      </c>
      <c r="R91" s="236">
        <v>15.1</v>
      </c>
      <c r="S91" s="236">
        <v>125</v>
      </c>
      <c r="T91" s="248">
        <f t="shared" si="4"/>
        <v>27</v>
      </c>
      <c r="U91" s="236">
        <v>84</v>
      </c>
      <c r="V91" s="249">
        <f t="shared" si="6"/>
        <v>2268</v>
      </c>
      <c r="W91" s="236">
        <v>1</v>
      </c>
      <c r="X91" s="244" t="s">
        <v>46</v>
      </c>
      <c r="Y91" s="244" t="s">
        <v>78</v>
      </c>
      <c r="Z91" s="244" t="s">
        <v>69</v>
      </c>
      <c r="AA91" s="244" t="s">
        <v>102</v>
      </c>
      <c r="AB91" s="244" t="s">
        <v>348</v>
      </c>
    </row>
    <row r="92" spans="1:28" x14ac:dyDescent="0.15">
      <c r="A92" s="244" t="s">
        <v>41</v>
      </c>
      <c r="B92" s="236" t="s">
        <v>346</v>
      </c>
      <c r="C92" s="245">
        <v>2018</v>
      </c>
      <c r="D92" s="246" t="s">
        <v>367</v>
      </c>
      <c r="E92" s="244" t="s">
        <v>302</v>
      </c>
      <c r="F92" s="236" t="s">
        <v>308</v>
      </c>
      <c r="G92" s="244" t="s">
        <v>42</v>
      </c>
      <c r="H92" s="244" t="s">
        <v>155</v>
      </c>
      <c r="I92" s="244" t="s">
        <v>153</v>
      </c>
      <c r="J92" s="244" t="s">
        <v>38</v>
      </c>
      <c r="K92" s="244" t="s">
        <v>154</v>
      </c>
      <c r="L92" s="236">
        <v>1</v>
      </c>
      <c r="N92" s="236">
        <v>3</v>
      </c>
      <c r="O92" s="236">
        <v>0.25</v>
      </c>
      <c r="P92" s="236">
        <v>0.3</v>
      </c>
      <c r="Q92" s="248">
        <f t="shared" si="5"/>
        <v>0.27500000000000002</v>
      </c>
      <c r="R92" s="236">
        <v>16.100000000000001</v>
      </c>
      <c r="S92" s="236">
        <v>130</v>
      </c>
      <c r="T92" s="248">
        <f t="shared" si="4"/>
        <v>25</v>
      </c>
      <c r="U92" s="236">
        <v>537</v>
      </c>
      <c r="V92" s="249">
        <f t="shared" si="6"/>
        <v>4475</v>
      </c>
      <c r="W92" s="236">
        <v>2</v>
      </c>
      <c r="X92" s="244" t="s">
        <v>46</v>
      </c>
      <c r="Y92" s="244" t="s">
        <v>78</v>
      </c>
      <c r="Z92" s="244" t="s">
        <v>69</v>
      </c>
      <c r="AA92" s="244" t="s">
        <v>102</v>
      </c>
      <c r="AB92" s="244" t="s">
        <v>348</v>
      </c>
    </row>
    <row r="93" spans="1:28" x14ac:dyDescent="0.15">
      <c r="A93" s="244" t="s">
        <v>41</v>
      </c>
      <c r="B93" s="236" t="s">
        <v>346</v>
      </c>
      <c r="C93" s="245">
        <v>2018</v>
      </c>
      <c r="D93" s="246" t="s">
        <v>367</v>
      </c>
      <c r="E93" s="244" t="s">
        <v>302</v>
      </c>
      <c r="F93" s="236" t="s">
        <v>308</v>
      </c>
      <c r="G93" s="244" t="s">
        <v>42</v>
      </c>
      <c r="H93" s="244" t="s">
        <v>155</v>
      </c>
      <c r="I93" s="244" t="s">
        <v>153</v>
      </c>
      <c r="J93" s="244" t="s">
        <v>38</v>
      </c>
      <c r="K93" s="244" t="s">
        <v>154</v>
      </c>
      <c r="L93" s="236">
        <v>2</v>
      </c>
      <c r="N93" s="236">
        <v>3</v>
      </c>
      <c r="O93" s="236">
        <v>0.2</v>
      </c>
      <c r="P93" s="236">
        <v>0.25</v>
      </c>
      <c r="Q93" s="248">
        <f t="shared" si="5"/>
        <v>0.22500000000000001</v>
      </c>
      <c r="R93" s="236">
        <v>13</v>
      </c>
      <c r="S93" s="236">
        <v>128</v>
      </c>
      <c r="T93" s="248">
        <f t="shared" ref="T93:T145" si="7">IF(H93="","",IF(OR(H93="GREEN",H93="GK"),IF(S93&gt;=$AX$2,VLOOKUP(S93,$AX$2:$AY$10,2,1),""),IF(S93&gt;=$AZ$2,VLOOKUP(S93,$AZ$2:$BA$10,2,1),"")))</f>
        <v>27</v>
      </c>
      <c r="U93" s="236">
        <v>537</v>
      </c>
      <c r="V93" s="249">
        <f t="shared" si="6"/>
        <v>4833</v>
      </c>
      <c r="W93" s="236">
        <v>2</v>
      </c>
      <c r="X93" s="244" t="s">
        <v>46</v>
      </c>
      <c r="Y93" s="244" t="s">
        <v>78</v>
      </c>
      <c r="Z93" s="244" t="s">
        <v>69</v>
      </c>
      <c r="AA93" s="244" t="s">
        <v>102</v>
      </c>
      <c r="AB93" s="244" t="s">
        <v>348</v>
      </c>
    </row>
    <row r="94" spans="1:28" x14ac:dyDescent="0.15">
      <c r="A94" s="244" t="s">
        <v>41</v>
      </c>
      <c r="B94" s="236" t="s">
        <v>346</v>
      </c>
      <c r="C94" s="245">
        <v>2018</v>
      </c>
      <c r="D94" s="246" t="s">
        <v>367</v>
      </c>
      <c r="E94" s="244" t="s">
        <v>302</v>
      </c>
      <c r="F94" s="236" t="s">
        <v>308</v>
      </c>
      <c r="G94" s="244" t="s">
        <v>42</v>
      </c>
      <c r="H94" s="244" t="s">
        <v>155</v>
      </c>
      <c r="I94" s="244" t="s">
        <v>153</v>
      </c>
      <c r="J94" s="244" t="s">
        <v>38</v>
      </c>
      <c r="K94" s="244" t="s">
        <v>154</v>
      </c>
      <c r="L94" s="236">
        <v>3</v>
      </c>
      <c r="N94" s="236">
        <v>3</v>
      </c>
      <c r="O94" s="236">
        <v>0.25</v>
      </c>
      <c r="P94" s="236">
        <v>0.25</v>
      </c>
      <c r="Q94" s="248">
        <f t="shared" si="5"/>
        <v>0.25</v>
      </c>
      <c r="R94" s="236">
        <v>14</v>
      </c>
      <c r="S94" s="236">
        <v>124</v>
      </c>
      <c r="T94" s="248">
        <f t="shared" si="7"/>
        <v>27</v>
      </c>
      <c r="U94" s="236">
        <v>537</v>
      </c>
      <c r="V94" s="249">
        <f t="shared" si="6"/>
        <v>4833</v>
      </c>
      <c r="W94" s="236">
        <v>2</v>
      </c>
      <c r="X94" s="244" t="s">
        <v>46</v>
      </c>
      <c r="Y94" s="244" t="s">
        <v>78</v>
      </c>
      <c r="Z94" s="244" t="s">
        <v>69</v>
      </c>
      <c r="AA94" s="244" t="s">
        <v>102</v>
      </c>
      <c r="AB94" s="244" t="s">
        <v>348</v>
      </c>
    </row>
    <row r="95" spans="1:28" x14ac:dyDescent="0.15">
      <c r="A95" s="244" t="s">
        <v>41</v>
      </c>
      <c r="B95" s="236" t="s">
        <v>346</v>
      </c>
      <c r="C95" s="245">
        <v>2018</v>
      </c>
      <c r="D95" s="246" t="s">
        <v>367</v>
      </c>
      <c r="E95" s="244" t="s">
        <v>302</v>
      </c>
      <c r="F95" s="236" t="s">
        <v>308</v>
      </c>
      <c r="G95" s="244" t="s">
        <v>42</v>
      </c>
      <c r="H95" s="244" t="s">
        <v>155</v>
      </c>
      <c r="I95" s="244" t="s">
        <v>153</v>
      </c>
      <c r="J95" s="244" t="s">
        <v>38</v>
      </c>
      <c r="K95" s="244" t="s">
        <v>154</v>
      </c>
      <c r="L95" s="236">
        <v>1</v>
      </c>
      <c r="N95" s="236">
        <v>6</v>
      </c>
      <c r="O95" s="236">
        <v>0.45</v>
      </c>
      <c r="P95" s="236">
        <v>0.5</v>
      </c>
      <c r="Q95" s="248">
        <f t="shared" si="5"/>
        <v>0.47499999999999998</v>
      </c>
      <c r="R95" s="236">
        <v>13.8</v>
      </c>
      <c r="S95" s="236">
        <v>115</v>
      </c>
      <c r="T95" s="248">
        <f t="shared" si="7"/>
        <v>30</v>
      </c>
      <c r="U95" s="236">
        <v>429</v>
      </c>
      <c r="V95" s="249">
        <f t="shared" si="6"/>
        <v>2145</v>
      </c>
      <c r="W95" s="236">
        <v>2</v>
      </c>
      <c r="X95" s="244" t="s">
        <v>46</v>
      </c>
      <c r="Y95" s="244" t="s">
        <v>78</v>
      </c>
      <c r="Z95" s="244" t="s">
        <v>69</v>
      </c>
      <c r="AA95" s="244" t="s">
        <v>102</v>
      </c>
      <c r="AB95" s="244" t="s">
        <v>348</v>
      </c>
    </row>
    <row r="96" spans="1:28" x14ac:dyDescent="0.15">
      <c r="A96" s="244" t="s">
        <v>41</v>
      </c>
      <c r="B96" s="236" t="s">
        <v>346</v>
      </c>
      <c r="C96" s="245">
        <v>2018</v>
      </c>
      <c r="D96" s="246" t="s">
        <v>367</v>
      </c>
      <c r="E96" s="244" t="s">
        <v>302</v>
      </c>
      <c r="F96" s="236" t="s">
        <v>308</v>
      </c>
      <c r="G96" s="244" t="s">
        <v>42</v>
      </c>
      <c r="H96" s="244" t="s">
        <v>155</v>
      </c>
      <c r="I96" s="244" t="s">
        <v>153</v>
      </c>
      <c r="J96" s="244" t="s">
        <v>38</v>
      </c>
      <c r="K96" s="244" t="s">
        <v>154</v>
      </c>
      <c r="L96" s="236">
        <v>2</v>
      </c>
      <c r="N96" s="236">
        <v>6</v>
      </c>
      <c r="O96" s="236">
        <v>0.5</v>
      </c>
      <c r="P96" s="236">
        <v>0.45</v>
      </c>
      <c r="Q96" s="248">
        <f t="shared" si="5"/>
        <v>0.47499999999999998</v>
      </c>
      <c r="R96" s="236">
        <v>15.4</v>
      </c>
      <c r="S96" s="236">
        <v>114</v>
      </c>
      <c r="T96" s="248">
        <f t="shared" si="7"/>
        <v>30</v>
      </c>
      <c r="U96" s="236">
        <v>429</v>
      </c>
      <c r="V96" s="249">
        <f t="shared" si="6"/>
        <v>2145</v>
      </c>
      <c r="W96" s="236">
        <v>2</v>
      </c>
      <c r="X96" s="244" t="s">
        <v>46</v>
      </c>
      <c r="Y96" s="244" t="s">
        <v>78</v>
      </c>
      <c r="Z96" s="244" t="s">
        <v>69</v>
      </c>
      <c r="AA96" s="244" t="s">
        <v>102</v>
      </c>
      <c r="AB96" s="244" t="s">
        <v>348</v>
      </c>
    </row>
    <row r="97" spans="1:28" x14ac:dyDescent="0.15">
      <c r="A97" s="244" t="s">
        <v>41</v>
      </c>
      <c r="B97" s="236" t="s">
        <v>346</v>
      </c>
      <c r="C97" s="245">
        <v>2018</v>
      </c>
      <c r="D97" s="246" t="s">
        <v>367</v>
      </c>
      <c r="E97" s="244" t="s">
        <v>302</v>
      </c>
      <c r="F97" s="236" t="s">
        <v>308</v>
      </c>
      <c r="G97" s="244" t="s">
        <v>42</v>
      </c>
      <c r="H97" s="244" t="s">
        <v>155</v>
      </c>
      <c r="I97" s="244" t="s">
        <v>153</v>
      </c>
      <c r="J97" s="244" t="s">
        <v>38</v>
      </c>
      <c r="K97" s="244" t="s">
        <v>154</v>
      </c>
      <c r="L97" s="236">
        <v>3</v>
      </c>
      <c r="N97" s="236">
        <v>6</v>
      </c>
      <c r="O97" s="236">
        <v>0.65</v>
      </c>
      <c r="P97" s="236">
        <v>0.5</v>
      </c>
      <c r="Q97" s="248">
        <f t="shared" si="5"/>
        <v>0.57499999999999996</v>
      </c>
      <c r="R97" s="236">
        <v>15.4</v>
      </c>
      <c r="S97" s="236">
        <v>115</v>
      </c>
      <c r="T97" s="248">
        <f t="shared" si="7"/>
        <v>30</v>
      </c>
      <c r="U97" s="236">
        <v>429</v>
      </c>
      <c r="V97" s="249">
        <f t="shared" si="6"/>
        <v>2145</v>
      </c>
      <c r="W97" s="236">
        <v>2</v>
      </c>
      <c r="X97" s="244" t="s">
        <v>46</v>
      </c>
      <c r="Y97" s="244" t="s">
        <v>78</v>
      </c>
      <c r="Z97" s="244" t="s">
        <v>69</v>
      </c>
      <c r="AA97" s="244" t="s">
        <v>102</v>
      </c>
      <c r="AB97" s="244" t="s">
        <v>348</v>
      </c>
    </row>
    <row r="98" spans="1:28" x14ac:dyDescent="0.15">
      <c r="A98" s="244" t="s">
        <v>41</v>
      </c>
      <c r="B98" s="236" t="s">
        <v>346</v>
      </c>
      <c r="C98" s="245">
        <v>2018</v>
      </c>
      <c r="D98" s="246" t="s">
        <v>367</v>
      </c>
      <c r="E98" s="244" t="s">
        <v>302</v>
      </c>
      <c r="F98" s="236" t="s">
        <v>308</v>
      </c>
      <c r="G98" s="244" t="s">
        <v>42</v>
      </c>
      <c r="H98" s="244" t="s">
        <v>168</v>
      </c>
      <c r="I98" s="244" t="s">
        <v>153</v>
      </c>
      <c r="J98" s="244" t="s">
        <v>38</v>
      </c>
      <c r="K98" s="244" t="s">
        <v>154</v>
      </c>
      <c r="L98" s="236">
        <v>1</v>
      </c>
      <c r="N98" s="244">
        <v>3</v>
      </c>
      <c r="O98" s="244">
        <v>0.25</v>
      </c>
      <c r="P98" s="244">
        <v>0.25</v>
      </c>
      <c r="Q98" s="247">
        <f t="shared" si="5"/>
        <v>0.25</v>
      </c>
      <c r="R98" s="244">
        <v>13.8</v>
      </c>
      <c r="S98" s="244">
        <v>122</v>
      </c>
      <c r="T98" s="248">
        <f t="shared" ref="T98:T109" si="8">IF(H98="","",IF(OR(H98="GREEN",H98="GK"),IF(S98&gt;=$AX$2,VLOOKUP(S98,$AX$2:$AY$9,2,1),""),IF(S98&gt;=$AZ$2,VLOOKUP(S98,$AZ$2:$BA$9,2,1),"")))</f>
        <v>27</v>
      </c>
      <c r="U98" s="244">
        <v>537</v>
      </c>
      <c r="V98" s="249">
        <f t="shared" si="6"/>
        <v>4833</v>
      </c>
      <c r="W98" s="236">
        <v>1</v>
      </c>
      <c r="X98" s="244" t="s">
        <v>46</v>
      </c>
      <c r="Y98" s="244" t="s">
        <v>78</v>
      </c>
      <c r="Z98" s="244" t="s">
        <v>69</v>
      </c>
      <c r="AA98" s="244" t="s">
        <v>102</v>
      </c>
      <c r="AB98" s="244" t="s">
        <v>348</v>
      </c>
    </row>
    <row r="99" spans="1:28" x14ac:dyDescent="0.15">
      <c r="A99" s="244" t="s">
        <v>41</v>
      </c>
      <c r="B99" s="236" t="s">
        <v>346</v>
      </c>
      <c r="C99" s="245">
        <v>2018</v>
      </c>
      <c r="D99" s="246" t="s">
        <v>367</v>
      </c>
      <c r="E99" s="244" t="s">
        <v>302</v>
      </c>
      <c r="F99" s="236" t="s">
        <v>308</v>
      </c>
      <c r="G99" s="244" t="s">
        <v>42</v>
      </c>
      <c r="H99" s="244" t="s">
        <v>168</v>
      </c>
      <c r="I99" s="244" t="s">
        <v>153</v>
      </c>
      <c r="J99" s="244" t="s">
        <v>38</v>
      </c>
      <c r="K99" s="244" t="s">
        <v>154</v>
      </c>
      <c r="L99" s="236">
        <v>2</v>
      </c>
      <c r="N99" s="244">
        <v>3</v>
      </c>
      <c r="O99" s="244">
        <v>0.25</v>
      </c>
      <c r="P99" s="244">
        <v>0.25</v>
      </c>
      <c r="Q99" s="247">
        <f t="shared" si="5"/>
        <v>0.25</v>
      </c>
      <c r="R99" s="244">
        <v>17.399999999999999</v>
      </c>
      <c r="S99" s="244">
        <v>123</v>
      </c>
      <c r="T99" s="248">
        <f t="shared" si="8"/>
        <v>27</v>
      </c>
      <c r="U99" s="244">
        <v>537</v>
      </c>
      <c r="V99" s="249">
        <f t="shared" si="6"/>
        <v>4833</v>
      </c>
      <c r="W99" s="236">
        <v>1</v>
      </c>
      <c r="X99" s="244" t="s">
        <v>46</v>
      </c>
      <c r="Y99" s="244" t="s">
        <v>78</v>
      </c>
      <c r="Z99" s="244" t="s">
        <v>69</v>
      </c>
      <c r="AA99" s="244" t="s">
        <v>102</v>
      </c>
      <c r="AB99" s="244" t="s">
        <v>348</v>
      </c>
    </row>
    <row r="100" spans="1:28" x14ac:dyDescent="0.15">
      <c r="A100" s="244" t="s">
        <v>41</v>
      </c>
      <c r="B100" s="236" t="s">
        <v>346</v>
      </c>
      <c r="C100" s="245">
        <v>2018</v>
      </c>
      <c r="D100" s="246" t="s">
        <v>367</v>
      </c>
      <c r="E100" s="244" t="s">
        <v>302</v>
      </c>
      <c r="F100" s="236" t="s">
        <v>308</v>
      </c>
      <c r="G100" s="244" t="s">
        <v>42</v>
      </c>
      <c r="H100" s="244" t="s">
        <v>168</v>
      </c>
      <c r="I100" s="244" t="s">
        <v>153</v>
      </c>
      <c r="J100" s="244" t="s">
        <v>38</v>
      </c>
      <c r="K100" s="244" t="s">
        <v>154</v>
      </c>
      <c r="L100" s="236">
        <v>3</v>
      </c>
      <c r="N100" s="236">
        <v>3</v>
      </c>
      <c r="O100" s="244">
        <v>0.45</v>
      </c>
      <c r="P100" s="244">
        <v>0.4</v>
      </c>
      <c r="Q100" s="247">
        <f t="shared" si="5"/>
        <v>0.42500000000000004</v>
      </c>
      <c r="R100" s="244">
        <v>15.8</v>
      </c>
      <c r="S100" s="244">
        <v>123</v>
      </c>
      <c r="T100" s="248">
        <f t="shared" si="8"/>
        <v>27</v>
      </c>
      <c r="U100" s="244">
        <v>537</v>
      </c>
      <c r="V100" s="249">
        <f t="shared" si="6"/>
        <v>4833</v>
      </c>
      <c r="W100" s="236">
        <v>1</v>
      </c>
      <c r="X100" s="244" t="s">
        <v>46</v>
      </c>
      <c r="Y100" s="244" t="s">
        <v>78</v>
      </c>
      <c r="Z100" s="244" t="s">
        <v>69</v>
      </c>
      <c r="AA100" s="244" t="s">
        <v>102</v>
      </c>
      <c r="AB100" s="244" t="s">
        <v>348</v>
      </c>
    </row>
    <row r="101" spans="1:28" x14ac:dyDescent="0.15">
      <c r="A101" s="244" t="s">
        <v>41</v>
      </c>
      <c r="B101" s="236" t="s">
        <v>346</v>
      </c>
      <c r="C101" s="245">
        <v>2018</v>
      </c>
      <c r="D101" s="246" t="s">
        <v>367</v>
      </c>
      <c r="E101" s="244" t="s">
        <v>302</v>
      </c>
      <c r="F101" s="236" t="s">
        <v>308</v>
      </c>
      <c r="G101" s="244" t="s">
        <v>42</v>
      </c>
      <c r="H101" s="244" t="s">
        <v>168</v>
      </c>
      <c r="I101" s="244" t="s">
        <v>153</v>
      </c>
      <c r="J101" s="244" t="s">
        <v>38</v>
      </c>
      <c r="K101" s="244" t="s">
        <v>154</v>
      </c>
      <c r="L101" s="236">
        <v>1</v>
      </c>
      <c r="N101" s="244">
        <v>1</v>
      </c>
      <c r="O101" s="244">
        <v>0.6</v>
      </c>
      <c r="P101" s="244">
        <v>0.65</v>
      </c>
      <c r="Q101" s="248">
        <f t="shared" si="5"/>
        <v>0.625</v>
      </c>
      <c r="R101" s="236">
        <v>16.8</v>
      </c>
      <c r="S101" s="244">
        <v>120</v>
      </c>
      <c r="T101" s="248">
        <f t="shared" si="8"/>
        <v>30</v>
      </c>
      <c r="U101" s="244">
        <v>105</v>
      </c>
      <c r="V101" s="249">
        <f t="shared" si="6"/>
        <v>3150</v>
      </c>
      <c r="W101" s="236">
        <v>1</v>
      </c>
      <c r="X101" s="244" t="s">
        <v>46</v>
      </c>
      <c r="Y101" s="244" t="s">
        <v>78</v>
      </c>
      <c r="Z101" s="244" t="s">
        <v>69</v>
      </c>
      <c r="AA101" s="244" t="s">
        <v>102</v>
      </c>
      <c r="AB101" s="244" t="s">
        <v>348</v>
      </c>
    </row>
    <row r="102" spans="1:28" x14ac:dyDescent="0.15">
      <c r="A102" s="244" t="s">
        <v>41</v>
      </c>
      <c r="B102" s="236" t="s">
        <v>346</v>
      </c>
      <c r="C102" s="245">
        <v>2018</v>
      </c>
      <c r="D102" s="246" t="s">
        <v>367</v>
      </c>
      <c r="E102" s="244" t="s">
        <v>302</v>
      </c>
      <c r="F102" s="236" t="s">
        <v>308</v>
      </c>
      <c r="G102" s="244" t="s">
        <v>42</v>
      </c>
      <c r="H102" s="244" t="s">
        <v>168</v>
      </c>
      <c r="I102" s="244" t="s">
        <v>153</v>
      </c>
      <c r="J102" s="244" t="s">
        <v>38</v>
      </c>
      <c r="K102" s="244" t="s">
        <v>154</v>
      </c>
      <c r="L102" s="236">
        <v>2</v>
      </c>
      <c r="N102" s="244">
        <v>1</v>
      </c>
      <c r="O102" s="244">
        <v>0.75</v>
      </c>
      <c r="P102" s="244">
        <v>0.6</v>
      </c>
      <c r="Q102" s="248">
        <f t="shared" si="5"/>
        <v>0.67500000000000004</v>
      </c>
      <c r="R102" s="236">
        <v>17.100000000000001</v>
      </c>
      <c r="S102" s="244">
        <v>124</v>
      </c>
      <c r="T102" s="248">
        <f t="shared" si="8"/>
        <v>27</v>
      </c>
      <c r="U102" s="244">
        <v>105</v>
      </c>
      <c r="V102" s="249">
        <f t="shared" si="6"/>
        <v>2835</v>
      </c>
      <c r="W102" s="236">
        <v>1</v>
      </c>
      <c r="X102" s="244" t="s">
        <v>46</v>
      </c>
      <c r="Y102" s="244" t="s">
        <v>78</v>
      </c>
      <c r="Z102" s="244" t="s">
        <v>69</v>
      </c>
      <c r="AA102" s="244" t="s">
        <v>102</v>
      </c>
      <c r="AB102" s="244" t="s">
        <v>348</v>
      </c>
    </row>
    <row r="103" spans="1:28" x14ac:dyDescent="0.15">
      <c r="A103" s="244" t="s">
        <v>41</v>
      </c>
      <c r="B103" s="236" t="s">
        <v>346</v>
      </c>
      <c r="C103" s="245">
        <v>2018</v>
      </c>
      <c r="D103" s="246" t="s">
        <v>367</v>
      </c>
      <c r="E103" s="244" t="s">
        <v>302</v>
      </c>
      <c r="F103" s="236" t="s">
        <v>308</v>
      </c>
      <c r="G103" s="244" t="s">
        <v>42</v>
      </c>
      <c r="H103" s="244" t="s">
        <v>168</v>
      </c>
      <c r="I103" s="244" t="s">
        <v>153</v>
      </c>
      <c r="J103" s="244" t="s">
        <v>38</v>
      </c>
      <c r="K103" s="244" t="s">
        <v>154</v>
      </c>
      <c r="L103" s="236">
        <v>3</v>
      </c>
      <c r="N103" s="236">
        <v>1</v>
      </c>
      <c r="O103" s="244">
        <v>0.5</v>
      </c>
      <c r="P103" s="244">
        <v>0.6</v>
      </c>
      <c r="Q103" s="248">
        <f t="shared" si="5"/>
        <v>0.55000000000000004</v>
      </c>
      <c r="R103" s="236">
        <v>16.399999999999999</v>
      </c>
      <c r="S103" s="244">
        <v>122</v>
      </c>
      <c r="T103" s="248">
        <f t="shared" si="8"/>
        <v>27</v>
      </c>
      <c r="U103" s="244">
        <v>105</v>
      </c>
      <c r="V103" s="249">
        <f t="shared" si="6"/>
        <v>2835</v>
      </c>
      <c r="W103" s="236">
        <v>1</v>
      </c>
      <c r="X103" s="244" t="s">
        <v>46</v>
      </c>
      <c r="Y103" s="244" t="s">
        <v>78</v>
      </c>
      <c r="Z103" s="244" t="s">
        <v>69</v>
      </c>
      <c r="AA103" s="244" t="s">
        <v>102</v>
      </c>
      <c r="AB103" s="244" t="s">
        <v>348</v>
      </c>
    </row>
    <row r="104" spans="1:28" x14ac:dyDescent="0.15">
      <c r="A104" s="244" t="s">
        <v>41</v>
      </c>
      <c r="B104" s="236" t="s">
        <v>346</v>
      </c>
      <c r="C104" s="245">
        <v>2018</v>
      </c>
      <c r="D104" s="246" t="s">
        <v>367</v>
      </c>
      <c r="E104" s="236" t="s">
        <v>303</v>
      </c>
      <c r="F104" s="236" t="s">
        <v>309</v>
      </c>
      <c r="G104" s="244" t="s">
        <v>42</v>
      </c>
      <c r="H104" s="244" t="s">
        <v>155</v>
      </c>
      <c r="I104" s="244" t="s">
        <v>153</v>
      </c>
      <c r="J104" s="244" t="s">
        <v>38</v>
      </c>
      <c r="K104" s="244" t="s">
        <v>154</v>
      </c>
      <c r="L104" s="236">
        <v>1</v>
      </c>
      <c r="N104" s="236">
        <v>1</v>
      </c>
      <c r="O104" s="236">
        <v>0.3</v>
      </c>
      <c r="P104" s="236">
        <v>0.25</v>
      </c>
      <c r="Q104" s="248">
        <f t="shared" si="5"/>
        <v>0.27500000000000002</v>
      </c>
      <c r="R104" s="236">
        <v>15.8</v>
      </c>
      <c r="S104" s="236">
        <v>125</v>
      </c>
      <c r="T104" s="248">
        <f t="shared" si="8"/>
        <v>27</v>
      </c>
      <c r="U104" s="244">
        <v>105</v>
      </c>
      <c r="V104" s="249">
        <f t="shared" si="6"/>
        <v>2835</v>
      </c>
      <c r="W104" s="236">
        <v>1</v>
      </c>
      <c r="X104" s="244" t="s">
        <v>46</v>
      </c>
      <c r="Y104" s="244" t="s">
        <v>78</v>
      </c>
      <c r="Z104" s="244" t="s">
        <v>102</v>
      </c>
      <c r="AA104" s="244" t="s">
        <v>69</v>
      </c>
      <c r="AB104" s="244" t="s">
        <v>348</v>
      </c>
    </row>
    <row r="105" spans="1:28" x14ac:dyDescent="0.15">
      <c r="A105" s="244" t="s">
        <v>41</v>
      </c>
      <c r="B105" s="236" t="s">
        <v>346</v>
      </c>
      <c r="C105" s="245">
        <v>2018</v>
      </c>
      <c r="D105" s="246" t="s">
        <v>367</v>
      </c>
      <c r="E105" s="236" t="s">
        <v>303</v>
      </c>
      <c r="F105" s="236" t="s">
        <v>309</v>
      </c>
      <c r="G105" s="244" t="s">
        <v>42</v>
      </c>
      <c r="H105" s="244" t="s">
        <v>155</v>
      </c>
      <c r="I105" s="244" t="s">
        <v>153</v>
      </c>
      <c r="J105" s="244" t="s">
        <v>38</v>
      </c>
      <c r="K105" s="244" t="s">
        <v>154</v>
      </c>
      <c r="L105" s="236">
        <v>2</v>
      </c>
      <c r="N105" s="236">
        <v>1</v>
      </c>
      <c r="O105" s="236">
        <v>0.25</v>
      </c>
      <c r="P105" s="236">
        <v>0.25</v>
      </c>
      <c r="Q105" s="248">
        <f t="shared" si="5"/>
        <v>0.25</v>
      </c>
      <c r="R105" s="236">
        <v>14.9</v>
      </c>
      <c r="S105" s="236">
        <v>123</v>
      </c>
      <c r="T105" s="248">
        <f t="shared" si="8"/>
        <v>27</v>
      </c>
      <c r="U105" s="244">
        <v>105</v>
      </c>
      <c r="V105" s="249">
        <f t="shared" si="6"/>
        <v>2835</v>
      </c>
      <c r="W105" s="236">
        <v>1</v>
      </c>
      <c r="X105" s="244" t="s">
        <v>46</v>
      </c>
      <c r="Y105" s="244" t="s">
        <v>78</v>
      </c>
      <c r="Z105" s="244" t="s">
        <v>102</v>
      </c>
      <c r="AA105" s="244" t="s">
        <v>69</v>
      </c>
      <c r="AB105" s="244" t="s">
        <v>348</v>
      </c>
    </row>
    <row r="106" spans="1:28" x14ac:dyDescent="0.15">
      <c r="A106" s="244" t="s">
        <v>41</v>
      </c>
      <c r="B106" s="236" t="s">
        <v>346</v>
      </c>
      <c r="C106" s="245">
        <v>2018</v>
      </c>
      <c r="D106" s="246" t="s">
        <v>367</v>
      </c>
      <c r="E106" s="236" t="s">
        <v>303</v>
      </c>
      <c r="F106" s="236" t="s">
        <v>309</v>
      </c>
      <c r="G106" s="244" t="s">
        <v>42</v>
      </c>
      <c r="H106" s="244" t="s">
        <v>155</v>
      </c>
      <c r="I106" s="244" t="s">
        <v>153</v>
      </c>
      <c r="J106" s="244" t="s">
        <v>38</v>
      </c>
      <c r="K106" s="244" t="s">
        <v>154</v>
      </c>
      <c r="L106" s="236">
        <v>3</v>
      </c>
      <c r="N106" s="236">
        <v>1</v>
      </c>
      <c r="O106" s="236">
        <v>0.3</v>
      </c>
      <c r="P106" s="236">
        <v>0.25</v>
      </c>
      <c r="Q106" s="248">
        <f t="shared" si="5"/>
        <v>0.27500000000000002</v>
      </c>
      <c r="R106" s="236">
        <v>15.2</v>
      </c>
      <c r="S106" s="236">
        <v>123</v>
      </c>
      <c r="T106" s="248">
        <f t="shared" si="8"/>
        <v>27</v>
      </c>
      <c r="U106" s="244">
        <v>105</v>
      </c>
      <c r="V106" s="249">
        <f t="shared" si="6"/>
        <v>2835</v>
      </c>
      <c r="W106" s="236">
        <v>1</v>
      </c>
      <c r="X106" s="244" t="s">
        <v>46</v>
      </c>
      <c r="Y106" s="244" t="s">
        <v>78</v>
      </c>
      <c r="Z106" s="244" t="s">
        <v>102</v>
      </c>
      <c r="AA106" s="244" t="s">
        <v>69</v>
      </c>
      <c r="AB106" s="244" t="s">
        <v>348</v>
      </c>
    </row>
    <row r="107" spans="1:28" x14ac:dyDescent="0.15">
      <c r="A107" s="244" t="s">
        <v>41</v>
      </c>
      <c r="B107" s="236" t="s">
        <v>346</v>
      </c>
      <c r="C107" s="245">
        <v>2018</v>
      </c>
      <c r="D107" s="246" t="s">
        <v>367</v>
      </c>
      <c r="E107" s="236" t="s">
        <v>303</v>
      </c>
      <c r="F107" s="236" t="s">
        <v>309</v>
      </c>
      <c r="G107" s="244" t="s">
        <v>42</v>
      </c>
      <c r="H107" s="244" t="s">
        <v>155</v>
      </c>
      <c r="I107" s="244" t="s">
        <v>153</v>
      </c>
      <c r="J107" s="244" t="s">
        <v>38</v>
      </c>
      <c r="K107" s="244" t="s">
        <v>154</v>
      </c>
      <c r="L107" s="236">
        <v>1</v>
      </c>
      <c r="N107" s="236">
        <v>8</v>
      </c>
      <c r="O107" s="236">
        <v>0.45</v>
      </c>
      <c r="P107" s="236">
        <v>0.55000000000000004</v>
      </c>
      <c r="Q107" s="248">
        <f t="shared" si="5"/>
        <v>0.5</v>
      </c>
      <c r="R107" s="236">
        <v>14.1</v>
      </c>
      <c r="S107" s="236">
        <v>110</v>
      </c>
      <c r="T107" s="248">
        <f t="shared" si="8"/>
        <v>33</v>
      </c>
      <c r="U107" s="244">
        <v>428</v>
      </c>
      <c r="V107" s="249">
        <f t="shared" si="6"/>
        <v>1765.5</v>
      </c>
      <c r="W107" s="236">
        <v>3</v>
      </c>
      <c r="X107" s="244" t="s">
        <v>46</v>
      </c>
      <c r="Y107" s="244" t="s">
        <v>78</v>
      </c>
      <c r="Z107" s="244" t="s">
        <v>102</v>
      </c>
      <c r="AA107" s="244" t="s">
        <v>69</v>
      </c>
      <c r="AB107" s="244" t="s">
        <v>348</v>
      </c>
    </row>
    <row r="108" spans="1:28" x14ac:dyDescent="0.15">
      <c r="A108" s="244" t="s">
        <v>41</v>
      </c>
      <c r="B108" s="236" t="s">
        <v>346</v>
      </c>
      <c r="C108" s="245">
        <v>2018</v>
      </c>
      <c r="D108" s="246" t="s">
        <v>367</v>
      </c>
      <c r="E108" s="236" t="s">
        <v>303</v>
      </c>
      <c r="F108" s="236" t="s">
        <v>309</v>
      </c>
      <c r="G108" s="244" t="s">
        <v>42</v>
      </c>
      <c r="H108" s="244" t="s">
        <v>155</v>
      </c>
      <c r="I108" s="244" t="s">
        <v>153</v>
      </c>
      <c r="J108" s="244" t="s">
        <v>38</v>
      </c>
      <c r="K108" s="244" t="s">
        <v>154</v>
      </c>
      <c r="L108" s="236">
        <v>2</v>
      </c>
      <c r="N108" s="236">
        <v>8</v>
      </c>
      <c r="O108" s="236">
        <v>0.6</v>
      </c>
      <c r="P108" s="236">
        <v>0.65</v>
      </c>
      <c r="Q108" s="248">
        <f t="shared" si="5"/>
        <v>0.625</v>
      </c>
      <c r="R108" s="236">
        <v>13</v>
      </c>
      <c r="S108" s="236">
        <v>108</v>
      </c>
      <c r="T108" s="248">
        <f t="shared" si="8"/>
        <v>33</v>
      </c>
      <c r="U108" s="244">
        <v>428</v>
      </c>
      <c r="V108" s="249">
        <f t="shared" si="6"/>
        <v>1765.5</v>
      </c>
      <c r="W108" s="236">
        <v>3</v>
      </c>
      <c r="X108" s="244" t="s">
        <v>46</v>
      </c>
      <c r="Y108" s="244" t="s">
        <v>78</v>
      </c>
      <c r="Z108" s="244" t="s">
        <v>102</v>
      </c>
      <c r="AA108" s="244" t="s">
        <v>69</v>
      </c>
      <c r="AB108" s="244" t="s">
        <v>348</v>
      </c>
    </row>
    <row r="109" spans="1:28" x14ac:dyDescent="0.15">
      <c r="A109" s="244" t="s">
        <v>41</v>
      </c>
      <c r="B109" s="236" t="s">
        <v>346</v>
      </c>
      <c r="C109" s="245">
        <v>2018</v>
      </c>
      <c r="D109" s="246" t="s">
        <v>367</v>
      </c>
      <c r="E109" s="236" t="s">
        <v>303</v>
      </c>
      <c r="F109" s="236" t="s">
        <v>309</v>
      </c>
      <c r="G109" s="244" t="s">
        <v>42</v>
      </c>
      <c r="H109" s="244" t="s">
        <v>155</v>
      </c>
      <c r="I109" s="244" t="s">
        <v>153</v>
      </c>
      <c r="J109" s="244" t="s">
        <v>38</v>
      </c>
      <c r="K109" s="244" t="s">
        <v>154</v>
      </c>
      <c r="L109" s="236">
        <v>3</v>
      </c>
      <c r="N109" s="236">
        <v>8</v>
      </c>
      <c r="O109" s="236">
        <v>0.5</v>
      </c>
      <c r="P109" s="236">
        <v>0.5</v>
      </c>
      <c r="Q109" s="248">
        <f t="shared" si="5"/>
        <v>0.5</v>
      </c>
      <c r="R109" s="236">
        <v>12.8</v>
      </c>
      <c r="S109" s="236">
        <v>111</v>
      </c>
      <c r="T109" s="248">
        <f t="shared" si="8"/>
        <v>33</v>
      </c>
      <c r="U109" s="244">
        <v>428</v>
      </c>
      <c r="V109" s="249">
        <f t="shared" si="6"/>
        <v>1765.5</v>
      </c>
      <c r="W109" s="236">
        <v>3</v>
      </c>
      <c r="X109" s="244" t="s">
        <v>46</v>
      </c>
      <c r="Y109" s="244" t="s">
        <v>78</v>
      </c>
      <c r="Z109" s="244" t="s">
        <v>102</v>
      </c>
      <c r="AA109" s="244" t="s">
        <v>69</v>
      </c>
      <c r="AB109" s="244" t="s">
        <v>348</v>
      </c>
    </row>
    <row r="110" spans="1:28" x14ac:dyDescent="0.15">
      <c r="A110" s="244" t="s">
        <v>41</v>
      </c>
      <c r="B110" s="236" t="s">
        <v>346</v>
      </c>
      <c r="C110" s="245">
        <v>2018</v>
      </c>
      <c r="D110" s="246" t="s">
        <v>367</v>
      </c>
      <c r="E110" s="236" t="s">
        <v>303</v>
      </c>
      <c r="F110" s="236" t="s">
        <v>309</v>
      </c>
      <c r="G110" s="244" t="s">
        <v>42</v>
      </c>
      <c r="H110" s="244" t="s">
        <v>168</v>
      </c>
      <c r="I110" s="244" t="s">
        <v>153</v>
      </c>
      <c r="J110" s="244" t="s">
        <v>38</v>
      </c>
      <c r="K110" s="244" t="s">
        <v>154</v>
      </c>
      <c r="L110" s="236">
        <v>1</v>
      </c>
      <c r="N110" s="236">
        <v>1</v>
      </c>
      <c r="O110" s="236">
        <v>0.6</v>
      </c>
      <c r="P110" s="236">
        <v>0.55000000000000004</v>
      </c>
      <c r="Q110" s="248">
        <f t="shared" si="5"/>
        <v>0.57499999999999996</v>
      </c>
      <c r="R110" s="236">
        <v>17.5</v>
      </c>
      <c r="S110" s="236">
        <v>121</v>
      </c>
      <c r="T110" s="248">
        <f t="shared" ref="T110:T133" si="9">IF(H110="","",IF(OR(H110="GREEN",H110="GK"),IF(S110&gt;=$AX$2,VLOOKUP(S110,$AX$2:$AY$10,2,1),""),IF(S110&gt;=$AZ$2,VLOOKUP(S110,$AZ$2:$BA$10,2,1),"")))</f>
        <v>27</v>
      </c>
      <c r="U110" s="236">
        <v>138</v>
      </c>
      <c r="V110" s="249">
        <f t="shared" si="6"/>
        <v>3726</v>
      </c>
      <c r="W110" s="236">
        <v>1</v>
      </c>
      <c r="X110" s="244" t="s">
        <v>46</v>
      </c>
      <c r="Y110" s="244" t="s">
        <v>78</v>
      </c>
      <c r="Z110" s="244" t="s">
        <v>102</v>
      </c>
      <c r="AA110" s="244" t="s">
        <v>69</v>
      </c>
      <c r="AB110" s="244" t="s">
        <v>348</v>
      </c>
    </row>
    <row r="111" spans="1:28" x14ac:dyDescent="0.15">
      <c r="A111" s="244" t="s">
        <v>41</v>
      </c>
      <c r="B111" s="236" t="s">
        <v>346</v>
      </c>
      <c r="C111" s="245">
        <v>2018</v>
      </c>
      <c r="D111" s="246" t="s">
        <v>367</v>
      </c>
      <c r="E111" s="236" t="s">
        <v>303</v>
      </c>
      <c r="F111" s="236" t="s">
        <v>309</v>
      </c>
      <c r="G111" s="244" t="s">
        <v>42</v>
      </c>
      <c r="H111" s="244" t="s">
        <v>168</v>
      </c>
      <c r="I111" s="244" t="s">
        <v>153</v>
      </c>
      <c r="J111" s="244" t="s">
        <v>38</v>
      </c>
      <c r="K111" s="244" t="s">
        <v>154</v>
      </c>
      <c r="L111" s="236">
        <v>2</v>
      </c>
      <c r="N111" s="236">
        <v>1</v>
      </c>
      <c r="O111" s="236">
        <v>0.45</v>
      </c>
      <c r="P111" s="236">
        <v>0.5</v>
      </c>
      <c r="Q111" s="248">
        <f t="shared" si="5"/>
        <v>0.47499999999999998</v>
      </c>
      <c r="R111" s="236">
        <v>17.2</v>
      </c>
      <c r="S111" s="236">
        <v>122</v>
      </c>
      <c r="T111" s="248">
        <f t="shared" si="9"/>
        <v>27</v>
      </c>
      <c r="U111" s="236">
        <v>138</v>
      </c>
      <c r="V111" s="249">
        <f t="shared" si="6"/>
        <v>3726</v>
      </c>
      <c r="W111" s="236">
        <v>1</v>
      </c>
      <c r="X111" s="244" t="s">
        <v>46</v>
      </c>
      <c r="Y111" s="244" t="s">
        <v>78</v>
      </c>
      <c r="Z111" s="244" t="s">
        <v>102</v>
      </c>
      <c r="AA111" s="244" t="s">
        <v>69</v>
      </c>
      <c r="AB111" s="244" t="s">
        <v>348</v>
      </c>
    </row>
    <row r="112" spans="1:28" x14ac:dyDescent="0.15">
      <c r="A112" s="244" t="s">
        <v>41</v>
      </c>
      <c r="B112" s="236" t="s">
        <v>346</v>
      </c>
      <c r="C112" s="245">
        <v>2018</v>
      </c>
      <c r="D112" s="246" t="s">
        <v>367</v>
      </c>
      <c r="E112" s="236" t="s">
        <v>303</v>
      </c>
      <c r="F112" s="236" t="s">
        <v>309</v>
      </c>
      <c r="G112" s="244" t="s">
        <v>42</v>
      </c>
      <c r="H112" s="244" t="s">
        <v>168</v>
      </c>
      <c r="I112" s="244" t="s">
        <v>153</v>
      </c>
      <c r="J112" s="244" t="s">
        <v>38</v>
      </c>
      <c r="K112" s="244" t="s">
        <v>154</v>
      </c>
      <c r="L112" s="236">
        <v>3</v>
      </c>
      <c r="N112" s="236">
        <v>1</v>
      </c>
      <c r="O112" s="236">
        <v>0.4</v>
      </c>
      <c r="P112" s="236">
        <v>0.45</v>
      </c>
      <c r="Q112" s="248">
        <f t="shared" si="5"/>
        <v>0.42500000000000004</v>
      </c>
      <c r="R112" s="236">
        <v>14.9</v>
      </c>
      <c r="S112" s="236">
        <v>121</v>
      </c>
      <c r="T112" s="248">
        <f t="shared" si="9"/>
        <v>27</v>
      </c>
      <c r="U112" s="236">
        <v>138</v>
      </c>
      <c r="V112" s="249">
        <f t="shared" si="6"/>
        <v>3726</v>
      </c>
      <c r="W112" s="236">
        <v>1</v>
      </c>
      <c r="X112" s="244" t="s">
        <v>46</v>
      </c>
      <c r="Y112" s="244" t="s">
        <v>78</v>
      </c>
      <c r="Z112" s="244" t="s">
        <v>102</v>
      </c>
      <c r="AA112" s="244" t="s">
        <v>69</v>
      </c>
      <c r="AB112" s="244" t="s">
        <v>348</v>
      </c>
    </row>
    <row r="113" spans="1:28" x14ac:dyDescent="0.15">
      <c r="A113" s="244" t="s">
        <v>41</v>
      </c>
      <c r="B113" s="236" t="s">
        <v>346</v>
      </c>
      <c r="C113" s="245">
        <v>2018</v>
      </c>
      <c r="D113" s="246" t="s">
        <v>367</v>
      </c>
      <c r="E113" s="236" t="s">
        <v>303</v>
      </c>
      <c r="F113" s="236" t="s">
        <v>309</v>
      </c>
      <c r="G113" s="244" t="s">
        <v>42</v>
      </c>
      <c r="H113" s="244" t="s">
        <v>168</v>
      </c>
      <c r="I113" s="244" t="s">
        <v>153</v>
      </c>
      <c r="J113" s="244" t="s">
        <v>38</v>
      </c>
      <c r="K113" s="244" t="s">
        <v>154</v>
      </c>
      <c r="L113" s="236">
        <v>1</v>
      </c>
      <c r="N113" s="236">
        <v>8</v>
      </c>
      <c r="O113" s="236">
        <v>0.4</v>
      </c>
      <c r="P113" s="236">
        <v>0.55000000000000004</v>
      </c>
      <c r="Q113" s="248">
        <f t="shared" si="5"/>
        <v>0.47500000000000003</v>
      </c>
      <c r="R113" s="236">
        <v>15.3</v>
      </c>
      <c r="S113" s="236">
        <v>117</v>
      </c>
      <c r="T113" s="248">
        <f t="shared" si="9"/>
        <v>30</v>
      </c>
      <c r="U113" s="236">
        <v>842</v>
      </c>
      <c r="V113" s="249">
        <f t="shared" si="6"/>
        <v>3157.5</v>
      </c>
      <c r="W113" s="236">
        <v>2</v>
      </c>
      <c r="X113" s="244" t="s">
        <v>46</v>
      </c>
      <c r="Y113" s="244" t="s">
        <v>78</v>
      </c>
      <c r="Z113" s="244" t="s">
        <v>102</v>
      </c>
      <c r="AA113" s="244" t="s">
        <v>69</v>
      </c>
      <c r="AB113" s="244" t="s">
        <v>348</v>
      </c>
    </row>
    <row r="114" spans="1:28" x14ac:dyDescent="0.15">
      <c r="A114" s="244" t="s">
        <v>41</v>
      </c>
      <c r="B114" s="236" t="s">
        <v>346</v>
      </c>
      <c r="C114" s="245">
        <v>2018</v>
      </c>
      <c r="D114" s="246" t="s">
        <v>367</v>
      </c>
      <c r="E114" s="236" t="s">
        <v>303</v>
      </c>
      <c r="F114" s="236" t="s">
        <v>309</v>
      </c>
      <c r="G114" s="244" t="s">
        <v>42</v>
      </c>
      <c r="H114" s="244" t="s">
        <v>168</v>
      </c>
      <c r="I114" s="244" t="s">
        <v>153</v>
      </c>
      <c r="J114" s="244" t="s">
        <v>38</v>
      </c>
      <c r="K114" s="244" t="s">
        <v>154</v>
      </c>
      <c r="L114" s="236">
        <v>2</v>
      </c>
      <c r="N114" s="236">
        <v>8</v>
      </c>
      <c r="O114" s="236">
        <v>0.5</v>
      </c>
      <c r="P114" s="236">
        <v>0.5</v>
      </c>
      <c r="Q114" s="248">
        <f t="shared" si="5"/>
        <v>0.5</v>
      </c>
      <c r="R114" s="236">
        <v>15</v>
      </c>
      <c r="S114" s="236">
        <v>118</v>
      </c>
      <c r="T114" s="248">
        <f t="shared" si="9"/>
        <v>30</v>
      </c>
      <c r="U114" s="236">
        <v>842</v>
      </c>
      <c r="V114" s="249">
        <f t="shared" si="6"/>
        <v>3157.5</v>
      </c>
      <c r="W114" s="236">
        <v>2</v>
      </c>
      <c r="X114" s="244" t="s">
        <v>46</v>
      </c>
      <c r="Y114" s="244" t="s">
        <v>78</v>
      </c>
      <c r="Z114" s="244" t="s">
        <v>102</v>
      </c>
      <c r="AA114" s="244" t="s">
        <v>69</v>
      </c>
      <c r="AB114" s="244" t="s">
        <v>348</v>
      </c>
    </row>
    <row r="115" spans="1:28" x14ac:dyDescent="0.15">
      <c r="A115" s="244" t="s">
        <v>41</v>
      </c>
      <c r="B115" s="236" t="s">
        <v>346</v>
      </c>
      <c r="C115" s="245">
        <v>2018</v>
      </c>
      <c r="D115" s="246" t="s">
        <v>367</v>
      </c>
      <c r="E115" s="236" t="s">
        <v>303</v>
      </c>
      <c r="F115" s="236" t="s">
        <v>309</v>
      </c>
      <c r="G115" s="244" t="s">
        <v>42</v>
      </c>
      <c r="H115" s="244" t="s">
        <v>168</v>
      </c>
      <c r="I115" s="244" t="s">
        <v>153</v>
      </c>
      <c r="J115" s="244" t="s">
        <v>38</v>
      </c>
      <c r="K115" s="244" t="s">
        <v>154</v>
      </c>
      <c r="L115" s="236">
        <v>3</v>
      </c>
      <c r="N115" s="236">
        <v>8</v>
      </c>
      <c r="O115" s="236">
        <v>0.35</v>
      </c>
      <c r="P115" s="236">
        <v>0.35</v>
      </c>
      <c r="Q115" s="248">
        <f t="shared" si="5"/>
        <v>0.35</v>
      </c>
      <c r="R115" s="236">
        <v>14.7</v>
      </c>
      <c r="S115" s="236">
        <v>120</v>
      </c>
      <c r="T115" s="248">
        <f t="shared" si="9"/>
        <v>30</v>
      </c>
      <c r="U115" s="236">
        <v>842</v>
      </c>
      <c r="V115" s="249">
        <f t="shared" si="6"/>
        <v>3157.5</v>
      </c>
      <c r="W115" s="236">
        <v>2</v>
      </c>
      <c r="X115" s="244" t="s">
        <v>46</v>
      </c>
      <c r="Y115" s="244" t="s">
        <v>78</v>
      </c>
      <c r="Z115" s="244" t="s">
        <v>102</v>
      </c>
      <c r="AA115" s="244" t="s">
        <v>69</v>
      </c>
      <c r="AB115" s="244" t="s">
        <v>348</v>
      </c>
    </row>
    <row r="116" spans="1:28" x14ac:dyDescent="0.15">
      <c r="A116" s="244" t="s">
        <v>41</v>
      </c>
      <c r="B116" s="236" t="s">
        <v>346</v>
      </c>
      <c r="C116" s="245">
        <v>2018</v>
      </c>
      <c r="D116" s="246" t="s">
        <v>367</v>
      </c>
      <c r="E116" s="236" t="s">
        <v>177</v>
      </c>
      <c r="F116" s="236" t="s">
        <v>310</v>
      </c>
      <c r="G116" s="244" t="s">
        <v>42</v>
      </c>
      <c r="H116" s="244" t="s">
        <v>168</v>
      </c>
      <c r="I116" s="244" t="s">
        <v>153</v>
      </c>
      <c r="J116" s="244" t="s">
        <v>38</v>
      </c>
      <c r="K116" s="244" t="s">
        <v>154</v>
      </c>
      <c r="L116" s="236">
        <v>1</v>
      </c>
      <c r="N116" s="236">
        <v>1</v>
      </c>
      <c r="O116" s="244">
        <v>0.7</v>
      </c>
      <c r="P116" s="244">
        <v>0.8</v>
      </c>
      <c r="Q116" s="247">
        <f t="shared" si="5"/>
        <v>0.75</v>
      </c>
      <c r="R116" s="244">
        <v>14.8</v>
      </c>
      <c r="S116" s="244">
        <v>125</v>
      </c>
      <c r="T116" s="248">
        <f t="shared" si="9"/>
        <v>27</v>
      </c>
      <c r="U116" s="236">
        <v>137</v>
      </c>
      <c r="V116" s="249">
        <f t="shared" si="6"/>
        <v>3699</v>
      </c>
      <c r="W116" s="236">
        <v>1</v>
      </c>
      <c r="X116" s="244" t="s">
        <v>39</v>
      </c>
      <c r="Y116" s="244" t="s">
        <v>78</v>
      </c>
      <c r="Z116" s="244" t="s">
        <v>69</v>
      </c>
      <c r="AA116" s="244" t="s">
        <v>84</v>
      </c>
      <c r="AB116" s="244" t="s">
        <v>348</v>
      </c>
    </row>
    <row r="117" spans="1:28" x14ac:dyDescent="0.15">
      <c r="A117" s="244" t="s">
        <v>41</v>
      </c>
      <c r="B117" s="236" t="s">
        <v>346</v>
      </c>
      <c r="C117" s="245">
        <v>2018</v>
      </c>
      <c r="D117" s="246" t="s">
        <v>367</v>
      </c>
      <c r="E117" s="236" t="s">
        <v>177</v>
      </c>
      <c r="F117" s="236" t="s">
        <v>310</v>
      </c>
      <c r="G117" s="244" t="s">
        <v>42</v>
      </c>
      <c r="H117" s="244" t="s">
        <v>168</v>
      </c>
      <c r="I117" s="244" t="s">
        <v>153</v>
      </c>
      <c r="J117" s="244" t="s">
        <v>38</v>
      </c>
      <c r="K117" s="244" t="s">
        <v>154</v>
      </c>
      <c r="L117" s="236">
        <v>2</v>
      </c>
      <c r="N117" s="236">
        <v>1</v>
      </c>
      <c r="O117" s="244">
        <v>0.85</v>
      </c>
      <c r="P117" s="244">
        <v>0.8</v>
      </c>
      <c r="Q117" s="247">
        <f t="shared" si="5"/>
        <v>0.82499999999999996</v>
      </c>
      <c r="R117" s="244">
        <v>15</v>
      </c>
      <c r="S117" s="244">
        <v>126</v>
      </c>
      <c r="T117" s="248">
        <f t="shared" si="9"/>
        <v>27</v>
      </c>
      <c r="U117" s="236">
        <v>137</v>
      </c>
      <c r="V117" s="249">
        <f t="shared" si="6"/>
        <v>3699</v>
      </c>
      <c r="W117" s="236">
        <v>1</v>
      </c>
      <c r="X117" s="244" t="s">
        <v>39</v>
      </c>
      <c r="Y117" s="244" t="s">
        <v>78</v>
      </c>
      <c r="Z117" s="244" t="s">
        <v>69</v>
      </c>
      <c r="AA117" s="244" t="s">
        <v>84</v>
      </c>
      <c r="AB117" s="244" t="s">
        <v>348</v>
      </c>
    </row>
    <row r="118" spans="1:28" x14ac:dyDescent="0.15">
      <c r="A118" s="244" t="s">
        <v>41</v>
      </c>
      <c r="B118" s="236" t="s">
        <v>346</v>
      </c>
      <c r="C118" s="245">
        <v>2018</v>
      </c>
      <c r="D118" s="246" t="s">
        <v>367</v>
      </c>
      <c r="E118" s="236" t="s">
        <v>177</v>
      </c>
      <c r="F118" s="236" t="s">
        <v>310</v>
      </c>
      <c r="G118" s="244" t="s">
        <v>42</v>
      </c>
      <c r="H118" s="244" t="s">
        <v>168</v>
      </c>
      <c r="I118" s="244" t="s">
        <v>153</v>
      </c>
      <c r="J118" s="244" t="s">
        <v>38</v>
      </c>
      <c r="K118" s="244" t="s">
        <v>154</v>
      </c>
      <c r="L118" s="236">
        <v>3</v>
      </c>
      <c r="N118" s="236">
        <v>1</v>
      </c>
      <c r="O118" s="244">
        <v>0.75</v>
      </c>
      <c r="P118" s="244">
        <v>0.8</v>
      </c>
      <c r="Q118" s="247">
        <f t="shared" si="5"/>
        <v>0.77500000000000002</v>
      </c>
      <c r="R118" s="244">
        <v>15.2</v>
      </c>
      <c r="S118" s="244">
        <v>125</v>
      </c>
      <c r="T118" s="248">
        <f t="shared" si="9"/>
        <v>27</v>
      </c>
      <c r="U118" s="236">
        <v>137</v>
      </c>
      <c r="V118" s="249">
        <f t="shared" si="6"/>
        <v>3699</v>
      </c>
      <c r="W118" s="236">
        <v>1</v>
      </c>
      <c r="X118" s="244" t="s">
        <v>39</v>
      </c>
      <c r="Y118" s="244" t="s">
        <v>78</v>
      </c>
      <c r="Z118" s="244" t="s">
        <v>69</v>
      </c>
      <c r="AA118" s="244" t="s">
        <v>84</v>
      </c>
      <c r="AB118" s="244" t="s">
        <v>348</v>
      </c>
    </row>
    <row r="119" spans="1:28" x14ac:dyDescent="0.15">
      <c r="A119" s="244" t="s">
        <v>41</v>
      </c>
      <c r="B119" s="236" t="s">
        <v>346</v>
      </c>
      <c r="C119" s="245">
        <v>2018</v>
      </c>
      <c r="D119" s="246" t="s">
        <v>367</v>
      </c>
      <c r="E119" s="236" t="s">
        <v>177</v>
      </c>
      <c r="F119" s="236" t="s">
        <v>310</v>
      </c>
      <c r="G119" s="244" t="s">
        <v>42</v>
      </c>
      <c r="H119" s="244" t="s">
        <v>155</v>
      </c>
      <c r="I119" s="244" t="s">
        <v>153</v>
      </c>
      <c r="J119" s="244" t="s">
        <v>38</v>
      </c>
      <c r="K119" s="244" t="s">
        <v>154</v>
      </c>
      <c r="L119" s="236">
        <v>1</v>
      </c>
      <c r="N119" s="236">
        <v>1</v>
      </c>
      <c r="O119" s="244">
        <v>0.35</v>
      </c>
      <c r="P119" s="244">
        <v>0.35</v>
      </c>
      <c r="Q119" s="247">
        <f t="shared" si="5"/>
        <v>0.35</v>
      </c>
      <c r="R119" s="244">
        <v>16.2</v>
      </c>
      <c r="S119" s="244">
        <v>130</v>
      </c>
      <c r="T119" s="248">
        <f t="shared" si="9"/>
        <v>25</v>
      </c>
      <c r="U119" s="236">
        <v>137</v>
      </c>
      <c r="V119" s="249">
        <f t="shared" si="6"/>
        <v>3425</v>
      </c>
      <c r="W119" s="236">
        <v>1</v>
      </c>
      <c r="X119" s="244" t="s">
        <v>39</v>
      </c>
      <c r="Y119" s="244" t="s">
        <v>78</v>
      </c>
      <c r="Z119" s="244" t="s">
        <v>69</v>
      </c>
      <c r="AA119" s="244" t="s">
        <v>84</v>
      </c>
      <c r="AB119" s="244" t="s">
        <v>348</v>
      </c>
    </row>
    <row r="120" spans="1:28" x14ac:dyDescent="0.15">
      <c r="A120" s="244" t="s">
        <v>41</v>
      </c>
      <c r="B120" s="236" t="s">
        <v>346</v>
      </c>
      <c r="C120" s="245">
        <v>2018</v>
      </c>
      <c r="D120" s="246" t="s">
        <v>367</v>
      </c>
      <c r="E120" s="236" t="s">
        <v>177</v>
      </c>
      <c r="F120" s="236" t="s">
        <v>310</v>
      </c>
      <c r="G120" s="244" t="s">
        <v>42</v>
      </c>
      <c r="H120" s="244" t="s">
        <v>155</v>
      </c>
      <c r="I120" s="244" t="s">
        <v>153</v>
      </c>
      <c r="J120" s="244" t="s">
        <v>38</v>
      </c>
      <c r="K120" s="244" t="s">
        <v>154</v>
      </c>
      <c r="L120" s="236">
        <v>2</v>
      </c>
      <c r="N120" s="236">
        <v>1</v>
      </c>
      <c r="O120" s="244">
        <v>0.3</v>
      </c>
      <c r="P120" s="244">
        <v>0.45</v>
      </c>
      <c r="Q120" s="247">
        <f t="shared" si="5"/>
        <v>0.375</v>
      </c>
      <c r="R120" s="244">
        <v>14</v>
      </c>
      <c r="S120" s="244">
        <v>127</v>
      </c>
      <c r="T120" s="248">
        <f t="shared" si="9"/>
        <v>27</v>
      </c>
      <c r="U120" s="236">
        <v>137</v>
      </c>
      <c r="V120" s="249">
        <f t="shared" si="6"/>
        <v>3699</v>
      </c>
      <c r="W120" s="236">
        <v>1</v>
      </c>
      <c r="X120" s="244" t="s">
        <v>39</v>
      </c>
      <c r="Y120" s="244" t="s">
        <v>78</v>
      </c>
      <c r="Z120" s="244" t="s">
        <v>69</v>
      </c>
      <c r="AA120" s="244" t="s">
        <v>84</v>
      </c>
      <c r="AB120" s="244" t="s">
        <v>348</v>
      </c>
    </row>
    <row r="121" spans="1:28" x14ac:dyDescent="0.15">
      <c r="A121" s="244" t="s">
        <v>41</v>
      </c>
      <c r="B121" s="236" t="s">
        <v>346</v>
      </c>
      <c r="C121" s="245">
        <v>2018</v>
      </c>
      <c r="D121" s="246" t="s">
        <v>367</v>
      </c>
      <c r="E121" s="236" t="s">
        <v>177</v>
      </c>
      <c r="F121" s="236" t="s">
        <v>310</v>
      </c>
      <c r="G121" s="244" t="s">
        <v>42</v>
      </c>
      <c r="H121" s="244" t="s">
        <v>155</v>
      </c>
      <c r="I121" s="244" t="s">
        <v>153</v>
      </c>
      <c r="J121" s="244" t="s">
        <v>38</v>
      </c>
      <c r="K121" s="244" t="s">
        <v>154</v>
      </c>
      <c r="L121" s="236">
        <v>3</v>
      </c>
      <c r="N121" s="236">
        <v>1</v>
      </c>
      <c r="O121" s="244">
        <v>0.35</v>
      </c>
      <c r="P121" s="244">
        <v>0.4</v>
      </c>
      <c r="Q121" s="247">
        <f t="shared" si="5"/>
        <v>0.375</v>
      </c>
      <c r="R121" s="244">
        <v>14.7</v>
      </c>
      <c r="S121" s="244">
        <v>125</v>
      </c>
      <c r="T121" s="248">
        <f t="shared" si="9"/>
        <v>27</v>
      </c>
      <c r="U121" s="236">
        <v>137</v>
      </c>
      <c r="V121" s="249">
        <f t="shared" si="6"/>
        <v>3699</v>
      </c>
      <c r="W121" s="236">
        <v>1</v>
      </c>
      <c r="X121" s="244" t="s">
        <v>39</v>
      </c>
      <c r="Y121" s="244" t="s">
        <v>78</v>
      </c>
      <c r="Z121" s="244" t="s">
        <v>69</v>
      </c>
      <c r="AA121" s="244" t="s">
        <v>84</v>
      </c>
      <c r="AB121" s="244" t="s">
        <v>348</v>
      </c>
    </row>
    <row r="122" spans="1:28" x14ac:dyDescent="0.15">
      <c r="A122" s="244" t="s">
        <v>41</v>
      </c>
      <c r="B122" s="236" t="s">
        <v>346</v>
      </c>
      <c r="C122" s="245">
        <v>2018</v>
      </c>
      <c r="D122" s="246" t="s">
        <v>367</v>
      </c>
      <c r="E122" s="236" t="s">
        <v>177</v>
      </c>
      <c r="F122" s="236" t="s">
        <v>310</v>
      </c>
      <c r="G122" s="244" t="s">
        <v>42</v>
      </c>
      <c r="H122" s="244" t="s">
        <v>168</v>
      </c>
      <c r="I122" s="244" t="s">
        <v>153</v>
      </c>
      <c r="J122" s="244" t="s">
        <v>38</v>
      </c>
      <c r="K122" s="244" t="s">
        <v>154</v>
      </c>
      <c r="L122" s="236">
        <v>1</v>
      </c>
      <c r="N122" s="236">
        <v>4</v>
      </c>
      <c r="O122" s="244">
        <v>0.7</v>
      </c>
      <c r="P122" s="244">
        <v>0.75</v>
      </c>
      <c r="Q122" s="247">
        <f t="shared" si="5"/>
        <v>0.72499999999999998</v>
      </c>
      <c r="R122" s="244">
        <v>15.1</v>
      </c>
      <c r="S122" s="244">
        <v>120</v>
      </c>
      <c r="T122" s="248">
        <f t="shared" si="9"/>
        <v>30</v>
      </c>
      <c r="U122" s="236">
        <v>471</v>
      </c>
      <c r="V122" s="249">
        <f t="shared" si="6"/>
        <v>3532.5</v>
      </c>
      <c r="W122" s="236">
        <v>1</v>
      </c>
      <c r="X122" s="244" t="s">
        <v>39</v>
      </c>
      <c r="Y122" s="244" t="s">
        <v>78</v>
      </c>
      <c r="Z122" s="244" t="s">
        <v>69</v>
      </c>
      <c r="AA122" s="244" t="s">
        <v>84</v>
      </c>
      <c r="AB122" s="244" t="s">
        <v>348</v>
      </c>
    </row>
    <row r="123" spans="1:28" x14ac:dyDescent="0.15">
      <c r="A123" s="244" t="s">
        <v>41</v>
      </c>
      <c r="B123" s="236" t="s">
        <v>346</v>
      </c>
      <c r="C123" s="245">
        <v>2018</v>
      </c>
      <c r="D123" s="246" t="s">
        <v>367</v>
      </c>
      <c r="E123" s="236" t="s">
        <v>177</v>
      </c>
      <c r="F123" s="236" t="s">
        <v>310</v>
      </c>
      <c r="G123" s="244" t="s">
        <v>42</v>
      </c>
      <c r="H123" s="244" t="s">
        <v>168</v>
      </c>
      <c r="I123" s="244" t="s">
        <v>153</v>
      </c>
      <c r="J123" s="244" t="s">
        <v>38</v>
      </c>
      <c r="K123" s="244" t="s">
        <v>154</v>
      </c>
      <c r="L123" s="236">
        <v>2</v>
      </c>
      <c r="N123" s="236">
        <v>4</v>
      </c>
      <c r="O123" s="244">
        <v>0.6</v>
      </c>
      <c r="P123" s="244">
        <v>0.55000000000000004</v>
      </c>
      <c r="Q123" s="247">
        <f t="shared" si="5"/>
        <v>0.57499999999999996</v>
      </c>
      <c r="R123" s="244">
        <v>13.8</v>
      </c>
      <c r="S123" s="244">
        <v>122</v>
      </c>
      <c r="T123" s="248">
        <f t="shared" si="9"/>
        <v>27</v>
      </c>
      <c r="U123" s="236">
        <v>471</v>
      </c>
      <c r="V123" s="249">
        <f t="shared" si="6"/>
        <v>3179.25</v>
      </c>
      <c r="W123" s="236">
        <v>1</v>
      </c>
      <c r="X123" s="244" t="s">
        <v>39</v>
      </c>
      <c r="Y123" s="244" t="s">
        <v>78</v>
      </c>
      <c r="Z123" s="244" t="s">
        <v>69</v>
      </c>
      <c r="AA123" s="244" t="s">
        <v>84</v>
      </c>
      <c r="AB123" s="244" t="s">
        <v>348</v>
      </c>
    </row>
    <row r="124" spans="1:28" x14ac:dyDescent="0.15">
      <c r="A124" s="244" t="s">
        <v>41</v>
      </c>
      <c r="B124" s="236" t="s">
        <v>346</v>
      </c>
      <c r="C124" s="245">
        <v>2018</v>
      </c>
      <c r="D124" s="246" t="s">
        <v>367</v>
      </c>
      <c r="E124" s="236" t="s">
        <v>177</v>
      </c>
      <c r="F124" s="236" t="s">
        <v>310</v>
      </c>
      <c r="G124" s="244" t="s">
        <v>42</v>
      </c>
      <c r="H124" s="244" t="s">
        <v>168</v>
      </c>
      <c r="I124" s="244" t="s">
        <v>153</v>
      </c>
      <c r="J124" s="244" t="s">
        <v>38</v>
      </c>
      <c r="K124" s="244" t="s">
        <v>154</v>
      </c>
      <c r="L124" s="236">
        <v>3</v>
      </c>
      <c r="N124" s="236">
        <v>4</v>
      </c>
      <c r="O124" s="244">
        <v>0.6</v>
      </c>
      <c r="P124" s="244">
        <v>0.5</v>
      </c>
      <c r="Q124" s="247">
        <f t="shared" si="5"/>
        <v>0.55000000000000004</v>
      </c>
      <c r="R124" s="244">
        <v>14.7</v>
      </c>
      <c r="S124" s="244">
        <v>120</v>
      </c>
      <c r="T124" s="248">
        <f t="shared" si="9"/>
        <v>30</v>
      </c>
      <c r="U124" s="236">
        <v>471</v>
      </c>
      <c r="V124" s="249">
        <f t="shared" si="6"/>
        <v>3532.5</v>
      </c>
      <c r="W124" s="236">
        <v>1</v>
      </c>
      <c r="X124" s="244" t="s">
        <v>39</v>
      </c>
      <c r="Y124" s="244" t="s">
        <v>78</v>
      </c>
      <c r="Z124" s="244" t="s">
        <v>69</v>
      </c>
      <c r="AA124" s="244" t="s">
        <v>84</v>
      </c>
      <c r="AB124" s="244" t="s">
        <v>348</v>
      </c>
    </row>
    <row r="125" spans="1:28" x14ac:dyDescent="0.15">
      <c r="A125" s="244" t="s">
        <v>41</v>
      </c>
      <c r="B125" s="236" t="s">
        <v>346</v>
      </c>
      <c r="C125" s="245">
        <v>2018</v>
      </c>
      <c r="D125" s="246" t="s">
        <v>367</v>
      </c>
      <c r="E125" s="236" t="s">
        <v>177</v>
      </c>
      <c r="F125" s="236" t="s">
        <v>310</v>
      </c>
      <c r="G125" s="244" t="s">
        <v>42</v>
      </c>
      <c r="H125" s="244" t="s">
        <v>155</v>
      </c>
      <c r="I125" s="244" t="s">
        <v>153</v>
      </c>
      <c r="J125" s="244" t="s">
        <v>38</v>
      </c>
      <c r="K125" s="244" t="s">
        <v>154</v>
      </c>
      <c r="L125" s="236">
        <v>1</v>
      </c>
      <c r="N125" s="236">
        <v>4</v>
      </c>
      <c r="O125" s="244">
        <v>0.25</v>
      </c>
      <c r="P125" s="244">
        <v>0.25</v>
      </c>
      <c r="Q125" s="247">
        <f t="shared" si="5"/>
        <v>0.25</v>
      </c>
      <c r="R125" s="244">
        <v>15.8</v>
      </c>
      <c r="S125" s="244">
        <v>119</v>
      </c>
      <c r="T125" s="248">
        <f t="shared" si="9"/>
        <v>30</v>
      </c>
      <c r="U125" s="236">
        <v>471</v>
      </c>
      <c r="V125" s="249">
        <f t="shared" si="6"/>
        <v>3532.5</v>
      </c>
      <c r="W125" s="236">
        <v>1</v>
      </c>
      <c r="X125" s="244" t="s">
        <v>39</v>
      </c>
      <c r="Y125" s="244" t="s">
        <v>78</v>
      </c>
      <c r="Z125" s="244" t="s">
        <v>69</v>
      </c>
      <c r="AA125" s="244" t="s">
        <v>84</v>
      </c>
      <c r="AB125" s="244" t="s">
        <v>348</v>
      </c>
    </row>
    <row r="126" spans="1:28" x14ac:dyDescent="0.15">
      <c r="A126" s="244" t="s">
        <v>41</v>
      </c>
      <c r="B126" s="236" t="s">
        <v>346</v>
      </c>
      <c r="C126" s="245">
        <v>2018</v>
      </c>
      <c r="D126" s="246" t="s">
        <v>367</v>
      </c>
      <c r="E126" s="236" t="s">
        <v>177</v>
      </c>
      <c r="F126" s="236" t="s">
        <v>310</v>
      </c>
      <c r="G126" s="244" t="s">
        <v>42</v>
      </c>
      <c r="H126" s="244" t="s">
        <v>155</v>
      </c>
      <c r="I126" s="244" t="s">
        <v>153</v>
      </c>
      <c r="J126" s="244" t="s">
        <v>38</v>
      </c>
      <c r="K126" s="244" t="s">
        <v>154</v>
      </c>
      <c r="L126" s="236">
        <v>2</v>
      </c>
      <c r="N126" s="236">
        <v>4</v>
      </c>
      <c r="O126" s="244">
        <v>0.25</v>
      </c>
      <c r="P126" s="244">
        <v>0.25</v>
      </c>
      <c r="Q126" s="247">
        <f t="shared" si="5"/>
        <v>0.25</v>
      </c>
      <c r="R126" s="244">
        <v>16.100000000000001</v>
      </c>
      <c r="S126" s="244">
        <v>120</v>
      </c>
      <c r="T126" s="248">
        <f t="shared" si="9"/>
        <v>30</v>
      </c>
      <c r="U126" s="236">
        <v>471</v>
      </c>
      <c r="V126" s="249">
        <f t="shared" si="6"/>
        <v>3532.5</v>
      </c>
      <c r="W126" s="236">
        <v>1</v>
      </c>
      <c r="X126" s="244" t="s">
        <v>39</v>
      </c>
      <c r="Y126" s="244" t="s">
        <v>78</v>
      </c>
      <c r="Z126" s="244" t="s">
        <v>69</v>
      </c>
      <c r="AA126" s="244" t="s">
        <v>84</v>
      </c>
      <c r="AB126" s="244" t="s">
        <v>348</v>
      </c>
    </row>
    <row r="127" spans="1:28" x14ac:dyDescent="0.15">
      <c r="A127" s="244" t="s">
        <v>41</v>
      </c>
      <c r="B127" s="236" t="s">
        <v>346</v>
      </c>
      <c r="C127" s="245">
        <v>2018</v>
      </c>
      <c r="D127" s="246" t="s">
        <v>367</v>
      </c>
      <c r="E127" s="236" t="s">
        <v>177</v>
      </c>
      <c r="F127" s="236" t="s">
        <v>310</v>
      </c>
      <c r="G127" s="244" t="s">
        <v>42</v>
      </c>
      <c r="H127" s="244" t="s">
        <v>155</v>
      </c>
      <c r="I127" s="244" t="s">
        <v>153</v>
      </c>
      <c r="J127" s="244" t="s">
        <v>38</v>
      </c>
      <c r="K127" s="244" t="s">
        <v>154</v>
      </c>
      <c r="L127" s="236">
        <v>3</v>
      </c>
      <c r="N127" s="236">
        <v>4</v>
      </c>
      <c r="O127" s="244">
        <v>0.25</v>
      </c>
      <c r="P127" s="244">
        <v>0.25</v>
      </c>
      <c r="Q127" s="247">
        <f t="shared" si="5"/>
        <v>0.25</v>
      </c>
      <c r="R127" s="244">
        <v>13.4</v>
      </c>
      <c r="S127" s="244">
        <v>121</v>
      </c>
      <c r="T127" s="248">
        <f t="shared" si="9"/>
        <v>27</v>
      </c>
      <c r="U127" s="236">
        <v>471</v>
      </c>
      <c r="V127" s="249">
        <f t="shared" si="6"/>
        <v>3179.25</v>
      </c>
      <c r="W127" s="236">
        <v>1</v>
      </c>
      <c r="X127" s="244" t="s">
        <v>39</v>
      </c>
      <c r="Y127" s="244" t="s">
        <v>78</v>
      </c>
      <c r="Z127" s="244" t="s">
        <v>69</v>
      </c>
      <c r="AA127" s="244" t="s">
        <v>84</v>
      </c>
      <c r="AB127" s="244" t="s">
        <v>348</v>
      </c>
    </row>
    <row r="128" spans="1:28" x14ac:dyDescent="0.15">
      <c r="A128" s="244" t="s">
        <v>41</v>
      </c>
      <c r="B128" s="236" t="s">
        <v>346</v>
      </c>
      <c r="C128" s="245">
        <v>2018</v>
      </c>
      <c r="D128" s="246" t="s">
        <v>367</v>
      </c>
      <c r="E128" s="236" t="s">
        <v>301</v>
      </c>
      <c r="F128" s="236" t="s">
        <v>306</v>
      </c>
      <c r="G128" s="244" t="s">
        <v>42</v>
      </c>
      <c r="H128" s="244" t="s">
        <v>168</v>
      </c>
      <c r="I128" s="244" t="s">
        <v>153</v>
      </c>
      <c r="J128" s="244" t="s">
        <v>38</v>
      </c>
      <c r="K128" s="244" t="s">
        <v>154</v>
      </c>
      <c r="L128" s="236">
        <v>1</v>
      </c>
      <c r="N128" s="236">
        <v>1</v>
      </c>
      <c r="O128" s="244">
        <v>0.3</v>
      </c>
      <c r="P128" s="244">
        <v>0.2</v>
      </c>
      <c r="Q128" s="247">
        <f t="shared" si="5"/>
        <v>0.25</v>
      </c>
      <c r="R128" s="244">
        <v>12.8</v>
      </c>
      <c r="S128" s="244">
        <v>117</v>
      </c>
      <c r="T128" s="248">
        <f t="shared" si="9"/>
        <v>30</v>
      </c>
      <c r="U128" s="236">
        <v>104</v>
      </c>
      <c r="V128" s="249">
        <f t="shared" si="6"/>
        <v>3120</v>
      </c>
      <c r="W128" s="236">
        <v>2</v>
      </c>
      <c r="X128" s="244" t="s">
        <v>46</v>
      </c>
      <c r="Y128" s="244" t="s">
        <v>102</v>
      </c>
      <c r="Z128" s="244" t="s">
        <v>78</v>
      </c>
      <c r="AA128" s="244" t="s">
        <v>69</v>
      </c>
      <c r="AB128" s="244" t="s">
        <v>348</v>
      </c>
    </row>
    <row r="129" spans="1:28" x14ac:dyDescent="0.15">
      <c r="A129" s="244" t="s">
        <v>41</v>
      </c>
      <c r="B129" s="236" t="s">
        <v>346</v>
      </c>
      <c r="C129" s="245">
        <v>2018</v>
      </c>
      <c r="D129" s="246" t="s">
        <v>367</v>
      </c>
      <c r="E129" s="236" t="s">
        <v>301</v>
      </c>
      <c r="F129" s="236" t="s">
        <v>306</v>
      </c>
      <c r="G129" s="244" t="s">
        <v>42</v>
      </c>
      <c r="H129" s="244" t="s">
        <v>168</v>
      </c>
      <c r="I129" s="244" t="s">
        <v>153</v>
      </c>
      <c r="J129" s="244" t="s">
        <v>38</v>
      </c>
      <c r="K129" s="244" t="s">
        <v>154</v>
      </c>
      <c r="L129" s="236">
        <v>1</v>
      </c>
      <c r="N129" s="236">
        <v>1</v>
      </c>
      <c r="O129" s="244">
        <v>0.4</v>
      </c>
      <c r="P129" s="244">
        <v>0.3</v>
      </c>
      <c r="Q129" s="247">
        <f t="shared" si="5"/>
        <v>0.35</v>
      </c>
      <c r="R129" s="244">
        <v>14.8</v>
      </c>
      <c r="S129" s="244">
        <v>115</v>
      </c>
      <c r="T129" s="248">
        <f t="shared" si="9"/>
        <v>30</v>
      </c>
      <c r="U129" s="236">
        <v>104</v>
      </c>
      <c r="V129" s="249">
        <f t="shared" si="6"/>
        <v>3120</v>
      </c>
      <c r="W129" s="236">
        <v>2</v>
      </c>
      <c r="X129" s="244" t="s">
        <v>46</v>
      </c>
      <c r="Y129" s="244" t="s">
        <v>102</v>
      </c>
      <c r="Z129" s="244" t="s">
        <v>78</v>
      </c>
      <c r="AA129" s="244" t="s">
        <v>69</v>
      </c>
      <c r="AB129" s="244" t="s">
        <v>348</v>
      </c>
    </row>
    <row r="130" spans="1:28" x14ac:dyDescent="0.15">
      <c r="A130" s="244" t="s">
        <v>41</v>
      </c>
      <c r="B130" s="236" t="s">
        <v>346</v>
      </c>
      <c r="C130" s="245">
        <v>2018</v>
      </c>
      <c r="D130" s="246" t="s">
        <v>367</v>
      </c>
      <c r="E130" s="236" t="s">
        <v>301</v>
      </c>
      <c r="F130" s="236" t="s">
        <v>306</v>
      </c>
      <c r="G130" s="244" t="s">
        <v>42</v>
      </c>
      <c r="H130" s="244" t="s">
        <v>168</v>
      </c>
      <c r="I130" s="244" t="s">
        <v>153</v>
      </c>
      <c r="J130" s="244" t="s">
        <v>38</v>
      </c>
      <c r="K130" s="244" t="s">
        <v>154</v>
      </c>
      <c r="L130" s="236">
        <v>1</v>
      </c>
      <c r="N130" s="236">
        <v>1</v>
      </c>
      <c r="O130" s="244">
        <v>0.3</v>
      </c>
      <c r="P130" s="244">
        <v>0.35</v>
      </c>
      <c r="Q130" s="247">
        <f t="shared" si="5"/>
        <v>0.32499999999999996</v>
      </c>
      <c r="R130" s="244">
        <v>15.4</v>
      </c>
      <c r="S130" s="244">
        <v>115</v>
      </c>
      <c r="T130" s="248">
        <f t="shared" si="9"/>
        <v>30</v>
      </c>
      <c r="U130" s="236">
        <v>104</v>
      </c>
      <c r="V130" s="249">
        <f t="shared" si="6"/>
        <v>3120</v>
      </c>
      <c r="W130" s="236">
        <v>2</v>
      </c>
      <c r="X130" s="244" t="s">
        <v>46</v>
      </c>
      <c r="Y130" s="244" t="s">
        <v>102</v>
      </c>
      <c r="Z130" s="244" t="s">
        <v>78</v>
      </c>
      <c r="AA130" s="244" t="s">
        <v>69</v>
      </c>
      <c r="AB130" s="244" t="s">
        <v>348</v>
      </c>
    </row>
    <row r="131" spans="1:28" x14ac:dyDescent="0.15">
      <c r="A131" s="244" t="s">
        <v>41</v>
      </c>
      <c r="B131" s="236" t="s">
        <v>346</v>
      </c>
      <c r="C131" s="245">
        <v>2018</v>
      </c>
      <c r="D131" s="246" t="s">
        <v>367</v>
      </c>
      <c r="E131" s="236" t="s">
        <v>301</v>
      </c>
      <c r="F131" s="236" t="s">
        <v>306</v>
      </c>
      <c r="G131" s="244" t="s">
        <v>42</v>
      </c>
      <c r="H131" s="244" t="s">
        <v>155</v>
      </c>
      <c r="I131" s="244" t="s">
        <v>153</v>
      </c>
      <c r="J131" s="244" t="s">
        <v>38</v>
      </c>
      <c r="K131" s="244" t="s">
        <v>154</v>
      </c>
      <c r="L131" s="236">
        <v>1</v>
      </c>
      <c r="N131" s="236">
        <v>1</v>
      </c>
      <c r="O131" s="244">
        <v>1</v>
      </c>
      <c r="P131" s="244">
        <v>0.9</v>
      </c>
      <c r="Q131" s="247">
        <f t="shared" si="5"/>
        <v>0.95</v>
      </c>
      <c r="R131" s="244">
        <v>12.8</v>
      </c>
      <c r="S131" s="244">
        <v>114</v>
      </c>
      <c r="T131" s="248">
        <f t="shared" si="9"/>
        <v>30</v>
      </c>
      <c r="U131" s="236">
        <v>104</v>
      </c>
      <c r="V131" s="249">
        <f t="shared" si="6"/>
        <v>3120</v>
      </c>
      <c r="W131" s="236">
        <v>2</v>
      </c>
      <c r="X131" s="244" t="s">
        <v>46</v>
      </c>
      <c r="Y131" s="244" t="s">
        <v>102</v>
      </c>
      <c r="Z131" s="244" t="s">
        <v>78</v>
      </c>
      <c r="AA131" s="244" t="s">
        <v>69</v>
      </c>
      <c r="AB131" s="244" t="s">
        <v>348</v>
      </c>
    </row>
    <row r="132" spans="1:28" x14ac:dyDescent="0.15">
      <c r="A132" s="244" t="s">
        <v>41</v>
      </c>
      <c r="B132" s="236" t="s">
        <v>346</v>
      </c>
      <c r="C132" s="245">
        <v>2018</v>
      </c>
      <c r="D132" s="246" t="s">
        <v>367</v>
      </c>
      <c r="E132" s="236" t="s">
        <v>301</v>
      </c>
      <c r="F132" s="236" t="s">
        <v>306</v>
      </c>
      <c r="G132" s="244" t="s">
        <v>42</v>
      </c>
      <c r="H132" s="244" t="s">
        <v>155</v>
      </c>
      <c r="I132" s="244" t="s">
        <v>153</v>
      </c>
      <c r="J132" s="244" t="s">
        <v>38</v>
      </c>
      <c r="K132" s="244" t="s">
        <v>154</v>
      </c>
      <c r="L132" s="236">
        <v>1</v>
      </c>
      <c r="N132" s="236">
        <v>1</v>
      </c>
      <c r="O132" s="244">
        <v>1.2</v>
      </c>
      <c r="P132" s="244">
        <v>1.05</v>
      </c>
      <c r="Q132" s="247">
        <f t="shared" si="5"/>
        <v>1.125</v>
      </c>
      <c r="R132" s="244">
        <v>14.4</v>
      </c>
      <c r="S132" s="244">
        <v>112</v>
      </c>
      <c r="T132" s="248">
        <f t="shared" si="9"/>
        <v>33</v>
      </c>
      <c r="U132" s="236">
        <v>104</v>
      </c>
      <c r="V132" s="249">
        <f t="shared" si="6"/>
        <v>3432</v>
      </c>
      <c r="W132" s="236">
        <v>2</v>
      </c>
      <c r="X132" s="244" t="s">
        <v>46</v>
      </c>
      <c r="Y132" s="244" t="s">
        <v>102</v>
      </c>
      <c r="Z132" s="244" t="s">
        <v>78</v>
      </c>
      <c r="AA132" s="244" t="s">
        <v>69</v>
      </c>
      <c r="AB132" s="244" t="s">
        <v>348</v>
      </c>
    </row>
    <row r="133" spans="1:28" x14ac:dyDescent="0.15">
      <c r="A133" s="244" t="s">
        <v>41</v>
      </c>
      <c r="B133" s="236" t="s">
        <v>346</v>
      </c>
      <c r="C133" s="245">
        <v>2018</v>
      </c>
      <c r="D133" s="246" t="s">
        <v>367</v>
      </c>
      <c r="E133" s="236" t="s">
        <v>301</v>
      </c>
      <c r="F133" s="236" t="s">
        <v>306</v>
      </c>
      <c r="G133" s="244" t="s">
        <v>42</v>
      </c>
      <c r="H133" s="244" t="s">
        <v>155</v>
      </c>
      <c r="I133" s="244" t="s">
        <v>153</v>
      </c>
      <c r="J133" s="244" t="s">
        <v>38</v>
      </c>
      <c r="K133" s="244" t="s">
        <v>154</v>
      </c>
      <c r="L133" s="236">
        <v>1</v>
      </c>
      <c r="N133" s="236">
        <v>1</v>
      </c>
      <c r="O133" s="244">
        <v>1.05</v>
      </c>
      <c r="P133" s="244">
        <v>1</v>
      </c>
      <c r="Q133" s="247">
        <f t="shared" si="5"/>
        <v>1.0249999999999999</v>
      </c>
      <c r="R133" s="244">
        <v>14</v>
      </c>
      <c r="S133" s="244">
        <v>111</v>
      </c>
      <c r="T133" s="248">
        <f t="shared" si="9"/>
        <v>33</v>
      </c>
      <c r="U133" s="236">
        <v>104</v>
      </c>
      <c r="V133" s="249">
        <f t="shared" si="6"/>
        <v>3432</v>
      </c>
      <c r="W133" s="236">
        <v>2</v>
      </c>
      <c r="X133" s="244" t="s">
        <v>46</v>
      </c>
      <c r="Y133" s="244" t="s">
        <v>102</v>
      </c>
      <c r="Z133" s="244" t="s">
        <v>78</v>
      </c>
      <c r="AA133" s="244" t="s">
        <v>69</v>
      </c>
      <c r="AB133" s="244" t="s">
        <v>348</v>
      </c>
    </row>
    <row r="137" spans="1:28" x14ac:dyDescent="0.15">
      <c r="K137" s="244"/>
      <c r="Y137" s="244"/>
    </row>
    <row r="138" spans="1:28" x14ac:dyDescent="0.15">
      <c r="K138" s="244"/>
      <c r="Y138" s="244"/>
    </row>
    <row r="139" spans="1:28" x14ac:dyDescent="0.15">
      <c r="K139" s="244"/>
      <c r="Y139" s="244"/>
    </row>
    <row r="140" spans="1:28" x14ac:dyDescent="0.15">
      <c r="K140" s="244"/>
      <c r="Y140" s="244"/>
    </row>
    <row r="141" spans="1:28" x14ac:dyDescent="0.15">
      <c r="K141" s="244"/>
      <c r="Y141" s="244"/>
    </row>
    <row r="142" spans="1:28" x14ac:dyDescent="0.15">
      <c r="K142" s="244"/>
      <c r="Y142" s="244"/>
    </row>
    <row r="143" spans="1:28" x14ac:dyDescent="0.15">
      <c r="K143" s="244"/>
      <c r="Y143" s="244"/>
    </row>
    <row r="144" spans="1:28" x14ac:dyDescent="0.15">
      <c r="K144" s="244"/>
      <c r="Y144" s="244"/>
    </row>
    <row r="145" spans="25:25" x14ac:dyDescent="0.15">
      <c r="Y145" s="244"/>
    </row>
  </sheetData>
  <autoFilter ref="A1:BA136"/>
  <dataConsolidate/>
  <phoneticPr fontId="3"/>
  <dataValidations count="13">
    <dataValidation operator="equal" allowBlank="1" showInputMessage="1" showErrorMessage="1" sqref="B2:B133"/>
    <dataValidation type="decimal" allowBlank="1" showInputMessage="1" showErrorMessage="1" error="硬度を正しく入力して下さい。" sqref="O137:P328 O2:P133">
      <formula1>0</formula1>
      <formula2>7</formula2>
    </dataValidation>
    <dataValidation type="list" allowBlank="1" showInputMessage="1" showErrorMessage="1" sqref="Y137:AA1048576 Y1:AA133">
      <formula1>$AV$2:$AV$21</formula1>
    </dataValidation>
    <dataValidation type="list" allowBlank="1" showInputMessage="1" showErrorMessage="1" sqref="F137:F1048576 F1:F133">
      <formula1>$AH$2:$AH$11</formula1>
    </dataValidation>
    <dataValidation type="list" allowBlank="1" showInputMessage="1" showErrorMessage="1" sqref="E137:E1048576 E1:E133">
      <formula1>$AG$2:$AG$11</formula1>
    </dataValidation>
    <dataValidation type="list" allowBlank="1" showInputMessage="1" showErrorMessage="1" sqref="K137:K144 K2:K133">
      <formula1>$AR$2:$AR$23</formula1>
    </dataValidation>
    <dataValidation type="list" allowBlank="1" showInputMessage="1" showErrorMessage="1" sqref="J137:J328 J2:J133">
      <formula1>$AP$2:$AP$19</formula1>
    </dataValidation>
    <dataValidation type="list" allowBlank="1" showInputMessage="1" showErrorMessage="1" sqref="A137:A328 A2:A133">
      <formula1>$AE$2:$AE$16</formula1>
    </dataValidation>
    <dataValidation type="list" allowBlank="1" showInputMessage="1" showErrorMessage="1" sqref="X137:X328 X2:X133">
      <formula1>$AT$2:$AT$3</formula1>
    </dataValidation>
    <dataValidation type="list" allowBlank="1" showInputMessage="1" showErrorMessage="1" sqref="I137:I328 I2:I133">
      <formula1>$AN$5:$AN$6</formula1>
    </dataValidation>
    <dataValidation type="list" allowBlank="1" showInputMessage="1" showErrorMessage="1" sqref="G137:G328 G2:G133">
      <formula1>$AJ$2:$AJ$4</formula1>
    </dataValidation>
    <dataValidation type="list" allowBlank="1" showInputMessage="1" showErrorMessage="1" sqref="H137:H328 H2:H133">
      <formula1>$AL$2:$AL$8</formula1>
    </dataValidation>
    <dataValidation type="list" allowBlank="1" showInputMessage="1" showErrorMessage="1" sqref="K145:K328">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D2" sqref="D2"/>
    </sheetView>
  </sheetViews>
  <sheetFormatPr defaultRowHeight="13.5" x14ac:dyDescent="0.15"/>
  <cols>
    <col min="1" max="1" width="9" style="180"/>
    <col min="2" max="2" width="9" style="188"/>
    <col min="3" max="3" width="9" style="180"/>
    <col min="4" max="4" width="10.5" style="180" bestFit="1" customWidth="1"/>
    <col min="5" max="13" width="9" style="180"/>
    <col min="14" max="14" width="9.5" style="180" bestFit="1" customWidth="1"/>
    <col min="15" max="16" width="9" style="180"/>
    <col min="17" max="17" width="9" style="189"/>
    <col min="18" max="19" width="9" style="180"/>
    <col min="20" max="20" width="9" style="189"/>
    <col min="21" max="21" width="9" style="180"/>
    <col min="22" max="22" width="9" style="189"/>
    <col min="23" max="27" width="9" style="180"/>
    <col min="28" max="28" width="9" style="188"/>
    <col min="29" max="32" width="9" style="180"/>
    <col min="33" max="33" width="15.875" style="180" bestFit="1" customWidth="1"/>
    <col min="34" max="34" width="11.375" style="180" bestFit="1" customWidth="1"/>
    <col min="35" max="259" width="9" style="180"/>
    <col min="260" max="260" width="10.5" style="180" bestFit="1" customWidth="1"/>
    <col min="261" max="269" width="9" style="180"/>
    <col min="270" max="270" width="9.5" style="180" bestFit="1" customWidth="1"/>
    <col min="271" max="288" width="9" style="180"/>
    <col min="289" max="289" width="15.875" style="180" bestFit="1" customWidth="1"/>
    <col min="290" max="290" width="11.375" style="180" bestFit="1" customWidth="1"/>
    <col min="291" max="515" width="9" style="180"/>
    <col min="516" max="516" width="10.5" style="180" bestFit="1" customWidth="1"/>
    <col min="517" max="525" width="9" style="180"/>
    <col min="526" max="526" width="9.5" style="180" bestFit="1" customWidth="1"/>
    <col min="527" max="544" width="9" style="180"/>
    <col min="545" max="545" width="15.875" style="180" bestFit="1" customWidth="1"/>
    <col min="546" max="546" width="11.375" style="180" bestFit="1" customWidth="1"/>
    <col min="547" max="771" width="9" style="180"/>
    <col min="772" max="772" width="10.5" style="180" bestFit="1" customWidth="1"/>
    <col min="773" max="781" width="9" style="180"/>
    <col min="782" max="782" width="9.5" style="180" bestFit="1" customWidth="1"/>
    <col min="783" max="800" width="9" style="180"/>
    <col min="801" max="801" width="15.875" style="180" bestFit="1" customWidth="1"/>
    <col min="802" max="802" width="11.375" style="180" bestFit="1" customWidth="1"/>
    <col min="803" max="1027" width="9" style="180"/>
    <col min="1028" max="1028" width="10.5" style="180" bestFit="1" customWidth="1"/>
    <col min="1029" max="1037" width="9" style="180"/>
    <col min="1038" max="1038" width="9.5" style="180" bestFit="1" customWidth="1"/>
    <col min="1039" max="1056" width="9" style="180"/>
    <col min="1057" max="1057" width="15.875" style="180" bestFit="1" customWidth="1"/>
    <col min="1058" max="1058" width="11.375" style="180" bestFit="1" customWidth="1"/>
    <col min="1059" max="1283" width="9" style="180"/>
    <col min="1284" max="1284" width="10.5" style="180" bestFit="1" customWidth="1"/>
    <col min="1285" max="1293" width="9" style="180"/>
    <col min="1294" max="1294" width="9.5" style="180" bestFit="1" customWidth="1"/>
    <col min="1295" max="1312" width="9" style="180"/>
    <col min="1313" max="1313" width="15.875" style="180" bestFit="1" customWidth="1"/>
    <col min="1314" max="1314" width="11.375" style="180" bestFit="1" customWidth="1"/>
    <col min="1315" max="1539" width="9" style="180"/>
    <col min="1540" max="1540" width="10.5" style="180" bestFit="1" customWidth="1"/>
    <col min="1541" max="1549" width="9" style="180"/>
    <col min="1550" max="1550" width="9.5" style="180" bestFit="1" customWidth="1"/>
    <col min="1551" max="1568" width="9" style="180"/>
    <col min="1569" max="1569" width="15.875" style="180" bestFit="1" customWidth="1"/>
    <col min="1570" max="1570" width="11.375" style="180" bestFit="1" customWidth="1"/>
    <col min="1571" max="1795" width="9" style="180"/>
    <col min="1796" max="1796" width="10.5" style="180" bestFit="1" customWidth="1"/>
    <col min="1797" max="1805" width="9" style="180"/>
    <col min="1806" max="1806" width="9.5" style="180" bestFit="1" customWidth="1"/>
    <col min="1807" max="1824" width="9" style="180"/>
    <col min="1825" max="1825" width="15.875" style="180" bestFit="1" customWidth="1"/>
    <col min="1826" max="1826" width="11.375" style="180" bestFit="1" customWidth="1"/>
    <col min="1827" max="2051" width="9" style="180"/>
    <col min="2052" max="2052" width="10.5" style="180" bestFit="1" customWidth="1"/>
    <col min="2053" max="2061" width="9" style="180"/>
    <col min="2062" max="2062" width="9.5" style="180" bestFit="1" customWidth="1"/>
    <col min="2063" max="2080" width="9" style="180"/>
    <col min="2081" max="2081" width="15.875" style="180" bestFit="1" customWidth="1"/>
    <col min="2082" max="2082" width="11.375" style="180" bestFit="1" customWidth="1"/>
    <col min="2083" max="2307" width="9" style="180"/>
    <col min="2308" max="2308" width="10.5" style="180" bestFit="1" customWidth="1"/>
    <col min="2309" max="2317" width="9" style="180"/>
    <col min="2318" max="2318" width="9.5" style="180" bestFit="1" customWidth="1"/>
    <col min="2319" max="2336" width="9" style="180"/>
    <col min="2337" max="2337" width="15.875" style="180" bestFit="1" customWidth="1"/>
    <col min="2338" max="2338" width="11.375" style="180" bestFit="1" customWidth="1"/>
    <col min="2339" max="2563" width="9" style="180"/>
    <col min="2564" max="2564" width="10.5" style="180" bestFit="1" customWidth="1"/>
    <col min="2565" max="2573" width="9" style="180"/>
    <col min="2574" max="2574" width="9.5" style="180" bestFit="1" customWidth="1"/>
    <col min="2575" max="2592" width="9" style="180"/>
    <col min="2593" max="2593" width="15.875" style="180" bestFit="1" customWidth="1"/>
    <col min="2594" max="2594" width="11.375" style="180" bestFit="1" customWidth="1"/>
    <col min="2595" max="2819" width="9" style="180"/>
    <col min="2820" max="2820" width="10.5" style="180" bestFit="1" customWidth="1"/>
    <col min="2821" max="2829" width="9" style="180"/>
    <col min="2830" max="2830" width="9.5" style="180" bestFit="1" customWidth="1"/>
    <col min="2831" max="2848" width="9" style="180"/>
    <col min="2849" max="2849" width="15.875" style="180" bestFit="1" customWidth="1"/>
    <col min="2850" max="2850" width="11.375" style="180" bestFit="1" customWidth="1"/>
    <col min="2851" max="3075" width="9" style="180"/>
    <col min="3076" max="3076" width="10.5" style="180" bestFit="1" customWidth="1"/>
    <col min="3077" max="3085" width="9" style="180"/>
    <col min="3086" max="3086" width="9.5" style="180" bestFit="1" customWidth="1"/>
    <col min="3087" max="3104" width="9" style="180"/>
    <col min="3105" max="3105" width="15.875" style="180" bestFit="1" customWidth="1"/>
    <col min="3106" max="3106" width="11.375" style="180" bestFit="1" customWidth="1"/>
    <col min="3107" max="3331" width="9" style="180"/>
    <col min="3332" max="3332" width="10.5" style="180" bestFit="1" customWidth="1"/>
    <col min="3333" max="3341" width="9" style="180"/>
    <col min="3342" max="3342" width="9.5" style="180" bestFit="1" customWidth="1"/>
    <col min="3343" max="3360" width="9" style="180"/>
    <col min="3361" max="3361" width="15.875" style="180" bestFit="1" customWidth="1"/>
    <col min="3362" max="3362" width="11.375" style="180" bestFit="1" customWidth="1"/>
    <col min="3363" max="3587" width="9" style="180"/>
    <col min="3588" max="3588" width="10.5" style="180" bestFit="1" customWidth="1"/>
    <col min="3589" max="3597" width="9" style="180"/>
    <col min="3598" max="3598" width="9.5" style="180" bestFit="1" customWidth="1"/>
    <col min="3599" max="3616" width="9" style="180"/>
    <col min="3617" max="3617" width="15.875" style="180" bestFit="1" customWidth="1"/>
    <col min="3618" max="3618" width="11.375" style="180" bestFit="1" customWidth="1"/>
    <col min="3619" max="3843" width="9" style="180"/>
    <col min="3844" max="3844" width="10.5" style="180" bestFit="1" customWidth="1"/>
    <col min="3845" max="3853" width="9" style="180"/>
    <col min="3854" max="3854" width="9.5" style="180" bestFit="1" customWidth="1"/>
    <col min="3855" max="3872" width="9" style="180"/>
    <col min="3873" max="3873" width="15.875" style="180" bestFit="1" customWidth="1"/>
    <col min="3874" max="3874" width="11.375" style="180" bestFit="1" customWidth="1"/>
    <col min="3875" max="4099" width="9" style="180"/>
    <col min="4100" max="4100" width="10.5" style="180" bestFit="1" customWidth="1"/>
    <col min="4101" max="4109" width="9" style="180"/>
    <col min="4110" max="4110" width="9.5" style="180" bestFit="1" customWidth="1"/>
    <col min="4111" max="4128" width="9" style="180"/>
    <col min="4129" max="4129" width="15.875" style="180" bestFit="1" customWidth="1"/>
    <col min="4130" max="4130" width="11.375" style="180" bestFit="1" customWidth="1"/>
    <col min="4131" max="4355" width="9" style="180"/>
    <col min="4356" max="4356" width="10.5" style="180" bestFit="1" customWidth="1"/>
    <col min="4357" max="4365" width="9" style="180"/>
    <col min="4366" max="4366" width="9.5" style="180" bestFit="1" customWidth="1"/>
    <col min="4367" max="4384" width="9" style="180"/>
    <col min="4385" max="4385" width="15.875" style="180" bestFit="1" customWidth="1"/>
    <col min="4386" max="4386" width="11.375" style="180" bestFit="1" customWidth="1"/>
    <col min="4387" max="4611" width="9" style="180"/>
    <col min="4612" max="4612" width="10.5" style="180" bestFit="1" customWidth="1"/>
    <col min="4613" max="4621" width="9" style="180"/>
    <col min="4622" max="4622" width="9.5" style="180" bestFit="1" customWidth="1"/>
    <col min="4623" max="4640" width="9" style="180"/>
    <col min="4641" max="4641" width="15.875" style="180" bestFit="1" customWidth="1"/>
    <col min="4642" max="4642" width="11.375" style="180" bestFit="1" customWidth="1"/>
    <col min="4643" max="4867" width="9" style="180"/>
    <col min="4868" max="4868" width="10.5" style="180" bestFit="1" customWidth="1"/>
    <col min="4869" max="4877" width="9" style="180"/>
    <col min="4878" max="4878" width="9.5" style="180" bestFit="1" customWidth="1"/>
    <col min="4879" max="4896" width="9" style="180"/>
    <col min="4897" max="4897" width="15.875" style="180" bestFit="1" customWidth="1"/>
    <col min="4898" max="4898" width="11.375" style="180" bestFit="1" customWidth="1"/>
    <col min="4899" max="5123" width="9" style="180"/>
    <col min="5124" max="5124" width="10.5" style="180" bestFit="1" customWidth="1"/>
    <col min="5125" max="5133" width="9" style="180"/>
    <col min="5134" max="5134" width="9.5" style="180" bestFit="1" customWidth="1"/>
    <col min="5135" max="5152" width="9" style="180"/>
    <col min="5153" max="5153" width="15.875" style="180" bestFit="1" customWidth="1"/>
    <col min="5154" max="5154" width="11.375" style="180" bestFit="1" customWidth="1"/>
    <col min="5155" max="5379" width="9" style="180"/>
    <col min="5380" max="5380" width="10.5" style="180" bestFit="1" customWidth="1"/>
    <col min="5381" max="5389" width="9" style="180"/>
    <col min="5390" max="5390" width="9.5" style="180" bestFit="1" customWidth="1"/>
    <col min="5391" max="5408" width="9" style="180"/>
    <col min="5409" max="5409" width="15.875" style="180" bestFit="1" customWidth="1"/>
    <col min="5410" max="5410" width="11.375" style="180" bestFit="1" customWidth="1"/>
    <col min="5411" max="5635" width="9" style="180"/>
    <col min="5636" max="5636" width="10.5" style="180" bestFit="1" customWidth="1"/>
    <col min="5637" max="5645" width="9" style="180"/>
    <col min="5646" max="5646" width="9.5" style="180" bestFit="1" customWidth="1"/>
    <col min="5647" max="5664" width="9" style="180"/>
    <col min="5665" max="5665" width="15.875" style="180" bestFit="1" customWidth="1"/>
    <col min="5666" max="5666" width="11.375" style="180" bestFit="1" customWidth="1"/>
    <col min="5667" max="5891" width="9" style="180"/>
    <col min="5892" max="5892" width="10.5" style="180" bestFit="1" customWidth="1"/>
    <col min="5893" max="5901" width="9" style="180"/>
    <col min="5902" max="5902" width="9.5" style="180" bestFit="1" customWidth="1"/>
    <col min="5903" max="5920" width="9" style="180"/>
    <col min="5921" max="5921" width="15.875" style="180" bestFit="1" customWidth="1"/>
    <col min="5922" max="5922" width="11.375" style="180" bestFit="1" customWidth="1"/>
    <col min="5923" max="6147" width="9" style="180"/>
    <col min="6148" max="6148" width="10.5" style="180" bestFit="1" customWidth="1"/>
    <col min="6149" max="6157" width="9" style="180"/>
    <col min="6158" max="6158" width="9.5" style="180" bestFit="1" customWidth="1"/>
    <col min="6159" max="6176" width="9" style="180"/>
    <col min="6177" max="6177" width="15.875" style="180" bestFit="1" customWidth="1"/>
    <col min="6178" max="6178" width="11.375" style="180" bestFit="1" customWidth="1"/>
    <col min="6179" max="6403" width="9" style="180"/>
    <col min="6404" max="6404" width="10.5" style="180" bestFit="1" customWidth="1"/>
    <col min="6405" max="6413" width="9" style="180"/>
    <col min="6414" max="6414" width="9.5" style="180" bestFit="1" customWidth="1"/>
    <col min="6415" max="6432" width="9" style="180"/>
    <col min="6433" max="6433" width="15.875" style="180" bestFit="1" customWidth="1"/>
    <col min="6434" max="6434" width="11.375" style="180" bestFit="1" customWidth="1"/>
    <col min="6435" max="6659" width="9" style="180"/>
    <col min="6660" max="6660" width="10.5" style="180" bestFit="1" customWidth="1"/>
    <col min="6661" max="6669" width="9" style="180"/>
    <col min="6670" max="6670" width="9.5" style="180" bestFit="1" customWidth="1"/>
    <col min="6671" max="6688" width="9" style="180"/>
    <col min="6689" max="6689" width="15.875" style="180" bestFit="1" customWidth="1"/>
    <col min="6690" max="6690" width="11.375" style="180" bestFit="1" customWidth="1"/>
    <col min="6691" max="6915" width="9" style="180"/>
    <col min="6916" max="6916" width="10.5" style="180" bestFit="1" customWidth="1"/>
    <col min="6917" max="6925" width="9" style="180"/>
    <col min="6926" max="6926" width="9.5" style="180" bestFit="1" customWidth="1"/>
    <col min="6927" max="6944" width="9" style="180"/>
    <col min="6945" max="6945" width="15.875" style="180" bestFit="1" customWidth="1"/>
    <col min="6946" max="6946" width="11.375" style="180" bestFit="1" customWidth="1"/>
    <col min="6947" max="7171" width="9" style="180"/>
    <col min="7172" max="7172" width="10.5" style="180" bestFit="1" customWidth="1"/>
    <col min="7173" max="7181" width="9" style="180"/>
    <col min="7182" max="7182" width="9.5" style="180" bestFit="1" customWidth="1"/>
    <col min="7183" max="7200" width="9" style="180"/>
    <col min="7201" max="7201" width="15.875" style="180" bestFit="1" customWidth="1"/>
    <col min="7202" max="7202" width="11.375" style="180" bestFit="1" customWidth="1"/>
    <col min="7203" max="7427" width="9" style="180"/>
    <col min="7428" max="7428" width="10.5" style="180" bestFit="1" customWidth="1"/>
    <col min="7429" max="7437" width="9" style="180"/>
    <col min="7438" max="7438" width="9.5" style="180" bestFit="1" customWidth="1"/>
    <col min="7439" max="7456" width="9" style="180"/>
    <col min="7457" max="7457" width="15.875" style="180" bestFit="1" customWidth="1"/>
    <col min="7458" max="7458" width="11.375" style="180" bestFit="1" customWidth="1"/>
    <col min="7459" max="7683" width="9" style="180"/>
    <col min="7684" max="7684" width="10.5" style="180" bestFit="1" customWidth="1"/>
    <col min="7685" max="7693" width="9" style="180"/>
    <col min="7694" max="7694" width="9.5" style="180" bestFit="1" customWidth="1"/>
    <col min="7695" max="7712" width="9" style="180"/>
    <col min="7713" max="7713" width="15.875" style="180" bestFit="1" customWidth="1"/>
    <col min="7714" max="7714" width="11.375" style="180" bestFit="1" customWidth="1"/>
    <col min="7715" max="7939" width="9" style="180"/>
    <col min="7940" max="7940" width="10.5" style="180" bestFit="1" customWidth="1"/>
    <col min="7941" max="7949" width="9" style="180"/>
    <col min="7950" max="7950" width="9.5" style="180" bestFit="1" customWidth="1"/>
    <col min="7951" max="7968" width="9" style="180"/>
    <col min="7969" max="7969" width="15.875" style="180" bestFit="1" customWidth="1"/>
    <col min="7970" max="7970" width="11.375" style="180" bestFit="1" customWidth="1"/>
    <col min="7971" max="8195" width="9" style="180"/>
    <col min="8196" max="8196" width="10.5" style="180" bestFit="1" customWidth="1"/>
    <col min="8197" max="8205" width="9" style="180"/>
    <col min="8206" max="8206" width="9.5" style="180" bestFit="1" customWidth="1"/>
    <col min="8207" max="8224" width="9" style="180"/>
    <col min="8225" max="8225" width="15.875" style="180" bestFit="1" customWidth="1"/>
    <col min="8226" max="8226" width="11.375" style="180" bestFit="1" customWidth="1"/>
    <col min="8227" max="8451" width="9" style="180"/>
    <col min="8452" max="8452" width="10.5" style="180" bestFit="1" customWidth="1"/>
    <col min="8453" max="8461" width="9" style="180"/>
    <col min="8462" max="8462" width="9.5" style="180" bestFit="1" customWidth="1"/>
    <col min="8463" max="8480" width="9" style="180"/>
    <col min="8481" max="8481" width="15.875" style="180" bestFit="1" customWidth="1"/>
    <col min="8482" max="8482" width="11.375" style="180" bestFit="1" customWidth="1"/>
    <col min="8483" max="8707" width="9" style="180"/>
    <col min="8708" max="8708" width="10.5" style="180" bestFit="1" customWidth="1"/>
    <col min="8709" max="8717" width="9" style="180"/>
    <col min="8718" max="8718" width="9.5" style="180" bestFit="1" customWidth="1"/>
    <col min="8719" max="8736" width="9" style="180"/>
    <col min="8737" max="8737" width="15.875" style="180" bestFit="1" customWidth="1"/>
    <col min="8738" max="8738" width="11.375" style="180" bestFit="1" customWidth="1"/>
    <col min="8739" max="8963" width="9" style="180"/>
    <col min="8964" max="8964" width="10.5" style="180" bestFit="1" customWidth="1"/>
    <col min="8965" max="8973" width="9" style="180"/>
    <col min="8974" max="8974" width="9.5" style="180" bestFit="1" customWidth="1"/>
    <col min="8975" max="8992" width="9" style="180"/>
    <col min="8993" max="8993" width="15.875" style="180" bestFit="1" customWidth="1"/>
    <col min="8994" max="8994" width="11.375" style="180" bestFit="1" customWidth="1"/>
    <col min="8995" max="9219" width="9" style="180"/>
    <col min="9220" max="9220" width="10.5" style="180" bestFit="1" customWidth="1"/>
    <col min="9221" max="9229" width="9" style="180"/>
    <col min="9230" max="9230" width="9.5" style="180" bestFit="1" customWidth="1"/>
    <col min="9231" max="9248" width="9" style="180"/>
    <col min="9249" max="9249" width="15.875" style="180" bestFit="1" customWidth="1"/>
    <col min="9250" max="9250" width="11.375" style="180" bestFit="1" customWidth="1"/>
    <col min="9251" max="9475" width="9" style="180"/>
    <col min="9476" max="9476" width="10.5" style="180" bestFit="1" customWidth="1"/>
    <col min="9477" max="9485" width="9" style="180"/>
    <col min="9486" max="9486" width="9.5" style="180" bestFit="1" customWidth="1"/>
    <col min="9487" max="9504" width="9" style="180"/>
    <col min="9505" max="9505" width="15.875" style="180" bestFit="1" customWidth="1"/>
    <col min="9506" max="9506" width="11.375" style="180" bestFit="1" customWidth="1"/>
    <col min="9507" max="9731" width="9" style="180"/>
    <col min="9732" max="9732" width="10.5" style="180" bestFit="1" customWidth="1"/>
    <col min="9733" max="9741" width="9" style="180"/>
    <col min="9742" max="9742" width="9.5" style="180" bestFit="1" customWidth="1"/>
    <col min="9743" max="9760" width="9" style="180"/>
    <col min="9761" max="9761" width="15.875" style="180" bestFit="1" customWidth="1"/>
    <col min="9762" max="9762" width="11.375" style="180" bestFit="1" customWidth="1"/>
    <col min="9763" max="9987" width="9" style="180"/>
    <col min="9988" max="9988" width="10.5" style="180" bestFit="1" customWidth="1"/>
    <col min="9989" max="9997" width="9" style="180"/>
    <col min="9998" max="9998" width="9.5" style="180" bestFit="1" customWidth="1"/>
    <col min="9999" max="10016" width="9" style="180"/>
    <col min="10017" max="10017" width="15.875" style="180" bestFit="1" customWidth="1"/>
    <col min="10018" max="10018" width="11.375" style="180" bestFit="1" customWidth="1"/>
    <col min="10019" max="10243" width="9" style="180"/>
    <col min="10244" max="10244" width="10.5" style="180" bestFit="1" customWidth="1"/>
    <col min="10245" max="10253" width="9" style="180"/>
    <col min="10254" max="10254" width="9.5" style="180" bestFit="1" customWidth="1"/>
    <col min="10255" max="10272" width="9" style="180"/>
    <col min="10273" max="10273" width="15.875" style="180" bestFit="1" customWidth="1"/>
    <col min="10274" max="10274" width="11.375" style="180" bestFit="1" customWidth="1"/>
    <col min="10275" max="10499" width="9" style="180"/>
    <col min="10500" max="10500" width="10.5" style="180" bestFit="1" customWidth="1"/>
    <col min="10501" max="10509" width="9" style="180"/>
    <col min="10510" max="10510" width="9.5" style="180" bestFit="1" customWidth="1"/>
    <col min="10511" max="10528" width="9" style="180"/>
    <col min="10529" max="10529" width="15.875" style="180" bestFit="1" customWidth="1"/>
    <col min="10530" max="10530" width="11.375" style="180" bestFit="1" customWidth="1"/>
    <col min="10531" max="10755" width="9" style="180"/>
    <col min="10756" max="10756" width="10.5" style="180" bestFit="1" customWidth="1"/>
    <col min="10757" max="10765" width="9" style="180"/>
    <col min="10766" max="10766" width="9.5" style="180" bestFit="1" customWidth="1"/>
    <col min="10767" max="10784" width="9" style="180"/>
    <col min="10785" max="10785" width="15.875" style="180" bestFit="1" customWidth="1"/>
    <col min="10786" max="10786" width="11.375" style="180" bestFit="1" customWidth="1"/>
    <col min="10787" max="11011" width="9" style="180"/>
    <col min="11012" max="11012" width="10.5" style="180" bestFit="1" customWidth="1"/>
    <col min="11013" max="11021" width="9" style="180"/>
    <col min="11022" max="11022" width="9.5" style="180" bestFit="1" customWidth="1"/>
    <col min="11023" max="11040" width="9" style="180"/>
    <col min="11041" max="11041" width="15.875" style="180" bestFit="1" customWidth="1"/>
    <col min="11042" max="11042" width="11.375" style="180" bestFit="1" customWidth="1"/>
    <col min="11043" max="11267" width="9" style="180"/>
    <col min="11268" max="11268" width="10.5" style="180" bestFit="1" customWidth="1"/>
    <col min="11269" max="11277" width="9" style="180"/>
    <col min="11278" max="11278" width="9.5" style="180" bestFit="1" customWidth="1"/>
    <col min="11279" max="11296" width="9" style="180"/>
    <col min="11297" max="11297" width="15.875" style="180" bestFit="1" customWidth="1"/>
    <col min="11298" max="11298" width="11.375" style="180" bestFit="1" customWidth="1"/>
    <col min="11299" max="11523" width="9" style="180"/>
    <col min="11524" max="11524" width="10.5" style="180" bestFit="1" customWidth="1"/>
    <col min="11525" max="11533" width="9" style="180"/>
    <col min="11534" max="11534" width="9.5" style="180" bestFit="1" customWidth="1"/>
    <col min="11535" max="11552" width="9" style="180"/>
    <col min="11553" max="11553" width="15.875" style="180" bestFit="1" customWidth="1"/>
    <col min="11554" max="11554" width="11.375" style="180" bestFit="1" customWidth="1"/>
    <col min="11555" max="11779" width="9" style="180"/>
    <col min="11780" max="11780" width="10.5" style="180" bestFit="1" customWidth="1"/>
    <col min="11781" max="11789" width="9" style="180"/>
    <col min="11790" max="11790" width="9.5" style="180" bestFit="1" customWidth="1"/>
    <col min="11791" max="11808" width="9" style="180"/>
    <col min="11809" max="11809" width="15.875" style="180" bestFit="1" customWidth="1"/>
    <col min="11810" max="11810" width="11.375" style="180" bestFit="1" customWidth="1"/>
    <col min="11811" max="12035" width="9" style="180"/>
    <col min="12036" max="12036" width="10.5" style="180" bestFit="1" customWidth="1"/>
    <col min="12037" max="12045" width="9" style="180"/>
    <col min="12046" max="12046" width="9.5" style="180" bestFit="1" customWidth="1"/>
    <col min="12047" max="12064" width="9" style="180"/>
    <col min="12065" max="12065" width="15.875" style="180" bestFit="1" customWidth="1"/>
    <col min="12066" max="12066" width="11.375" style="180" bestFit="1" customWidth="1"/>
    <col min="12067" max="12291" width="9" style="180"/>
    <col min="12292" max="12292" width="10.5" style="180" bestFit="1" customWidth="1"/>
    <col min="12293" max="12301" width="9" style="180"/>
    <col min="12302" max="12302" width="9.5" style="180" bestFit="1" customWidth="1"/>
    <col min="12303" max="12320" width="9" style="180"/>
    <col min="12321" max="12321" width="15.875" style="180" bestFit="1" customWidth="1"/>
    <col min="12322" max="12322" width="11.375" style="180" bestFit="1" customWidth="1"/>
    <col min="12323" max="12547" width="9" style="180"/>
    <col min="12548" max="12548" width="10.5" style="180" bestFit="1" customWidth="1"/>
    <col min="12549" max="12557" width="9" style="180"/>
    <col min="12558" max="12558" width="9.5" style="180" bestFit="1" customWidth="1"/>
    <col min="12559" max="12576" width="9" style="180"/>
    <col min="12577" max="12577" width="15.875" style="180" bestFit="1" customWidth="1"/>
    <col min="12578" max="12578" width="11.375" style="180" bestFit="1" customWidth="1"/>
    <col min="12579" max="12803" width="9" style="180"/>
    <col min="12804" max="12804" width="10.5" style="180" bestFit="1" customWidth="1"/>
    <col min="12805" max="12813" width="9" style="180"/>
    <col min="12814" max="12814" width="9.5" style="180" bestFit="1" customWidth="1"/>
    <col min="12815" max="12832" width="9" style="180"/>
    <col min="12833" max="12833" width="15.875" style="180" bestFit="1" customWidth="1"/>
    <col min="12834" max="12834" width="11.375" style="180" bestFit="1" customWidth="1"/>
    <col min="12835" max="13059" width="9" style="180"/>
    <col min="13060" max="13060" width="10.5" style="180" bestFit="1" customWidth="1"/>
    <col min="13061" max="13069" width="9" style="180"/>
    <col min="13070" max="13070" width="9.5" style="180" bestFit="1" customWidth="1"/>
    <col min="13071" max="13088" width="9" style="180"/>
    <col min="13089" max="13089" width="15.875" style="180" bestFit="1" customWidth="1"/>
    <col min="13090" max="13090" width="11.375" style="180" bestFit="1" customWidth="1"/>
    <col min="13091" max="13315" width="9" style="180"/>
    <col min="13316" max="13316" width="10.5" style="180" bestFit="1" customWidth="1"/>
    <col min="13317" max="13325" width="9" style="180"/>
    <col min="13326" max="13326" width="9.5" style="180" bestFit="1" customWidth="1"/>
    <col min="13327" max="13344" width="9" style="180"/>
    <col min="13345" max="13345" width="15.875" style="180" bestFit="1" customWidth="1"/>
    <col min="13346" max="13346" width="11.375" style="180" bestFit="1" customWidth="1"/>
    <col min="13347" max="13571" width="9" style="180"/>
    <col min="13572" max="13572" width="10.5" style="180" bestFit="1" customWidth="1"/>
    <col min="13573" max="13581" width="9" style="180"/>
    <col min="13582" max="13582" width="9.5" style="180" bestFit="1" customWidth="1"/>
    <col min="13583" max="13600" width="9" style="180"/>
    <col min="13601" max="13601" width="15.875" style="180" bestFit="1" customWidth="1"/>
    <col min="13602" max="13602" width="11.375" style="180" bestFit="1" customWidth="1"/>
    <col min="13603" max="13827" width="9" style="180"/>
    <col min="13828" max="13828" width="10.5" style="180" bestFit="1" customWidth="1"/>
    <col min="13829" max="13837" width="9" style="180"/>
    <col min="13838" max="13838" width="9.5" style="180" bestFit="1" customWidth="1"/>
    <col min="13839" max="13856" width="9" style="180"/>
    <col min="13857" max="13857" width="15.875" style="180" bestFit="1" customWidth="1"/>
    <col min="13858" max="13858" width="11.375" style="180" bestFit="1" customWidth="1"/>
    <col min="13859" max="14083" width="9" style="180"/>
    <col min="14084" max="14084" width="10.5" style="180" bestFit="1" customWidth="1"/>
    <col min="14085" max="14093" width="9" style="180"/>
    <col min="14094" max="14094" width="9.5" style="180" bestFit="1" customWidth="1"/>
    <col min="14095" max="14112" width="9" style="180"/>
    <col min="14113" max="14113" width="15.875" style="180" bestFit="1" customWidth="1"/>
    <col min="14114" max="14114" width="11.375" style="180" bestFit="1" customWidth="1"/>
    <col min="14115" max="14339" width="9" style="180"/>
    <col min="14340" max="14340" width="10.5" style="180" bestFit="1" customWidth="1"/>
    <col min="14341" max="14349" width="9" style="180"/>
    <col min="14350" max="14350" width="9.5" style="180" bestFit="1" customWidth="1"/>
    <col min="14351" max="14368" width="9" style="180"/>
    <col min="14369" max="14369" width="15.875" style="180" bestFit="1" customWidth="1"/>
    <col min="14370" max="14370" width="11.375" style="180" bestFit="1" customWidth="1"/>
    <col min="14371" max="14595" width="9" style="180"/>
    <col min="14596" max="14596" width="10.5" style="180" bestFit="1" customWidth="1"/>
    <col min="14597" max="14605" width="9" style="180"/>
    <col min="14606" max="14606" width="9.5" style="180" bestFit="1" customWidth="1"/>
    <col min="14607" max="14624" width="9" style="180"/>
    <col min="14625" max="14625" width="15.875" style="180" bestFit="1" customWidth="1"/>
    <col min="14626" max="14626" width="11.375" style="180" bestFit="1" customWidth="1"/>
    <col min="14627" max="14851" width="9" style="180"/>
    <col min="14852" max="14852" width="10.5" style="180" bestFit="1" customWidth="1"/>
    <col min="14853" max="14861" width="9" style="180"/>
    <col min="14862" max="14862" width="9.5" style="180" bestFit="1" customWidth="1"/>
    <col min="14863" max="14880" width="9" style="180"/>
    <col min="14881" max="14881" width="15.875" style="180" bestFit="1" customWidth="1"/>
    <col min="14882" max="14882" width="11.375" style="180" bestFit="1" customWidth="1"/>
    <col min="14883" max="15107" width="9" style="180"/>
    <col min="15108" max="15108" width="10.5" style="180" bestFit="1" customWidth="1"/>
    <col min="15109" max="15117" width="9" style="180"/>
    <col min="15118" max="15118" width="9.5" style="180" bestFit="1" customWidth="1"/>
    <col min="15119" max="15136" width="9" style="180"/>
    <col min="15137" max="15137" width="15.875" style="180" bestFit="1" customWidth="1"/>
    <col min="15138" max="15138" width="11.375" style="180" bestFit="1" customWidth="1"/>
    <col min="15139" max="15363" width="9" style="180"/>
    <col min="15364" max="15364" width="10.5" style="180" bestFit="1" customWidth="1"/>
    <col min="15365" max="15373" width="9" style="180"/>
    <col min="15374" max="15374" width="9.5" style="180" bestFit="1" customWidth="1"/>
    <col min="15375" max="15392" width="9" style="180"/>
    <col min="15393" max="15393" width="15.875" style="180" bestFit="1" customWidth="1"/>
    <col min="15394" max="15394" width="11.375" style="180" bestFit="1" customWidth="1"/>
    <col min="15395" max="15619" width="9" style="180"/>
    <col min="15620" max="15620" width="10.5" style="180" bestFit="1" customWidth="1"/>
    <col min="15621" max="15629" width="9" style="180"/>
    <col min="15630" max="15630" width="9.5" style="180" bestFit="1" customWidth="1"/>
    <col min="15631" max="15648" width="9" style="180"/>
    <col min="15649" max="15649" width="15.875" style="180" bestFit="1" customWidth="1"/>
    <col min="15650" max="15650" width="11.375" style="180" bestFit="1" customWidth="1"/>
    <col min="15651" max="15875" width="9" style="180"/>
    <col min="15876" max="15876" width="10.5" style="180" bestFit="1" customWidth="1"/>
    <col min="15877" max="15885" width="9" style="180"/>
    <col min="15886" max="15886" width="9.5" style="180" bestFit="1" customWidth="1"/>
    <col min="15887" max="15904" width="9" style="180"/>
    <col min="15905" max="15905" width="15.875" style="180" bestFit="1" customWidth="1"/>
    <col min="15906" max="15906" width="11.375" style="180" bestFit="1" customWidth="1"/>
    <col min="15907" max="16131" width="9" style="180"/>
    <col min="16132" max="16132" width="10.5" style="180" bestFit="1" customWidth="1"/>
    <col min="16133" max="16141" width="9" style="180"/>
    <col min="16142" max="16142" width="9.5" style="180" bestFit="1" customWidth="1"/>
    <col min="16143" max="16160" width="9" style="180"/>
    <col min="16161" max="16161" width="15.875" style="180" bestFit="1" customWidth="1"/>
    <col min="16162" max="16162" width="11.375" style="180" bestFit="1" customWidth="1"/>
    <col min="16163" max="16384" width="9" style="180"/>
  </cols>
  <sheetData>
    <row r="1" spans="1:53" ht="45" x14ac:dyDescent="0.15">
      <c r="A1" s="55" t="s">
        <v>0</v>
      </c>
      <c r="B1" s="174" t="s">
        <v>1</v>
      </c>
      <c r="C1" s="174" t="s">
        <v>157</v>
      </c>
      <c r="D1" s="175" t="s">
        <v>3</v>
      </c>
      <c r="E1" s="56" t="s">
        <v>4</v>
      </c>
      <c r="F1" s="56" t="s">
        <v>5</v>
      </c>
      <c r="G1" s="56" t="s">
        <v>6</v>
      </c>
      <c r="H1" s="56" t="s">
        <v>7</v>
      </c>
      <c r="I1" s="56" t="s">
        <v>8</v>
      </c>
      <c r="J1" s="56" t="s">
        <v>9</v>
      </c>
      <c r="K1" s="56" t="s">
        <v>10</v>
      </c>
      <c r="L1" s="175" t="s">
        <v>158</v>
      </c>
      <c r="M1" s="175" t="s">
        <v>12</v>
      </c>
      <c r="N1" s="175" t="s">
        <v>13</v>
      </c>
      <c r="O1" s="175" t="s">
        <v>14</v>
      </c>
      <c r="P1" s="175" t="s">
        <v>159</v>
      </c>
      <c r="Q1" s="176" t="s">
        <v>16</v>
      </c>
      <c r="R1" s="175" t="s">
        <v>160</v>
      </c>
      <c r="S1" s="175" t="s">
        <v>161</v>
      </c>
      <c r="T1" s="176" t="s">
        <v>19</v>
      </c>
      <c r="U1" s="177" t="s">
        <v>108</v>
      </c>
      <c r="V1" s="178" t="s">
        <v>20</v>
      </c>
      <c r="W1" s="175" t="s">
        <v>21</v>
      </c>
      <c r="X1" s="56" t="s">
        <v>22</v>
      </c>
      <c r="Y1" s="56" t="s">
        <v>23</v>
      </c>
      <c r="Z1" s="56" t="s">
        <v>24</v>
      </c>
      <c r="AA1" s="57" t="s">
        <v>25</v>
      </c>
      <c r="AB1" s="179" t="s">
        <v>162</v>
      </c>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163</v>
      </c>
      <c r="AY1" s="186" t="s">
        <v>164</v>
      </c>
      <c r="AZ1" s="186" t="s">
        <v>165</v>
      </c>
      <c r="BA1" s="187" t="s">
        <v>166</v>
      </c>
    </row>
    <row r="2" spans="1:53" s="188" customFormat="1" x14ac:dyDescent="0.15">
      <c r="A2" s="53" t="s">
        <v>56</v>
      </c>
      <c r="B2" s="53" t="s">
        <v>347</v>
      </c>
      <c r="C2" s="188">
        <v>2018</v>
      </c>
      <c r="D2" s="58" t="s">
        <v>372</v>
      </c>
      <c r="E2" s="188" t="s">
        <v>373</v>
      </c>
      <c r="F2" s="188" t="s">
        <v>178</v>
      </c>
      <c r="G2" s="53" t="s">
        <v>42</v>
      </c>
      <c r="H2" s="188" t="s">
        <v>155</v>
      </c>
      <c r="I2" s="53" t="s">
        <v>153</v>
      </c>
      <c r="J2" s="188" t="s">
        <v>38</v>
      </c>
      <c r="K2" s="188" t="s">
        <v>154</v>
      </c>
      <c r="L2" s="188">
        <v>1</v>
      </c>
      <c r="N2" s="180">
        <v>1</v>
      </c>
      <c r="O2" s="188">
        <v>0.85</v>
      </c>
      <c r="P2" s="180">
        <v>0.8</v>
      </c>
      <c r="Q2" s="217">
        <f>IF(OR(O2="",P2=""),"",AVERAGE(O2,P2))</f>
        <v>0.82499999999999996</v>
      </c>
      <c r="R2" s="188">
        <v>13.2</v>
      </c>
      <c r="S2" s="188">
        <v>137</v>
      </c>
      <c r="T2" s="189">
        <f>IF(H2="","",IF(OR(H2="GREEN",H2="GK"),IF(S2&gt;=$AX$2,VLOOKUP(S2,$AX$2:$AY$10,2,1),""),IF(S2&gt;=$AZ$2,VLOOKUP(S2,$AZ$2:$BA$10,2,1),"")))</f>
        <v>25</v>
      </c>
      <c r="U2" s="188">
        <v>84</v>
      </c>
      <c r="V2" s="189">
        <f>IF(OR(N2="",U2="",T2=""),"",U2/N2*T2)</f>
        <v>2100</v>
      </c>
      <c r="W2" s="188">
        <v>4</v>
      </c>
      <c r="X2" s="53" t="s">
        <v>46</v>
      </c>
      <c r="Y2" s="53" t="s">
        <v>102</v>
      </c>
      <c r="Z2" s="188" t="s">
        <v>90</v>
      </c>
      <c r="AA2" s="53" t="s">
        <v>55</v>
      </c>
      <c r="AE2" s="190" t="s">
        <v>35</v>
      </c>
      <c r="AG2" s="203" t="s">
        <v>179</v>
      </c>
      <c r="AH2" s="59" t="s">
        <v>178</v>
      </c>
      <c r="AJ2" s="191" t="s">
        <v>36</v>
      </c>
      <c r="AL2" s="191" t="s">
        <v>127</v>
      </c>
      <c r="AN2" s="191" t="s">
        <v>37</v>
      </c>
      <c r="AP2" s="191" t="s">
        <v>38</v>
      </c>
      <c r="AR2" s="191" t="s">
        <v>120</v>
      </c>
      <c r="AT2" s="191" t="s">
        <v>39</v>
      </c>
      <c r="AV2" s="191" t="s">
        <v>40</v>
      </c>
      <c r="AX2" s="192">
        <v>1</v>
      </c>
      <c r="AY2" s="193">
        <v>50</v>
      </c>
      <c r="AZ2" s="193">
        <v>1</v>
      </c>
      <c r="BA2" s="194">
        <v>50</v>
      </c>
    </row>
    <row r="3" spans="1:53" x14ac:dyDescent="0.15">
      <c r="A3" s="53" t="s">
        <v>56</v>
      </c>
      <c r="B3" s="53" t="s">
        <v>347</v>
      </c>
      <c r="C3" s="188">
        <v>2018</v>
      </c>
      <c r="D3" s="58" t="s">
        <v>372</v>
      </c>
      <c r="E3" s="188" t="s">
        <v>373</v>
      </c>
      <c r="F3" s="188" t="s">
        <v>178</v>
      </c>
      <c r="G3" s="53" t="s">
        <v>42</v>
      </c>
      <c r="H3" s="188" t="s">
        <v>155</v>
      </c>
      <c r="I3" s="53" t="s">
        <v>153</v>
      </c>
      <c r="J3" s="188" t="s">
        <v>38</v>
      </c>
      <c r="K3" s="188" t="s">
        <v>154</v>
      </c>
      <c r="L3" s="180">
        <v>2</v>
      </c>
      <c r="N3" s="180">
        <v>1</v>
      </c>
      <c r="O3" s="180">
        <v>0.7</v>
      </c>
      <c r="P3" s="180">
        <v>0.75</v>
      </c>
      <c r="Q3" s="217">
        <f>IF(OR(O3="",P3=""),"",AVERAGE(O3,P3))</f>
        <v>0.72499999999999998</v>
      </c>
      <c r="R3" s="180">
        <v>13.1</v>
      </c>
      <c r="S3" s="180">
        <v>133</v>
      </c>
      <c r="T3" s="189">
        <f>IF(H3="","",IF(OR(H3="GREEN",H3="GK"),IF(S3&gt;=$AX$2,VLOOKUP(S3,$AX$2:$AY$10,2,1),""),IF(S3&gt;=$AZ$2,VLOOKUP(S3,$AZ$2:$BA$10,2,1),"")))</f>
        <v>25</v>
      </c>
      <c r="U3" s="180">
        <v>84</v>
      </c>
      <c r="V3" s="189">
        <f>IF(OR(N3="",U3="",T3=""),"",U3/N3*T3)</f>
        <v>2100</v>
      </c>
      <c r="W3" s="180">
        <v>4</v>
      </c>
      <c r="X3" s="53" t="s">
        <v>46</v>
      </c>
      <c r="Y3" s="53" t="s">
        <v>102</v>
      </c>
      <c r="Z3" s="188" t="s">
        <v>90</v>
      </c>
      <c r="AA3" s="53" t="s">
        <v>55</v>
      </c>
      <c r="AE3" s="195" t="s">
        <v>41</v>
      </c>
      <c r="AG3" s="203" t="s">
        <v>179</v>
      </c>
      <c r="AH3" s="59" t="s">
        <v>180</v>
      </c>
      <c r="AJ3" s="196" t="s">
        <v>42</v>
      </c>
      <c r="AL3" s="196" t="s">
        <v>128</v>
      </c>
      <c r="AN3" s="196" t="s">
        <v>43</v>
      </c>
      <c r="AP3" s="196" t="s">
        <v>44</v>
      </c>
      <c r="AR3" s="210" t="s">
        <v>45</v>
      </c>
      <c r="AT3" s="196" t="s">
        <v>46</v>
      </c>
      <c r="AV3" s="196" t="s">
        <v>47</v>
      </c>
      <c r="AX3" s="197">
        <v>72</v>
      </c>
      <c r="AY3" s="198">
        <v>46</v>
      </c>
      <c r="AZ3" s="198">
        <v>71</v>
      </c>
      <c r="BA3" s="199">
        <v>42</v>
      </c>
    </row>
    <row r="4" spans="1:53" x14ac:dyDescent="0.15">
      <c r="A4" s="53" t="s">
        <v>56</v>
      </c>
      <c r="B4" s="53" t="s">
        <v>347</v>
      </c>
      <c r="C4" s="188">
        <v>2018</v>
      </c>
      <c r="D4" s="58" t="s">
        <v>372</v>
      </c>
      <c r="E4" s="188" t="s">
        <v>373</v>
      </c>
      <c r="F4" s="188" t="s">
        <v>178</v>
      </c>
      <c r="G4" s="53" t="s">
        <v>42</v>
      </c>
      <c r="H4" s="188" t="s">
        <v>155</v>
      </c>
      <c r="I4" s="53" t="s">
        <v>153</v>
      </c>
      <c r="J4" s="188" t="s">
        <v>38</v>
      </c>
      <c r="K4" s="188" t="s">
        <v>154</v>
      </c>
      <c r="L4" s="180">
        <v>3</v>
      </c>
      <c r="N4" s="180">
        <v>1</v>
      </c>
      <c r="O4" s="180">
        <v>1</v>
      </c>
      <c r="P4" s="180">
        <v>0.9</v>
      </c>
      <c r="Q4" s="217">
        <f>IF(OR(O4="",P4=""),"",AVERAGE(O4,P4))</f>
        <v>0.95</v>
      </c>
      <c r="R4" s="180">
        <v>13.4</v>
      </c>
      <c r="S4" s="180">
        <v>149</v>
      </c>
      <c r="T4" s="189">
        <f>IF(H4="","",IF(OR(H4="GREEN",H4="GK"),IF(S4&gt;=$AX$2,VLOOKUP(S4,$AX$2:$AY$10,2,1),""),IF(S4&gt;=$AZ$2,VLOOKUP(S4,$AZ$2:$BA$10,2,1),"")))</f>
        <v>22</v>
      </c>
      <c r="U4" s="180">
        <v>84</v>
      </c>
      <c r="V4" s="189">
        <f>IF(OR(N4="",U4="",T4=""),"",U4/N4*T4)</f>
        <v>1848</v>
      </c>
      <c r="W4" s="180">
        <v>4</v>
      </c>
      <c r="X4" s="53" t="s">
        <v>46</v>
      </c>
      <c r="Y4" s="53" t="s">
        <v>102</v>
      </c>
      <c r="Z4" s="188" t="s">
        <v>90</v>
      </c>
      <c r="AA4" s="53" t="s">
        <v>55</v>
      </c>
      <c r="AE4" s="195" t="s">
        <v>34</v>
      </c>
      <c r="AG4" s="203" t="s">
        <v>181</v>
      </c>
      <c r="AH4" s="59" t="s">
        <v>182</v>
      </c>
      <c r="AJ4" s="200" t="s">
        <v>48</v>
      </c>
      <c r="AL4" s="200" t="s">
        <v>183</v>
      </c>
      <c r="AN4" s="201" t="s">
        <v>49</v>
      </c>
      <c r="AP4" s="196" t="s">
        <v>167</v>
      </c>
      <c r="AR4" s="210" t="s">
        <v>121</v>
      </c>
      <c r="AT4" s="201"/>
      <c r="AV4" s="196" t="s">
        <v>50</v>
      </c>
      <c r="AX4" s="197">
        <v>75</v>
      </c>
      <c r="AY4" s="198">
        <v>42</v>
      </c>
      <c r="AZ4" s="198">
        <v>76</v>
      </c>
      <c r="BA4" s="199">
        <v>39</v>
      </c>
    </row>
    <row r="5" spans="1:53" x14ac:dyDescent="0.15">
      <c r="A5" s="53" t="s">
        <v>56</v>
      </c>
      <c r="B5" s="53" t="s">
        <v>347</v>
      </c>
      <c r="C5" s="188">
        <v>2018</v>
      </c>
      <c r="D5" s="58" t="s">
        <v>372</v>
      </c>
      <c r="E5" s="188" t="s">
        <v>373</v>
      </c>
      <c r="F5" s="188" t="s">
        <v>178</v>
      </c>
      <c r="G5" s="53" t="s">
        <v>42</v>
      </c>
      <c r="H5" s="188" t="s">
        <v>168</v>
      </c>
      <c r="I5" s="53" t="s">
        <v>153</v>
      </c>
      <c r="J5" s="188" t="s">
        <v>38</v>
      </c>
      <c r="K5" s="188" t="s">
        <v>154</v>
      </c>
      <c r="L5" s="180">
        <v>1</v>
      </c>
      <c r="N5" s="180">
        <v>1</v>
      </c>
      <c r="O5" s="180">
        <v>0.6</v>
      </c>
      <c r="P5" s="180">
        <v>0.6</v>
      </c>
      <c r="Q5" s="217">
        <f t="shared" ref="Q5:Q61" si="0">IF(OR(O5="",P5=""),"",AVERAGE(O5,P5))</f>
        <v>0.6</v>
      </c>
      <c r="R5" s="180">
        <v>16.3</v>
      </c>
      <c r="S5" s="180">
        <v>136</v>
      </c>
      <c r="T5" s="189">
        <f t="shared" ref="T5:T61" si="1">IF(H5="","",IF(OR(H5="GREEN",H5="GK"),IF(S5&gt;=$AX$2,VLOOKUP(S5,$AX$2:$AY$10,2,1),""),IF(S5&gt;=$AZ$2,VLOOKUP(S5,$AZ$2:$BA$10,2,1),"")))</f>
        <v>25</v>
      </c>
      <c r="U5" s="180">
        <v>138</v>
      </c>
      <c r="V5" s="189">
        <f t="shared" ref="V5:V61" si="2">IF(OR(N5="",U5="",T5=""),"",U5/N5*T5)</f>
        <v>3450</v>
      </c>
      <c r="W5" s="180">
        <v>2</v>
      </c>
      <c r="X5" s="53" t="s">
        <v>46</v>
      </c>
      <c r="Y5" s="53" t="s">
        <v>102</v>
      </c>
      <c r="Z5" s="188" t="s">
        <v>90</v>
      </c>
      <c r="AA5" s="53" t="s">
        <v>55</v>
      </c>
      <c r="AE5" s="195" t="s">
        <v>51</v>
      </c>
      <c r="AG5" s="203" t="s">
        <v>184</v>
      </c>
      <c r="AH5" s="59" t="s">
        <v>185</v>
      </c>
      <c r="AJ5" s="201"/>
      <c r="AL5" s="202" t="s">
        <v>170</v>
      </c>
      <c r="AN5" s="202" t="s">
        <v>171</v>
      </c>
      <c r="AP5" s="196" t="s">
        <v>186</v>
      </c>
      <c r="AR5" s="210" t="s">
        <v>54</v>
      </c>
      <c r="AV5" s="196" t="s">
        <v>55</v>
      </c>
      <c r="AX5" s="197">
        <v>84</v>
      </c>
      <c r="AY5" s="198">
        <v>39</v>
      </c>
      <c r="AZ5" s="198">
        <v>84</v>
      </c>
      <c r="BA5" s="199">
        <v>36</v>
      </c>
    </row>
    <row r="6" spans="1:53" x14ac:dyDescent="0.15">
      <c r="A6" s="53" t="s">
        <v>56</v>
      </c>
      <c r="B6" s="53" t="s">
        <v>347</v>
      </c>
      <c r="C6" s="188">
        <v>2018</v>
      </c>
      <c r="D6" s="58" t="s">
        <v>372</v>
      </c>
      <c r="E6" s="188" t="s">
        <v>373</v>
      </c>
      <c r="F6" s="188" t="s">
        <v>178</v>
      </c>
      <c r="G6" s="53" t="s">
        <v>42</v>
      </c>
      <c r="H6" s="188" t="s">
        <v>168</v>
      </c>
      <c r="I6" s="53" t="s">
        <v>153</v>
      </c>
      <c r="J6" s="188" t="s">
        <v>38</v>
      </c>
      <c r="K6" s="188" t="s">
        <v>154</v>
      </c>
      <c r="L6" s="180">
        <v>2</v>
      </c>
      <c r="N6" s="180">
        <v>1</v>
      </c>
      <c r="O6" s="180">
        <v>0.6</v>
      </c>
      <c r="P6" s="180">
        <v>0.7</v>
      </c>
      <c r="Q6" s="217">
        <f t="shared" si="0"/>
        <v>0.64999999999999991</v>
      </c>
      <c r="R6" s="180">
        <v>16.7</v>
      </c>
      <c r="S6" s="180">
        <v>135</v>
      </c>
      <c r="T6" s="189">
        <f t="shared" si="1"/>
        <v>25</v>
      </c>
      <c r="U6" s="180">
        <v>138</v>
      </c>
      <c r="V6" s="189">
        <f t="shared" si="2"/>
        <v>3450</v>
      </c>
      <c r="W6" s="180">
        <v>2</v>
      </c>
      <c r="X6" s="53" t="s">
        <v>46</v>
      </c>
      <c r="Y6" s="53" t="s">
        <v>102</v>
      </c>
      <c r="Z6" s="188" t="s">
        <v>90</v>
      </c>
      <c r="AA6" s="53" t="s">
        <v>55</v>
      </c>
      <c r="AE6" s="195" t="s">
        <v>56</v>
      </c>
      <c r="AG6" s="203" t="s">
        <v>187</v>
      </c>
      <c r="AH6" s="59" t="s">
        <v>185</v>
      </c>
      <c r="AL6" s="202" t="s">
        <v>173</v>
      </c>
      <c r="AN6" s="202" t="s">
        <v>174</v>
      </c>
      <c r="AP6" s="196" t="s">
        <v>53</v>
      </c>
      <c r="AR6" s="210" t="s">
        <v>59</v>
      </c>
      <c r="AV6" s="196" t="s">
        <v>60</v>
      </c>
      <c r="AX6" s="197">
        <v>97</v>
      </c>
      <c r="AY6" s="198">
        <v>36</v>
      </c>
      <c r="AZ6" s="198">
        <v>99</v>
      </c>
      <c r="BA6" s="199">
        <v>33</v>
      </c>
    </row>
    <row r="7" spans="1:53" x14ac:dyDescent="0.15">
      <c r="A7" s="53" t="s">
        <v>56</v>
      </c>
      <c r="B7" s="53" t="s">
        <v>347</v>
      </c>
      <c r="C7" s="188">
        <v>2018</v>
      </c>
      <c r="D7" s="58" t="s">
        <v>372</v>
      </c>
      <c r="E7" s="188" t="s">
        <v>373</v>
      </c>
      <c r="F7" s="188" t="s">
        <v>178</v>
      </c>
      <c r="G7" s="53" t="s">
        <v>42</v>
      </c>
      <c r="H7" s="188" t="s">
        <v>168</v>
      </c>
      <c r="I7" s="53" t="s">
        <v>153</v>
      </c>
      <c r="J7" s="188" t="s">
        <v>38</v>
      </c>
      <c r="K7" s="188" t="s">
        <v>154</v>
      </c>
      <c r="L7" s="180">
        <v>3</v>
      </c>
      <c r="N7" s="180">
        <v>1</v>
      </c>
      <c r="O7" s="180">
        <v>0.65</v>
      </c>
      <c r="P7" s="180">
        <v>0.6</v>
      </c>
      <c r="Q7" s="217">
        <f t="shared" si="0"/>
        <v>0.625</v>
      </c>
      <c r="R7" s="180">
        <v>16.7</v>
      </c>
      <c r="S7" s="180">
        <v>138</v>
      </c>
      <c r="T7" s="189">
        <f t="shared" si="1"/>
        <v>22</v>
      </c>
      <c r="U7" s="180">
        <v>138</v>
      </c>
      <c r="V7" s="189">
        <f t="shared" si="2"/>
        <v>3036</v>
      </c>
      <c r="W7" s="180">
        <v>2</v>
      </c>
      <c r="X7" s="53" t="s">
        <v>46</v>
      </c>
      <c r="Y7" s="53" t="s">
        <v>102</v>
      </c>
      <c r="Z7" s="188" t="s">
        <v>90</v>
      </c>
      <c r="AA7" s="53" t="s">
        <v>55</v>
      </c>
      <c r="AE7" s="195" t="s">
        <v>61</v>
      </c>
      <c r="AG7" s="203" t="s">
        <v>374</v>
      </c>
      <c r="AH7" s="59" t="s">
        <v>188</v>
      </c>
      <c r="AL7" s="60" t="s">
        <v>375</v>
      </c>
      <c r="AP7" s="196" t="s">
        <v>58</v>
      </c>
      <c r="AR7" s="203" t="s">
        <v>122</v>
      </c>
      <c r="AV7" s="196" t="s">
        <v>64</v>
      </c>
      <c r="AX7" s="197">
        <v>109</v>
      </c>
      <c r="AY7" s="198">
        <v>33</v>
      </c>
      <c r="AZ7" s="198">
        <v>113</v>
      </c>
      <c r="BA7" s="199">
        <v>30</v>
      </c>
    </row>
    <row r="8" spans="1:53" x14ac:dyDescent="0.15">
      <c r="A8" s="53" t="s">
        <v>56</v>
      </c>
      <c r="B8" s="53" t="s">
        <v>376</v>
      </c>
      <c r="C8" s="188">
        <v>2018</v>
      </c>
      <c r="D8" s="58" t="s">
        <v>377</v>
      </c>
      <c r="E8" s="188" t="s">
        <v>373</v>
      </c>
      <c r="F8" s="188" t="s">
        <v>180</v>
      </c>
      <c r="G8" s="53" t="s">
        <v>42</v>
      </c>
      <c r="H8" s="188" t="s">
        <v>155</v>
      </c>
      <c r="I8" s="53" t="s">
        <v>153</v>
      </c>
      <c r="J8" s="188" t="s">
        <v>38</v>
      </c>
      <c r="K8" s="188" t="s">
        <v>154</v>
      </c>
      <c r="L8" s="180">
        <v>1</v>
      </c>
      <c r="N8" s="180">
        <v>1</v>
      </c>
      <c r="O8" s="180">
        <v>0.55000000000000004</v>
      </c>
      <c r="P8" s="180">
        <v>0.6</v>
      </c>
      <c r="Q8" s="217">
        <f t="shared" si="0"/>
        <v>0.57499999999999996</v>
      </c>
      <c r="R8" s="180">
        <v>15.6</v>
      </c>
      <c r="S8" s="180">
        <v>132</v>
      </c>
      <c r="T8" s="189">
        <f t="shared" si="1"/>
        <v>25</v>
      </c>
      <c r="U8" s="180">
        <v>84</v>
      </c>
      <c r="V8" s="189">
        <f t="shared" si="2"/>
        <v>2100</v>
      </c>
      <c r="W8" s="180">
        <v>4</v>
      </c>
      <c r="X8" s="53" t="s">
        <v>46</v>
      </c>
      <c r="Y8" s="53" t="s">
        <v>102</v>
      </c>
      <c r="Z8" s="188" t="s">
        <v>78</v>
      </c>
      <c r="AA8" s="53" t="s">
        <v>90</v>
      </c>
      <c r="AE8" s="195" t="s">
        <v>59</v>
      </c>
      <c r="AG8" s="203" t="s">
        <v>378</v>
      </c>
      <c r="AH8" s="59" t="s">
        <v>188</v>
      </c>
      <c r="AL8" s="60" t="s">
        <v>368</v>
      </c>
      <c r="AP8" s="196" t="s">
        <v>62</v>
      </c>
      <c r="AR8" s="210" t="s">
        <v>81</v>
      </c>
      <c r="AV8" s="196" t="s">
        <v>97</v>
      </c>
      <c r="AX8" s="197">
        <v>119</v>
      </c>
      <c r="AY8" s="198">
        <v>30</v>
      </c>
      <c r="AZ8" s="198">
        <v>121</v>
      </c>
      <c r="BA8" s="199">
        <v>27</v>
      </c>
    </row>
    <row r="9" spans="1:53" x14ac:dyDescent="0.15">
      <c r="A9" s="53" t="s">
        <v>56</v>
      </c>
      <c r="B9" s="53" t="s">
        <v>376</v>
      </c>
      <c r="C9" s="188">
        <v>2018</v>
      </c>
      <c r="D9" s="58" t="s">
        <v>377</v>
      </c>
      <c r="E9" s="188" t="s">
        <v>373</v>
      </c>
      <c r="F9" s="188" t="s">
        <v>180</v>
      </c>
      <c r="G9" s="53" t="s">
        <v>42</v>
      </c>
      <c r="H9" s="188" t="s">
        <v>155</v>
      </c>
      <c r="I9" s="53" t="s">
        <v>153</v>
      </c>
      <c r="J9" s="188" t="s">
        <v>38</v>
      </c>
      <c r="K9" s="188" t="s">
        <v>154</v>
      </c>
      <c r="L9" s="180">
        <v>2</v>
      </c>
      <c r="N9" s="180">
        <v>1</v>
      </c>
      <c r="O9" s="180">
        <v>0.7</v>
      </c>
      <c r="P9" s="180">
        <v>0.75</v>
      </c>
      <c r="Q9" s="217">
        <f t="shared" si="0"/>
        <v>0.72499999999999998</v>
      </c>
      <c r="R9" s="180">
        <v>15.6</v>
      </c>
      <c r="S9" s="180">
        <v>133</v>
      </c>
      <c r="T9" s="189">
        <f t="shared" si="1"/>
        <v>25</v>
      </c>
      <c r="U9" s="180">
        <v>84</v>
      </c>
      <c r="V9" s="189">
        <f t="shared" si="2"/>
        <v>2100</v>
      </c>
      <c r="W9" s="180">
        <v>4</v>
      </c>
      <c r="X9" s="53" t="s">
        <v>46</v>
      </c>
      <c r="Y9" s="53" t="s">
        <v>102</v>
      </c>
      <c r="Z9" s="188" t="s">
        <v>78</v>
      </c>
      <c r="AA9" s="53" t="s">
        <v>90</v>
      </c>
      <c r="AE9" s="195" t="s">
        <v>98</v>
      </c>
      <c r="AG9" s="203" t="s">
        <v>189</v>
      </c>
      <c r="AH9" s="203" t="s">
        <v>180</v>
      </c>
      <c r="AL9" s="202"/>
      <c r="AP9" s="196" t="s">
        <v>95</v>
      </c>
      <c r="AR9" s="203" t="s">
        <v>89</v>
      </c>
      <c r="AV9" s="196" t="s">
        <v>102</v>
      </c>
      <c r="AX9" s="197">
        <v>128</v>
      </c>
      <c r="AY9" s="198">
        <v>27</v>
      </c>
      <c r="AZ9" s="198">
        <v>129</v>
      </c>
      <c r="BA9" s="199">
        <v>25</v>
      </c>
    </row>
    <row r="10" spans="1:53" x14ac:dyDescent="0.15">
      <c r="A10" s="53" t="s">
        <v>56</v>
      </c>
      <c r="B10" s="53" t="s">
        <v>379</v>
      </c>
      <c r="C10" s="188">
        <v>2018</v>
      </c>
      <c r="D10" s="58" t="s">
        <v>380</v>
      </c>
      <c r="E10" s="188" t="s">
        <v>373</v>
      </c>
      <c r="F10" s="188" t="s">
        <v>180</v>
      </c>
      <c r="G10" s="53" t="s">
        <v>42</v>
      </c>
      <c r="H10" s="188" t="s">
        <v>155</v>
      </c>
      <c r="I10" s="53" t="s">
        <v>153</v>
      </c>
      <c r="J10" s="188" t="s">
        <v>38</v>
      </c>
      <c r="K10" s="188" t="s">
        <v>154</v>
      </c>
      <c r="L10" s="180">
        <v>3</v>
      </c>
      <c r="N10" s="180">
        <v>1</v>
      </c>
      <c r="O10" s="180">
        <v>0.8</v>
      </c>
      <c r="P10" s="180">
        <v>0.75</v>
      </c>
      <c r="Q10" s="217">
        <f t="shared" si="0"/>
        <v>0.77500000000000002</v>
      </c>
      <c r="R10" s="209">
        <v>12.9</v>
      </c>
      <c r="S10" s="180">
        <v>138</v>
      </c>
      <c r="T10" s="189">
        <f t="shared" si="1"/>
        <v>22</v>
      </c>
      <c r="U10" s="180">
        <v>84</v>
      </c>
      <c r="V10" s="189">
        <f t="shared" si="2"/>
        <v>1848</v>
      </c>
      <c r="W10" s="180">
        <v>4</v>
      </c>
      <c r="X10" s="53" t="s">
        <v>46</v>
      </c>
      <c r="Y10" s="53" t="s">
        <v>102</v>
      </c>
      <c r="Z10" s="188" t="s">
        <v>78</v>
      </c>
      <c r="AA10" s="53" t="s">
        <v>90</v>
      </c>
      <c r="AE10" s="195" t="s">
        <v>103</v>
      </c>
      <c r="AG10" s="203" t="s">
        <v>381</v>
      </c>
      <c r="AH10" s="59" t="s">
        <v>382</v>
      </c>
      <c r="AL10" s="60"/>
      <c r="AP10" s="196" t="s">
        <v>100</v>
      </c>
      <c r="AR10" s="203" t="s">
        <v>123</v>
      </c>
      <c r="AV10" s="196" t="s">
        <v>106</v>
      </c>
      <c r="AX10" s="197">
        <v>138</v>
      </c>
      <c r="AY10" s="198">
        <v>25</v>
      </c>
      <c r="AZ10" s="198">
        <v>138</v>
      </c>
      <c r="BA10" s="199">
        <v>22</v>
      </c>
    </row>
    <row r="11" spans="1:53" x14ac:dyDescent="0.15">
      <c r="A11" s="53" t="s">
        <v>56</v>
      </c>
      <c r="B11" s="53" t="s">
        <v>379</v>
      </c>
      <c r="C11" s="188">
        <v>2018</v>
      </c>
      <c r="D11" s="58" t="s">
        <v>380</v>
      </c>
      <c r="E11" s="188" t="s">
        <v>373</v>
      </c>
      <c r="F11" s="188" t="s">
        <v>180</v>
      </c>
      <c r="G11" s="53" t="s">
        <v>42</v>
      </c>
      <c r="H11" s="188" t="s">
        <v>168</v>
      </c>
      <c r="I11" s="53" t="s">
        <v>153</v>
      </c>
      <c r="J11" s="188" t="s">
        <v>38</v>
      </c>
      <c r="K11" s="188" t="s">
        <v>154</v>
      </c>
      <c r="L11" s="180">
        <v>1</v>
      </c>
      <c r="N11" s="180">
        <v>1</v>
      </c>
      <c r="O11" s="180">
        <v>0.55000000000000004</v>
      </c>
      <c r="P11" s="180">
        <v>0.6</v>
      </c>
      <c r="Q11" s="217">
        <f t="shared" si="0"/>
        <v>0.57499999999999996</v>
      </c>
      <c r="R11" s="180">
        <v>14.3</v>
      </c>
      <c r="S11" s="180">
        <v>135</v>
      </c>
      <c r="T11" s="189">
        <f t="shared" si="1"/>
        <v>25</v>
      </c>
      <c r="U11" s="180">
        <v>138</v>
      </c>
      <c r="V11" s="189">
        <f t="shared" si="2"/>
        <v>3450</v>
      </c>
      <c r="W11" s="180">
        <v>2</v>
      </c>
      <c r="X11" s="53" t="s">
        <v>46</v>
      </c>
      <c r="Y11" s="53" t="s">
        <v>102</v>
      </c>
      <c r="Z11" s="188" t="s">
        <v>78</v>
      </c>
      <c r="AA11" s="53" t="s">
        <v>90</v>
      </c>
      <c r="AE11" s="195" t="s">
        <v>65</v>
      </c>
      <c r="AG11" s="203" t="s">
        <v>383</v>
      </c>
      <c r="AH11" s="59" t="s">
        <v>382</v>
      </c>
      <c r="AJ11" s="60"/>
      <c r="AP11" s="196" t="s">
        <v>104</v>
      </c>
      <c r="AR11" s="203" t="s">
        <v>87</v>
      </c>
      <c r="AV11" s="196" t="s">
        <v>69</v>
      </c>
    </row>
    <row r="12" spans="1:53" x14ac:dyDescent="0.15">
      <c r="A12" s="53" t="s">
        <v>56</v>
      </c>
      <c r="B12" s="53" t="s">
        <v>384</v>
      </c>
      <c r="C12" s="188">
        <v>2018</v>
      </c>
      <c r="D12" s="58" t="s">
        <v>385</v>
      </c>
      <c r="E12" s="188" t="s">
        <v>373</v>
      </c>
      <c r="F12" s="188" t="s">
        <v>180</v>
      </c>
      <c r="G12" s="53" t="s">
        <v>42</v>
      </c>
      <c r="H12" s="188" t="s">
        <v>168</v>
      </c>
      <c r="I12" s="53" t="s">
        <v>153</v>
      </c>
      <c r="J12" s="188" t="s">
        <v>38</v>
      </c>
      <c r="K12" s="188" t="s">
        <v>154</v>
      </c>
      <c r="L12" s="180">
        <v>2</v>
      </c>
      <c r="N12" s="180">
        <v>1</v>
      </c>
      <c r="O12" s="180">
        <v>0.7</v>
      </c>
      <c r="P12" s="180">
        <v>0.75</v>
      </c>
      <c r="Q12" s="217">
        <f t="shared" si="0"/>
        <v>0.72499999999999998</v>
      </c>
      <c r="R12" s="180">
        <v>16</v>
      </c>
      <c r="S12" s="180">
        <v>137</v>
      </c>
      <c r="T12" s="189">
        <f t="shared" si="1"/>
        <v>25</v>
      </c>
      <c r="U12" s="180">
        <v>138</v>
      </c>
      <c r="V12" s="189">
        <f t="shared" si="2"/>
        <v>3450</v>
      </c>
      <c r="W12" s="180">
        <v>2</v>
      </c>
      <c r="X12" s="53" t="s">
        <v>46</v>
      </c>
      <c r="Y12" s="53" t="s">
        <v>102</v>
      </c>
      <c r="Z12" s="188" t="s">
        <v>78</v>
      </c>
      <c r="AA12" s="53" t="s">
        <v>90</v>
      </c>
      <c r="AE12" s="195" t="s">
        <v>70</v>
      </c>
      <c r="AG12" s="203" t="s">
        <v>386</v>
      </c>
      <c r="AH12" s="59" t="s">
        <v>387</v>
      </c>
      <c r="AJ12" s="60"/>
      <c r="AP12" s="196" t="s">
        <v>67</v>
      </c>
      <c r="AR12" s="203" t="s">
        <v>124</v>
      </c>
      <c r="AV12" s="196" t="s">
        <v>72</v>
      </c>
    </row>
    <row r="13" spans="1:53" x14ac:dyDescent="0.15">
      <c r="A13" s="53" t="s">
        <v>56</v>
      </c>
      <c r="B13" s="53" t="s">
        <v>388</v>
      </c>
      <c r="C13" s="188">
        <v>2018</v>
      </c>
      <c r="D13" s="58" t="s">
        <v>389</v>
      </c>
      <c r="E13" s="188" t="s">
        <v>373</v>
      </c>
      <c r="F13" s="188" t="s">
        <v>180</v>
      </c>
      <c r="G13" s="53" t="s">
        <v>42</v>
      </c>
      <c r="H13" s="188" t="s">
        <v>168</v>
      </c>
      <c r="I13" s="53" t="s">
        <v>153</v>
      </c>
      <c r="J13" s="188" t="s">
        <v>38</v>
      </c>
      <c r="K13" s="188" t="s">
        <v>154</v>
      </c>
      <c r="L13" s="180">
        <v>3</v>
      </c>
      <c r="N13" s="180">
        <v>1</v>
      </c>
      <c r="O13" s="180">
        <v>0.65</v>
      </c>
      <c r="P13" s="180">
        <v>0.65</v>
      </c>
      <c r="Q13" s="217">
        <f t="shared" si="0"/>
        <v>0.65</v>
      </c>
      <c r="R13" s="209">
        <v>13.5</v>
      </c>
      <c r="S13" s="180">
        <v>137</v>
      </c>
      <c r="T13" s="189">
        <f t="shared" si="1"/>
        <v>25</v>
      </c>
      <c r="U13" s="180">
        <v>138</v>
      </c>
      <c r="V13" s="189">
        <f t="shared" si="2"/>
        <v>3450</v>
      </c>
      <c r="W13" s="180">
        <v>2</v>
      </c>
      <c r="X13" s="53" t="s">
        <v>46</v>
      </c>
      <c r="Y13" s="53" t="s">
        <v>102</v>
      </c>
      <c r="Z13" s="188" t="s">
        <v>78</v>
      </c>
      <c r="AA13" s="53" t="s">
        <v>90</v>
      </c>
      <c r="AE13" s="195" t="s">
        <v>73</v>
      </c>
      <c r="AP13" s="196" t="s">
        <v>71</v>
      </c>
      <c r="AR13" s="203" t="s">
        <v>103</v>
      </c>
      <c r="AV13" s="196" t="s">
        <v>75</v>
      </c>
    </row>
    <row r="14" spans="1:53" x14ac:dyDescent="0.15">
      <c r="A14" s="53" t="s">
        <v>56</v>
      </c>
      <c r="B14" s="53" t="s">
        <v>390</v>
      </c>
      <c r="C14" s="188">
        <v>2018</v>
      </c>
      <c r="D14" s="58" t="s">
        <v>391</v>
      </c>
      <c r="E14" s="188" t="s">
        <v>392</v>
      </c>
      <c r="F14" s="188" t="s">
        <v>393</v>
      </c>
      <c r="G14" s="53" t="s">
        <v>42</v>
      </c>
      <c r="H14" s="188" t="s">
        <v>155</v>
      </c>
      <c r="I14" s="53" t="s">
        <v>153</v>
      </c>
      <c r="J14" s="188" t="s">
        <v>38</v>
      </c>
      <c r="K14" s="188" t="s">
        <v>154</v>
      </c>
      <c r="L14" s="180">
        <v>1</v>
      </c>
      <c r="N14" s="180">
        <v>1</v>
      </c>
      <c r="O14" s="180">
        <v>0.75</v>
      </c>
      <c r="P14" s="180">
        <v>0.65</v>
      </c>
      <c r="Q14" s="217">
        <f t="shared" si="0"/>
        <v>0.7</v>
      </c>
      <c r="R14" s="180">
        <v>11.7</v>
      </c>
      <c r="S14" s="180">
        <v>126</v>
      </c>
      <c r="T14" s="189">
        <f t="shared" si="1"/>
        <v>27</v>
      </c>
      <c r="U14" s="180">
        <v>106</v>
      </c>
      <c r="V14" s="189">
        <f t="shared" si="2"/>
        <v>2862</v>
      </c>
      <c r="W14" s="180">
        <v>4</v>
      </c>
      <c r="X14" s="53" t="s">
        <v>46</v>
      </c>
      <c r="Y14" s="53" t="s">
        <v>78</v>
      </c>
      <c r="Z14" s="188" t="s">
        <v>90</v>
      </c>
      <c r="AA14" s="53" t="s">
        <v>102</v>
      </c>
      <c r="AE14" s="195" t="s">
        <v>76</v>
      </c>
      <c r="AP14" s="196" t="s">
        <v>74</v>
      </c>
      <c r="AR14" s="203" t="s">
        <v>125</v>
      </c>
      <c r="AV14" s="196" t="s">
        <v>78</v>
      </c>
    </row>
    <row r="15" spans="1:53" x14ac:dyDescent="0.15">
      <c r="A15" s="53" t="s">
        <v>56</v>
      </c>
      <c r="B15" s="53" t="s">
        <v>390</v>
      </c>
      <c r="C15" s="188">
        <v>2018</v>
      </c>
      <c r="D15" s="58" t="s">
        <v>391</v>
      </c>
      <c r="E15" s="188" t="s">
        <v>392</v>
      </c>
      <c r="F15" s="188" t="s">
        <v>393</v>
      </c>
      <c r="G15" s="53" t="s">
        <v>42</v>
      </c>
      <c r="H15" s="188" t="s">
        <v>155</v>
      </c>
      <c r="I15" s="53" t="s">
        <v>153</v>
      </c>
      <c r="J15" s="188" t="s">
        <v>38</v>
      </c>
      <c r="K15" s="188" t="s">
        <v>154</v>
      </c>
      <c r="L15" s="180">
        <v>2</v>
      </c>
      <c r="N15" s="180">
        <v>1</v>
      </c>
      <c r="O15" s="180">
        <v>0.55000000000000004</v>
      </c>
      <c r="P15" s="180">
        <v>0.55000000000000004</v>
      </c>
      <c r="Q15" s="217">
        <f t="shared" si="0"/>
        <v>0.55000000000000004</v>
      </c>
      <c r="R15" s="180">
        <v>14.8</v>
      </c>
      <c r="S15" s="180">
        <v>126</v>
      </c>
      <c r="T15" s="189">
        <f t="shared" si="1"/>
        <v>27</v>
      </c>
      <c r="U15" s="180">
        <v>106</v>
      </c>
      <c r="V15" s="189">
        <f t="shared" si="2"/>
        <v>2862</v>
      </c>
      <c r="W15" s="180">
        <v>4</v>
      </c>
      <c r="X15" s="53" t="s">
        <v>46</v>
      </c>
      <c r="Y15" s="53" t="s">
        <v>78</v>
      </c>
      <c r="Z15" s="188" t="s">
        <v>90</v>
      </c>
      <c r="AA15" s="53" t="s">
        <v>102</v>
      </c>
      <c r="AE15" s="195" t="s">
        <v>79</v>
      </c>
      <c r="AP15" s="196" t="s">
        <v>77</v>
      </c>
      <c r="AR15" s="203" t="s">
        <v>94</v>
      </c>
      <c r="AV15" s="196" t="s">
        <v>107</v>
      </c>
    </row>
    <row r="16" spans="1:53" x14ac:dyDescent="0.15">
      <c r="A16" s="53" t="s">
        <v>56</v>
      </c>
      <c r="B16" s="53" t="s">
        <v>394</v>
      </c>
      <c r="C16" s="188">
        <v>2018</v>
      </c>
      <c r="D16" s="58" t="s">
        <v>395</v>
      </c>
      <c r="E16" s="188" t="s">
        <v>392</v>
      </c>
      <c r="F16" s="188" t="s">
        <v>393</v>
      </c>
      <c r="G16" s="53" t="s">
        <v>42</v>
      </c>
      <c r="H16" s="188" t="s">
        <v>155</v>
      </c>
      <c r="I16" s="53" t="s">
        <v>153</v>
      </c>
      <c r="J16" s="188" t="s">
        <v>38</v>
      </c>
      <c r="K16" s="188" t="s">
        <v>154</v>
      </c>
      <c r="L16" s="180">
        <v>3</v>
      </c>
      <c r="N16" s="180">
        <v>1</v>
      </c>
      <c r="O16" s="180">
        <v>0.6</v>
      </c>
      <c r="P16" s="180">
        <v>0.65</v>
      </c>
      <c r="Q16" s="217">
        <f t="shared" si="0"/>
        <v>0.625</v>
      </c>
      <c r="R16" s="209">
        <v>13.6</v>
      </c>
      <c r="S16" s="180">
        <v>129</v>
      </c>
      <c r="T16" s="189">
        <f t="shared" si="1"/>
        <v>25</v>
      </c>
      <c r="U16" s="180">
        <v>106</v>
      </c>
      <c r="V16" s="189">
        <f t="shared" si="2"/>
        <v>2650</v>
      </c>
      <c r="W16" s="180">
        <v>4</v>
      </c>
      <c r="X16" s="53" t="s">
        <v>46</v>
      </c>
      <c r="Y16" s="53" t="s">
        <v>78</v>
      </c>
      <c r="Z16" s="188" t="s">
        <v>90</v>
      </c>
      <c r="AA16" s="53" t="s">
        <v>102</v>
      </c>
      <c r="AE16" s="195" t="s">
        <v>82</v>
      </c>
      <c r="AP16" s="196" t="s">
        <v>80</v>
      </c>
      <c r="AR16" s="210" t="s">
        <v>63</v>
      </c>
      <c r="AV16" s="196" t="s">
        <v>84</v>
      </c>
    </row>
    <row r="17" spans="1:48" x14ac:dyDescent="0.15">
      <c r="A17" s="53" t="s">
        <v>56</v>
      </c>
      <c r="B17" s="53" t="s">
        <v>394</v>
      </c>
      <c r="C17" s="188">
        <v>2018</v>
      </c>
      <c r="D17" s="58" t="s">
        <v>395</v>
      </c>
      <c r="E17" s="188" t="s">
        <v>392</v>
      </c>
      <c r="F17" s="188" t="s">
        <v>393</v>
      </c>
      <c r="G17" s="53" t="s">
        <v>42</v>
      </c>
      <c r="H17" s="188" t="s">
        <v>168</v>
      </c>
      <c r="I17" s="53" t="s">
        <v>153</v>
      </c>
      <c r="J17" s="188" t="s">
        <v>38</v>
      </c>
      <c r="K17" s="188" t="s">
        <v>154</v>
      </c>
      <c r="L17" s="180">
        <v>1</v>
      </c>
      <c r="N17" s="180">
        <v>1</v>
      </c>
      <c r="O17" s="180">
        <v>0.6</v>
      </c>
      <c r="P17" s="180">
        <v>0.55000000000000004</v>
      </c>
      <c r="Q17" s="217">
        <f t="shared" si="0"/>
        <v>0.57499999999999996</v>
      </c>
      <c r="R17" s="180">
        <v>15.5</v>
      </c>
      <c r="S17" s="180">
        <v>148</v>
      </c>
      <c r="T17" s="189">
        <f t="shared" si="1"/>
        <v>22</v>
      </c>
      <c r="U17" s="180">
        <v>138</v>
      </c>
      <c r="V17" s="189">
        <f t="shared" si="2"/>
        <v>3036</v>
      </c>
      <c r="W17" s="180">
        <v>2</v>
      </c>
      <c r="X17" s="53" t="s">
        <v>46</v>
      </c>
      <c r="Y17" s="53" t="s">
        <v>78</v>
      </c>
      <c r="Z17" s="188" t="s">
        <v>90</v>
      </c>
      <c r="AA17" s="53" t="s">
        <v>102</v>
      </c>
      <c r="AE17" s="195" t="s">
        <v>85</v>
      </c>
      <c r="AP17" s="211" t="s">
        <v>110</v>
      </c>
      <c r="AR17" s="210" t="s">
        <v>96</v>
      </c>
      <c r="AV17" s="196" t="s">
        <v>86</v>
      </c>
    </row>
    <row r="18" spans="1:48" x14ac:dyDescent="0.15">
      <c r="A18" s="53" t="s">
        <v>56</v>
      </c>
      <c r="B18" s="53" t="s">
        <v>394</v>
      </c>
      <c r="C18" s="188">
        <v>2018</v>
      </c>
      <c r="D18" s="58" t="s">
        <v>395</v>
      </c>
      <c r="E18" s="188" t="s">
        <v>392</v>
      </c>
      <c r="F18" s="188" t="s">
        <v>393</v>
      </c>
      <c r="G18" s="53" t="s">
        <v>42</v>
      </c>
      <c r="H18" s="188" t="s">
        <v>168</v>
      </c>
      <c r="I18" s="53" t="s">
        <v>153</v>
      </c>
      <c r="J18" s="188" t="s">
        <v>38</v>
      </c>
      <c r="K18" s="188" t="s">
        <v>154</v>
      </c>
      <c r="L18" s="180">
        <v>2</v>
      </c>
      <c r="N18" s="180">
        <v>1</v>
      </c>
      <c r="O18" s="180">
        <v>0.55000000000000004</v>
      </c>
      <c r="P18" s="180">
        <v>0.55000000000000004</v>
      </c>
      <c r="Q18" s="217">
        <f t="shared" si="0"/>
        <v>0.55000000000000004</v>
      </c>
      <c r="R18" s="180">
        <v>15.9</v>
      </c>
      <c r="S18" s="180">
        <v>137</v>
      </c>
      <c r="T18" s="189">
        <f t="shared" si="1"/>
        <v>25</v>
      </c>
      <c r="U18" s="180">
        <v>138</v>
      </c>
      <c r="V18" s="189">
        <f t="shared" si="2"/>
        <v>3450</v>
      </c>
      <c r="W18" s="180">
        <v>2</v>
      </c>
      <c r="X18" s="53" t="s">
        <v>46</v>
      </c>
      <c r="Y18" s="53" t="s">
        <v>78</v>
      </c>
      <c r="Z18" s="188" t="s">
        <v>90</v>
      </c>
      <c r="AA18" s="53" t="s">
        <v>102</v>
      </c>
      <c r="AE18" s="195" t="s">
        <v>87</v>
      </c>
      <c r="AP18" s="211" t="s">
        <v>111</v>
      </c>
      <c r="AR18" s="210" t="s">
        <v>101</v>
      </c>
      <c r="AV18" s="196" t="s">
        <v>88</v>
      </c>
    </row>
    <row r="19" spans="1:48" x14ac:dyDescent="0.15">
      <c r="A19" s="53" t="s">
        <v>56</v>
      </c>
      <c r="B19" s="53" t="s">
        <v>384</v>
      </c>
      <c r="C19" s="188">
        <v>2018</v>
      </c>
      <c r="D19" s="58" t="s">
        <v>385</v>
      </c>
      <c r="E19" s="188" t="s">
        <v>392</v>
      </c>
      <c r="F19" s="188" t="s">
        <v>393</v>
      </c>
      <c r="G19" s="53" t="s">
        <v>42</v>
      </c>
      <c r="H19" s="188" t="s">
        <v>168</v>
      </c>
      <c r="I19" s="53" t="s">
        <v>153</v>
      </c>
      <c r="J19" s="188" t="s">
        <v>38</v>
      </c>
      <c r="K19" s="188" t="s">
        <v>154</v>
      </c>
      <c r="L19" s="180">
        <v>3</v>
      </c>
      <c r="N19" s="180">
        <v>1</v>
      </c>
      <c r="O19" s="180">
        <v>0.6</v>
      </c>
      <c r="P19" s="180">
        <v>0.6</v>
      </c>
      <c r="Q19" s="217">
        <f t="shared" si="0"/>
        <v>0.6</v>
      </c>
      <c r="R19" s="209">
        <v>13.6</v>
      </c>
      <c r="S19" s="180">
        <v>148</v>
      </c>
      <c r="T19" s="189">
        <f t="shared" si="1"/>
        <v>22</v>
      </c>
      <c r="U19" s="180">
        <v>138</v>
      </c>
      <c r="V19" s="189">
        <f t="shared" si="2"/>
        <v>3036</v>
      </c>
      <c r="W19" s="180">
        <v>2</v>
      </c>
      <c r="X19" s="53" t="s">
        <v>46</v>
      </c>
      <c r="Y19" s="53" t="s">
        <v>78</v>
      </c>
      <c r="Z19" s="188" t="s">
        <v>90</v>
      </c>
      <c r="AA19" s="53" t="s">
        <v>102</v>
      </c>
      <c r="AE19" s="208" t="s">
        <v>89</v>
      </c>
      <c r="AP19" s="211" t="s">
        <v>112</v>
      </c>
      <c r="AR19" s="203" t="s">
        <v>126</v>
      </c>
      <c r="AV19" s="196" t="s">
        <v>90</v>
      </c>
    </row>
    <row r="20" spans="1:48" x14ac:dyDescent="0.15">
      <c r="A20" s="53" t="s">
        <v>56</v>
      </c>
      <c r="B20" s="53" t="s">
        <v>384</v>
      </c>
      <c r="C20" s="188">
        <v>2018</v>
      </c>
      <c r="D20" s="58" t="s">
        <v>385</v>
      </c>
      <c r="E20" s="188" t="s">
        <v>396</v>
      </c>
      <c r="F20" s="188" t="s">
        <v>397</v>
      </c>
      <c r="G20" s="53" t="s">
        <v>42</v>
      </c>
      <c r="H20" s="188" t="s">
        <v>168</v>
      </c>
      <c r="I20" s="53" t="s">
        <v>153</v>
      </c>
      <c r="J20" s="188" t="s">
        <v>38</v>
      </c>
      <c r="K20" s="188" t="s">
        <v>154</v>
      </c>
      <c r="L20" s="180">
        <v>1</v>
      </c>
      <c r="N20" s="180">
        <v>4</v>
      </c>
      <c r="O20" s="180">
        <v>0.7</v>
      </c>
      <c r="P20" s="180">
        <v>0.7</v>
      </c>
      <c r="Q20" s="217">
        <f t="shared" si="0"/>
        <v>0.7</v>
      </c>
      <c r="R20" s="180">
        <v>13.8</v>
      </c>
      <c r="S20" s="180">
        <v>96</v>
      </c>
      <c r="T20" s="189">
        <f t="shared" si="1"/>
        <v>36</v>
      </c>
      <c r="U20" s="180">
        <v>377</v>
      </c>
      <c r="V20" s="189">
        <f t="shared" si="2"/>
        <v>3393</v>
      </c>
      <c r="W20" s="180">
        <v>2</v>
      </c>
      <c r="X20" s="53" t="s">
        <v>46</v>
      </c>
      <c r="Y20" s="53" t="s">
        <v>78</v>
      </c>
      <c r="Z20" s="188" t="s">
        <v>102</v>
      </c>
      <c r="AA20" s="53" t="s">
        <v>90</v>
      </c>
      <c r="AP20" s="211" t="s">
        <v>113</v>
      </c>
      <c r="AR20" s="210" t="s">
        <v>105</v>
      </c>
      <c r="AV20" s="200" t="s">
        <v>369</v>
      </c>
    </row>
    <row r="21" spans="1:48" x14ac:dyDescent="0.15">
      <c r="A21" s="53" t="s">
        <v>56</v>
      </c>
      <c r="B21" s="53" t="s">
        <v>384</v>
      </c>
      <c r="C21" s="188">
        <v>2018</v>
      </c>
      <c r="D21" s="58" t="s">
        <v>385</v>
      </c>
      <c r="E21" s="188" t="s">
        <v>396</v>
      </c>
      <c r="F21" s="188" t="s">
        <v>397</v>
      </c>
      <c r="G21" s="53" t="s">
        <v>42</v>
      </c>
      <c r="H21" s="188" t="s">
        <v>168</v>
      </c>
      <c r="I21" s="53" t="s">
        <v>153</v>
      </c>
      <c r="J21" s="188" t="s">
        <v>38</v>
      </c>
      <c r="K21" s="188" t="s">
        <v>154</v>
      </c>
      <c r="L21" s="180">
        <v>2</v>
      </c>
      <c r="N21" s="180">
        <v>4</v>
      </c>
      <c r="O21" s="180">
        <v>0.6</v>
      </c>
      <c r="P21" s="180">
        <v>0.7</v>
      </c>
      <c r="Q21" s="217">
        <f t="shared" si="0"/>
        <v>0.64999999999999991</v>
      </c>
      <c r="R21" s="180">
        <v>11.4</v>
      </c>
      <c r="S21" s="180">
        <v>102</v>
      </c>
      <c r="T21" s="189">
        <f t="shared" si="1"/>
        <v>33</v>
      </c>
      <c r="U21" s="180">
        <v>377</v>
      </c>
      <c r="V21" s="189">
        <f t="shared" si="2"/>
        <v>3110.25</v>
      </c>
      <c r="W21" s="180">
        <v>2</v>
      </c>
      <c r="X21" s="53" t="s">
        <v>46</v>
      </c>
      <c r="Y21" s="53" t="s">
        <v>78</v>
      </c>
      <c r="Z21" s="188" t="s">
        <v>102</v>
      </c>
      <c r="AA21" s="53" t="s">
        <v>90</v>
      </c>
      <c r="AP21" s="211" t="s">
        <v>114</v>
      </c>
      <c r="AR21" s="210" t="s">
        <v>68</v>
      </c>
      <c r="AV21" s="201" t="s">
        <v>398</v>
      </c>
    </row>
    <row r="22" spans="1:48" x14ac:dyDescent="0.15">
      <c r="A22" s="53" t="s">
        <v>56</v>
      </c>
      <c r="B22" s="53" t="s">
        <v>384</v>
      </c>
      <c r="C22" s="188">
        <v>2018</v>
      </c>
      <c r="D22" s="58" t="s">
        <v>385</v>
      </c>
      <c r="E22" s="188" t="s">
        <v>396</v>
      </c>
      <c r="F22" s="188" t="s">
        <v>397</v>
      </c>
      <c r="G22" s="53" t="s">
        <v>42</v>
      </c>
      <c r="H22" s="188" t="s">
        <v>168</v>
      </c>
      <c r="I22" s="53" t="s">
        <v>153</v>
      </c>
      <c r="J22" s="188" t="s">
        <v>38</v>
      </c>
      <c r="K22" s="188" t="s">
        <v>154</v>
      </c>
      <c r="L22" s="180">
        <v>3</v>
      </c>
      <c r="N22" s="180">
        <v>4</v>
      </c>
      <c r="O22" s="180">
        <v>0.6</v>
      </c>
      <c r="P22" s="180">
        <v>0.6</v>
      </c>
      <c r="Q22" s="217">
        <f t="shared" si="0"/>
        <v>0.6</v>
      </c>
      <c r="R22" s="209">
        <v>12.9</v>
      </c>
      <c r="S22" s="180">
        <v>95</v>
      </c>
      <c r="T22" s="189">
        <f t="shared" si="1"/>
        <v>36</v>
      </c>
      <c r="U22" s="180">
        <v>377</v>
      </c>
      <c r="V22" s="189">
        <f t="shared" si="2"/>
        <v>3393</v>
      </c>
      <c r="W22" s="180">
        <v>2</v>
      </c>
      <c r="X22" s="53" t="s">
        <v>46</v>
      </c>
      <c r="Y22" s="53" t="s">
        <v>78</v>
      </c>
      <c r="Z22" s="188" t="s">
        <v>102</v>
      </c>
      <c r="AA22" s="53" t="s">
        <v>90</v>
      </c>
      <c r="AP22" s="211" t="s">
        <v>115</v>
      </c>
      <c r="AR22" s="210" t="s">
        <v>83</v>
      </c>
    </row>
    <row r="23" spans="1:48" x14ac:dyDescent="0.15">
      <c r="A23" s="53" t="s">
        <v>56</v>
      </c>
      <c r="B23" s="53" t="s">
        <v>384</v>
      </c>
      <c r="C23" s="188">
        <v>2018</v>
      </c>
      <c r="D23" s="58" t="s">
        <v>385</v>
      </c>
      <c r="E23" s="188" t="s">
        <v>396</v>
      </c>
      <c r="F23" s="188" t="s">
        <v>397</v>
      </c>
      <c r="G23" s="53" t="s">
        <v>42</v>
      </c>
      <c r="H23" s="188" t="s">
        <v>168</v>
      </c>
      <c r="I23" s="53" t="s">
        <v>153</v>
      </c>
      <c r="J23" s="188" t="s">
        <v>38</v>
      </c>
      <c r="K23" s="188" t="s">
        <v>154</v>
      </c>
      <c r="L23" s="180">
        <v>1</v>
      </c>
      <c r="N23" s="180">
        <v>4</v>
      </c>
      <c r="O23" s="180">
        <v>0.7</v>
      </c>
      <c r="P23" s="180">
        <v>0.75</v>
      </c>
      <c r="Q23" s="217">
        <f t="shared" si="0"/>
        <v>0.72499999999999998</v>
      </c>
      <c r="R23" s="180">
        <v>14.8</v>
      </c>
      <c r="S23" s="180">
        <v>111</v>
      </c>
      <c r="T23" s="189">
        <f t="shared" si="1"/>
        <v>33</v>
      </c>
      <c r="U23" s="180">
        <v>409</v>
      </c>
      <c r="V23" s="189">
        <f t="shared" si="2"/>
        <v>3374.25</v>
      </c>
      <c r="W23" s="180">
        <v>2</v>
      </c>
      <c r="X23" s="53" t="s">
        <v>46</v>
      </c>
      <c r="Y23" s="53" t="s">
        <v>78</v>
      </c>
      <c r="Z23" s="188" t="s">
        <v>102</v>
      </c>
      <c r="AA23" s="53" t="s">
        <v>90</v>
      </c>
      <c r="AP23" s="211" t="s">
        <v>399</v>
      </c>
      <c r="AR23" s="210" t="s">
        <v>61</v>
      </c>
    </row>
    <row r="24" spans="1:48" x14ac:dyDescent="0.15">
      <c r="A24" s="53" t="s">
        <v>56</v>
      </c>
      <c r="B24" s="53" t="s">
        <v>384</v>
      </c>
      <c r="C24" s="188">
        <v>2018</v>
      </c>
      <c r="D24" s="58" t="s">
        <v>385</v>
      </c>
      <c r="E24" s="188" t="s">
        <v>396</v>
      </c>
      <c r="F24" s="188" t="s">
        <v>397</v>
      </c>
      <c r="G24" s="53" t="s">
        <v>42</v>
      </c>
      <c r="H24" s="188" t="s">
        <v>168</v>
      </c>
      <c r="I24" s="53" t="s">
        <v>153</v>
      </c>
      <c r="J24" s="188" t="s">
        <v>38</v>
      </c>
      <c r="K24" s="188" t="s">
        <v>154</v>
      </c>
      <c r="L24" s="180">
        <v>2</v>
      </c>
      <c r="N24" s="180">
        <v>4</v>
      </c>
      <c r="O24" s="180">
        <v>0.7</v>
      </c>
      <c r="P24" s="180">
        <v>0.6</v>
      </c>
      <c r="Q24" s="217">
        <f t="shared" si="0"/>
        <v>0.64999999999999991</v>
      </c>
      <c r="R24" s="180">
        <v>15.6</v>
      </c>
      <c r="S24" s="180">
        <v>113</v>
      </c>
      <c r="T24" s="189">
        <f t="shared" si="1"/>
        <v>30</v>
      </c>
      <c r="U24" s="180">
        <v>409</v>
      </c>
      <c r="V24" s="189">
        <f t="shared" si="2"/>
        <v>3067.5</v>
      </c>
      <c r="W24" s="180">
        <v>2</v>
      </c>
      <c r="X24" s="53" t="s">
        <v>46</v>
      </c>
      <c r="Y24" s="53" t="s">
        <v>78</v>
      </c>
      <c r="Z24" s="188" t="s">
        <v>102</v>
      </c>
      <c r="AA24" s="53" t="s">
        <v>90</v>
      </c>
      <c r="AP24" s="211" t="s">
        <v>400</v>
      </c>
      <c r="AR24" s="210" t="s">
        <v>91</v>
      </c>
    </row>
    <row r="25" spans="1:48" x14ac:dyDescent="0.15">
      <c r="A25" s="53" t="s">
        <v>56</v>
      </c>
      <c r="B25" s="53" t="s">
        <v>384</v>
      </c>
      <c r="C25" s="188">
        <v>2018</v>
      </c>
      <c r="D25" s="58" t="s">
        <v>385</v>
      </c>
      <c r="E25" s="188" t="s">
        <v>396</v>
      </c>
      <c r="F25" s="188" t="s">
        <v>397</v>
      </c>
      <c r="G25" s="53" t="s">
        <v>42</v>
      </c>
      <c r="H25" s="188" t="s">
        <v>168</v>
      </c>
      <c r="I25" s="53" t="s">
        <v>153</v>
      </c>
      <c r="J25" s="188" t="s">
        <v>38</v>
      </c>
      <c r="K25" s="188" t="s">
        <v>154</v>
      </c>
      <c r="L25" s="180">
        <v>3</v>
      </c>
      <c r="N25" s="180">
        <v>4</v>
      </c>
      <c r="O25" s="180">
        <v>0.65</v>
      </c>
      <c r="P25" s="180">
        <v>0.65</v>
      </c>
      <c r="Q25" s="217">
        <f t="shared" si="0"/>
        <v>0.65</v>
      </c>
      <c r="R25" s="209">
        <v>16</v>
      </c>
      <c r="S25" s="180">
        <v>109</v>
      </c>
      <c r="T25" s="189">
        <f t="shared" si="1"/>
        <v>33</v>
      </c>
      <c r="U25" s="180">
        <v>409</v>
      </c>
      <c r="V25" s="189">
        <f t="shared" si="2"/>
        <v>3374.25</v>
      </c>
      <c r="W25" s="180">
        <v>2</v>
      </c>
      <c r="X25" s="53" t="s">
        <v>46</v>
      </c>
      <c r="Y25" s="53" t="s">
        <v>78</v>
      </c>
      <c r="Z25" s="188" t="s">
        <v>102</v>
      </c>
      <c r="AA25" s="53" t="s">
        <v>90</v>
      </c>
      <c r="AP25" s="211" t="s">
        <v>116</v>
      </c>
      <c r="AR25" s="42" t="s">
        <v>92</v>
      </c>
    </row>
    <row r="26" spans="1:48" x14ac:dyDescent="0.15">
      <c r="A26" s="53" t="s">
        <v>56</v>
      </c>
      <c r="B26" s="53" t="s">
        <v>384</v>
      </c>
      <c r="C26" s="188">
        <v>2018</v>
      </c>
      <c r="D26" s="58" t="s">
        <v>385</v>
      </c>
      <c r="E26" s="188" t="s">
        <v>324</v>
      </c>
      <c r="F26" s="188" t="s">
        <v>188</v>
      </c>
      <c r="G26" s="53" t="s">
        <v>42</v>
      </c>
      <c r="H26" s="188" t="s">
        <v>155</v>
      </c>
      <c r="I26" s="53" t="s">
        <v>153</v>
      </c>
      <c r="J26" s="188" t="s">
        <v>38</v>
      </c>
      <c r="K26" s="188" t="s">
        <v>154</v>
      </c>
      <c r="L26" s="180">
        <v>1</v>
      </c>
      <c r="N26" s="180">
        <v>1</v>
      </c>
      <c r="O26" s="180">
        <v>0.9</v>
      </c>
      <c r="P26" s="180">
        <v>0.9</v>
      </c>
      <c r="Q26" s="217">
        <f t="shared" si="0"/>
        <v>0.9</v>
      </c>
      <c r="R26" s="180">
        <v>15.6</v>
      </c>
      <c r="S26" s="180">
        <v>137</v>
      </c>
      <c r="T26" s="189">
        <f t="shared" si="1"/>
        <v>25</v>
      </c>
      <c r="U26" s="180">
        <v>105</v>
      </c>
      <c r="V26" s="189">
        <f t="shared" si="2"/>
        <v>2625</v>
      </c>
      <c r="W26" s="180">
        <v>2</v>
      </c>
      <c r="X26" s="53" t="s">
        <v>46</v>
      </c>
      <c r="Y26" s="53" t="s">
        <v>102</v>
      </c>
      <c r="Z26" s="188" t="s">
        <v>78</v>
      </c>
      <c r="AA26" s="53" t="s">
        <v>90</v>
      </c>
      <c r="AP26" s="211" t="s">
        <v>117</v>
      </c>
      <c r="AR26" s="180" t="s">
        <v>298</v>
      </c>
    </row>
    <row r="27" spans="1:48" x14ac:dyDescent="0.15">
      <c r="A27" s="53" t="s">
        <v>56</v>
      </c>
      <c r="B27" s="53" t="s">
        <v>384</v>
      </c>
      <c r="C27" s="188">
        <v>2018</v>
      </c>
      <c r="D27" s="58" t="s">
        <v>385</v>
      </c>
      <c r="E27" s="188" t="s">
        <v>324</v>
      </c>
      <c r="F27" s="188" t="s">
        <v>188</v>
      </c>
      <c r="G27" s="53" t="s">
        <v>42</v>
      </c>
      <c r="H27" s="188" t="s">
        <v>155</v>
      </c>
      <c r="I27" s="53" t="s">
        <v>153</v>
      </c>
      <c r="J27" s="188" t="s">
        <v>38</v>
      </c>
      <c r="K27" s="188" t="s">
        <v>154</v>
      </c>
      <c r="L27" s="180">
        <v>2</v>
      </c>
      <c r="N27" s="180">
        <v>1</v>
      </c>
      <c r="O27" s="180">
        <v>0.75</v>
      </c>
      <c r="P27" s="180">
        <v>0.75</v>
      </c>
      <c r="Q27" s="217">
        <f t="shared" si="0"/>
        <v>0.75</v>
      </c>
      <c r="R27" s="180">
        <v>15.6</v>
      </c>
      <c r="S27" s="180">
        <v>146</v>
      </c>
      <c r="T27" s="189">
        <f t="shared" si="1"/>
        <v>22</v>
      </c>
      <c r="U27" s="180">
        <v>105</v>
      </c>
      <c r="V27" s="189">
        <f t="shared" si="2"/>
        <v>2310</v>
      </c>
      <c r="W27" s="180">
        <v>2</v>
      </c>
      <c r="X27" s="53" t="s">
        <v>46</v>
      </c>
      <c r="Y27" s="53" t="s">
        <v>102</v>
      </c>
      <c r="Z27" s="188" t="s">
        <v>78</v>
      </c>
      <c r="AA27" s="53" t="s">
        <v>90</v>
      </c>
      <c r="AP27" s="211" t="s">
        <v>118</v>
      </c>
    </row>
    <row r="28" spans="1:48" x14ac:dyDescent="0.15">
      <c r="A28" s="53" t="s">
        <v>56</v>
      </c>
      <c r="B28" s="53" t="s">
        <v>384</v>
      </c>
      <c r="C28" s="188">
        <v>2018</v>
      </c>
      <c r="D28" s="58" t="s">
        <v>385</v>
      </c>
      <c r="E28" s="188" t="s">
        <v>324</v>
      </c>
      <c r="F28" s="188" t="s">
        <v>188</v>
      </c>
      <c r="G28" s="53" t="s">
        <v>42</v>
      </c>
      <c r="H28" s="188" t="s">
        <v>155</v>
      </c>
      <c r="I28" s="53" t="s">
        <v>153</v>
      </c>
      <c r="J28" s="188" t="s">
        <v>38</v>
      </c>
      <c r="K28" s="188" t="s">
        <v>154</v>
      </c>
      <c r="L28" s="180">
        <v>3</v>
      </c>
      <c r="N28" s="180">
        <v>1</v>
      </c>
      <c r="O28" s="180">
        <v>0.7</v>
      </c>
      <c r="P28" s="180">
        <v>0.9</v>
      </c>
      <c r="Q28" s="217">
        <f t="shared" si="0"/>
        <v>0.8</v>
      </c>
      <c r="R28" s="209">
        <v>14.2</v>
      </c>
      <c r="S28" s="180">
        <v>135</v>
      </c>
      <c r="T28" s="189">
        <f t="shared" si="1"/>
        <v>25</v>
      </c>
      <c r="U28" s="180">
        <v>105</v>
      </c>
      <c r="V28" s="189">
        <f t="shared" si="2"/>
        <v>2625</v>
      </c>
      <c r="W28" s="180">
        <v>2</v>
      </c>
      <c r="X28" s="53" t="s">
        <v>46</v>
      </c>
      <c r="Y28" s="53" t="s">
        <v>102</v>
      </c>
      <c r="Z28" s="188" t="s">
        <v>78</v>
      </c>
      <c r="AA28" s="53" t="s">
        <v>90</v>
      </c>
    </row>
    <row r="29" spans="1:48" x14ac:dyDescent="0.15">
      <c r="A29" s="53" t="s">
        <v>56</v>
      </c>
      <c r="B29" s="53" t="s">
        <v>384</v>
      </c>
      <c r="C29" s="188">
        <v>2018</v>
      </c>
      <c r="D29" s="58" t="s">
        <v>385</v>
      </c>
      <c r="E29" s="188" t="s">
        <v>324</v>
      </c>
      <c r="F29" s="188" t="s">
        <v>188</v>
      </c>
      <c r="G29" s="53" t="s">
        <v>42</v>
      </c>
      <c r="H29" s="188" t="s">
        <v>168</v>
      </c>
      <c r="I29" s="53" t="s">
        <v>153</v>
      </c>
      <c r="J29" s="188" t="s">
        <v>38</v>
      </c>
      <c r="K29" s="188" t="s">
        <v>154</v>
      </c>
      <c r="L29" s="180">
        <v>1</v>
      </c>
      <c r="N29" s="180">
        <v>1</v>
      </c>
      <c r="O29" s="180">
        <v>0.65</v>
      </c>
      <c r="P29" s="180">
        <v>0.7</v>
      </c>
      <c r="Q29" s="217">
        <f t="shared" si="0"/>
        <v>0.67500000000000004</v>
      </c>
      <c r="R29" s="180">
        <v>17.600000000000001</v>
      </c>
      <c r="S29" s="180">
        <v>145</v>
      </c>
      <c r="T29" s="189">
        <f t="shared" si="1"/>
        <v>22</v>
      </c>
      <c r="U29" s="180">
        <v>149</v>
      </c>
      <c r="V29" s="189">
        <f t="shared" si="2"/>
        <v>3278</v>
      </c>
      <c r="W29" s="180">
        <v>2</v>
      </c>
      <c r="X29" s="53" t="s">
        <v>46</v>
      </c>
      <c r="Y29" s="53" t="s">
        <v>102</v>
      </c>
      <c r="Z29" s="188" t="s">
        <v>78</v>
      </c>
      <c r="AA29" s="53" t="s">
        <v>90</v>
      </c>
    </row>
    <row r="30" spans="1:48" x14ac:dyDescent="0.15">
      <c r="A30" s="53" t="s">
        <v>56</v>
      </c>
      <c r="B30" s="53" t="s">
        <v>384</v>
      </c>
      <c r="C30" s="188">
        <v>2018</v>
      </c>
      <c r="D30" s="58" t="s">
        <v>385</v>
      </c>
      <c r="E30" s="188" t="s">
        <v>324</v>
      </c>
      <c r="F30" s="188" t="s">
        <v>188</v>
      </c>
      <c r="G30" s="53" t="s">
        <v>42</v>
      </c>
      <c r="H30" s="188" t="s">
        <v>168</v>
      </c>
      <c r="I30" s="53" t="s">
        <v>153</v>
      </c>
      <c r="J30" s="188" t="s">
        <v>38</v>
      </c>
      <c r="K30" s="188" t="s">
        <v>154</v>
      </c>
      <c r="L30" s="180">
        <v>2</v>
      </c>
      <c r="N30" s="180">
        <v>1</v>
      </c>
      <c r="O30" s="180">
        <v>0.6</v>
      </c>
      <c r="P30" s="180">
        <v>0.6</v>
      </c>
      <c r="Q30" s="217">
        <f t="shared" si="0"/>
        <v>0.6</v>
      </c>
      <c r="R30" s="180">
        <v>17</v>
      </c>
      <c r="S30" s="180">
        <v>139</v>
      </c>
      <c r="T30" s="189">
        <f t="shared" si="1"/>
        <v>22</v>
      </c>
      <c r="U30" s="180">
        <v>149</v>
      </c>
      <c r="V30" s="189">
        <f t="shared" si="2"/>
        <v>3278</v>
      </c>
      <c r="W30" s="180">
        <v>2</v>
      </c>
      <c r="X30" s="53" t="s">
        <v>46</v>
      </c>
      <c r="Y30" s="53" t="s">
        <v>102</v>
      </c>
      <c r="Z30" s="188" t="s">
        <v>78</v>
      </c>
      <c r="AA30" s="53" t="s">
        <v>90</v>
      </c>
    </row>
    <row r="31" spans="1:48" x14ac:dyDescent="0.15">
      <c r="A31" s="53" t="s">
        <v>56</v>
      </c>
      <c r="B31" s="53" t="s">
        <v>384</v>
      </c>
      <c r="C31" s="188">
        <v>2018</v>
      </c>
      <c r="D31" s="58" t="s">
        <v>385</v>
      </c>
      <c r="E31" s="188" t="s">
        <v>324</v>
      </c>
      <c r="F31" s="188" t="s">
        <v>188</v>
      </c>
      <c r="G31" s="53" t="s">
        <v>42</v>
      </c>
      <c r="H31" s="188" t="s">
        <v>168</v>
      </c>
      <c r="I31" s="53" t="s">
        <v>153</v>
      </c>
      <c r="J31" s="188" t="s">
        <v>38</v>
      </c>
      <c r="K31" s="188" t="s">
        <v>154</v>
      </c>
      <c r="L31" s="180">
        <v>3</v>
      </c>
      <c r="N31" s="180">
        <v>1</v>
      </c>
      <c r="O31" s="180">
        <v>0.8</v>
      </c>
      <c r="P31" s="180">
        <v>0.7</v>
      </c>
      <c r="Q31" s="217">
        <f t="shared" si="0"/>
        <v>0.75</v>
      </c>
      <c r="R31" s="180">
        <v>15.7</v>
      </c>
      <c r="S31" s="180">
        <v>125</v>
      </c>
      <c r="T31" s="189">
        <f t="shared" si="1"/>
        <v>27</v>
      </c>
      <c r="U31" s="180">
        <v>149</v>
      </c>
      <c r="V31" s="189">
        <f t="shared" si="2"/>
        <v>4023</v>
      </c>
      <c r="W31" s="180">
        <v>2</v>
      </c>
      <c r="X31" s="53" t="s">
        <v>46</v>
      </c>
      <c r="Y31" s="53" t="s">
        <v>102</v>
      </c>
      <c r="Z31" s="188" t="s">
        <v>78</v>
      </c>
      <c r="AA31" s="53" t="s">
        <v>90</v>
      </c>
    </row>
    <row r="32" spans="1:48" x14ac:dyDescent="0.15">
      <c r="A32" s="53" t="s">
        <v>56</v>
      </c>
      <c r="B32" s="53" t="s">
        <v>384</v>
      </c>
      <c r="C32" s="188">
        <v>2018</v>
      </c>
      <c r="D32" s="58" t="s">
        <v>385</v>
      </c>
      <c r="E32" s="188" t="s">
        <v>401</v>
      </c>
      <c r="F32" s="188" t="s">
        <v>188</v>
      </c>
      <c r="G32" s="53" t="s">
        <v>42</v>
      </c>
      <c r="H32" s="188" t="s">
        <v>155</v>
      </c>
      <c r="I32" s="53" t="s">
        <v>153</v>
      </c>
      <c r="J32" s="188" t="s">
        <v>38</v>
      </c>
      <c r="K32" s="188" t="s">
        <v>154</v>
      </c>
      <c r="L32" s="180">
        <v>1</v>
      </c>
      <c r="N32" s="180">
        <v>1</v>
      </c>
      <c r="O32" s="180">
        <v>0.8</v>
      </c>
      <c r="P32" s="180">
        <v>0.8</v>
      </c>
      <c r="Q32" s="189">
        <f t="shared" si="0"/>
        <v>0.8</v>
      </c>
      <c r="R32" s="180">
        <v>15.1</v>
      </c>
      <c r="S32" s="180">
        <v>132</v>
      </c>
      <c r="T32" s="189">
        <f t="shared" si="1"/>
        <v>25</v>
      </c>
      <c r="U32" s="180">
        <v>138</v>
      </c>
      <c r="V32" s="189">
        <f t="shared" si="2"/>
        <v>3450</v>
      </c>
      <c r="W32" s="180">
        <v>1</v>
      </c>
      <c r="X32" s="53" t="s">
        <v>39</v>
      </c>
      <c r="Y32" s="53" t="s">
        <v>88</v>
      </c>
      <c r="Z32" s="188" t="s">
        <v>102</v>
      </c>
      <c r="AA32" s="53" t="s">
        <v>78</v>
      </c>
    </row>
    <row r="33" spans="1:27" x14ac:dyDescent="0.15">
      <c r="A33" s="53" t="s">
        <v>56</v>
      </c>
      <c r="B33" s="53" t="s">
        <v>384</v>
      </c>
      <c r="C33" s="188">
        <v>2018</v>
      </c>
      <c r="D33" s="58" t="s">
        <v>385</v>
      </c>
      <c r="E33" s="188" t="s">
        <v>401</v>
      </c>
      <c r="F33" s="188" t="s">
        <v>188</v>
      </c>
      <c r="G33" s="53" t="s">
        <v>42</v>
      </c>
      <c r="H33" s="188" t="s">
        <v>155</v>
      </c>
      <c r="I33" s="53" t="s">
        <v>153</v>
      </c>
      <c r="J33" s="188" t="s">
        <v>38</v>
      </c>
      <c r="K33" s="188" t="s">
        <v>154</v>
      </c>
      <c r="L33" s="180">
        <v>2</v>
      </c>
      <c r="N33" s="180">
        <v>1</v>
      </c>
      <c r="O33" s="180">
        <v>1</v>
      </c>
      <c r="P33" s="180">
        <v>0.9</v>
      </c>
      <c r="Q33" s="189">
        <f t="shared" si="0"/>
        <v>0.95</v>
      </c>
      <c r="R33" s="180">
        <v>12</v>
      </c>
      <c r="S33" s="180">
        <v>135</v>
      </c>
      <c r="T33" s="189">
        <f t="shared" si="1"/>
        <v>25</v>
      </c>
      <c r="U33" s="180">
        <v>138</v>
      </c>
      <c r="V33" s="189">
        <f t="shared" si="2"/>
        <v>3450</v>
      </c>
      <c r="W33" s="180">
        <v>1</v>
      </c>
      <c r="X33" s="53" t="s">
        <v>39</v>
      </c>
      <c r="Y33" s="53" t="s">
        <v>88</v>
      </c>
      <c r="Z33" s="188" t="s">
        <v>102</v>
      </c>
      <c r="AA33" s="53" t="s">
        <v>78</v>
      </c>
    </row>
    <row r="34" spans="1:27" x14ac:dyDescent="0.15">
      <c r="A34" s="53" t="s">
        <v>56</v>
      </c>
      <c r="B34" s="53" t="s">
        <v>384</v>
      </c>
      <c r="C34" s="188">
        <v>2018</v>
      </c>
      <c r="D34" s="58" t="s">
        <v>385</v>
      </c>
      <c r="E34" s="188" t="s">
        <v>401</v>
      </c>
      <c r="F34" s="188" t="s">
        <v>188</v>
      </c>
      <c r="G34" s="53" t="s">
        <v>42</v>
      </c>
      <c r="H34" s="188" t="s">
        <v>155</v>
      </c>
      <c r="I34" s="53" t="s">
        <v>153</v>
      </c>
      <c r="J34" s="188" t="s">
        <v>38</v>
      </c>
      <c r="K34" s="188" t="s">
        <v>154</v>
      </c>
      <c r="L34" s="180">
        <v>3</v>
      </c>
      <c r="N34" s="180">
        <v>1</v>
      </c>
      <c r="O34" s="180">
        <v>1</v>
      </c>
      <c r="P34" s="180">
        <v>1</v>
      </c>
      <c r="Q34" s="189">
        <f t="shared" si="0"/>
        <v>1</v>
      </c>
      <c r="R34" s="180">
        <v>15.5</v>
      </c>
      <c r="S34" s="180">
        <v>130</v>
      </c>
      <c r="T34" s="189">
        <f t="shared" si="1"/>
        <v>25</v>
      </c>
      <c r="U34" s="180">
        <v>138</v>
      </c>
      <c r="V34" s="189">
        <f t="shared" si="2"/>
        <v>3450</v>
      </c>
      <c r="W34" s="180">
        <v>1</v>
      </c>
      <c r="X34" s="53" t="s">
        <v>39</v>
      </c>
      <c r="Y34" s="53" t="s">
        <v>88</v>
      </c>
      <c r="Z34" s="188" t="s">
        <v>102</v>
      </c>
      <c r="AA34" s="53" t="s">
        <v>78</v>
      </c>
    </row>
    <row r="35" spans="1:27" x14ac:dyDescent="0.15">
      <c r="A35" s="53" t="s">
        <v>56</v>
      </c>
      <c r="B35" s="53" t="s">
        <v>384</v>
      </c>
      <c r="C35" s="188">
        <v>2018</v>
      </c>
      <c r="D35" s="58" t="s">
        <v>385</v>
      </c>
      <c r="E35" s="188" t="s">
        <v>401</v>
      </c>
      <c r="F35" s="188" t="s">
        <v>188</v>
      </c>
      <c r="G35" s="53" t="s">
        <v>42</v>
      </c>
      <c r="H35" s="188" t="s">
        <v>168</v>
      </c>
      <c r="I35" s="53" t="s">
        <v>153</v>
      </c>
      <c r="J35" s="188" t="s">
        <v>38</v>
      </c>
      <c r="K35" s="188" t="s">
        <v>154</v>
      </c>
      <c r="L35" s="180">
        <v>1</v>
      </c>
      <c r="N35" s="180">
        <v>1</v>
      </c>
      <c r="O35" s="180">
        <v>0.7</v>
      </c>
      <c r="P35" s="180">
        <v>0.7</v>
      </c>
      <c r="Q35" s="189">
        <f t="shared" si="0"/>
        <v>0.7</v>
      </c>
      <c r="R35" s="180">
        <v>15.8</v>
      </c>
      <c r="S35" s="180">
        <v>127</v>
      </c>
      <c r="T35" s="189">
        <f t="shared" si="1"/>
        <v>27</v>
      </c>
      <c r="U35" s="180">
        <v>178</v>
      </c>
      <c r="V35" s="189">
        <f t="shared" si="2"/>
        <v>4806</v>
      </c>
      <c r="W35" s="180">
        <v>1</v>
      </c>
      <c r="X35" s="53" t="s">
        <v>39</v>
      </c>
      <c r="Y35" s="53" t="s">
        <v>88</v>
      </c>
      <c r="Z35" s="188" t="s">
        <v>102</v>
      </c>
      <c r="AA35" s="53" t="s">
        <v>78</v>
      </c>
    </row>
    <row r="36" spans="1:27" x14ac:dyDescent="0.15">
      <c r="A36" s="53" t="s">
        <v>56</v>
      </c>
      <c r="B36" s="53" t="s">
        <v>384</v>
      </c>
      <c r="C36" s="188">
        <v>2018</v>
      </c>
      <c r="D36" s="58" t="s">
        <v>385</v>
      </c>
      <c r="E36" s="188" t="s">
        <v>401</v>
      </c>
      <c r="F36" s="188" t="s">
        <v>188</v>
      </c>
      <c r="G36" s="53" t="s">
        <v>42</v>
      </c>
      <c r="H36" s="188" t="s">
        <v>168</v>
      </c>
      <c r="I36" s="53" t="s">
        <v>153</v>
      </c>
      <c r="J36" s="188" t="s">
        <v>38</v>
      </c>
      <c r="K36" s="188" t="s">
        <v>154</v>
      </c>
      <c r="L36" s="180">
        <v>2</v>
      </c>
      <c r="N36" s="180">
        <v>1</v>
      </c>
      <c r="O36" s="180">
        <v>0.75</v>
      </c>
      <c r="P36" s="180">
        <v>0.7</v>
      </c>
      <c r="Q36" s="189">
        <f t="shared" si="0"/>
        <v>0.72499999999999998</v>
      </c>
      <c r="R36" s="180">
        <v>13.4</v>
      </c>
      <c r="S36" s="180">
        <v>131</v>
      </c>
      <c r="T36" s="189">
        <f t="shared" si="1"/>
        <v>25</v>
      </c>
      <c r="U36" s="180">
        <v>178</v>
      </c>
      <c r="V36" s="189">
        <f t="shared" si="2"/>
        <v>4450</v>
      </c>
      <c r="W36" s="180">
        <v>1</v>
      </c>
      <c r="X36" s="53" t="s">
        <v>39</v>
      </c>
      <c r="Y36" s="53" t="s">
        <v>88</v>
      </c>
      <c r="Z36" s="188" t="s">
        <v>102</v>
      </c>
      <c r="AA36" s="53" t="s">
        <v>78</v>
      </c>
    </row>
    <row r="37" spans="1:27" x14ac:dyDescent="0.15">
      <c r="A37" s="53" t="s">
        <v>56</v>
      </c>
      <c r="B37" s="53" t="s">
        <v>384</v>
      </c>
      <c r="C37" s="188">
        <v>2018</v>
      </c>
      <c r="D37" s="58" t="s">
        <v>385</v>
      </c>
      <c r="E37" s="188" t="s">
        <v>401</v>
      </c>
      <c r="F37" s="188" t="s">
        <v>188</v>
      </c>
      <c r="G37" s="53" t="s">
        <v>42</v>
      </c>
      <c r="H37" s="188" t="s">
        <v>168</v>
      </c>
      <c r="I37" s="53" t="s">
        <v>153</v>
      </c>
      <c r="J37" s="188" t="s">
        <v>38</v>
      </c>
      <c r="K37" s="188" t="s">
        <v>154</v>
      </c>
      <c r="L37" s="180">
        <v>3</v>
      </c>
      <c r="N37" s="180">
        <v>1</v>
      </c>
      <c r="O37" s="180">
        <v>0.75</v>
      </c>
      <c r="P37" s="180">
        <v>0.8</v>
      </c>
      <c r="Q37" s="189">
        <f t="shared" si="0"/>
        <v>0.77500000000000002</v>
      </c>
      <c r="R37" s="180">
        <v>13.4</v>
      </c>
      <c r="S37" s="180">
        <v>136</v>
      </c>
      <c r="T37" s="189">
        <f t="shared" si="1"/>
        <v>25</v>
      </c>
      <c r="U37" s="180">
        <v>178</v>
      </c>
      <c r="V37" s="189">
        <f t="shared" si="2"/>
        <v>4450</v>
      </c>
      <c r="W37" s="180">
        <v>1</v>
      </c>
      <c r="X37" s="53" t="s">
        <v>39</v>
      </c>
      <c r="Y37" s="53" t="s">
        <v>88</v>
      </c>
      <c r="Z37" s="188" t="s">
        <v>102</v>
      </c>
      <c r="AA37" s="53" t="s">
        <v>78</v>
      </c>
    </row>
    <row r="38" spans="1:27" x14ac:dyDescent="0.15">
      <c r="A38" s="53" t="s">
        <v>56</v>
      </c>
      <c r="B38" s="53" t="s">
        <v>384</v>
      </c>
      <c r="C38" s="188">
        <v>2018</v>
      </c>
      <c r="D38" s="58" t="s">
        <v>385</v>
      </c>
      <c r="E38" s="188" t="s">
        <v>189</v>
      </c>
      <c r="F38" s="188" t="s">
        <v>397</v>
      </c>
      <c r="G38" s="53" t="s">
        <v>42</v>
      </c>
      <c r="H38" s="188" t="s">
        <v>155</v>
      </c>
      <c r="I38" s="53" t="s">
        <v>156</v>
      </c>
      <c r="J38" s="188" t="s">
        <v>38</v>
      </c>
      <c r="K38" s="188" t="s">
        <v>154</v>
      </c>
      <c r="L38" s="180">
        <v>1</v>
      </c>
      <c r="N38" s="180">
        <v>1</v>
      </c>
      <c r="O38" s="180">
        <v>0.75</v>
      </c>
      <c r="P38" s="180">
        <v>0.7</v>
      </c>
      <c r="Q38" s="189">
        <f t="shared" si="0"/>
        <v>0.72499999999999998</v>
      </c>
      <c r="R38" s="180">
        <v>15.8</v>
      </c>
      <c r="S38" s="180">
        <v>123</v>
      </c>
      <c r="T38" s="189">
        <f t="shared" si="1"/>
        <v>27</v>
      </c>
      <c r="U38" s="180">
        <v>172</v>
      </c>
      <c r="V38" s="189">
        <f t="shared" si="2"/>
        <v>4644</v>
      </c>
      <c r="W38" s="180">
        <v>4</v>
      </c>
      <c r="X38" s="53" t="s">
        <v>39</v>
      </c>
      <c r="Y38" s="53" t="s">
        <v>90</v>
      </c>
      <c r="Z38" s="180" t="s">
        <v>88</v>
      </c>
      <c r="AA38" s="53" t="s">
        <v>102</v>
      </c>
    </row>
    <row r="39" spans="1:27" x14ac:dyDescent="0.15">
      <c r="A39" s="53" t="s">
        <v>56</v>
      </c>
      <c r="B39" s="53" t="s">
        <v>384</v>
      </c>
      <c r="C39" s="188">
        <v>2018</v>
      </c>
      <c r="D39" s="58" t="s">
        <v>385</v>
      </c>
      <c r="E39" s="188" t="s">
        <v>189</v>
      </c>
      <c r="F39" s="188" t="s">
        <v>397</v>
      </c>
      <c r="G39" s="53" t="s">
        <v>42</v>
      </c>
      <c r="H39" s="188" t="s">
        <v>155</v>
      </c>
      <c r="I39" s="53" t="s">
        <v>156</v>
      </c>
      <c r="J39" s="188" t="s">
        <v>38</v>
      </c>
      <c r="K39" s="188" t="s">
        <v>154</v>
      </c>
      <c r="L39" s="180">
        <v>2</v>
      </c>
      <c r="N39" s="180">
        <v>1</v>
      </c>
      <c r="O39" s="180">
        <v>0.65</v>
      </c>
      <c r="P39" s="180">
        <v>0.7</v>
      </c>
      <c r="Q39" s="189">
        <f t="shared" si="0"/>
        <v>0.67500000000000004</v>
      </c>
      <c r="R39" s="180">
        <v>14.4</v>
      </c>
      <c r="S39" s="180">
        <v>121</v>
      </c>
      <c r="T39" s="189">
        <f t="shared" si="1"/>
        <v>27</v>
      </c>
      <c r="U39" s="180">
        <v>172</v>
      </c>
      <c r="V39" s="189">
        <f t="shared" si="2"/>
        <v>4644</v>
      </c>
      <c r="W39" s="180">
        <v>4</v>
      </c>
      <c r="X39" s="53" t="s">
        <v>39</v>
      </c>
      <c r="Y39" s="53" t="s">
        <v>90</v>
      </c>
      <c r="Z39" s="180" t="s">
        <v>88</v>
      </c>
      <c r="AA39" s="53" t="s">
        <v>102</v>
      </c>
    </row>
    <row r="40" spans="1:27" x14ac:dyDescent="0.15">
      <c r="A40" s="53" t="s">
        <v>56</v>
      </c>
      <c r="B40" s="53" t="s">
        <v>384</v>
      </c>
      <c r="C40" s="188">
        <v>2018</v>
      </c>
      <c r="D40" s="58" t="s">
        <v>385</v>
      </c>
      <c r="E40" s="188" t="s">
        <v>189</v>
      </c>
      <c r="F40" s="188" t="s">
        <v>397</v>
      </c>
      <c r="G40" s="53" t="s">
        <v>42</v>
      </c>
      <c r="H40" s="188" t="s">
        <v>155</v>
      </c>
      <c r="I40" s="53" t="s">
        <v>156</v>
      </c>
      <c r="J40" s="188" t="s">
        <v>38</v>
      </c>
      <c r="K40" s="188" t="s">
        <v>154</v>
      </c>
      <c r="L40" s="180">
        <v>3</v>
      </c>
      <c r="N40" s="180">
        <v>1</v>
      </c>
      <c r="O40" s="180">
        <v>0.65</v>
      </c>
      <c r="P40" s="180">
        <v>0.75</v>
      </c>
      <c r="Q40" s="189">
        <f t="shared" si="0"/>
        <v>0.7</v>
      </c>
      <c r="R40" s="180">
        <v>15.4</v>
      </c>
      <c r="S40" s="180">
        <v>116</v>
      </c>
      <c r="T40" s="189">
        <f t="shared" si="1"/>
        <v>30</v>
      </c>
      <c r="U40" s="180">
        <v>172</v>
      </c>
      <c r="V40" s="189">
        <f t="shared" si="2"/>
        <v>5160</v>
      </c>
      <c r="W40" s="180">
        <v>4</v>
      </c>
      <c r="X40" s="53" t="s">
        <v>39</v>
      </c>
      <c r="Y40" s="53" t="s">
        <v>90</v>
      </c>
      <c r="Z40" s="180" t="s">
        <v>88</v>
      </c>
      <c r="AA40" s="53" t="s">
        <v>102</v>
      </c>
    </row>
    <row r="41" spans="1:27" x14ac:dyDescent="0.15">
      <c r="A41" s="53" t="s">
        <v>56</v>
      </c>
      <c r="B41" s="53" t="s">
        <v>384</v>
      </c>
      <c r="C41" s="188">
        <v>2018</v>
      </c>
      <c r="D41" s="58" t="s">
        <v>385</v>
      </c>
      <c r="E41" s="188" t="s">
        <v>324</v>
      </c>
      <c r="F41" s="188" t="s">
        <v>397</v>
      </c>
      <c r="G41" s="53" t="s">
        <v>42</v>
      </c>
      <c r="H41" s="188" t="s">
        <v>155</v>
      </c>
      <c r="I41" s="53" t="s">
        <v>153</v>
      </c>
      <c r="J41" s="188" t="s">
        <v>38</v>
      </c>
      <c r="K41" s="188" t="s">
        <v>154</v>
      </c>
      <c r="L41" s="180">
        <v>1</v>
      </c>
      <c r="N41" s="180">
        <v>1</v>
      </c>
      <c r="O41" s="180">
        <v>0.6</v>
      </c>
      <c r="P41" s="180">
        <v>0.65</v>
      </c>
      <c r="Q41" s="189">
        <f t="shared" si="0"/>
        <v>0.625</v>
      </c>
      <c r="R41" s="180">
        <v>14.8</v>
      </c>
      <c r="S41" s="180">
        <v>146</v>
      </c>
      <c r="T41" s="189">
        <f t="shared" si="1"/>
        <v>22</v>
      </c>
      <c r="U41" s="180">
        <v>105</v>
      </c>
      <c r="V41" s="189">
        <f t="shared" si="2"/>
        <v>2310</v>
      </c>
      <c r="W41" s="180">
        <v>2</v>
      </c>
      <c r="X41" s="53" t="s">
        <v>46</v>
      </c>
      <c r="Y41" s="53" t="s">
        <v>78</v>
      </c>
      <c r="Z41" s="180" t="s">
        <v>90</v>
      </c>
      <c r="AA41" s="53" t="s">
        <v>102</v>
      </c>
    </row>
    <row r="42" spans="1:27" x14ac:dyDescent="0.15">
      <c r="A42" s="53" t="s">
        <v>56</v>
      </c>
      <c r="B42" s="53" t="s">
        <v>384</v>
      </c>
      <c r="C42" s="188">
        <v>2018</v>
      </c>
      <c r="D42" s="58" t="s">
        <v>385</v>
      </c>
      <c r="E42" s="188" t="s">
        <v>324</v>
      </c>
      <c r="F42" s="188" t="s">
        <v>397</v>
      </c>
      <c r="G42" s="53" t="s">
        <v>42</v>
      </c>
      <c r="H42" s="188" t="s">
        <v>155</v>
      </c>
      <c r="I42" s="53" t="s">
        <v>153</v>
      </c>
      <c r="J42" s="188" t="s">
        <v>38</v>
      </c>
      <c r="K42" s="188" t="s">
        <v>154</v>
      </c>
      <c r="L42" s="180">
        <v>2</v>
      </c>
      <c r="N42" s="180">
        <v>1</v>
      </c>
      <c r="O42" s="180">
        <v>0.75</v>
      </c>
      <c r="P42" s="180">
        <v>0.75</v>
      </c>
      <c r="Q42" s="189">
        <f t="shared" si="0"/>
        <v>0.75</v>
      </c>
      <c r="R42" s="180">
        <v>14.5</v>
      </c>
      <c r="S42" s="180">
        <v>140</v>
      </c>
      <c r="T42" s="189">
        <f t="shared" si="1"/>
        <v>22</v>
      </c>
      <c r="U42" s="180">
        <v>105</v>
      </c>
      <c r="V42" s="189">
        <f t="shared" si="2"/>
        <v>2310</v>
      </c>
      <c r="W42" s="180">
        <v>2</v>
      </c>
      <c r="X42" s="53" t="s">
        <v>46</v>
      </c>
      <c r="Y42" s="53" t="s">
        <v>78</v>
      </c>
      <c r="Z42" s="180" t="s">
        <v>90</v>
      </c>
      <c r="AA42" s="53" t="s">
        <v>102</v>
      </c>
    </row>
    <row r="43" spans="1:27" x14ac:dyDescent="0.15">
      <c r="A43" s="53" t="s">
        <v>56</v>
      </c>
      <c r="B43" s="53" t="s">
        <v>384</v>
      </c>
      <c r="C43" s="188">
        <v>2018</v>
      </c>
      <c r="D43" s="58" t="s">
        <v>385</v>
      </c>
      <c r="E43" s="188" t="s">
        <v>324</v>
      </c>
      <c r="F43" s="188" t="s">
        <v>397</v>
      </c>
      <c r="G43" s="53" t="s">
        <v>42</v>
      </c>
      <c r="H43" s="188" t="s">
        <v>155</v>
      </c>
      <c r="I43" s="53" t="s">
        <v>153</v>
      </c>
      <c r="J43" s="188" t="s">
        <v>38</v>
      </c>
      <c r="K43" s="188" t="s">
        <v>154</v>
      </c>
      <c r="L43" s="180">
        <v>3</v>
      </c>
      <c r="N43" s="180">
        <v>1</v>
      </c>
      <c r="O43" s="180">
        <v>0.75</v>
      </c>
      <c r="P43" s="180">
        <v>0.7</v>
      </c>
      <c r="Q43" s="189">
        <f t="shared" si="0"/>
        <v>0.72499999999999998</v>
      </c>
      <c r="R43" s="180">
        <v>15.1</v>
      </c>
      <c r="S43" s="180">
        <v>140</v>
      </c>
      <c r="T43" s="189">
        <f t="shared" si="1"/>
        <v>22</v>
      </c>
      <c r="U43" s="180">
        <v>105</v>
      </c>
      <c r="V43" s="189">
        <f t="shared" si="2"/>
        <v>2310</v>
      </c>
      <c r="W43" s="180">
        <v>2</v>
      </c>
      <c r="X43" s="53" t="s">
        <v>46</v>
      </c>
      <c r="Y43" s="53" t="s">
        <v>78</v>
      </c>
      <c r="Z43" s="180" t="s">
        <v>90</v>
      </c>
      <c r="AA43" s="53" t="s">
        <v>102</v>
      </c>
    </row>
    <row r="44" spans="1:27" x14ac:dyDescent="0.15">
      <c r="A44" s="53" t="s">
        <v>56</v>
      </c>
      <c r="B44" s="53" t="s">
        <v>384</v>
      </c>
      <c r="C44" s="188">
        <v>2018</v>
      </c>
      <c r="D44" s="58" t="s">
        <v>385</v>
      </c>
      <c r="E44" s="188" t="s">
        <v>324</v>
      </c>
      <c r="F44" s="188" t="s">
        <v>397</v>
      </c>
      <c r="G44" s="53" t="s">
        <v>42</v>
      </c>
      <c r="H44" s="188" t="s">
        <v>168</v>
      </c>
      <c r="I44" s="53" t="s">
        <v>153</v>
      </c>
      <c r="J44" s="188" t="s">
        <v>38</v>
      </c>
      <c r="K44" s="188" t="s">
        <v>154</v>
      </c>
      <c r="L44" s="180">
        <v>1</v>
      </c>
      <c r="N44" s="180">
        <v>1</v>
      </c>
      <c r="O44" s="180">
        <v>0.7</v>
      </c>
      <c r="P44" s="180">
        <v>0.75</v>
      </c>
      <c r="Q44" s="189">
        <f t="shared" si="0"/>
        <v>0.72499999999999998</v>
      </c>
      <c r="R44" s="180">
        <v>16</v>
      </c>
      <c r="S44" s="180">
        <v>136</v>
      </c>
      <c r="T44" s="189">
        <f t="shared" si="1"/>
        <v>25</v>
      </c>
      <c r="U44" s="180">
        <v>149</v>
      </c>
      <c r="V44" s="189">
        <f t="shared" si="2"/>
        <v>3725</v>
      </c>
      <c r="W44" s="180">
        <v>2</v>
      </c>
      <c r="X44" s="53" t="s">
        <v>46</v>
      </c>
      <c r="Y44" s="53" t="s">
        <v>78</v>
      </c>
      <c r="Z44" s="180" t="s">
        <v>90</v>
      </c>
      <c r="AA44" s="53" t="s">
        <v>102</v>
      </c>
    </row>
    <row r="45" spans="1:27" x14ac:dyDescent="0.15">
      <c r="A45" s="53" t="s">
        <v>56</v>
      </c>
      <c r="B45" s="53" t="s">
        <v>384</v>
      </c>
      <c r="C45" s="188">
        <v>2018</v>
      </c>
      <c r="D45" s="58" t="s">
        <v>385</v>
      </c>
      <c r="E45" s="188" t="s">
        <v>324</v>
      </c>
      <c r="F45" s="188" t="s">
        <v>397</v>
      </c>
      <c r="G45" s="53" t="s">
        <v>42</v>
      </c>
      <c r="H45" s="188" t="s">
        <v>168</v>
      </c>
      <c r="I45" s="53" t="s">
        <v>153</v>
      </c>
      <c r="J45" s="188" t="s">
        <v>38</v>
      </c>
      <c r="K45" s="188" t="s">
        <v>154</v>
      </c>
      <c r="L45" s="180">
        <v>2</v>
      </c>
      <c r="N45" s="180">
        <v>1</v>
      </c>
      <c r="O45" s="180">
        <v>0.8</v>
      </c>
      <c r="P45" s="180">
        <v>0.8</v>
      </c>
      <c r="Q45" s="189">
        <f t="shared" si="0"/>
        <v>0.8</v>
      </c>
      <c r="R45" s="180">
        <v>12.3</v>
      </c>
      <c r="S45" s="180">
        <v>137</v>
      </c>
      <c r="T45" s="189">
        <f t="shared" si="1"/>
        <v>25</v>
      </c>
      <c r="U45" s="180">
        <v>149</v>
      </c>
      <c r="V45" s="189">
        <f t="shared" si="2"/>
        <v>3725</v>
      </c>
      <c r="W45" s="180">
        <v>2</v>
      </c>
      <c r="X45" s="53" t="s">
        <v>46</v>
      </c>
      <c r="Y45" s="53" t="s">
        <v>78</v>
      </c>
      <c r="Z45" s="180" t="s">
        <v>90</v>
      </c>
      <c r="AA45" s="53" t="s">
        <v>102</v>
      </c>
    </row>
    <row r="46" spans="1:27" x14ac:dyDescent="0.15">
      <c r="A46" s="53" t="s">
        <v>56</v>
      </c>
      <c r="B46" s="53" t="s">
        <v>384</v>
      </c>
      <c r="C46" s="188">
        <v>2018</v>
      </c>
      <c r="D46" s="58" t="s">
        <v>385</v>
      </c>
      <c r="E46" s="188" t="s">
        <v>324</v>
      </c>
      <c r="F46" s="188" t="s">
        <v>397</v>
      </c>
      <c r="G46" s="53" t="s">
        <v>42</v>
      </c>
      <c r="H46" s="188" t="s">
        <v>168</v>
      </c>
      <c r="I46" s="53" t="s">
        <v>153</v>
      </c>
      <c r="J46" s="188" t="s">
        <v>38</v>
      </c>
      <c r="K46" s="188" t="s">
        <v>154</v>
      </c>
      <c r="L46" s="180">
        <v>3</v>
      </c>
      <c r="N46" s="180">
        <v>1</v>
      </c>
      <c r="O46" s="180">
        <v>0.85</v>
      </c>
      <c r="P46" s="180">
        <v>0.9</v>
      </c>
      <c r="Q46" s="189">
        <f t="shared" si="0"/>
        <v>0.875</v>
      </c>
      <c r="R46" s="180">
        <v>13.6</v>
      </c>
      <c r="S46" s="180">
        <v>132</v>
      </c>
      <c r="T46" s="189">
        <f t="shared" si="1"/>
        <v>25</v>
      </c>
      <c r="U46" s="180">
        <v>149</v>
      </c>
      <c r="V46" s="189">
        <f t="shared" si="2"/>
        <v>3725</v>
      </c>
      <c r="W46" s="180">
        <v>2</v>
      </c>
      <c r="X46" s="53" t="s">
        <v>46</v>
      </c>
      <c r="Y46" s="53" t="s">
        <v>78</v>
      </c>
      <c r="Z46" s="180" t="s">
        <v>90</v>
      </c>
      <c r="AA46" s="53" t="s">
        <v>102</v>
      </c>
    </row>
    <row r="47" spans="1:27" x14ac:dyDescent="0.15">
      <c r="A47" s="53" t="s">
        <v>56</v>
      </c>
      <c r="B47" s="53" t="s">
        <v>384</v>
      </c>
      <c r="C47" s="188">
        <v>2018</v>
      </c>
      <c r="D47" s="58" t="s">
        <v>385</v>
      </c>
      <c r="E47" s="188" t="s">
        <v>373</v>
      </c>
      <c r="F47" s="188" t="s">
        <v>397</v>
      </c>
      <c r="G47" s="53" t="s">
        <v>42</v>
      </c>
      <c r="H47" s="188" t="s">
        <v>155</v>
      </c>
      <c r="I47" s="53" t="s">
        <v>153</v>
      </c>
      <c r="J47" s="188" t="s">
        <v>38</v>
      </c>
      <c r="K47" s="188" t="s">
        <v>154</v>
      </c>
      <c r="L47" s="180">
        <v>1</v>
      </c>
      <c r="N47" s="180">
        <v>1</v>
      </c>
      <c r="O47" s="180">
        <v>0.6</v>
      </c>
      <c r="P47" s="180">
        <v>0.7</v>
      </c>
      <c r="Q47" s="189">
        <f t="shared" si="0"/>
        <v>0.64999999999999991</v>
      </c>
      <c r="R47" s="180">
        <v>14.2</v>
      </c>
      <c r="S47" s="180">
        <v>138</v>
      </c>
      <c r="T47" s="189">
        <f t="shared" si="1"/>
        <v>22</v>
      </c>
      <c r="U47" s="180">
        <v>84</v>
      </c>
      <c r="V47" s="189">
        <f t="shared" si="2"/>
        <v>1848</v>
      </c>
      <c r="W47" s="180">
        <v>4</v>
      </c>
      <c r="X47" s="53" t="s">
        <v>46</v>
      </c>
      <c r="Y47" s="53" t="s">
        <v>102</v>
      </c>
      <c r="Z47" s="180" t="s">
        <v>78</v>
      </c>
      <c r="AA47" s="53" t="s">
        <v>90</v>
      </c>
    </row>
    <row r="48" spans="1:27" x14ac:dyDescent="0.15">
      <c r="A48" s="53" t="s">
        <v>56</v>
      </c>
      <c r="B48" s="53" t="s">
        <v>384</v>
      </c>
      <c r="C48" s="188">
        <v>2018</v>
      </c>
      <c r="D48" s="58" t="s">
        <v>385</v>
      </c>
      <c r="E48" s="188" t="s">
        <v>373</v>
      </c>
      <c r="F48" s="188" t="s">
        <v>397</v>
      </c>
      <c r="G48" s="53" t="s">
        <v>42</v>
      </c>
      <c r="H48" s="188" t="s">
        <v>155</v>
      </c>
      <c r="I48" s="53" t="s">
        <v>153</v>
      </c>
      <c r="J48" s="188" t="s">
        <v>38</v>
      </c>
      <c r="K48" s="188" t="s">
        <v>154</v>
      </c>
      <c r="L48" s="180">
        <v>2</v>
      </c>
      <c r="N48" s="180">
        <v>1</v>
      </c>
      <c r="O48" s="180">
        <v>1.1000000000000001</v>
      </c>
      <c r="P48" s="180">
        <v>1.05</v>
      </c>
      <c r="Q48" s="189">
        <f t="shared" si="0"/>
        <v>1.0750000000000002</v>
      </c>
      <c r="R48" s="180">
        <v>13.6</v>
      </c>
      <c r="S48" s="180">
        <v>143</v>
      </c>
      <c r="T48" s="189">
        <f t="shared" si="1"/>
        <v>22</v>
      </c>
      <c r="U48" s="180">
        <v>84</v>
      </c>
      <c r="V48" s="189">
        <f t="shared" si="2"/>
        <v>1848</v>
      </c>
      <c r="W48" s="180">
        <v>4</v>
      </c>
      <c r="X48" s="53" t="s">
        <v>46</v>
      </c>
      <c r="Y48" s="53" t="s">
        <v>102</v>
      </c>
      <c r="Z48" s="180" t="s">
        <v>78</v>
      </c>
      <c r="AA48" s="53" t="s">
        <v>90</v>
      </c>
    </row>
    <row r="49" spans="1:27" x14ac:dyDescent="0.15">
      <c r="A49" s="53" t="s">
        <v>56</v>
      </c>
      <c r="B49" s="53" t="s">
        <v>384</v>
      </c>
      <c r="C49" s="188">
        <v>2018</v>
      </c>
      <c r="D49" s="58" t="s">
        <v>385</v>
      </c>
      <c r="E49" s="188" t="s">
        <v>373</v>
      </c>
      <c r="F49" s="188" t="s">
        <v>397</v>
      </c>
      <c r="G49" s="53" t="s">
        <v>42</v>
      </c>
      <c r="H49" s="188" t="s">
        <v>155</v>
      </c>
      <c r="I49" s="53" t="s">
        <v>153</v>
      </c>
      <c r="J49" s="188" t="s">
        <v>38</v>
      </c>
      <c r="K49" s="188" t="s">
        <v>154</v>
      </c>
      <c r="L49" s="180">
        <v>3</v>
      </c>
      <c r="N49" s="180">
        <v>1</v>
      </c>
      <c r="O49" s="180">
        <v>0.85</v>
      </c>
      <c r="P49" s="180">
        <v>0.85</v>
      </c>
      <c r="Q49" s="189">
        <f t="shared" si="0"/>
        <v>0.85</v>
      </c>
      <c r="R49" s="180">
        <v>11.6</v>
      </c>
      <c r="S49" s="180">
        <v>140</v>
      </c>
      <c r="T49" s="189">
        <f t="shared" si="1"/>
        <v>22</v>
      </c>
      <c r="U49" s="180">
        <v>84</v>
      </c>
      <c r="V49" s="189">
        <f t="shared" si="2"/>
        <v>1848</v>
      </c>
      <c r="W49" s="180">
        <v>4</v>
      </c>
      <c r="X49" s="53" t="s">
        <v>46</v>
      </c>
      <c r="Y49" s="53" t="s">
        <v>102</v>
      </c>
      <c r="Z49" s="180" t="s">
        <v>78</v>
      </c>
      <c r="AA49" s="53" t="s">
        <v>90</v>
      </c>
    </row>
    <row r="50" spans="1:27" x14ac:dyDescent="0.15">
      <c r="A50" s="53" t="s">
        <v>56</v>
      </c>
      <c r="B50" s="53" t="s">
        <v>384</v>
      </c>
      <c r="C50" s="188">
        <v>2018</v>
      </c>
      <c r="D50" s="58" t="s">
        <v>385</v>
      </c>
      <c r="E50" s="188" t="s">
        <v>373</v>
      </c>
      <c r="F50" s="188" t="s">
        <v>397</v>
      </c>
      <c r="G50" s="53" t="s">
        <v>42</v>
      </c>
      <c r="H50" s="188" t="s">
        <v>155</v>
      </c>
      <c r="I50" s="53" t="s">
        <v>156</v>
      </c>
      <c r="J50" s="188" t="s">
        <v>38</v>
      </c>
      <c r="K50" s="188" t="s">
        <v>154</v>
      </c>
      <c r="L50" s="180">
        <v>1</v>
      </c>
      <c r="N50" s="180">
        <v>4</v>
      </c>
      <c r="O50" s="180">
        <v>0.75</v>
      </c>
      <c r="P50" s="180">
        <v>0.7</v>
      </c>
      <c r="Q50" s="189">
        <f t="shared" si="0"/>
        <v>0.72499999999999998</v>
      </c>
      <c r="R50" s="180">
        <v>14.6</v>
      </c>
      <c r="S50" s="180">
        <v>94</v>
      </c>
      <c r="T50" s="189">
        <f t="shared" si="1"/>
        <v>36</v>
      </c>
      <c r="U50" s="180">
        <v>430</v>
      </c>
      <c r="V50" s="189">
        <f t="shared" si="2"/>
        <v>3870</v>
      </c>
      <c r="W50" s="180">
        <v>2</v>
      </c>
      <c r="X50" s="53" t="s">
        <v>46</v>
      </c>
      <c r="Y50" s="53" t="s">
        <v>102</v>
      </c>
      <c r="Z50" s="180" t="s">
        <v>78</v>
      </c>
      <c r="AA50" s="53" t="s">
        <v>90</v>
      </c>
    </row>
    <row r="51" spans="1:27" x14ac:dyDescent="0.15">
      <c r="A51" s="53" t="s">
        <v>56</v>
      </c>
      <c r="B51" s="53" t="s">
        <v>384</v>
      </c>
      <c r="C51" s="188">
        <v>2018</v>
      </c>
      <c r="D51" s="58" t="s">
        <v>385</v>
      </c>
      <c r="E51" s="188" t="s">
        <v>373</v>
      </c>
      <c r="F51" s="188" t="s">
        <v>397</v>
      </c>
      <c r="G51" s="53" t="s">
        <v>42</v>
      </c>
      <c r="H51" s="188" t="s">
        <v>155</v>
      </c>
      <c r="I51" s="53" t="s">
        <v>156</v>
      </c>
      <c r="J51" s="188" t="s">
        <v>38</v>
      </c>
      <c r="K51" s="188" t="s">
        <v>154</v>
      </c>
      <c r="L51" s="180">
        <v>2</v>
      </c>
      <c r="N51" s="180">
        <v>4</v>
      </c>
      <c r="O51" s="180">
        <v>0.8</v>
      </c>
      <c r="P51" s="180">
        <v>0.9</v>
      </c>
      <c r="Q51" s="189">
        <f t="shared" si="0"/>
        <v>0.85000000000000009</v>
      </c>
      <c r="R51" s="180">
        <v>14.9</v>
      </c>
      <c r="S51" s="180">
        <v>104</v>
      </c>
      <c r="T51" s="189">
        <f t="shared" si="1"/>
        <v>33</v>
      </c>
      <c r="U51" s="180">
        <v>430</v>
      </c>
      <c r="V51" s="189">
        <f t="shared" si="2"/>
        <v>3547.5</v>
      </c>
      <c r="W51" s="180">
        <v>2</v>
      </c>
      <c r="X51" s="53" t="s">
        <v>46</v>
      </c>
      <c r="Y51" s="53" t="s">
        <v>102</v>
      </c>
      <c r="Z51" s="180" t="s">
        <v>78</v>
      </c>
      <c r="AA51" s="53" t="s">
        <v>90</v>
      </c>
    </row>
    <row r="52" spans="1:27" x14ac:dyDescent="0.15">
      <c r="A52" s="53" t="s">
        <v>56</v>
      </c>
      <c r="B52" s="53" t="s">
        <v>384</v>
      </c>
      <c r="C52" s="188">
        <v>2018</v>
      </c>
      <c r="D52" s="58" t="s">
        <v>385</v>
      </c>
      <c r="E52" s="188" t="s">
        <v>373</v>
      </c>
      <c r="F52" s="188" t="s">
        <v>397</v>
      </c>
      <c r="G52" s="53" t="s">
        <v>42</v>
      </c>
      <c r="H52" s="188" t="s">
        <v>155</v>
      </c>
      <c r="I52" s="53" t="s">
        <v>156</v>
      </c>
      <c r="J52" s="188" t="s">
        <v>38</v>
      </c>
      <c r="K52" s="188" t="s">
        <v>154</v>
      </c>
      <c r="L52" s="180">
        <v>3</v>
      </c>
      <c r="N52" s="180">
        <v>4</v>
      </c>
      <c r="O52" s="180">
        <v>0.65</v>
      </c>
      <c r="P52" s="180">
        <v>0.7</v>
      </c>
      <c r="Q52" s="189">
        <f t="shared" si="0"/>
        <v>0.67500000000000004</v>
      </c>
      <c r="R52" s="180">
        <v>15.8</v>
      </c>
      <c r="S52" s="180">
        <v>99</v>
      </c>
      <c r="T52" s="189">
        <f t="shared" si="1"/>
        <v>33</v>
      </c>
      <c r="U52" s="180">
        <v>430</v>
      </c>
      <c r="V52" s="189">
        <f t="shared" si="2"/>
        <v>3547.5</v>
      </c>
      <c r="W52" s="180">
        <v>2</v>
      </c>
      <c r="X52" s="53" t="s">
        <v>46</v>
      </c>
      <c r="Y52" s="53" t="s">
        <v>102</v>
      </c>
      <c r="Z52" s="180" t="s">
        <v>78</v>
      </c>
      <c r="AA52" s="53" t="s">
        <v>90</v>
      </c>
    </row>
    <row r="53" spans="1:27" x14ac:dyDescent="0.15">
      <c r="A53" s="53" t="s">
        <v>56</v>
      </c>
      <c r="B53" s="53" t="s">
        <v>384</v>
      </c>
      <c r="C53" s="188">
        <v>2018</v>
      </c>
      <c r="D53" s="58" t="s">
        <v>385</v>
      </c>
      <c r="E53" s="188" t="s">
        <v>373</v>
      </c>
      <c r="F53" s="188" t="s">
        <v>397</v>
      </c>
      <c r="G53" s="53" t="s">
        <v>42</v>
      </c>
      <c r="H53" s="188" t="s">
        <v>168</v>
      </c>
      <c r="I53" s="53" t="s">
        <v>153</v>
      </c>
      <c r="J53" s="188" t="s">
        <v>38</v>
      </c>
      <c r="K53" s="188" t="s">
        <v>154</v>
      </c>
      <c r="L53" s="180">
        <v>1</v>
      </c>
      <c r="N53" s="180">
        <v>1</v>
      </c>
      <c r="O53" s="180">
        <v>0.7</v>
      </c>
      <c r="P53" s="180">
        <v>0.6</v>
      </c>
      <c r="Q53" s="189">
        <f t="shared" si="0"/>
        <v>0.64999999999999991</v>
      </c>
      <c r="R53" s="180">
        <v>15.4</v>
      </c>
      <c r="S53" s="180">
        <v>144</v>
      </c>
      <c r="T53" s="189">
        <f t="shared" si="1"/>
        <v>22</v>
      </c>
      <c r="U53" s="180">
        <v>108</v>
      </c>
      <c r="V53" s="189">
        <f t="shared" si="2"/>
        <v>2376</v>
      </c>
      <c r="W53" s="180">
        <v>4</v>
      </c>
      <c r="X53" s="53" t="s">
        <v>46</v>
      </c>
      <c r="Y53" s="53" t="s">
        <v>102</v>
      </c>
      <c r="Z53" s="180" t="s">
        <v>78</v>
      </c>
      <c r="AA53" s="53" t="s">
        <v>90</v>
      </c>
    </row>
    <row r="54" spans="1:27" x14ac:dyDescent="0.15">
      <c r="A54" s="53" t="s">
        <v>56</v>
      </c>
      <c r="B54" s="53" t="s">
        <v>384</v>
      </c>
      <c r="C54" s="188">
        <v>2018</v>
      </c>
      <c r="D54" s="58" t="s">
        <v>385</v>
      </c>
      <c r="E54" s="188" t="s">
        <v>373</v>
      </c>
      <c r="F54" s="188" t="s">
        <v>397</v>
      </c>
      <c r="G54" s="53" t="s">
        <v>42</v>
      </c>
      <c r="H54" s="188" t="s">
        <v>168</v>
      </c>
      <c r="I54" s="53" t="s">
        <v>153</v>
      </c>
      <c r="J54" s="188" t="s">
        <v>38</v>
      </c>
      <c r="K54" s="188" t="s">
        <v>154</v>
      </c>
      <c r="L54" s="180">
        <v>2</v>
      </c>
      <c r="N54" s="180">
        <v>1</v>
      </c>
      <c r="O54" s="180">
        <v>0.6</v>
      </c>
      <c r="P54" s="180">
        <v>0.7</v>
      </c>
      <c r="Q54" s="189">
        <f t="shared" si="0"/>
        <v>0.64999999999999991</v>
      </c>
      <c r="R54" s="180">
        <v>16</v>
      </c>
      <c r="S54" s="180">
        <v>137</v>
      </c>
      <c r="T54" s="189">
        <f t="shared" si="1"/>
        <v>25</v>
      </c>
      <c r="U54" s="180">
        <v>108</v>
      </c>
      <c r="V54" s="189">
        <f t="shared" si="2"/>
        <v>2700</v>
      </c>
      <c r="W54" s="180">
        <v>4</v>
      </c>
      <c r="X54" s="53" t="s">
        <v>46</v>
      </c>
      <c r="Y54" s="53" t="s">
        <v>102</v>
      </c>
      <c r="Z54" s="180" t="s">
        <v>78</v>
      </c>
      <c r="AA54" s="53" t="s">
        <v>90</v>
      </c>
    </row>
    <row r="55" spans="1:27" x14ac:dyDescent="0.15">
      <c r="A55" s="53" t="s">
        <v>56</v>
      </c>
      <c r="B55" s="53" t="s">
        <v>384</v>
      </c>
      <c r="C55" s="188">
        <v>2018</v>
      </c>
      <c r="D55" s="58" t="s">
        <v>385</v>
      </c>
      <c r="E55" s="188" t="s">
        <v>373</v>
      </c>
      <c r="F55" s="188" t="s">
        <v>397</v>
      </c>
      <c r="G55" s="53" t="s">
        <v>42</v>
      </c>
      <c r="H55" s="188" t="s">
        <v>168</v>
      </c>
      <c r="I55" s="53" t="s">
        <v>153</v>
      </c>
      <c r="J55" s="188" t="s">
        <v>38</v>
      </c>
      <c r="K55" s="188" t="s">
        <v>154</v>
      </c>
      <c r="L55" s="180">
        <v>3</v>
      </c>
      <c r="N55" s="180">
        <v>1</v>
      </c>
      <c r="O55" s="180">
        <v>0.6</v>
      </c>
      <c r="P55" s="180">
        <v>0.55000000000000004</v>
      </c>
      <c r="Q55" s="189">
        <f t="shared" si="0"/>
        <v>0.57499999999999996</v>
      </c>
      <c r="R55" s="180">
        <v>16.3</v>
      </c>
      <c r="S55" s="180">
        <v>147</v>
      </c>
      <c r="T55" s="189">
        <f t="shared" si="1"/>
        <v>22</v>
      </c>
      <c r="U55" s="180">
        <v>108</v>
      </c>
      <c r="V55" s="189">
        <f t="shared" si="2"/>
        <v>2376</v>
      </c>
      <c r="W55" s="180">
        <v>4</v>
      </c>
      <c r="X55" s="53" t="s">
        <v>46</v>
      </c>
      <c r="Y55" s="53" t="s">
        <v>102</v>
      </c>
      <c r="Z55" s="180" t="s">
        <v>78</v>
      </c>
      <c r="AA55" s="53" t="s">
        <v>90</v>
      </c>
    </row>
    <row r="56" spans="1:27" x14ac:dyDescent="0.15">
      <c r="A56" s="53" t="s">
        <v>56</v>
      </c>
      <c r="B56" s="53" t="s">
        <v>384</v>
      </c>
      <c r="C56" s="188">
        <v>2018</v>
      </c>
      <c r="D56" s="58" t="s">
        <v>385</v>
      </c>
      <c r="E56" s="188" t="s">
        <v>402</v>
      </c>
      <c r="F56" s="188" t="s">
        <v>397</v>
      </c>
      <c r="G56" s="53" t="s">
        <v>42</v>
      </c>
      <c r="H56" s="188" t="s">
        <v>155</v>
      </c>
      <c r="I56" s="53" t="s">
        <v>153</v>
      </c>
      <c r="J56" s="188" t="s">
        <v>38</v>
      </c>
      <c r="K56" s="188" t="s">
        <v>154</v>
      </c>
      <c r="L56" s="180">
        <v>1</v>
      </c>
      <c r="N56" s="180">
        <v>5</v>
      </c>
      <c r="O56" s="180">
        <v>0.7</v>
      </c>
      <c r="P56" s="180">
        <v>0.75</v>
      </c>
      <c r="Q56" s="189">
        <f t="shared" si="0"/>
        <v>0.72499999999999998</v>
      </c>
      <c r="R56" s="180">
        <v>15.9</v>
      </c>
      <c r="S56" s="180">
        <v>88</v>
      </c>
      <c r="T56" s="189">
        <f t="shared" si="1"/>
        <v>36</v>
      </c>
      <c r="U56" s="180">
        <v>430</v>
      </c>
      <c r="V56" s="189">
        <f t="shared" si="2"/>
        <v>3096</v>
      </c>
      <c r="W56" s="180">
        <v>5</v>
      </c>
      <c r="X56" s="53" t="s">
        <v>46</v>
      </c>
      <c r="Y56" s="53" t="s">
        <v>102</v>
      </c>
      <c r="Z56" s="180" t="s">
        <v>90</v>
      </c>
      <c r="AA56" s="53" t="s">
        <v>78</v>
      </c>
    </row>
    <row r="57" spans="1:27" x14ac:dyDescent="0.15">
      <c r="A57" s="53" t="s">
        <v>56</v>
      </c>
      <c r="B57" s="53" t="s">
        <v>384</v>
      </c>
      <c r="C57" s="188">
        <v>2018</v>
      </c>
      <c r="D57" s="58" t="s">
        <v>385</v>
      </c>
      <c r="E57" s="188" t="s">
        <v>402</v>
      </c>
      <c r="F57" s="188" t="s">
        <v>397</v>
      </c>
      <c r="G57" s="53" t="s">
        <v>42</v>
      </c>
      <c r="H57" s="188" t="s">
        <v>155</v>
      </c>
      <c r="I57" s="53" t="s">
        <v>153</v>
      </c>
      <c r="J57" s="188" t="s">
        <v>38</v>
      </c>
      <c r="K57" s="188" t="s">
        <v>154</v>
      </c>
      <c r="L57" s="180">
        <v>2</v>
      </c>
      <c r="N57" s="180">
        <v>5</v>
      </c>
      <c r="O57" s="180">
        <v>0.75</v>
      </c>
      <c r="P57" s="180">
        <v>0.85</v>
      </c>
      <c r="Q57" s="189">
        <f t="shared" si="0"/>
        <v>0.8</v>
      </c>
      <c r="R57" s="180">
        <v>15</v>
      </c>
      <c r="S57" s="180">
        <v>102</v>
      </c>
      <c r="T57" s="189">
        <f t="shared" si="1"/>
        <v>33</v>
      </c>
      <c r="U57" s="180">
        <v>430</v>
      </c>
      <c r="V57" s="189">
        <f t="shared" si="2"/>
        <v>2838</v>
      </c>
      <c r="W57" s="180">
        <v>5</v>
      </c>
      <c r="X57" s="53" t="s">
        <v>46</v>
      </c>
      <c r="Y57" s="53" t="s">
        <v>102</v>
      </c>
      <c r="Z57" s="180" t="s">
        <v>90</v>
      </c>
      <c r="AA57" s="53" t="s">
        <v>78</v>
      </c>
    </row>
    <row r="58" spans="1:27" x14ac:dyDescent="0.15">
      <c r="A58" s="53" t="s">
        <v>56</v>
      </c>
      <c r="B58" s="53" t="s">
        <v>384</v>
      </c>
      <c r="C58" s="188">
        <v>2018</v>
      </c>
      <c r="D58" s="58" t="s">
        <v>385</v>
      </c>
      <c r="E58" s="188" t="s">
        <v>402</v>
      </c>
      <c r="F58" s="188" t="s">
        <v>397</v>
      </c>
      <c r="G58" s="53" t="s">
        <v>42</v>
      </c>
      <c r="H58" s="188" t="s">
        <v>155</v>
      </c>
      <c r="I58" s="53" t="s">
        <v>153</v>
      </c>
      <c r="J58" s="188" t="s">
        <v>38</v>
      </c>
      <c r="K58" s="188" t="s">
        <v>154</v>
      </c>
      <c r="L58" s="180">
        <v>3</v>
      </c>
      <c r="N58" s="180">
        <v>5</v>
      </c>
      <c r="O58" s="180">
        <v>0.75</v>
      </c>
      <c r="P58" s="180">
        <v>0.8</v>
      </c>
      <c r="Q58" s="189">
        <f t="shared" si="0"/>
        <v>0.77500000000000002</v>
      </c>
      <c r="R58" s="180">
        <v>14.9</v>
      </c>
      <c r="S58" s="180">
        <v>92</v>
      </c>
      <c r="T58" s="189">
        <f t="shared" si="1"/>
        <v>36</v>
      </c>
      <c r="U58" s="180">
        <v>430</v>
      </c>
      <c r="V58" s="189">
        <f t="shared" si="2"/>
        <v>3096</v>
      </c>
      <c r="W58" s="180">
        <v>5</v>
      </c>
      <c r="X58" s="53" t="s">
        <v>46</v>
      </c>
      <c r="Y58" s="53" t="s">
        <v>102</v>
      </c>
      <c r="Z58" s="180" t="s">
        <v>90</v>
      </c>
      <c r="AA58" s="53" t="s">
        <v>78</v>
      </c>
    </row>
    <row r="59" spans="1:27" x14ac:dyDescent="0.15">
      <c r="A59" s="53" t="s">
        <v>56</v>
      </c>
      <c r="B59" s="53" t="s">
        <v>384</v>
      </c>
      <c r="C59" s="188">
        <v>2018</v>
      </c>
      <c r="D59" s="58" t="s">
        <v>385</v>
      </c>
      <c r="E59" s="188" t="s">
        <v>402</v>
      </c>
      <c r="F59" s="188" t="s">
        <v>397</v>
      </c>
      <c r="G59" s="53" t="s">
        <v>42</v>
      </c>
      <c r="H59" s="188" t="s">
        <v>168</v>
      </c>
      <c r="I59" s="53" t="s">
        <v>153</v>
      </c>
      <c r="J59" s="188" t="s">
        <v>38</v>
      </c>
      <c r="K59" s="188" t="s">
        <v>154</v>
      </c>
      <c r="L59" s="180">
        <v>1</v>
      </c>
      <c r="N59" s="180">
        <v>5</v>
      </c>
      <c r="O59" s="180">
        <v>0.6</v>
      </c>
      <c r="P59" s="180">
        <v>0.6</v>
      </c>
      <c r="Q59" s="189">
        <f t="shared" si="0"/>
        <v>0.6</v>
      </c>
      <c r="R59" s="180">
        <v>16.7</v>
      </c>
      <c r="S59" s="180">
        <v>126</v>
      </c>
      <c r="T59" s="189">
        <f t="shared" si="1"/>
        <v>27</v>
      </c>
      <c r="U59" s="180">
        <v>646</v>
      </c>
      <c r="V59" s="189">
        <f t="shared" si="2"/>
        <v>3488.3999999999996</v>
      </c>
      <c r="W59" s="180">
        <v>5</v>
      </c>
      <c r="X59" s="53" t="s">
        <v>46</v>
      </c>
      <c r="Y59" s="53" t="s">
        <v>102</v>
      </c>
      <c r="Z59" s="180" t="s">
        <v>90</v>
      </c>
      <c r="AA59" s="53" t="s">
        <v>78</v>
      </c>
    </row>
    <row r="60" spans="1:27" x14ac:dyDescent="0.15">
      <c r="A60" s="53" t="s">
        <v>56</v>
      </c>
      <c r="B60" s="53" t="s">
        <v>384</v>
      </c>
      <c r="C60" s="188">
        <v>2018</v>
      </c>
      <c r="D60" s="58" t="s">
        <v>385</v>
      </c>
      <c r="E60" s="188" t="s">
        <v>402</v>
      </c>
      <c r="F60" s="188" t="s">
        <v>397</v>
      </c>
      <c r="G60" s="53" t="s">
        <v>42</v>
      </c>
      <c r="H60" s="188" t="s">
        <v>168</v>
      </c>
      <c r="I60" s="53" t="s">
        <v>153</v>
      </c>
      <c r="J60" s="188" t="s">
        <v>38</v>
      </c>
      <c r="K60" s="188" t="s">
        <v>154</v>
      </c>
      <c r="L60" s="180">
        <v>2</v>
      </c>
      <c r="N60" s="180">
        <v>5</v>
      </c>
      <c r="O60" s="180">
        <v>0.6</v>
      </c>
      <c r="P60" s="180">
        <v>0.65</v>
      </c>
      <c r="Q60" s="189">
        <f t="shared" si="0"/>
        <v>0.625</v>
      </c>
      <c r="R60" s="180">
        <v>15.5</v>
      </c>
      <c r="S60" s="180">
        <v>117</v>
      </c>
      <c r="T60" s="189">
        <f t="shared" si="1"/>
        <v>30</v>
      </c>
      <c r="U60" s="180">
        <v>646</v>
      </c>
      <c r="V60" s="189">
        <f t="shared" si="2"/>
        <v>3875.9999999999995</v>
      </c>
      <c r="W60" s="180">
        <v>5</v>
      </c>
      <c r="X60" s="53" t="s">
        <v>46</v>
      </c>
      <c r="Y60" s="53" t="s">
        <v>102</v>
      </c>
      <c r="Z60" s="180" t="s">
        <v>90</v>
      </c>
      <c r="AA60" s="53" t="s">
        <v>78</v>
      </c>
    </row>
    <row r="61" spans="1:27" x14ac:dyDescent="0.15">
      <c r="A61" s="53" t="s">
        <v>56</v>
      </c>
      <c r="B61" s="53" t="s">
        <v>384</v>
      </c>
      <c r="C61" s="188">
        <v>2018</v>
      </c>
      <c r="D61" s="58" t="s">
        <v>385</v>
      </c>
      <c r="E61" s="188" t="s">
        <v>402</v>
      </c>
      <c r="F61" s="188" t="s">
        <v>397</v>
      </c>
      <c r="G61" s="53" t="s">
        <v>42</v>
      </c>
      <c r="H61" s="188" t="s">
        <v>168</v>
      </c>
      <c r="I61" s="53" t="s">
        <v>153</v>
      </c>
      <c r="J61" s="188" t="s">
        <v>38</v>
      </c>
      <c r="K61" s="188" t="s">
        <v>154</v>
      </c>
      <c r="L61" s="180">
        <v>3</v>
      </c>
      <c r="N61" s="180">
        <v>5</v>
      </c>
      <c r="O61" s="180">
        <v>0.6</v>
      </c>
      <c r="P61" s="180">
        <v>0.6</v>
      </c>
      <c r="Q61" s="189">
        <f t="shared" si="0"/>
        <v>0.6</v>
      </c>
      <c r="R61" s="180">
        <v>16.8</v>
      </c>
      <c r="S61" s="180">
        <v>130</v>
      </c>
      <c r="T61" s="189">
        <f t="shared" si="1"/>
        <v>25</v>
      </c>
      <c r="U61" s="180">
        <v>646</v>
      </c>
      <c r="V61" s="189">
        <f t="shared" si="2"/>
        <v>3229.9999999999995</v>
      </c>
      <c r="W61" s="180">
        <v>5</v>
      </c>
      <c r="X61" s="53" t="s">
        <v>46</v>
      </c>
      <c r="Y61" s="53" t="s">
        <v>102</v>
      </c>
      <c r="Z61" s="180" t="s">
        <v>90</v>
      </c>
      <c r="AA61" s="53" t="s">
        <v>78</v>
      </c>
    </row>
    <row r="62" spans="1:27" x14ac:dyDescent="0.15">
      <c r="A62" s="53"/>
      <c r="B62" s="53"/>
      <c r="C62" s="188"/>
      <c r="D62" s="58"/>
      <c r="E62" s="188"/>
      <c r="F62" s="188"/>
      <c r="G62" s="53"/>
      <c r="H62" s="188"/>
      <c r="I62" s="53"/>
      <c r="J62" s="188"/>
      <c r="K62" s="188"/>
      <c r="X62" s="53"/>
      <c r="Y62" s="53"/>
      <c r="AA62" s="53"/>
    </row>
    <row r="63" spans="1:27" x14ac:dyDescent="0.15">
      <c r="A63" s="53"/>
      <c r="B63" s="53"/>
      <c r="C63" s="188"/>
      <c r="D63" s="58"/>
      <c r="E63" s="188"/>
      <c r="F63" s="188"/>
      <c r="G63" s="53"/>
      <c r="H63" s="188"/>
      <c r="I63" s="53"/>
      <c r="J63" s="188"/>
      <c r="K63" s="188"/>
      <c r="X63" s="53"/>
      <c r="Y63" s="53"/>
      <c r="AA63" s="53"/>
    </row>
    <row r="64" spans="1:27" x14ac:dyDescent="0.15">
      <c r="A64" s="53"/>
      <c r="B64" s="53"/>
      <c r="C64" s="188"/>
      <c r="D64" s="58"/>
      <c r="E64" s="188"/>
      <c r="F64" s="188"/>
      <c r="G64" s="53"/>
      <c r="H64" s="188"/>
      <c r="I64" s="53"/>
      <c r="J64" s="188"/>
      <c r="K64" s="188"/>
      <c r="X64" s="53"/>
      <c r="Y64" s="53"/>
      <c r="AA64" s="53"/>
    </row>
    <row r="65" spans="1:27" x14ac:dyDescent="0.15">
      <c r="A65" s="53"/>
      <c r="B65" s="53"/>
      <c r="C65" s="188"/>
      <c r="D65" s="58"/>
      <c r="E65" s="188"/>
      <c r="F65" s="188"/>
      <c r="G65" s="53"/>
      <c r="H65" s="188"/>
      <c r="I65" s="53"/>
      <c r="J65" s="188"/>
      <c r="K65" s="188"/>
      <c r="X65" s="53"/>
      <c r="Y65" s="53"/>
      <c r="AA65" s="53"/>
    </row>
    <row r="66" spans="1:27" x14ac:dyDescent="0.15">
      <c r="A66" s="53"/>
      <c r="B66" s="53"/>
      <c r="C66" s="188"/>
      <c r="D66" s="58"/>
      <c r="E66" s="188"/>
      <c r="F66" s="188"/>
      <c r="G66" s="53"/>
      <c r="H66" s="188"/>
      <c r="I66" s="53"/>
      <c r="J66" s="188"/>
      <c r="K66" s="188"/>
      <c r="X66" s="53"/>
      <c r="Y66" s="53"/>
      <c r="AA66" s="53"/>
    </row>
    <row r="67" spans="1:27" x14ac:dyDescent="0.15">
      <c r="A67" s="53"/>
      <c r="B67" s="53"/>
      <c r="C67" s="188"/>
      <c r="D67" s="58"/>
      <c r="E67" s="188"/>
      <c r="F67" s="188"/>
      <c r="G67" s="53"/>
      <c r="H67" s="188"/>
      <c r="I67" s="53"/>
      <c r="J67" s="188"/>
      <c r="K67" s="188"/>
      <c r="X67" s="53"/>
      <c r="Y67" s="53"/>
      <c r="AA67" s="53"/>
    </row>
    <row r="68" spans="1:27" x14ac:dyDescent="0.15">
      <c r="A68" s="53"/>
      <c r="B68" s="53"/>
      <c r="C68" s="188"/>
      <c r="D68" s="58"/>
      <c r="E68" s="188"/>
      <c r="F68" s="188"/>
      <c r="G68" s="53"/>
      <c r="H68" s="188"/>
      <c r="I68" s="53"/>
      <c r="J68" s="188"/>
      <c r="K68" s="188"/>
      <c r="X68" s="53"/>
      <c r="Y68" s="53"/>
      <c r="AA68" s="53"/>
    </row>
    <row r="69" spans="1:27" x14ac:dyDescent="0.15">
      <c r="A69" s="53"/>
      <c r="B69" s="53"/>
      <c r="C69" s="188"/>
      <c r="D69" s="58"/>
      <c r="E69" s="188"/>
      <c r="F69" s="188"/>
      <c r="G69" s="53"/>
      <c r="H69" s="188"/>
      <c r="I69" s="53"/>
      <c r="J69" s="188"/>
      <c r="K69" s="188"/>
      <c r="X69" s="53"/>
      <c r="Y69" s="53"/>
      <c r="AA69" s="53"/>
    </row>
    <row r="70" spans="1:27" x14ac:dyDescent="0.15">
      <c r="A70" s="53"/>
      <c r="B70" s="53"/>
      <c r="C70" s="188"/>
      <c r="D70" s="58"/>
      <c r="E70" s="188"/>
      <c r="F70" s="188"/>
      <c r="G70" s="53"/>
      <c r="H70" s="188"/>
      <c r="I70" s="53"/>
      <c r="J70" s="188"/>
      <c r="K70" s="188"/>
      <c r="X70" s="53"/>
      <c r="Y70" s="53"/>
      <c r="AA70" s="53"/>
    </row>
    <row r="71" spans="1:27" x14ac:dyDescent="0.15">
      <c r="A71" s="53"/>
      <c r="B71" s="53"/>
      <c r="C71" s="188"/>
      <c r="D71" s="58"/>
      <c r="E71" s="188"/>
      <c r="F71" s="188"/>
      <c r="G71" s="53"/>
      <c r="H71" s="188"/>
      <c r="I71" s="53"/>
      <c r="J71" s="188"/>
      <c r="K71" s="188"/>
      <c r="X71" s="53"/>
      <c r="Y71" s="53"/>
      <c r="AA71" s="53"/>
    </row>
    <row r="72" spans="1:27" x14ac:dyDescent="0.15">
      <c r="A72" s="53"/>
      <c r="B72" s="53"/>
      <c r="C72" s="188"/>
      <c r="D72" s="58"/>
      <c r="E72" s="188"/>
      <c r="F72" s="188"/>
      <c r="G72" s="53"/>
      <c r="H72" s="188"/>
      <c r="I72" s="53"/>
      <c r="J72" s="188"/>
      <c r="K72" s="188"/>
      <c r="X72" s="53"/>
      <c r="Y72" s="53"/>
      <c r="AA72" s="53"/>
    </row>
    <row r="73" spans="1:27" x14ac:dyDescent="0.15">
      <c r="A73" s="53"/>
      <c r="B73" s="53"/>
      <c r="C73" s="188"/>
      <c r="D73" s="58"/>
      <c r="E73" s="188"/>
      <c r="F73" s="188"/>
      <c r="G73" s="53"/>
      <c r="H73" s="188"/>
      <c r="I73" s="53"/>
      <c r="J73" s="188"/>
      <c r="K73" s="188"/>
      <c r="X73" s="53"/>
      <c r="Y73" s="53"/>
      <c r="AA73" s="53"/>
    </row>
    <row r="74" spans="1:27" x14ac:dyDescent="0.15">
      <c r="A74" s="53"/>
      <c r="B74" s="53"/>
      <c r="C74" s="188"/>
      <c r="D74" s="58"/>
      <c r="E74" s="188"/>
      <c r="F74" s="188"/>
      <c r="G74" s="53"/>
      <c r="H74" s="188"/>
      <c r="I74" s="53"/>
      <c r="J74" s="188"/>
      <c r="K74" s="188"/>
      <c r="X74" s="53"/>
      <c r="Y74" s="53"/>
      <c r="AA74" s="53"/>
    </row>
    <row r="75" spans="1:27" x14ac:dyDescent="0.15">
      <c r="A75" s="53"/>
      <c r="B75" s="53"/>
      <c r="C75" s="188"/>
      <c r="D75" s="58"/>
      <c r="E75" s="188"/>
      <c r="F75" s="188"/>
      <c r="G75" s="53"/>
      <c r="H75" s="188"/>
      <c r="I75" s="53"/>
      <c r="J75" s="188"/>
      <c r="K75" s="188"/>
      <c r="X75" s="53"/>
      <c r="Y75" s="53"/>
      <c r="AA75" s="53"/>
    </row>
    <row r="76" spans="1:27" x14ac:dyDescent="0.15">
      <c r="A76" s="53"/>
      <c r="B76" s="53"/>
      <c r="C76" s="188"/>
      <c r="D76" s="58"/>
      <c r="E76" s="188"/>
      <c r="F76" s="188"/>
      <c r="G76" s="53"/>
      <c r="H76" s="188"/>
      <c r="I76" s="53"/>
      <c r="J76" s="188"/>
      <c r="K76" s="188"/>
      <c r="X76" s="53"/>
      <c r="Y76" s="53"/>
      <c r="AA76" s="53"/>
    </row>
    <row r="77" spans="1:27" x14ac:dyDescent="0.15">
      <c r="A77" s="53"/>
      <c r="B77" s="53"/>
      <c r="C77" s="188"/>
      <c r="D77" s="58"/>
      <c r="E77" s="188"/>
      <c r="F77" s="188"/>
      <c r="G77" s="53"/>
      <c r="H77" s="188"/>
      <c r="I77" s="53"/>
      <c r="J77" s="188"/>
      <c r="K77" s="188"/>
      <c r="X77" s="53"/>
      <c r="Y77" s="53"/>
      <c r="AA77" s="53"/>
    </row>
    <row r="78" spans="1:27" x14ac:dyDescent="0.15">
      <c r="A78" s="53"/>
      <c r="B78" s="53"/>
      <c r="C78" s="188"/>
      <c r="D78" s="58"/>
      <c r="E78" s="188"/>
      <c r="F78" s="188"/>
      <c r="G78" s="53"/>
      <c r="H78" s="188"/>
      <c r="I78" s="53"/>
      <c r="J78" s="188"/>
      <c r="K78" s="188"/>
      <c r="X78" s="53"/>
      <c r="Y78" s="53"/>
      <c r="AA78" s="53"/>
    </row>
    <row r="79" spans="1:27" x14ac:dyDescent="0.15">
      <c r="A79" s="53"/>
      <c r="B79" s="53"/>
      <c r="C79" s="188"/>
      <c r="D79" s="58"/>
      <c r="E79" s="188"/>
      <c r="F79" s="188"/>
      <c r="G79" s="53"/>
      <c r="H79" s="188"/>
      <c r="I79" s="53"/>
      <c r="J79" s="188"/>
      <c r="K79" s="188"/>
      <c r="X79" s="53"/>
      <c r="Y79" s="53"/>
      <c r="AA79" s="53"/>
    </row>
    <row r="80" spans="1:27" x14ac:dyDescent="0.15">
      <c r="A80" s="53"/>
      <c r="B80" s="53"/>
      <c r="C80" s="188"/>
      <c r="D80" s="58"/>
      <c r="E80" s="188"/>
      <c r="F80" s="188"/>
      <c r="G80" s="53"/>
      <c r="H80" s="188"/>
      <c r="I80" s="53"/>
      <c r="J80" s="188"/>
      <c r="K80" s="188"/>
      <c r="X80" s="53"/>
      <c r="Y80" s="53"/>
      <c r="AA80" s="53"/>
    </row>
    <row r="81" spans="1:27" x14ac:dyDescent="0.15">
      <c r="A81" s="53"/>
      <c r="B81" s="53"/>
      <c r="C81" s="188"/>
      <c r="D81" s="58"/>
      <c r="E81" s="188"/>
      <c r="F81" s="188"/>
      <c r="G81" s="53"/>
      <c r="H81" s="188"/>
      <c r="I81" s="53"/>
      <c r="J81" s="188"/>
      <c r="K81" s="188"/>
      <c r="X81" s="53"/>
      <c r="Y81" s="53"/>
      <c r="AA81" s="53"/>
    </row>
    <row r="82" spans="1:27" x14ac:dyDescent="0.15">
      <c r="A82" s="53"/>
      <c r="B82" s="53"/>
      <c r="C82" s="188"/>
      <c r="D82" s="58"/>
      <c r="E82" s="188"/>
      <c r="F82" s="188"/>
      <c r="G82" s="53"/>
      <c r="H82" s="188"/>
      <c r="I82" s="53"/>
      <c r="J82" s="188"/>
      <c r="K82" s="188"/>
      <c r="X82" s="53"/>
      <c r="Y82" s="53"/>
      <c r="AA82" s="53"/>
    </row>
    <row r="83" spans="1:27" x14ac:dyDescent="0.15">
      <c r="E83" s="188"/>
      <c r="F83" s="188"/>
      <c r="G83" s="53"/>
      <c r="H83" s="188"/>
      <c r="I83" s="53"/>
      <c r="J83" s="188"/>
      <c r="K83" s="188"/>
      <c r="X83" s="53"/>
      <c r="Y83" s="53"/>
      <c r="AA83" s="53"/>
    </row>
    <row r="84" spans="1:27" x14ac:dyDescent="0.15">
      <c r="E84" s="188"/>
      <c r="F84" s="188"/>
      <c r="G84" s="53"/>
      <c r="H84" s="188"/>
      <c r="I84" s="53"/>
      <c r="J84" s="188"/>
      <c r="K84" s="188"/>
      <c r="X84" s="53"/>
      <c r="Y84" s="53"/>
      <c r="AA84" s="53"/>
    </row>
    <row r="85" spans="1:27" x14ac:dyDescent="0.15">
      <c r="E85" s="188"/>
      <c r="F85" s="188"/>
      <c r="G85" s="53"/>
      <c r="H85" s="188"/>
      <c r="I85" s="53"/>
      <c r="J85" s="188"/>
      <c r="K85" s="188"/>
      <c r="X85" s="53"/>
      <c r="Y85" s="53"/>
      <c r="AA85" s="53"/>
    </row>
    <row r="86" spans="1:27" x14ac:dyDescent="0.15">
      <c r="J86" s="188"/>
      <c r="K86" s="188"/>
    </row>
    <row r="87" spans="1:27" x14ac:dyDescent="0.15">
      <c r="J87" s="188"/>
      <c r="K87" s="188"/>
    </row>
    <row r="88" spans="1:27" x14ac:dyDescent="0.15">
      <c r="J88" s="188"/>
      <c r="K88" s="188"/>
    </row>
    <row r="89" spans="1:27" x14ac:dyDescent="0.15">
      <c r="J89" s="188"/>
      <c r="K89" s="188"/>
    </row>
    <row r="90" spans="1:27" x14ac:dyDescent="0.15">
      <c r="J90" s="188"/>
      <c r="K90" s="188"/>
    </row>
    <row r="91" spans="1:27" x14ac:dyDescent="0.15">
      <c r="J91" s="188"/>
      <c r="K91" s="188"/>
    </row>
    <row r="92" spans="1:27" x14ac:dyDescent="0.15">
      <c r="J92" s="188"/>
      <c r="K92" s="188"/>
    </row>
    <row r="93" spans="1:27" x14ac:dyDescent="0.15">
      <c r="J93" s="188"/>
      <c r="K93" s="188"/>
    </row>
    <row r="94" spans="1:27" x14ac:dyDescent="0.15">
      <c r="J94" s="188"/>
      <c r="K94" s="188"/>
    </row>
    <row r="95" spans="1:27" x14ac:dyDescent="0.15">
      <c r="J95" s="188"/>
      <c r="K95" s="188"/>
    </row>
    <row r="96" spans="1:27" x14ac:dyDescent="0.15">
      <c r="J96" s="188"/>
      <c r="K96" s="188"/>
    </row>
    <row r="97" spans="10:11" x14ac:dyDescent="0.15">
      <c r="J97" s="188"/>
      <c r="K97" s="188"/>
    </row>
    <row r="98" spans="10:11" x14ac:dyDescent="0.15">
      <c r="J98" s="188"/>
      <c r="K98" s="188"/>
    </row>
    <row r="99" spans="10:11" x14ac:dyDescent="0.15">
      <c r="J99" s="188"/>
      <c r="K99" s="188"/>
    </row>
    <row r="100" spans="10:11" x14ac:dyDescent="0.15">
      <c r="J100" s="188"/>
      <c r="K100" s="188"/>
    </row>
    <row r="101" spans="10:11" x14ac:dyDescent="0.15">
      <c r="K101" s="188"/>
    </row>
    <row r="102" spans="10:11" x14ac:dyDescent="0.15">
      <c r="K102" s="188"/>
    </row>
    <row r="103" spans="10:11" x14ac:dyDescent="0.15">
      <c r="K103" s="188"/>
    </row>
    <row r="104" spans="10:11" x14ac:dyDescent="0.15">
      <c r="K104" s="188"/>
    </row>
    <row r="105" spans="10:11" x14ac:dyDescent="0.15">
      <c r="K105" s="188"/>
    </row>
    <row r="106" spans="10:11" x14ac:dyDescent="0.15">
      <c r="K106" s="188"/>
    </row>
    <row r="107" spans="10:11" x14ac:dyDescent="0.15">
      <c r="K107" s="188"/>
    </row>
    <row r="108" spans="10:11" x14ac:dyDescent="0.15">
      <c r="K108" s="188"/>
    </row>
    <row r="109" spans="10:11" x14ac:dyDescent="0.15">
      <c r="K109" s="188"/>
    </row>
    <row r="110" spans="10:11" x14ac:dyDescent="0.15">
      <c r="K110" s="188"/>
    </row>
    <row r="111" spans="10:11" x14ac:dyDescent="0.15">
      <c r="K111" s="188"/>
    </row>
    <row r="112" spans="10:11" x14ac:dyDescent="0.15">
      <c r="K112" s="188"/>
    </row>
    <row r="113" spans="11:11" x14ac:dyDescent="0.15">
      <c r="K113" s="188"/>
    </row>
    <row r="114" spans="11:11" x14ac:dyDescent="0.15">
      <c r="K114" s="188"/>
    </row>
    <row r="115" spans="11:11" x14ac:dyDescent="0.15">
      <c r="K115" s="188"/>
    </row>
    <row r="116" spans="11:11" x14ac:dyDescent="0.15">
      <c r="K116" s="188"/>
    </row>
    <row r="117" spans="11:11" x14ac:dyDescent="0.15">
      <c r="K117" s="188"/>
    </row>
    <row r="118" spans="11:11" x14ac:dyDescent="0.15">
      <c r="K118" s="188"/>
    </row>
    <row r="119" spans="11:11" x14ac:dyDescent="0.15">
      <c r="K119" s="188"/>
    </row>
    <row r="120" spans="11:11" x14ac:dyDescent="0.15">
      <c r="K120" s="188"/>
    </row>
    <row r="121" spans="11:11" x14ac:dyDescent="0.15">
      <c r="K121" s="188"/>
    </row>
    <row r="122" spans="11:11" x14ac:dyDescent="0.15">
      <c r="K122" s="188"/>
    </row>
    <row r="123" spans="11:11" x14ac:dyDescent="0.15">
      <c r="K123" s="188"/>
    </row>
    <row r="124" spans="11:11" x14ac:dyDescent="0.15">
      <c r="K124" s="188"/>
    </row>
    <row r="125" spans="11:11" x14ac:dyDescent="0.15">
      <c r="K125" s="188"/>
    </row>
    <row r="126" spans="11:11" x14ac:dyDescent="0.15">
      <c r="K126" s="188"/>
    </row>
    <row r="127" spans="11:11" x14ac:dyDescent="0.15">
      <c r="K127" s="188"/>
    </row>
    <row r="128" spans="11:11" x14ac:dyDescent="0.15">
      <c r="K128" s="188"/>
    </row>
    <row r="129" spans="11:11" x14ac:dyDescent="0.15">
      <c r="K129" s="188"/>
    </row>
    <row r="130" spans="11:11" x14ac:dyDescent="0.15">
      <c r="K130" s="188"/>
    </row>
    <row r="131" spans="11:11" x14ac:dyDescent="0.15">
      <c r="K131" s="188"/>
    </row>
    <row r="132" spans="11:11" x14ac:dyDescent="0.15">
      <c r="K132" s="188"/>
    </row>
    <row r="133" spans="11:11" x14ac:dyDescent="0.15">
      <c r="K133" s="188"/>
    </row>
    <row r="134" spans="11:11" x14ac:dyDescent="0.15">
      <c r="K134" s="188"/>
    </row>
    <row r="135" spans="11:11" x14ac:dyDescent="0.15">
      <c r="K135" s="188"/>
    </row>
    <row r="136" spans="11:11" x14ac:dyDescent="0.15">
      <c r="K136" s="188"/>
    </row>
    <row r="137" spans="11:11" x14ac:dyDescent="0.15">
      <c r="K137" s="188"/>
    </row>
    <row r="138" spans="11:11" x14ac:dyDescent="0.15">
      <c r="K138" s="188"/>
    </row>
    <row r="139" spans="11:11" x14ac:dyDescent="0.15">
      <c r="K139" s="188"/>
    </row>
    <row r="140" spans="11:11" x14ac:dyDescent="0.15">
      <c r="K140" s="188"/>
    </row>
    <row r="141" spans="11:11" x14ac:dyDescent="0.15">
      <c r="K141" s="188"/>
    </row>
    <row r="142" spans="11:11" x14ac:dyDescent="0.15">
      <c r="K142" s="188"/>
    </row>
    <row r="143" spans="11:11" x14ac:dyDescent="0.15">
      <c r="K143" s="188"/>
    </row>
    <row r="144" spans="11:11" x14ac:dyDescent="0.15">
      <c r="K144" s="188"/>
    </row>
    <row r="145" spans="11:11" x14ac:dyDescent="0.15">
      <c r="K145" s="188"/>
    </row>
    <row r="146" spans="11:11" x14ac:dyDescent="0.15">
      <c r="K146" s="188"/>
    </row>
    <row r="147" spans="11:11" x14ac:dyDescent="0.15">
      <c r="K147" s="188"/>
    </row>
    <row r="148" spans="11:11" x14ac:dyDescent="0.15">
      <c r="K148" s="188"/>
    </row>
    <row r="149" spans="11:11" x14ac:dyDescent="0.15">
      <c r="K149" s="188"/>
    </row>
    <row r="150" spans="11:11" x14ac:dyDescent="0.15">
      <c r="K150" s="188"/>
    </row>
    <row r="151" spans="11:11" x14ac:dyDescent="0.15">
      <c r="K151" s="188"/>
    </row>
    <row r="152" spans="11:11" x14ac:dyDescent="0.15">
      <c r="K152" s="188"/>
    </row>
    <row r="153" spans="11:11" x14ac:dyDescent="0.15">
      <c r="K153" s="188"/>
    </row>
    <row r="154" spans="11:11" x14ac:dyDescent="0.15">
      <c r="K154" s="188"/>
    </row>
    <row r="155" spans="11:11" x14ac:dyDescent="0.15">
      <c r="K155" s="188"/>
    </row>
    <row r="156" spans="11:11" x14ac:dyDescent="0.15">
      <c r="K156" s="188"/>
    </row>
    <row r="157" spans="11:11" x14ac:dyDescent="0.15">
      <c r="K157" s="188"/>
    </row>
    <row r="158" spans="11:11" x14ac:dyDescent="0.15">
      <c r="K158" s="188"/>
    </row>
    <row r="159" spans="11:11" x14ac:dyDescent="0.15">
      <c r="K159" s="188"/>
    </row>
    <row r="160" spans="11:11" x14ac:dyDescent="0.15">
      <c r="K160" s="188"/>
    </row>
    <row r="161" spans="11:11" x14ac:dyDescent="0.15">
      <c r="K161" s="188"/>
    </row>
    <row r="162" spans="11:11" x14ac:dyDescent="0.15">
      <c r="K162" s="188"/>
    </row>
    <row r="163" spans="11:11" x14ac:dyDescent="0.15">
      <c r="K163" s="188"/>
    </row>
    <row r="164" spans="11:11" x14ac:dyDescent="0.15">
      <c r="K164" s="188"/>
    </row>
    <row r="165" spans="11:11" x14ac:dyDescent="0.15">
      <c r="K165" s="188"/>
    </row>
    <row r="166" spans="11:11" x14ac:dyDescent="0.15">
      <c r="K166" s="188"/>
    </row>
    <row r="167" spans="11:11" x14ac:dyDescent="0.15">
      <c r="K167" s="188"/>
    </row>
    <row r="168" spans="11:11" x14ac:dyDescent="0.15">
      <c r="K168" s="188"/>
    </row>
    <row r="169" spans="11:11" x14ac:dyDescent="0.15">
      <c r="K169" s="188"/>
    </row>
    <row r="170" spans="11:11" x14ac:dyDescent="0.15">
      <c r="K170" s="188"/>
    </row>
    <row r="171" spans="11:11" x14ac:dyDescent="0.15">
      <c r="K171" s="188"/>
    </row>
    <row r="172" spans="11:11" x14ac:dyDescent="0.15">
      <c r="K172" s="188"/>
    </row>
    <row r="173" spans="11:11" x14ac:dyDescent="0.15">
      <c r="K173" s="188"/>
    </row>
    <row r="174" spans="11:11" x14ac:dyDescent="0.15">
      <c r="K174" s="188"/>
    </row>
    <row r="175" spans="11:11" x14ac:dyDescent="0.15">
      <c r="K175" s="188"/>
    </row>
    <row r="176" spans="11:11" x14ac:dyDescent="0.15">
      <c r="K176" s="188"/>
    </row>
    <row r="177" spans="11:11" x14ac:dyDescent="0.15">
      <c r="K177" s="188"/>
    </row>
    <row r="178" spans="11:11" x14ac:dyDescent="0.15">
      <c r="K178" s="188"/>
    </row>
    <row r="179" spans="11:11" x14ac:dyDescent="0.15">
      <c r="K179" s="188"/>
    </row>
    <row r="180" spans="11:11" x14ac:dyDescent="0.15">
      <c r="K180" s="188"/>
    </row>
    <row r="181" spans="11:11" x14ac:dyDescent="0.15">
      <c r="K181" s="188"/>
    </row>
    <row r="182" spans="11:11" x14ac:dyDescent="0.15">
      <c r="K182" s="188"/>
    </row>
    <row r="183" spans="11:11" x14ac:dyDescent="0.15">
      <c r="K183" s="188"/>
    </row>
    <row r="184" spans="11:11" x14ac:dyDescent="0.15">
      <c r="K184" s="188"/>
    </row>
    <row r="185" spans="11:11" x14ac:dyDescent="0.15">
      <c r="K185" s="188"/>
    </row>
    <row r="186" spans="11:11" x14ac:dyDescent="0.15">
      <c r="K186" s="188"/>
    </row>
    <row r="187" spans="11:11" x14ac:dyDescent="0.15">
      <c r="K187" s="188"/>
    </row>
    <row r="188" spans="11:11" x14ac:dyDescent="0.15">
      <c r="K188" s="188"/>
    </row>
    <row r="189" spans="11:11" x14ac:dyDescent="0.15">
      <c r="K189" s="188"/>
    </row>
    <row r="190" spans="11:11" x14ac:dyDescent="0.15">
      <c r="K190" s="188"/>
    </row>
    <row r="191" spans="11:11" x14ac:dyDescent="0.15">
      <c r="K191" s="188"/>
    </row>
    <row r="192" spans="11:11" x14ac:dyDescent="0.15">
      <c r="K192" s="188"/>
    </row>
    <row r="193" spans="11:11" x14ac:dyDescent="0.15">
      <c r="K193" s="188"/>
    </row>
    <row r="194" spans="11:11" x14ac:dyDescent="0.15">
      <c r="K194" s="188"/>
    </row>
    <row r="195" spans="11:11" x14ac:dyDescent="0.15">
      <c r="K195" s="188"/>
    </row>
    <row r="196" spans="11:11" x14ac:dyDescent="0.15">
      <c r="K196" s="188"/>
    </row>
    <row r="197" spans="11:11" x14ac:dyDescent="0.15">
      <c r="K197" s="188"/>
    </row>
    <row r="198" spans="11:11" x14ac:dyDescent="0.15">
      <c r="K198" s="188"/>
    </row>
    <row r="199" spans="11:11" x14ac:dyDescent="0.15">
      <c r="K199" s="188"/>
    </row>
    <row r="200" spans="11:11" x14ac:dyDescent="0.15">
      <c r="K200" s="188"/>
    </row>
    <row r="201" spans="11:11" x14ac:dyDescent="0.15">
      <c r="K201" s="188"/>
    </row>
    <row r="202" spans="11:11" x14ac:dyDescent="0.15">
      <c r="K202" s="188"/>
    </row>
    <row r="203" spans="11:11" x14ac:dyDescent="0.15">
      <c r="K203" s="188"/>
    </row>
    <row r="204" spans="11:11" x14ac:dyDescent="0.15">
      <c r="K204" s="188"/>
    </row>
    <row r="205" spans="11:11" x14ac:dyDescent="0.15">
      <c r="K205" s="188"/>
    </row>
    <row r="206" spans="11:11" x14ac:dyDescent="0.15">
      <c r="K206" s="188"/>
    </row>
    <row r="207" spans="11:11" x14ac:dyDescent="0.15">
      <c r="K207" s="188"/>
    </row>
    <row r="208" spans="11:11" x14ac:dyDescent="0.15">
      <c r="K208" s="188"/>
    </row>
    <row r="209" spans="11:11" x14ac:dyDescent="0.15">
      <c r="K209" s="188"/>
    </row>
    <row r="210" spans="11:11" x14ac:dyDescent="0.15">
      <c r="K210" s="188"/>
    </row>
    <row r="211" spans="11:11" x14ac:dyDescent="0.15">
      <c r="K211" s="188"/>
    </row>
    <row r="212" spans="11:11" x14ac:dyDescent="0.15">
      <c r="K212" s="188"/>
    </row>
    <row r="213" spans="11:11" x14ac:dyDescent="0.15">
      <c r="K213" s="188"/>
    </row>
    <row r="214" spans="11:11" x14ac:dyDescent="0.15">
      <c r="K214" s="188"/>
    </row>
    <row r="215" spans="11:11" x14ac:dyDescent="0.15">
      <c r="K215" s="188"/>
    </row>
    <row r="216" spans="11:11" x14ac:dyDescent="0.15">
      <c r="K216" s="188"/>
    </row>
    <row r="217" spans="11:11" x14ac:dyDescent="0.15">
      <c r="K217" s="188"/>
    </row>
    <row r="218" spans="11:11" x14ac:dyDescent="0.15">
      <c r="K218" s="188"/>
    </row>
    <row r="219" spans="11:11" x14ac:dyDescent="0.15">
      <c r="K219" s="188"/>
    </row>
    <row r="220" spans="11:11" x14ac:dyDescent="0.15">
      <c r="K220" s="188"/>
    </row>
    <row r="221" spans="11:11" x14ac:dyDescent="0.15">
      <c r="K221" s="188"/>
    </row>
    <row r="222" spans="11:11" x14ac:dyDescent="0.15">
      <c r="K222" s="188"/>
    </row>
    <row r="223" spans="11:11" x14ac:dyDescent="0.15">
      <c r="K223" s="188"/>
    </row>
    <row r="224" spans="11:11" x14ac:dyDescent="0.15">
      <c r="K224" s="188"/>
    </row>
    <row r="225" spans="11:11" x14ac:dyDescent="0.15">
      <c r="K225" s="188"/>
    </row>
    <row r="226" spans="11:11" x14ac:dyDescent="0.15">
      <c r="K226" s="188"/>
    </row>
    <row r="227" spans="11:11" x14ac:dyDescent="0.15">
      <c r="K227" s="188"/>
    </row>
    <row r="228" spans="11:11" x14ac:dyDescent="0.15">
      <c r="K228" s="188"/>
    </row>
    <row r="229" spans="11:11" x14ac:dyDescent="0.15">
      <c r="K229" s="188"/>
    </row>
    <row r="230" spans="11:11" x14ac:dyDescent="0.15">
      <c r="K230" s="188"/>
    </row>
    <row r="231" spans="11:11" x14ac:dyDescent="0.15">
      <c r="K231" s="188"/>
    </row>
    <row r="232" spans="11:11" x14ac:dyDescent="0.15">
      <c r="K232" s="188"/>
    </row>
    <row r="233" spans="11:11" x14ac:dyDescent="0.15">
      <c r="K233" s="188"/>
    </row>
    <row r="234" spans="11:11" x14ac:dyDescent="0.15">
      <c r="K234" s="188"/>
    </row>
    <row r="235" spans="11:11" x14ac:dyDescent="0.15">
      <c r="K235" s="188"/>
    </row>
    <row r="236" spans="11:11" x14ac:dyDescent="0.15">
      <c r="K236" s="188"/>
    </row>
    <row r="237" spans="11:11" x14ac:dyDescent="0.15">
      <c r="K237" s="188"/>
    </row>
    <row r="238" spans="11:11" x14ac:dyDescent="0.15">
      <c r="K238" s="188"/>
    </row>
    <row r="239" spans="11:11" x14ac:dyDescent="0.15">
      <c r="K239" s="188"/>
    </row>
    <row r="240" spans="11:11" x14ac:dyDescent="0.15">
      <c r="K240" s="188"/>
    </row>
    <row r="241" spans="11:11" x14ac:dyDescent="0.15">
      <c r="K241" s="188"/>
    </row>
    <row r="242" spans="11:11" x14ac:dyDescent="0.15">
      <c r="K242" s="188"/>
    </row>
    <row r="243" spans="11:11" x14ac:dyDescent="0.15">
      <c r="K243" s="188"/>
    </row>
    <row r="244" spans="11:11" x14ac:dyDescent="0.15">
      <c r="K244" s="188"/>
    </row>
    <row r="245" spans="11:11" x14ac:dyDescent="0.15">
      <c r="K245" s="188"/>
    </row>
    <row r="246" spans="11:11" x14ac:dyDescent="0.15">
      <c r="K246" s="188"/>
    </row>
    <row r="247" spans="11:11" x14ac:dyDescent="0.15">
      <c r="K247" s="188"/>
    </row>
    <row r="248" spans="11:11" x14ac:dyDescent="0.15">
      <c r="K248" s="188"/>
    </row>
    <row r="249" spans="11:11" x14ac:dyDescent="0.15">
      <c r="K249" s="188"/>
    </row>
    <row r="250" spans="11:11" x14ac:dyDescent="0.15">
      <c r="K250" s="188"/>
    </row>
    <row r="251" spans="11:11" x14ac:dyDescent="0.15">
      <c r="K251" s="188"/>
    </row>
    <row r="252" spans="11:11" x14ac:dyDescent="0.15">
      <c r="K252" s="188"/>
    </row>
    <row r="253" spans="11:11" x14ac:dyDescent="0.15">
      <c r="K253" s="188"/>
    </row>
    <row r="254" spans="11:11" x14ac:dyDescent="0.15">
      <c r="K254" s="188"/>
    </row>
    <row r="255" spans="11:11" x14ac:dyDescent="0.15">
      <c r="K255" s="188"/>
    </row>
    <row r="256" spans="11:11" x14ac:dyDescent="0.15">
      <c r="K256" s="188"/>
    </row>
    <row r="257" spans="11:11" x14ac:dyDescent="0.15">
      <c r="K257" s="188"/>
    </row>
    <row r="258" spans="11:11" x14ac:dyDescent="0.15">
      <c r="K258" s="188"/>
    </row>
    <row r="259" spans="11:11" x14ac:dyDescent="0.15">
      <c r="K259" s="188"/>
    </row>
    <row r="260" spans="11:11" x14ac:dyDescent="0.15">
      <c r="K260" s="188"/>
    </row>
    <row r="261" spans="11:11" x14ac:dyDescent="0.15">
      <c r="K261" s="188"/>
    </row>
    <row r="262" spans="11:11" x14ac:dyDescent="0.15">
      <c r="K262" s="188"/>
    </row>
    <row r="263" spans="11:11" x14ac:dyDescent="0.15">
      <c r="K263" s="188"/>
    </row>
    <row r="264" spans="11:11" x14ac:dyDescent="0.15">
      <c r="K264" s="188"/>
    </row>
    <row r="265" spans="11:11" x14ac:dyDescent="0.15">
      <c r="K265" s="188"/>
    </row>
    <row r="266" spans="11:11" x14ac:dyDescent="0.15">
      <c r="K266" s="188"/>
    </row>
    <row r="267" spans="11:11" x14ac:dyDescent="0.15">
      <c r="K267" s="188"/>
    </row>
    <row r="268" spans="11:11" x14ac:dyDescent="0.15">
      <c r="K268" s="188"/>
    </row>
    <row r="269" spans="11:11" x14ac:dyDescent="0.15">
      <c r="K269" s="188"/>
    </row>
    <row r="270" spans="11:11" x14ac:dyDescent="0.15">
      <c r="K270" s="188"/>
    </row>
    <row r="271" spans="11:11" x14ac:dyDescent="0.15">
      <c r="K271" s="188"/>
    </row>
    <row r="272" spans="11:11" x14ac:dyDescent="0.15">
      <c r="K272" s="188"/>
    </row>
    <row r="273" spans="11:11" x14ac:dyDescent="0.15">
      <c r="K273" s="188"/>
    </row>
    <row r="274" spans="11:11" x14ac:dyDescent="0.15">
      <c r="K274" s="188"/>
    </row>
    <row r="275" spans="11:11" x14ac:dyDescent="0.15">
      <c r="K275" s="188"/>
    </row>
    <row r="276" spans="11:11" x14ac:dyDescent="0.15">
      <c r="K276" s="188"/>
    </row>
    <row r="277" spans="11:11" x14ac:dyDescent="0.15">
      <c r="K277" s="188"/>
    </row>
    <row r="278" spans="11:11" x14ac:dyDescent="0.15">
      <c r="K278" s="188"/>
    </row>
    <row r="279" spans="11:11" x14ac:dyDescent="0.15">
      <c r="K279" s="188"/>
    </row>
    <row r="280" spans="11:11" x14ac:dyDescent="0.15">
      <c r="K280" s="188"/>
    </row>
    <row r="281" spans="11:11" x14ac:dyDescent="0.15">
      <c r="K281" s="188"/>
    </row>
    <row r="282" spans="11:11" x14ac:dyDescent="0.15">
      <c r="K282" s="188"/>
    </row>
    <row r="283" spans="11:11" x14ac:dyDescent="0.15">
      <c r="K283" s="188"/>
    </row>
    <row r="284" spans="11:11" x14ac:dyDescent="0.15">
      <c r="K284" s="188"/>
    </row>
    <row r="285" spans="11:11" x14ac:dyDescent="0.15">
      <c r="K285" s="188"/>
    </row>
    <row r="286" spans="11:11" x14ac:dyDescent="0.15">
      <c r="K286" s="188"/>
    </row>
    <row r="287" spans="11:11" x14ac:dyDescent="0.15">
      <c r="K287" s="188"/>
    </row>
    <row r="288" spans="11:11" x14ac:dyDescent="0.15">
      <c r="K288" s="188"/>
    </row>
    <row r="289" spans="11:11" x14ac:dyDescent="0.15">
      <c r="K289" s="188"/>
    </row>
    <row r="290" spans="11:11" x14ac:dyDescent="0.15">
      <c r="K290" s="188"/>
    </row>
    <row r="291" spans="11:11" x14ac:dyDescent="0.15">
      <c r="K291" s="188"/>
    </row>
    <row r="292" spans="11:11" x14ac:dyDescent="0.15">
      <c r="K292" s="188"/>
    </row>
    <row r="293" spans="11:11" x14ac:dyDescent="0.15">
      <c r="K293" s="188"/>
    </row>
    <row r="294" spans="11:11" x14ac:dyDescent="0.15">
      <c r="K294" s="188"/>
    </row>
    <row r="295" spans="11:11" x14ac:dyDescent="0.15">
      <c r="K295" s="188"/>
    </row>
    <row r="296" spans="11:11" x14ac:dyDescent="0.15">
      <c r="K296" s="188"/>
    </row>
    <row r="297" spans="11:11" x14ac:dyDescent="0.15">
      <c r="K297" s="188"/>
    </row>
    <row r="298" spans="11:11" x14ac:dyDescent="0.15">
      <c r="K298" s="188"/>
    </row>
    <row r="299" spans="11:11" x14ac:dyDescent="0.15">
      <c r="K299" s="188"/>
    </row>
    <row r="300" spans="11:11" x14ac:dyDescent="0.15">
      <c r="K300" s="188"/>
    </row>
    <row r="301" spans="11:11" x14ac:dyDescent="0.15">
      <c r="K301" s="188"/>
    </row>
    <row r="302" spans="11:11" x14ac:dyDescent="0.15">
      <c r="K302" s="188"/>
    </row>
    <row r="303" spans="11:11" x14ac:dyDescent="0.15">
      <c r="K303" s="188"/>
    </row>
    <row r="304" spans="11:11" x14ac:dyDescent="0.15">
      <c r="K304" s="188"/>
    </row>
    <row r="305" spans="11:11" x14ac:dyDescent="0.15">
      <c r="K305" s="188"/>
    </row>
    <row r="306" spans="11:11" x14ac:dyDescent="0.15">
      <c r="K306" s="188"/>
    </row>
    <row r="307" spans="11:11" x14ac:dyDescent="0.15">
      <c r="K307" s="188"/>
    </row>
    <row r="308" spans="11:11" x14ac:dyDescent="0.15">
      <c r="K308" s="188"/>
    </row>
    <row r="309" spans="11:11" x14ac:dyDescent="0.15">
      <c r="K309" s="188"/>
    </row>
    <row r="310" spans="11:11" x14ac:dyDescent="0.15">
      <c r="K310" s="188"/>
    </row>
    <row r="311" spans="11:11" x14ac:dyDescent="0.15">
      <c r="K311" s="188"/>
    </row>
    <row r="312" spans="11:11" x14ac:dyDescent="0.15">
      <c r="K312" s="188"/>
    </row>
    <row r="313" spans="11:11" x14ac:dyDescent="0.15">
      <c r="K313" s="188"/>
    </row>
    <row r="314" spans="11:11" x14ac:dyDescent="0.15">
      <c r="K314" s="188"/>
    </row>
    <row r="315" spans="11:11" x14ac:dyDescent="0.15">
      <c r="K315" s="188"/>
    </row>
    <row r="316" spans="11:11" x14ac:dyDescent="0.15">
      <c r="K316" s="188"/>
    </row>
    <row r="317" spans="11:11" x14ac:dyDescent="0.15">
      <c r="K317" s="188"/>
    </row>
    <row r="318" spans="11:11" x14ac:dyDescent="0.15">
      <c r="K318" s="188"/>
    </row>
    <row r="319" spans="11:11" x14ac:dyDescent="0.15">
      <c r="K319" s="188"/>
    </row>
    <row r="320" spans="11:11" x14ac:dyDescent="0.15">
      <c r="K320" s="188"/>
    </row>
    <row r="321" spans="11:11" x14ac:dyDescent="0.15">
      <c r="K321" s="188"/>
    </row>
    <row r="322" spans="11:11" x14ac:dyDescent="0.15">
      <c r="K322" s="188"/>
    </row>
    <row r="323" spans="11:11" x14ac:dyDescent="0.15">
      <c r="K323" s="188"/>
    </row>
    <row r="324" spans="11:11" x14ac:dyDescent="0.15">
      <c r="K324" s="188"/>
    </row>
    <row r="325" spans="11:11" x14ac:dyDescent="0.15">
      <c r="K325" s="188"/>
    </row>
    <row r="326" spans="11:11" x14ac:dyDescent="0.15">
      <c r="K326" s="188"/>
    </row>
    <row r="327" spans="11:11" x14ac:dyDescent="0.15">
      <c r="K327" s="188"/>
    </row>
    <row r="328" spans="11:11" x14ac:dyDescent="0.15">
      <c r="K328" s="188"/>
    </row>
    <row r="329" spans="11:11" x14ac:dyDescent="0.15">
      <c r="K329" s="188"/>
    </row>
    <row r="330" spans="11:11" x14ac:dyDescent="0.15">
      <c r="K330" s="188"/>
    </row>
    <row r="331" spans="11:11" x14ac:dyDescent="0.15">
      <c r="K331" s="188"/>
    </row>
    <row r="332" spans="11:11" x14ac:dyDescent="0.15">
      <c r="K332" s="188"/>
    </row>
    <row r="333" spans="11:11" x14ac:dyDescent="0.15">
      <c r="K333" s="188"/>
    </row>
    <row r="334" spans="11:11" x14ac:dyDescent="0.15">
      <c r="K334" s="188"/>
    </row>
    <row r="335" spans="11:11" x14ac:dyDescent="0.15">
      <c r="K335" s="188"/>
    </row>
    <row r="336" spans="11:11" x14ac:dyDescent="0.15">
      <c r="K336" s="188"/>
    </row>
    <row r="337" spans="11:11" x14ac:dyDescent="0.15">
      <c r="K337" s="188"/>
    </row>
    <row r="338" spans="11:11" x14ac:dyDescent="0.15">
      <c r="K338" s="188"/>
    </row>
    <row r="339" spans="11:11" x14ac:dyDescent="0.15">
      <c r="K339" s="188"/>
    </row>
    <row r="340" spans="11:11" x14ac:dyDescent="0.15">
      <c r="K340" s="188"/>
    </row>
    <row r="341" spans="11:11" x14ac:dyDescent="0.15">
      <c r="K341" s="188"/>
    </row>
    <row r="342" spans="11:11" x14ac:dyDescent="0.15">
      <c r="K342" s="188"/>
    </row>
    <row r="343" spans="11:11" x14ac:dyDescent="0.15">
      <c r="K343" s="188"/>
    </row>
    <row r="344" spans="11:11" x14ac:dyDescent="0.15">
      <c r="K344" s="188"/>
    </row>
    <row r="345" spans="11:11" x14ac:dyDescent="0.15">
      <c r="K345" s="188"/>
    </row>
    <row r="346" spans="11:11" x14ac:dyDescent="0.15">
      <c r="K346" s="188"/>
    </row>
    <row r="347" spans="11:11" x14ac:dyDescent="0.15">
      <c r="K347" s="188"/>
    </row>
    <row r="348" spans="11:11" x14ac:dyDescent="0.15">
      <c r="K348" s="188"/>
    </row>
    <row r="349" spans="11:11" x14ac:dyDescent="0.15">
      <c r="K349" s="188"/>
    </row>
    <row r="350" spans="11:11" x14ac:dyDescent="0.15">
      <c r="K350" s="188"/>
    </row>
    <row r="351" spans="11:11" x14ac:dyDescent="0.15">
      <c r="K351" s="188"/>
    </row>
    <row r="352" spans="11:11" x14ac:dyDescent="0.15">
      <c r="K352" s="188"/>
    </row>
    <row r="353" spans="11:11" x14ac:dyDescent="0.15">
      <c r="K353" s="188"/>
    </row>
    <row r="354" spans="11:11" x14ac:dyDescent="0.15">
      <c r="K354" s="188"/>
    </row>
    <row r="355" spans="11:11" x14ac:dyDescent="0.15">
      <c r="K355" s="188"/>
    </row>
    <row r="356" spans="11:11" x14ac:dyDescent="0.15">
      <c r="K356" s="188"/>
    </row>
    <row r="357" spans="11:11" x14ac:dyDescent="0.15">
      <c r="K357" s="188"/>
    </row>
    <row r="358" spans="11:11" x14ac:dyDescent="0.15">
      <c r="K358" s="188"/>
    </row>
    <row r="359" spans="11:11" x14ac:dyDescent="0.15">
      <c r="K359" s="188"/>
    </row>
    <row r="360" spans="11:11" x14ac:dyDescent="0.15">
      <c r="K360" s="188"/>
    </row>
    <row r="361" spans="11:11" x14ac:dyDescent="0.15">
      <c r="K361" s="188"/>
    </row>
    <row r="362" spans="11:11" x14ac:dyDescent="0.15">
      <c r="K362" s="188"/>
    </row>
    <row r="363" spans="11:11" x14ac:dyDescent="0.15">
      <c r="K363" s="188"/>
    </row>
    <row r="364" spans="11:11" x14ac:dyDescent="0.15">
      <c r="K364" s="188"/>
    </row>
    <row r="365" spans="11:11" x14ac:dyDescent="0.15">
      <c r="K365" s="188"/>
    </row>
    <row r="366" spans="11:11" x14ac:dyDescent="0.15">
      <c r="K366" s="188"/>
    </row>
    <row r="367" spans="11:11" x14ac:dyDescent="0.15">
      <c r="K367" s="188"/>
    </row>
    <row r="368" spans="11:11" x14ac:dyDescent="0.15">
      <c r="K368" s="188"/>
    </row>
    <row r="369" spans="11:11" x14ac:dyDescent="0.15">
      <c r="K369" s="188"/>
    </row>
    <row r="370" spans="11:11" x14ac:dyDescent="0.15">
      <c r="K370" s="188"/>
    </row>
    <row r="371" spans="11:11" x14ac:dyDescent="0.15">
      <c r="K371" s="188"/>
    </row>
    <row r="372" spans="11:11" x14ac:dyDescent="0.15">
      <c r="K372" s="188"/>
    </row>
    <row r="373" spans="11:11" x14ac:dyDescent="0.15">
      <c r="K373" s="188"/>
    </row>
    <row r="374" spans="11:11" x14ac:dyDescent="0.15">
      <c r="K374" s="188"/>
    </row>
    <row r="375" spans="11:11" x14ac:dyDescent="0.15">
      <c r="K375" s="188"/>
    </row>
    <row r="376" spans="11:11" x14ac:dyDescent="0.15">
      <c r="K376" s="188"/>
    </row>
    <row r="377" spans="11:11" x14ac:dyDescent="0.15">
      <c r="K377" s="188"/>
    </row>
    <row r="378" spans="11:11" x14ac:dyDescent="0.15">
      <c r="K378" s="188"/>
    </row>
    <row r="379" spans="11:11" x14ac:dyDescent="0.15">
      <c r="K379" s="188"/>
    </row>
    <row r="380" spans="11:11" x14ac:dyDescent="0.15">
      <c r="K380" s="188"/>
    </row>
    <row r="381" spans="11:11" x14ac:dyDescent="0.15">
      <c r="K381" s="188"/>
    </row>
    <row r="382" spans="11:11" x14ac:dyDescent="0.15">
      <c r="K382" s="188"/>
    </row>
    <row r="383" spans="11:11" x14ac:dyDescent="0.15">
      <c r="K383" s="188"/>
    </row>
    <row r="384" spans="11:11" x14ac:dyDescent="0.15">
      <c r="K384" s="188"/>
    </row>
    <row r="385" spans="11:11" x14ac:dyDescent="0.15">
      <c r="K385" s="188"/>
    </row>
    <row r="386" spans="11:11" x14ac:dyDescent="0.15">
      <c r="K386" s="188"/>
    </row>
    <row r="387" spans="11:11" x14ac:dyDescent="0.15">
      <c r="K387" s="188"/>
    </row>
    <row r="388" spans="11:11" x14ac:dyDescent="0.15">
      <c r="K388" s="188"/>
    </row>
    <row r="389" spans="11:11" x14ac:dyDescent="0.15">
      <c r="K389" s="188"/>
    </row>
    <row r="390" spans="11:11" x14ac:dyDescent="0.15">
      <c r="K390" s="188"/>
    </row>
    <row r="391" spans="11:11" x14ac:dyDescent="0.15">
      <c r="K391" s="188"/>
    </row>
    <row r="392" spans="11:11" x14ac:dyDescent="0.15">
      <c r="K392" s="188"/>
    </row>
    <row r="393" spans="11:11" x14ac:dyDescent="0.15">
      <c r="K393" s="188"/>
    </row>
    <row r="394" spans="11:11" x14ac:dyDescent="0.15">
      <c r="K394" s="188"/>
    </row>
    <row r="395" spans="11:11" x14ac:dyDescent="0.15">
      <c r="K395" s="188"/>
    </row>
    <row r="396" spans="11:11" x14ac:dyDescent="0.15">
      <c r="K396" s="188"/>
    </row>
    <row r="397" spans="11:11" x14ac:dyDescent="0.15">
      <c r="K397" s="188"/>
    </row>
    <row r="398" spans="11:11" x14ac:dyDescent="0.15">
      <c r="K398" s="188"/>
    </row>
    <row r="399" spans="11:11" x14ac:dyDescent="0.15">
      <c r="K399" s="188"/>
    </row>
    <row r="400" spans="11:11" x14ac:dyDescent="0.15">
      <c r="K400" s="188"/>
    </row>
    <row r="401" spans="11:11" x14ac:dyDescent="0.15">
      <c r="K401" s="188"/>
    </row>
    <row r="402" spans="11:11" x14ac:dyDescent="0.15">
      <c r="K402" s="188"/>
    </row>
    <row r="403" spans="11:11" x14ac:dyDescent="0.15">
      <c r="K403" s="188"/>
    </row>
    <row r="404" spans="11:11" x14ac:dyDescent="0.15">
      <c r="K404" s="188"/>
    </row>
    <row r="405" spans="11:11" x14ac:dyDescent="0.15">
      <c r="K405" s="188"/>
    </row>
    <row r="406" spans="11:11" x14ac:dyDescent="0.15">
      <c r="K406" s="188"/>
    </row>
    <row r="407" spans="11:11" x14ac:dyDescent="0.15">
      <c r="K407" s="188"/>
    </row>
    <row r="408" spans="11:11" x14ac:dyDescent="0.15">
      <c r="K408" s="188"/>
    </row>
    <row r="409" spans="11:11" x14ac:dyDescent="0.15">
      <c r="K409" s="188"/>
    </row>
    <row r="410" spans="11:11" x14ac:dyDescent="0.15">
      <c r="K410" s="188"/>
    </row>
    <row r="411" spans="11:11" x14ac:dyDescent="0.15">
      <c r="K411" s="188"/>
    </row>
    <row r="412" spans="11:11" x14ac:dyDescent="0.15">
      <c r="K412" s="188"/>
    </row>
    <row r="413" spans="11:11" x14ac:dyDescent="0.15">
      <c r="K413" s="188"/>
    </row>
    <row r="414" spans="11:11" x14ac:dyDescent="0.15">
      <c r="K414" s="188"/>
    </row>
    <row r="415" spans="11:11" x14ac:dyDescent="0.15">
      <c r="K415" s="188"/>
    </row>
    <row r="416" spans="11:11" x14ac:dyDescent="0.15">
      <c r="K416" s="188"/>
    </row>
    <row r="417" spans="11:11" x14ac:dyDescent="0.15">
      <c r="K417" s="188"/>
    </row>
    <row r="418" spans="11:11" x14ac:dyDescent="0.15">
      <c r="K418" s="188"/>
    </row>
    <row r="419" spans="11:11" x14ac:dyDescent="0.15">
      <c r="K419" s="188"/>
    </row>
    <row r="420" spans="11:11" x14ac:dyDescent="0.15">
      <c r="K420" s="188"/>
    </row>
    <row r="421" spans="11:11" x14ac:dyDescent="0.15">
      <c r="K421" s="188"/>
    </row>
    <row r="422" spans="11:11" x14ac:dyDescent="0.15">
      <c r="K422" s="188"/>
    </row>
    <row r="423" spans="11:11" x14ac:dyDescent="0.15">
      <c r="K423" s="188"/>
    </row>
    <row r="424" spans="11:11" x14ac:dyDescent="0.15">
      <c r="K424" s="188"/>
    </row>
    <row r="425" spans="11:11" x14ac:dyDescent="0.15">
      <c r="K425" s="188"/>
    </row>
    <row r="426" spans="11:11" x14ac:dyDescent="0.15">
      <c r="K426" s="188"/>
    </row>
    <row r="427" spans="11:11" x14ac:dyDescent="0.15">
      <c r="K427" s="188"/>
    </row>
    <row r="428" spans="11:11" x14ac:dyDescent="0.15">
      <c r="K428" s="188"/>
    </row>
    <row r="429" spans="11:11" x14ac:dyDescent="0.15">
      <c r="K429" s="188"/>
    </row>
    <row r="430" spans="11:11" x14ac:dyDescent="0.15">
      <c r="K430" s="188"/>
    </row>
    <row r="431" spans="11:11" x14ac:dyDescent="0.15">
      <c r="K431" s="188"/>
    </row>
    <row r="432" spans="11:11" x14ac:dyDescent="0.15">
      <c r="K432" s="188"/>
    </row>
    <row r="433" spans="11:11" x14ac:dyDescent="0.15">
      <c r="K433" s="188"/>
    </row>
    <row r="434" spans="11:11" x14ac:dyDescent="0.15">
      <c r="K434" s="188"/>
    </row>
    <row r="435" spans="11:11" x14ac:dyDescent="0.15">
      <c r="K435" s="188"/>
    </row>
    <row r="436" spans="11:11" x14ac:dyDescent="0.15">
      <c r="K436" s="188"/>
    </row>
    <row r="437" spans="11:11" x14ac:dyDescent="0.15">
      <c r="K437" s="188"/>
    </row>
    <row r="438" spans="11:11" x14ac:dyDescent="0.15">
      <c r="K438" s="188"/>
    </row>
    <row r="439" spans="11:11" x14ac:dyDescent="0.15">
      <c r="K439" s="188"/>
    </row>
    <row r="440" spans="11:11" x14ac:dyDescent="0.15">
      <c r="K440" s="188"/>
    </row>
    <row r="441" spans="11:11" x14ac:dyDescent="0.15">
      <c r="K441" s="188"/>
    </row>
    <row r="442" spans="11:11" x14ac:dyDescent="0.15">
      <c r="K442" s="188"/>
    </row>
    <row r="443" spans="11:11" x14ac:dyDescent="0.15">
      <c r="K443" s="188"/>
    </row>
    <row r="444" spans="11:11" x14ac:dyDescent="0.15">
      <c r="K444" s="188"/>
    </row>
    <row r="445" spans="11:11" x14ac:dyDescent="0.15">
      <c r="K445" s="188"/>
    </row>
    <row r="446" spans="11:11" x14ac:dyDescent="0.15">
      <c r="K446" s="188"/>
    </row>
    <row r="447" spans="11:11" x14ac:dyDescent="0.15">
      <c r="K447" s="188"/>
    </row>
    <row r="448" spans="11:11" x14ac:dyDescent="0.15">
      <c r="K448" s="188"/>
    </row>
    <row r="449" spans="11:11" x14ac:dyDescent="0.15">
      <c r="K449" s="188"/>
    </row>
    <row r="450" spans="11:11" x14ac:dyDescent="0.15">
      <c r="K450" s="188"/>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1"/>
  <sheetViews>
    <sheetView zoomScale="85" zoomScaleNormal="85" workbookViewId="0">
      <selection activeCell="M14" sqref="M14"/>
    </sheetView>
  </sheetViews>
  <sheetFormatPr defaultColWidth="9" defaultRowHeight="13.5" x14ac:dyDescent="0.15"/>
  <cols>
    <col min="1" max="3" width="9" style="70"/>
    <col min="4" max="4" width="10.5" style="70" customWidth="1"/>
    <col min="5" max="16" width="9" style="70"/>
    <col min="17" max="17" width="9" style="104"/>
    <col min="18" max="18" width="9" style="70"/>
    <col min="19" max="19" width="9.5" style="70" customWidth="1"/>
    <col min="20" max="20" width="9" style="104"/>
    <col min="21" max="21" width="9" style="70"/>
    <col min="22" max="22" width="9" style="104"/>
    <col min="23" max="23" width="10.5" style="70" customWidth="1"/>
    <col min="24" max="32" width="9" style="70"/>
    <col min="33" max="33" width="19.625" style="70" customWidth="1"/>
    <col min="34" max="34" width="9.375" style="70" customWidth="1"/>
    <col min="35" max="259" width="9" style="70"/>
    <col min="260" max="260" width="10.5" style="70" customWidth="1"/>
    <col min="261" max="274" width="9" style="70"/>
    <col min="275" max="275" width="9.5" style="70" customWidth="1"/>
    <col min="276" max="278" width="9" style="70"/>
    <col min="279" max="279" width="10.5" style="70" customWidth="1"/>
    <col min="280" max="515" width="9" style="70"/>
    <col min="516" max="516" width="10.5" style="70" customWidth="1"/>
    <col min="517" max="530" width="9" style="70"/>
    <col min="531" max="531" width="9.5" style="70" customWidth="1"/>
    <col min="532" max="534" width="9" style="70"/>
    <col min="535" max="535" width="10.5" style="70" customWidth="1"/>
    <col min="536" max="771" width="9" style="70"/>
    <col min="772" max="772" width="10.5" style="70" customWidth="1"/>
    <col min="773" max="786" width="9" style="70"/>
    <col min="787" max="787" width="9.5" style="70" customWidth="1"/>
    <col min="788" max="790" width="9" style="70"/>
    <col min="791" max="791" width="10.5" style="70" customWidth="1"/>
    <col min="792" max="1027" width="9" style="70"/>
    <col min="1028" max="1028" width="10.5" style="70" customWidth="1"/>
    <col min="1029" max="1042" width="9" style="70"/>
    <col min="1043" max="1043" width="9.5" style="70" customWidth="1"/>
    <col min="1044" max="1046" width="9" style="70"/>
    <col min="1047" max="1047" width="10.5" style="70" customWidth="1"/>
    <col min="1048" max="1283" width="9" style="70"/>
    <col min="1284" max="1284" width="10.5" style="70" customWidth="1"/>
    <col min="1285" max="1298" width="9" style="70"/>
    <col min="1299" max="1299" width="9.5" style="70" customWidth="1"/>
    <col min="1300" max="1302" width="9" style="70"/>
    <col min="1303" max="1303" width="10.5" style="70" customWidth="1"/>
    <col min="1304" max="1539" width="9" style="70"/>
    <col min="1540" max="1540" width="10.5" style="70" customWidth="1"/>
    <col min="1541" max="1554" width="9" style="70"/>
    <col min="1555" max="1555" width="9.5" style="70" customWidth="1"/>
    <col min="1556" max="1558" width="9" style="70"/>
    <col min="1559" max="1559" width="10.5" style="70" customWidth="1"/>
    <col min="1560" max="1795" width="9" style="70"/>
    <col min="1796" max="1796" width="10.5" style="70" customWidth="1"/>
    <col min="1797" max="1810" width="9" style="70"/>
    <col min="1811" max="1811" width="9.5" style="70" customWidth="1"/>
    <col min="1812" max="1814" width="9" style="70"/>
    <col min="1815" max="1815" width="10.5" style="70" customWidth="1"/>
    <col min="1816" max="2051" width="9" style="70"/>
    <col min="2052" max="2052" width="10.5" style="70" customWidth="1"/>
    <col min="2053" max="2066" width="9" style="70"/>
    <col min="2067" max="2067" width="9.5" style="70" customWidth="1"/>
    <col min="2068" max="2070" width="9" style="70"/>
    <col min="2071" max="2071" width="10.5" style="70" customWidth="1"/>
    <col min="2072" max="2307" width="9" style="70"/>
    <col min="2308" max="2308" width="10.5" style="70" customWidth="1"/>
    <col min="2309" max="2322" width="9" style="70"/>
    <col min="2323" max="2323" width="9.5" style="70" customWidth="1"/>
    <col min="2324" max="2326" width="9" style="70"/>
    <col min="2327" max="2327" width="10.5" style="70" customWidth="1"/>
    <col min="2328" max="2563" width="9" style="70"/>
    <col min="2564" max="2564" width="10.5" style="70" customWidth="1"/>
    <col min="2565" max="2578" width="9" style="70"/>
    <col min="2579" max="2579" width="9.5" style="70" customWidth="1"/>
    <col min="2580" max="2582" width="9" style="70"/>
    <col min="2583" max="2583" width="10.5" style="70" customWidth="1"/>
    <col min="2584" max="2819" width="9" style="70"/>
    <col min="2820" max="2820" width="10.5" style="70" customWidth="1"/>
    <col min="2821" max="2834" width="9" style="70"/>
    <col min="2835" max="2835" width="9.5" style="70" customWidth="1"/>
    <col min="2836" max="2838" width="9" style="70"/>
    <col min="2839" max="2839" width="10.5" style="70" customWidth="1"/>
    <col min="2840" max="3075" width="9" style="70"/>
    <col min="3076" max="3076" width="10.5" style="70" customWidth="1"/>
    <col min="3077" max="3090" width="9" style="70"/>
    <col min="3091" max="3091" width="9.5" style="70" customWidth="1"/>
    <col min="3092" max="3094" width="9" style="70"/>
    <col min="3095" max="3095" width="10.5" style="70" customWidth="1"/>
    <col min="3096" max="3331" width="9" style="70"/>
    <col min="3332" max="3332" width="10.5" style="70" customWidth="1"/>
    <col min="3333" max="3346" width="9" style="70"/>
    <col min="3347" max="3347" width="9.5" style="70" customWidth="1"/>
    <col min="3348" max="3350" width="9" style="70"/>
    <col min="3351" max="3351" width="10.5" style="70" customWidth="1"/>
    <col min="3352" max="3587" width="9" style="70"/>
    <col min="3588" max="3588" width="10.5" style="70" customWidth="1"/>
    <col min="3589" max="3602" width="9" style="70"/>
    <col min="3603" max="3603" width="9.5" style="70" customWidth="1"/>
    <col min="3604" max="3606" width="9" style="70"/>
    <col min="3607" max="3607" width="10.5" style="70" customWidth="1"/>
    <col min="3608" max="3843" width="9" style="70"/>
    <col min="3844" max="3844" width="10.5" style="70" customWidth="1"/>
    <col min="3845" max="3858" width="9" style="70"/>
    <col min="3859" max="3859" width="9.5" style="70" customWidth="1"/>
    <col min="3860" max="3862" width="9" style="70"/>
    <col min="3863" max="3863" width="10.5" style="70" customWidth="1"/>
    <col min="3864" max="4099" width="9" style="70"/>
    <col min="4100" max="4100" width="10.5" style="70" customWidth="1"/>
    <col min="4101" max="4114" width="9" style="70"/>
    <col min="4115" max="4115" width="9.5" style="70" customWidth="1"/>
    <col min="4116" max="4118" width="9" style="70"/>
    <col min="4119" max="4119" width="10.5" style="70" customWidth="1"/>
    <col min="4120" max="4355" width="9" style="70"/>
    <col min="4356" max="4356" width="10.5" style="70" customWidth="1"/>
    <col min="4357" max="4370" width="9" style="70"/>
    <col min="4371" max="4371" width="9.5" style="70" customWidth="1"/>
    <col min="4372" max="4374" width="9" style="70"/>
    <col min="4375" max="4375" width="10.5" style="70" customWidth="1"/>
    <col min="4376" max="4611" width="9" style="70"/>
    <col min="4612" max="4612" width="10.5" style="70" customWidth="1"/>
    <col min="4613" max="4626" width="9" style="70"/>
    <col min="4627" max="4627" width="9.5" style="70" customWidth="1"/>
    <col min="4628" max="4630" width="9" style="70"/>
    <col min="4631" max="4631" width="10.5" style="70" customWidth="1"/>
    <col min="4632" max="4867" width="9" style="70"/>
    <col min="4868" max="4868" width="10.5" style="70" customWidth="1"/>
    <col min="4869" max="4882" width="9" style="70"/>
    <col min="4883" max="4883" width="9.5" style="70" customWidth="1"/>
    <col min="4884" max="4886" width="9" style="70"/>
    <col min="4887" max="4887" width="10.5" style="70" customWidth="1"/>
    <col min="4888" max="5123" width="9" style="70"/>
    <col min="5124" max="5124" width="10.5" style="70" customWidth="1"/>
    <col min="5125" max="5138" width="9" style="70"/>
    <col min="5139" max="5139" width="9.5" style="70" customWidth="1"/>
    <col min="5140" max="5142" width="9" style="70"/>
    <col min="5143" max="5143" width="10.5" style="70" customWidth="1"/>
    <col min="5144" max="5379" width="9" style="70"/>
    <col min="5380" max="5380" width="10.5" style="70" customWidth="1"/>
    <col min="5381" max="5394" width="9" style="70"/>
    <col min="5395" max="5395" width="9.5" style="70" customWidth="1"/>
    <col min="5396" max="5398" width="9" style="70"/>
    <col min="5399" max="5399" width="10.5" style="70" customWidth="1"/>
    <col min="5400" max="5635" width="9" style="70"/>
    <col min="5636" max="5636" width="10.5" style="70" customWidth="1"/>
    <col min="5637" max="5650" width="9" style="70"/>
    <col min="5651" max="5651" width="9.5" style="70" customWidth="1"/>
    <col min="5652" max="5654" width="9" style="70"/>
    <col min="5655" max="5655" width="10.5" style="70" customWidth="1"/>
    <col min="5656" max="5891" width="9" style="70"/>
    <col min="5892" max="5892" width="10.5" style="70" customWidth="1"/>
    <col min="5893" max="5906" width="9" style="70"/>
    <col min="5907" max="5907" width="9.5" style="70" customWidth="1"/>
    <col min="5908" max="5910" width="9" style="70"/>
    <col min="5911" max="5911" width="10.5" style="70" customWidth="1"/>
    <col min="5912" max="6147" width="9" style="70"/>
    <col min="6148" max="6148" width="10.5" style="70" customWidth="1"/>
    <col min="6149" max="6162" width="9" style="70"/>
    <col min="6163" max="6163" width="9.5" style="70" customWidth="1"/>
    <col min="6164" max="6166" width="9" style="70"/>
    <col min="6167" max="6167" width="10.5" style="70" customWidth="1"/>
    <col min="6168" max="6403" width="9" style="70"/>
    <col min="6404" max="6404" width="10.5" style="70" customWidth="1"/>
    <col min="6405" max="6418" width="9" style="70"/>
    <col min="6419" max="6419" width="9.5" style="70" customWidth="1"/>
    <col min="6420" max="6422" width="9" style="70"/>
    <col min="6423" max="6423" width="10.5" style="70" customWidth="1"/>
    <col min="6424" max="6659" width="9" style="70"/>
    <col min="6660" max="6660" width="10.5" style="70" customWidth="1"/>
    <col min="6661" max="6674" width="9" style="70"/>
    <col min="6675" max="6675" width="9.5" style="70" customWidth="1"/>
    <col min="6676" max="6678" width="9" style="70"/>
    <col min="6679" max="6679" width="10.5" style="70" customWidth="1"/>
    <col min="6680" max="6915" width="9" style="70"/>
    <col min="6916" max="6916" width="10.5" style="70" customWidth="1"/>
    <col min="6917" max="6930" width="9" style="70"/>
    <col min="6931" max="6931" width="9.5" style="70" customWidth="1"/>
    <col min="6932" max="6934" width="9" style="70"/>
    <col min="6935" max="6935" width="10.5" style="70" customWidth="1"/>
    <col min="6936" max="7171" width="9" style="70"/>
    <col min="7172" max="7172" width="10.5" style="70" customWidth="1"/>
    <col min="7173" max="7186" width="9" style="70"/>
    <col min="7187" max="7187" width="9.5" style="70" customWidth="1"/>
    <col min="7188" max="7190" width="9" style="70"/>
    <col min="7191" max="7191" width="10.5" style="70" customWidth="1"/>
    <col min="7192" max="7427" width="9" style="70"/>
    <col min="7428" max="7428" width="10.5" style="70" customWidth="1"/>
    <col min="7429" max="7442" width="9" style="70"/>
    <col min="7443" max="7443" width="9.5" style="70" customWidth="1"/>
    <col min="7444" max="7446" width="9" style="70"/>
    <col min="7447" max="7447" width="10.5" style="70" customWidth="1"/>
    <col min="7448" max="7683" width="9" style="70"/>
    <col min="7684" max="7684" width="10.5" style="70" customWidth="1"/>
    <col min="7685" max="7698" width="9" style="70"/>
    <col min="7699" max="7699" width="9.5" style="70" customWidth="1"/>
    <col min="7700" max="7702" width="9" style="70"/>
    <col min="7703" max="7703" width="10.5" style="70" customWidth="1"/>
    <col min="7704" max="7939" width="9" style="70"/>
    <col min="7940" max="7940" width="10.5" style="70" customWidth="1"/>
    <col min="7941" max="7954" width="9" style="70"/>
    <col min="7955" max="7955" width="9.5" style="70" customWidth="1"/>
    <col min="7956" max="7958" width="9" style="70"/>
    <col min="7959" max="7959" width="10.5" style="70" customWidth="1"/>
    <col min="7960" max="8195" width="9" style="70"/>
    <col min="8196" max="8196" width="10.5" style="70" customWidth="1"/>
    <col min="8197" max="8210" width="9" style="70"/>
    <col min="8211" max="8211" width="9.5" style="70" customWidth="1"/>
    <col min="8212" max="8214" width="9" style="70"/>
    <col min="8215" max="8215" width="10.5" style="70" customWidth="1"/>
    <col min="8216" max="8451" width="9" style="70"/>
    <col min="8452" max="8452" width="10.5" style="70" customWidth="1"/>
    <col min="8453" max="8466" width="9" style="70"/>
    <col min="8467" max="8467" width="9.5" style="70" customWidth="1"/>
    <col min="8468" max="8470" width="9" style="70"/>
    <col min="8471" max="8471" width="10.5" style="70" customWidth="1"/>
    <col min="8472" max="8707" width="9" style="70"/>
    <col min="8708" max="8708" width="10.5" style="70" customWidth="1"/>
    <col min="8709" max="8722" width="9" style="70"/>
    <col min="8723" max="8723" width="9.5" style="70" customWidth="1"/>
    <col min="8724" max="8726" width="9" style="70"/>
    <col min="8727" max="8727" width="10.5" style="70" customWidth="1"/>
    <col min="8728" max="8963" width="9" style="70"/>
    <col min="8964" max="8964" width="10.5" style="70" customWidth="1"/>
    <col min="8965" max="8978" width="9" style="70"/>
    <col min="8979" max="8979" width="9.5" style="70" customWidth="1"/>
    <col min="8980" max="8982" width="9" style="70"/>
    <col min="8983" max="8983" width="10.5" style="70" customWidth="1"/>
    <col min="8984" max="9219" width="9" style="70"/>
    <col min="9220" max="9220" width="10.5" style="70" customWidth="1"/>
    <col min="9221" max="9234" width="9" style="70"/>
    <col min="9235" max="9235" width="9.5" style="70" customWidth="1"/>
    <col min="9236" max="9238" width="9" style="70"/>
    <col min="9239" max="9239" width="10.5" style="70" customWidth="1"/>
    <col min="9240" max="9475" width="9" style="70"/>
    <col min="9476" max="9476" width="10.5" style="70" customWidth="1"/>
    <col min="9477" max="9490" width="9" style="70"/>
    <col min="9491" max="9491" width="9.5" style="70" customWidth="1"/>
    <col min="9492" max="9494" width="9" style="70"/>
    <col min="9495" max="9495" width="10.5" style="70" customWidth="1"/>
    <col min="9496" max="9731" width="9" style="70"/>
    <col min="9732" max="9732" width="10.5" style="70" customWidth="1"/>
    <col min="9733" max="9746" width="9" style="70"/>
    <col min="9747" max="9747" width="9.5" style="70" customWidth="1"/>
    <col min="9748" max="9750" width="9" style="70"/>
    <col min="9751" max="9751" width="10.5" style="70" customWidth="1"/>
    <col min="9752" max="9987" width="9" style="70"/>
    <col min="9988" max="9988" width="10.5" style="70" customWidth="1"/>
    <col min="9989" max="10002" width="9" style="70"/>
    <col min="10003" max="10003" width="9.5" style="70" customWidth="1"/>
    <col min="10004" max="10006" width="9" style="70"/>
    <col min="10007" max="10007" width="10.5" style="70" customWidth="1"/>
    <col min="10008" max="10243" width="9" style="70"/>
    <col min="10244" max="10244" width="10.5" style="70" customWidth="1"/>
    <col min="10245" max="10258" width="9" style="70"/>
    <col min="10259" max="10259" width="9.5" style="70" customWidth="1"/>
    <col min="10260" max="10262" width="9" style="70"/>
    <col min="10263" max="10263" width="10.5" style="70" customWidth="1"/>
    <col min="10264" max="10499" width="9" style="70"/>
    <col min="10500" max="10500" width="10.5" style="70" customWidth="1"/>
    <col min="10501" max="10514" width="9" style="70"/>
    <col min="10515" max="10515" width="9.5" style="70" customWidth="1"/>
    <col min="10516" max="10518" width="9" style="70"/>
    <col min="10519" max="10519" width="10.5" style="70" customWidth="1"/>
    <col min="10520" max="10755" width="9" style="70"/>
    <col min="10756" max="10756" width="10.5" style="70" customWidth="1"/>
    <col min="10757" max="10770" width="9" style="70"/>
    <col min="10771" max="10771" width="9.5" style="70" customWidth="1"/>
    <col min="10772" max="10774" width="9" style="70"/>
    <col min="10775" max="10775" width="10.5" style="70" customWidth="1"/>
    <col min="10776" max="11011" width="9" style="70"/>
    <col min="11012" max="11012" width="10.5" style="70" customWidth="1"/>
    <col min="11013" max="11026" width="9" style="70"/>
    <col min="11027" max="11027" width="9.5" style="70" customWidth="1"/>
    <col min="11028" max="11030" width="9" style="70"/>
    <col min="11031" max="11031" width="10.5" style="70" customWidth="1"/>
    <col min="11032" max="11267" width="9" style="70"/>
    <col min="11268" max="11268" width="10.5" style="70" customWidth="1"/>
    <col min="11269" max="11282" width="9" style="70"/>
    <col min="11283" max="11283" width="9.5" style="70" customWidth="1"/>
    <col min="11284" max="11286" width="9" style="70"/>
    <col min="11287" max="11287" width="10.5" style="70" customWidth="1"/>
    <col min="11288" max="11523" width="9" style="70"/>
    <col min="11524" max="11524" width="10.5" style="70" customWidth="1"/>
    <col min="11525" max="11538" width="9" style="70"/>
    <col min="11539" max="11539" width="9.5" style="70" customWidth="1"/>
    <col min="11540" max="11542" width="9" style="70"/>
    <col min="11543" max="11543" width="10.5" style="70" customWidth="1"/>
    <col min="11544" max="11779" width="9" style="70"/>
    <col min="11780" max="11780" width="10.5" style="70" customWidth="1"/>
    <col min="11781" max="11794" width="9" style="70"/>
    <col min="11795" max="11795" width="9.5" style="70" customWidth="1"/>
    <col min="11796" max="11798" width="9" style="70"/>
    <col min="11799" max="11799" width="10.5" style="70" customWidth="1"/>
    <col min="11800" max="12035" width="9" style="70"/>
    <col min="12036" max="12036" width="10.5" style="70" customWidth="1"/>
    <col min="12037" max="12050" width="9" style="70"/>
    <col min="12051" max="12051" width="9.5" style="70" customWidth="1"/>
    <col min="12052" max="12054" width="9" style="70"/>
    <col min="12055" max="12055" width="10.5" style="70" customWidth="1"/>
    <col min="12056" max="12291" width="9" style="70"/>
    <col min="12292" max="12292" width="10.5" style="70" customWidth="1"/>
    <col min="12293" max="12306" width="9" style="70"/>
    <col min="12307" max="12307" width="9.5" style="70" customWidth="1"/>
    <col min="12308" max="12310" width="9" style="70"/>
    <col min="12311" max="12311" width="10.5" style="70" customWidth="1"/>
    <col min="12312" max="12547" width="9" style="70"/>
    <col min="12548" max="12548" width="10.5" style="70" customWidth="1"/>
    <col min="12549" max="12562" width="9" style="70"/>
    <col min="12563" max="12563" width="9.5" style="70" customWidth="1"/>
    <col min="12564" max="12566" width="9" style="70"/>
    <col min="12567" max="12567" width="10.5" style="70" customWidth="1"/>
    <col min="12568" max="12803" width="9" style="70"/>
    <col min="12804" max="12804" width="10.5" style="70" customWidth="1"/>
    <col min="12805" max="12818" width="9" style="70"/>
    <col min="12819" max="12819" width="9.5" style="70" customWidth="1"/>
    <col min="12820" max="12822" width="9" style="70"/>
    <col min="12823" max="12823" width="10.5" style="70" customWidth="1"/>
    <col min="12824" max="13059" width="9" style="70"/>
    <col min="13060" max="13060" width="10.5" style="70" customWidth="1"/>
    <col min="13061" max="13074" width="9" style="70"/>
    <col min="13075" max="13075" width="9.5" style="70" customWidth="1"/>
    <col min="13076" max="13078" width="9" style="70"/>
    <col min="13079" max="13079" width="10.5" style="70" customWidth="1"/>
    <col min="13080" max="13315" width="9" style="70"/>
    <col min="13316" max="13316" width="10.5" style="70" customWidth="1"/>
    <col min="13317" max="13330" width="9" style="70"/>
    <col min="13331" max="13331" width="9.5" style="70" customWidth="1"/>
    <col min="13332" max="13334" width="9" style="70"/>
    <col min="13335" max="13335" width="10.5" style="70" customWidth="1"/>
    <col min="13336" max="13571" width="9" style="70"/>
    <col min="13572" max="13572" width="10.5" style="70" customWidth="1"/>
    <col min="13573" max="13586" width="9" style="70"/>
    <col min="13587" max="13587" width="9.5" style="70" customWidth="1"/>
    <col min="13588" max="13590" width="9" style="70"/>
    <col min="13591" max="13591" width="10.5" style="70" customWidth="1"/>
    <col min="13592" max="13827" width="9" style="70"/>
    <col min="13828" max="13828" width="10.5" style="70" customWidth="1"/>
    <col min="13829" max="13842" width="9" style="70"/>
    <col min="13843" max="13843" width="9.5" style="70" customWidth="1"/>
    <col min="13844" max="13846" width="9" style="70"/>
    <col min="13847" max="13847" width="10.5" style="70" customWidth="1"/>
    <col min="13848" max="14083" width="9" style="70"/>
    <col min="14084" max="14084" width="10.5" style="70" customWidth="1"/>
    <col min="14085" max="14098" width="9" style="70"/>
    <col min="14099" max="14099" width="9.5" style="70" customWidth="1"/>
    <col min="14100" max="14102" width="9" style="70"/>
    <col min="14103" max="14103" width="10.5" style="70" customWidth="1"/>
    <col min="14104" max="14339" width="9" style="70"/>
    <col min="14340" max="14340" width="10.5" style="70" customWidth="1"/>
    <col min="14341" max="14354" width="9" style="70"/>
    <col min="14355" max="14355" width="9.5" style="70" customWidth="1"/>
    <col min="14356" max="14358" width="9" style="70"/>
    <col min="14359" max="14359" width="10.5" style="70" customWidth="1"/>
    <col min="14360" max="14595" width="9" style="70"/>
    <col min="14596" max="14596" width="10.5" style="70" customWidth="1"/>
    <col min="14597" max="14610" width="9" style="70"/>
    <col min="14611" max="14611" width="9.5" style="70" customWidth="1"/>
    <col min="14612" max="14614" width="9" style="70"/>
    <col min="14615" max="14615" width="10.5" style="70" customWidth="1"/>
    <col min="14616" max="14851" width="9" style="70"/>
    <col min="14852" max="14852" width="10.5" style="70" customWidth="1"/>
    <col min="14853" max="14866" width="9" style="70"/>
    <col min="14867" max="14867" width="9.5" style="70" customWidth="1"/>
    <col min="14868" max="14870" width="9" style="70"/>
    <col min="14871" max="14871" width="10.5" style="70" customWidth="1"/>
    <col min="14872" max="15107" width="9" style="70"/>
    <col min="15108" max="15108" width="10.5" style="70" customWidth="1"/>
    <col min="15109" max="15122" width="9" style="70"/>
    <col min="15123" max="15123" width="9.5" style="70" customWidth="1"/>
    <col min="15124" max="15126" width="9" style="70"/>
    <col min="15127" max="15127" width="10.5" style="70" customWidth="1"/>
    <col min="15128" max="15363" width="9" style="70"/>
    <col min="15364" max="15364" width="10.5" style="70" customWidth="1"/>
    <col min="15365" max="15378" width="9" style="70"/>
    <col min="15379" max="15379" width="9.5" style="70" customWidth="1"/>
    <col min="15380" max="15382" width="9" style="70"/>
    <col min="15383" max="15383" width="10.5" style="70" customWidth="1"/>
    <col min="15384" max="15619" width="9" style="70"/>
    <col min="15620" max="15620" width="10.5" style="70" customWidth="1"/>
    <col min="15621" max="15634" width="9" style="70"/>
    <col min="15635" max="15635" width="9.5" style="70" customWidth="1"/>
    <col min="15636" max="15638" width="9" style="70"/>
    <col min="15639" max="15639" width="10.5" style="70" customWidth="1"/>
    <col min="15640" max="15875" width="9" style="70"/>
    <col min="15876" max="15876" width="10.5" style="70" customWidth="1"/>
    <col min="15877" max="15890" width="9" style="70"/>
    <col min="15891" max="15891" width="9.5" style="70" customWidth="1"/>
    <col min="15892" max="15894" width="9" style="70"/>
    <col min="15895" max="15895" width="10.5" style="70" customWidth="1"/>
    <col min="15896" max="16131" width="9" style="70"/>
    <col min="16132" max="16132" width="10.5" style="70" customWidth="1"/>
    <col min="16133" max="16146" width="9" style="70"/>
    <col min="16147" max="16147" width="9.5" style="70" customWidth="1"/>
    <col min="16148" max="16150" width="9" style="70"/>
    <col min="16151" max="16151" width="10.5" style="70" customWidth="1"/>
    <col min="16152" max="16384" width="9" style="70"/>
  </cols>
  <sheetData>
    <row r="1" spans="1:53" ht="45" x14ac:dyDescent="0.15">
      <c r="A1" s="61" t="s">
        <v>0</v>
      </c>
      <c r="B1" s="62" t="s">
        <v>190</v>
      </c>
      <c r="C1" s="62" t="s">
        <v>191</v>
      </c>
      <c r="D1" s="63" t="s">
        <v>3</v>
      </c>
      <c r="E1" s="64" t="s">
        <v>4</v>
      </c>
      <c r="F1" s="64" t="s">
        <v>5</v>
      </c>
      <c r="G1" s="64" t="s">
        <v>6</v>
      </c>
      <c r="H1" s="64" t="s">
        <v>7</v>
      </c>
      <c r="I1" s="64" t="s">
        <v>8</v>
      </c>
      <c r="J1" s="64" t="s">
        <v>9</v>
      </c>
      <c r="K1" s="64" t="s">
        <v>10</v>
      </c>
      <c r="L1" s="63" t="s">
        <v>192</v>
      </c>
      <c r="M1" s="63" t="s">
        <v>193</v>
      </c>
      <c r="N1" s="63" t="s">
        <v>13</v>
      </c>
      <c r="O1" s="63" t="s">
        <v>194</v>
      </c>
      <c r="P1" s="63" t="s">
        <v>195</v>
      </c>
      <c r="Q1" s="65" t="s">
        <v>196</v>
      </c>
      <c r="R1" s="63" t="s">
        <v>197</v>
      </c>
      <c r="S1" s="63" t="s">
        <v>198</v>
      </c>
      <c r="T1" s="65" t="s">
        <v>19</v>
      </c>
      <c r="U1" s="66" t="s">
        <v>108</v>
      </c>
      <c r="V1" s="67" t="s">
        <v>20</v>
      </c>
      <c r="W1" s="63" t="s">
        <v>199</v>
      </c>
      <c r="X1" s="64" t="s">
        <v>22</v>
      </c>
      <c r="Y1" s="64" t="s">
        <v>23</v>
      </c>
      <c r="Z1" s="64" t="s">
        <v>24</v>
      </c>
      <c r="AA1" s="68" t="s">
        <v>25</v>
      </c>
      <c r="AB1" s="69" t="s">
        <v>200</v>
      </c>
      <c r="AE1" s="71" t="s">
        <v>0</v>
      </c>
      <c r="AF1" s="72"/>
      <c r="AG1" s="71" t="s">
        <v>4</v>
      </c>
      <c r="AH1" s="71" t="s">
        <v>5</v>
      </c>
      <c r="AI1" s="72"/>
      <c r="AJ1" s="71" t="s">
        <v>6</v>
      </c>
      <c r="AK1" s="72"/>
      <c r="AL1" s="73" t="s">
        <v>7</v>
      </c>
      <c r="AM1" s="72"/>
      <c r="AN1" s="73" t="s">
        <v>8</v>
      </c>
      <c r="AO1" s="72"/>
      <c r="AP1" s="73" t="s">
        <v>27</v>
      </c>
      <c r="AQ1" s="72"/>
      <c r="AR1" s="73" t="s">
        <v>10</v>
      </c>
      <c r="AS1" s="72"/>
      <c r="AT1" s="74" t="s">
        <v>201</v>
      </c>
      <c r="AU1" s="72"/>
      <c r="AV1" s="73" t="s">
        <v>29</v>
      </c>
      <c r="AX1" s="75" t="s">
        <v>202</v>
      </c>
      <c r="AY1" s="76" t="s">
        <v>203</v>
      </c>
      <c r="AZ1" s="76" t="s">
        <v>204</v>
      </c>
      <c r="BA1" s="77" t="s">
        <v>205</v>
      </c>
    </row>
    <row r="2" spans="1:53" s="218" customFormat="1" x14ac:dyDescent="0.15">
      <c r="A2" s="218" t="s">
        <v>51</v>
      </c>
      <c r="B2" s="218" t="s">
        <v>346</v>
      </c>
      <c r="C2" s="218">
        <v>2018</v>
      </c>
      <c r="D2" s="78" t="s">
        <v>403</v>
      </c>
      <c r="E2" s="218" t="s">
        <v>206</v>
      </c>
      <c r="F2" s="218" t="s">
        <v>207</v>
      </c>
      <c r="G2" s="218" t="s">
        <v>42</v>
      </c>
      <c r="H2" s="218" t="s">
        <v>155</v>
      </c>
      <c r="I2" s="218" t="s">
        <v>153</v>
      </c>
      <c r="J2" s="218" t="s">
        <v>38</v>
      </c>
      <c r="K2" s="218" t="s">
        <v>154</v>
      </c>
      <c r="L2" s="218">
        <v>1</v>
      </c>
      <c r="N2" s="218">
        <v>1</v>
      </c>
      <c r="O2" s="218">
        <v>0.95</v>
      </c>
      <c r="P2" s="218">
        <v>1.1000000000000001</v>
      </c>
      <c r="Q2" s="79">
        <f t="shared" ref="Q2:Q65" si="0">IF(OR(O2="",P2=""),"",AVERAGE(O2,P2))</f>
        <v>1.0249999999999999</v>
      </c>
      <c r="R2" s="218">
        <v>15.8</v>
      </c>
      <c r="S2" s="218">
        <v>144</v>
      </c>
      <c r="T2" s="80">
        <f t="shared" ref="T2:T65" si="1">IF(H2="","",IF(OR(H2="GREEN",H2="GK"),IF(S2&gt;=$AX$2,VLOOKUP(S2,$AX$2:$AY$12,2,1),""),IF(S2&gt;=$AZ$2,VLOOKUP(S2,$AZ$2:$BA$12,2,1),"")))</f>
        <v>22</v>
      </c>
      <c r="U2" s="218">
        <v>98</v>
      </c>
      <c r="V2" s="81">
        <f t="shared" ref="V2:V65" si="2">IF(OR(N2="",U2="",T2=""),"",U2/N2*T2)</f>
        <v>2156</v>
      </c>
      <c r="W2" s="218">
        <v>4</v>
      </c>
      <c r="X2" s="218" t="s">
        <v>39</v>
      </c>
      <c r="Y2" s="218" t="s">
        <v>69</v>
      </c>
      <c r="Z2" s="218" t="s">
        <v>78</v>
      </c>
      <c r="AA2" s="218" t="s">
        <v>102</v>
      </c>
      <c r="AB2" s="218" t="s">
        <v>348</v>
      </c>
      <c r="AE2" s="82" t="s">
        <v>35</v>
      </c>
      <c r="AG2" s="83" t="s">
        <v>177</v>
      </c>
      <c r="AH2" s="83" t="s">
        <v>208</v>
      </c>
      <c r="AJ2" s="83" t="s">
        <v>36</v>
      </c>
      <c r="AL2" s="83" t="s">
        <v>209</v>
      </c>
      <c r="AN2" s="83" t="s">
        <v>37</v>
      </c>
      <c r="AP2" s="83" t="s">
        <v>38</v>
      </c>
      <c r="AR2" s="83" t="s">
        <v>154</v>
      </c>
      <c r="AT2" s="83" t="s">
        <v>39</v>
      </c>
      <c r="AV2" s="83" t="s">
        <v>40</v>
      </c>
      <c r="AX2" s="84">
        <v>1</v>
      </c>
      <c r="AY2" s="85">
        <v>50</v>
      </c>
      <c r="AZ2" s="85">
        <v>1</v>
      </c>
      <c r="BA2" s="86">
        <v>50</v>
      </c>
    </row>
    <row r="3" spans="1:53" s="87" customFormat="1" x14ac:dyDescent="0.15">
      <c r="A3" s="218" t="s">
        <v>51</v>
      </c>
      <c r="B3" s="218" t="s">
        <v>346</v>
      </c>
      <c r="C3" s="218">
        <v>2018</v>
      </c>
      <c r="D3" s="78" t="s">
        <v>403</v>
      </c>
      <c r="E3" s="218" t="s">
        <v>206</v>
      </c>
      <c r="F3" s="218" t="s">
        <v>207</v>
      </c>
      <c r="G3" s="218" t="s">
        <v>42</v>
      </c>
      <c r="H3" s="218" t="s">
        <v>155</v>
      </c>
      <c r="I3" s="218" t="s">
        <v>153</v>
      </c>
      <c r="J3" s="218" t="s">
        <v>38</v>
      </c>
      <c r="K3" s="218" t="s">
        <v>154</v>
      </c>
      <c r="L3" s="218">
        <v>2</v>
      </c>
      <c r="M3" s="218"/>
      <c r="N3" s="218">
        <v>1</v>
      </c>
      <c r="O3" s="218">
        <v>1</v>
      </c>
      <c r="P3" s="218">
        <v>1</v>
      </c>
      <c r="Q3" s="79">
        <f t="shared" si="0"/>
        <v>1</v>
      </c>
      <c r="R3" s="218">
        <v>15.9</v>
      </c>
      <c r="S3" s="218">
        <v>142</v>
      </c>
      <c r="T3" s="80">
        <f t="shared" si="1"/>
        <v>22</v>
      </c>
      <c r="U3" s="218">
        <v>98</v>
      </c>
      <c r="V3" s="81">
        <f t="shared" si="2"/>
        <v>2156</v>
      </c>
      <c r="W3" s="218">
        <v>4</v>
      </c>
      <c r="X3" s="218" t="s">
        <v>39</v>
      </c>
      <c r="Y3" s="218" t="s">
        <v>69</v>
      </c>
      <c r="Z3" s="218" t="s">
        <v>78</v>
      </c>
      <c r="AA3" s="218" t="s">
        <v>102</v>
      </c>
      <c r="AB3" s="218" t="s">
        <v>348</v>
      </c>
      <c r="AE3" s="88" t="s">
        <v>41</v>
      </c>
      <c r="AG3" s="83" t="s">
        <v>210</v>
      </c>
      <c r="AH3" s="83" t="s">
        <v>211</v>
      </c>
      <c r="AJ3" s="89" t="s">
        <v>42</v>
      </c>
      <c r="AL3" s="89" t="s">
        <v>212</v>
      </c>
      <c r="AN3" s="89" t="s">
        <v>43</v>
      </c>
      <c r="AP3" s="89" t="s">
        <v>44</v>
      </c>
      <c r="AR3" s="90" t="s">
        <v>45</v>
      </c>
      <c r="AT3" s="89" t="s">
        <v>46</v>
      </c>
      <c r="AV3" s="89" t="s">
        <v>47</v>
      </c>
      <c r="AX3" s="91">
        <v>72</v>
      </c>
      <c r="AY3" s="92">
        <v>46</v>
      </c>
      <c r="AZ3" s="92">
        <v>71</v>
      </c>
      <c r="BA3" s="93">
        <v>42</v>
      </c>
    </row>
    <row r="4" spans="1:53" s="87" customFormat="1" x14ac:dyDescent="0.15">
      <c r="A4" s="218" t="s">
        <v>51</v>
      </c>
      <c r="B4" s="218" t="s">
        <v>346</v>
      </c>
      <c r="C4" s="218">
        <v>2018</v>
      </c>
      <c r="D4" s="78" t="s">
        <v>403</v>
      </c>
      <c r="E4" s="218" t="s">
        <v>206</v>
      </c>
      <c r="F4" s="218" t="s">
        <v>207</v>
      </c>
      <c r="G4" s="218" t="s">
        <v>42</v>
      </c>
      <c r="H4" s="218" t="s">
        <v>155</v>
      </c>
      <c r="I4" s="218" t="s">
        <v>153</v>
      </c>
      <c r="J4" s="218" t="s">
        <v>38</v>
      </c>
      <c r="K4" s="218" t="s">
        <v>154</v>
      </c>
      <c r="L4" s="218">
        <v>3</v>
      </c>
      <c r="M4" s="218"/>
      <c r="N4" s="218">
        <v>1</v>
      </c>
      <c r="O4" s="218">
        <v>0.9</v>
      </c>
      <c r="P4" s="218">
        <v>0.95</v>
      </c>
      <c r="Q4" s="79">
        <f t="shared" si="0"/>
        <v>0.92500000000000004</v>
      </c>
      <c r="R4" s="218">
        <v>15.4</v>
      </c>
      <c r="S4" s="218">
        <v>138</v>
      </c>
      <c r="T4" s="80">
        <f t="shared" si="1"/>
        <v>22</v>
      </c>
      <c r="U4" s="218">
        <v>98</v>
      </c>
      <c r="V4" s="81">
        <f t="shared" si="2"/>
        <v>2156</v>
      </c>
      <c r="W4" s="218">
        <v>4</v>
      </c>
      <c r="X4" s="218" t="s">
        <v>39</v>
      </c>
      <c r="Y4" s="218" t="s">
        <v>69</v>
      </c>
      <c r="Z4" s="218" t="s">
        <v>78</v>
      </c>
      <c r="AA4" s="218" t="s">
        <v>102</v>
      </c>
      <c r="AB4" s="218" t="s">
        <v>348</v>
      </c>
      <c r="AE4" s="88" t="s">
        <v>34</v>
      </c>
      <c r="AG4" s="83" t="s">
        <v>213</v>
      </c>
      <c r="AH4" s="83" t="s">
        <v>214</v>
      </c>
      <c r="AJ4" s="94" t="s">
        <v>48</v>
      </c>
      <c r="AL4" s="94" t="s">
        <v>215</v>
      </c>
      <c r="AN4" s="95" t="s">
        <v>216</v>
      </c>
      <c r="AP4" s="89" t="s">
        <v>217</v>
      </c>
      <c r="AR4" s="90" t="s">
        <v>218</v>
      </c>
      <c r="AT4" s="95"/>
      <c r="AV4" s="89" t="s">
        <v>50</v>
      </c>
      <c r="AX4" s="91">
        <v>75</v>
      </c>
      <c r="AY4" s="92">
        <v>42</v>
      </c>
      <c r="AZ4" s="92">
        <v>76</v>
      </c>
      <c r="BA4" s="93">
        <v>39</v>
      </c>
    </row>
    <row r="5" spans="1:53" s="87" customFormat="1" x14ac:dyDescent="0.15">
      <c r="A5" s="218" t="s">
        <v>51</v>
      </c>
      <c r="B5" s="218" t="s">
        <v>346</v>
      </c>
      <c r="C5" s="218">
        <v>2018</v>
      </c>
      <c r="D5" s="78" t="s">
        <v>403</v>
      </c>
      <c r="E5" s="218" t="s">
        <v>206</v>
      </c>
      <c r="F5" s="218" t="s">
        <v>207</v>
      </c>
      <c r="G5" s="218" t="s">
        <v>42</v>
      </c>
      <c r="H5" s="218" t="s">
        <v>209</v>
      </c>
      <c r="I5" s="218" t="s">
        <v>153</v>
      </c>
      <c r="J5" s="218" t="s">
        <v>80</v>
      </c>
      <c r="K5" s="218" t="s">
        <v>45</v>
      </c>
      <c r="L5" s="218">
        <v>1</v>
      </c>
      <c r="M5" s="218"/>
      <c r="N5" s="218">
        <v>4</v>
      </c>
      <c r="O5" s="218">
        <v>0.5</v>
      </c>
      <c r="P5" s="218">
        <v>0.65</v>
      </c>
      <c r="Q5" s="79">
        <f t="shared" si="0"/>
        <v>0.57499999999999996</v>
      </c>
      <c r="R5" s="218">
        <v>12.6</v>
      </c>
      <c r="S5" s="218">
        <v>79</v>
      </c>
      <c r="T5" s="80">
        <f t="shared" si="1"/>
        <v>39</v>
      </c>
      <c r="U5" s="218">
        <v>298</v>
      </c>
      <c r="V5" s="81">
        <f t="shared" si="2"/>
        <v>2905.5</v>
      </c>
      <c r="W5" s="218">
        <v>4</v>
      </c>
      <c r="X5" s="218" t="s">
        <v>39</v>
      </c>
      <c r="Y5" s="218" t="s">
        <v>69</v>
      </c>
      <c r="Z5" s="218" t="s">
        <v>78</v>
      </c>
      <c r="AA5" s="218" t="s">
        <v>102</v>
      </c>
      <c r="AB5" s="218" t="s">
        <v>348</v>
      </c>
      <c r="AE5" s="88" t="s">
        <v>51</v>
      </c>
      <c r="AG5" s="83" t="s">
        <v>219</v>
      </c>
      <c r="AH5" s="83" t="s">
        <v>207</v>
      </c>
      <c r="AJ5" s="95"/>
      <c r="AL5" s="96" t="s">
        <v>155</v>
      </c>
      <c r="AN5" s="96" t="s">
        <v>153</v>
      </c>
      <c r="AP5" s="89" t="s">
        <v>220</v>
      </c>
      <c r="AR5" s="90" t="s">
        <v>54</v>
      </c>
      <c r="AV5" s="89" t="s">
        <v>55</v>
      </c>
      <c r="AX5" s="91">
        <v>84</v>
      </c>
      <c r="AY5" s="92">
        <v>39</v>
      </c>
      <c r="AZ5" s="92">
        <v>84</v>
      </c>
      <c r="BA5" s="93">
        <v>36</v>
      </c>
    </row>
    <row r="6" spans="1:53" s="87" customFormat="1" x14ac:dyDescent="0.15">
      <c r="A6" s="218" t="s">
        <v>51</v>
      </c>
      <c r="B6" s="218" t="s">
        <v>346</v>
      </c>
      <c r="C6" s="218">
        <v>2018</v>
      </c>
      <c r="D6" s="78" t="s">
        <v>403</v>
      </c>
      <c r="E6" s="218" t="s">
        <v>206</v>
      </c>
      <c r="F6" s="218" t="s">
        <v>207</v>
      </c>
      <c r="G6" s="218" t="s">
        <v>42</v>
      </c>
      <c r="H6" s="218" t="s">
        <v>209</v>
      </c>
      <c r="I6" s="218" t="s">
        <v>153</v>
      </c>
      <c r="J6" s="218" t="s">
        <v>80</v>
      </c>
      <c r="K6" s="218" t="s">
        <v>45</v>
      </c>
      <c r="L6" s="218">
        <v>2</v>
      </c>
      <c r="M6" s="218"/>
      <c r="N6" s="218">
        <v>4</v>
      </c>
      <c r="O6" s="218">
        <v>0.75</v>
      </c>
      <c r="P6" s="218">
        <v>0.6</v>
      </c>
      <c r="Q6" s="79">
        <f t="shared" si="0"/>
        <v>0.67500000000000004</v>
      </c>
      <c r="R6" s="218">
        <v>11.7</v>
      </c>
      <c r="S6" s="218">
        <v>85</v>
      </c>
      <c r="T6" s="80">
        <f t="shared" si="1"/>
        <v>36</v>
      </c>
      <c r="U6" s="218">
        <v>298</v>
      </c>
      <c r="V6" s="81">
        <f t="shared" si="2"/>
        <v>2682</v>
      </c>
      <c r="W6" s="218">
        <v>4</v>
      </c>
      <c r="X6" s="218" t="s">
        <v>39</v>
      </c>
      <c r="Y6" s="218" t="s">
        <v>69</v>
      </c>
      <c r="Z6" s="218" t="s">
        <v>78</v>
      </c>
      <c r="AA6" s="218" t="s">
        <v>102</v>
      </c>
      <c r="AB6" s="218" t="s">
        <v>348</v>
      </c>
      <c r="AE6" s="88" t="s">
        <v>56</v>
      </c>
      <c r="AG6" s="83" t="s">
        <v>221</v>
      </c>
      <c r="AH6" s="83" t="s">
        <v>222</v>
      </c>
      <c r="AL6" s="96" t="s">
        <v>223</v>
      </c>
      <c r="AN6" s="96" t="s">
        <v>156</v>
      </c>
      <c r="AP6" s="89" t="s">
        <v>53</v>
      </c>
      <c r="AR6" s="90" t="s">
        <v>59</v>
      </c>
      <c r="AV6" s="89" t="s">
        <v>60</v>
      </c>
      <c r="AX6" s="91">
        <v>97</v>
      </c>
      <c r="AY6" s="92">
        <v>36</v>
      </c>
      <c r="AZ6" s="92">
        <v>99</v>
      </c>
      <c r="BA6" s="93">
        <v>33</v>
      </c>
    </row>
    <row r="7" spans="1:53" s="87" customFormat="1" x14ac:dyDescent="0.15">
      <c r="A7" s="218" t="s">
        <v>51</v>
      </c>
      <c r="B7" s="218" t="s">
        <v>346</v>
      </c>
      <c r="C7" s="218">
        <v>2018</v>
      </c>
      <c r="D7" s="78" t="s">
        <v>403</v>
      </c>
      <c r="E7" s="218" t="s">
        <v>206</v>
      </c>
      <c r="F7" s="218" t="s">
        <v>207</v>
      </c>
      <c r="G7" s="218" t="s">
        <v>42</v>
      </c>
      <c r="H7" s="218" t="s">
        <v>209</v>
      </c>
      <c r="I7" s="218" t="s">
        <v>153</v>
      </c>
      <c r="J7" s="218" t="s">
        <v>80</v>
      </c>
      <c r="K7" s="218" t="s">
        <v>45</v>
      </c>
      <c r="L7" s="218">
        <v>3</v>
      </c>
      <c r="M7" s="218"/>
      <c r="N7" s="218">
        <v>4</v>
      </c>
      <c r="O7" s="218">
        <v>0.5</v>
      </c>
      <c r="P7" s="218">
        <v>0.6</v>
      </c>
      <c r="Q7" s="79">
        <f t="shared" si="0"/>
        <v>0.55000000000000004</v>
      </c>
      <c r="R7" s="218">
        <v>11.4</v>
      </c>
      <c r="S7" s="218">
        <v>82</v>
      </c>
      <c r="T7" s="80">
        <f t="shared" si="1"/>
        <v>39</v>
      </c>
      <c r="U7" s="218">
        <v>298</v>
      </c>
      <c r="V7" s="81">
        <f t="shared" si="2"/>
        <v>2905.5</v>
      </c>
      <c r="W7" s="218">
        <v>4</v>
      </c>
      <c r="X7" s="218" t="s">
        <v>39</v>
      </c>
      <c r="Y7" s="218" t="s">
        <v>69</v>
      </c>
      <c r="Z7" s="218" t="s">
        <v>78</v>
      </c>
      <c r="AA7" s="218" t="s">
        <v>102</v>
      </c>
      <c r="AB7" s="218" t="s">
        <v>348</v>
      </c>
      <c r="AE7" s="88" t="s">
        <v>61</v>
      </c>
      <c r="AG7" s="83" t="s">
        <v>224</v>
      </c>
      <c r="AH7" s="83" t="s">
        <v>208</v>
      </c>
      <c r="AL7" s="87" t="s">
        <v>225</v>
      </c>
      <c r="AP7" s="89" t="s">
        <v>58</v>
      </c>
      <c r="AR7" s="90" t="s">
        <v>226</v>
      </c>
      <c r="AV7" s="89" t="s">
        <v>64</v>
      </c>
      <c r="AX7" s="91">
        <v>109</v>
      </c>
      <c r="AY7" s="92">
        <v>33</v>
      </c>
      <c r="AZ7" s="92">
        <v>113</v>
      </c>
      <c r="BA7" s="93">
        <v>30</v>
      </c>
    </row>
    <row r="8" spans="1:53" s="87" customFormat="1" x14ac:dyDescent="0.15">
      <c r="A8" s="218" t="s">
        <v>51</v>
      </c>
      <c r="B8" s="218" t="s">
        <v>346</v>
      </c>
      <c r="C8" s="218">
        <v>2018</v>
      </c>
      <c r="D8" s="78" t="s">
        <v>403</v>
      </c>
      <c r="E8" s="218" t="s">
        <v>206</v>
      </c>
      <c r="F8" s="218" t="s">
        <v>207</v>
      </c>
      <c r="G8" s="218" t="s">
        <v>42</v>
      </c>
      <c r="H8" s="218" t="s">
        <v>168</v>
      </c>
      <c r="I8" s="218" t="s">
        <v>153</v>
      </c>
      <c r="J8" s="218" t="s">
        <v>38</v>
      </c>
      <c r="K8" s="218" t="s">
        <v>154</v>
      </c>
      <c r="L8" s="218">
        <v>1</v>
      </c>
      <c r="M8" s="218"/>
      <c r="N8" s="218">
        <v>1</v>
      </c>
      <c r="O8" s="218">
        <v>0.8</v>
      </c>
      <c r="P8" s="218">
        <v>0.7</v>
      </c>
      <c r="Q8" s="79">
        <f t="shared" si="0"/>
        <v>0.75</v>
      </c>
      <c r="R8" s="218">
        <v>16.600000000000001</v>
      </c>
      <c r="S8" s="218">
        <v>146</v>
      </c>
      <c r="T8" s="80">
        <f t="shared" si="1"/>
        <v>22</v>
      </c>
      <c r="U8" s="218">
        <v>98</v>
      </c>
      <c r="V8" s="81">
        <f t="shared" si="2"/>
        <v>2156</v>
      </c>
      <c r="W8" s="218">
        <v>4</v>
      </c>
      <c r="X8" s="218" t="s">
        <v>39</v>
      </c>
      <c r="Y8" s="218" t="s">
        <v>69</v>
      </c>
      <c r="Z8" s="218" t="s">
        <v>78</v>
      </c>
      <c r="AA8" s="218" t="s">
        <v>102</v>
      </c>
      <c r="AB8" s="218" t="s">
        <v>348</v>
      </c>
      <c r="AE8" s="88" t="s">
        <v>59</v>
      </c>
      <c r="AG8" s="83" t="s">
        <v>227</v>
      </c>
      <c r="AH8" s="83" t="s">
        <v>228</v>
      </c>
      <c r="AL8" s="87" t="s">
        <v>168</v>
      </c>
      <c r="AP8" s="89" t="s">
        <v>62</v>
      </c>
      <c r="AR8" s="90" t="s">
        <v>81</v>
      </c>
      <c r="AV8" s="89" t="s">
        <v>97</v>
      </c>
      <c r="AX8" s="91">
        <v>119</v>
      </c>
      <c r="AY8" s="92">
        <v>30</v>
      </c>
      <c r="AZ8" s="92">
        <v>121</v>
      </c>
      <c r="BA8" s="93">
        <v>27</v>
      </c>
    </row>
    <row r="9" spans="1:53" s="87" customFormat="1" x14ac:dyDescent="0.15">
      <c r="A9" s="218" t="s">
        <v>51</v>
      </c>
      <c r="B9" s="218" t="s">
        <v>346</v>
      </c>
      <c r="C9" s="218">
        <v>2018</v>
      </c>
      <c r="D9" s="78" t="s">
        <v>403</v>
      </c>
      <c r="E9" s="218" t="s">
        <v>206</v>
      </c>
      <c r="F9" s="218" t="s">
        <v>207</v>
      </c>
      <c r="G9" s="218" t="s">
        <v>42</v>
      </c>
      <c r="H9" s="218" t="s">
        <v>168</v>
      </c>
      <c r="I9" s="218" t="s">
        <v>153</v>
      </c>
      <c r="J9" s="218" t="s">
        <v>38</v>
      </c>
      <c r="K9" s="218" t="s">
        <v>154</v>
      </c>
      <c r="L9" s="218">
        <v>2</v>
      </c>
      <c r="M9" s="218"/>
      <c r="N9" s="218">
        <v>1</v>
      </c>
      <c r="O9" s="218">
        <v>0.75</v>
      </c>
      <c r="P9" s="218">
        <v>0.75</v>
      </c>
      <c r="Q9" s="79">
        <f t="shared" si="0"/>
        <v>0.75</v>
      </c>
      <c r="R9" s="218">
        <v>16.8</v>
      </c>
      <c r="S9" s="218">
        <v>144</v>
      </c>
      <c r="T9" s="80">
        <f t="shared" si="1"/>
        <v>22</v>
      </c>
      <c r="U9" s="218">
        <v>98</v>
      </c>
      <c r="V9" s="81">
        <f t="shared" si="2"/>
        <v>2156</v>
      </c>
      <c r="W9" s="218">
        <v>4</v>
      </c>
      <c r="X9" s="218" t="s">
        <v>39</v>
      </c>
      <c r="Y9" s="218" t="s">
        <v>69</v>
      </c>
      <c r="Z9" s="218" t="s">
        <v>78</v>
      </c>
      <c r="AA9" s="218" t="s">
        <v>102</v>
      </c>
      <c r="AB9" s="218" t="s">
        <v>348</v>
      </c>
      <c r="AE9" s="88" t="s">
        <v>229</v>
      </c>
      <c r="AG9" s="83" t="s">
        <v>230</v>
      </c>
      <c r="AH9" s="83" t="s">
        <v>207</v>
      </c>
      <c r="AL9" s="96"/>
      <c r="AP9" s="89" t="s">
        <v>95</v>
      </c>
      <c r="AR9" s="90" t="s">
        <v>231</v>
      </c>
      <c r="AV9" s="89" t="s">
        <v>102</v>
      </c>
      <c r="AX9" s="91">
        <v>128</v>
      </c>
      <c r="AY9" s="92">
        <v>27</v>
      </c>
      <c r="AZ9" s="92">
        <v>129</v>
      </c>
      <c r="BA9" s="93">
        <v>25</v>
      </c>
    </row>
    <row r="10" spans="1:53" s="87" customFormat="1" x14ac:dyDescent="0.15">
      <c r="A10" s="218" t="s">
        <v>51</v>
      </c>
      <c r="B10" s="218" t="s">
        <v>346</v>
      </c>
      <c r="C10" s="218">
        <v>2018</v>
      </c>
      <c r="D10" s="78" t="s">
        <v>403</v>
      </c>
      <c r="E10" s="218" t="s">
        <v>206</v>
      </c>
      <c r="F10" s="218" t="s">
        <v>207</v>
      </c>
      <c r="G10" s="218" t="s">
        <v>42</v>
      </c>
      <c r="H10" s="218" t="s">
        <v>168</v>
      </c>
      <c r="I10" s="218" t="s">
        <v>153</v>
      </c>
      <c r="J10" s="218" t="s">
        <v>38</v>
      </c>
      <c r="K10" s="218" t="s">
        <v>154</v>
      </c>
      <c r="L10" s="218">
        <v>3</v>
      </c>
      <c r="M10" s="218"/>
      <c r="N10" s="218">
        <v>1</v>
      </c>
      <c r="O10" s="218">
        <v>0.7</v>
      </c>
      <c r="P10" s="218">
        <v>0.65</v>
      </c>
      <c r="Q10" s="79">
        <f t="shared" si="0"/>
        <v>0.67500000000000004</v>
      </c>
      <c r="R10" s="218">
        <v>17.2</v>
      </c>
      <c r="S10" s="218">
        <v>148</v>
      </c>
      <c r="T10" s="80">
        <f t="shared" si="1"/>
        <v>22</v>
      </c>
      <c r="U10" s="218">
        <v>98</v>
      </c>
      <c r="V10" s="81">
        <f t="shared" si="2"/>
        <v>2156</v>
      </c>
      <c r="W10" s="218">
        <v>4</v>
      </c>
      <c r="X10" s="218" t="s">
        <v>39</v>
      </c>
      <c r="Y10" s="218" t="s">
        <v>69</v>
      </c>
      <c r="Z10" s="218" t="s">
        <v>78</v>
      </c>
      <c r="AA10" s="218" t="s">
        <v>102</v>
      </c>
      <c r="AB10" s="218" t="s">
        <v>348</v>
      </c>
      <c r="AE10" s="88" t="s">
        <v>232</v>
      </c>
      <c r="AG10" s="83" t="s">
        <v>206</v>
      </c>
      <c r="AH10" s="89" t="s">
        <v>207</v>
      </c>
      <c r="AP10" s="89" t="s">
        <v>100</v>
      </c>
      <c r="AR10" s="90" t="s">
        <v>233</v>
      </c>
      <c r="AV10" s="89" t="s">
        <v>106</v>
      </c>
      <c r="AX10" s="91">
        <v>138</v>
      </c>
      <c r="AY10" s="92">
        <v>25</v>
      </c>
      <c r="AZ10" s="92">
        <v>138</v>
      </c>
      <c r="BA10" s="93">
        <v>22</v>
      </c>
    </row>
    <row r="11" spans="1:53" s="87" customFormat="1" x14ac:dyDescent="0.15">
      <c r="A11" s="218" t="s">
        <v>51</v>
      </c>
      <c r="B11" s="218" t="s">
        <v>346</v>
      </c>
      <c r="C11" s="218">
        <v>2018</v>
      </c>
      <c r="D11" s="78" t="s">
        <v>403</v>
      </c>
      <c r="E11" s="218" t="s">
        <v>210</v>
      </c>
      <c r="F11" s="218" t="s">
        <v>211</v>
      </c>
      <c r="G11" s="218" t="s">
        <v>36</v>
      </c>
      <c r="H11" s="218" t="s">
        <v>155</v>
      </c>
      <c r="I11" s="218" t="s">
        <v>153</v>
      </c>
      <c r="J11" s="218" t="s">
        <v>38</v>
      </c>
      <c r="K11" s="218" t="s">
        <v>154</v>
      </c>
      <c r="L11" s="218">
        <v>1</v>
      </c>
      <c r="M11" s="218"/>
      <c r="N11" s="218">
        <v>3</v>
      </c>
      <c r="O11" s="218">
        <v>0.85</v>
      </c>
      <c r="P11" s="218">
        <v>0.95</v>
      </c>
      <c r="Q11" s="79">
        <f t="shared" si="0"/>
        <v>0.89999999999999991</v>
      </c>
      <c r="R11" s="218">
        <v>15.5</v>
      </c>
      <c r="S11" s="218">
        <v>156</v>
      </c>
      <c r="T11" s="80">
        <f t="shared" si="1"/>
        <v>18</v>
      </c>
      <c r="U11" s="218">
        <v>398</v>
      </c>
      <c r="V11" s="81">
        <f t="shared" si="2"/>
        <v>2388</v>
      </c>
      <c r="W11" s="218">
        <v>8</v>
      </c>
      <c r="X11" s="218" t="s">
        <v>46</v>
      </c>
      <c r="Y11" s="218" t="s">
        <v>78</v>
      </c>
      <c r="Z11" s="218" t="s">
        <v>102</v>
      </c>
      <c r="AA11" s="218" t="s">
        <v>55</v>
      </c>
      <c r="AB11" s="218" t="s">
        <v>348</v>
      </c>
      <c r="AE11" s="88" t="s">
        <v>68</v>
      </c>
      <c r="AG11" s="83" t="s">
        <v>139</v>
      </c>
      <c r="AH11" s="89" t="s">
        <v>404</v>
      </c>
      <c r="AP11" s="89" t="s">
        <v>104</v>
      </c>
      <c r="AR11" s="90" t="s">
        <v>234</v>
      </c>
      <c r="AV11" s="89" t="s">
        <v>69</v>
      </c>
      <c r="AX11" s="91">
        <v>151</v>
      </c>
      <c r="AY11" s="92">
        <v>22</v>
      </c>
      <c r="AZ11" s="92">
        <v>152</v>
      </c>
      <c r="BA11" s="93">
        <v>18</v>
      </c>
    </row>
    <row r="12" spans="1:53" s="87" customFormat="1" x14ac:dyDescent="0.15">
      <c r="A12" s="218" t="s">
        <v>51</v>
      </c>
      <c r="B12" s="218" t="s">
        <v>346</v>
      </c>
      <c r="C12" s="218">
        <v>2018</v>
      </c>
      <c r="D12" s="78" t="s">
        <v>403</v>
      </c>
      <c r="E12" s="218" t="s">
        <v>210</v>
      </c>
      <c r="F12" s="218" t="s">
        <v>211</v>
      </c>
      <c r="G12" s="218" t="s">
        <v>36</v>
      </c>
      <c r="H12" s="218" t="s">
        <v>155</v>
      </c>
      <c r="I12" s="218" t="s">
        <v>153</v>
      </c>
      <c r="J12" s="218" t="s">
        <v>38</v>
      </c>
      <c r="K12" s="218" t="s">
        <v>154</v>
      </c>
      <c r="L12" s="218">
        <v>2</v>
      </c>
      <c r="M12" s="218"/>
      <c r="N12" s="218">
        <v>3</v>
      </c>
      <c r="O12" s="218">
        <v>0.9</v>
      </c>
      <c r="P12" s="218">
        <v>0.9</v>
      </c>
      <c r="Q12" s="79">
        <f t="shared" si="0"/>
        <v>0.9</v>
      </c>
      <c r="R12" s="218">
        <v>14.8</v>
      </c>
      <c r="S12" s="218">
        <v>154</v>
      </c>
      <c r="T12" s="80">
        <f t="shared" si="1"/>
        <v>18</v>
      </c>
      <c r="U12" s="218">
        <v>398</v>
      </c>
      <c r="V12" s="81">
        <f t="shared" si="2"/>
        <v>2388</v>
      </c>
      <c r="W12" s="218">
        <v>8</v>
      </c>
      <c r="X12" s="218" t="s">
        <v>46</v>
      </c>
      <c r="Y12" s="218" t="s">
        <v>78</v>
      </c>
      <c r="Z12" s="218" t="s">
        <v>102</v>
      </c>
      <c r="AA12" s="218" t="s">
        <v>55</v>
      </c>
      <c r="AB12" s="218" t="s">
        <v>348</v>
      </c>
      <c r="AE12" s="88" t="s">
        <v>235</v>
      </c>
      <c r="AG12" s="89"/>
      <c r="AH12" s="89"/>
      <c r="AP12" s="89" t="s">
        <v>67</v>
      </c>
      <c r="AR12" s="90" t="s">
        <v>236</v>
      </c>
      <c r="AV12" s="89" t="s">
        <v>72</v>
      </c>
      <c r="AX12" s="97">
        <v>180</v>
      </c>
      <c r="AY12" s="98">
        <v>18</v>
      </c>
      <c r="AZ12" s="98">
        <v>181</v>
      </c>
      <c r="BA12" s="99">
        <v>16</v>
      </c>
    </row>
    <row r="13" spans="1:53" s="87" customFormat="1" x14ac:dyDescent="0.15">
      <c r="A13" s="218" t="s">
        <v>51</v>
      </c>
      <c r="B13" s="218" t="s">
        <v>346</v>
      </c>
      <c r="C13" s="218">
        <v>2018</v>
      </c>
      <c r="D13" s="78" t="s">
        <v>403</v>
      </c>
      <c r="E13" s="218" t="s">
        <v>210</v>
      </c>
      <c r="F13" s="218" t="s">
        <v>211</v>
      </c>
      <c r="G13" s="218" t="s">
        <v>36</v>
      </c>
      <c r="H13" s="218" t="s">
        <v>155</v>
      </c>
      <c r="I13" s="218" t="s">
        <v>153</v>
      </c>
      <c r="J13" s="218" t="s">
        <v>38</v>
      </c>
      <c r="K13" s="218" t="s">
        <v>154</v>
      </c>
      <c r="L13" s="218">
        <v>3</v>
      </c>
      <c r="M13" s="218"/>
      <c r="N13" s="218">
        <v>3</v>
      </c>
      <c r="O13" s="218">
        <v>0.8</v>
      </c>
      <c r="P13" s="218">
        <v>0.85</v>
      </c>
      <c r="Q13" s="79">
        <f t="shared" si="0"/>
        <v>0.82499999999999996</v>
      </c>
      <c r="R13" s="218">
        <v>14.3</v>
      </c>
      <c r="S13" s="218">
        <v>152</v>
      </c>
      <c r="T13" s="80">
        <f t="shared" si="1"/>
        <v>18</v>
      </c>
      <c r="U13" s="218">
        <v>398</v>
      </c>
      <c r="V13" s="81">
        <f t="shared" si="2"/>
        <v>2388</v>
      </c>
      <c r="W13" s="218">
        <v>8</v>
      </c>
      <c r="X13" s="218" t="s">
        <v>46</v>
      </c>
      <c r="Y13" s="218" t="s">
        <v>78</v>
      </c>
      <c r="Z13" s="218" t="s">
        <v>102</v>
      </c>
      <c r="AA13" s="218" t="s">
        <v>55</v>
      </c>
      <c r="AB13" s="218" t="s">
        <v>348</v>
      </c>
      <c r="AE13" s="88" t="s">
        <v>237</v>
      </c>
      <c r="AG13" s="89"/>
      <c r="AH13" s="89"/>
      <c r="AP13" s="89" t="s">
        <v>71</v>
      </c>
      <c r="AR13" s="90" t="s">
        <v>232</v>
      </c>
      <c r="AV13" s="89" t="s">
        <v>75</v>
      </c>
    </row>
    <row r="14" spans="1:53" s="87" customFormat="1" x14ac:dyDescent="0.15">
      <c r="A14" s="218" t="s">
        <v>51</v>
      </c>
      <c r="B14" s="218" t="s">
        <v>346</v>
      </c>
      <c r="C14" s="218">
        <v>2018</v>
      </c>
      <c r="D14" s="78" t="s">
        <v>403</v>
      </c>
      <c r="E14" s="218" t="s">
        <v>210</v>
      </c>
      <c r="F14" s="218" t="s">
        <v>211</v>
      </c>
      <c r="G14" s="218" t="s">
        <v>36</v>
      </c>
      <c r="H14" s="218" t="s">
        <v>168</v>
      </c>
      <c r="I14" s="218" t="s">
        <v>153</v>
      </c>
      <c r="J14" s="218" t="s">
        <v>38</v>
      </c>
      <c r="K14" s="218" t="s">
        <v>154</v>
      </c>
      <c r="L14" s="218">
        <v>1</v>
      </c>
      <c r="M14" s="218"/>
      <c r="N14" s="218">
        <v>3</v>
      </c>
      <c r="O14" s="218">
        <v>0.75</v>
      </c>
      <c r="P14" s="218">
        <v>0.75</v>
      </c>
      <c r="Q14" s="79">
        <f t="shared" si="0"/>
        <v>0.75</v>
      </c>
      <c r="R14" s="218">
        <v>14.8</v>
      </c>
      <c r="S14" s="218">
        <v>158</v>
      </c>
      <c r="T14" s="80">
        <f t="shared" si="1"/>
        <v>18</v>
      </c>
      <c r="U14" s="218">
        <v>398</v>
      </c>
      <c r="V14" s="81">
        <f t="shared" si="2"/>
        <v>2388</v>
      </c>
      <c r="W14" s="218">
        <v>8</v>
      </c>
      <c r="X14" s="218" t="s">
        <v>46</v>
      </c>
      <c r="Y14" s="218" t="s">
        <v>78</v>
      </c>
      <c r="Z14" s="218" t="s">
        <v>102</v>
      </c>
      <c r="AA14" s="218" t="s">
        <v>55</v>
      </c>
      <c r="AB14" s="218" t="s">
        <v>348</v>
      </c>
      <c r="AE14" s="88" t="s">
        <v>96</v>
      </c>
      <c r="AG14" s="89"/>
      <c r="AH14" s="89"/>
      <c r="AP14" s="89" t="s">
        <v>74</v>
      </c>
      <c r="AR14" s="90" t="s">
        <v>238</v>
      </c>
      <c r="AV14" s="89" t="s">
        <v>78</v>
      </c>
    </row>
    <row r="15" spans="1:53" s="87" customFormat="1" x14ac:dyDescent="0.15">
      <c r="A15" s="218" t="s">
        <v>51</v>
      </c>
      <c r="B15" s="218" t="s">
        <v>346</v>
      </c>
      <c r="C15" s="218">
        <v>2018</v>
      </c>
      <c r="D15" s="78" t="s">
        <v>403</v>
      </c>
      <c r="E15" s="218" t="s">
        <v>210</v>
      </c>
      <c r="F15" s="218" t="s">
        <v>211</v>
      </c>
      <c r="G15" s="218" t="s">
        <v>36</v>
      </c>
      <c r="H15" s="218" t="s">
        <v>168</v>
      </c>
      <c r="I15" s="218" t="s">
        <v>153</v>
      </c>
      <c r="J15" s="218" t="s">
        <v>38</v>
      </c>
      <c r="K15" s="218" t="s">
        <v>154</v>
      </c>
      <c r="L15" s="218">
        <v>2</v>
      </c>
      <c r="M15" s="218"/>
      <c r="N15" s="218">
        <v>3</v>
      </c>
      <c r="O15" s="218">
        <v>0.7</v>
      </c>
      <c r="P15" s="218">
        <v>0.8</v>
      </c>
      <c r="Q15" s="79">
        <f t="shared" si="0"/>
        <v>0.75</v>
      </c>
      <c r="R15" s="218">
        <v>16.600000000000001</v>
      </c>
      <c r="S15" s="218">
        <v>170</v>
      </c>
      <c r="T15" s="80">
        <f t="shared" si="1"/>
        <v>18</v>
      </c>
      <c r="U15" s="218">
        <v>398</v>
      </c>
      <c r="V15" s="81">
        <f t="shared" si="2"/>
        <v>2388</v>
      </c>
      <c r="W15" s="218">
        <v>8</v>
      </c>
      <c r="X15" s="218" t="s">
        <v>46</v>
      </c>
      <c r="Y15" s="218" t="s">
        <v>78</v>
      </c>
      <c r="Z15" s="218" t="s">
        <v>102</v>
      </c>
      <c r="AA15" s="218" t="s">
        <v>55</v>
      </c>
      <c r="AB15" s="218" t="s">
        <v>348</v>
      </c>
      <c r="AE15" s="88" t="s">
        <v>239</v>
      </c>
      <c r="AG15" s="89"/>
      <c r="AH15" s="89"/>
      <c r="AP15" s="89" t="s">
        <v>77</v>
      </c>
      <c r="AR15" s="90" t="s">
        <v>80</v>
      </c>
      <c r="AV15" s="89" t="s">
        <v>107</v>
      </c>
    </row>
    <row r="16" spans="1:53" s="87" customFormat="1" x14ac:dyDescent="0.15">
      <c r="A16" s="218" t="s">
        <v>51</v>
      </c>
      <c r="B16" s="218" t="s">
        <v>346</v>
      </c>
      <c r="C16" s="218">
        <v>2018</v>
      </c>
      <c r="D16" s="78" t="s">
        <v>403</v>
      </c>
      <c r="E16" s="218" t="s">
        <v>210</v>
      </c>
      <c r="F16" s="218" t="s">
        <v>211</v>
      </c>
      <c r="G16" s="218" t="s">
        <v>36</v>
      </c>
      <c r="H16" s="218" t="s">
        <v>168</v>
      </c>
      <c r="I16" s="218" t="s">
        <v>153</v>
      </c>
      <c r="J16" s="218" t="s">
        <v>38</v>
      </c>
      <c r="K16" s="218" t="s">
        <v>154</v>
      </c>
      <c r="L16" s="218">
        <v>3</v>
      </c>
      <c r="M16" s="218"/>
      <c r="N16" s="218">
        <v>3</v>
      </c>
      <c r="O16" s="218">
        <v>0.8</v>
      </c>
      <c r="P16" s="218">
        <v>0.75</v>
      </c>
      <c r="Q16" s="79">
        <f t="shared" si="0"/>
        <v>0.77500000000000002</v>
      </c>
      <c r="R16" s="218">
        <v>16.899999999999999</v>
      </c>
      <c r="S16" s="218">
        <v>172</v>
      </c>
      <c r="T16" s="80">
        <f t="shared" si="1"/>
        <v>18</v>
      </c>
      <c r="U16" s="218">
        <v>398</v>
      </c>
      <c r="V16" s="81">
        <f t="shared" si="2"/>
        <v>2388</v>
      </c>
      <c r="W16" s="218">
        <v>8</v>
      </c>
      <c r="X16" s="218" t="s">
        <v>46</v>
      </c>
      <c r="Y16" s="218" t="s">
        <v>78</v>
      </c>
      <c r="Z16" s="218" t="s">
        <v>102</v>
      </c>
      <c r="AA16" s="218" t="s">
        <v>55</v>
      </c>
      <c r="AB16" s="218" t="s">
        <v>348</v>
      </c>
      <c r="AE16" s="88" t="s">
        <v>240</v>
      </c>
      <c r="AG16" s="95"/>
      <c r="AH16" s="95"/>
      <c r="AP16" s="89" t="s">
        <v>80</v>
      </c>
      <c r="AR16" s="90" t="s">
        <v>63</v>
      </c>
      <c r="AV16" s="89" t="s">
        <v>84</v>
      </c>
    </row>
    <row r="17" spans="1:48" s="87" customFormat="1" x14ac:dyDescent="0.15">
      <c r="A17" s="218" t="s">
        <v>51</v>
      </c>
      <c r="B17" s="218" t="s">
        <v>346</v>
      </c>
      <c r="C17" s="218">
        <v>2018</v>
      </c>
      <c r="D17" s="78" t="s">
        <v>403</v>
      </c>
      <c r="E17" s="218" t="s">
        <v>139</v>
      </c>
      <c r="F17" s="218" t="s">
        <v>404</v>
      </c>
      <c r="G17" s="218" t="s">
        <v>42</v>
      </c>
      <c r="H17" s="218" t="s">
        <v>155</v>
      </c>
      <c r="I17" s="218" t="s">
        <v>153</v>
      </c>
      <c r="J17" s="218" t="s">
        <v>38</v>
      </c>
      <c r="K17" s="218" t="s">
        <v>154</v>
      </c>
      <c r="L17" s="218">
        <v>1</v>
      </c>
      <c r="M17" s="218"/>
      <c r="N17" s="218">
        <v>1</v>
      </c>
      <c r="O17" s="218">
        <v>1.1499999999999999</v>
      </c>
      <c r="P17" s="218">
        <v>1.25</v>
      </c>
      <c r="Q17" s="79">
        <f t="shared" si="0"/>
        <v>1.2</v>
      </c>
      <c r="R17" s="218">
        <v>13.9</v>
      </c>
      <c r="S17" s="218">
        <v>100</v>
      </c>
      <c r="T17" s="80">
        <f t="shared" si="1"/>
        <v>33</v>
      </c>
      <c r="U17" s="218">
        <v>98</v>
      </c>
      <c r="V17" s="81">
        <f t="shared" si="2"/>
        <v>3234</v>
      </c>
      <c r="W17" s="218">
        <v>13</v>
      </c>
      <c r="X17" s="218" t="s">
        <v>46</v>
      </c>
      <c r="Y17" s="218" t="s">
        <v>78</v>
      </c>
      <c r="Z17" s="218" t="s">
        <v>102</v>
      </c>
      <c r="AA17" s="218" t="s">
        <v>69</v>
      </c>
      <c r="AB17" s="218" t="s">
        <v>348</v>
      </c>
      <c r="AE17" s="88" t="s">
        <v>241</v>
      </c>
      <c r="AP17" s="100" t="s">
        <v>242</v>
      </c>
      <c r="AR17" s="90" t="s">
        <v>96</v>
      </c>
      <c r="AV17" s="89" t="s">
        <v>86</v>
      </c>
    </row>
    <row r="18" spans="1:48" s="87" customFormat="1" x14ac:dyDescent="0.15">
      <c r="A18" s="218" t="s">
        <v>51</v>
      </c>
      <c r="B18" s="218" t="s">
        <v>346</v>
      </c>
      <c r="C18" s="218">
        <v>2018</v>
      </c>
      <c r="D18" s="78" t="s">
        <v>403</v>
      </c>
      <c r="E18" s="218" t="s">
        <v>139</v>
      </c>
      <c r="F18" s="218" t="s">
        <v>404</v>
      </c>
      <c r="G18" s="218" t="s">
        <v>42</v>
      </c>
      <c r="H18" s="218" t="s">
        <v>155</v>
      </c>
      <c r="I18" s="218" t="s">
        <v>153</v>
      </c>
      <c r="J18" s="218" t="s">
        <v>38</v>
      </c>
      <c r="K18" s="218" t="s">
        <v>154</v>
      </c>
      <c r="L18" s="218">
        <v>2</v>
      </c>
      <c r="M18" s="218"/>
      <c r="N18" s="218">
        <v>1</v>
      </c>
      <c r="O18" s="218">
        <v>1.1000000000000001</v>
      </c>
      <c r="P18" s="218">
        <v>1.05</v>
      </c>
      <c r="Q18" s="79">
        <f t="shared" si="0"/>
        <v>1.0750000000000002</v>
      </c>
      <c r="R18" s="218">
        <v>14.5</v>
      </c>
      <c r="S18" s="218">
        <v>104</v>
      </c>
      <c r="T18" s="80">
        <f t="shared" si="1"/>
        <v>33</v>
      </c>
      <c r="U18" s="218">
        <v>98</v>
      </c>
      <c r="V18" s="81">
        <f t="shared" si="2"/>
        <v>3234</v>
      </c>
      <c r="W18" s="218">
        <v>13</v>
      </c>
      <c r="X18" s="218" t="s">
        <v>46</v>
      </c>
      <c r="Y18" s="218" t="s">
        <v>78</v>
      </c>
      <c r="Z18" s="218" t="s">
        <v>102</v>
      </c>
      <c r="AA18" s="218" t="s">
        <v>69</v>
      </c>
      <c r="AB18" s="218" t="s">
        <v>348</v>
      </c>
      <c r="AE18" s="88" t="s">
        <v>234</v>
      </c>
      <c r="AP18" s="100" t="s">
        <v>243</v>
      </c>
      <c r="AR18" s="90" t="s">
        <v>101</v>
      </c>
      <c r="AV18" s="89" t="s">
        <v>88</v>
      </c>
    </row>
    <row r="19" spans="1:48" s="87" customFormat="1" x14ac:dyDescent="0.15">
      <c r="A19" s="218" t="s">
        <v>51</v>
      </c>
      <c r="B19" s="218" t="s">
        <v>346</v>
      </c>
      <c r="C19" s="218">
        <v>2018</v>
      </c>
      <c r="D19" s="78" t="s">
        <v>403</v>
      </c>
      <c r="E19" s="218" t="s">
        <v>139</v>
      </c>
      <c r="F19" s="218" t="s">
        <v>404</v>
      </c>
      <c r="G19" s="218" t="s">
        <v>42</v>
      </c>
      <c r="H19" s="218" t="s">
        <v>155</v>
      </c>
      <c r="I19" s="218" t="s">
        <v>153</v>
      </c>
      <c r="J19" s="218" t="s">
        <v>38</v>
      </c>
      <c r="K19" s="218" t="s">
        <v>154</v>
      </c>
      <c r="L19" s="218">
        <v>3</v>
      </c>
      <c r="M19" s="218"/>
      <c r="N19" s="218">
        <v>1</v>
      </c>
      <c r="O19" s="218">
        <v>1</v>
      </c>
      <c r="P19" s="218">
        <v>1.1000000000000001</v>
      </c>
      <c r="Q19" s="79">
        <f t="shared" si="0"/>
        <v>1.05</v>
      </c>
      <c r="R19" s="218">
        <v>14.1</v>
      </c>
      <c r="S19" s="218">
        <v>102</v>
      </c>
      <c r="T19" s="80">
        <f t="shared" si="1"/>
        <v>33</v>
      </c>
      <c r="U19" s="218">
        <v>98</v>
      </c>
      <c r="V19" s="81">
        <f t="shared" si="2"/>
        <v>3234</v>
      </c>
      <c r="W19" s="218">
        <v>13</v>
      </c>
      <c r="X19" s="218" t="s">
        <v>46</v>
      </c>
      <c r="Y19" s="218" t="s">
        <v>78</v>
      </c>
      <c r="Z19" s="218" t="s">
        <v>102</v>
      </c>
      <c r="AA19" s="218" t="s">
        <v>69</v>
      </c>
      <c r="AB19" s="218" t="s">
        <v>348</v>
      </c>
      <c r="AE19" s="101" t="s">
        <v>231</v>
      </c>
      <c r="AP19" s="100" t="s">
        <v>244</v>
      </c>
      <c r="AR19" s="90" t="s">
        <v>245</v>
      </c>
      <c r="AV19" s="89" t="s">
        <v>90</v>
      </c>
    </row>
    <row r="20" spans="1:48" s="87" customFormat="1" x14ac:dyDescent="0.15">
      <c r="A20" s="218" t="s">
        <v>51</v>
      </c>
      <c r="B20" s="218" t="s">
        <v>346</v>
      </c>
      <c r="C20" s="218">
        <v>2018</v>
      </c>
      <c r="D20" s="78" t="s">
        <v>403</v>
      </c>
      <c r="E20" s="218" t="s">
        <v>139</v>
      </c>
      <c r="F20" s="218" t="s">
        <v>404</v>
      </c>
      <c r="G20" s="218" t="s">
        <v>42</v>
      </c>
      <c r="H20" s="218" t="s">
        <v>168</v>
      </c>
      <c r="I20" s="218" t="s">
        <v>153</v>
      </c>
      <c r="J20" s="218" t="s">
        <v>38</v>
      </c>
      <c r="K20" s="218" t="s">
        <v>154</v>
      </c>
      <c r="L20" s="218">
        <v>1</v>
      </c>
      <c r="M20" s="218"/>
      <c r="N20" s="218">
        <v>1</v>
      </c>
      <c r="O20" s="218">
        <v>0.7</v>
      </c>
      <c r="P20" s="218">
        <v>0.75</v>
      </c>
      <c r="Q20" s="79">
        <f t="shared" si="0"/>
        <v>0.72499999999999998</v>
      </c>
      <c r="R20" s="218">
        <v>16.5</v>
      </c>
      <c r="S20" s="218">
        <v>104</v>
      </c>
      <c r="T20" s="80">
        <f t="shared" si="1"/>
        <v>33</v>
      </c>
      <c r="U20" s="218">
        <v>98</v>
      </c>
      <c r="V20" s="81">
        <f t="shared" si="2"/>
        <v>3234</v>
      </c>
      <c r="W20" s="218">
        <v>13</v>
      </c>
      <c r="X20" s="218" t="s">
        <v>46</v>
      </c>
      <c r="Y20" s="218" t="s">
        <v>78</v>
      </c>
      <c r="Z20" s="218" t="s">
        <v>102</v>
      </c>
      <c r="AA20" s="218" t="s">
        <v>69</v>
      </c>
      <c r="AB20" s="218" t="s">
        <v>348</v>
      </c>
      <c r="AP20" s="100" t="s">
        <v>246</v>
      </c>
      <c r="AR20" s="90" t="s">
        <v>61</v>
      </c>
    </row>
    <row r="21" spans="1:48" s="87" customFormat="1" x14ac:dyDescent="0.15">
      <c r="A21" s="218" t="s">
        <v>51</v>
      </c>
      <c r="B21" s="218" t="s">
        <v>346</v>
      </c>
      <c r="C21" s="218">
        <v>2018</v>
      </c>
      <c r="D21" s="78" t="s">
        <v>403</v>
      </c>
      <c r="E21" s="218" t="s">
        <v>139</v>
      </c>
      <c r="F21" s="218" t="s">
        <v>404</v>
      </c>
      <c r="G21" s="218" t="s">
        <v>42</v>
      </c>
      <c r="H21" s="218" t="s">
        <v>168</v>
      </c>
      <c r="I21" s="218" t="s">
        <v>153</v>
      </c>
      <c r="J21" s="218" t="s">
        <v>38</v>
      </c>
      <c r="K21" s="218" t="s">
        <v>154</v>
      </c>
      <c r="L21" s="218">
        <v>2</v>
      </c>
      <c r="M21" s="218"/>
      <c r="N21" s="218">
        <v>1</v>
      </c>
      <c r="O21" s="218">
        <v>0.65</v>
      </c>
      <c r="P21" s="218">
        <v>0.7</v>
      </c>
      <c r="Q21" s="79">
        <f t="shared" si="0"/>
        <v>0.67500000000000004</v>
      </c>
      <c r="R21" s="218">
        <v>16.8</v>
      </c>
      <c r="S21" s="218">
        <v>110</v>
      </c>
      <c r="T21" s="80">
        <f t="shared" si="1"/>
        <v>33</v>
      </c>
      <c r="U21" s="218">
        <v>98</v>
      </c>
      <c r="V21" s="81">
        <f t="shared" si="2"/>
        <v>3234</v>
      </c>
      <c r="W21" s="218">
        <v>13</v>
      </c>
      <c r="X21" s="218" t="s">
        <v>46</v>
      </c>
      <c r="Y21" s="218" t="s">
        <v>78</v>
      </c>
      <c r="Z21" s="218" t="s">
        <v>102</v>
      </c>
      <c r="AA21" s="218" t="s">
        <v>69</v>
      </c>
      <c r="AB21" s="218" t="s">
        <v>348</v>
      </c>
      <c r="AP21" s="100" t="s">
        <v>247</v>
      </c>
      <c r="AR21" s="90" t="s">
        <v>91</v>
      </c>
    </row>
    <row r="22" spans="1:48" s="87" customFormat="1" x14ac:dyDescent="0.15">
      <c r="A22" s="218" t="s">
        <v>51</v>
      </c>
      <c r="B22" s="218" t="s">
        <v>346</v>
      </c>
      <c r="C22" s="218">
        <v>2018</v>
      </c>
      <c r="D22" s="78" t="s">
        <v>403</v>
      </c>
      <c r="E22" s="218" t="s">
        <v>139</v>
      </c>
      <c r="F22" s="218" t="s">
        <v>404</v>
      </c>
      <c r="G22" s="218" t="s">
        <v>42</v>
      </c>
      <c r="H22" s="218" t="s">
        <v>168</v>
      </c>
      <c r="I22" s="218" t="s">
        <v>153</v>
      </c>
      <c r="J22" s="218" t="s">
        <v>38</v>
      </c>
      <c r="K22" s="218" t="s">
        <v>154</v>
      </c>
      <c r="L22" s="218">
        <v>3</v>
      </c>
      <c r="M22" s="218"/>
      <c r="N22" s="218">
        <v>1</v>
      </c>
      <c r="O22" s="218">
        <v>0.55000000000000004</v>
      </c>
      <c r="P22" s="218">
        <v>0.75</v>
      </c>
      <c r="Q22" s="79">
        <f t="shared" si="0"/>
        <v>0.65</v>
      </c>
      <c r="R22" s="218">
        <v>16.100000000000001</v>
      </c>
      <c r="S22" s="218">
        <v>98</v>
      </c>
      <c r="T22" s="80">
        <f t="shared" si="1"/>
        <v>36</v>
      </c>
      <c r="U22" s="218">
        <v>98</v>
      </c>
      <c r="V22" s="81">
        <f t="shared" si="2"/>
        <v>3528</v>
      </c>
      <c r="W22" s="218">
        <v>13</v>
      </c>
      <c r="X22" s="218" t="s">
        <v>46</v>
      </c>
      <c r="Y22" s="218" t="s">
        <v>78</v>
      </c>
      <c r="Z22" s="218" t="s">
        <v>102</v>
      </c>
      <c r="AA22" s="218" t="s">
        <v>69</v>
      </c>
      <c r="AB22" s="218" t="s">
        <v>348</v>
      </c>
      <c r="AP22" s="100" t="s">
        <v>248</v>
      </c>
      <c r="AR22" s="100" t="s">
        <v>51</v>
      </c>
    </row>
    <row r="23" spans="1:48" s="87" customFormat="1" x14ac:dyDescent="0.15">
      <c r="A23" s="218" t="s">
        <v>51</v>
      </c>
      <c r="B23" s="218" t="s">
        <v>346</v>
      </c>
      <c r="C23" s="218">
        <v>2018</v>
      </c>
      <c r="D23" s="78" t="s">
        <v>403</v>
      </c>
      <c r="E23" s="218" t="s">
        <v>221</v>
      </c>
      <c r="F23" s="218" t="s">
        <v>222</v>
      </c>
      <c r="G23" s="218" t="s">
        <v>36</v>
      </c>
      <c r="H23" s="218" t="s">
        <v>155</v>
      </c>
      <c r="I23" s="218" t="s">
        <v>153</v>
      </c>
      <c r="J23" s="218" t="s">
        <v>38</v>
      </c>
      <c r="K23" s="218" t="s">
        <v>154</v>
      </c>
      <c r="L23" s="218">
        <v>1</v>
      </c>
      <c r="M23" s="218"/>
      <c r="N23" s="218">
        <v>1</v>
      </c>
      <c r="O23" s="218">
        <v>0.9</v>
      </c>
      <c r="P23" s="218">
        <v>0.7</v>
      </c>
      <c r="Q23" s="79">
        <f t="shared" si="0"/>
        <v>0.8</v>
      </c>
      <c r="R23" s="218">
        <v>15.6</v>
      </c>
      <c r="S23" s="218">
        <v>145</v>
      </c>
      <c r="T23" s="80">
        <f t="shared" si="1"/>
        <v>22</v>
      </c>
      <c r="U23" s="218">
        <v>128</v>
      </c>
      <c r="V23" s="81">
        <f t="shared" si="2"/>
        <v>2816</v>
      </c>
      <c r="W23" s="218">
        <v>12</v>
      </c>
      <c r="X23" s="218" t="s">
        <v>46</v>
      </c>
      <c r="Y23" s="218" t="s">
        <v>102</v>
      </c>
      <c r="Z23" s="218" t="s">
        <v>78</v>
      </c>
      <c r="AA23" s="218" t="s">
        <v>69</v>
      </c>
      <c r="AB23" s="218" t="s">
        <v>348</v>
      </c>
    </row>
    <row r="24" spans="1:48" s="87" customFormat="1" x14ac:dyDescent="0.15">
      <c r="A24" s="218" t="s">
        <v>51</v>
      </c>
      <c r="B24" s="218" t="s">
        <v>346</v>
      </c>
      <c r="C24" s="218">
        <v>2018</v>
      </c>
      <c r="D24" s="78" t="s">
        <v>403</v>
      </c>
      <c r="E24" s="218" t="s">
        <v>221</v>
      </c>
      <c r="F24" s="218" t="s">
        <v>222</v>
      </c>
      <c r="G24" s="218" t="s">
        <v>36</v>
      </c>
      <c r="H24" s="218" t="s">
        <v>155</v>
      </c>
      <c r="I24" s="218" t="s">
        <v>153</v>
      </c>
      <c r="J24" s="218" t="s">
        <v>38</v>
      </c>
      <c r="K24" s="218" t="s">
        <v>154</v>
      </c>
      <c r="L24" s="218">
        <v>2</v>
      </c>
      <c r="M24" s="218"/>
      <c r="N24" s="218">
        <v>1</v>
      </c>
      <c r="O24" s="218">
        <v>0.8</v>
      </c>
      <c r="P24" s="218">
        <v>0.8</v>
      </c>
      <c r="Q24" s="79">
        <f t="shared" si="0"/>
        <v>0.8</v>
      </c>
      <c r="R24" s="218">
        <v>16.100000000000001</v>
      </c>
      <c r="S24" s="218">
        <v>146</v>
      </c>
      <c r="T24" s="80">
        <f t="shared" si="1"/>
        <v>22</v>
      </c>
      <c r="U24" s="218">
        <v>128</v>
      </c>
      <c r="V24" s="81">
        <f t="shared" si="2"/>
        <v>2816</v>
      </c>
      <c r="W24" s="218">
        <v>12</v>
      </c>
      <c r="X24" s="218" t="s">
        <v>46</v>
      </c>
      <c r="Y24" s="218" t="s">
        <v>102</v>
      </c>
      <c r="Z24" s="218" t="s">
        <v>78</v>
      </c>
      <c r="AA24" s="218" t="s">
        <v>69</v>
      </c>
      <c r="AB24" s="218" t="s">
        <v>348</v>
      </c>
    </row>
    <row r="25" spans="1:48" s="87" customFormat="1" x14ac:dyDescent="0.15">
      <c r="A25" s="218" t="s">
        <v>51</v>
      </c>
      <c r="B25" s="218" t="s">
        <v>346</v>
      </c>
      <c r="C25" s="218">
        <v>2018</v>
      </c>
      <c r="D25" s="78" t="s">
        <v>403</v>
      </c>
      <c r="E25" s="218" t="s">
        <v>221</v>
      </c>
      <c r="F25" s="218" t="s">
        <v>222</v>
      </c>
      <c r="G25" s="218" t="s">
        <v>36</v>
      </c>
      <c r="H25" s="218" t="s">
        <v>155</v>
      </c>
      <c r="I25" s="218" t="s">
        <v>153</v>
      </c>
      <c r="J25" s="218" t="s">
        <v>38</v>
      </c>
      <c r="K25" s="218" t="s">
        <v>154</v>
      </c>
      <c r="L25" s="218">
        <v>3</v>
      </c>
      <c r="M25" s="218"/>
      <c r="N25" s="218">
        <v>1</v>
      </c>
      <c r="O25" s="218">
        <v>0.85</v>
      </c>
      <c r="P25" s="218">
        <v>0.8</v>
      </c>
      <c r="Q25" s="79">
        <f t="shared" si="0"/>
        <v>0.82499999999999996</v>
      </c>
      <c r="R25" s="218">
        <v>15</v>
      </c>
      <c r="S25" s="218">
        <v>140</v>
      </c>
      <c r="T25" s="80">
        <f t="shared" si="1"/>
        <v>22</v>
      </c>
      <c r="U25" s="218">
        <v>128</v>
      </c>
      <c r="V25" s="81">
        <f t="shared" si="2"/>
        <v>2816</v>
      </c>
      <c r="W25" s="218">
        <v>12</v>
      </c>
      <c r="X25" s="218" t="s">
        <v>46</v>
      </c>
      <c r="Y25" s="218" t="s">
        <v>102</v>
      </c>
      <c r="Z25" s="218" t="s">
        <v>78</v>
      </c>
      <c r="AA25" s="218" t="s">
        <v>69</v>
      </c>
      <c r="AB25" s="218" t="s">
        <v>348</v>
      </c>
    </row>
    <row r="26" spans="1:48" s="87" customFormat="1" x14ac:dyDescent="0.15">
      <c r="A26" s="218" t="s">
        <v>51</v>
      </c>
      <c r="B26" s="218" t="s">
        <v>346</v>
      </c>
      <c r="C26" s="218">
        <v>2018</v>
      </c>
      <c r="D26" s="78" t="s">
        <v>403</v>
      </c>
      <c r="E26" s="218" t="s">
        <v>221</v>
      </c>
      <c r="F26" s="218" t="s">
        <v>222</v>
      </c>
      <c r="G26" s="218" t="s">
        <v>36</v>
      </c>
      <c r="H26" s="218" t="s">
        <v>168</v>
      </c>
      <c r="I26" s="218" t="s">
        <v>153</v>
      </c>
      <c r="J26" s="218" t="s">
        <v>38</v>
      </c>
      <c r="K26" s="218" t="s">
        <v>154</v>
      </c>
      <c r="L26" s="218">
        <v>1</v>
      </c>
      <c r="M26" s="218"/>
      <c r="N26" s="218">
        <v>3</v>
      </c>
      <c r="O26" s="218">
        <v>0.5</v>
      </c>
      <c r="P26" s="218">
        <v>0.7</v>
      </c>
      <c r="Q26" s="79">
        <f t="shared" si="0"/>
        <v>0.6</v>
      </c>
      <c r="R26" s="218">
        <v>16.7</v>
      </c>
      <c r="S26" s="218">
        <v>142</v>
      </c>
      <c r="T26" s="80">
        <f t="shared" si="1"/>
        <v>22</v>
      </c>
      <c r="U26" s="218">
        <v>398</v>
      </c>
      <c r="V26" s="81">
        <f t="shared" si="2"/>
        <v>2918.6666666666665</v>
      </c>
      <c r="W26" s="218">
        <v>12</v>
      </c>
      <c r="X26" s="218" t="s">
        <v>46</v>
      </c>
      <c r="Y26" s="218" t="s">
        <v>102</v>
      </c>
      <c r="Z26" s="218" t="s">
        <v>78</v>
      </c>
      <c r="AA26" s="218" t="s">
        <v>69</v>
      </c>
      <c r="AB26" s="218" t="s">
        <v>348</v>
      </c>
    </row>
    <row r="27" spans="1:48" s="87" customFormat="1" x14ac:dyDescent="0.15">
      <c r="A27" s="218" t="s">
        <v>51</v>
      </c>
      <c r="B27" s="218" t="s">
        <v>346</v>
      </c>
      <c r="C27" s="218">
        <v>2018</v>
      </c>
      <c r="D27" s="78" t="s">
        <v>403</v>
      </c>
      <c r="E27" s="218" t="s">
        <v>221</v>
      </c>
      <c r="F27" s="218" t="s">
        <v>222</v>
      </c>
      <c r="G27" s="218" t="s">
        <v>36</v>
      </c>
      <c r="H27" s="218" t="s">
        <v>168</v>
      </c>
      <c r="I27" s="218" t="s">
        <v>153</v>
      </c>
      <c r="J27" s="218" t="s">
        <v>38</v>
      </c>
      <c r="K27" s="218" t="s">
        <v>154</v>
      </c>
      <c r="L27" s="218">
        <v>2</v>
      </c>
      <c r="M27" s="218"/>
      <c r="N27" s="218">
        <v>3</v>
      </c>
      <c r="O27" s="218">
        <v>0.6</v>
      </c>
      <c r="P27" s="218">
        <v>0.55000000000000004</v>
      </c>
      <c r="Q27" s="79">
        <f t="shared" si="0"/>
        <v>0.57499999999999996</v>
      </c>
      <c r="R27" s="218">
        <v>16.399999999999999</v>
      </c>
      <c r="S27" s="218">
        <v>140</v>
      </c>
      <c r="T27" s="80">
        <f t="shared" si="1"/>
        <v>22</v>
      </c>
      <c r="U27" s="218">
        <v>398</v>
      </c>
      <c r="V27" s="81">
        <f t="shared" si="2"/>
        <v>2918.6666666666665</v>
      </c>
      <c r="W27" s="218">
        <v>12</v>
      </c>
      <c r="X27" s="218" t="s">
        <v>46</v>
      </c>
      <c r="Y27" s="218" t="s">
        <v>102</v>
      </c>
      <c r="Z27" s="218" t="s">
        <v>78</v>
      </c>
      <c r="AA27" s="218" t="s">
        <v>69</v>
      </c>
      <c r="AB27" s="218" t="s">
        <v>348</v>
      </c>
    </row>
    <row r="28" spans="1:48" s="87" customFormat="1" x14ac:dyDescent="0.15">
      <c r="A28" s="218" t="s">
        <v>51</v>
      </c>
      <c r="B28" s="218" t="s">
        <v>346</v>
      </c>
      <c r="C28" s="218">
        <v>2018</v>
      </c>
      <c r="D28" s="78" t="s">
        <v>403</v>
      </c>
      <c r="E28" s="218" t="s">
        <v>221</v>
      </c>
      <c r="F28" s="218" t="s">
        <v>222</v>
      </c>
      <c r="G28" s="218" t="s">
        <v>36</v>
      </c>
      <c r="H28" s="218" t="s">
        <v>168</v>
      </c>
      <c r="I28" s="218" t="s">
        <v>153</v>
      </c>
      <c r="J28" s="218" t="s">
        <v>38</v>
      </c>
      <c r="K28" s="218" t="s">
        <v>154</v>
      </c>
      <c r="L28" s="218">
        <v>3</v>
      </c>
      <c r="M28" s="218"/>
      <c r="N28" s="218">
        <v>3</v>
      </c>
      <c r="O28" s="218">
        <v>0.55000000000000004</v>
      </c>
      <c r="P28" s="218">
        <v>0.65</v>
      </c>
      <c r="Q28" s="79">
        <f t="shared" si="0"/>
        <v>0.60000000000000009</v>
      </c>
      <c r="R28" s="218">
        <v>17.100000000000001</v>
      </c>
      <c r="S28" s="218">
        <v>140</v>
      </c>
      <c r="T28" s="80">
        <f t="shared" si="1"/>
        <v>22</v>
      </c>
      <c r="U28" s="218">
        <v>398</v>
      </c>
      <c r="V28" s="81">
        <f t="shared" si="2"/>
        <v>2918.6666666666665</v>
      </c>
      <c r="W28" s="218">
        <v>12</v>
      </c>
      <c r="X28" s="218" t="s">
        <v>46</v>
      </c>
      <c r="Y28" s="218" t="s">
        <v>102</v>
      </c>
      <c r="Z28" s="218" t="s">
        <v>78</v>
      </c>
      <c r="AA28" s="218" t="s">
        <v>69</v>
      </c>
      <c r="AB28" s="218" t="s">
        <v>348</v>
      </c>
    </row>
    <row r="29" spans="1:48" s="87" customFormat="1" x14ac:dyDescent="0.15">
      <c r="A29" s="218" t="s">
        <v>51</v>
      </c>
      <c r="B29" s="218" t="s">
        <v>346</v>
      </c>
      <c r="C29" s="218">
        <v>2018</v>
      </c>
      <c r="D29" s="78" t="s">
        <v>403</v>
      </c>
      <c r="E29" s="218" t="s">
        <v>177</v>
      </c>
      <c r="F29" s="218" t="s">
        <v>208</v>
      </c>
      <c r="G29" s="218" t="s">
        <v>42</v>
      </c>
      <c r="H29" s="218" t="s">
        <v>155</v>
      </c>
      <c r="I29" s="218" t="s">
        <v>153</v>
      </c>
      <c r="J29" s="218" t="s">
        <v>38</v>
      </c>
      <c r="K29" s="218" t="s">
        <v>154</v>
      </c>
      <c r="L29" s="218">
        <v>1</v>
      </c>
      <c r="M29" s="218"/>
      <c r="N29" s="218">
        <v>1</v>
      </c>
      <c r="O29" s="218">
        <v>0.6</v>
      </c>
      <c r="P29" s="218">
        <v>0.75</v>
      </c>
      <c r="Q29" s="79">
        <f t="shared" si="0"/>
        <v>0.67500000000000004</v>
      </c>
      <c r="R29" s="218">
        <v>14.5</v>
      </c>
      <c r="S29" s="218">
        <v>138</v>
      </c>
      <c r="T29" s="80">
        <f t="shared" si="1"/>
        <v>22</v>
      </c>
      <c r="U29" s="218">
        <v>127</v>
      </c>
      <c r="V29" s="81">
        <f t="shared" si="2"/>
        <v>2794</v>
      </c>
      <c r="W29" s="218">
        <v>8</v>
      </c>
      <c r="X29" s="218" t="s">
        <v>46</v>
      </c>
      <c r="Y29" s="218" t="s">
        <v>102</v>
      </c>
      <c r="Z29" s="218" t="s">
        <v>78</v>
      </c>
      <c r="AA29" s="218" t="s">
        <v>69</v>
      </c>
      <c r="AB29" s="218" t="s">
        <v>348</v>
      </c>
    </row>
    <row r="30" spans="1:48" s="87" customFormat="1" x14ac:dyDescent="0.15">
      <c r="A30" s="218" t="s">
        <v>51</v>
      </c>
      <c r="B30" s="218" t="s">
        <v>346</v>
      </c>
      <c r="C30" s="218">
        <v>2018</v>
      </c>
      <c r="D30" s="78" t="s">
        <v>403</v>
      </c>
      <c r="E30" s="218" t="s">
        <v>177</v>
      </c>
      <c r="F30" s="218" t="s">
        <v>208</v>
      </c>
      <c r="G30" s="218" t="s">
        <v>42</v>
      </c>
      <c r="H30" s="218" t="s">
        <v>155</v>
      </c>
      <c r="I30" s="218" t="s">
        <v>153</v>
      </c>
      <c r="J30" s="218" t="s">
        <v>38</v>
      </c>
      <c r="K30" s="218" t="s">
        <v>154</v>
      </c>
      <c r="L30" s="218">
        <v>2</v>
      </c>
      <c r="M30" s="218"/>
      <c r="N30" s="218">
        <v>1</v>
      </c>
      <c r="O30" s="218">
        <v>0.8</v>
      </c>
      <c r="P30" s="218">
        <v>0.85</v>
      </c>
      <c r="Q30" s="79">
        <f t="shared" si="0"/>
        <v>0.82499999999999996</v>
      </c>
      <c r="R30" s="218">
        <v>15.3</v>
      </c>
      <c r="S30" s="218">
        <v>142</v>
      </c>
      <c r="T30" s="80">
        <f t="shared" si="1"/>
        <v>22</v>
      </c>
      <c r="U30" s="218">
        <v>127</v>
      </c>
      <c r="V30" s="81">
        <f t="shared" si="2"/>
        <v>2794</v>
      </c>
      <c r="W30" s="218">
        <v>8</v>
      </c>
      <c r="X30" s="218" t="s">
        <v>46</v>
      </c>
      <c r="Y30" s="218" t="s">
        <v>102</v>
      </c>
      <c r="Z30" s="218" t="s">
        <v>78</v>
      </c>
      <c r="AA30" s="218" t="s">
        <v>69</v>
      </c>
      <c r="AB30" s="218" t="s">
        <v>348</v>
      </c>
    </row>
    <row r="31" spans="1:48" s="87" customFormat="1" x14ac:dyDescent="0.15">
      <c r="A31" s="218" t="s">
        <v>51</v>
      </c>
      <c r="B31" s="218" t="s">
        <v>346</v>
      </c>
      <c r="C31" s="218">
        <v>2018</v>
      </c>
      <c r="D31" s="78" t="s">
        <v>403</v>
      </c>
      <c r="E31" s="218" t="s">
        <v>177</v>
      </c>
      <c r="F31" s="218" t="s">
        <v>208</v>
      </c>
      <c r="G31" s="218" t="s">
        <v>42</v>
      </c>
      <c r="H31" s="218" t="s">
        <v>155</v>
      </c>
      <c r="I31" s="218" t="s">
        <v>153</v>
      </c>
      <c r="J31" s="218" t="s">
        <v>38</v>
      </c>
      <c r="K31" s="218" t="s">
        <v>154</v>
      </c>
      <c r="L31" s="218">
        <v>3</v>
      </c>
      <c r="M31" s="218"/>
      <c r="N31" s="218">
        <v>1</v>
      </c>
      <c r="O31" s="218">
        <v>0.8</v>
      </c>
      <c r="P31" s="218">
        <v>0.75</v>
      </c>
      <c r="Q31" s="79">
        <f t="shared" si="0"/>
        <v>0.77500000000000002</v>
      </c>
      <c r="R31" s="218">
        <v>15.6</v>
      </c>
      <c r="S31" s="218">
        <v>140</v>
      </c>
      <c r="T31" s="80">
        <f t="shared" si="1"/>
        <v>22</v>
      </c>
      <c r="U31" s="218">
        <v>127</v>
      </c>
      <c r="V31" s="81">
        <f t="shared" si="2"/>
        <v>2794</v>
      </c>
      <c r="W31" s="218">
        <v>8</v>
      </c>
      <c r="X31" s="218" t="s">
        <v>46</v>
      </c>
      <c r="Y31" s="218" t="s">
        <v>102</v>
      </c>
      <c r="Z31" s="218" t="s">
        <v>78</v>
      </c>
      <c r="AA31" s="218" t="s">
        <v>69</v>
      </c>
      <c r="AB31" s="218" t="s">
        <v>348</v>
      </c>
    </row>
    <row r="32" spans="1:48" s="87" customFormat="1" x14ac:dyDescent="0.15">
      <c r="A32" s="218" t="s">
        <v>51</v>
      </c>
      <c r="B32" s="218" t="s">
        <v>346</v>
      </c>
      <c r="C32" s="218">
        <v>2018</v>
      </c>
      <c r="D32" s="78" t="s">
        <v>403</v>
      </c>
      <c r="E32" s="218" t="s">
        <v>177</v>
      </c>
      <c r="F32" s="218" t="s">
        <v>208</v>
      </c>
      <c r="G32" s="218" t="s">
        <v>42</v>
      </c>
      <c r="H32" s="218" t="s">
        <v>168</v>
      </c>
      <c r="I32" s="218" t="s">
        <v>153</v>
      </c>
      <c r="J32" s="218" t="s">
        <v>38</v>
      </c>
      <c r="K32" s="218" t="s">
        <v>154</v>
      </c>
      <c r="L32" s="218">
        <v>1</v>
      </c>
      <c r="M32" s="218"/>
      <c r="N32" s="218">
        <v>1</v>
      </c>
      <c r="O32" s="218">
        <v>0.75</v>
      </c>
      <c r="P32" s="218">
        <v>0.75</v>
      </c>
      <c r="Q32" s="79">
        <f t="shared" si="0"/>
        <v>0.75</v>
      </c>
      <c r="R32" s="218">
        <v>17.2</v>
      </c>
      <c r="S32" s="218">
        <v>170</v>
      </c>
      <c r="T32" s="80">
        <f t="shared" si="1"/>
        <v>18</v>
      </c>
      <c r="U32" s="218">
        <v>127</v>
      </c>
      <c r="V32" s="81">
        <f t="shared" si="2"/>
        <v>2286</v>
      </c>
      <c r="W32" s="218">
        <v>8</v>
      </c>
      <c r="X32" s="218" t="s">
        <v>46</v>
      </c>
      <c r="Y32" s="218" t="s">
        <v>102</v>
      </c>
      <c r="Z32" s="218" t="s">
        <v>78</v>
      </c>
      <c r="AA32" s="218" t="s">
        <v>69</v>
      </c>
      <c r="AB32" s="218" t="s">
        <v>348</v>
      </c>
    </row>
    <row r="33" spans="1:28" s="87" customFormat="1" x14ac:dyDescent="0.15">
      <c r="A33" s="218" t="s">
        <v>51</v>
      </c>
      <c r="B33" s="218" t="s">
        <v>346</v>
      </c>
      <c r="C33" s="218">
        <v>2018</v>
      </c>
      <c r="D33" s="78" t="s">
        <v>403</v>
      </c>
      <c r="E33" s="218" t="s">
        <v>177</v>
      </c>
      <c r="F33" s="218" t="s">
        <v>208</v>
      </c>
      <c r="G33" s="218" t="s">
        <v>42</v>
      </c>
      <c r="H33" s="218" t="s">
        <v>168</v>
      </c>
      <c r="I33" s="218" t="s">
        <v>153</v>
      </c>
      <c r="J33" s="218" t="s">
        <v>38</v>
      </c>
      <c r="K33" s="218" t="s">
        <v>154</v>
      </c>
      <c r="L33" s="218">
        <v>2</v>
      </c>
      <c r="M33" s="218"/>
      <c r="N33" s="218">
        <v>1</v>
      </c>
      <c r="O33" s="218">
        <v>0.8</v>
      </c>
      <c r="P33" s="218">
        <v>0.7</v>
      </c>
      <c r="Q33" s="79">
        <f t="shared" si="0"/>
        <v>0.75</v>
      </c>
      <c r="R33" s="218">
        <v>16.899999999999999</v>
      </c>
      <c r="S33" s="218">
        <v>170</v>
      </c>
      <c r="T33" s="80">
        <f t="shared" si="1"/>
        <v>18</v>
      </c>
      <c r="U33" s="218">
        <v>127</v>
      </c>
      <c r="V33" s="81">
        <f t="shared" si="2"/>
        <v>2286</v>
      </c>
      <c r="W33" s="218">
        <v>8</v>
      </c>
      <c r="X33" s="218" t="s">
        <v>46</v>
      </c>
      <c r="Y33" s="218" t="s">
        <v>102</v>
      </c>
      <c r="Z33" s="218" t="s">
        <v>78</v>
      </c>
      <c r="AA33" s="218" t="s">
        <v>69</v>
      </c>
      <c r="AB33" s="218" t="s">
        <v>348</v>
      </c>
    </row>
    <row r="34" spans="1:28" s="87" customFormat="1" x14ac:dyDescent="0.15">
      <c r="A34" s="218" t="s">
        <v>51</v>
      </c>
      <c r="B34" s="218" t="s">
        <v>346</v>
      </c>
      <c r="C34" s="218">
        <v>2018</v>
      </c>
      <c r="D34" s="78" t="s">
        <v>403</v>
      </c>
      <c r="E34" s="218" t="s">
        <v>177</v>
      </c>
      <c r="F34" s="218" t="s">
        <v>208</v>
      </c>
      <c r="G34" s="218" t="s">
        <v>42</v>
      </c>
      <c r="H34" s="218" t="s">
        <v>168</v>
      </c>
      <c r="I34" s="218" t="s">
        <v>153</v>
      </c>
      <c r="J34" s="218" t="s">
        <v>38</v>
      </c>
      <c r="K34" s="218" t="s">
        <v>154</v>
      </c>
      <c r="L34" s="218">
        <v>3</v>
      </c>
      <c r="M34" s="218"/>
      <c r="N34" s="218">
        <v>1</v>
      </c>
      <c r="O34" s="218">
        <v>0.8</v>
      </c>
      <c r="P34" s="218">
        <v>0.85</v>
      </c>
      <c r="Q34" s="79">
        <f t="shared" si="0"/>
        <v>0.82499999999999996</v>
      </c>
      <c r="R34" s="218">
        <v>18.3</v>
      </c>
      <c r="S34" s="218">
        <v>174</v>
      </c>
      <c r="T34" s="80">
        <f t="shared" si="1"/>
        <v>18</v>
      </c>
      <c r="U34" s="218">
        <v>127</v>
      </c>
      <c r="V34" s="81">
        <f t="shared" si="2"/>
        <v>2286</v>
      </c>
      <c r="W34" s="218">
        <v>8</v>
      </c>
      <c r="X34" s="218" t="s">
        <v>46</v>
      </c>
      <c r="Y34" s="218" t="s">
        <v>102</v>
      </c>
      <c r="Z34" s="218" t="s">
        <v>78</v>
      </c>
      <c r="AA34" s="218" t="s">
        <v>69</v>
      </c>
      <c r="AB34" s="218" t="s">
        <v>348</v>
      </c>
    </row>
    <row r="35" spans="1:28" s="87" customFormat="1" x14ac:dyDescent="0.15">
      <c r="A35" s="218" t="s">
        <v>51</v>
      </c>
      <c r="B35" s="218" t="s">
        <v>346</v>
      </c>
      <c r="C35" s="218">
        <v>2018</v>
      </c>
      <c r="D35" s="78" t="s">
        <v>403</v>
      </c>
      <c r="E35" s="218" t="s">
        <v>224</v>
      </c>
      <c r="F35" s="218" t="s">
        <v>208</v>
      </c>
      <c r="G35" s="218" t="s">
        <v>42</v>
      </c>
      <c r="H35" s="218" t="s">
        <v>155</v>
      </c>
      <c r="I35" s="218" t="s">
        <v>153</v>
      </c>
      <c r="J35" s="218" t="s">
        <v>38</v>
      </c>
      <c r="K35" s="218" t="s">
        <v>154</v>
      </c>
      <c r="L35" s="218">
        <v>1</v>
      </c>
      <c r="M35" s="218"/>
      <c r="N35" s="218">
        <v>1</v>
      </c>
      <c r="O35" s="218">
        <v>0.8</v>
      </c>
      <c r="P35" s="218">
        <v>0.8</v>
      </c>
      <c r="Q35" s="79">
        <f t="shared" si="0"/>
        <v>0.8</v>
      </c>
      <c r="R35" s="218">
        <v>16.7</v>
      </c>
      <c r="S35" s="218">
        <v>154</v>
      </c>
      <c r="T35" s="80">
        <f t="shared" si="1"/>
        <v>18</v>
      </c>
      <c r="U35" s="218">
        <v>138</v>
      </c>
      <c r="V35" s="81">
        <f t="shared" si="2"/>
        <v>2484</v>
      </c>
      <c r="W35" s="218">
        <v>15</v>
      </c>
      <c r="X35" s="218" t="s">
        <v>46</v>
      </c>
      <c r="Y35" s="218" t="s">
        <v>78</v>
      </c>
      <c r="Z35" s="218" t="s">
        <v>90</v>
      </c>
      <c r="AA35" s="218" t="s">
        <v>102</v>
      </c>
      <c r="AB35" s="218" t="s">
        <v>348</v>
      </c>
    </row>
    <row r="36" spans="1:28" s="87" customFormat="1" x14ac:dyDescent="0.15">
      <c r="A36" s="218" t="s">
        <v>51</v>
      </c>
      <c r="B36" s="218" t="s">
        <v>346</v>
      </c>
      <c r="C36" s="218">
        <v>2018</v>
      </c>
      <c r="D36" s="78" t="s">
        <v>403</v>
      </c>
      <c r="E36" s="218" t="s">
        <v>224</v>
      </c>
      <c r="F36" s="218" t="s">
        <v>208</v>
      </c>
      <c r="G36" s="218" t="s">
        <v>42</v>
      </c>
      <c r="H36" s="218" t="s">
        <v>155</v>
      </c>
      <c r="I36" s="218" t="s">
        <v>153</v>
      </c>
      <c r="J36" s="218" t="s">
        <v>38</v>
      </c>
      <c r="K36" s="218" t="s">
        <v>154</v>
      </c>
      <c r="L36" s="218">
        <v>2</v>
      </c>
      <c r="M36" s="218"/>
      <c r="N36" s="218">
        <v>1</v>
      </c>
      <c r="O36" s="218">
        <v>0.75</v>
      </c>
      <c r="P36" s="218">
        <v>0.85</v>
      </c>
      <c r="Q36" s="79">
        <f t="shared" si="0"/>
        <v>0.8</v>
      </c>
      <c r="R36" s="218">
        <v>16.899999999999999</v>
      </c>
      <c r="S36" s="218">
        <v>170</v>
      </c>
      <c r="T36" s="80">
        <f t="shared" si="1"/>
        <v>18</v>
      </c>
      <c r="U36" s="218">
        <v>138</v>
      </c>
      <c r="V36" s="81">
        <f t="shared" si="2"/>
        <v>2484</v>
      </c>
      <c r="W36" s="218">
        <v>15</v>
      </c>
      <c r="X36" s="218" t="s">
        <v>46</v>
      </c>
      <c r="Y36" s="218" t="s">
        <v>78</v>
      </c>
      <c r="Z36" s="218" t="s">
        <v>90</v>
      </c>
      <c r="AA36" s="218" t="s">
        <v>102</v>
      </c>
      <c r="AB36" s="218" t="s">
        <v>348</v>
      </c>
    </row>
    <row r="37" spans="1:28" s="87" customFormat="1" x14ac:dyDescent="0.15">
      <c r="A37" s="218" t="s">
        <v>51</v>
      </c>
      <c r="B37" s="218" t="s">
        <v>346</v>
      </c>
      <c r="C37" s="218">
        <v>2018</v>
      </c>
      <c r="D37" s="78" t="s">
        <v>403</v>
      </c>
      <c r="E37" s="218" t="s">
        <v>224</v>
      </c>
      <c r="F37" s="218" t="s">
        <v>208</v>
      </c>
      <c r="G37" s="218" t="s">
        <v>42</v>
      </c>
      <c r="H37" s="218" t="s">
        <v>155</v>
      </c>
      <c r="I37" s="218" t="s">
        <v>153</v>
      </c>
      <c r="J37" s="218" t="s">
        <v>38</v>
      </c>
      <c r="K37" s="218" t="s">
        <v>154</v>
      </c>
      <c r="L37" s="218">
        <v>3</v>
      </c>
      <c r="M37" s="218"/>
      <c r="N37" s="218">
        <v>1</v>
      </c>
      <c r="O37" s="218">
        <v>0.9</v>
      </c>
      <c r="P37" s="218">
        <v>0.8</v>
      </c>
      <c r="Q37" s="79">
        <f t="shared" si="0"/>
        <v>0.85000000000000009</v>
      </c>
      <c r="R37" s="218">
        <v>16.600000000000001</v>
      </c>
      <c r="S37" s="218">
        <v>170</v>
      </c>
      <c r="T37" s="80">
        <f t="shared" si="1"/>
        <v>18</v>
      </c>
      <c r="U37" s="218">
        <v>138</v>
      </c>
      <c r="V37" s="81">
        <f t="shared" si="2"/>
        <v>2484</v>
      </c>
      <c r="W37" s="218">
        <v>15</v>
      </c>
      <c r="X37" s="218" t="s">
        <v>46</v>
      </c>
      <c r="Y37" s="218" t="s">
        <v>78</v>
      </c>
      <c r="Z37" s="218" t="s">
        <v>90</v>
      </c>
      <c r="AA37" s="218" t="s">
        <v>102</v>
      </c>
      <c r="AB37" s="218" t="s">
        <v>348</v>
      </c>
    </row>
    <row r="38" spans="1:28" s="87" customFormat="1" x14ac:dyDescent="0.15">
      <c r="A38" s="218" t="s">
        <v>51</v>
      </c>
      <c r="B38" s="218" t="s">
        <v>346</v>
      </c>
      <c r="C38" s="218">
        <v>2018</v>
      </c>
      <c r="D38" s="78" t="s">
        <v>403</v>
      </c>
      <c r="E38" s="218" t="s">
        <v>224</v>
      </c>
      <c r="F38" s="218" t="s">
        <v>208</v>
      </c>
      <c r="G38" s="218" t="s">
        <v>42</v>
      </c>
      <c r="H38" s="218" t="s">
        <v>168</v>
      </c>
      <c r="I38" s="218" t="s">
        <v>153</v>
      </c>
      <c r="J38" s="218" t="s">
        <v>38</v>
      </c>
      <c r="K38" s="218" t="s">
        <v>154</v>
      </c>
      <c r="L38" s="218">
        <v>1</v>
      </c>
      <c r="M38" s="218"/>
      <c r="N38" s="218">
        <v>1</v>
      </c>
      <c r="O38" s="218">
        <v>0.75</v>
      </c>
      <c r="P38" s="218">
        <v>0.85</v>
      </c>
      <c r="Q38" s="79">
        <f t="shared" si="0"/>
        <v>0.8</v>
      </c>
      <c r="R38" s="218">
        <v>18.2</v>
      </c>
      <c r="S38" s="218">
        <v>178</v>
      </c>
      <c r="T38" s="80">
        <f t="shared" si="1"/>
        <v>18</v>
      </c>
      <c r="U38" s="218">
        <v>158</v>
      </c>
      <c r="V38" s="81">
        <f t="shared" si="2"/>
        <v>2844</v>
      </c>
      <c r="W38" s="218">
        <v>15</v>
      </c>
      <c r="X38" s="218" t="s">
        <v>46</v>
      </c>
      <c r="Y38" s="218" t="s">
        <v>78</v>
      </c>
      <c r="Z38" s="218" t="s">
        <v>90</v>
      </c>
      <c r="AA38" s="218" t="s">
        <v>102</v>
      </c>
      <c r="AB38" s="218" t="s">
        <v>348</v>
      </c>
    </row>
    <row r="39" spans="1:28" s="87" customFormat="1" x14ac:dyDescent="0.15">
      <c r="A39" s="218" t="s">
        <v>51</v>
      </c>
      <c r="B39" s="218" t="s">
        <v>346</v>
      </c>
      <c r="C39" s="218">
        <v>2018</v>
      </c>
      <c r="D39" s="78" t="s">
        <v>403</v>
      </c>
      <c r="E39" s="218" t="s">
        <v>224</v>
      </c>
      <c r="F39" s="218" t="s">
        <v>208</v>
      </c>
      <c r="G39" s="218" t="s">
        <v>42</v>
      </c>
      <c r="H39" s="218" t="s">
        <v>168</v>
      </c>
      <c r="I39" s="218" t="s">
        <v>153</v>
      </c>
      <c r="J39" s="218" t="s">
        <v>38</v>
      </c>
      <c r="K39" s="218" t="s">
        <v>154</v>
      </c>
      <c r="L39" s="218">
        <v>2</v>
      </c>
      <c r="M39" s="218"/>
      <c r="N39" s="218">
        <v>1</v>
      </c>
      <c r="O39" s="218">
        <v>0.8</v>
      </c>
      <c r="P39" s="218">
        <v>0.8</v>
      </c>
      <c r="Q39" s="79">
        <f t="shared" si="0"/>
        <v>0.8</v>
      </c>
      <c r="R39" s="218">
        <v>16.5</v>
      </c>
      <c r="S39" s="218">
        <v>164</v>
      </c>
      <c r="T39" s="80">
        <f t="shared" si="1"/>
        <v>18</v>
      </c>
      <c r="U39" s="218">
        <v>158</v>
      </c>
      <c r="V39" s="81">
        <f t="shared" si="2"/>
        <v>2844</v>
      </c>
      <c r="W39" s="218">
        <v>15</v>
      </c>
      <c r="X39" s="218" t="s">
        <v>46</v>
      </c>
      <c r="Y39" s="218" t="s">
        <v>78</v>
      </c>
      <c r="Z39" s="218" t="s">
        <v>90</v>
      </c>
      <c r="AA39" s="218" t="s">
        <v>102</v>
      </c>
      <c r="AB39" s="218" t="s">
        <v>348</v>
      </c>
    </row>
    <row r="40" spans="1:28" s="87" customFormat="1" x14ac:dyDescent="0.15">
      <c r="A40" s="218" t="s">
        <v>51</v>
      </c>
      <c r="B40" s="218" t="s">
        <v>346</v>
      </c>
      <c r="C40" s="218">
        <v>2018</v>
      </c>
      <c r="D40" s="78" t="s">
        <v>403</v>
      </c>
      <c r="E40" s="218" t="s">
        <v>224</v>
      </c>
      <c r="F40" s="218" t="s">
        <v>208</v>
      </c>
      <c r="G40" s="218" t="s">
        <v>42</v>
      </c>
      <c r="H40" s="218" t="s">
        <v>168</v>
      </c>
      <c r="I40" s="218" t="s">
        <v>153</v>
      </c>
      <c r="J40" s="218" t="s">
        <v>38</v>
      </c>
      <c r="K40" s="218" t="s">
        <v>154</v>
      </c>
      <c r="L40" s="218">
        <v>3</v>
      </c>
      <c r="M40" s="218"/>
      <c r="N40" s="218">
        <v>1</v>
      </c>
      <c r="O40" s="218">
        <v>0.8</v>
      </c>
      <c r="P40" s="218">
        <v>0.9</v>
      </c>
      <c r="Q40" s="79">
        <f t="shared" si="0"/>
        <v>0.85000000000000009</v>
      </c>
      <c r="R40" s="218">
        <v>17.8</v>
      </c>
      <c r="S40" s="218">
        <v>170</v>
      </c>
      <c r="T40" s="80">
        <f t="shared" si="1"/>
        <v>18</v>
      </c>
      <c r="U40" s="218">
        <v>158</v>
      </c>
      <c r="V40" s="81">
        <f t="shared" si="2"/>
        <v>2844</v>
      </c>
      <c r="W40" s="218">
        <v>15</v>
      </c>
      <c r="X40" s="218" t="s">
        <v>46</v>
      </c>
      <c r="Y40" s="218" t="s">
        <v>78</v>
      </c>
      <c r="Z40" s="218" t="s">
        <v>90</v>
      </c>
      <c r="AA40" s="218" t="s">
        <v>102</v>
      </c>
      <c r="AB40" s="218" t="s">
        <v>348</v>
      </c>
    </row>
    <row r="41" spans="1:28" s="87" customFormat="1" x14ac:dyDescent="0.15">
      <c r="A41" s="218" t="s">
        <v>51</v>
      </c>
      <c r="B41" s="218" t="s">
        <v>346</v>
      </c>
      <c r="C41" s="218">
        <v>2018</v>
      </c>
      <c r="D41" s="78" t="s">
        <v>403</v>
      </c>
      <c r="E41" s="218" t="s">
        <v>213</v>
      </c>
      <c r="F41" s="218" t="s">
        <v>214</v>
      </c>
      <c r="G41" s="218" t="s">
        <v>42</v>
      </c>
      <c r="H41" s="218" t="s">
        <v>155</v>
      </c>
      <c r="I41" s="218" t="s">
        <v>153</v>
      </c>
      <c r="J41" s="218" t="s">
        <v>38</v>
      </c>
      <c r="K41" s="218" t="s">
        <v>154</v>
      </c>
      <c r="L41" s="218">
        <v>1</v>
      </c>
      <c r="M41" s="218"/>
      <c r="N41" s="218">
        <v>1</v>
      </c>
      <c r="O41" s="218">
        <v>0.65</v>
      </c>
      <c r="P41" s="218">
        <v>0.65</v>
      </c>
      <c r="Q41" s="79">
        <f t="shared" si="0"/>
        <v>0.65</v>
      </c>
      <c r="R41" s="218">
        <v>14.1</v>
      </c>
      <c r="S41" s="218">
        <v>140</v>
      </c>
      <c r="T41" s="80">
        <f t="shared" si="1"/>
        <v>22</v>
      </c>
      <c r="U41" s="218">
        <v>88</v>
      </c>
      <c r="V41" s="81">
        <f t="shared" si="2"/>
        <v>1936</v>
      </c>
      <c r="W41" s="218">
        <v>10</v>
      </c>
      <c r="X41" s="218" t="s">
        <v>46</v>
      </c>
      <c r="Y41" s="218" t="s">
        <v>102</v>
      </c>
      <c r="Z41" s="218" t="s">
        <v>78</v>
      </c>
      <c r="AA41" s="218" t="s">
        <v>90</v>
      </c>
      <c r="AB41" s="218" t="s">
        <v>348</v>
      </c>
    </row>
    <row r="42" spans="1:28" s="87" customFormat="1" x14ac:dyDescent="0.15">
      <c r="A42" s="218" t="s">
        <v>51</v>
      </c>
      <c r="B42" s="218" t="s">
        <v>346</v>
      </c>
      <c r="C42" s="218">
        <v>2018</v>
      </c>
      <c r="D42" s="78" t="s">
        <v>403</v>
      </c>
      <c r="E42" s="218" t="s">
        <v>213</v>
      </c>
      <c r="F42" s="218" t="s">
        <v>214</v>
      </c>
      <c r="G42" s="218" t="s">
        <v>42</v>
      </c>
      <c r="H42" s="218" t="s">
        <v>155</v>
      </c>
      <c r="I42" s="218" t="s">
        <v>153</v>
      </c>
      <c r="J42" s="218" t="s">
        <v>38</v>
      </c>
      <c r="K42" s="218" t="s">
        <v>154</v>
      </c>
      <c r="L42" s="218">
        <v>2</v>
      </c>
      <c r="M42" s="218"/>
      <c r="N42" s="218">
        <v>1</v>
      </c>
      <c r="O42" s="218">
        <v>0.7</v>
      </c>
      <c r="P42" s="218">
        <v>0.8</v>
      </c>
      <c r="Q42" s="79">
        <f t="shared" si="0"/>
        <v>0.75</v>
      </c>
      <c r="R42" s="218">
        <v>13.5</v>
      </c>
      <c r="S42" s="218">
        <v>140</v>
      </c>
      <c r="T42" s="80">
        <f t="shared" si="1"/>
        <v>22</v>
      </c>
      <c r="U42" s="218">
        <v>88</v>
      </c>
      <c r="V42" s="81">
        <f t="shared" si="2"/>
        <v>1936</v>
      </c>
      <c r="W42" s="218">
        <v>10</v>
      </c>
      <c r="X42" s="218" t="s">
        <v>46</v>
      </c>
      <c r="Y42" s="218" t="s">
        <v>102</v>
      </c>
      <c r="Z42" s="218" t="s">
        <v>78</v>
      </c>
      <c r="AA42" s="218" t="s">
        <v>90</v>
      </c>
      <c r="AB42" s="218" t="s">
        <v>348</v>
      </c>
    </row>
    <row r="43" spans="1:28" s="87" customFormat="1" x14ac:dyDescent="0.15">
      <c r="A43" s="218" t="s">
        <v>51</v>
      </c>
      <c r="B43" s="218" t="s">
        <v>346</v>
      </c>
      <c r="C43" s="218">
        <v>2018</v>
      </c>
      <c r="D43" s="78" t="s">
        <v>403</v>
      </c>
      <c r="E43" s="218" t="s">
        <v>213</v>
      </c>
      <c r="F43" s="218" t="s">
        <v>214</v>
      </c>
      <c r="G43" s="218" t="s">
        <v>42</v>
      </c>
      <c r="H43" s="218" t="s">
        <v>155</v>
      </c>
      <c r="I43" s="218" t="s">
        <v>153</v>
      </c>
      <c r="J43" s="218" t="s">
        <v>38</v>
      </c>
      <c r="K43" s="218" t="s">
        <v>154</v>
      </c>
      <c r="L43" s="218">
        <v>3</v>
      </c>
      <c r="M43" s="218"/>
      <c r="N43" s="218">
        <v>1</v>
      </c>
      <c r="O43" s="218">
        <v>0.75</v>
      </c>
      <c r="P43" s="218">
        <v>0.85</v>
      </c>
      <c r="Q43" s="79">
        <f t="shared" si="0"/>
        <v>0.8</v>
      </c>
      <c r="R43" s="218">
        <v>13.9</v>
      </c>
      <c r="S43" s="218">
        <v>144</v>
      </c>
      <c r="T43" s="80">
        <f t="shared" si="1"/>
        <v>22</v>
      </c>
      <c r="U43" s="218">
        <v>88</v>
      </c>
      <c r="V43" s="81">
        <f t="shared" si="2"/>
        <v>1936</v>
      </c>
      <c r="W43" s="218">
        <v>10</v>
      </c>
      <c r="X43" s="218" t="s">
        <v>46</v>
      </c>
      <c r="Y43" s="218" t="s">
        <v>102</v>
      </c>
      <c r="Z43" s="218" t="s">
        <v>78</v>
      </c>
      <c r="AA43" s="218" t="s">
        <v>90</v>
      </c>
      <c r="AB43" s="218" t="s">
        <v>348</v>
      </c>
    </row>
    <row r="44" spans="1:28" s="87" customFormat="1" x14ac:dyDescent="0.15">
      <c r="A44" s="218" t="s">
        <v>51</v>
      </c>
      <c r="B44" s="218" t="s">
        <v>346</v>
      </c>
      <c r="C44" s="218">
        <v>2018</v>
      </c>
      <c r="D44" s="78" t="s">
        <v>403</v>
      </c>
      <c r="E44" s="218" t="s">
        <v>213</v>
      </c>
      <c r="F44" s="218" t="s">
        <v>214</v>
      </c>
      <c r="G44" s="218" t="s">
        <v>42</v>
      </c>
      <c r="H44" s="218" t="s">
        <v>168</v>
      </c>
      <c r="I44" s="218" t="s">
        <v>153</v>
      </c>
      <c r="J44" s="218" t="s">
        <v>38</v>
      </c>
      <c r="K44" s="218" t="s">
        <v>154</v>
      </c>
      <c r="L44" s="218">
        <v>1</v>
      </c>
      <c r="M44" s="218"/>
      <c r="N44" s="218">
        <v>1</v>
      </c>
      <c r="O44" s="218">
        <v>0.65</v>
      </c>
      <c r="P44" s="218">
        <v>0.65</v>
      </c>
      <c r="Q44" s="79">
        <f t="shared" si="0"/>
        <v>0.65</v>
      </c>
      <c r="R44" s="218">
        <v>16.5</v>
      </c>
      <c r="S44" s="218">
        <v>140</v>
      </c>
      <c r="T44" s="80">
        <f t="shared" si="1"/>
        <v>22</v>
      </c>
      <c r="U44" s="218">
        <v>88</v>
      </c>
      <c r="V44" s="81">
        <f t="shared" si="2"/>
        <v>1936</v>
      </c>
      <c r="W44" s="218">
        <v>10</v>
      </c>
      <c r="X44" s="218" t="s">
        <v>46</v>
      </c>
      <c r="Y44" s="218" t="s">
        <v>102</v>
      </c>
      <c r="Z44" s="218" t="s">
        <v>78</v>
      </c>
      <c r="AA44" s="218" t="s">
        <v>90</v>
      </c>
      <c r="AB44" s="218" t="s">
        <v>348</v>
      </c>
    </row>
    <row r="45" spans="1:28" s="87" customFormat="1" x14ac:dyDescent="0.15">
      <c r="A45" s="218" t="s">
        <v>51</v>
      </c>
      <c r="B45" s="218" t="s">
        <v>346</v>
      </c>
      <c r="C45" s="218">
        <v>2018</v>
      </c>
      <c r="D45" s="78" t="s">
        <v>403</v>
      </c>
      <c r="E45" s="218" t="s">
        <v>213</v>
      </c>
      <c r="F45" s="218" t="s">
        <v>214</v>
      </c>
      <c r="G45" s="218" t="s">
        <v>42</v>
      </c>
      <c r="H45" s="218" t="s">
        <v>168</v>
      </c>
      <c r="I45" s="218" t="s">
        <v>153</v>
      </c>
      <c r="J45" s="218" t="s">
        <v>38</v>
      </c>
      <c r="K45" s="218" t="s">
        <v>154</v>
      </c>
      <c r="L45" s="218">
        <v>2</v>
      </c>
      <c r="M45" s="218"/>
      <c r="N45" s="218">
        <v>1</v>
      </c>
      <c r="O45" s="218">
        <v>0.65</v>
      </c>
      <c r="P45" s="218">
        <v>0.7</v>
      </c>
      <c r="Q45" s="79">
        <f t="shared" si="0"/>
        <v>0.67500000000000004</v>
      </c>
      <c r="R45" s="218">
        <v>16.8</v>
      </c>
      <c r="S45" s="218">
        <v>146</v>
      </c>
      <c r="T45" s="80">
        <f t="shared" si="1"/>
        <v>22</v>
      </c>
      <c r="U45" s="218">
        <v>88</v>
      </c>
      <c r="V45" s="81">
        <f t="shared" si="2"/>
        <v>1936</v>
      </c>
      <c r="W45" s="218">
        <v>10</v>
      </c>
      <c r="X45" s="218" t="s">
        <v>46</v>
      </c>
      <c r="Y45" s="218" t="s">
        <v>102</v>
      </c>
      <c r="Z45" s="218" t="s">
        <v>78</v>
      </c>
      <c r="AA45" s="218" t="s">
        <v>90</v>
      </c>
      <c r="AB45" s="218" t="s">
        <v>348</v>
      </c>
    </row>
    <row r="46" spans="1:28" s="87" customFormat="1" x14ac:dyDescent="0.15">
      <c r="A46" s="218" t="s">
        <v>51</v>
      </c>
      <c r="B46" s="218" t="s">
        <v>346</v>
      </c>
      <c r="C46" s="218">
        <v>2018</v>
      </c>
      <c r="D46" s="78" t="s">
        <v>403</v>
      </c>
      <c r="E46" s="218" t="s">
        <v>213</v>
      </c>
      <c r="F46" s="218" t="s">
        <v>214</v>
      </c>
      <c r="G46" s="218" t="s">
        <v>42</v>
      </c>
      <c r="H46" s="218" t="s">
        <v>168</v>
      </c>
      <c r="I46" s="218" t="s">
        <v>153</v>
      </c>
      <c r="J46" s="218" t="s">
        <v>38</v>
      </c>
      <c r="K46" s="218" t="s">
        <v>154</v>
      </c>
      <c r="L46" s="218">
        <v>3</v>
      </c>
      <c r="M46" s="218"/>
      <c r="N46" s="218">
        <v>1</v>
      </c>
      <c r="O46" s="218">
        <v>0.7</v>
      </c>
      <c r="P46" s="218">
        <v>0.7</v>
      </c>
      <c r="Q46" s="79">
        <f t="shared" si="0"/>
        <v>0.7</v>
      </c>
      <c r="R46" s="218">
        <v>16.3</v>
      </c>
      <c r="S46" s="218">
        <v>142</v>
      </c>
      <c r="T46" s="80">
        <f t="shared" si="1"/>
        <v>22</v>
      </c>
      <c r="U46" s="218">
        <v>88</v>
      </c>
      <c r="V46" s="81">
        <f t="shared" si="2"/>
        <v>1936</v>
      </c>
      <c r="W46" s="218">
        <v>10</v>
      </c>
      <c r="X46" s="218" t="s">
        <v>46</v>
      </c>
      <c r="Y46" s="218" t="s">
        <v>102</v>
      </c>
      <c r="Z46" s="218" t="s">
        <v>78</v>
      </c>
      <c r="AA46" s="218" t="s">
        <v>90</v>
      </c>
      <c r="AB46" s="218" t="s">
        <v>348</v>
      </c>
    </row>
    <row r="47" spans="1:28" s="87" customFormat="1" x14ac:dyDescent="0.15">
      <c r="A47" s="218" t="s">
        <v>51</v>
      </c>
      <c r="B47" s="218" t="s">
        <v>346</v>
      </c>
      <c r="C47" s="218">
        <v>2018</v>
      </c>
      <c r="D47" s="78" t="s">
        <v>403</v>
      </c>
      <c r="E47" s="218" t="s">
        <v>219</v>
      </c>
      <c r="F47" s="218" t="s">
        <v>207</v>
      </c>
      <c r="G47" s="218" t="s">
        <v>36</v>
      </c>
      <c r="H47" s="218" t="s">
        <v>155</v>
      </c>
      <c r="I47" s="218" t="s">
        <v>153</v>
      </c>
      <c r="J47" s="218" t="s">
        <v>38</v>
      </c>
      <c r="K47" s="218" t="s">
        <v>154</v>
      </c>
      <c r="L47" s="87">
        <v>1</v>
      </c>
      <c r="N47" s="218">
        <v>1</v>
      </c>
      <c r="O47" s="87">
        <v>0.8</v>
      </c>
      <c r="P47" s="87">
        <v>1</v>
      </c>
      <c r="Q47" s="79">
        <f t="shared" si="0"/>
        <v>0.9</v>
      </c>
      <c r="R47" s="87">
        <v>15.3</v>
      </c>
      <c r="S47" s="87">
        <v>160</v>
      </c>
      <c r="T47" s="80">
        <f t="shared" si="1"/>
        <v>18</v>
      </c>
      <c r="U47" s="218">
        <v>178</v>
      </c>
      <c r="V47" s="81">
        <f t="shared" si="2"/>
        <v>3204</v>
      </c>
      <c r="W47" s="218">
        <v>7</v>
      </c>
      <c r="X47" s="218" t="s">
        <v>46</v>
      </c>
      <c r="Y47" s="218" t="s">
        <v>78</v>
      </c>
      <c r="Z47" s="218" t="s">
        <v>102</v>
      </c>
      <c r="AA47" s="218" t="s">
        <v>55</v>
      </c>
      <c r="AB47" s="218" t="s">
        <v>348</v>
      </c>
    </row>
    <row r="48" spans="1:28" s="87" customFormat="1" x14ac:dyDescent="0.15">
      <c r="A48" s="218" t="s">
        <v>51</v>
      </c>
      <c r="B48" s="218" t="s">
        <v>346</v>
      </c>
      <c r="C48" s="218">
        <v>2018</v>
      </c>
      <c r="D48" s="78" t="s">
        <v>403</v>
      </c>
      <c r="E48" s="218" t="s">
        <v>219</v>
      </c>
      <c r="F48" s="218" t="s">
        <v>207</v>
      </c>
      <c r="G48" s="218" t="s">
        <v>36</v>
      </c>
      <c r="H48" s="218" t="s">
        <v>155</v>
      </c>
      <c r="I48" s="218" t="s">
        <v>153</v>
      </c>
      <c r="J48" s="218" t="s">
        <v>38</v>
      </c>
      <c r="K48" s="218" t="s">
        <v>154</v>
      </c>
      <c r="L48" s="87">
        <v>2</v>
      </c>
      <c r="N48" s="218">
        <v>1</v>
      </c>
      <c r="O48" s="87">
        <v>1.05</v>
      </c>
      <c r="P48" s="87">
        <v>0.95</v>
      </c>
      <c r="Q48" s="79">
        <f t="shared" si="0"/>
        <v>1</v>
      </c>
      <c r="R48" s="87">
        <v>14.8</v>
      </c>
      <c r="S48" s="87">
        <v>158</v>
      </c>
      <c r="T48" s="80">
        <f t="shared" si="1"/>
        <v>18</v>
      </c>
      <c r="U48" s="218">
        <v>178</v>
      </c>
      <c r="V48" s="81">
        <f t="shared" si="2"/>
        <v>3204</v>
      </c>
      <c r="W48" s="218">
        <v>7</v>
      </c>
      <c r="X48" s="218" t="s">
        <v>46</v>
      </c>
      <c r="Y48" s="218" t="s">
        <v>78</v>
      </c>
      <c r="Z48" s="218" t="s">
        <v>102</v>
      </c>
      <c r="AA48" s="218" t="s">
        <v>55</v>
      </c>
      <c r="AB48" s="218" t="s">
        <v>348</v>
      </c>
    </row>
    <row r="49" spans="1:28" s="87" customFormat="1" x14ac:dyDescent="0.15">
      <c r="A49" s="218" t="s">
        <v>51</v>
      </c>
      <c r="B49" s="218" t="s">
        <v>346</v>
      </c>
      <c r="C49" s="218">
        <v>2018</v>
      </c>
      <c r="D49" s="78" t="s">
        <v>403</v>
      </c>
      <c r="E49" s="218" t="s">
        <v>219</v>
      </c>
      <c r="F49" s="218" t="s">
        <v>207</v>
      </c>
      <c r="G49" s="218" t="s">
        <v>36</v>
      </c>
      <c r="H49" s="218" t="s">
        <v>155</v>
      </c>
      <c r="I49" s="218" t="s">
        <v>153</v>
      </c>
      <c r="J49" s="218" t="s">
        <v>38</v>
      </c>
      <c r="K49" s="218" t="s">
        <v>154</v>
      </c>
      <c r="L49" s="87">
        <v>3</v>
      </c>
      <c r="N49" s="218">
        <v>1</v>
      </c>
      <c r="O49" s="87">
        <v>0.85</v>
      </c>
      <c r="P49" s="87">
        <v>0.8</v>
      </c>
      <c r="Q49" s="79">
        <f t="shared" si="0"/>
        <v>0.82499999999999996</v>
      </c>
      <c r="R49" s="87">
        <v>15.2</v>
      </c>
      <c r="S49" s="87">
        <v>154</v>
      </c>
      <c r="T49" s="80">
        <f t="shared" si="1"/>
        <v>18</v>
      </c>
      <c r="U49" s="218">
        <v>178</v>
      </c>
      <c r="V49" s="81">
        <f t="shared" si="2"/>
        <v>3204</v>
      </c>
      <c r="W49" s="218">
        <v>7</v>
      </c>
      <c r="X49" s="218" t="s">
        <v>46</v>
      </c>
      <c r="Y49" s="218" t="s">
        <v>78</v>
      </c>
      <c r="Z49" s="218" t="s">
        <v>102</v>
      </c>
      <c r="AA49" s="218" t="s">
        <v>55</v>
      </c>
      <c r="AB49" s="218" t="s">
        <v>348</v>
      </c>
    </row>
    <row r="50" spans="1:28" x14ac:dyDescent="0.15">
      <c r="A50" s="218" t="s">
        <v>51</v>
      </c>
      <c r="B50" s="218" t="s">
        <v>346</v>
      </c>
      <c r="C50" s="218">
        <v>2018</v>
      </c>
      <c r="D50" s="78" t="s">
        <v>403</v>
      </c>
      <c r="E50" s="218" t="s">
        <v>219</v>
      </c>
      <c r="F50" s="218" t="s">
        <v>207</v>
      </c>
      <c r="G50" s="218" t="s">
        <v>36</v>
      </c>
      <c r="H50" s="218" t="s">
        <v>168</v>
      </c>
      <c r="I50" s="218" t="s">
        <v>153</v>
      </c>
      <c r="J50" s="218" t="s">
        <v>38</v>
      </c>
      <c r="K50" s="218" t="s">
        <v>154</v>
      </c>
      <c r="L50" s="70">
        <v>1</v>
      </c>
      <c r="N50" s="218">
        <v>3</v>
      </c>
      <c r="O50" s="70">
        <v>0.85</v>
      </c>
      <c r="P50" s="70">
        <v>0.75</v>
      </c>
      <c r="Q50" s="104">
        <f t="shared" si="0"/>
        <v>0.8</v>
      </c>
      <c r="R50" s="70">
        <v>15.7</v>
      </c>
      <c r="S50" s="70">
        <v>154</v>
      </c>
      <c r="T50" s="104">
        <f t="shared" si="1"/>
        <v>18</v>
      </c>
      <c r="U50" s="218">
        <v>398</v>
      </c>
      <c r="V50" s="104">
        <f t="shared" si="2"/>
        <v>2388</v>
      </c>
      <c r="W50" s="218">
        <v>7</v>
      </c>
      <c r="X50" s="218" t="s">
        <v>46</v>
      </c>
      <c r="Y50" s="218" t="s">
        <v>78</v>
      </c>
      <c r="Z50" s="218" t="s">
        <v>102</v>
      </c>
      <c r="AA50" s="218" t="s">
        <v>55</v>
      </c>
      <c r="AB50" s="218" t="s">
        <v>348</v>
      </c>
    </row>
    <row r="51" spans="1:28" x14ac:dyDescent="0.15">
      <c r="A51" s="218" t="s">
        <v>51</v>
      </c>
      <c r="B51" s="218" t="s">
        <v>346</v>
      </c>
      <c r="C51" s="218">
        <v>2018</v>
      </c>
      <c r="D51" s="78" t="s">
        <v>403</v>
      </c>
      <c r="E51" s="218" t="s">
        <v>219</v>
      </c>
      <c r="F51" s="218" t="s">
        <v>207</v>
      </c>
      <c r="G51" s="218" t="s">
        <v>36</v>
      </c>
      <c r="H51" s="218" t="s">
        <v>168</v>
      </c>
      <c r="I51" s="218" t="s">
        <v>153</v>
      </c>
      <c r="J51" s="218" t="s">
        <v>38</v>
      </c>
      <c r="K51" s="218" t="s">
        <v>154</v>
      </c>
      <c r="L51" s="70">
        <v>2</v>
      </c>
      <c r="N51" s="218">
        <v>3</v>
      </c>
      <c r="O51" s="87">
        <v>0.8</v>
      </c>
      <c r="P51" s="70">
        <v>0.8</v>
      </c>
      <c r="Q51" s="104">
        <f t="shared" si="0"/>
        <v>0.8</v>
      </c>
      <c r="R51" s="70">
        <v>16.100000000000001</v>
      </c>
      <c r="S51" s="70">
        <v>156</v>
      </c>
      <c r="T51" s="104">
        <f t="shared" si="1"/>
        <v>18</v>
      </c>
      <c r="U51" s="218">
        <v>398</v>
      </c>
      <c r="V51" s="104">
        <f t="shared" si="2"/>
        <v>2388</v>
      </c>
      <c r="W51" s="218">
        <v>7</v>
      </c>
      <c r="X51" s="218" t="s">
        <v>46</v>
      </c>
      <c r="Y51" s="218" t="s">
        <v>78</v>
      </c>
      <c r="Z51" s="218" t="s">
        <v>102</v>
      </c>
      <c r="AA51" s="218" t="s">
        <v>55</v>
      </c>
      <c r="AB51" s="218" t="s">
        <v>348</v>
      </c>
    </row>
    <row r="52" spans="1:28" x14ac:dyDescent="0.15">
      <c r="A52" s="218" t="s">
        <v>51</v>
      </c>
      <c r="B52" s="218" t="s">
        <v>346</v>
      </c>
      <c r="C52" s="218">
        <v>2018</v>
      </c>
      <c r="D52" s="78" t="s">
        <v>403</v>
      </c>
      <c r="E52" s="218" t="s">
        <v>219</v>
      </c>
      <c r="F52" s="218" t="s">
        <v>207</v>
      </c>
      <c r="G52" s="218" t="s">
        <v>36</v>
      </c>
      <c r="H52" s="218" t="s">
        <v>168</v>
      </c>
      <c r="I52" s="218" t="s">
        <v>153</v>
      </c>
      <c r="J52" s="218" t="s">
        <v>38</v>
      </c>
      <c r="K52" s="218" t="s">
        <v>154</v>
      </c>
      <c r="L52" s="70">
        <v>3</v>
      </c>
      <c r="N52" s="218">
        <v>3</v>
      </c>
      <c r="O52" s="70">
        <v>0.85</v>
      </c>
      <c r="P52" s="70">
        <v>0.9</v>
      </c>
      <c r="Q52" s="104">
        <f t="shared" si="0"/>
        <v>0.875</v>
      </c>
      <c r="R52" s="70">
        <v>17.600000000000001</v>
      </c>
      <c r="S52" s="70">
        <v>172</v>
      </c>
      <c r="T52" s="104">
        <f t="shared" si="1"/>
        <v>18</v>
      </c>
      <c r="U52" s="218">
        <v>398</v>
      </c>
      <c r="V52" s="104">
        <f t="shared" si="2"/>
        <v>2388</v>
      </c>
      <c r="W52" s="218">
        <v>7</v>
      </c>
      <c r="X52" s="218" t="s">
        <v>46</v>
      </c>
      <c r="Y52" s="218" t="s">
        <v>78</v>
      </c>
      <c r="Z52" s="218" t="s">
        <v>102</v>
      </c>
      <c r="AA52" s="218" t="s">
        <v>55</v>
      </c>
      <c r="AB52" s="218" t="s">
        <v>348</v>
      </c>
    </row>
    <row r="53" spans="1:28" x14ac:dyDescent="0.15">
      <c r="A53" s="218" t="s">
        <v>51</v>
      </c>
      <c r="B53" s="218" t="s">
        <v>346</v>
      </c>
      <c r="C53" s="218">
        <v>2018</v>
      </c>
      <c r="D53" s="78" t="s">
        <v>403</v>
      </c>
      <c r="E53" s="218" t="s">
        <v>227</v>
      </c>
      <c r="F53" s="218" t="s">
        <v>228</v>
      </c>
      <c r="G53" s="218" t="s">
        <v>36</v>
      </c>
      <c r="H53" s="218" t="s">
        <v>155</v>
      </c>
      <c r="I53" s="218" t="s">
        <v>153</v>
      </c>
      <c r="J53" s="218" t="s">
        <v>38</v>
      </c>
      <c r="K53" s="218" t="s">
        <v>154</v>
      </c>
      <c r="L53" s="70">
        <v>1</v>
      </c>
      <c r="N53" s="102">
        <v>1</v>
      </c>
      <c r="O53" s="70">
        <v>0.8</v>
      </c>
      <c r="P53" s="70">
        <v>0.9</v>
      </c>
      <c r="Q53" s="104">
        <f t="shared" si="0"/>
        <v>0.85000000000000009</v>
      </c>
      <c r="R53" s="70">
        <v>16.399999999999999</v>
      </c>
      <c r="S53" s="70">
        <v>168</v>
      </c>
      <c r="T53" s="104">
        <f t="shared" si="1"/>
        <v>18</v>
      </c>
      <c r="U53" s="218">
        <v>128</v>
      </c>
      <c r="V53" s="104">
        <f t="shared" si="2"/>
        <v>2304</v>
      </c>
      <c r="W53" s="218">
        <v>5</v>
      </c>
      <c r="X53" s="218" t="s">
        <v>39</v>
      </c>
      <c r="Y53" s="218" t="s">
        <v>78</v>
      </c>
      <c r="Z53" s="218" t="s">
        <v>102</v>
      </c>
      <c r="AA53" s="218" t="s">
        <v>69</v>
      </c>
      <c r="AB53" s="218" t="s">
        <v>348</v>
      </c>
    </row>
    <row r="54" spans="1:28" x14ac:dyDescent="0.15">
      <c r="A54" s="218" t="s">
        <v>51</v>
      </c>
      <c r="B54" s="218" t="s">
        <v>346</v>
      </c>
      <c r="C54" s="218">
        <v>2018</v>
      </c>
      <c r="D54" s="78" t="s">
        <v>403</v>
      </c>
      <c r="E54" s="218" t="s">
        <v>227</v>
      </c>
      <c r="F54" s="218" t="s">
        <v>228</v>
      </c>
      <c r="G54" s="218" t="s">
        <v>36</v>
      </c>
      <c r="H54" s="218" t="s">
        <v>155</v>
      </c>
      <c r="I54" s="218" t="s">
        <v>153</v>
      </c>
      <c r="J54" s="218" t="s">
        <v>38</v>
      </c>
      <c r="K54" s="218" t="s">
        <v>154</v>
      </c>
      <c r="L54" s="70">
        <v>2</v>
      </c>
      <c r="N54" s="102">
        <v>1</v>
      </c>
      <c r="O54" s="70">
        <v>0.85</v>
      </c>
      <c r="P54" s="70">
        <v>0.8</v>
      </c>
      <c r="Q54" s="104">
        <f t="shared" si="0"/>
        <v>0.82499999999999996</v>
      </c>
      <c r="R54" s="70">
        <v>15.5</v>
      </c>
      <c r="S54" s="70">
        <v>152</v>
      </c>
      <c r="T54" s="104">
        <f t="shared" si="1"/>
        <v>18</v>
      </c>
      <c r="U54" s="218">
        <v>128</v>
      </c>
      <c r="V54" s="104">
        <f t="shared" si="2"/>
        <v>2304</v>
      </c>
      <c r="W54" s="218">
        <v>5</v>
      </c>
      <c r="X54" s="218" t="s">
        <v>39</v>
      </c>
      <c r="Y54" s="218" t="s">
        <v>78</v>
      </c>
      <c r="Z54" s="218" t="s">
        <v>102</v>
      </c>
      <c r="AA54" s="218" t="s">
        <v>69</v>
      </c>
      <c r="AB54" s="218" t="s">
        <v>348</v>
      </c>
    </row>
    <row r="55" spans="1:28" x14ac:dyDescent="0.15">
      <c r="A55" s="218" t="s">
        <v>51</v>
      </c>
      <c r="B55" s="218" t="s">
        <v>346</v>
      </c>
      <c r="C55" s="218">
        <v>2018</v>
      </c>
      <c r="D55" s="78" t="s">
        <v>403</v>
      </c>
      <c r="E55" s="218" t="s">
        <v>227</v>
      </c>
      <c r="F55" s="218" t="s">
        <v>228</v>
      </c>
      <c r="G55" s="218" t="s">
        <v>36</v>
      </c>
      <c r="H55" s="218" t="s">
        <v>155</v>
      </c>
      <c r="I55" s="218" t="s">
        <v>153</v>
      </c>
      <c r="J55" s="218" t="s">
        <v>38</v>
      </c>
      <c r="K55" s="218" t="s">
        <v>154</v>
      </c>
      <c r="L55" s="70">
        <v>3</v>
      </c>
      <c r="N55" s="102">
        <v>1</v>
      </c>
      <c r="O55" s="70">
        <v>0.9</v>
      </c>
      <c r="P55" s="70">
        <v>0.9</v>
      </c>
      <c r="Q55" s="104">
        <f t="shared" si="0"/>
        <v>0.9</v>
      </c>
      <c r="R55" s="70">
        <v>15.8</v>
      </c>
      <c r="S55" s="70">
        <v>162</v>
      </c>
      <c r="T55" s="104">
        <f t="shared" si="1"/>
        <v>18</v>
      </c>
      <c r="U55" s="218">
        <v>128</v>
      </c>
      <c r="V55" s="104">
        <f t="shared" si="2"/>
        <v>2304</v>
      </c>
      <c r="W55" s="218">
        <v>5</v>
      </c>
      <c r="X55" s="218" t="s">
        <v>39</v>
      </c>
      <c r="Y55" s="218" t="s">
        <v>78</v>
      </c>
      <c r="Z55" s="218" t="s">
        <v>102</v>
      </c>
      <c r="AA55" s="218" t="s">
        <v>69</v>
      </c>
      <c r="AB55" s="218" t="s">
        <v>348</v>
      </c>
    </row>
    <row r="56" spans="1:28" x14ac:dyDescent="0.15">
      <c r="A56" s="218" t="s">
        <v>51</v>
      </c>
      <c r="B56" s="218" t="s">
        <v>346</v>
      </c>
      <c r="C56" s="218">
        <v>2018</v>
      </c>
      <c r="D56" s="78" t="s">
        <v>403</v>
      </c>
      <c r="E56" s="218" t="s">
        <v>227</v>
      </c>
      <c r="F56" s="218" t="s">
        <v>228</v>
      </c>
      <c r="G56" s="218" t="s">
        <v>36</v>
      </c>
      <c r="H56" s="218" t="s">
        <v>168</v>
      </c>
      <c r="I56" s="218" t="s">
        <v>153</v>
      </c>
      <c r="J56" s="218" t="s">
        <v>38</v>
      </c>
      <c r="K56" s="218" t="s">
        <v>154</v>
      </c>
      <c r="L56" s="70">
        <v>1</v>
      </c>
      <c r="N56" s="102">
        <v>1</v>
      </c>
      <c r="O56" s="70">
        <v>0.8</v>
      </c>
      <c r="P56" s="70">
        <v>0.85</v>
      </c>
      <c r="Q56" s="104">
        <f t="shared" si="0"/>
        <v>0.82499999999999996</v>
      </c>
      <c r="R56" s="70">
        <v>17.3</v>
      </c>
      <c r="S56" s="70">
        <v>170</v>
      </c>
      <c r="T56" s="104">
        <f t="shared" si="1"/>
        <v>18</v>
      </c>
      <c r="U56" s="218">
        <v>128</v>
      </c>
      <c r="V56" s="104">
        <f t="shared" si="2"/>
        <v>2304</v>
      </c>
      <c r="W56" s="218">
        <v>5</v>
      </c>
      <c r="X56" s="218" t="s">
        <v>39</v>
      </c>
      <c r="Y56" s="218" t="s">
        <v>78</v>
      </c>
      <c r="Z56" s="218" t="s">
        <v>102</v>
      </c>
      <c r="AA56" s="218" t="s">
        <v>69</v>
      </c>
      <c r="AB56" s="218" t="s">
        <v>348</v>
      </c>
    </row>
    <row r="57" spans="1:28" x14ac:dyDescent="0.15">
      <c r="A57" s="218" t="s">
        <v>51</v>
      </c>
      <c r="B57" s="218" t="s">
        <v>346</v>
      </c>
      <c r="C57" s="218">
        <v>2018</v>
      </c>
      <c r="D57" s="78" t="s">
        <v>403</v>
      </c>
      <c r="E57" s="218" t="s">
        <v>227</v>
      </c>
      <c r="F57" s="218" t="s">
        <v>228</v>
      </c>
      <c r="G57" s="218" t="s">
        <v>36</v>
      </c>
      <c r="H57" s="218" t="s">
        <v>168</v>
      </c>
      <c r="I57" s="218" t="s">
        <v>153</v>
      </c>
      <c r="J57" s="218" t="s">
        <v>38</v>
      </c>
      <c r="K57" s="218" t="s">
        <v>154</v>
      </c>
      <c r="L57" s="70">
        <v>2</v>
      </c>
      <c r="N57" s="102">
        <v>1</v>
      </c>
      <c r="O57" s="70">
        <v>0.75</v>
      </c>
      <c r="P57" s="70">
        <v>0.7</v>
      </c>
      <c r="Q57" s="104">
        <f t="shared" si="0"/>
        <v>0.72499999999999998</v>
      </c>
      <c r="R57" s="70">
        <v>16.100000000000001</v>
      </c>
      <c r="S57" s="70">
        <v>156</v>
      </c>
      <c r="T57" s="104">
        <f t="shared" si="1"/>
        <v>18</v>
      </c>
      <c r="U57" s="218">
        <v>128</v>
      </c>
      <c r="V57" s="104">
        <f t="shared" si="2"/>
        <v>2304</v>
      </c>
      <c r="W57" s="218">
        <v>5</v>
      </c>
      <c r="X57" s="218" t="s">
        <v>39</v>
      </c>
      <c r="Y57" s="218" t="s">
        <v>78</v>
      </c>
      <c r="Z57" s="218" t="s">
        <v>102</v>
      </c>
      <c r="AA57" s="218" t="s">
        <v>69</v>
      </c>
      <c r="AB57" s="218" t="s">
        <v>348</v>
      </c>
    </row>
    <row r="58" spans="1:28" x14ac:dyDescent="0.15">
      <c r="A58" s="218" t="s">
        <v>51</v>
      </c>
      <c r="B58" s="218" t="s">
        <v>346</v>
      </c>
      <c r="C58" s="218">
        <v>2018</v>
      </c>
      <c r="D58" s="78" t="s">
        <v>403</v>
      </c>
      <c r="E58" s="218" t="s">
        <v>227</v>
      </c>
      <c r="F58" s="218" t="s">
        <v>228</v>
      </c>
      <c r="G58" s="218" t="s">
        <v>36</v>
      </c>
      <c r="H58" s="218" t="s">
        <v>168</v>
      </c>
      <c r="I58" s="218" t="s">
        <v>153</v>
      </c>
      <c r="J58" s="218" t="s">
        <v>38</v>
      </c>
      <c r="K58" s="218" t="s">
        <v>154</v>
      </c>
      <c r="L58" s="70">
        <v>3</v>
      </c>
      <c r="N58" s="102">
        <v>1</v>
      </c>
      <c r="O58" s="70">
        <v>0.85</v>
      </c>
      <c r="P58" s="70">
        <v>0.9</v>
      </c>
      <c r="Q58" s="104">
        <f t="shared" si="0"/>
        <v>0.875</v>
      </c>
      <c r="R58" s="87">
        <v>16.899999999999999</v>
      </c>
      <c r="S58" s="70">
        <v>172</v>
      </c>
      <c r="T58" s="104">
        <f t="shared" si="1"/>
        <v>18</v>
      </c>
      <c r="U58" s="218">
        <v>128</v>
      </c>
      <c r="V58" s="104">
        <f t="shared" si="2"/>
        <v>2304</v>
      </c>
      <c r="W58" s="218">
        <v>5</v>
      </c>
      <c r="X58" s="218" t="s">
        <v>39</v>
      </c>
      <c r="Y58" s="218" t="s">
        <v>78</v>
      </c>
      <c r="Z58" s="218" t="s">
        <v>102</v>
      </c>
      <c r="AA58" s="218" t="s">
        <v>69</v>
      </c>
      <c r="AB58" s="218" t="s">
        <v>348</v>
      </c>
    </row>
    <row r="59" spans="1:28" x14ac:dyDescent="0.15">
      <c r="A59" s="218" t="s">
        <v>51</v>
      </c>
      <c r="B59" s="218" t="s">
        <v>346</v>
      </c>
      <c r="C59" s="218">
        <v>2018</v>
      </c>
      <c r="D59" s="78" t="s">
        <v>403</v>
      </c>
      <c r="E59" s="218" t="s">
        <v>230</v>
      </c>
      <c r="F59" s="218" t="s">
        <v>207</v>
      </c>
      <c r="G59" s="218" t="s">
        <v>42</v>
      </c>
      <c r="H59" s="218" t="s">
        <v>155</v>
      </c>
      <c r="I59" s="218" t="s">
        <v>153</v>
      </c>
      <c r="J59" s="218" t="s">
        <v>38</v>
      </c>
      <c r="K59" s="218" t="s">
        <v>154</v>
      </c>
      <c r="L59" s="70">
        <v>1</v>
      </c>
      <c r="N59" s="102">
        <v>1</v>
      </c>
      <c r="O59" s="70">
        <v>0.9</v>
      </c>
      <c r="P59" s="70">
        <v>0.75</v>
      </c>
      <c r="Q59" s="104">
        <f t="shared" si="0"/>
        <v>0.82499999999999996</v>
      </c>
      <c r="R59" s="70">
        <v>13.3</v>
      </c>
      <c r="S59" s="70">
        <v>112</v>
      </c>
      <c r="T59" s="104">
        <f t="shared" si="1"/>
        <v>33</v>
      </c>
      <c r="U59" s="218">
        <v>98</v>
      </c>
      <c r="V59" s="104">
        <f t="shared" si="2"/>
        <v>3234</v>
      </c>
      <c r="W59" s="102">
        <v>6</v>
      </c>
      <c r="X59" s="218" t="s">
        <v>46</v>
      </c>
      <c r="Y59" s="218" t="s">
        <v>69</v>
      </c>
      <c r="Z59" s="218" t="s">
        <v>90</v>
      </c>
      <c r="AA59" s="218" t="s">
        <v>78</v>
      </c>
      <c r="AB59" s="218" t="s">
        <v>348</v>
      </c>
    </row>
    <row r="60" spans="1:28" x14ac:dyDescent="0.15">
      <c r="A60" s="218" t="s">
        <v>51</v>
      </c>
      <c r="B60" s="218" t="s">
        <v>346</v>
      </c>
      <c r="C60" s="218">
        <v>2018</v>
      </c>
      <c r="D60" s="78" t="s">
        <v>403</v>
      </c>
      <c r="E60" s="218" t="s">
        <v>230</v>
      </c>
      <c r="F60" s="218" t="s">
        <v>207</v>
      </c>
      <c r="G60" s="218" t="s">
        <v>42</v>
      </c>
      <c r="H60" s="218" t="s">
        <v>155</v>
      </c>
      <c r="I60" s="218" t="s">
        <v>153</v>
      </c>
      <c r="J60" s="218" t="s">
        <v>38</v>
      </c>
      <c r="K60" s="218" t="s">
        <v>154</v>
      </c>
      <c r="L60" s="70">
        <v>2</v>
      </c>
      <c r="N60" s="102">
        <v>1</v>
      </c>
      <c r="O60" s="70">
        <v>0.85</v>
      </c>
      <c r="P60" s="70">
        <v>0.8</v>
      </c>
      <c r="Q60" s="104">
        <f t="shared" si="0"/>
        <v>0.82499999999999996</v>
      </c>
      <c r="R60" s="70">
        <v>12.8</v>
      </c>
      <c r="S60" s="70">
        <v>108</v>
      </c>
      <c r="T60" s="104">
        <f t="shared" si="1"/>
        <v>33</v>
      </c>
      <c r="U60" s="218">
        <v>98</v>
      </c>
      <c r="V60" s="104">
        <f t="shared" si="2"/>
        <v>3234</v>
      </c>
      <c r="W60" s="102">
        <v>6</v>
      </c>
      <c r="X60" s="218" t="s">
        <v>46</v>
      </c>
      <c r="Y60" s="218" t="s">
        <v>69</v>
      </c>
      <c r="Z60" s="218" t="s">
        <v>90</v>
      </c>
      <c r="AA60" s="218" t="s">
        <v>78</v>
      </c>
      <c r="AB60" s="218" t="s">
        <v>348</v>
      </c>
    </row>
    <row r="61" spans="1:28" x14ac:dyDescent="0.15">
      <c r="A61" s="218" t="s">
        <v>51</v>
      </c>
      <c r="B61" s="218" t="s">
        <v>346</v>
      </c>
      <c r="C61" s="218">
        <v>2018</v>
      </c>
      <c r="D61" s="78" t="s">
        <v>403</v>
      </c>
      <c r="E61" s="218" t="s">
        <v>230</v>
      </c>
      <c r="F61" s="218" t="s">
        <v>207</v>
      </c>
      <c r="G61" s="218" t="s">
        <v>42</v>
      </c>
      <c r="H61" s="218" t="s">
        <v>155</v>
      </c>
      <c r="I61" s="218" t="s">
        <v>153</v>
      </c>
      <c r="J61" s="218" t="s">
        <v>38</v>
      </c>
      <c r="K61" s="218" t="s">
        <v>154</v>
      </c>
      <c r="L61" s="70">
        <v>3</v>
      </c>
      <c r="N61" s="102">
        <v>1</v>
      </c>
      <c r="O61" s="70">
        <v>0.8</v>
      </c>
      <c r="P61" s="70">
        <v>0.9</v>
      </c>
      <c r="Q61" s="104">
        <f t="shared" si="0"/>
        <v>0.85000000000000009</v>
      </c>
      <c r="R61" s="70">
        <v>13.5</v>
      </c>
      <c r="S61" s="70">
        <v>110</v>
      </c>
      <c r="T61" s="104">
        <f t="shared" si="1"/>
        <v>33</v>
      </c>
      <c r="U61" s="218">
        <v>98</v>
      </c>
      <c r="V61" s="104">
        <f t="shared" si="2"/>
        <v>3234</v>
      </c>
      <c r="W61" s="102">
        <v>6</v>
      </c>
      <c r="X61" s="218" t="s">
        <v>46</v>
      </c>
      <c r="Y61" s="218" t="s">
        <v>69</v>
      </c>
      <c r="Z61" s="218" t="s">
        <v>90</v>
      </c>
      <c r="AA61" s="218" t="s">
        <v>78</v>
      </c>
      <c r="AB61" s="218" t="s">
        <v>348</v>
      </c>
    </row>
    <row r="62" spans="1:28" x14ac:dyDescent="0.15">
      <c r="A62" s="218" t="s">
        <v>51</v>
      </c>
      <c r="B62" s="218" t="s">
        <v>346</v>
      </c>
      <c r="C62" s="218">
        <v>2018</v>
      </c>
      <c r="D62" s="78" t="s">
        <v>403</v>
      </c>
      <c r="E62" s="218" t="s">
        <v>230</v>
      </c>
      <c r="F62" s="218" t="s">
        <v>207</v>
      </c>
      <c r="G62" s="218" t="s">
        <v>42</v>
      </c>
      <c r="H62" s="218" t="s">
        <v>155</v>
      </c>
      <c r="I62" s="218" t="s">
        <v>156</v>
      </c>
      <c r="J62" s="218" t="s">
        <v>38</v>
      </c>
      <c r="K62" s="218" t="s">
        <v>154</v>
      </c>
      <c r="L62" s="70">
        <v>1</v>
      </c>
      <c r="N62" s="102">
        <v>1</v>
      </c>
      <c r="O62" s="70">
        <v>0.95</v>
      </c>
      <c r="P62" s="70">
        <v>0.75</v>
      </c>
      <c r="Q62" s="104">
        <f t="shared" si="0"/>
        <v>0.85</v>
      </c>
      <c r="R62" s="70">
        <v>12.2</v>
      </c>
      <c r="S62" s="70">
        <v>124</v>
      </c>
      <c r="T62" s="104">
        <f t="shared" si="1"/>
        <v>27</v>
      </c>
      <c r="U62" s="218">
        <v>98</v>
      </c>
      <c r="V62" s="104">
        <f t="shared" si="2"/>
        <v>2646</v>
      </c>
      <c r="W62" s="102">
        <v>6</v>
      </c>
      <c r="X62" s="218" t="s">
        <v>46</v>
      </c>
      <c r="Y62" s="218" t="s">
        <v>69</v>
      </c>
      <c r="Z62" s="218" t="s">
        <v>90</v>
      </c>
      <c r="AA62" s="218" t="s">
        <v>78</v>
      </c>
      <c r="AB62" s="218" t="s">
        <v>348</v>
      </c>
    </row>
    <row r="63" spans="1:28" x14ac:dyDescent="0.15">
      <c r="A63" s="218" t="s">
        <v>51</v>
      </c>
      <c r="B63" s="218" t="s">
        <v>346</v>
      </c>
      <c r="C63" s="218">
        <v>2018</v>
      </c>
      <c r="D63" s="78" t="s">
        <v>403</v>
      </c>
      <c r="E63" s="218" t="s">
        <v>230</v>
      </c>
      <c r="F63" s="218" t="s">
        <v>207</v>
      </c>
      <c r="G63" s="218" t="s">
        <v>42</v>
      </c>
      <c r="H63" s="218" t="s">
        <v>155</v>
      </c>
      <c r="I63" s="218" t="s">
        <v>156</v>
      </c>
      <c r="J63" s="218" t="s">
        <v>38</v>
      </c>
      <c r="K63" s="218" t="s">
        <v>154</v>
      </c>
      <c r="L63" s="70">
        <v>2</v>
      </c>
      <c r="N63" s="102">
        <v>1</v>
      </c>
      <c r="O63" s="70">
        <v>0.9</v>
      </c>
      <c r="P63" s="70">
        <v>0.8</v>
      </c>
      <c r="Q63" s="104">
        <f t="shared" si="0"/>
        <v>0.85000000000000009</v>
      </c>
      <c r="R63" s="70">
        <v>13.1</v>
      </c>
      <c r="S63" s="70">
        <v>124</v>
      </c>
      <c r="T63" s="104">
        <f t="shared" si="1"/>
        <v>27</v>
      </c>
      <c r="U63" s="218">
        <v>98</v>
      </c>
      <c r="V63" s="104">
        <f t="shared" si="2"/>
        <v>2646</v>
      </c>
      <c r="W63" s="102">
        <v>6</v>
      </c>
      <c r="X63" s="218" t="s">
        <v>46</v>
      </c>
      <c r="Y63" s="218" t="s">
        <v>69</v>
      </c>
      <c r="Z63" s="218" t="s">
        <v>90</v>
      </c>
      <c r="AA63" s="218" t="s">
        <v>78</v>
      </c>
      <c r="AB63" s="218" t="s">
        <v>348</v>
      </c>
    </row>
    <row r="64" spans="1:28" x14ac:dyDescent="0.15">
      <c r="A64" s="218" t="s">
        <v>51</v>
      </c>
      <c r="B64" s="218" t="s">
        <v>346</v>
      </c>
      <c r="C64" s="218">
        <v>2018</v>
      </c>
      <c r="D64" s="78" t="s">
        <v>403</v>
      </c>
      <c r="E64" s="218" t="s">
        <v>230</v>
      </c>
      <c r="F64" s="218" t="s">
        <v>207</v>
      </c>
      <c r="G64" s="218" t="s">
        <v>42</v>
      </c>
      <c r="H64" s="218" t="s">
        <v>155</v>
      </c>
      <c r="I64" s="218" t="s">
        <v>156</v>
      </c>
      <c r="J64" s="218" t="s">
        <v>38</v>
      </c>
      <c r="K64" s="218" t="s">
        <v>154</v>
      </c>
      <c r="L64" s="70">
        <v>3</v>
      </c>
      <c r="N64" s="102">
        <v>1</v>
      </c>
      <c r="O64" s="70">
        <v>0.8</v>
      </c>
      <c r="P64" s="70">
        <v>0.85</v>
      </c>
      <c r="Q64" s="104">
        <f t="shared" si="0"/>
        <v>0.82499999999999996</v>
      </c>
      <c r="R64" s="70">
        <v>12.6</v>
      </c>
      <c r="S64" s="70">
        <v>122</v>
      </c>
      <c r="T64" s="104">
        <f t="shared" si="1"/>
        <v>27</v>
      </c>
      <c r="U64" s="218">
        <v>98</v>
      </c>
      <c r="V64" s="104">
        <f t="shared" si="2"/>
        <v>2646</v>
      </c>
      <c r="W64" s="102">
        <v>6</v>
      </c>
      <c r="X64" s="218" t="s">
        <v>46</v>
      </c>
      <c r="Y64" s="218" t="s">
        <v>69</v>
      </c>
      <c r="Z64" s="218" t="s">
        <v>90</v>
      </c>
      <c r="AA64" s="218" t="s">
        <v>78</v>
      </c>
      <c r="AB64" s="218" t="s">
        <v>348</v>
      </c>
    </row>
    <row r="65" spans="1:28" x14ac:dyDescent="0.15">
      <c r="A65" s="218" t="s">
        <v>51</v>
      </c>
      <c r="B65" s="218" t="s">
        <v>346</v>
      </c>
      <c r="C65" s="218">
        <v>2018</v>
      </c>
      <c r="D65" s="78" t="s">
        <v>403</v>
      </c>
      <c r="E65" s="218" t="s">
        <v>230</v>
      </c>
      <c r="F65" s="218" t="s">
        <v>207</v>
      </c>
      <c r="G65" s="218" t="s">
        <v>42</v>
      </c>
      <c r="H65" s="218" t="s">
        <v>168</v>
      </c>
      <c r="I65" s="218" t="s">
        <v>153</v>
      </c>
      <c r="J65" s="218" t="s">
        <v>38</v>
      </c>
      <c r="K65" s="218" t="s">
        <v>154</v>
      </c>
      <c r="L65" s="70">
        <v>1</v>
      </c>
      <c r="N65" s="102">
        <v>1</v>
      </c>
      <c r="O65" s="70">
        <v>0.75</v>
      </c>
      <c r="P65" s="70">
        <v>0.7</v>
      </c>
      <c r="Q65" s="104">
        <f t="shared" si="0"/>
        <v>0.72499999999999998</v>
      </c>
      <c r="R65" s="70">
        <v>14.7</v>
      </c>
      <c r="S65" s="70">
        <v>140</v>
      </c>
      <c r="T65" s="104">
        <f t="shared" si="1"/>
        <v>22</v>
      </c>
      <c r="U65" s="218">
        <v>128</v>
      </c>
      <c r="V65" s="104">
        <f t="shared" si="2"/>
        <v>2816</v>
      </c>
      <c r="W65" s="102">
        <v>6</v>
      </c>
      <c r="X65" s="218" t="s">
        <v>46</v>
      </c>
      <c r="Y65" s="218" t="s">
        <v>69</v>
      </c>
      <c r="Z65" s="218" t="s">
        <v>90</v>
      </c>
      <c r="AA65" s="218" t="s">
        <v>78</v>
      </c>
      <c r="AB65" s="218" t="s">
        <v>348</v>
      </c>
    </row>
    <row r="66" spans="1:28" x14ac:dyDescent="0.15">
      <c r="A66" s="218" t="s">
        <v>51</v>
      </c>
      <c r="B66" s="218" t="s">
        <v>346</v>
      </c>
      <c r="C66" s="218">
        <v>2018</v>
      </c>
      <c r="D66" s="78" t="s">
        <v>403</v>
      </c>
      <c r="E66" s="218" t="s">
        <v>230</v>
      </c>
      <c r="F66" s="218" t="s">
        <v>207</v>
      </c>
      <c r="G66" s="218" t="s">
        <v>42</v>
      </c>
      <c r="H66" s="218" t="s">
        <v>168</v>
      </c>
      <c r="I66" s="218" t="s">
        <v>153</v>
      </c>
      <c r="J66" s="218" t="s">
        <v>38</v>
      </c>
      <c r="K66" s="218" t="s">
        <v>154</v>
      </c>
      <c r="L66" s="70">
        <v>2</v>
      </c>
      <c r="N66" s="102">
        <v>1</v>
      </c>
      <c r="O66" s="70">
        <v>0.8</v>
      </c>
      <c r="P66" s="70">
        <v>0.8</v>
      </c>
      <c r="Q66" s="104">
        <f t="shared" ref="Q66:Q80" si="3">IF(OR(O66="",P66=""),"",AVERAGE(O66,P66))</f>
        <v>0.8</v>
      </c>
      <c r="R66" s="70">
        <v>15</v>
      </c>
      <c r="S66" s="70">
        <v>140</v>
      </c>
      <c r="T66" s="104">
        <f t="shared" ref="T66:T80" si="4">IF(H66="","",IF(OR(H66="GREEN",H66="GK"),IF(S66&gt;=$AX$2,VLOOKUP(S66,$AX$2:$AY$12,2,1),""),IF(S66&gt;=$AZ$2,VLOOKUP(S66,$AZ$2:$BA$12,2,1),"")))</f>
        <v>22</v>
      </c>
      <c r="U66" s="218">
        <v>128</v>
      </c>
      <c r="V66" s="104">
        <f t="shared" ref="V66:V80" si="5">IF(OR(N66="",U66="",T66=""),"",U66/N66*T66)</f>
        <v>2816</v>
      </c>
      <c r="W66" s="102">
        <v>6</v>
      </c>
      <c r="X66" s="218" t="s">
        <v>46</v>
      </c>
      <c r="Y66" s="218" t="s">
        <v>69</v>
      </c>
      <c r="Z66" s="218" t="s">
        <v>90</v>
      </c>
      <c r="AA66" s="218" t="s">
        <v>78</v>
      </c>
      <c r="AB66" s="218" t="s">
        <v>348</v>
      </c>
    </row>
    <row r="67" spans="1:28" x14ac:dyDescent="0.15">
      <c r="A67" s="218" t="s">
        <v>51</v>
      </c>
      <c r="B67" s="218" t="s">
        <v>346</v>
      </c>
      <c r="C67" s="218">
        <v>2018</v>
      </c>
      <c r="D67" s="78" t="s">
        <v>403</v>
      </c>
      <c r="E67" s="218" t="s">
        <v>230</v>
      </c>
      <c r="F67" s="218" t="s">
        <v>207</v>
      </c>
      <c r="G67" s="218" t="s">
        <v>42</v>
      </c>
      <c r="H67" s="218" t="s">
        <v>168</v>
      </c>
      <c r="I67" s="218" t="s">
        <v>153</v>
      </c>
      <c r="J67" s="218" t="s">
        <v>38</v>
      </c>
      <c r="K67" s="218" t="s">
        <v>154</v>
      </c>
      <c r="L67" s="70">
        <v>3</v>
      </c>
      <c r="N67" s="102">
        <v>1</v>
      </c>
      <c r="O67" s="70">
        <v>0.85</v>
      </c>
      <c r="P67" s="70">
        <v>0.7</v>
      </c>
      <c r="Q67" s="104">
        <f t="shared" si="3"/>
        <v>0.77499999999999991</v>
      </c>
      <c r="R67" s="70">
        <v>16.2</v>
      </c>
      <c r="S67" s="70">
        <v>146</v>
      </c>
      <c r="T67" s="104">
        <f t="shared" si="4"/>
        <v>22</v>
      </c>
      <c r="U67" s="218">
        <v>128</v>
      </c>
      <c r="V67" s="104">
        <f t="shared" si="5"/>
        <v>2816</v>
      </c>
      <c r="W67" s="102">
        <v>6</v>
      </c>
      <c r="X67" s="218" t="s">
        <v>46</v>
      </c>
      <c r="Y67" s="218" t="s">
        <v>69</v>
      </c>
      <c r="Z67" s="218" t="s">
        <v>90</v>
      </c>
      <c r="AA67" s="218" t="s">
        <v>78</v>
      </c>
      <c r="AB67" s="218" t="s">
        <v>348</v>
      </c>
    </row>
    <row r="68" spans="1:28" x14ac:dyDescent="0.15">
      <c r="A68" s="218"/>
      <c r="B68" s="218"/>
      <c r="C68" s="102"/>
      <c r="D68" s="103"/>
      <c r="E68" s="218"/>
      <c r="F68" s="218"/>
      <c r="G68" s="102"/>
      <c r="H68" s="102"/>
      <c r="I68" s="102"/>
      <c r="J68" s="102"/>
      <c r="K68" s="218"/>
      <c r="N68" s="102"/>
      <c r="W68" s="102"/>
      <c r="X68" s="102"/>
      <c r="Y68" s="102"/>
      <c r="Z68" s="102"/>
      <c r="AA68" s="102"/>
      <c r="AB68" s="218"/>
    </row>
    <row r="69" spans="1:28" x14ac:dyDescent="0.15">
      <c r="A69" s="218"/>
      <c r="B69" s="218"/>
      <c r="C69" s="102"/>
      <c r="D69" s="103"/>
      <c r="E69" s="218"/>
      <c r="F69" s="218"/>
      <c r="G69" s="102"/>
      <c r="H69" s="102"/>
      <c r="I69" s="102"/>
      <c r="J69" s="102"/>
      <c r="K69" s="102"/>
      <c r="N69" s="102"/>
      <c r="W69" s="102"/>
      <c r="X69" s="102"/>
      <c r="Y69" s="102"/>
      <c r="Z69" s="102"/>
      <c r="AA69" s="102"/>
      <c r="AB69" s="218"/>
    </row>
    <row r="70" spans="1:28" x14ac:dyDescent="0.15">
      <c r="A70" s="218"/>
      <c r="B70" s="218"/>
      <c r="C70" s="102"/>
      <c r="D70" s="103"/>
      <c r="E70" s="218"/>
      <c r="F70" s="218"/>
      <c r="G70" s="102"/>
      <c r="H70" s="102"/>
      <c r="I70" s="102"/>
      <c r="J70" s="102"/>
      <c r="K70" s="102"/>
      <c r="N70" s="102"/>
      <c r="W70" s="102"/>
      <c r="X70" s="102"/>
      <c r="Y70" s="102"/>
      <c r="Z70" s="102"/>
      <c r="AA70" s="102"/>
      <c r="AB70" s="218"/>
    </row>
    <row r="71" spans="1:28" x14ac:dyDescent="0.15">
      <c r="E71" s="218"/>
      <c r="F71" s="218"/>
    </row>
    <row r="72" spans="1:28" x14ac:dyDescent="0.15">
      <c r="E72" s="218"/>
      <c r="F72" s="218"/>
    </row>
    <row r="73" spans="1:28" x14ac:dyDescent="0.15">
      <c r="E73" s="218"/>
      <c r="F73" s="218"/>
    </row>
    <row r="74" spans="1:28" x14ac:dyDescent="0.15">
      <c r="E74" s="218"/>
      <c r="F74" s="218"/>
    </row>
    <row r="75" spans="1:28" x14ac:dyDescent="0.15">
      <c r="E75" s="218"/>
      <c r="F75" s="218"/>
    </row>
    <row r="76" spans="1:28" x14ac:dyDescent="0.15">
      <c r="E76" s="218"/>
      <c r="F76" s="218"/>
    </row>
    <row r="77" spans="1:28" x14ac:dyDescent="0.15">
      <c r="E77" s="218"/>
      <c r="F77" s="218"/>
    </row>
    <row r="78" spans="1:28" x14ac:dyDescent="0.15">
      <c r="E78" s="218"/>
      <c r="F78" s="218"/>
    </row>
    <row r="79" spans="1:28" x14ac:dyDescent="0.15">
      <c r="E79" s="218"/>
      <c r="F79" s="218"/>
    </row>
    <row r="80" spans="1:28" x14ac:dyDescent="0.15">
      <c r="E80" s="218"/>
      <c r="F80" s="218"/>
    </row>
    <row r="81" spans="5:6" x14ac:dyDescent="0.15">
      <c r="E81" s="218"/>
      <c r="F81" s="218"/>
    </row>
    <row r="82" spans="5:6" x14ac:dyDescent="0.15">
      <c r="E82" s="218"/>
      <c r="F82" s="218"/>
    </row>
    <row r="83" spans="5:6" x14ac:dyDescent="0.15">
      <c r="E83" s="218"/>
      <c r="F83" s="218"/>
    </row>
    <row r="84" spans="5:6" x14ac:dyDescent="0.15">
      <c r="E84" s="218"/>
      <c r="F84" s="218"/>
    </row>
    <row r="85" spans="5:6" x14ac:dyDescent="0.15">
      <c r="E85" s="218"/>
      <c r="F85" s="218"/>
    </row>
    <row r="86" spans="5:6" x14ac:dyDescent="0.15">
      <c r="E86" s="218"/>
      <c r="F86" s="218"/>
    </row>
    <row r="87" spans="5:6" x14ac:dyDescent="0.15">
      <c r="E87" s="218"/>
      <c r="F87" s="218"/>
    </row>
    <row r="88" spans="5:6" x14ac:dyDescent="0.15">
      <c r="E88" s="218"/>
      <c r="F88" s="218"/>
    </row>
    <row r="89" spans="5:6" x14ac:dyDescent="0.15">
      <c r="E89" s="218"/>
      <c r="F89" s="218"/>
    </row>
    <row r="90" spans="5:6" x14ac:dyDescent="0.15">
      <c r="E90" s="218"/>
      <c r="F90" s="218"/>
    </row>
    <row r="91" spans="5:6" x14ac:dyDescent="0.15">
      <c r="E91" s="218"/>
      <c r="F91" s="218"/>
    </row>
    <row r="92" spans="5:6" x14ac:dyDescent="0.15">
      <c r="E92" s="218"/>
      <c r="F92" s="218"/>
    </row>
    <row r="93" spans="5:6" x14ac:dyDescent="0.15">
      <c r="E93" s="218"/>
      <c r="F93" s="218"/>
    </row>
    <row r="94" spans="5:6" x14ac:dyDescent="0.15">
      <c r="E94" s="218"/>
      <c r="F94" s="218"/>
    </row>
    <row r="95" spans="5:6" x14ac:dyDescent="0.15">
      <c r="E95" s="218"/>
      <c r="F95" s="218"/>
    </row>
    <row r="96" spans="5:6" x14ac:dyDescent="0.15">
      <c r="E96" s="218"/>
      <c r="F96" s="218"/>
    </row>
    <row r="97" spans="5:6" x14ac:dyDescent="0.15">
      <c r="E97" s="218"/>
      <c r="F97" s="218"/>
    </row>
    <row r="98" spans="5:6" x14ac:dyDescent="0.15">
      <c r="E98" s="218"/>
      <c r="F98" s="218"/>
    </row>
    <row r="99" spans="5:6" x14ac:dyDescent="0.15">
      <c r="E99" s="218"/>
      <c r="F99" s="218"/>
    </row>
    <row r="100" spans="5:6" x14ac:dyDescent="0.15">
      <c r="E100" s="218"/>
      <c r="F100" s="218"/>
    </row>
    <row r="101" spans="5:6" x14ac:dyDescent="0.15">
      <c r="E101" s="218"/>
      <c r="F101" s="218"/>
    </row>
    <row r="102" spans="5:6" x14ac:dyDescent="0.15">
      <c r="E102" s="218"/>
      <c r="F102" s="218"/>
    </row>
    <row r="103" spans="5:6" x14ac:dyDescent="0.15">
      <c r="E103" s="218"/>
      <c r="F103" s="218"/>
    </row>
    <row r="104" spans="5:6" x14ac:dyDescent="0.15">
      <c r="E104" s="218"/>
      <c r="F104" s="218"/>
    </row>
    <row r="105" spans="5:6" x14ac:dyDescent="0.15">
      <c r="E105" s="218"/>
      <c r="F105" s="218"/>
    </row>
    <row r="106" spans="5:6" x14ac:dyDescent="0.15">
      <c r="E106" s="218"/>
      <c r="F106" s="218"/>
    </row>
    <row r="107" spans="5:6" x14ac:dyDescent="0.15">
      <c r="E107" s="218"/>
      <c r="F107" s="218"/>
    </row>
    <row r="108" spans="5:6" x14ac:dyDescent="0.15">
      <c r="E108" s="218"/>
      <c r="F108" s="218"/>
    </row>
    <row r="109" spans="5:6" x14ac:dyDescent="0.15">
      <c r="E109" s="218"/>
      <c r="F109" s="218"/>
    </row>
    <row r="110" spans="5:6" x14ac:dyDescent="0.15">
      <c r="E110" s="218"/>
      <c r="F110" s="218"/>
    </row>
    <row r="111" spans="5:6" x14ac:dyDescent="0.15">
      <c r="E111" s="218"/>
      <c r="F111" s="218"/>
    </row>
    <row r="112" spans="5:6" x14ac:dyDescent="0.15">
      <c r="E112" s="218"/>
      <c r="F112" s="218"/>
    </row>
    <row r="113" spans="5:6" x14ac:dyDescent="0.15">
      <c r="E113" s="218"/>
      <c r="F113" s="218"/>
    </row>
    <row r="114" spans="5:6" x14ac:dyDescent="0.15">
      <c r="E114" s="218"/>
      <c r="F114" s="218"/>
    </row>
    <row r="115" spans="5:6" x14ac:dyDescent="0.15">
      <c r="E115" s="218"/>
      <c r="F115" s="218"/>
    </row>
    <row r="116" spans="5:6" x14ac:dyDescent="0.15">
      <c r="E116" s="218"/>
      <c r="F116" s="218"/>
    </row>
    <row r="117" spans="5:6" x14ac:dyDescent="0.15">
      <c r="E117" s="218"/>
      <c r="F117" s="218"/>
    </row>
    <row r="118" spans="5:6" x14ac:dyDescent="0.15">
      <c r="E118" s="218"/>
      <c r="F118" s="218"/>
    </row>
    <row r="119" spans="5:6" x14ac:dyDescent="0.15">
      <c r="E119" s="218"/>
      <c r="F119" s="218"/>
    </row>
    <row r="120" spans="5:6" x14ac:dyDescent="0.15">
      <c r="E120" s="218"/>
      <c r="F120" s="218"/>
    </row>
    <row r="121" spans="5:6" x14ac:dyDescent="0.15">
      <c r="E121" s="218"/>
      <c r="F121" s="218"/>
    </row>
    <row r="122" spans="5:6" x14ac:dyDescent="0.15">
      <c r="E122" s="218"/>
      <c r="F122" s="218"/>
    </row>
    <row r="123" spans="5:6" x14ac:dyDescent="0.15">
      <c r="E123" s="218"/>
      <c r="F123" s="218"/>
    </row>
    <row r="124" spans="5:6" x14ac:dyDescent="0.15">
      <c r="E124" s="218"/>
      <c r="F124" s="218"/>
    </row>
    <row r="125" spans="5:6" x14ac:dyDescent="0.15">
      <c r="E125" s="218"/>
      <c r="F125" s="218"/>
    </row>
    <row r="126" spans="5:6" x14ac:dyDescent="0.15">
      <c r="E126" s="218"/>
      <c r="F126" s="218"/>
    </row>
    <row r="127" spans="5:6" x14ac:dyDescent="0.15">
      <c r="E127" s="218"/>
      <c r="F127" s="218"/>
    </row>
    <row r="128" spans="5:6" x14ac:dyDescent="0.15">
      <c r="E128" s="218"/>
      <c r="F128" s="218"/>
    </row>
    <row r="129" spans="5:6" x14ac:dyDescent="0.15">
      <c r="E129" s="218"/>
      <c r="F129" s="218"/>
    </row>
    <row r="130" spans="5:6" x14ac:dyDescent="0.15">
      <c r="E130" s="218"/>
      <c r="F130" s="218"/>
    </row>
    <row r="131" spans="5:6" x14ac:dyDescent="0.15">
      <c r="E131" s="218"/>
      <c r="F131" s="218"/>
    </row>
    <row r="132" spans="5:6" x14ac:dyDescent="0.15">
      <c r="E132" s="218"/>
      <c r="F132" s="218"/>
    </row>
    <row r="133" spans="5:6" x14ac:dyDescent="0.15">
      <c r="E133" s="218"/>
      <c r="F133" s="218"/>
    </row>
    <row r="134" spans="5:6" x14ac:dyDescent="0.15">
      <c r="E134" s="218"/>
      <c r="F134" s="218"/>
    </row>
    <row r="135" spans="5:6" x14ac:dyDescent="0.15">
      <c r="E135" s="218"/>
      <c r="F135" s="218"/>
    </row>
    <row r="136" spans="5:6" x14ac:dyDescent="0.15">
      <c r="E136" s="218"/>
      <c r="F136" s="218"/>
    </row>
    <row r="137" spans="5:6" x14ac:dyDescent="0.15">
      <c r="E137" s="218"/>
      <c r="F137" s="218"/>
    </row>
    <row r="138" spans="5:6" x14ac:dyDescent="0.15">
      <c r="E138" s="218"/>
      <c r="F138" s="218"/>
    </row>
    <row r="139" spans="5:6" x14ac:dyDescent="0.15">
      <c r="E139" s="218"/>
      <c r="F139" s="218"/>
    </row>
    <row r="140" spans="5:6" x14ac:dyDescent="0.15">
      <c r="E140" s="218"/>
      <c r="F140" s="218"/>
    </row>
    <row r="141" spans="5:6" x14ac:dyDescent="0.15">
      <c r="E141" s="218"/>
      <c r="F141" s="218"/>
    </row>
    <row r="142" spans="5:6" x14ac:dyDescent="0.15">
      <c r="E142" s="218"/>
      <c r="F142" s="218"/>
    </row>
    <row r="143" spans="5:6" x14ac:dyDescent="0.15">
      <c r="E143" s="218"/>
      <c r="F143" s="218"/>
    </row>
    <row r="144" spans="5:6" x14ac:dyDescent="0.15">
      <c r="E144" s="218"/>
      <c r="F144" s="218"/>
    </row>
    <row r="145" spans="5:6" x14ac:dyDescent="0.15">
      <c r="E145" s="218"/>
      <c r="F145" s="218"/>
    </row>
    <row r="146" spans="5:6" x14ac:dyDescent="0.15">
      <c r="E146" s="218"/>
      <c r="F146" s="218"/>
    </row>
    <row r="147" spans="5:6" x14ac:dyDescent="0.15">
      <c r="E147" s="218"/>
      <c r="F147" s="218"/>
    </row>
    <row r="148" spans="5:6" x14ac:dyDescent="0.15">
      <c r="E148" s="218"/>
      <c r="F148" s="218"/>
    </row>
    <row r="149" spans="5:6" x14ac:dyDescent="0.15">
      <c r="E149" s="218"/>
      <c r="F149" s="218"/>
    </row>
    <row r="150" spans="5:6" x14ac:dyDescent="0.15">
      <c r="E150" s="218"/>
      <c r="F150" s="218"/>
    </row>
    <row r="151" spans="5:6" x14ac:dyDescent="0.15">
      <c r="E151" s="218"/>
      <c r="F151" s="218"/>
    </row>
    <row r="152" spans="5:6" x14ac:dyDescent="0.15">
      <c r="E152" s="218"/>
      <c r="F152" s="218"/>
    </row>
    <row r="153" spans="5:6" x14ac:dyDescent="0.15">
      <c r="E153" s="218"/>
      <c r="F153" s="218"/>
    </row>
    <row r="154" spans="5:6" x14ac:dyDescent="0.15">
      <c r="E154" s="218"/>
      <c r="F154" s="218"/>
    </row>
    <row r="155" spans="5:6" x14ac:dyDescent="0.15">
      <c r="E155" s="218"/>
      <c r="F155" s="218"/>
    </row>
    <row r="156" spans="5:6" x14ac:dyDescent="0.15">
      <c r="E156" s="218"/>
      <c r="F156" s="218"/>
    </row>
    <row r="157" spans="5:6" x14ac:dyDescent="0.15">
      <c r="E157" s="218"/>
      <c r="F157" s="218"/>
    </row>
    <row r="158" spans="5:6" x14ac:dyDescent="0.15">
      <c r="E158" s="218"/>
      <c r="F158" s="218"/>
    </row>
    <row r="159" spans="5:6" x14ac:dyDescent="0.15">
      <c r="E159" s="218"/>
      <c r="F159" s="218"/>
    </row>
    <row r="160" spans="5:6" x14ac:dyDescent="0.15">
      <c r="E160" s="218"/>
      <c r="F160" s="218"/>
    </row>
    <row r="161" spans="5:6" x14ac:dyDescent="0.15">
      <c r="E161" s="218"/>
      <c r="F161" s="218"/>
    </row>
    <row r="162" spans="5:6" x14ac:dyDescent="0.15">
      <c r="E162" s="218"/>
      <c r="F162" s="218"/>
    </row>
    <row r="163" spans="5:6" x14ac:dyDescent="0.15">
      <c r="E163" s="218"/>
      <c r="F163" s="218"/>
    </row>
    <row r="164" spans="5:6" x14ac:dyDescent="0.15">
      <c r="E164" s="218"/>
      <c r="F164" s="218"/>
    </row>
    <row r="165" spans="5:6" x14ac:dyDescent="0.15">
      <c r="E165" s="218"/>
      <c r="F165" s="218"/>
    </row>
    <row r="166" spans="5:6" x14ac:dyDescent="0.15">
      <c r="E166" s="218"/>
      <c r="F166" s="218"/>
    </row>
    <row r="167" spans="5:6" x14ac:dyDescent="0.15">
      <c r="E167" s="218"/>
      <c r="F167" s="218"/>
    </row>
    <row r="168" spans="5:6" x14ac:dyDescent="0.15">
      <c r="E168" s="218"/>
      <c r="F168" s="218"/>
    </row>
    <row r="169" spans="5:6" x14ac:dyDescent="0.15">
      <c r="E169" s="218"/>
      <c r="F169" s="218"/>
    </row>
    <row r="170" spans="5:6" x14ac:dyDescent="0.15">
      <c r="E170" s="218"/>
      <c r="F170" s="218"/>
    </row>
    <row r="171" spans="5:6" x14ac:dyDescent="0.15">
      <c r="E171" s="218"/>
      <c r="F171" s="218"/>
    </row>
    <row r="172" spans="5:6" x14ac:dyDescent="0.15">
      <c r="E172" s="218"/>
      <c r="F172" s="218"/>
    </row>
    <row r="173" spans="5:6" x14ac:dyDescent="0.15">
      <c r="E173" s="218"/>
      <c r="F173" s="218"/>
    </row>
    <row r="174" spans="5:6" x14ac:dyDescent="0.15">
      <c r="E174" s="218"/>
      <c r="F174" s="218"/>
    </row>
    <row r="175" spans="5:6" x14ac:dyDescent="0.15">
      <c r="E175" s="218"/>
      <c r="F175" s="218"/>
    </row>
    <row r="176" spans="5:6" x14ac:dyDescent="0.15">
      <c r="E176" s="218"/>
      <c r="F176" s="218"/>
    </row>
    <row r="177" spans="5:6" x14ac:dyDescent="0.15">
      <c r="E177" s="218"/>
      <c r="F177" s="218"/>
    </row>
    <row r="178" spans="5:6" x14ac:dyDescent="0.15">
      <c r="E178" s="218"/>
      <c r="F178" s="218"/>
    </row>
    <row r="179" spans="5:6" x14ac:dyDescent="0.15">
      <c r="E179" s="218"/>
      <c r="F179" s="218"/>
    </row>
    <row r="180" spans="5:6" x14ac:dyDescent="0.15">
      <c r="E180" s="218"/>
      <c r="F180" s="218"/>
    </row>
    <row r="181" spans="5:6" x14ac:dyDescent="0.15">
      <c r="E181" s="218"/>
      <c r="F181" s="218"/>
    </row>
    <row r="182" spans="5:6" x14ac:dyDescent="0.15">
      <c r="E182" s="218"/>
      <c r="F182" s="218"/>
    </row>
    <row r="183" spans="5:6" x14ac:dyDescent="0.15">
      <c r="E183" s="218"/>
      <c r="F183" s="218"/>
    </row>
    <row r="184" spans="5:6" x14ac:dyDescent="0.15">
      <c r="E184" s="218"/>
      <c r="F184" s="218"/>
    </row>
    <row r="185" spans="5:6" x14ac:dyDescent="0.15">
      <c r="E185" s="218"/>
      <c r="F185" s="218"/>
    </row>
    <row r="186" spans="5:6" x14ac:dyDescent="0.15">
      <c r="E186" s="218"/>
      <c r="F186" s="218"/>
    </row>
    <row r="187" spans="5:6" x14ac:dyDescent="0.15">
      <c r="E187" s="218"/>
      <c r="F187" s="218"/>
    </row>
    <row r="188" spans="5:6" x14ac:dyDescent="0.15">
      <c r="E188" s="218"/>
      <c r="F188" s="218"/>
    </row>
    <row r="189" spans="5:6" x14ac:dyDescent="0.15">
      <c r="E189" s="218"/>
      <c r="F189" s="218"/>
    </row>
    <row r="190" spans="5:6" x14ac:dyDescent="0.15">
      <c r="E190" s="218"/>
      <c r="F190" s="218"/>
    </row>
    <row r="191" spans="5:6" x14ac:dyDescent="0.15">
      <c r="E191" s="218"/>
      <c r="F191" s="218"/>
    </row>
    <row r="192" spans="5:6" x14ac:dyDescent="0.15">
      <c r="E192" s="218"/>
      <c r="F192" s="218"/>
    </row>
    <row r="193" spans="5:6" x14ac:dyDescent="0.15">
      <c r="E193" s="218"/>
      <c r="F193" s="218"/>
    </row>
    <row r="194" spans="5:6" x14ac:dyDescent="0.15">
      <c r="E194" s="218"/>
      <c r="F194" s="218"/>
    </row>
    <row r="195" spans="5:6" x14ac:dyDescent="0.15">
      <c r="E195" s="218"/>
      <c r="F195" s="218"/>
    </row>
    <row r="196" spans="5:6" x14ac:dyDescent="0.15">
      <c r="E196" s="218"/>
      <c r="F196" s="218"/>
    </row>
    <row r="197" spans="5:6" x14ac:dyDescent="0.15">
      <c r="E197" s="218"/>
      <c r="F197" s="218"/>
    </row>
    <row r="198" spans="5:6" x14ac:dyDescent="0.15">
      <c r="E198" s="218"/>
      <c r="F198" s="218"/>
    </row>
    <row r="199" spans="5:6" x14ac:dyDescent="0.15">
      <c r="E199" s="218"/>
      <c r="F199" s="218"/>
    </row>
    <row r="200" spans="5:6" x14ac:dyDescent="0.15">
      <c r="E200" s="218"/>
      <c r="F200" s="218"/>
    </row>
    <row r="201" spans="5:6" x14ac:dyDescent="0.15">
      <c r="E201" s="218"/>
      <c r="F201" s="218"/>
    </row>
    <row r="202" spans="5:6" x14ac:dyDescent="0.15">
      <c r="E202" s="218"/>
      <c r="F202" s="218"/>
    </row>
    <row r="203" spans="5:6" x14ac:dyDescent="0.15">
      <c r="E203" s="218"/>
      <c r="F203" s="218"/>
    </row>
    <row r="204" spans="5:6" x14ac:dyDescent="0.15">
      <c r="E204" s="218"/>
      <c r="F204" s="218"/>
    </row>
    <row r="205" spans="5:6" x14ac:dyDescent="0.15">
      <c r="E205" s="218"/>
      <c r="F205" s="218"/>
    </row>
    <row r="206" spans="5:6" x14ac:dyDescent="0.15">
      <c r="E206" s="218"/>
      <c r="F206" s="218"/>
    </row>
    <row r="207" spans="5:6" x14ac:dyDescent="0.15">
      <c r="E207" s="218"/>
      <c r="F207" s="218"/>
    </row>
    <row r="208" spans="5:6" x14ac:dyDescent="0.15">
      <c r="E208" s="218"/>
      <c r="F208" s="218"/>
    </row>
    <row r="209" spans="5:6" x14ac:dyDescent="0.15">
      <c r="E209" s="218"/>
      <c r="F209" s="218"/>
    </row>
    <row r="210" spans="5:6" x14ac:dyDescent="0.15">
      <c r="E210" s="218"/>
      <c r="F210" s="218"/>
    </row>
    <row r="211" spans="5:6" x14ac:dyDescent="0.15">
      <c r="E211" s="218"/>
      <c r="F211" s="218"/>
    </row>
    <row r="212" spans="5:6" x14ac:dyDescent="0.15">
      <c r="E212" s="218"/>
      <c r="F212" s="218"/>
    </row>
    <row r="213" spans="5:6" x14ac:dyDescent="0.15">
      <c r="E213" s="218"/>
      <c r="F213" s="218"/>
    </row>
    <row r="214" spans="5:6" x14ac:dyDescent="0.15">
      <c r="E214" s="218"/>
      <c r="F214" s="218"/>
    </row>
    <row r="215" spans="5:6" x14ac:dyDescent="0.15">
      <c r="E215" s="218"/>
      <c r="F215" s="218"/>
    </row>
    <row r="216" spans="5:6" x14ac:dyDescent="0.15">
      <c r="E216" s="218"/>
      <c r="F216" s="218"/>
    </row>
    <row r="217" spans="5:6" x14ac:dyDescent="0.15">
      <c r="E217" s="218"/>
      <c r="F217" s="218"/>
    </row>
    <row r="218" spans="5:6" x14ac:dyDescent="0.15">
      <c r="E218" s="218"/>
      <c r="F218" s="218"/>
    </row>
    <row r="219" spans="5:6" x14ac:dyDescent="0.15">
      <c r="E219" s="218"/>
      <c r="F219" s="218"/>
    </row>
    <row r="220" spans="5:6" x14ac:dyDescent="0.15">
      <c r="E220" s="218"/>
      <c r="F220" s="218"/>
    </row>
    <row r="221" spans="5:6" x14ac:dyDescent="0.15">
      <c r="E221" s="218"/>
      <c r="F221" s="218"/>
    </row>
    <row r="222" spans="5:6" x14ac:dyDescent="0.15">
      <c r="E222" s="218"/>
      <c r="F222" s="218"/>
    </row>
    <row r="223" spans="5:6" x14ac:dyDescent="0.15">
      <c r="E223" s="218"/>
      <c r="F223" s="218"/>
    </row>
    <row r="224" spans="5:6" x14ac:dyDescent="0.15">
      <c r="E224" s="218"/>
      <c r="F224" s="218"/>
    </row>
    <row r="225" spans="5:6" x14ac:dyDescent="0.15">
      <c r="E225" s="218"/>
      <c r="F225" s="218"/>
    </row>
    <row r="226" spans="5:6" x14ac:dyDescent="0.15">
      <c r="E226" s="218"/>
      <c r="F226" s="218"/>
    </row>
    <row r="227" spans="5:6" x14ac:dyDescent="0.15">
      <c r="E227" s="218"/>
      <c r="F227" s="218"/>
    </row>
    <row r="228" spans="5:6" x14ac:dyDescent="0.15">
      <c r="E228" s="218"/>
      <c r="F228" s="218"/>
    </row>
    <row r="229" spans="5:6" x14ac:dyDescent="0.15">
      <c r="E229" s="218"/>
      <c r="F229" s="218"/>
    </row>
    <row r="230" spans="5:6" x14ac:dyDescent="0.15">
      <c r="E230" s="218"/>
      <c r="F230" s="218"/>
    </row>
    <row r="231" spans="5:6" x14ac:dyDescent="0.15">
      <c r="E231" s="218"/>
      <c r="F231" s="218"/>
    </row>
    <row r="232" spans="5:6" x14ac:dyDescent="0.15">
      <c r="E232" s="218"/>
      <c r="F232" s="218"/>
    </row>
    <row r="233" spans="5:6" x14ac:dyDescent="0.15">
      <c r="E233" s="218"/>
      <c r="F233" s="218"/>
    </row>
    <row r="234" spans="5:6" x14ac:dyDescent="0.15">
      <c r="E234" s="218"/>
      <c r="F234" s="218"/>
    </row>
    <row r="235" spans="5:6" x14ac:dyDescent="0.15">
      <c r="E235" s="218"/>
      <c r="F235" s="218"/>
    </row>
    <row r="236" spans="5:6" x14ac:dyDescent="0.15">
      <c r="E236" s="218"/>
      <c r="F236" s="218"/>
    </row>
    <row r="237" spans="5:6" x14ac:dyDescent="0.15">
      <c r="E237" s="218"/>
      <c r="F237" s="218"/>
    </row>
    <row r="238" spans="5:6" x14ac:dyDescent="0.15">
      <c r="E238" s="218"/>
      <c r="F238" s="218"/>
    </row>
    <row r="239" spans="5:6" x14ac:dyDescent="0.15">
      <c r="E239" s="218"/>
      <c r="F239" s="218"/>
    </row>
    <row r="240" spans="5:6" x14ac:dyDescent="0.15">
      <c r="E240" s="218"/>
      <c r="F240" s="218"/>
    </row>
    <row r="241" spans="5:6" x14ac:dyDescent="0.15">
      <c r="E241" s="218"/>
      <c r="F241" s="218"/>
    </row>
    <row r="242" spans="5:6" x14ac:dyDescent="0.15">
      <c r="E242" s="218"/>
      <c r="F242" s="218"/>
    </row>
    <row r="243" spans="5:6" x14ac:dyDescent="0.15">
      <c r="E243" s="218"/>
      <c r="F243" s="218"/>
    </row>
    <row r="244" spans="5:6" x14ac:dyDescent="0.15">
      <c r="E244" s="218"/>
      <c r="F244" s="218"/>
    </row>
    <row r="245" spans="5:6" x14ac:dyDescent="0.15">
      <c r="E245" s="218"/>
      <c r="F245" s="218"/>
    </row>
    <row r="246" spans="5:6" x14ac:dyDescent="0.15">
      <c r="E246" s="218"/>
      <c r="F246" s="218"/>
    </row>
    <row r="247" spans="5:6" x14ac:dyDescent="0.15">
      <c r="E247" s="218"/>
      <c r="F247" s="218"/>
    </row>
    <row r="248" spans="5:6" x14ac:dyDescent="0.15">
      <c r="E248" s="218"/>
      <c r="F248" s="218"/>
    </row>
    <row r="249" spans="5:6" x14ac:dyDescent="0.15">
      <c r="E249" s="218"/>
      <c r="F249" s="218"/>
    </row>
    <row r="250" spans="5:6" x14ac:dyDescent="0.15">
      <c r="E250" s="218"/>
      <c r="F250" s="218"/>
    </row>
    <row r="251" spans="5:6" x14ac:dyDescent="0.15">
      <c r="E251" s="218"/>
      <c r="F251" s="218"/>
    </row>
    <row r="252" spans="5:6" x14ac:dyDescent="0.15">
      <c r="E252" s="218"/>
      <c r="F252" s="218"/>
    </row>
    <row r="253" spans="5:6" x14ac:dyDescent="0.15">
      <c r="E253" s="218"/>
      <c r="F253" s="218"/>
    </row>
    <row r="254" spans="5:6" x14ac:dyDescent="0.15">
      <c r="E254" s="218"/>
      <c r="F254" s="218"/>
    </row>
    <row r="255" spans="5:6" x14ac:dyDescent="0.15">
      <c r="E255" s="218"/>
      <c r="F255" s="218"/>
    </row>
    <row r="256" spans="5:6" x14ac:dyDescent="0.15">
      <c r="E256" s="218"/>
      <c r="F256" s="218"/>
    </row>
    <row r="257" spans="5:6" x14ac:dyDescent="0.15">
      <c r="E257" s="218"/>
      <c r="F257" s="218"/>
    </row>
    <row r="258" spans="5:6" x14ac:dyDescent="0.15">
      <c r="E258" s="218"/>
      <c r="F258" s="218"/>
    </row>
    <row r="259" spans="5:6" x14ac:dyDescent="0.15">
      <c r="E259" s="218"/>
      <c r="F259" s="218"/>
    </row>
    <row r="260" spans="5:6" x14ac:dyDescent="0.15">
      <c r="E260" s="218"/>
      <c r="F260" s="218"/>
    </row>
    <row r="261" spans="5:6" x14ac:dyDescent="0.15">
      <c r="E261" s="218"/>
      <c r="F261" s="218"/>
    </row>
    <row r="262" spans="5:6" x14ac:dyDescent="0.15">
      <c r="E262" s="218"/>
      <c r="F262" s="218"/>
    </row>
    <row r="263" spans="5:6" x14ac:dyDescent="0.15">
      <c r="E263" s="218"/>
      <c r="F263" s="218"/>
    </row>
    <row r="264" spans="5:6" x14ac:dyDescent="0.15">
      <c r="E264" s="218"/>
      <c r="F264" s="218"/>
    </row>
    <row r="265" spans="5:6" x14ac:dyDescent="0.15">
      <c r="E265" s="218"/>
      <c r="F265" s="218"/>
    </row>
    <row r="266" spans="5:6" x14ac:dyDescent="0.15">
      <c r="E266" s="218"/>
      <c r="F266" s="218"/>
    </row>
    <row r="267" spans="5:6" x14ac:dyDescent="0.15">
      <c r="E267" s="218"/>
      <c r="F267" s="218"/>
    </row>
    <row r="268" spans="5:6" x14ac:dyDescent="0.15">
      <c r="E268" s="218"/>
      <c r="F268" s="218"/>
    </row>
    <row r="269" spans="5:6" x14ac:dyDescent="0.15">
      <c r="E269" s="218"/>
      <c r="F269" s="218"/>
    </row>
    <row r="270" spans="5:6" x14ac:dyDescent="0.15">
      <c r="E270" s="218"/>
      <c r="F270" s="218"/>
    </row>
    <row r="271" spans="5:6" x14ac:dyDescent="0.15">
      <c r="E271" s="218"/>
      <c r="F271" s="218"/>
    </row>
    <row r="272" spans="5:6" x14ac:dyDescent="0.15">
      <c r="E272" s="218"/>
      <c r="F272" s="218"/>
    </row>
    <row r="273" spans="5:6" x14ac:dyDescent="0.15">
      <c r="E273" s="218"/>
      <c r="F273" s="218"/>
    </row>
    <row r="274" spans="5:6" x14ac:dyDescent="0.15">
      <c r="E274" s="218"/>
      <c r="F274" s="218"/>
    </row>
    <row r="275" spans="5:6" x14ac:dyDescent="0.15">
      <c r="E275" s="218"/>
      <c r="F275" s="218"/>
    </row>
    <row r="276" spans="5:6" x14ac:dyDescent="0.15">
      <c r="E276" s="218"/>
      <c r="F276" s="218"/>
    </row>
    <row r="277" spans="5:6" x14ac:dyDescent="0.15">
      <c r="E277" s="218"/>
      <c r="F277" s="218"/>
    </row>
    <row r="278" spans="5:6" x14ac:dyDescent="0.15">
      <c r="E278" s="218"/>
      <c r="F278" s="218"/>
    </row>
    <row r="279" spans="5:6" x14ac:dyDescent="0.15">
      <c r="E279" s="218"/>
      <c r="F279" s="218"/>
    </row>
    <row r="280" spans="5:6" x14ac:dyDescent="0.15">
      <c r="E280" s="218"/>
      <c r="F280" s="218"/>
    </row>
    <row r="281" spans="5:6" x14ac:dyDescent="0.15">
      <c r="E281" s="218"/>
      <c r="F281" s="218"/>
    </row>
    <row r="282" spans="5:6" x14ac:dyDescent="0.15">
      <c r="E282" s="218"/>
      <c r="F282" s="218"/>
    </row>
    <row r="283" spans="5:6" x14ac:dyDescent="0.15">
      <c r="E283" s="218"/>
      <c r="F283" s="218"/>
    </row>
    <row r="284" spans="5:6" x14ac:dyDescent="0.15">
      <c r="E284" s="218"/>
      <c r="F284" s="218"/>
    </row>
    <row r="285" spans="5:6" x14ac:dyDescent="0.15">
      <c r="E285" s="218"/>
      <c r="F285" s="218"/>
    </row>
    <row r="286" spans="5:6" x14ac:dyDescent="0.15">
      <c r="E286" s="218"/>
      <c r="F286" s="218"/>
    </row>
    <row r="287" spans="5:6" x14ac:dyDescent="0.15">
      <c r="E287" s="218"/>
      <c r="F287" s="218"/>
    </row>
    <row r="288" spans="5:6" x14ac:dyDescent="0.15">
      <c r="E288" s="218"/>
      <c r="F288" s="218"/>
    </row>
    <row r="289" spans="5:6" x14ac:dyDescent="0.15">
      <c r="E289" s="218"/>
      <c r="F289" s="218"/>
    </row>
    <row r="290" spans="5:6" x14ac:dyDescent="0.15">
      <c r="E290" s="218"/>
      <c r="F290" s="218"/>
    </row>
    <row r="291" spans="5:6" x14ac:dyDescent="0.15">
      <c r="E291" s="218"/>
      <c r="F291" s="218"/>
    </row>
    <row r="292" spans="5:6" x14ac:dyDescent="0.15">
      <c r="E292" s="218"/>
      <c r="F292" s="218"/>
    </row>
    <row r="293" spans="5:6" x14ac:dyDescent="0.15">
      <c r="E293" s="218"/>
      <c r="F293" s="218"/>
    </row>
    <row r="294" spans="5:6" x14ac:dyDescent="0.15">
      <c r="E294" s="218"/>
      <c r="F294" s="218"/>
    </row>
    <row r="295" spans="5:6" x14ac:dyDescent="0.15">
      <c r="E295" s="218"/>
      <c r="F295" s="218"/>
    </row>
    <row r="296" spans="5:6" x14ac:dyDescent="0.15">
      <c r="E296" s="218"/>
      <c r="F296" s="218"/>
    </row>
    <row r="297" spans="5:6" x14ac:dyDescent="0.15">
      <c r="E297" s="218"/>
      <c r="F297" s="218"/>
    </row>
    <row r="298" spans="5:6" x14ac:dyDescent="0.15">
      <c r="E298" s="218"/>
      <c r="F298" s="218"/>
    </row>
    <row r="299" spans="5:6" x14ac:dyDescent="0.15">
      <c r="E299" s="218"/>
      <c r="F299" s="218"/>
    </row>
    <row r="300" spans="5:6" x14ac:dyDescent="0.15">
      <c r="E300" s="218"/>
      <c r="F300" s="218"/>
    </row>
    <row r="301" spans="5:6" x14ac:dyDescent="0.15">
      <c r="E301" s="218"/>
      <c r="F301" s="218"/>
    </row>
    <row r="302" spans="5:6" x14ac:dyDescent="0.15">
      <c r="E302" s="218"/>
      <c r="F302" s="218"/>
    </row>
    <row r="303" spans="5:6" x14ac:dyDescent="0.15">
      <c r="E303" s="218"/>
      <c r="F303" s="218"/>
    </row>
    <row r="304" spans="5:6" x14ac:dyDescent="0.15">
      <c r="E304" s="218"/>
      <c r="F304" s="218"/>
    </row>
    <row r="305" spans="5:6" x14ac:dyDescent="0.15">
      <c r="E305" s="218"/>
      <c r="F305" s="218"/>
    </row>
    <row r="306" spans="5:6" x14ac:dyDescent="0.15">
      <c r="E306" s="218"/>
      <c r="F306" s="218"/>
    </row>
    <row r="307" spans="5:6" x14ac:dyDescent="0.15">
      <c r="E307" s="218"/>
      <c r="F307" s="218"/>
    </row>
    <row r="308" spans="5:6" x14ac:dyDescent="0.15">
      <c r="E308" s="218"/>
      <c r="F308" s="218"/>
    </row>
    <row r="309" spans="5:6" x14ac:dyDescent="0.15">
      <c r="E309" s="218"/>
      <c r="F309" s="218"/>
    </row>
    <row r="310" spans="5:6" x14ac:dyDescent="0.15">
      <c r="E310" s="218"/>
      <c r="F310" s="218"/>
    </row>
    <row r="311" spans="5:6" x14ac:dyDescent="0.15">
      <c r="E311" s="218"/>
      <c r="F311" s="218"/>
    </row>
    <row r="312" spans="5:6" x14ac:dyDescent="0.15">
      <c r="E312" s="218"/>
      <c r="F312" s="218"/>
    </row>
    <row r="313" spans="5:6" x14ac:dyDescent="0.15">
      <c r="E313" s="218"/>
      <c r="F313" s="218"/>
    </row>
    <row r="314" spans="5:6" x14ac:dyDescent="0.15">
      <c r="E314" s="218"/>
      <c r="F314" s="218"/>
    </row>
    <row r="315" spans="5:6" x14ac:dyDescent="0.15">
      <c r="E315" s="218"/>
      <c r="F315" s="218"/>
    </row>
    <row r="316" spans="5:6" x14ac:dyDescent="0.15">
      <c r="E316" s="218"/>
      <c r="F316" s="218"/>
    </row>
    <row r="317" spans="5:6" x14ac:dyDescent="0.15">
      <c r="E317" s="218"/>
      <c r="F317" s="218"/>
    </row>
    <row r="318" spans="5:6" x14ac:dyDescent="0.15">
      <c r="E318" s="218"/>
      <c r="F318" s="218"/>
    </row>
    <row r="319" spans="5:6" x14ac:dyDescent="0.15">
      <c r="E319" s="218"/>
      <c r="F319" s="218"/>
    </row>
    <row r="320" spans="5:6" x14ac:dyDescent="0.15">
      <c r="E320" s="218"/>
      <c r="F320" s="218"/>
    </row>
    <row r="321" spans="5:6" x14ac:dyDescent="0.15">
      <c r="E321" s="218"/>
      <c r="F321" s="218"/>
    </row>
    <row r="322" spans="5:6" x14ac:dyDescent="0.15">
      <c r="E322" s="218"/>
      <c r="F322" s="218"/>
    </row>
    <row r="323" spans="5:6" x14ac:dyDescent="0.15">
      <c r="E323" s="218"/>
      <c r="F323" s="218"/>
    </row>
    <row r="324" spans="5:6" x14ac:dyDescent="0.15">
      <c r="E324" s="218"/>
      <c r="F324" s="218"/>
    </row>
    <row r="325" spans="5:6" x14ac:dyDescent="0.15">
      <c r="E325" s="218"/>
      <c r="F325" s="218"/>
    </row>
    <row r="326" spans="5:6" x14ac:dyDescent="0.15">
      <c r="E326" s="218"/>
      <c r="F326" s="218"/>
    </row>
    <row r="327" spans="5:6" x14ac:dyDescent="0.15">
      <c r="E327" s="218"/>
      <c r="F327" s="218"/>
    </row>
    <row r="328" spans="5:6" x14ac:dyDescent="0.15">
      <c r="E328" s="218"/>
      <c r="F328" s="218"/>
    </row>
    <row r="329" spans="5:6" x14ac:dyDescent="0.15">
      <c r="E329" s="218"/>
      <c r="F329" s="218"/>
    </row>
    <row r="330" spans="5:6" x14ac:dyDescent="0.15">
      <c r="E330" s="218"/>
      <c r="F330" s="218"/>
    </row>
    <row r="331" spans="5:6" x14ac:dyDescent="0.15">
      <c r="E331" s="218"/>
      <c r="F331" s="218"/>
    </row>
    <row r="332" spans="5:6" x14ac:dyDescent="0.15">
      <c r="E332" s="218"/>
      <c r="F332" s="218"/>
    </row>
    <row r="333" spans="5:6" x14ac:dyDescent="0.15">
      <c r="E333" s="218"/>
      <c r="F333" s="218"/>
    </row>
    <row r="334" spans="5:6" x14ac:dyDescent="0.15">
      <c r="E334" s="218"/>
      <c r="F334" s="218"/>
    </row>
    <row r="335" spans="5:6" x14ac:dyDescent="0.15">
      <c r="E335" s="218"/>
      <c r="F335" s="218"/>
    </row>
    <row r="336" spans="5:6" x14ac:dyDescent="0.15">
      <c r="E336" s="218"/>
      <c r="F336" s="218"/>
    </row>
    <row r="337" spans="5:6" x14ac:dyDescent="0.15">
      <c r="E337" s="218"/>
      <c r="F337" s="218"/>
    </row>
    <row r="338" spans="5:6" x14ac:dyDescent="0.15">
      <c r="E338" s="218"/>
      <c r="F338" s="218"/>
    </row>
    <row r="339" spans="5:6" x14ac:dyDescent="0.15">
      <c r="E339" s="218"/>
      <c r="F339" s="218"/>
    </row>
    <row r="340" spans="5:6" x14ac:dyDescent="0.15">
      <c r="E340" s="218"/>
      <c r="F340" s="218"/>
    </row>
    <row r="341" spans="5:6" x14ac:dyDescent="0.15">
      <c r="E341" s="218"/>
      <c r="F341" s="218"/>
    </row>
    <row r="342" spans="5:6" x14ac:dyDescent="0.15">
      <c r="E342" s="218"/>
      <c r="F342" s="218"/>
    </row>
    <row r="343" spans="5:6" x14ac:dyDescent="0.15">
      <c r="E343" s="218"/>
      <c r="F343" s="218"/>
    </row>
    <row r="344" spans="5:6" x14ac:dyDescent="0.15">
      <c r="E344" s="218"/>
      <c r="F344" s="218"/>
    </row>
    <row r="345" spans="5:6" x14ac:dyDescent="0.15">
      <c r="E345" s="218"/>
      <c r="F345" s="218"/>
    </row>
    <row r="346" spans="5:6" x14ac:dyDescent="0.15">
      <c r="E346" s="218"/>
      <c r="F346" s="218"/>
    </row>
    <row r="347" spans="5:6" x14ac:dyDescent="0.15">
      <c r="E347" s="218"/>
      <c r="F347" s="218"/>
    </row>
    <row r="348" spans="5:6" x14ac:dyDescent="0.15">
      <c r="E348" s="218"/>
      <c r="F348" s="218"/>
    </row>
    <row r="349" spans="5:6" x14ac:dyDescent="0.15">
      <c r="E349" s="218"/>
      <c r="F349" s="218"/>
    </row>
    <row r="350" spans="5:6" x14ac:dyDescent="0.15">
      <c r="E350" s="218"/>
      <c r="F350" s="218"/>
    </row>
    <row r="351" spans="5:6" x14ac:dyDescent="0.15">
      <c r="E351" s="218"/>
      <c r="F351" s="218"/>
    </row>
    <row r="352" spans="5:6" x14ac:dyDescent="0.15">
      <c r="E352" s="218"/>
      <c r="F352" s="218"/>
    </row>
    <row r="353" spans="5:6" x14ac:dyDescent="0.15">
      <c r="E353" s="218"/>
      <c r="F353" s="218"/>
    </row>
    <row r="354" spans="5:6" x14ac:dyDescent="0.15">
      <c r="E354" s="218"/>
      <c r="F354" s="218"/>
    </row>
    <row r="355" spans="5:6" x14ac:dyDescent="0.15">
      <c r="E355" s="218"/>
      <c r="F355" s="218"/>
    </row>
    <row r="356" spans="5:6" x14ac:dyDescent="0.15">
      <c r="E356" s="218"/>
      <c r="F356" s="218"/>
    </row>
    <row r="357" spans="5:6" x14ac:dyDescent="0.15">
      <c r="E357" s="218"/>
      <c r="F357" s="218"/>
    </row>
    <row r="358" spans="5:6" x14ac:dyDescent="0.15">
      <c r="E358" s="218"/>
      <c r="F358" s="218"/>
    </row>
    <row r="359" spans="5:6" x14ac:dyDescent="0.15">
      <c r="E359" s="218"/>
      <c r="F359" s="218"/>
    </row>
    <row r="360" spans="5:6" x14ac:dyDescent="0.15">
      <c r="E360" s="218"/>
      <c r="F360" s="218"/>
    </row>
    <row r="361" spans="5:6" x14ac:dyDescent="0.15">
      <c r="E361" s="218"/>
      <c r="F361" s="218"/>
    </row>
    <row r="362" spans="5:6" x14ac:dyDescent="0.15">
      <c r="E362" s="218"/>
      <c r="F362" s="218"/>
    </row>
    <row r="363" spans="5:6" x14ac:dyDescent="0.15">
      <c r="E363" s="218"/>
      <c r="F363" s="218"/>
    </row>
    <row r="364" spans="5:6" x14ac:dyDescent="0.15">
      <c r="E364" s="218"/>
      <c r="F364" s="218"/>
    </row>
    <row r="365" spans="5:6" x14ac:dyDescent="0.15">
      <c r="E365" s="218"/>
      <c r="F365" s="218"/>
    </row>
    <row r="366" spans="5:6" x14ac:dyDescent="0.15">
      <c r="E366" s="218"/>
      <c r="F366" s="218"/>
    </row>
    <row r="367" spans="5:6" x14ac:dyDescent="0.15">
      <c r="E367" s="218"/>
      <c r="F367" s="218"/>
    </row>
    <row r="368" spans="5:6" x14ac:dyDescent="0.15">
      <c r="E368" s="218"/>
      <c r="F368" s="218"/>
    </row>
    <row r="369" spans="5:6" x14ac:dyDescent="0.15">
      <c r="E369" s="218"/>
      <c r="F369" s="218"/>
    </row>
    <row r="370" spans="5:6" x14ac:dyDescent="0.15">
      <c r="E370" s="218"/>
      <c r="F370" s="218"/>
    </row>
    <row r="371" spans="5:6" x14ac:dyDescent="0.15">
      <c r="E371" s="218"/>
      <c r="F371" s="218"/>
    </row>
    <row r="372" spans="5:6" x14ac:dyDescent="0.15">
      <c r="E372" s="218"/>
      <c r="F372" s="218"/>
    </row>
    <row r="373" spans="5:6" x14ac:dyDescent="0.15">
      <c r="E373" s="218"/>
      <c r="F373" s="218"/>
    </row>
    <row r="374" spans="5:6" x14ac:dyDescent="0.15">
      <c r="E374" s="218"/>
      <c r="F374" s="218"/>
    </row>
    <row r="375" spans="5:6" x14ac:dyDescent="0.15">
      <c r="E375" s="218"/>
      <c r="F375" s="218"/>
    </row>
    <row r="376" spans="5:6" x14ac:dyDescent="0.15">
      <c r="E376" s="218"/>
      <c r="F376" s="218"/>
    </row>
    <row r="377" spans="5:6" x14ac:dyDescent="0.15">
      <c r="E377" s="218"/>
      <c r="F377" s="218"/>
    </row>
    <row r="378" spans="5:6" x14ac:dyDescent="0.15">
      <c r="E378" s="218"/>
      <c r="F378" s="218"/>
    </row>
    <row r="379" spans="5:6" x14ac:dyDescent="0.15">
      <c r="E379" s="218"/>
      <c r="F379" s="218"/>
    </row>
    <row r="380" spans="5:6" x14ac:dyDescent="0.15">
      <c r="E380" s="218"/>
      <c r="F380" s="218"/>
    </row>
    <row r="381" spans="5:6" x14ac:dyDescent="0.15">
      <c r="E381" s="218"/>
      <c r="F381" s="218"/>
    </row>
    <row r="382" spans="5:6" x14ac:dyDescent="0.15">
      <c r="E382" s="218"/>
      <c r="F382" s="218"/>
    </row>
    <row r="383" spans="5:6" x14ac:dyDescent="0.15">
      <c r="E383" s="218"/>
      <c r="F383" s="218"/>
    </row>
    <row r="384" spans="5:6" x14ac:dyDescent="0.15">
      <c r="E384" s="218"/>
      <c r="F384" s="218"/>
    </row>
    <row r="385" spans="5:6" x14ac:dyDescent="0.15">
      <c r="E385" s="218"/>
      <c r="F385" s="218"/>
    </row>
    <row r="386" spans="5:6" x14ac:dyDescent="0.15">
      <c r="E386" s="218"/>
      <c r="F386" s="218"/>
    </row>
    <row r="387" spans="5:6" x14ac:dyDescent="0.15">
      <c r="E387" s="218"/>
      <c r="F387" s="218"/>
    </row>
    <row r="388" spans="5:6" x14ac:dyDescent="0.15">
      <c r="E388" s="218"/>
      <c r="F388" s="218"/>
    </row>
    <row r="389" spans="5:6" x14ac:dyDescent="0.15">
      <c r="E389" s="218"/>
      <c r="F389" s="218"/>
    </row>
    <row r="390" spans="5:6" x14ac:dyDescent="0.15">
      <c r="E390" s="218"/>
      <c r="F390" s="218"/>
    </row>
    <row r="391" spans="5:6" x14ac:dyDescent="0.15">
      <c r="E391" s="218"/>
      <c r="F391" s="218"/>
    </row>
    <row r="392" spans="5:6" x14ac:dyDescent="0.15">
      <c r="E392" s="218"/>
      <c r="F392" s="218"/>
    </row>
    <row r="393" spans="5:6" x14ac:dyDescent="0.15">
      <c r="E393" s="218"/>
      <c r="F393" s="218"/>
    </row>
    <row r="394" spans="5:6" x14ac:dyDescent="0.15">
      <c r="E394" s="218"/>
      <c r="F394" s="218"/>
    </row>
    <row r="395" spans="5:6" x14ac:dyDescent="0.15">
      <c r="E395" s="218"/>
      <c r="F395" s="218"/>
    </row>
    <row r="396" spans="5:6" x14ac:dyDescent="0.15">
      <c r="E396" s="218"/>
      <c r="F396" s="218"/>
    </row>
    <row r="397" spans="5:6" x14ac:dyDescent="0.15">
      <c r="E397" s="218"/>
      <c r="F397" s="218"/>
    </row>
    <row r="398" spans="5:6" x14ac:dyDescent="0.15">
      <c r="E398" s="218"/>
      <c r="F398" s="218"/>
    </row>
    <row r="399" spans="5:6" x14ac:dyDescent="0.15">
      <c r="E399" s="218"/>
      <c r="F399" s="218"/>
    </row>
    <row r="400" spans="5:6" x14ac:dyDescent="0.15">
      <c r="E400" s="218"/>
      <c r="F400" s="218"/>
    </row>
    <row r="401" spans="5:6" x14ac:dyDescent="0.15">
      <c r="E401" s="218"/>
      <c r="F401" s="218"/>
    </row>
    <row r="402" spans="5:6" x14ac:dyDescent="0.15">
      <c r="E402" s="218"/>
      <c r="F402" s="218"/>
    </row>
    <row r="403" spans="5:6" x14ac:dyDescent="0.15">
      <c r="E403" s="218"/>
      <c r="F403" s="218"/>
    </row>
    <row r="404" spans="5:6" x14ac:dyDescent="0.15">
      <c r="E404" s="218"/>
      <c r="F404" s="218"/>
    </row>
    <row r="405" spans="5:6" x14ac:dyDescent="0.15">
      <c r="E405" s="218"/>
      <c r="F405" s="218"/>
    </row>
    <row r="406" spans="5:6" x14ac:dyDescent="0.15">
      <c r="E406" s="218"/>
      <c r="F406" s="218"/>
    </row>
    <row r="407" spans="5:6" x14ac:dyDescent="0.15">
      <c r="E407" s="218"/>
      <c r="F407" s="218"/>
    </row>
    <row r="408" spans="5:6" x14ac:dyDescent="0.15">
      <c r="E408" s="218"/>
      <c r="F408" s="218"/>
    </row>
    <row r="409" spans="5:6" x14ac:dyDescent="0.15">
      <c r="E409" s="218"/>
      <c r="F409" s="218"/>
    </row>
    <row r="410" spans="5:6" x14ac:dyDescent="0.15">
      <c r="E410" s="218"/>
      <c r="F410" s="218"/>
    </row>
    <row r="411" spans="5:6" x14ac:dyDescent="0.15">
      <c r="E411" s="218"/>
      <c r="F411" s="218"/>
    </row>
    <row r="412" spans="5:6" x14ac:dyDescent="0.15">
      <c r="E412" s="218"/>
      <c r="F412" s="218"/>
    </row>
    <row r="413" spans="5:6" x14ac:dyDescent="0.15">
      <c r="E413" s="218"/>
      <c r="F413" s="218"/>
    </row>
    <row r="414" spans="5:6" x14ac:dyDescent="0.15">
      <c r="E414" s="218"/>
      <c r="F414" s="218"/>
    </row>
    <row r="415" spans="5:6" x14ac:dyDescent="0.15">
      <c r="E415" s="218"/>
      <c r="F415" s="218"/>
    </row>
    <row r="416" spans="5:6" x14ac:dyDescent="0.15">
      <c r="E416" s="218"/>
      <c r="F416" s="218"/>
    </row>
    <row r="417" spans="5:6" x14ac:dyDescent="0.15">
      <c r="E417" s="218"/>
      <c r="F417" s="218"/>
    </row>
    <row r="418" spans="5:6" x14ac:dyDescent="0.15">
      <c r="E418" s="218"/>
      <c r="F418" s="218"/>
    </row>
    <row r="419" spans="5:6" x14ac:dyDescent="0.15">
      <c r="E419" s="218"/>
      <c r="F419" s="218"/>
    </row>
    <row r="420" spans="5:6" x14ac:dyDescent="0.15">
      <c r="E420" s="218"/>
      <c r="F420" s="218"/>
    </row>
    <row r="421" spans="5:6" x14ac:dyDescent="0.15">
      <c r="E421" s="218"/>
      <c r="F421" s="218"/>
    </row>
    <row r="422" spans="5:6" x14ac:dyDescent="0.15">
      <c r="E422" s="218"/>
      <c r="F422" s="218"/>
    </row>
    <row r="423" spans="5:6" x14ac:dyDescent="0.15">
      <c r="E423" s="218"/>
      <c r="F423" s="218"/>
    </row>
    <row r="424" spans="5:6" x14ac:dyDescent="0.15">
      <c r="E424" s="218"/>
      <c r="F424" s="218"/>
    </row>
    <row r="425" spans="5:6" x14ac:dyDescent="0.15">
      <c r="E425" s="218"/>
      <c r="F425" s="218"/>
    </row>
    <row r="426" spans="5:6" x14ac:dyDescent="0.15">
      <c r="E426" s="218"/>
      <c r="F426" s="218"/>
    </row>
    <row r="427" spans="5:6" x14ac:dyDescent="0.15">
      <c r="E427" s="218"/>
      <c r="F427" s="218"/>
    </row>
    <row r="428" spans="5:6" x14ac:dyDescent="0.15">
      <c r="E428" s="218"/>
      <c r="F428" s="218"/>
    </row>
    <row r="429" spans="5:6" x14ac:dyDescent="0.15">
      <c r="E429" s="218"/>
      <c r="F429" s="218"/>
    </row>
    <row r="430" spans="5:6" x14ac:dyDescent="0.15">
      <c r="E430" s="218"/>
      <c r="F430" s="218"/>
    </row>
    <row r="431" spans="5:6" x14ac:dyDescent="0.15">
      <c r="E431" s="218"/>
      <c r="F431" s="218"/>
    </row>
    <row r="432" spans="5:6" x14ac:dyDescent="0.15">
      <c r="E432" s="218"/>
      <c r="F432" s="218"/>
    </row>
    <row r="433" spans="5:6" x14ac:dyDescent="0.15">
      <c r="E433" s="218"/>
      <c r="F433" s="218"/>
    </row>
    <row r="434" spans="5:6" x14ac:dyDescent="0.15">
      <c r="E434" s="218"/>
      <c r="F434" s="218"/>
    </row>
    <row r="435" spans="5:6" x14ac:dyDescent="0.15">
      <c r="E435" s="218"/>
      <c r="F435" s="218"/>
    </row>
    <row r="436" spans="5:6" x14ac:dyDescent="0.15">
      <c r="E436" s="218"/>
      <c r="F436" s="218"/>
    </row>
    <row r="437" spans="5:6" x14ac:dyDescent="0.15">
      <c r="E437" s="218"/>
      <c r="F437" s="218"/>
    </row>
    <row r="438" spans="5:6" x14ac:dyDescent="0.15">
      <c r="E438" s="218"/>
      <c r="F438" s="218"/>
    </row>
    <row r="439" spans="5:6" x14ac:dyDescent="0.15">
      <c r="E439" s="218"/>
      <c r="F439" s="218"/>
    </row>
    <row r="440" spans="5:6" x14ac:dyDescent="0.15">
      <c r="E440" s="218"/>
      <c r="F440" s="218"/>
    </row>
    <row r="441" spans="5:6" x14ac:dyDescent="0.15">
      <c r="E441" s="218"/>
      <c r="F441" s="218"/>
    </row>
    <row r="442" spans="5:6" x14ac:dyDescent="0.15">
      <c r="E442" s="218"/>
      <c r="F442" s="218"/>
    </row>
    <row r="443" spans="5:6" x14ac:dyDescent="0.15">
      <c r="E443" s="218"/>
      <c r="F443" s="218"/>
    </row>
    <row r="444" spans="5:6" x14ac:dyDescent="0.15">
      <c r="E444" s="218"/>
      <c r="F444" s="218"/>
    </row>
    <row r="445" spans="5:6" x14ac:dyDescent="0.15">
      <c r="E445" s="218"/>
      <c r="F445" s="218"/>
    </row>
    <row r="446" spans="5:6" x14ac:dyDescent="0.15">
      <c r="E446" s="218"/>
      <c r="F446" s="218"/>
    </row>
    <row r="447" spans="5:6" x14ac:dyDescent="0.15">
      <c r="E447" s="218"/>
      <c r="F447" s="218"/>
    </row>
    <row r="448" spans="5:6" x14ac:dyDescent="0.15">
      <c r="E448" s="218"/>
      <c r="F448" s="218"/>
    </row>
    <row r="449" spans="5:6" x14ac:dyDescent="0.15">
      <c r="E449" s="218"/>
      <c r="F449" s="218"/>
    </row>
    <row r="450" spans="5:6" x14ac:dyDescent="0.15">
      <c r="E450" s="218"/>
      <c r="F450" s="218"/>
    </row>
    <row r="451" spans="5:6" x14ac:dyDescent="0.15">
      <c r="E451" s="218"/>
      <c r="F451" s="218"/>
    </row>
    <row r="452" spans="5:6" x14ac:dyDescent="0.15">
      <c r="E452" s="218"/>
      <c r="F452" s="218"/>
    </row>
    <row r="453" spans="5:6" x14ac:dyDescent="0.15">
      <c r="E453" s="218"/>
      <c r="F453" s="218"/>
    </row>
    <row r="454" spans="5:6" x14ac:dyDescent="0.15">
      <c r="E454" s="218"/>
      <c r="F454" s="218"/>
    </row>
    <row r="455" spans="5:6" x14ac:dyDescent="0.15">
      <c r="E455" s="218"/>
      <c r="F455" s="218"/>
    </row>
    <row r="456" spans="5:6" x14ac:dyDescent="0.15">
      <c r="E456" s="218"/>
      <c r="F456" s="218"/>
    </row>
    <row r="457" spans="5:6" x14ac:dyDescent="0.15">
      <c r="E457" s="218"/>
      <c r="F457" s="218"/>
    </row>
    <row r="458" spans="5:6" x14ac:dyDescent="0.15">
      <c r="E458" s="218"/>
      <c r="F458" s="218"/>
    </row>
    <row r="459" spans="5:6" x14ac:dyDescent="0.15">
      <c r="E459" s="218"/>
      <c r="F459" s="218"/>
    </row>
    <row r="460" spans="5:6" x14ac:dyDescent="0.15">
      <c r="E460" s="218"/>
      <c r="F460" s="218"/>
    </row>
    <row r="461" spans="5:6" x14ac:dyDescent="0.15">
      <c r="E461" s="218"/>
      <c r="F461" s="218"/>
    </row>
    <row r="462" spans="5:6" x14ac:dyDescent="0.15">
      <c r="E462" s="218"/>
      <c r="F462" s="218"/>
    </row>
    <row r="463" spans="5:6" x14ac:dyDescent="0.15">
      <c r="E463" s="218"/>
      <c r="F463" s="218"/>
    </row>
    <row r="464" spans="5:6" x14ac:dyDescent="0.15">
      <c r="E464" s="218"/>
      <c r="F464" s="218"/>
    </row>
    <row r="465" spans="5:6" x14ac:dyDescent="0.15">
      <c r="E465" s="218"/>
      <c r="F465" s="218"/>
    </row>
    <row r="466" spans="5:6" x14ac:dyDescent="0.15">
      <c r="E466" s="218"/>
      <c r="F466" s="218"/>
    </row>
    <row r="467" spans="5:6" x14ac:dyDescent="0.15">
      <c r="E467" s="218"/>
      <c r="F467" s="218"/>
    </row>
    <row r="468" spans="5:6" x14ac:dyDescent="0.15">
      <c r="E468" s="218"/>
      <c r="F468" s="218"/>
    </row>
    <row r="469" spans="5:6" x14ac:dyDescent="0.15">
      <c r="E469" s="218"/>
      <c r="F469" s="218"/>
    </row>
    <row r="470" spans="5:6" x14ac:dyDescent="0.15">
      <c r="E470" s="218"/>
      <c r="F470" s="218"/>
    </row>
    <row r="471" spans="5:6" x14ac:dyDescent="0.15">
      <c r="E471" s="218"/>
      <c r="F471" s="218"/>
    </row>
    <row r="472" spans="5:6" x14ac:dyDescent="0.15">
      <c r="E472" s="218"/>
      <c r="F472" s="218"/>
    </row>
    <row r="473" spans="5:6" x14ac:dyDescent="0.15">
      <c r="E473" s="218"/>
      <c r="F473" s="218"/>
    </row>
    <row r="474" spans="5:6" x14ac:dyDescent="0.15">
      <c r="E474" s="218"/>
      <c r="F474" s="218"/>
    </row>
    <row r="475" spans="5:6" x14ac:dyDescent="0.15">
      <c r="E475" s="218"/>
      <c r="F475" s="218"/>
    </row>
    <row r="476" spans="5:6" x14ac:dyDescent="0.15">
      <c r="E476" s="218"/>
      <c r="F476" s="218"/>
    </row>
    <row r="477" spans="5:6" x14ac:dyDescent="0.15">
      <c r="E477" s="218"/>
      <c r="F477" s="218"/>
    </row>
    <row r="478" spans="5:6" x14ac:dyDescent="0.15">
      <c r="E478" s="218"/>
      <c r="F478" s="218"/>
    </row>
    <row r="479" spans="5:6" x14ac:dyDescent="0.15">
      <c r="E479" s="218"/>
      <c r="F479" s="218"/>
    </row>
    <row r="480" spans="5:6" x14ac:dyDescent="0.15">
      <c r="E480" s="218"/>
      <c r="F480" s="218"/>
    </row>
    <row r="481" spans="5:6" x14ac:dyDescent="0.15">
      <c r="E481" s="218"/>
      <c r="F481" s="218"/>
    </row>
    <row r="482" spans="5:6" x14ac:dyDescent="0.15">
      <c r="E482" s="218"/>
      <c r="F482" s="218"/>
    </row>
    <row r="483" spans="5:6" x14ac:dyDescent="0.15">
      <c r="E483" s="218"/>
      <c r="F483" s="218"/>
    </row>
    <row r="484" spans="5:6" x14ac:dyDescent="0.15">
      <c r="E484" s="218"/>
      <c r="F484" s="218"/>
    </row>
    <row r="485" spans="5:6" x14ac:dyDescent="0.15">
      <c r="E485" s="218"/>
      <c r="F485" s="218"/>
    </row>
    <row r="486" spans="5:6" x14ac:dyDescent="0.15">
      <c r="E486" s="218"/>
      <c r="F486" s="218"/>
    </row>
    <row r="487" spans="5:6" x14ac:dyDescent="0.15">
      <c r="E487" s="218"/>
      <c r="F487" s="218"/>
    </row>
    <row r="488" spans="5:6" x14ac:dyDescent="0.15">
      <c r="E488" s="218"/>
      <c r="F488" s="218"/>
    </row>
    <row r="489" spans="5:6" x14ac:dyDescent="0.15">
      <c r="E489" s="218"/>
      <c r="F489" s="218"/>
    </row>
    <row r="490" spans="5:6" x14ac:dyDescent="0.15">
      <c r="E490" s="218"/>
      <c r="F490" s="218"/>
    </row>
    <row r="491" spans="5:6" x14ac:dyDescent="0.15">
      <c r="E491" s="218"/>
      <c r="F491" s="218"/>
    </row>
    <row r="492" spans="5:6" x14ac:dyDescent="0.15">
      <c r="E492" s="218"/>
      <c r="F492" s="218"/>
    </row>
    <row r="493" spans="5:6" x14ac:dyDescent="0.15">
      <c r="E493" s="218"/>
      <c r="F493" s="218"/>
    </row>
    <row r="494" spans="5:6" x14ac:dyDescent="0.15">
      <c r="E494" s="218"/>
      <c r="F494" s="218"/>
    </row>
    <row r="495" spans="5:6" x14ac:dyDescent="0.15">
      <c r="E495" s="218"/>
      <c r="F495" s="218"/>
    </row>
    <row r="496" spans="5:6" x14ac:dyDescent="0.15">
      <c r="E496" s="218"/>
      <c r="F496" s="218"/>
    </row>
    <row r="497" spans="5:6" x14ac:dyDescent="0.15">
      <c r="E497" s="218"/>
      <c r="F497" s="218"/>
    </row>
    <row r="498" spans="5:6" x14ac:dyDescent="0.15">
      <c r="E498" s="218"/>
      <c r="F498" s="218"/>
    </row>
    <row r="499" spans="5:6" x14ac:dyDescent="0.15">
      <c r="E499" s="218"/>
      <c r="F499" s="218"/>
    </row>
    <row r="500" spans="5:6" x14ac:dyDescent="0.15">
      <c r="E500" s="218"/>
      <c r="F500" s="218"/>
    </row>
    <row r="501" spans="5:6" x14ac:dyDescent="0.15">
      <c r="E501" s="218"/>
      <c r="F501" s="218"/>
    </row>
    <row r="502" spans="5:6" x14ac:dyDescent="0.15">
      <c r="E502" s="218"/>
      <c r="F502" s="218"/>
    </row>
    <row r="503" spans="5:6" x14ac:dyDescent="0.15">
      <c r="E503" s="218"/>
      <c r="F503" s="218"/>
    </row>
    <row r="504" spans="5:6" x14ac:dyDescent="0.15">
      <c r="E504" s="218"/>
      <c r="F504" s="218"/>
    </row>
    <row r="505" spans="5:6" x14ac:dyDescent="0.15">
      <c r="E505" s="218"/>
      <c r="F505" s="218"/>
    </row>
    <row r="506" spans="5:6" x14ac:dyDescent="0.15">
      <c r="E506" s="218"/>
      <c r="F506" s="218"/>
    </row>
    <row r="507" spans="5:6" x14ac:dyDescent="0.15">
      <c r="E507" s="218"/>
      <c r="F507" s="218"/>
    </row>
    <row r="508" spans="5:6" x14ac:dyDescent="0.15">
      <c r="E508" s="218"/>
      <c r="F508" s="218"/>
    </row>
    <row r="509" spans="5:6" x14ac:dyDescent="0.15">
      <c r="E509" s="218"/>
      <c r="F509" s="218"/>
    </row>
    <row r="510" spans="5:6" x14ac:dyDescent="0.15">
      <c r="E510" s="218"/>
      <c r="F510" s="218"/>
    </row>
    <row r="511" spans="5:6" x14ac:dyDescent="0.15">
      <c r="E511" s="218"/>
      <c r="F511" s="218"/>
    </row>
    <row r="512" spans="5:6" x14ac:dyDescent="0.15">
      <c r="E512" s="218"/>
      <c r="F512" s="218"/>
    </row>
    <row r="513" spans="5:6" x14ac:dyDescent="0.15">
      <c r="E513" s="218"/>
      <c r="F513" s="218"/>
    </row>
    <row r="514" spans="5:6" x14ac:dyDescent="0.15">
      <c r="E514" s="218"/>
      <c r="F514" s="218"/>
    </row>
    <row r="515" spans="5:6" x14ac:dyDescent="0.15">
      <c r="E515" s="218"/>
      <c r="F515" s="218"/>
    </row>
    <row r="516" spans="5:6" x14ac:dyDescent="0.15">
      <c r="E516" s="218"/>
      <c r="F516" s="218"/>
    </row>
    <row r="517" spans="5:6" x14ac:dyDescent="0.15">
      <c r="E517" s="218"/>
      <c r="F517" s="218"/>
    </row>
    <row r="518" spans="5:6" x14ac:dyDescent="0.15">
      <c r="E518" s="218"/>
      <c r="F518" s="218"/>
    </row>
    <row r="519" spans="5:6" x14ac:dyDescent="0.15">
      <c r="E519" s="218"/>
      <c r="F519" s="218"/>
    </row>
    <row r="520" spans="5:6" x14ac:dyDescent="0.15">
      <c r="E520" s="218"/>
      <c r="F520" s="218"/>
    </row>
    <row r="521" spans="5:6" x14ac:dyDescent="0.15">
      <c r="E521" s="218"/>
      <c r="F521" s="218"/>
    </row>
    <row r="522" spans="5:6" x14ac:dyDescent="0.15">
      <c r="E522" s="218"/>
      <c r="F522" s="218"/>
    </row>
    <row r="523" spans="5:6" x14ac:dyDescent="0.15">
      <c r="E523" s="218"/>
      <c r="F523" s="218"/>
    </row>
    <row r="524" spans="5:6" x14ac:dyDescent="0.15">
      <c r="E524" s="218"/>
      <c r="F524" s="218"/>
    </row>
    <row r="525" spans="5:6" x14ac:dyDescent="0.15">
      <c r="E525" s="218"/>
      <c r="F525" s="218"/>
    </row>
    <row r="526" spans="5:6" x14ac:dyDescent="0.15">
      <c r="E526" s="218"/>
      <c r="F526" s="218"/>
    </row>
    <row r="527" spans="5:6" x14ac:dyDescent="0.15">
      <c r="E527" s="218"/>
      <c r="F527" s="218"/>
    </row>
    <row r="528" spans="5:6" x14ac:dyDescent="0.15">
      <c r="E528" s="218"/>
      <c r="F528" s="218"/>
    </row>
    <row r="529" spans="5:6" x14ac:dyDescent="0.15">
      <c r="E529" s="218"/>
      <c r="F529" s="218"/>
    </row>
    <row r="530" spans="5:6" x14ac:dyDescent="0.15">
      <c r="E530" s="218"/>
      <c r="F530" s="218"/>
    </row>
    <row r="531" spans="5:6" x14ac:dyDescent="0.15">
      <c r="E531" s="218"/>
      <c r="F531" s="218"/>
    </row>
    <row r="532" spans="5:6" x14ac:dyDescent="0.15">
      <c r="E532" s="218"/>
      <c r="F532" s="218"/>
    </row>
    <row r="533" spans="5:6" x14ac:dyDescent="0.15">
      <c r="E533" s="218"/>
      <c r="F533" s="218"/>
    </row>
    <row r="534" spans="5:6" x14ac:dyDescent="0.15">
      <c r="E534" s="218"/>
      <c r="F534" s="218"/>
    </row>
    <row r="535" spans="5:6" x14ac:dyDescent="0.15">
      <c r="E535" s="218"/>
      <c r="F535" s="218"/>
    </row>
    <row r="536" spans="5:6" x14ac:dyDescent="0.15">
      <c r="E536" s="218"/>
      <c r="F536" s="218"/>
    </row>
    <row r="537" spans="5:6" x14ac:dyDescent="0.15">
      <c r="E537" s="218"/>
      <c r="F537" s="218"/>
    </row>
    <row r="538" spans="5:6" x14ac:dyDescent="0.15">
      <c r="E538" s="218"/>
      <c r="F538" s="218"/>
    </row>
    <row r="539" spans="5:6" x14ac:dyDescent="0.15">
      <c r="E539" s="218"/>
      <c r="F539" s="218"/>
    </row>
    <row r="540" spans="5:6" x14ac:dyDescent="0.15">
      <c r="E540" s="218"/>
      <c r="F540" s="218"/>
    </row>
    <row r="541" spans="5:6" x14ac:dyDescent="0.15">
      <c r="E541" s="218"/>
      <c r="F541" s="218"/>
    </row>
    <row r="542" spans="5:6" x14ac:dyDescent="0.15">
      <c r="E542" s="218"/>
      <c r="F542" s="218"/>
    </row>
    <row r="543" spans="5:6" x14ac:dyDescent="0.15">
      <c r="E543" s="218"/>
      <c r="F543" s="218"/>
    </row>
    <row r="544" spans="5:6" x14ac:dyDescent="0.15">
      <c r="E544" s="218"/>
      <c r="F544" s="218"/>
    </row>
    <row r="545" spans="5:6" x14ac:dyDescent="0.15">
      <c r="E545" s="218"/>
      <c r="F545" s="218"/>
    </row>
    <row r="546" spans="5:6" x14ac:dyDescent="0.15">
      <c r="E546" s="218"/>
      <c r="F546" s="218"/>
    </row>
    <row r="547" spans="5:6" x14ac:dyDescent="0.15">
      <c r="E547" s="218"/>
      <c r="F547" s="218"/>
    </row>
    <row r="548" spans="5:6" x14ac:dyDescent="0.15">
      <c r="E548" s="218"/>
      <c r="F548" s="218"/>
    </row>
    <row r="549" spans="5:6" x14ac:dyDescent="0.15">
      <c r="E549" s="218"/>
      <c r="F549" s="218"/>
    </row>
    <row r="550" spans="5:6" x14ac:dyDescent="0.15">
      <c r="E550" s="218"/>
      <c r="F550" s="218"/>
    </row>
    <row r="551" spans="5:6" x14ac:dyDescent="0.15">
      <c r="E551" s="218"/>
      <c r="F551" s="218"/>
    </row>
    <row r="552" spans="5:6" x14ac:dyDescent="0.15">
      <c r="E552" s="218"/>
      <c r="F552" s="218"/>
    </row>
    <row r="553" spans="5:6" x14ac:dyDescent="0.15">
      <c r="E553" s="218"/>
      <c r="F553" s="218"/>
    </row>
    <row r="554" spans="5:6" x14ac:dyDescent="0.15">
      <c r="E554" s="218"/>
      <c r="F554" s="218"/>
    </row>
    <row r="555" spans="5:6" x14ac:dyDescent="0.15">
      <c r="E555" s="218"/>
      <c r="F555" s="218"/>
    </row>
    <row r="556" spans="5:6" x14ac:dyDescent="0.15">
      <c r="E556" s="218"/>
      <c r="F556" s="218"/>
    </row>
    <row r="557" spans="5:6" x14ac:dyDescent="0.15">
      <c r="E557" s="218"/>
      <c r="F557" s="218"/>
    </row>
    <row r="558" spans="5:6" x14ac:dyDescent="0.15">
      <c r="E558" s="218"/>
      <c r="F558" s="218"/>
    </row>
    <row r="559" spans="5:6" x14ac:dyDescent="0.15">
      <c r="E559" s="218"/>
      <c r="F559" s="218"/>
    </row>
    <row r="560" spans="5:6" x14ac:dyDescent="0.15">
      <c r="E560" s="218"/>
      <c r="F560" s="218"/>
    </row>
    <row r="561" spans="5:6" x14ac:dyDescent="0.15">
      <c r="E561" s="218"/>
      <c r="F561" s="218"/>
    </row>
    <row r="562" spans="5:6" x14ac:dyDescent="0.15">
      <c r="E562" s="218"/>
      <c r="F562" s="218"/>
    </row>
    <row r="563" spans="5:6" x14ac:dyDescent="0.15">
      <c r="E563" s="218"/>
      <c r="F563" s="218"/>
    </row>
    <row r="564" spans="5:6" x14ac:dyDescent="0.15">
      <c r="E564" s="218"/>
      <c r="F564" s="218"/>
    </row>
    <row r="565" spans="5:6" x14ac:dyDescent="0.15">
      <c r="E565" s="218"/>
      <c r="F565" s="218"/>
    </row>
    <row r="566" spans="5:6" x14ac:dyDescent="0.15">
      <c r="E566" s="218"/>
      <c r="F566" s="218"/>
    </row>
    <row r="567" spans="5:6" x14ac:dyDescent="0.15">
      <c r="E567" s="218"/>
      <c r="F567" s="218"/>
    </row>
    <row r="568" spans="5:6" x14ac:dyDescent="0.15">
      <c r="E568" s="218"/>
      <c r="F568" s="218"/>
    </row>
    <row r="569" spans="5:6" x14ac:dyDescent="0.15">
      <c r="E569" s="218"/>
      <c r="F569" s="218"/>
    </row>
    <row r="570" spans="5:6" x14ac:dyDescent="0.15">
      <c r="E570" s="218"/>
      <c r="F570" s="218"/>
    </row>
    <row r="571" spans="5:6" x14ac:dyDescent="0.15">
      <c r="E571" s="218"/>
      <c r="F571" s="218"/>
    </row>
    <row r="572" spans="5:6" x14ac:dyDescent="0.15">
      <c r="E572" s="218"/>
      <c r="F572" s="218"/>
    </row>
    <row r="573" spans="5:6" x14ac:dyDescent="0.15">
      <c r="E573" s="218"/>
      <c r="F573" s="218"/>
    </row>
    <row r="574" spans="5:6" x14ac:dyDescent="0.15">
      <c r="E574" s="218"/>
      <c r="F574" s="218"/>
    </row>
    <row r="575" spans="5:6" x14ac:dyDescent="0.15">
      <c r="E575" s="218"/>
      <c r="F575" s="218"/>
    </row>
    <row r="576" spans="5:6" x14ac:dyDescent="0.15">
      <c r="E576" s="218"/>
      <c r="F576" s="218"/>
    </row>
    <row r="577" spans="5:6" x14ac:dyDescent="0.15">
      <c r="E577" s="218"/>
      <c r="F577" s="218"/>
    </row>
    <row r="578" spans="5:6" x14ac:dyDescent="0.15">
      <c r="E578" s="218"/>
      <c r="F578" s="218"/>
    </row>
    <row r="579" spans="5:6" x14ac:dyDescent="0.15">
      <c r="E579" s="218"/>
      <c r="F579" s="218"/>
    </row>
    <row r="580" spans="5:6" x14ac:dyDescent="0.15">
      <c r="E580" s="218"/>
      <c r="F580" s="218"/>
    </row>
    <row r="581" spans="5:6" x14ac:dyDescent="0.15">
      <c r="E581" s="218"/>
      <c r="F581" s="218"/>
    </row>
    <row r="582" spans="5:6" x14ac:dyDescent="0.15">
      <c r="E582" s="218"/>
      <c r="F582" s="218"/>
    </row>
    <row r="583" spans="5:6" x14ac:dyDescent="0.15">
      <c r="E583" s="218"/>
      <c r="F583" s="218"/>
    </row>
    <row r="584" spans="5:6" x14ac:dyDescent="0.15">
      <c r="E584" s="218"/>
      <c r="F584" s="218"/>
    </row>
    <row r="585" spans="5:6" x14ac:dyDescent="0.15">
      <c r="E585" s="218"/>
      <c r="F585" s="218"/>
    </row>
    <row r="586" spans="5:6" x14ac:dyDescent="0.15">
      <c r="E586" s="218"/>
      <c r="F586" s="218"/>
    </row>
    <row r="587" spans="5:6" x14ac:dyDescent="0.15">
      <c r="E587" s="218"/>
      <c r="F587" s="218"/>
    </row>
    <row r="588" spans="5:6" x14ac:dyDescent="0.15">
      <c r="E588" s="218"/>
      <c r="F588" s="218"/>
    </row>
    <row r="589" spans="5:6" x14ac:dyDescent="0.15">
      <c r="E589" s="218"/>
      <c r="F589" s="218"/>
    </row>
    <row r="590" spans="5:6" x14ac:dyDescent="0.15">
      <c r="E590" s="218"/>
      <c r="F590" s="218"/>
    </row>
    <row r="591" spans="5:6" x14ac:dyDescent="0.15">
      <c r="E591" s="218"/>
      <c r="F591" s="218"/>
    </row>
    <row r="592" spans="5:6" x14ac:dyDescent="0.15">
      <c r="E592" s="218"/>
      <c r="F592" s="218"/>
    </row>
    <row r="593" spans="5:6" x14ac:dyDescent="0.15">
      <c r="E593" s="218"/>
      <c r="F593" s="218"/>
    </row>
    <row r="594" spans="5:6" x14ac:dyDescent="0.15">
      <c r="E594" s="218"/>
      <c r="F594" s="218"/>
    </row>
    <row r="595" spans="5:6" x14ac:dyDescent="0.15">
      <c r="E595" s="218"/>
      <c r="F595" s="218"/>
    </row>
    <row r="596" spans="5:6" x14ac:dyDescent="0.15">
      <c r="E596" s="218"/>
      <c r="F596" s="218"/>
    </row>
    <row r="597" spans="5:6" x14ac:dyDescent="0.15">
      <c r="E597" s="218"/>
      <c r="F597" s="218"/>
    </row>
    <row r="598" spans="5:6" x14ac:dyDescent="0.15">
      <c r="E598" s="218"/>
      <c r="F598" s="218"/>
    </row>
    <row r="599" spans="5:6" x14ac:dyDescent="0.15">
      <c r="E599" s="218"/>
      <c r="F599" s="218"/>
    </row>
    <row r="600" spans="5:6" x14ac:dyDescent="0.15">
      <c r="E600" s="218"/>
      <c r="F600" s="218"/>
    </row>
    <row r="601" spans="5:6" x14ac:dyDescent="0.15">
      <c r="E601" s="218"/>
      <c r="F601" s="218"/>
    </row>
    <row r="602" spans="5:6" x14ac:dyDescent="0.15">
      <c r="E602" s="218"/>
      <c r="F602" s="218"/>
    </row>
    <row r="603" spans="5:6" x14ac:dyDescent="0.15">
      <c r="E603" s="218"/>
      <c r="F603" s="218"/>
    </row>
    <row r="604" spans="5:6" x14ac:dyDescent="0.15">
      <c r="E604" s="218"/>
      <c r="F604" s="218"/>
    </row>
    <row r="605" spans="5:6" x14ac:dyDescent="0.15">
      <c r="E605" s="218"/>
      <c r="F605" s="218"/>
    </row>
    <row r="606" spans="5:6" x14ac:dyDescent="0.15">
      <c r="E606" s="218"/>
      <c r="F606" s="218"/>
    </row>
    <row r="607" spans="5:6" x14ac:dyDescent="0.15">
      <c r="E607" s="218"/>
      <c r="F607" s="218"/>
    </row>
    <row r="608" spans="5:6" x14ac:dyDescent="0.15">
      <c r="E608" s="218"/>
      <c r="F608" s="218"/>
    </row>
    <row r="609" spans="5:6" x14ac:dyDescent="0.15">
      <c r="E609" s="218"/>
      <c r="F609" s="218"/>
    </row>
    <row r="610" spans="5:6" x14ac:dyDescent="0.15">
      <c r="E610" s="218"/>
      <c r="F610" s="218"/>
    </row>
    <row r="611" spans="5:6" x14ac:dyDescent="0.15">
      <c r="E611" s="218"/>
      <c r="F611" s="218"/>
    </row>
    <row r="612" spans="5:6" x14ac:dyDescent="0.15">
      <c r="E612" s="218"/>
      <c r="F612" s="218"/>
    </row>
    <row r="613" spans="5:6" x14ac:dyDescent="0.15">
      <c r="E613" s="218"/>
      <c r="F613" s="218"/>
    </row>
    <row r="614" spans="5:6" x14ac:dyDescent="0.15">
      <c r="E614" s="218"/>
      <c r="F614" s="218"/>
    </row>
    <row r="615" spans="5:6" x14ac:dyDescent="0.15">
      <c r="E615" s="218"/>
      <c r="F615" s="218"/>
    </row>
    <row r="616" spans="5:6" x14ac:dyDescent="0.15">
      <c r="E616" s="218"/>
      <c r="F616" s="218"/>
    </row>
    <row r="617" spans="5:6" x14ac:dyDescent="0.15">
      <c r="E617" s="218"/>
      <c r="F617" s="218"/>
    </row>
    <row r="618" spans="5:6" x14ac:dyDescent="0.15">
      <c r="E618" s="218"/>
      <c r="F618" s="218"/>
    </row>
    <row r="619" spans="5:6" x14ac:dyDescent="0.15">
      <c r="E619" s="218"/>
      <c r="F619" s="218"/>
    </row>
    <row r="620" spans="5:6" x14ac:dyDescent="0.15">
      <c r="E620" s="218"/>
      <c r="F620" s="218"/>
    </row>
    <row r="621" spans="5:6" x14ac:dyDescent="0.15">
      <c r="E621" s="218"/>
      <c r="F621" s="218"/>
    </row>
    <row r="622" spans="5:6" x14ac:dyDescent="0.15">
      <c r="E622" s="218"/>
      <c r="F622" s="218"/>
    </row>
    <row r="623" spans="5:6" x14ac:dyDescent="0.15">
      <c r="E623" s="218"/>
      <c r="F623" s="218"/>
    </row>
    <row r="624" spans="5:6" x14ac:dyDescent="0.15">
      <c r="E624" s="218"/>
      <c r="F624" s="218"/>
    </row>
    <row r="625" spans="5:6" x14ac:dyDescent="0.15">
      <c r="E625" s="218"/>
      <c r="F625" s="218"/>
    </row>
    <row r="626" spans="5:6" x14ac:dyDescent="0.15">
      <c r="E626" s="218"/>
      <c r="F626" s="218"/>
    </row>
    <row r="627" spans="5:6" x14ac:dyDescent="0.15">
      <c r="E627" s="218"/>
      <c r="F627" s="218"/>
    </row>
    <row r="628" spans="5:6" x14ac:dyDescent="0.15">
      <c r="E628" s="218"/>
      <c r="F628" s="218"/>
    </row>
    <row r="629" spans="5:6" x14ac:dyDescent="0.15">
      <c r="E629" s="218"/>
      <c r="F629" s="218"/>
    </row>
    <row r="630" spans="5:6" x14ac:dyDescent="0.15">
      <c r="E630" s="218"/>
      <c r="F630" s="218"/>
    </row>
    <row r="631" spans="5:6" x14ac:dyDescent="0.15">
      <c r="E631" s="218"/>
      <c r="F631" s="218"/>
    </row>
    <row r="632" spans="5:6" x14ac:dyDescent="0.15">
      <c r="E632" s="218"/>
      <c r="F632" s="218"/>
    </row>
    <row r="633" spans="5:6" x14ac:dyDescent="0.15">
      <c r="E633" s="218"/>
      <c r="F633" s="218"/>
    </row>
    <row r="634" spans="5:6" x14ac:dyDescent="0.15">
      <c r="E634" s="218"/>
      <c r="F634" s="218"/>
    </row>
    <row r="635" spans="5:6" x14ac:dyDescent="0.15">
      <c r="E635" s="218"/>
      <c r="F635" s="218"/>
    </row>
    <row r="636" spans="5:6" x14ac:dyDescent="0.15">
      <c r="E636" s="218"/>
      <c r="F636" s="218"/>
    </row>
    <row r="637" spans="5:6" x14ac:dyDescent="0.15">
      <c r="E637" s="218"/>
      <c r="F637" s="218"/>
    </row>
    <row r="638" spans="5:6" x14ac:dyDescent="0.15">
      <c r="E638" s="218"/>
      <c r="F638" s="218"/>
    </row>
    <row r="639" spans="5:6" x14ac:dyDescent="0.15">
      <c r="E639" s="218"/>
      <c r="F639" s="218"/>
    </row>
    <row r="640" spans="5:6" x14ac:dyDescent="0.15">
      <c r="E640" s="218"/>
      <c r="F640" s="218"/>
    </row>
    <row r="641" spans="5:6" x14ac:dyDescent="0.15">
      <c r="E641" s="218"/>
      <c r="F641" s="218"/>
    </row>
    <row r="642" spans="5:6" x14ac:dyDescent="0.15">
      <c r="E642" s="218"/>
      <c r="F642" s="218"/>
    </row>
    <row r="643" spans="5:6" x14ac:dyDescent="0.15">
      <c r="E643" s="218"/>
      <c r="F643" s="218"/>
    </row>
    <row r="644" spans="5:6" x14ac:dyDescent="0.15">
      <c r="E644" s="218"/>
      <c r="F644" s="218"/>
    </row>
    <row r="645" spans="5:6" x14ac:dyDescent="0.15">
      <c r="E645" s="218"/>
      <c r="F645" s="218"/>
    </row>
    <row r="646" spans="5:6" x14ac:dyDescent="0.15">
      <c r="E646" s="218"/>
      <c r="F646" s="218"/>
    </row>
    <row r="647" spans="5:6" x14ac:dyDescent="0.15">
      <c r="E647" s="218"/>
      <c r="F647" s="218"/>
    </row>
    <row r="648" spans="5:6" x14ac:dyDescent="0.15">
      <c r="E648" s="218"/>
      <c r="F648" s="218"/>
    </row>
    <row r="649" spans="5:6" x14ac:dyDescent="0.15">
      <c r="E649" s="218"/>
      <c r="F649" s="218"/>
    </row>
    <row r="650" spans="5:6" x14ac:dyDescent="0.15">
      <c r="E650" s="218"/>
      <c r="F650" s="218"/>
    </row>
    <row r="651" spans="5:6" x14ac:dyDescent="0.15">
      <c r="E651" s="218"/>
      <c r="F651" s="218"/>
    </row>
    <row r="652" spans="5:6" x14ac:dyDescent="0.15">
      <c r="E652" s="218"/>
      <c r="F652" s="218"/>
    </row>
    <row r="653" spans="5:6" x14ac:dyDescent="0.15">
      <c r="E653" s="218"/>
      <c r="F653" s="218"/>
    </row>
    <row r="654" spans="5:6" x14ac:dyDescent="0.15">
      <c r="E654" s="218"/>
      <c r="F654" s="218"/>
    </row>
    <row r="655" spans="5:6" x14ac:dyDescent="0.15">
      <c r="E655" s="218"/>
      <c r="F655" s="218"/>
    </row>
    <row r="656" spans="5:6" x14ac:dyDescent="0.15">
      <c r="E656" s="218"/>
      <c r="F656" s="218"/>
    </row>
    <row r="657" spans="5:6" x14ac:dyDescent="0.15">
      <c r="E657" s="218"/>
      <c r="F657" s="218"/>
    </row>
    <row r="658" spans="5:6" x14ac:dyDescent="0.15">
      <c r="E658" s="218"/>
      <c r="F658" s="218"/>
    </row>
    <row r="659" spans="5:6" x14ac:dyDescent="0.15">
      <c r="E659" s="218"/>
      <c r="F659" s="218"/>
    </row>
    <row r="660" spans="5:6" x14ac:dyDescent="0.15">
      <c r="E660" s="218"/>
      <c r="F660" s="218"/>
    </row>
    <row r="661" spans="5:6" x14ac:dyDescent="0.15">
      <c r="E661" s="218"/>
      <c r="F661" s="218"/>
    </row>
    <row r="662" spans="5:6" x14ac:dyDescent="0.15">
      <c r="E662" s="218"/>
      <c r="F662" s="218"/>
    </row>
    <row r="663" spans="5:6" x14ac:dyDescent="0.15">
      <c r="E663" s="218"/>
      <c r="F663" s="218"/>
    </row>
    <row r="664" spans="5:6" x14ac:dyDescent="0.15">
      <c r="E664" s="218"/>
      <c r="F664" s="218"/>
    </row>
    <row r="665" spans="5:6" x14ac:dyDescent="0.15">
      <c r="E665" s="218"/>
      <c r="F665" s="218"/>
    </row>
    <row r="666" spans="5:6" x14ac:dyDescent="0.15">
      <c r="E666" s="218"/>
      <c r="F666" s="218"/>
    </row>
    <row r="667" spans="5:6" x14ac:dyDescent="0.15">
      <c r="E667" s="218"/>
      <c r="F667" s="218"/>
    </row>
    <row r="668" spans="5:6" x14ac:dyDescent="0.15">
      <c r="E668" s="218"/>
      <c r="F668" s="218"/>
    </row>
    <row r="669" spans="5:6" x14ac:dyDescent="0.15">
      <c r="E669" s="218"/>
      <c r="F669" s="218"/>
    </row>
    <row r="670" spans="5:6" x14ac:dyDescent="0.15">
      <c r="E670" s="218"/>
      <c r="F670" s="218"/>
    </row>
    <row r="671" spans="5:6" x14ac:dyDescent="0.15">
      <c r="E671" s="218"/>
      <c r="F671" s="218"/>
    </row>
    <row r="672" spans="5:6" x14ac:dyDescent="0.15">
      <c r="E672" s="218"/>
      <c r="F672" s="218"/>
    </row>
    <row r="673" spans="5:6" x14ac:dyDescent="0.15">
      <c r="E673" s="218"/>
      <c r="F673" s="218"/>
    </row>
    <row r="674" spans="5:6" x14ac:dyDescent="0.15">
      <c r="E674" s="218"/>
      <c r="F674" s="218"/>
    </row>
    <row r="675" spans="5:6" x14ac:dyDescent="0.15">
      <c r="E675" s="218"/>
      <c r="F675" s="218"/>
    </row>
    <row r="676" spans="5:6" x14ac:dyDescent="0.15">
      <c r="E676" s="218"/>
      <c r="F676" s="218"/>
    </row>
    <row r="677" spans="5:6" x14ac:dyDescent="0.15">
      <c r="E677" s="218"/>
      <c r="F677" s="218"/>
    </row>
    <row r="678" spans="5:6" x14ac:dyDescent="0.15">
      <c r="E678" s="218"/>
      <c r="F678" s="218"/>
    </row>
    <row r="679" spans="5:6" x14ac:dyDescent="0.15">
      <c r="E679" s="218"/>
      <c r="F679" s="218"/>
    </row>
    <row r="680" spans="5:6" x14ac:dyDescent="0.15">
      <c r="E680" s="218"/>
      <c r="F680" s="218"/>
    </row>
    <row r="681" spans="5:6" x14ac:dyDescent="0.15">
      <c r="E681" s="218"/>
      <c r="F681" s="218"/>
    </row>
    <row r="682" spans="5:6" x14ac:dyDescent="0.15">
      <c r="E682" s="218"/>
      <c r="F682" s="218"/>
    </row>
    <row r="683" spans="5:6" x14ac:dyDescent="0.15">
      <c r="E683" s="218"/>
      <c r="F683" s="218"/>
    </row>
    <row r="684" spans="5:6" x14ac:dyDescent="0.15">
      <c r="E684" s="218"/>
      <c r="F684" s="218"/>
    </row>
    <row r="685" spans="5:6" x14ac:dyDescent="0.15">
      <c r="E685" s="218"/>
      <c r="F685" s="218"/>
    </row>
    <row r="686" spans="5:6" x14ac:dyDescent="0.15">
      <c r="E686" s="218"/>
      <c r="F686" s="218"/>
    </row>
    <row r="687" spans="5:6" x14ac:dyDescent="0.15">
      <c r="E687" s="218"/>
      <c r="F687" s="218"/>
    </row>
    <row r="688" spans="5:6" x14ac:dyDescent="0.15">
      <c r="E688" s="218"/>
      <c r="F688" s="218"/>
    </row>
    <row r="689" spans="5:6" x14ac:dyDescent="0.15">
      <c r="E689" s="218"/>
      <c r="F689" s="218"/>
    </row>
    <row r="690" spans="5:6" x14ac:dyDescent="0.15">
      <c r="E690" s="218"/>
      <c r="F690" s="218"/>
    </row>
    <row r="691" spans="5:6" x14ac:dyDescent="0.15">
      <c r="E691" s="218"/>
      <c r="F691" s="218"/>
    </row>
    <row r="692" spans="5:6" x14ac:dyDescent="0.15">
      <c r="E692" s="218"/>
      <c r="F692" s="218"/>
    </row>
    <row r="693" spans="5:6" x14ac:dyDescent="0.15">
      <c r="E693" s="218"/>
      <c r="F693" s="218"/>
    </row>
    <row r="694" spans="5:6" x14ac:dyDescent="0.15">
      <c r="E694" s="218"/>
      <c r="F694" s="218"/>
    </row>
    <row r="695" spans="5:6" x14ac:dyDescent="0.15">
      <c r="E695" s="218"/>
      <c r="F695" s="218"/>
    </row>
    <row r="696" spans="5:6" x14ac:dyDescent="0.15">
      <c r="E696" s="218"/>
      <c r="F696" s="218"/>
    </row>
    <row r="697" spans="5:6" x14ac:dyDescent="0.15">
      <c r="E697" s="218"/>
      <c r="F697" s="218"/>
    </row>
    <row r="698" spans="5:6" x14ac:dyDescent="0.15">
      <c r="E698" s="218"/>
      <c r="F698" s="218"/>
    </row>
    <row r="699" spans="5:6" x14ac:dyDescent="0.15">
      <c r="E699" s="218"/>
      <c r="F699" s="218"/>
    </row>
    <row r="700" spans="5:6" x14ac:dyDescent="0.15">
      <c r="E700" s="218"/>
      <c r="F700" s="218"/>
    </row>
    <row r="701" spans="5:6" x14ac:dyDescent="0.15">
      <c r="E701" s="218"/>
      <c r="F701" s="218"/>
    </row>
    <row r="702" spans="5:6" x14ac:dyDescent="0.15">
      <c r="E702" s="218"/>
      <c r="F702" s="218"/>
    </row>
    <row r="703" spans="5:6" x14ac:dyDescent="0.15">
      <c r="E703" s="218"/>
      <c r="F703" s="218"/>
    </row>
    <row r="704" spans="5:6" x14ac:dyDescent="0.15">
      <c r="E704" s="218"/>
      <c r="F704" s="218"/>
    </row>
    <row r="705" spans="5:6" x14ac:dyDescent="0.15">
      <c r="E705" s="218"/>
      <c r="F705" s="218"/>
    </row>
    <row r="706" spans="5:6" x14ac:dyDescent="0.15">
      <c r="E706" s="218"/>
      <c r="F706" s="218"/>
    </row>
    <row r="707" spans="5:6" x14ac:dyDescent="0.15">
      <c r="E707" s="218"/>
      <c r="F707" s="218"/>
    </row>
    <row r="708" spans="5:6" x14ac:dyDescent="0.15">
      <c r="E708" s="218"/>
      <c r="F708" s="218"/>
    </row>
    <row r="709" spans="5:6" x14ac:dyDescent="0.15">
      <c r="E709" s="218"/>
      <c r="F709" s="218"/>
    </row>
    <row r="710" spans="5:6" x14ac:dyDescent="0.15">
      <c r="E710" s="218"/>
      <c r="F710" s="218"/>
    </row>
    <row r="711" spans="5:6" x14ac:dyDescent="0.15">
      <c r="E711" s="218"/>
    </row>
  </sheetData>
  <autoFilter ref="A1:BA67"/>
  <phoneticPr fontId="3"/>
  <dataValidations count="13">
    <dataValidation type="decimal" allowBlank="1" showInputMessage="1" showErrorMessage="1" error="硬度を正しく入力して下さい。" sqref="O2:P479">
      <formula1>0</formula1>
      <formula2>7</formula2>
    </dataValidation>
    <dataValidation type="list" allowBlank="1" showInputMessage="1" showErrorMessage="1" sqref="H65517:H65594 H131053:H131130 H196589:H196666 H262125:H262202 H327661:H327738 H393197:H393274 H458733:H458810 H524269:H524346 H589805:H589882 H655341:H655418 H720877:H720954 H786413:H786490 H851949:H852026 H917485:H917562 H983021:H983098 JD2:JD58 JD65517:JD65594 JD131053:JD131130 JD196589:JD196666 JD262125:JD262202 JD327661:JD327738 JD393197:JD393274 JD458733:JD458810 JD524269:JD524346 JD589805:JD589882 JD655341:JD655418 JD720877:JD720954 JD786413:JD786490 JD851949:JD852026 JD917485:JD917562 JD983021:JD983098 SZ2:SZ58 SZ65517:SZ65594 SZ131053:SZ131130 SZ196589:SZ196666 SZ262125:SZ262202 SZ327661:SZ327738 SZ393197:SZ393274 SZ458733:SZ458810 SZ524269:SZ524346 SZ589805:SZ589882 SZ655341:SZ655418 SZ720877:SZ720954 SZ786413:SZ786490 SZ851949:SZ852026 SZ917485:SZ917562 SZ983021:SZ983098 ACV2:ACV58 ACV65517:ACV65594 ACV131053:ACV131130 ACV196589:ACV196666 ACV262125:ACV262202 ACV327661:ACV327738 ACV393197:ACV393274 ACV458733:ACV458810 ACV524269:ACV524346 ACV589805:ACV589882 ACV655341:ACV655418 ACV720877:ACV720954 ACV786413:ACV786490 ACV851949:ACV852026 ACV917485:ACV917562 ACV983021:ACV983098 AMR2:AMR58 AMR65517:AMR65594 AMR131053:AMR131130 AMR196589:AMR196666 AMR262125:AMR262202 AMR327661:AMR327738 AMR393197:AMR393274 AMR458733:AMR458810 AMR524269:AMR524346 AMR589805:AMR589882 AMR655341:AMR655418 AMR720877:AMR720954 AMR786413:AMR786490 AMR851949:AMR852026 AMR917485:AMR917562 AMR983021:AMR983098 AWN2:AWN58 AWN65517:AWN65594 AWN131053:AWN131130 AWN196589:AWN196666 AWN262125:AWN262202 AWN327661:AWN327738 AWN393197:AWN393274 AWN458733:AWN458810 AWN524269:AWN524346 AWN589805:AWN589882 AWN655341:AWN655418 AWN720877:AWN720954 AWN786413:AWN786490 AWN851949:AWN852026 AWN917485:AWN917562 AWN983021:AWN983098 BGJ2:BGJ58 BGJ65517:BGJ65594 BGJ131053:BGJ131130 BGJ196589:BGJ196666 BGJ262125:BGJ262202 BGJ327661:BGJ327738 BGJ393197:BGJ393274 BGJ458733:BGJ458810 BGJ524269:BGJ524346 BGJ589805:BGJ589882 BGJ655341:BGJ655418 BGJ720877:BGJ720954 BGJ786413:BGJ786490 BGJ851949:BGJ852026 BGJ917485:BGJ917562 BGJ983021:BGJ983098 BQF2:BQF58 BQF65517:BQF65594 BQF131053:BQF131130 BQF196589:BQF196666 BQF262125:BQF262202 BQF327661:BQF327738 BQF393197:BQF393274 BQF458733:BQF458810 BQF524269:BQF524346 BQF589805:BQF589882 BQF655341:BQF655418 BQF720877:BQF720954 BQF786413:BQF786490 BQF851949:BQF852026 BQF917485:BQF917562 BQF983021:BQF983098 CAB2:CAB58 CAB65517:CAB65594 CAB131053:CAB131130 CAB196589:CAB196666 CAB262125:CAB262202 CAB327661:CAB327738 CAB393197:CAB393274 CAB458733:CAB458810 CAB524269:CAB524346 CAB589805:CAB589882 CAB655341:CAB655418 CAB720877:CAB720954 CAB786413:CAB786490 CAB851949:CAB852026 CAB917485:CAB917562 CAB983021:CAB983098 CJX2:CJX58 CJX65517:CJX65594 CJX131053:CJX131130 CJX196589:CJX196666 CJX262125:CJX262202 CJX327661:CJX327738 CJX393197:CJX393274 CJX458733:CJX458810 CJX524269:CJX524346 CJX589805:CJX589882 CJX655341:CJX655418 CJX720877:CJX720954 CJX786413:CJX786490 CJX851949:CJX852026 CJX917485:CJX917562 CJX983021:CJX983098 CTT2:CTT58 CTT65517:CTT65594 CTT131053:CTT131130 CTT196589:CTT196666 CTT262125:CTT262202 CTT327661:CTT327738 CTT393197:CTT393274 CTT458733:CTT458810 CTT524269:CTT524346 CTT589805:CTT589882 CTT655341:CTT655418 CTT720877:CTT720954 CTT786413:CTT786490 CTT851949:CTT852026 CTT917485:CTT917562 CTT983021:CTT983098 DDP2:DDP58 DDP65517:DDP65594 DDP131053:DDP131130 DDP196589:DDP196666 DDP262125:DDP262202 DDP327661:DDP327738 DDP393197:DDP393274 DDP458733:DDP458810 DDP524269:DDP524346 DDP589805:DDP589882 DDP655341:DDP655418 DDP720877:DDP720954 DDP786413:DDP786490 DDP851949:DDP852026 DDP917485:DDP917562 DDP983021:DDP983098 DNL2:DNL58 DNL65517:DNL65594 DNL131053:DNL131130 DNL196589:DNL196666 DNL262125:DNL262202 DNL327661:DNL327738 DNL393197:DNL393274 DNL458733:DNL458810 DNL524269:DNL524346 DNL589805:DNL589882 DNL655341:DNL655418 DNL720877:DNL720954 DNL786413:DNL786490 DNL851949:DNL852026 DNL917485:DNL917562 DNL983021:DNL983098 DXH2:DXH58 DXH65517:DXH65594 DXH131053:DXH131130 DXH196589:DXH196666 DXH262125:DXH262202 DXH327661:DXH327738 DXH393197:DXH393274 DXH458733:DXH458810 DXH524269:DXH524346 DXH589805:DXH589882 DXH655341:DXH655418 DXH720877:DXH720954 DXH786413:DXH786490 DXH851949:DXH852026 DXH917485:DXH917562 DXH983021:DXH983098 EHD2:EHD58 EHD65517:EHD65594 EHD131053:EHD131130 EHD196589:EHD196666 EHD262125:EHD262202 EHD327661:EHD327738 EHD393197:EHD393274 EHD458733:EHD458810 EHD524269:EHD524346 EHD589805:EHD589882 EHD655341:EHD655418 EHD720877:EHD720954 EHD786413:EHD786490 EHD851949:EHD852026 EHD917485:EHD917562 EHD983021:EHD983098 EQZ2:EQZ58 EQZ65517:EQZ65594 EQZ131053:EQZ131130 EQZ196589:EQZ196666 EQZ262125:EQZ262202 EQZ327661:EQZ327738 EQZ393197:EQZ393274 EQZ458733:EQZ458810 EQZ524269:EQZ524346 EQZ589805:EQZ589882 EQZ655341:EQZ655418 EQZ720877:EQZ720954 EQZ786413:EQZ786490 EQZ851949:EQZ852026 EQZ917485:EQZ917562 EQZ983021:EQZ983098 FAV2:FAV58 FAV65517:FAV65594 FAV131053:FAV131130 FAV196589:FAV196666 FAV262125:FAV262202 FAV327661:FAV327738 FAV393197:FAV393274 FAV458733:FAV458810 FAV524269:FAV524346 FAV589805:FAV589882 FAV655341:FAV655418 FAV720877:FAV720954 FAV786413:FAV786490 FAV851949:FAV852026 FAV917485:FAV917562 FAV983021:FAV983098 FKR2:FKR58 FKR65517:FKR65594 FKR131053:FKR131130 FKR196589:FKR196666 FKR262125:FKR262202 FKR327661:FKR327738 FKR393197:FKR393274 FKR458733:FKR458810 FKR524269:FKR524346 FKR589805:FKR589882 FKR655341:FKR655418 FKR720877:FKR720954 FKR786413:FKR786490 FKR851949:FKR852026 FKR917485:FKR917562 FKR983021:FKR983098 FUN2:FUN58 FUN65517:FUN65594 FUN131053:FUN131130 FUN196589:FUN196666 FUN262125:FUN262202 FUN327661:FUN327738 FUN393197:FUN393274 FUN458733:FUN458810 FUN524269:FUN524346 FUN589805:FUN589882 FUN655341:FUN655418 FUN720877:FUN720954 FUN786413:FUN786490 FUN851949:FUN852026 FUN917485:FUN917562 FUN983021:FUN983098 GEJ2:GEJ58 GEJ65517:GEJ65594 GEJ131053:GEJ131130 GEJ196589:GEJ196666 GEJ262125:GEJ262202 GEJ327661:GEJ327738 GEJ393197:GEJ393274 GEJ458733:GEJ458810 GEJ524269:GEJ524346 GEJ589805:GEJ589882 GEJ655341:GEJ655418 GEJ720877:GEJ720954 GEJ786413:GEJ786490 GEJ851949:GEJ852026 GEJ917485:GEJ917562 GEJ983021:GEJ983098 GOF2:GOF58 GOF65517:GOF65594 GOF131053:GOF131130 GOF196589:GOF196666 GOF262125:GOF262202 GOF327661:GOF327738 GOF393197:GOF393274 GOF458733:GOF458810 GOF524269:GOF524346 GOF589805:GOF589882 GOF655341:GOF655418 GOF720877:GOF720954 GOF786413:GOF786490 GOF851949:GOF852026 GOF917485:GOF917562 GOF983021:GOF983098 GYB2:GYB58 GYB65517:GYB65594 GYB131053:GYB131130 GYB196589:GYB196666 GYB262125:GYB262202 GYB327661:GYB327738 GYB393197:GYB393274 GYB458733:GYB458810 GYB524269:GYB524346 GYB589805:GYB589882 GYB655341:GYB655418 GYB720877:GYB720954 GYB786413:GYB786490 GYB851949:GYB852026 GYB917485:GYB917562 GYB983021:GYB983098 HHX2:HHX58 HHX65517:HHX65594 HHX131053:HHX131130 HHX196589:HHX196666 HHX262125:HHX262202 HHX327661:HHX327738 HHX393197:HHX393274 HHX458733:HHX458810 HHX524269:HHX524346 HHX589805:HHX589882 HHX655341:HHX655418 HHX720877:HHX720954 HHX786413:HHX786490 HHX851949:HHX852026 HHX917485:HHX917562 HHX983021:HHX983098 HRT2:HRT58 HRT65517:HRT65594 HRT131053:HRT131130 HRT196589:HRT196666 HRT262125:HRT262202 HRT327661:HRT327738 HRT393197:HRT393274 HRT458733:HRT458810 HRT524269:HRT524346 HRT589805:HRT589882 HRT655341:HRT655418 HRT720877:HRT720954 HRT786413:HRT786490 HRT851949:HRT852026 HRT917485:HRT917562 HRT983021:HRT983098 IBP2:IBP58 IBP65517:IBP65594 IBP131053:IBP131130 IBP196589:IBP196666 IBP262125:IBP262202 IBP327661:IBP327738 IBP393197:IBP393274 IBP458733:IBP458810 IBP524269:IBP524346 IBP589805:IBP589882 IBP655341:IBP655418 IBP720877:IBP720954 IBP786413:IBP786490 IBP851949:IBP852026 IBP917485:IBP917562 IBP983021:IBP983098 ILL2:ILL58 ILL65517:ILL65594 ILL131053:ILL131130 ILL196589:ILL196666 ILL262125:ILL262202 ILL327661:ILL327738 ILL393197:ILL393274 ILL458733:ILL458810 ILL524269:ILL524346 ILL589805:ILL589882 ILL655341:ILL655418 ILL720877:ILL720954 ILL786413:ILL786490 ILL851949:ILL852026 ILL917485:ILL917562 ILL983021:ILL983098 IVH2:IVH58 IVH65517:IVH65594 IVH131053:IVH131130 IVH196589:IVH196666 IVH262125:IVH262202 IVH327661:IVH327738 IVH393197:IVH393274 IVH458733:IVH458810 IVH524269:IVH524346 IVH589805:IVH589882 IVH655341:IVH655418 IVH720877:IVH720954 IVH786413:IVH786490 IVH851949:IVH852026 IVH917485:IVH917562 IVH983021:IVH983098 JFD2:JFD58 JFD65517:JFD65594 JFD131053:JFD131130 JFD196589:JFD196666 JFD262125:JFD262202 JFD327661:JFD327738 JFD393197:JFD393274 JFD458733:JFD458810 JFD524269:JFD524346 JFD589805:JFD589882 JFD655341:JFD655418 JFD720877:JFD720954 JFD786413:JFD786490 JFD851949:JFD852026 JFD917485:JFD917562 JFD983021:JFD983098 JOZ2:JOZ58 JOZ65517:JOZ65594 JOZ131053:JOZ131130 JOZ196589:JOZ196666 JOZ262125:JOZ262202 JOZ327661:JOZ327738 JOZ393197:JOZ393274 JOZ458733:JOZ458810 JOZ524269:JOZ524346 JOZ589805:JOZ589882 JOZ655341:JOZ655418 JOZ720877:JOZ720954 JOZ786413:JOZ786490 JOZ851949:JOZ852026 JOZ917485:JOZ917562 JOZ983021:JOZ983098 JYV2:JYV58 JYV65517:JYV65594 JYV131053:JYV131130 JYV196589:JYV196666 JYV262125:JYV262202 JYV327661:JYV327738 JYV393197:JYV393274 JYV458733:JYV458810 JYV524269:JYV524346 JYV589805:JYV589882 JYV655341:JYV655418 JYV720877:JYV720954 JYV786413:JYV786490 JYV851949:JYV852026 JYV917485:JYV917562 JYV983021:JYV983098 KIR2:KIR58 KIR65517:KIR65594 KIR131053:KIR131130 KIR196589:KIR196666 KIR262125:KIR262202 KIR327661:KIR327738 KIR393197:KIR393274 KIR458733:KIR458810 KIR524269:KIR524346 KIR589805:KIR589882 KIR655341:KIR655418 KIR720877:KIR720954 KIR786413:KIR786490 KIR851949:KIR852026 KIR917485:KIR917562 KIR983021:KIR983098 KSN2:KSN58 KSN65517:KSN65594 KSN131053:KSN131130 KSN196589:KSN196666 KSN262125:KSN262202 KSN327661:KSN327738 KSN393197:KSN393274 KSN458733:KSN458810 KSN524269:KSN524346 KSN589805:KSN589882 KSN655341:KSN655418 KSN720877:KSN720954 KSN786413:KSN786490 KSN851949:KSN852026 KSN917485:KSN917562 KSN983021:KSN983098 LCJ2:LCJ58 LCJ65517:LCJ65594 LCJ131053:LCJ131130 LCJ196589:LCJ196666 LCJ262125:LCJ262202 LCJ327661:LCJ327738 LCJ393197:LCJ393274 LCJ458733:LCJ458810 LCJ524269:LCJ524346 LCJ589805:LCJ589882 LCJ655341:LCJ655418 LCJ720877:LCJ720954 LCJ786413:LCJ786490 LCJ851949:LCJ852026 LCJ917485:LCJ917562 LCJ983021:LCJ983098 LMF2:LMF58 LMF65517:LMF65594 LMF131053:LMF131130 LMF196589:LMF196666 LMF262125:LMF262202 LMF327661:LMF327738 LMF393197:LMF393274 LMF458733:LMF458810 LMF524269:LMF524346 LMF589805:LMF589882 LMF655341:LMF655418 LMF720877:LMF720954 LMF786413:LMF786490 LMF851949:LMF852026 LMF917485:LMF917562 LMF983021:LMF983098 LWB2:LWB58 LWB65517:LWB65594 LWB131053:LWB131130 LWB196589:LWB196666 LWB262125:LWB262202 LWB327661:LWB327738 LWB393197:LWB393274 LWB458733:LWB458810 LWB524269:LWB524346 LWB589805:LWB589882 LWB655341:LWB655418 LWB720877:LWB720954 LWB786413:LWB786490 LWB851949:LWB852026 LWB917485:LWB917562 LWB983021:LWB983098 MFX2:MFX58 MFX65517:MFX65594 MFX131053:MFX131130 MFX196589:MFX196666 MFX262125:MFX262202 MFX327661:MFX327738 MFX393197:MFX393274 MFX458733:MFX458810 MFX524269:MFX524346 MFX589805:MFX589882 MFX655341:MFX655418 MFX720877:MFX720954 MFX786413:MFX786490 MFX851949:MFX852026 MFX917485:MFX917562 MFX983021:MFX983098 MPT2:MPT58 MPT65517:MPT65594 MPT131053:MPT131130 MPT196589:MPT196666 MPT262125:MPT262202 MPT327661:MPT327738 MPT393197:MPT393274 MPT458733:MPT458810 MPT524269:MPT524346 MPT589805:MPT589882 MPT655341:MPT655418 MPT720877:MPT720954 MPT786413:MPT786490 MPT851949:MPT852026 MPT917485:MPT917562 MPT983021:MPT983098 MZP2:MZP58 MZP65517:MZP65594 MZP131053:MZP131130 MZP196589:MZP196666 MZP262125:MZP262202 MZP327661:MZP327738 MZP393197:MZP393274 MZP458733:MZP458810 MZP524269:MZP524346 MZP589805:MZP589882 MZP655341:MZP655418 MZP720877:MZP720954 MZP786413:MZP786490 MZP851949:MZP852026 MZP917485:MZP917562 MZP983021:MZP983098 NJL2:NJL58 NJL65517:NJL65594 NJL131053:NJL131130 NJL196589:NJL196666 NJL262125:NJL262202 NJL327661:NJL327738 NJL393197:NJL393274 NJL458733:NJL458810 NJL524269:NJL524346 NJL589805:NJL589882 NJL655341:NJL655418 NJL720877:NJL720954 NJL786413:NJL786490 NJL851949:NJL852026 NJL917485:NJL917562 NJL983021:NJL983098 NTH2:NTH58 NTH65517:NTH65594 NTH131053:NTH131130 NTH196589:NTH196666 NTH262125:NTH262202 NTH327661:NTH327738 NTH393197:NTH393274 NTH458733:NTH458810 NTH524269:NTH524346 NTH589805:NTH589882 NTH655341:NTH655418 NTH720877:NTH720954 NTH786413:NTH786490 NTH851949:NTH852026 NTH917485:NTH917562 NTH983021:NTH983098 ODD2:ODD58 ODD65517:ODD65594 ODD131053:ODD131130 ODD196589:ODD196666 ODD262125:ODD262202 ODD327661:ODD327738 ODD393197:ODD393274 ODD458733:ODD458810 ODD524269:ODD524346 ODD589805:ODD589882 ODD655341:ODD655418 ODD720877:ODD720954 ODD786413:ODD786490 ODD851949:ODD852026 ODD917485:ODD917562 ODD983021:ODD983098 OMZ2:OMZ58 OMZ65517:OMZ65594 OMZ131053:OMZ131130 OMZ196589:OMZ196666 OMZ262125:OMZ262202 OMZ327661:OMZ327738 OMZ393197:OMZ393274 OMZ458733:OMZ458810 OMZ524269:OMZ524346 OMZ589805:OMZ589882 OMZ655341:OMZ655418 OMZ720877:OMZ720954 OMZ786413:OMZ786490 OMZ851949:OMZ852026 OMZ917485:OMZ917562 OMZ983021:OMZ983098 OWV2:OWV58 OWV65517:OWV65594 OWV131053:OWV131130 OWV196589:OWV196666 OWV262125:OWV262202 OWV327661:OWV327738 OWV393197:OWV393274 OWV458733:OWV458810 OWV524269:OWV524346 OWV589805:OWV589882 OWV655341:OWV655418 OWV720877:OWV720954 OWV786413:OWV786490 OWV851949:OWV852026 OWV917485:OWV917562 OWV983021:OWV983098 PGR2:PGR58 PGR65517:PGR65594 PGR131053:PGR131130 PGR196589:PGR196666 PGR262125:PGR262202 PGR327661:PGR327738 PGR393197:PGR393274 PGR458733:PGR458810 PGR524269:PGR524346 PGR589805:PGR589882 PGR655341:PGR655418 PGR720877:PGR720954 PGR786413:PGR786490 PGR851949:PGR852026 PGR917485:PGR917562 PGR983021:PGR983098 PQN2:PQN58 PQN65517:PQN65594 PQN131053:PQN131130 PQN196589:PQN196666 PQN262125:PQN262202 PQN327661:PQN327738 PQN393197:PQN393274 PQN458733:PQN458810 PQN524269:PQN524346 PQN589805:PQN589882 PQN655341:PQN655418 PQN720877:PQN720954 PQN786413:PQN786490 PQN851949:PQN852026 PQN917485:PQN917562 PQN983021:PQN983098 QAJ2:QAJ58 QAJ65517:QAJ65594 QAJ131053:QAJ131130 QAJ196589:QAJ196666 QAJ262125:QAJ262202 QAJ327661:QAJ327738 QAJ393197:QAJ393274 QAJ458733:QAJ458810 QAJ524269:QAJ524346 QAJ589805:QAJ589882 QAJ655341:QAJ655418 QAJ720877:QAJ720954 QAJ786413:QAJ786490 QAJ851949:QAJ852026 QAJ917485:QAJ917562 QAJ983021:QAJ983098 QKF2:QKF58 QKF65517:QKF65594 QKF131053:QKF131130 QKF196589:QKF196666 QKF262125:QKF262202 QKF327661:QKF327738 QKF393197:QKF393274 QKF458733:QKF458810 QKF524269:QKF524346 QKF589805:QKF589882 QKF655341:QKF655418 QKF720877:QKF720954 QKF786413:QKF786490 QKF851949:QKF852026 QKF917485:QKF917562 QKF983021:QKF983098 QUB2:QUB58 QUB65517:QUB65594 QUB131053:QUB131130 QUB196589:QUB196666 QUB262125:QUB262202 QUB327661:QUB327738 QUB393197:QUB393274 QUB458733:QUB458810 QUB524269:QUB524346 QUB589805:QUB589882 QUB655341:QUB655418 QUB720877:QUB720954 QUB786413:QUB786490 QUB851949:QUB852026 QUB917485:QUB917562 QUB983021:QUB983098 RDX2:RDX58 RDX65517:RDX65594 RDX131053:RDX131130 RDX196589:RDX196666 RDX262125:RDX262202 RDX327661:RDX327738 RDX393197:RDX393274 RDX458733:RDX458810 RDX524269:RDX524346 RDX589805:RDX589882 RDX655341:RDX655418 RDX720877:RDX720954 RDX786413:RDX786490 RDX851949:RDX852026 RDX917485:RDX917562 RDX983021:RDX983098 RNT2:RNT58 RNT65517:RNT65594 RNT131053:RNT131130 RNT196589:RNT196666 RNT262125:RNT262202 RNT327661:RNT327738 RNT393197:RNT393274 RNT458733:RNT458810 RNT524269:RNT524346 RNT589805:RNT589882 RNT655341:RNT655418 RNT720877:RNT720954 RNT786413:RNT786490 RNT851949:RNT852026 RNT917485:RNT917562 RNT983021:RNT983098 RXP2:RXP58 RXP65517:RXP65594 RXP131053:RXP131130 RXP196589:RXP196666 RXP262125:RXP262202 RXP327661:RXP327738 RXP393197:RXP393274 RXP458733:RXP458810 RXP524269:RXP524346 RXP589805:RXP589882 RXP655341:RXP655418 RXP720877:RXP720954 RXP786413:RXP786490 RXP851949:RXP852026 RXP917485:RXP917562 RXP983021:RXP983098 SHL2:SHL58 SHL65517:SHL65594 SHL131053:SHL131130 SHL196589:SHL196666 SHL262125:SHL262202 SHL327661:SHL327738 SHL393197:SHL393274 SHL458733:SHL458810 SHL524269:SHL524346 SHL589805:SHL589882 SHL655341:SHL655418 SHL720877:SHL720954 SHL786413:SHL786490 SHL851949:SHL852026 SHL917485:SHL917562 SHL983021:SHL983098 SRH2:SRH58 SRH65517:SRH65594 SRH131053:SRH131130 SRH196589:SRH196666 SRH262125:SRH262202 SRH327661:SRH327738 SRH393197:SRH393274 SRH458733:SRH458810 SRH524269:SRH524346 SRH589805:SRH589882 SRH655341:SRH655418 SRH720877:SRH720954 SRH786413:SRH786490 SRH851949:SRH852026 SRH917485:SRH917562 SRH983021:SRH983098 TBD2:TBD58 TBD65517:TBD65594 TBD131053:TBD131130 TBD196589:TBD196666 TBD262125:TBD262202 TBD327661:TBD327738 TBD393197:TBD393274 TBD458733:TBD458810 TBD524269:TBD524346 TBD589805:TBD589882 TBD655341:TBD655418 TBD720877:TBD720954 TBD786413:TBD786490 TBD851949:TBD852026 TBD917485:TBD917562 TBD983021:TBD983098 TKZ2:TKZ58 TKZ65517:TKZ65594 TKZ131053:TKZ131130 TKZ196589:TKZ196666 TKZ262125:TKZ262202 TKZ327661:TKZ327738 TKZ393197:TKZ393274 TKZ458733:TKZ458810 TKZ524269:TKZ524346 TKZ589805:TKZ589882 TKZ655341:TKZ655418 TKZ720877:TKZ720954 TKZ786413:TKZ786490 TKZ851949:TKZ852026 TKZ917485:TKZ917562 TKZ983021:TKZ983098 TUV2:TUV58 TUV65517:TUV65594 TUV131053:TUV131130 TUV196589:TUV196666 TUV262125:TUV262202 TUV327661:TUV327738 TUV393197:TUV393274 TUV458733:TUV458810 TUV524269:TUV524346 TUV589805:TUV589882 TUV655341:TUV655418 TUV720877:TUV720954 TUV786413:TUV786490 TUV851949:TUV852026 TUV917485:TUV917562 TUV983021:TUV983098 UER2:UER58 UER65517:UER65594 UER131053:UER131130 UER196589:UER196666 UER262125:UER262202 UER327661:UER327738 UER393197:UER393274 UER458733:UER458810 UER524269:UER524346 UER589805:UER589882 UER655341:UER655418 UER720877:UER720954 UER786413:UER786490 UER851949:UER852026 UER917485:UER917562 UER983021:UER983098 UON2:UON58 UON65517:UON65594 UON131053:UON131130 UON196589:UON196666 UON262125:UON262202 UON327661:UON327738 UON393197:UON393274 UON458733:UON458810 UON524269:UON524346 UON589805:UON589882 UON655341:UON655418 UON720877:UON720954 UON786413:UON786490 UON851949:UON852026 UON917485:UON917562 UON983021:UON983098 UYJ2:UYJ58 UYJ65517:UYJ65594 UYJ131053:UYJ131130 UYJ196589:UYJ196666 UYJ262125:UYJ262202 UYJ327661:UYJ327738 UYJ393197:UYJ393274 UYJ458733:UYJ458810 UYJ524269:UYJ524346 UYJ589805:UYJ589882 UYJ655341:UYJ655418 UYJ720877:UYJ720954 UYJ786413:UYJ786490 UYJ851949:UYJ852026 UYJ917485:UYJ917562 UYJ983021:UYJ983098 VIF2:VIF58 VIF65517:VIF65594 VIF131053:VIF131130 VIF196589:VIF196666 VIF262125:VIF262202 VIF327661:VIF327738 VIF393197:VIF393274 VIF458733:VIF458810 VIF524269:VIF524346 VIF589805:VIF589882 VIF655341:VIF655418 VIF720877:VIF720954 VIF786413:VIF786490 VIF851949:VIF852026 VIF917485:VIF917562 VIF983021:VIF983098 VSB2:VSB58 VSB65517:VSB65594 VSB131053:VSB131130 VSB196589:VSB196666 VSB262125:VSB262202 VSB327661:VSB327738 VSB393197:VSB393274 VSB458733:VSB458810 VSB524269:VSB524346 VSB589805:VSB589882 VSB655341:VSB655418 VSB720877:VSB720954 VSB786413:VSB786490 VSB851949:VSB852026 VSB917485:VSB917562 VSB983021:VSB983098 WBX2:WBX58 WBX65517:WBX65594 WBX131053:WBX131130 WBX196589:WBX196666 WBX262125:WBX262202 WBX327661:WBX327738 WBX393197:WBX393274 WBX458733:WBX458810 WBX524269:WBX524346 WBX589805:WBX589882 WBX655341:WBX655418 WBX720877:WBX720954 WBX786413:WBX786490 WBX851949:WBX852026 WBX917485:WBX917562 WBX983021:WBX983098 WLT2:WLT58 WLT65517:WLT65594 WLT131053:WLT131130 WLT196589:WLT196666 WLT262125:WLT262202 WLT327661:WLT327738 WLT393197:WLT393274 WLT458733:WLT458810 WLT524269:WLT524346 WLT589805:WLT589882 WLT655341:WLT655418 WLT720877:WLT720954 WLT786413:WLT786490 WLT851949:WLT852026 WLT917485:WLT917562 WLT983021:WLT983098 WVP2:WVP58 WVP65517:WVP65594 WVP131053:WVP131130 WVP196589:WVP196666 WVP262125:WVP262202 WVP327661:WVP327738 WVP393197:WVP393274 WVP458733:WVP458810 WVP524269:WVP524346 WVP589805:WVP589882 WVP655341:WVP655418 WVP720877:WVP720954 WVP786413:WVP786490 WVP851949:WVP852026 WVP917485:WVP917562 WVP983021:WVP983098">
      <formula1>$AL$4:$AL$12</formula1>
    </dataValidation>
    <dataValidation type="list" allowBlank="1" showInputMessage="1" showErrorMessage="1" sqref="K2:K479 K65517:K65594 K131053:K131130 K196589:K196666 K262125:K262202 K327661:K327738 K393197:K393274 K458733:K458810 K524269:K524346 K589805:K589882 K655341:K655418 K720877:K720954 K786413:K786490 K851949:K852026 K917485:K917562 K983021:K983098 JG2:JG58 JG65517:JG65594 JG131053:JG131130 JG196589:JG196666 JG262125:JG262202 JG327661:JG327738 JG393197:JG393274 JG458733:JG458810 JG524269:JG524346 JG589805:JG589882 JG655341:JG655418 JG720877:JG720954 JG786413:JG786490 JG851949:JG852026 JG917485:JG917562 JG983021:JG983098 TC2:TC58 TC65517:TC65594 TC131053:TC131130 TC196589:TC196666 TC262125:TC262202 TC327661:TC327738 TC393197:TC393274 TC458733:TC458810 TC524269:TC524346 TC589805:TC589882 TC655341:TC655418 TC720877:TC720954 TC786413:TC786490 TC851949:TC852026 TC917485:TC917562 TC983021:TC983098 ACY2:ACY58 ACY65517:ACY65594 ACY131053:ACY131130 ACY196589:ACY196666 ACY262125:ACY262202 ACY327661:ACY327738 ACY393197:ACY393274 ACY458733:ACY458810 ACY524269:ACY524346 ACY589805:ACY589882 ACY655341:ACY655418 ACY720877:ACY720954 ACY786413:ACY786490 ACY851949:ACY852026 ACY917485:ACY917562 ACY983021:ACY983098 AMU2:AMU58 AMU65517:AMU65594 AMU131053:AMU131130 AMU196589:AMU196666 AMU262125:AMU262202 AMU327661:AMU327738 AMU393197:AMU393274 AMU458733:AMU458810 AMU524269:AMU524346 AMU589805:AMU589882 AMU655341:AMU655418 AMU720877:AMU720954 AMU786413:AMU786490 AMU851949:AMU852026 AMU917485:AMU917562 AMU983021:AMU983098 AWQ2:AWQ58 AWQ65517:AWQ65594 AWQ131053:AWQ131130 AWQ196589:AWQ196666 AWQ262125:AWQ262202 AWQ327661:AWQ327738 AWQ393197:AWQ393274 AWQ458733:AWQ458810 AWQ524269:AWQ524346 AWQ589805:AWQ589882 AWQ655341:AWQ655418 AWQ720877:AWQ720954 AWQ786413:AWQ786490 AWQ851949:AWQ852026 AWQ917485:AWQ917562 AWQ983021:AWQ983098 BGM2:BGM58 BGM65517:BGM65594 BGM131053:BGM131130 BGM196589:BGM196666 BGM262125:BGM262202 BGM327661:BGM327738 BGM393197:BGM393274 BGM458733:BGM458810 BGM524269:BGM524346 BGM589805:BGM589882 BGM655341:BGM655418 BGM720877:BGM720954 BGM786413:BGM786490 BGM851949:BGM852026 BGM917485:BGM917562 BGM983021:BGM983098 BQI2:BQI58 BQI65517:BQI65594 BQI131053:BQI131130 BQI196589:BQI196666 BQI262125:BQI262202 BQI327661:BQI327738 BQI393197:BQI393274 BQI458733:BQI458810 BQI524269:BQI524346 BQI589805:BQI589882 BQI655341:BQI655418 BQI720877:BQI720954 BQI786413:BQI786490 BQI851949:BQI852026 BQI917485:BQI917562 BQI983021:BQI983098 CAE2:CAE58 CAE65517:CAE65594 CAE131053:CAE131130 CAE196589:CAE196666 CAE262125:CAE262202 CAE327661:CAE327738 CAE393197:CAE393274 CAE458733:CAE458810 CAE524269:CAE524346 CAE589805:CAE589882 CAE655341:CAE655418 CAE720877:CAE720954 CAE786413:CAE786490 CAE851949:CAE852026 CAE917485:CAE917562 CAE983021:CAE983098 CKA2:CKA58 CKA65517:CKA65594 CKA131053:CKA131130 CKA196589:CKA196666 CKA262125:CKA262202 CKA327661:CKA327738 CKA393197:CKA393274 CKA458733:CKA458810 CKA524269:CKA524346 CKA589805:CKA589882 CKA655341:CKA655418 CKA720877:CKA720954 CKA786413:CKA786490 CKA851949:CKA852026 CKA917485:CKA917562 CKA983021:CKA983098 CTW2:CTW58 CTW65517:CTW65594 CTW131053:CTW131130 CTW196589:CTW196666 CTW262125:CTW262202 CTW327661:CTW327738 CTW393197:CTW393274 CTW458733:CTW458810 CTW524269:CTW524346 CTW589805:CTW589882 CTW655341:CTW655418 CTW720877:CTW720954 CTW786413:CTW786490 CTW851949:CTW852026 CTW917485:CTW917562 CTW983021:CTW983098 DDS2:DDS58 DDS65517:DDS65594 DDS131053:DDS131130 DDS196589:DDS196666 DDS262125:DDS262202 DDS327661:DDS327738 DDS393197:DDS393274 DDS458733:DDS458810 DDS524269:DDS524346 DDS589805:DDS589882 DDS655341:DDS655418 DDS720877:DDS720954 DDS786413:DDS786490 DDS851949:DDS852026 DDS917485:DDS917562 DDS983021:DDS983098 DNO2:DNO58 DNO65517:DNO65594 DNO131053:DNO131130 DNO196589:DNO196666 DNO262125:DNO262202 DNO327661:DNO327738 DNO393197:DNO393274 DNO458733:DNO458810 DNO524269:DNO524346 DNO589805:DNO589882 DNO655341:DNO655418 DNO720877:DNO720954 DNO786413:DNO786490 DNO851949:DNO852026 DNO917485:DNO917562 DNO983021:DNO983098 DXK2:DXK58 DXK65517:DXK65594 DXK131053:DXK131130 DXK196589:DXK196666 DXK262125:DXK262202 DXK327661:DXK327738 DXK393197:DXK393274 DXK458733:DXK458810 DXK524269:DXK524346 DXK589805:DXK589882 DXK655341:DXK655418 DXK720877:DXK720954 DXK786413:DXK786490 DXK851949:DXK852026 DXK917485:DXK917562 DXK983021:DXK983098 EHG2:EHG58 EHG65517:EHG65594 EHG131053:EHG131130 EHG196589:EHG196666 EHG262125:EHG262202 EHG327661:EHG327738 EHG393197:EHG393274 EHG458733:EHG458810 EHG524269:EHG524346 EHG589805:EHG589882 EHG655341:EHG655418 EHG720877:EHG720954 EHG786413:EHG786490 EHG851949:EHG852026 EHG917485:EHG917562 EHG983021:EHG983098 ERC2:ERC58 ERC65517:ERC65594 ERC131053:ERC131130 ERC196589:ERC196666 ERC262125:ERC262202 ERC327661:ERC327738 ERC393197:ERC393274 ERC458733:ERC458810 ERC524269:ERC524346 ERC589805:ERC589882 ERC655341:ERC655418 ERC720877:ERC720954 ERC786413:ERC786490 ERC851949:ERC852026 ERC917485:ERC917562 ERC983021:ERC983098 FAY2:FAY58 FAY65517:FAY65594 FAY131053:FAY131130 FAY196589:FAY196666 FAY262125:FAY262202 FAY327661:FAY327738 FAY393197:FAY393274 FAY458733:FAY458810 FAY524269:FAY524346 FAY589805:FAY589882 FAY655341:FAY655418 FAY720877:FAY720954 FAY786413:FAY786490 FAY851949:FAY852026 FAY917485:FAY917562 FAY983021:FAY983098 FKU2:FKU58 FKU65517:FKU65594 FKU131053:FKU131130 FKU196589:FKU196666 FKU262125:FKU262202 FKU327661:FKU327738 FKU393197:FKU393274 FKU458733:FKU458810 FKU524269:FKU524346 FKU589805:FKU589882 FKU655341:FKU655418 FKU720877:FKU720954 FKU786413:FKU786490 FKU851949:FKU852026 FKU917485:FKU917562 FKU983021:FKU983098 FUQ2:FUQ58 FUQ65517:FUQ65594 FUQ131053:FUQ131130 FUQ196589:FUQ196666 FUQ262125:FUQ262202 FUQ327661:FUQ327738 FUQ393197:FUQ393274 FUQ458733:FUQ458810 FUQ524269:FUQ524346 FUQ589805:FUQ589882 FUQ655341:FUQ655418 FUQ720877:FUQ720954 FUQ786413:FUQ786490 FUQ851949:FUQ852026 FUQ917485:FUQ917562 FUQ983021:FUQ983098 GEM2:GEM58 GEM65517:GEM65594 GEM131053:GEM131130 GEM196589:GEM196666 GEM262125:GEM262202 GEM327661:GEM327738 GEM393197:GEM393274 GEM458733:GEM458810 GEM524269:GEM524346 GEM589805:GEM589882 GEM655341:GEM655418 GEM720877:GEM720954 GEM786413:GEM786490 GEM851949:GEM852026 GEM917485:GEM917562 GEM983021:GEM983098 GOI2:GOI58 GOI65517:GOI65594 GOI131053:GOI131130 GOI196589:GOI196666 GOI262125:GOI262202 GOI327661:GOI327738 GOI393197:GOI393274 GOI458733:GOI458810 GOI524269:GOI524346 GOI589805:GOI589882 GOI655341:GOI655418 GOI720877:GOI720954 GOI786413:GOI786490 GOI851949:GOI852026 GOI917485:GOI917562 GOI983021:GOI983098 GYE2:GYE58 GYE65517:GYE65594 GYE131053:GYE131130 GYE196589:GYE196666 GYE262125:GYE262202 GYE327661:GYE327738 GYE393197:GYE393274 GYE458733:GYE458810 GYE524269:GYE524346 GYE589805:GYE589882 GYE655341:GYE655418 GYE720877:GYE720954 GYE786413:GYE786490 GYE851949:GYE852026 GYE917485:GYE917562 GYE983021:GYE983098 HIA2:HIA58 HIA65517:HIA65594 HIA131053:HIA131130 HIA196589:HIA196666 HIA262125:HIA262202 HIA327661:HIA327738 HIA393197:HIA393274 HIA458733:HIA458810 HIA524269:HIA524346 HIA589805:HIA589882 HIA655341:HIA655418 HIA720877:HIA720954 HIA786413:HIA786490 HIA851949:HIA852026 HIA917485:HIA917562 HIA983021:HIA983098 HRW2:HRW58 HRW65517:HRW65594 HRW131053:HRW131130 HRW196589:HRW196666 HRW262125:HRW262202 HRW327661:HRW327738 HRW393197:HRW393274 HRW458733:HRW458810 HRW524269:HRW524346 HRW589805:HRW589882 HRW655341:HRW655418 HRW720877:HRW720954 HRW786413:HRW786490 HRW851949:HRW852026 HRW917485:HRW917562 HRW983021:HRW983098 IBS2:IBS58 IBS65517:IBS65594 IBS131053:IBS131130 IBS196589:IBS196666 IBS262125:IBS262202 IBS327661:IBS327738 IBS393197:IBS393274 IBS458733:IBS458810 IBS524269:IBS524346 IBS589805:IBS589882 IBS655341:IBS655418 IBS720877:IBS720954 IBS786413:IBS786490 IBS851949:IBS852026 IBS917485:IBS917562 IBS983021:IBS983098 ILO2:ILO58 ILO65517:ILO65594 ILO131053:ILO131130 ILO196589:ILO196666 ILO262125:ILO262202 ILO327661:ILO327738 ILO393197:ILO393274 ILO458733:ILO458810 ILO524269:ILO524346 ILO589805:ILO589882 ILO655341:ILO655418 ILO720877:ILO720954 ILO786413:ILO786490 ILO851949:ILO852026 ILO917485:ILO917562 ILO983021:ILO983098 IVK2:IVK58 IVK65517:IVK65594 IVK131053:IVK131130 IVK196589:IVK196666 IVK262125:IVK262202 IVK327661:IVK327738 IVK393197:IVK393274 IVK458733:IVK458810 IVK524269:IVK524346 IVK589805:IVK589882 IVK655341:IVK655418 IVK720877:IVK720954 IVK786413:IVK786490 IVK851949:IVK852026 IVK917485:IVK917562 IVK983021:IVK983098 JFG2:JFG58 JFG65517:JFG65594 JFG131053:JFG131130 JFG196589:JFG196666 JFG262125:JFG262202 JFG327661:JFG327738 JFG393197:JFG393274 JFG458733:JFG458810 JFG524269:JFG524346 JFG589805:JFG589882 JFG655341:JFG655418 JFG720877:JFG720954 JFG786413:JFG786490 JFG851949:JFG852026 JFG917485:JFG917562 JFG983021:JFG983098 JPC2:JPC58 JPC65517:JPC65594 JPC131053:JPC131130 JPC196589:JPC196666 JPC262125:JPC262202 JPC327661:JPC327738 JPC393197:JPC393274 JPC458733:JPC458810 JPC524269:JPC524346 JPC589805:JPC589882 JPC655341:JPC655418 JPC720877:JPC720954 JPC786413:JPC786490 JPC851949:JPC852026 JPC917485:JPC917562 JPC983021:JPC983098 JYY2:JYY58 JYY65517:JYY65594 JYY131053:JYY131130 JYY196589:JYY196666 JYY262125:JYY262202 JYY327661:JYY327738 JYY393197:JYY393274 JYY458733:JYY458810 JYY524269:JYY524346 JYY589805:JYY589882 JYY655341:JYY655418 JYY720877:JYY720954 JYY786413:JYY786490 JYY851949:JYY852026 JYY917485:JYY917562 JYY983021:JYY983098 KIU2:KIU58 KIU65517:KIU65594 KIU131053:KIU131130 KIU196589:KIU196666 KIU262125:KIU262202 KIU327661:KIU327738 KIU393197:KIU393274 KIU458733:KIU458810 KIU524269:KIU524346 KIU589805:KIU589882 KIU655341:KIU655418 KIU720877:KIU720954 KIU786413:KIU786490 KIU851949:KIU852026 KIU917485:KIU917562 KIU983021:KIU983098 KSQ2:KSQ58 KSQ65517:KSQ65594 KSQ131053:KSQ131130 KSQ196589:KSQ196666 KSQ262125:KSQ262202 KSQ327661:KSQ327738 KSQ393197:KSQ393274 KSQ458733:KSQ458810 KSQ524269:KSQ524346 KSQ589805:KSQ589882 KSQ655341:KSQ655418 KSQ720877:KSQ720954 KSQ786413:KSQ786490 KSQ851949:KSQ852026 KSQ917485:KSQ917562 KSQ983021:KSQ983098 LCM2:LCM58 LCM65517:LCM65594 LCM131053:LCM131130 LCM196589:LCM196666 LCM262125:LCM262202 LCM327661:LCM327738 LCM393197:LCM393274 LCM458733:LCM458810 LCM524269:LCM524346 LCM589805:LCM589882 LCM655341:LCM655418 LCM720877:LCM720954 LCM786413:LCM786490 LCM851949:LCM852026 LCM917485:LCM917562 LCM983021:LCM983098 LMI2:LMI58 LMI65517:LMI65594 LMI131053:LMI131130 LMI196589:LMI196666 LMI262125:LMI262202 LMI327661:LMI327738 LMI393197:LMI393274 LMI458733:LMI458810 LMI524269:LMI524346 LMI589805:LMI589882 LMI655341:LMI655418 LMI720877:LMI720954 LMI786413:LMI786490 LMI851949:LMI852026 LMI917485:LMI917562 LMI983021:LMI983098 LWE2:LWE58 LWE65517:LWE65594 LWE131053:LWE131130 LWE196589:LWE196666 LWE262125:LWE262202 LWE327661:LWE327738 LWE393197:LWE393274 LWE458733:LWE458810 LWE524269:LWE524346 LWE589805:LWE589882 LWE655341:LWE655418 LWE720877:LWE720954 LWE786413:LWE786490 LWE851949:LWE852026 LWE917485:LWE917562 LWE983021:LWE983098 MGA2:MGA58 MGA65517:MGA65594 MGA131053:MGA131130 MGA196589:MGA196666 MGA262125:MGA262202 MGA327661:MGA327738 MGA393197:MGA393274 MGA458733:MGA458810 MGA524269:MGA524346 MGA589805:MGA589882 MGA655341:MGA655418 MGA720877:MGA720954 MGA786413:MGA786490 MGA851949:MGA852026 MGA917485:MGA917562 MGA983021:MGA983098 MPW2:MPW58 MPW65517:MPW65594 MPW131053:MPW131130 MPW196589:MPW196666 MPW262125:MPW262202 MPW327661:MPW327738 MPW393197:MPW393274 MPW458733:MPW458810 MPW524269:MPW524346 MPW589805:MPW589882 MPW655341:MPW655418 MPW720877:MPW720954 MPW786413:MPW786490 MPW851949:MPW852026 MPW917485:MPW917562 MPW983021:MPW983098 MZS2:MZS58 MZS65517:MZS65594 MZS131053:MZS131130 MZS196589:MZS196666 MZS262125:MZS262202 MZS327661:MZS327738 MZS393197:MZS393274 MZS458733:MZS458810 MZS524269:MZS524346 MZS589805:MZS589882 MZS655341:MZS655418 MZS720877:MZS720954 MZS786413:MZS786490 MZS851949:MZS852026 MZS917485:MZS917562 MZS983021:MZS983098 NJO2:NJO58 NJO65517:NJO65594 NJO131053:NJO131130 NJO196589:NJO196666 NJO262125:NJO262202 NJO327661:NJO327738 NJO393197:NJO393274 NJO458733:NJO458810 NJO524269:NJO524346 NJO589805:NJO589882 NJO655341:NJO655418 NJO720877:NJO720954 NJO786413:NJO786490 NJO851949:NJO852026 NJO917485:NJO917562 NJO983021:NJO983098 NTK2:NTK58 NTK65517:NTK65594 NTK131053:NTK131130 NTK196589:NTK196666 NTK262125:NTK262202 NTK327661:NTK327738 NTK393197:NTK393274 NTK458733:NTK458810 NTK524269:NTK524346 NTK589805:NTK589882 NTK655341:NTK655418 NTK720877:NTK720954 NTK786413:NTK786490 NTK851949:NTK852026 NTK917485:NTK917562 NTK983021:NTK983098 ODG2:ODG58 ODG65517:ODG65594 ODG131053:ODG131130 ODG196589:ODG196666 ODG262125:ODG262202 ODG327661:ODG327738 ODG393197:ODG393274 ODG458733:ODG458810 ODG524269:ODG524346 ODG589805:ODG589882 ODG655341:ODG655418 ODG720877:ODG720954 ODG786413:ODG786490 ODG851949:ODG852026 ODG917485:ODG917562 ODG983021:ODG983098 ONC2:ONC58 ONC65517:ONC65594 ONC131053:ONC131130 ONC196589:ONC196666 ONC262125:ONC262202 ONC327661:ONC327738 ONC393197:ONC393274 ONC458733:ONC458810 ONC524269:ONC524346 ONC589805:ONC589882 ONC655341:ONC655418 ONC720877:ONC720954 ONC786413:ONC786490 ONC851949:ONC852026 ONC917485:ONC917562 ONC983021:ONC983098 OWY2:OWY58 OWY65517:OWY65594 OWY131053:OWY131130 OWY196589:OWY196666 OWY262125:OWY262202 OWY327661:OWY327738 OWY393197:OWY393274 OWY458733:OWY458810 OWY524269:OWY524346 OWY589805:OWY589882 OWY655341:OWY655418 OWY720877:OWY720954 OWY786413:OWY786490 OWY851949:OWY852026 OWY917485:OWY917562 OWY983021:OWY983098 PGU2:PGU58 PGU65517:PGU65594 PGU131053:PGU131130 PGU196589:PGU196666 PGU262125:PGU262202 PGU327661:PGU327738 PGU393197:PGU393274 PGU458733:PGU458810 PGU524269:PGU524346 PGU589805:PGU589882 PGU655341:PGU655418 PGU720877:PGU720954 PGU786413:PGU786490 PGU851949:PGU852026 PGU917485:PGU917562 PGU983021:PGU983098 PQQ2:PQQ58 PQQ65517:PQQ65594 PQQ131053:PQQ131130 PQQ196589:PQQ196666 PQQ262125:PQQ262202 PQQ327661:PQQ327738 PQQ393197:PQQ393274 PQQ458733:PQQ458810 PQQ524269:PQQ524346 PQQ589805:PQQ589882 PQQ655341:PQQ655418 PQQ720877:PQQ720954 PQQ786413:PQQ786490 PQQ851949:PQQ852026 PQQ917485:PQQ917562 PQQ983021:PQQ983098 QAM2:QAM58 QAM65517:QAM65594 QAM131053:QAM131130 QAM196589:QAM196666 QAM262125:QAM262202 QAM327661:QAM327738 QAM393197:QAM393274 QAM458733:QAM458810 QAM524269:QAM524346 QAM589805:QAM589882 QAM655341:QAM655418 QAM720877:QAM720954 QAM786413:QAM786490 QAM851949:QAM852026 QAM917485:QAM917562 QAM983021:QAM983098 QKI2:QKI58 QKI65517:QKI65594 QKI131053:QKI131130 QKI196589:QKI196666 QKI262125:QKI262202 QKI327661:QKI327738 QKI393197:QKI393274 QKI458733:QKI458810 QKI524269:QKI524346 QKI589805:QKI589882 QKI655341:QKI655418 QKI720877:QKI720954 QKI786413:QKI786490 QKI851949:QKI852026 QKI917485:QKI917562 QKI983021:QKI983098 QUE2:QUE58 QUE65517:QUE65594 QUE131053:QUE131130 QUE196589:QUE196666 QUE262125:QUE262202 QUE327661:QUE327738 QUE393197:QUE393274 QUE458733:QUE458810 QUE524269:QUE524346 QUE589805:QUE589882 QUE655341:QUE655418 QUE720877:QUE720954 QUE786413:QUE786490 QUE851949:QUE852026 QUE917485:QUE917562 QUE983021:QUE983098 REA2:REA58 REA65517:REA65594 REA131053:REA131130 REA196589:REA196666 REA262125:REA262202 REA327661:REA327738 REA393197:REA393274 REA458733:REA458810 REA524269:REA524346 REA589805:REA589882 REA655341:REA655418 REA720877:REA720954 REA786413:REA786490 REA851949:REA852026 REA917485:REA917562 REA983021:REA983098 RNW2:RNW58 RNW65517:RNW65594 RNW131053:RNW131130 RNW196589:RNW196666 RNW262125:RNW262202 RNW327661:RNW327738 RNW393197:RNW393274 RNW458733:RNW458810 RNW524269:RNW524346 RNW589805:RNW589882 RNW655341:RNW655418 RNW720877:RNW720954 RNW786413:RNW786490 RNW851949:RNW852026 RNW917485:RNW917562 RNW983021:RNW983098 RXS2:RXS58 RXS65517:RXS65594 RXS131053:RXS131130 RXS196589:RXS196666 RXS262125:RXS262202 RXS327661:RXS327738 RXS393197:RXS393274 RXS458733:RXS458810 RXS524269:RXS524346 RXS589805:RXS589882 RXS655341:RXS655418 RXS720877:RXS720954 RXS786413:RXS786490 RXS851949:RXS852026 RXS917485:RXS917562 RXS983021:RXS983098 SHO2:SHO58 SHO65517:SHO65594 SHO131053:SHO131130 SHO196589:SHO196666 SHO262125:SHO262202 SHO327661:SHO327738 SHO393197:SHO393274 SHO458733:SHO458810 SHO524269:SHO524346 SHO589805:SHO589882 SHO655341:SHO655418 SHO720877:SHO720954 SHO786413:SHO786490 SHO851949:SHO852026 SHO917485:SHO917562 SHO983021:SHO983098 SRK2:SRK58 SRK65517:SRK65594 SRK131053:SRK131130 SRK196589:SRK196666 SRK262125:SRK262202 SRK327661:SRK327738 SRK393197:SRK393274 SRK458733:SRK458810 SRK524269:SRK524346 SRK589805:SRK589882 SRK655341:SRK655418 SRK720877:SRK720954 SRK786413:SRK786490 SRK851949:SRK852026 SRK917485:SRK917562 SRK983021:SRK983098 TBG2:TBG58 TBG65517:TBG65594 TBG131053:TBG131130 TBG196589:TBG196666 TBG262125:TBG262202 TBG327661:TBG327738 TBG393197:TBG393274 TBG458733:TBG458810 TBG524269:TBG524346 TBG589805:TBG589882 TBG655341:TBG655418 TBG720877:TBG720954 TBG786413:TBG786490 TBG851949:TBG852026 TBG917485:TBG917562 TBG983021:TBG983098 TLC2:TLC58 TLC65517:TLC65594 TLC131053:TLC131130 TLC196589:TLC196666 TLC262125:TLC262202 TLC327661:TLC327738 TLC393197:TLC393274 TLC458733:TLC458810 TLC524269:TLC524346 TLC589805:TLC589882 TLC655341:TLC655418 TLC720877:TLC720954 TLC786413:TLC786490 TLC851949:TLC852026 TLC917485:TLC917562 TLC983021:TLC983098 TUY2:TUY58 TUY65517:TUY65594 TUY131053:TUY131130 TUY196589:TUY196666 TUY262125:TUY262202 TUY327661:TUY327738 TUY393197:TUY393274 TUY458733:TUY458810 TUY524269:TUY524346 TUY589805:TUY589882 TUY655341:TUY655418 TUY720877:TUY720954 TUY786413:TUY786490 TUY851949:TUY852026 TUY917485:TUY917562 TUY983021:TUY983098 UEU2:UEU58 UEU65517:UEU65594 UEU131053:UEU131130 UEU196589:UEU196666 UEU262125:UEU262202 UEU327661:UEU327738 UEU393197:UEU393274 UEU458733:UEU458810 UEU524269:UEU524346 UEU589805:UEU589882 UEU655341:UEU655418 UEU720877:UEU720954 UEU786413:UEU786490 UEU851949:UEU852026 UEU917485:UEU917562 UEU983021:UEU983098 UOQ2:UOQ58 UOQ65517:UOQ65594 UOQ131053:UOQ131130 UOQ196589:UOQ196666 UOQ262125:UOQ262202 UOQ327661:UOQ327738 UOQ393197:UOQ393274 UOQ458733:UOQ458810 UOQ524269:UOQ524346 UOQ589805:UOQ589882 UOQ655341:UOQ655418 UOQ720877:UOQ720954 UOQ786413:UOQ786490 UOQ851949:UOQ852026 UOQ917485:UOQ917562 UOQ983021:UOQ983098 UYM2:UYM58 UYM65517:UYM65594 UYM131053:UYM131130 UYM196589:UYM196666 UYM262125:UYM262202 UYM327661:UYM327738 UYM393197:UYM393274 UYM458733:UYM458810 UYM524269:UYM524346 UYM589805:UYM589882 UYM655341:UYM655418 UYM720877:UYM720954 UYM786413:UYM786490 UYM851949:UYM852026 UYM917485:UYM917562 UYM983021:UYM983098 VII2:VII58 VII65517:VII65594 VII131053:VII131130 VII196589:VII196666 VII262125:VII262202 VII327661:VII327738 VII393197:VII393274 VII458733:VII458810 VII524269:VII524346 VII589805:VII589882 VII655341:VII655418 VII720877:VII720954 VII786413:VII786490 VII851949:VII852026 VII917485:VII917562 VII983021:VII983098 VSE2:VSE58 VSE65517:VSE65594 VSE131053:VSE131130 VSE196589:VSE196666 VSE262125:VSE262202 VSE327661:VSE327738 VSE393197:VSE393274 VSE458733:VSE458810 VSE524269:VSE524346 VSE589805:VSE589882 VSE655341:VSE655418 VSE720877:VSE720954 VSE786413:VSE786490 VSE851949:VSE852026 VSE917485:VSE917562 VSE983021:VSE983098 WCA2:WCA58 WCA65517:WCA65594 WCA131053:WCA131130 WCA196589:WCA196666 WCA262125:WCA262202 WCA327661:WCA327738 WCA393197:WCA393274 WCA458733:WCA458810 WCA524269:WCA524346 WCA589805:WCA589882 WCA655341:WCA655418 WCA720877:WCA720954 WCA786413:WCA786490 WCA851949:WCA852026 WCA917485:WCA917562 WCA983021:WCA983098 WLW2:WLW58 WLW65517:WLW65594 WLW131053:WLW131130 WLW196589:WLW196666 WLW262125:WLW262202 WLW327661:WLW327738 WLW393197:WLW393274 WLW458733:WLW458810 WLW524269:WLW524346 WLW589805:WLW589882 WLW655341:WLW655418 WLW720877:WLW720954 WLW786413:WLW786490 WLW851949:WLW852026 WLW917485:WLW917562 WLW983021:WLW983098 WVS2:WVS58 WVS65517:WVS65594 WVS131053:WVS131130 WVS196589:WVS196666 WVS262125:WVS262202 WVS327661:WVS327738 WVS393197:WVS393274 WVS458733:WVS458810 WVS524269:WVS524346 WVS589805:WVS589882 WVS655341:WVS655418 WVS720877:WVS720954 WVS786413:WVS786490 WVS851949:WVS852026 WVS917485:WVS917562 WVS983021:WVS983098">
      <formula1>$AR$2:$AR$22</formula1>
    </dataValidation>
    <dataValidation type="list" allowBlank="1" showInputMessage="1" showErrorMessage="1" sqref="J2:J479 J65517:J65594 J131053:J131130 J196589:J196666 J262125:J262202 J327661:J327738 J393197:J393274 J458733:J458810 J524269:J524346 J589805:J589882 J655341:J655418 J720877:J720954 J786413:J786490 J851949:J852026 J917485:J917562 J983021:J983098 JF2:JF58 JF65517:JF65594 JF131053:JF131130 JF196589:JF196666 JF262125:JF262202 JF327661:JF327738 JF393197:JF393274 JF458733:JF458810 JF524269:JF524346 JF589805:JF589882 JF655341:JF655418 JF720877:JF720954 JF786413:JF786490 JF851949:JF852026 JF917485:JF917562 JF983021:JF983098 TB2:TB58 TB65517:TB65594 TB131053:TB131130 TB196589:TB196666 TB262125:TB262202 TB327661:TB327738 TB393197:TB393274 TB458733:TB458810 TB524269:TB524346 TB589805:TB589882 TB655341:TB655418 TB720877:TB720954 TB786413:TB786490 TB851949:TB852026 TB917485:TB917562 TB983021:TB983098 ACX2:ACX58 ACX65517:ACX65594 ACX131053:ACX131130 ACX196589:ACX196666 ACX262125:ACX262202 ACX327661:ACX327738 ACX393197:ACX393274 ACX458733:ACX458810 ACX524269:ACX524346 ACX589805:ACX589882 ACX655341:ACX655418 ACX720877:ACX720954 ACX786413:ACX786490 ACX851949:ACX852026 ACX917485:ACX917562 ACX983021:ACX983098 AMT2:AMT58 AMT65517:AMT65594 AMT131053:AMT131130 AMT196589:AMT196666 AMT262125:AMT262202 AMT327661:AMT327738 AMT393197:AMT393274 AMT458733:AMT458810 AMT524269:AMT524346 AMT589805:AMT589882 AMT655341:AMT655418 AMT720877:AMT720954 AMT786413:AMT786490 AMT851949:AMT852026 AMT917485:AMT917562 AMT983021:AMT983098 AWP2:AWP58 AWP65517:AWP65594 AWP131053:AWP131130 AWP196589:AWP196666 AWP262125:AWP262202 AWP327661:AWP327738 AWP393197:AWP393274 AWP458733:AWP458810 AWP524269:AWP524346 AWP589805:AWP589882 AWP655341:AWP655418 AWP720877:AWP720954 AWP786413:AWP786490 AWP851949:AWP852026 AWP917485:AWP917562 AWP983021:AWP983098 BGL2:BGL58 BGL65517:BGL65594 BGL131053:BGL131130 BGL196589:BGL196666 BGL262125:BGL262202 BGL327661:BGL327738 BGL393197:BGL393274 BGL458733:BGL458810 BGL524269:BGL524346 BGL589805:BGL589882 BGL655341:BGL655418 BGL720877:BGL720954 BGL786413:BGL786490 BGL851949:BGL852026 BGL917485:BGL917562 BGL983021:BGL983098 BQH2:BQH58 BQH65517:BQH65594 BQH131053:BQH131130 BQH196589:BQH196666 BQH262125:BQH262202 BQH327661:BQH327738 BQH393197:BQH393274 BQH458733:BQH458810 BQH524269:BQH524346 BQH589805:BQH589882 BQH655341:BQH655418 BQH720877:BQH720954 BQH786413:BQH786490 BQH851949:BQH852026 BQH917485:BQH917562 BQH983021:BQH983098 CAD2:CAD58 CAD65517:CAD65594 CAD131053:CAD131130 CAD196589:CAD196666 CAD262125:CAD262202 CAD327661:CAD327738 CAD393197:CAD393274 CAD458733:CAD458810 CAD524269:CAD524346 CAD589805:CAD589882 CAD655341:CAD655418 CAD720877:CAD720954 CAD786413:CAD786490 CAD851949:CAD852026 CAD917485:CAD917562 CAD983021:CAD983098 CJZ2:CJZ58 CJZ65517:CJZ65594 CJZ131053:CJZ131130 CJZ196589:CJZ196666 CJZ262125:CJZ262202 CJZ327661:CJZ327738 CJZ393197:CJZ393274 CJZ458733:CJZ458810 CJZ524269:CJZ524346 CJZ589805:CJZ589882 CJZ655341:CJZ655418 CJZ720877:CJZ720954 CJZ786413:CJZ786490 CJZ851949:CJZ852026 CJZ917485:CJZ917562 CJZ983021:CJZ983098 CTV2:CTV58 CTV65517:CTV65594 CTV131053:CTV131130 CTV196589:CTV196666 CTV262125:CTV262202 CTV327661:CTV327738 CTV393197:CTV393274 CTV458733:CTV458810 CTV524269:CTV524346 CTV589805:CTV589882 CTV655341:CTV655418 CTV720877:CTV720954 CTV786413:CTV786490 CTV851949:CTV852026 CTV917485:CTV917562 CTV983021:CTV983098 DDR2:DDR58 DDR65517:DDR65594 DDR131053:DDR131130 DDR196589:DDR196666 DDR262125:DDR262202 DDR327661:DDR327738 DDR393197:DDR393274 DDR458733:DDR458810 DDR524269:DDR524346 DDR589805:DDR589882 DDR655341:DDR655418 DDR720877:DDR720954 DDR786413:DDR786490 DDR851949:DDR852026 DDR917485:DDR917562 DDR983021:DDR983098 DNN2:DNN58 DNN65517:DNN65594 DNN131053:DNN131130 DNN196589:DNN196666 DNN262125:DNN262202 DNN327661:DNN327738 DNN393197:DNN393274 DNN458733:DNN458810 DNN524269:DNN524346 DNN589805:DNN589882 DNN655341:DNN655418 DNN720877:DNN720954 DNN786413:DNN786490 DNN851949:DNN852026 DNN917485:DNN917562 DNN983021:DNN983098 DXJ2:DXJ58 DXJ65517:DXJ65594 DXJ131053:DXJ131130 DXJ196589:DXJ196666 DXJ262125:DXJ262202 DXJ327661:DXJ327738 DXJ393197:DXJ393274 DXJ458733:DXJ458810 DXJ524269:DXJ524346 DXJ589805:DXJ589882 DXJ655341:DXJ655418 DXJ720877:DXJ720954 DXJ786413:DXJ786490 DXJ851949:DXJ852026 DXJ917485:DXJ917562 DXJ983021:DXJ983098 EHF2:EHF58 EHF65517:EHF65594 EHF131053:EHF131130 EHF196589:EHF196666 EHF262125:EHF262202 EHF327661:EHF327738 EHF393197:EHF393274 EHF458733:EHF458810 EHF524269:EHF524346 EHF589805:EHF589882 EHF655341:EHF655418 EHF720877:EHF720954 EHF786413:EHF786490 EHF851949:EHF852026 EHF917485:EHF917562 EHF983021:EHF983098 ERB2:ERB58 ERB65517:ERB65594 ERB131053:ERB131130 ERB196589:ERB196666 ERB262125:ERB262202 ERB327661:ERB327738 ERB393197:ERB393274 ERB458733:ERB458810 ERB524269:ERB524346 ERB589805:ERB589882 ERB655341:ERB655418 ERB720877:ERB720954 ERB786413:ERB786490 ERB851949:ERB852026 ERB917485:ERB917562 ERB983021:ERB983098 FAX2:FAX58 FAX65517:FAX65594 FAX131053:FAX131130 FAX196589:FAX196666 FAX262125:FAX262202 FAX327661:FAX327738 FAX393197:FAX393274 FAX458733:FAX458810 FAX524269:FAX524346 FAX589805:FAX589882 FAX655341:FAX655418 FAX720877:FAX720954 FAX786413:FAX786490 FAX851949:FAX852026 FAX917485:FAX917562 FAX983021:FAX983098 FKT2:FKT58 FKT65517:FKT65594 FKT131053:FKT131130 FKT196589:FKT196666 FKT262125:FKT262202 FKT327661:FKT327738 FKT393197:FKT393274 FKT458733:FKT458810 FKT524269:FKT524346 FKT589805:FKT589882 FKT655341:FKT655418 FKT720877:FKT720954 FKT786413:FKT786490 FKT851949:FKT852026 FKT917485:FKT917562 FKT983021:FKT983098 FUP2:FUP58 FUP65517:FUP65594 FUP131053:FUP131130 FUP196589:FUP196666 FUP262125:FUP262202 FUP327661:FUP327738 FUP393197:FUP393274 FUP458733:FUP458810 FUP524269:FUP524346 FUP589805:FUP589882 FUP655341:FUP655418 FUP720877:FUP720954 FUP786413:FUP786490 FUP851949:FUP852026 FUP917485:FUP917562 FUP983021:FUP983098 GEL2:GEL58 GEL65517:GEL65594 GEL131053:GEL131130 GEL196589:GEL196666 GEL262125:GEL262202 GEL327661:GEL327738 GEL393197:GEL393274 GEL458733:GEL458810 GEL524269:GEL524346 GEL589805:GEL589882 GEL655341:GEL655418 GEL720877:GEL720954 GEL786413:GEL786490 GEL851949:GEL852026 GEL917485:GEL917562 GEL983021:GEL983098 GOH2:GOH58 GOH65517:GOH65594 GOH131053:GOH131130 GOH196589:GOH196666 GOH262125:GOH262202 GOH327661:GOH327738 GOH393197:GOH393274 GOH458733:GOH458810 GOH524269:GOH524346 GOH589805:GOH589882 GOH655341:GOH655418 GOH720877:GOH720954 GOH786413:GOH786490 GOH851949:GOH852026 GOH917485:GOH917562 GOH983021:GOH983098 GYD2:GYD58 GYD65517:GYD65594 GYD131053:GYD131130 GYD196589:GYD196666 GYD262125:GYD262202 GYD327661:GYD327738 GYD393197:GYD393274 GYD458733:GYD458810 GYD524269:GYD524346 GYD589805:GYD589882 GYD655341:GYD655418 GYD720877:GYD720954 GYD786413:GYD786490 GYD851949:GYD852026 GYD917485:GYD917562 GYD983021:GYD983098 HHZ2:HHZ58 HHZ65517:HHZ65594 HHZ131053:HHZ131130 HHZ196589:HHZ196666 HHZ262125:HHZ262202 HHZ327661:HHZ327738 HHZ393197:HHZ393274 HHZ458733:HHZ458810 HHZ524269:HHZ524346 HHZ589805:HHZ589882 HHZ655341:HHZ655418 HHZ720877:HHZ720954 HHZ786413:HHZ786490 HHZ851949:HHZ852026 HHZ917485:HHZ917562 HHZ983021:HHZ983098 HRV2:HRV58 HRV65517:HRV65594 HRV131053:HRV131130 HRV196589:HRV196666 HRV262125:HRV262202 HRV327661:HRV327738 HRV393197:HRV393274 HRV458733:HRV458810 HRV524269:HRV524346 HRV589805:HRV589882 HRV655341:HRV655418 HRV720877:HRV720954 HRV786413:HRV786490 HRV851949:HRV852026 HRV917485:HRV917562 HRV983021:HRV983098 IBR2:IBR58 IBR65517:IBR65594 IBR131053:IBR131130 IBR196589:IBR196666 IBR262125:IBR262202 IBR327661:IBR327738 IBR393197:IBR393274 IBR458733:IBR458810 IBR524269:IBR524346 IBR589805:IBR589882 IBR655341:IBR655418 IBR720877:IBR720954 IBR786413:IBR786490 IBR851949:IBR852026 IBR917485:IBR917562 IBR983021:IBR983098 ILN2:ILN58 ILN65517:ILN65594 ILN131053:ILN131130 ILN196589:ILN196666 ILN262125:ILN262202 ILN327661:ILN327738 ILN393197:ILN393274 ILN458733:ILN458810 ILN524269:ILN524346 ILN589805:ILN589882 ILN655341:ILN655418 ILN720877:ILN720954 ILN786413:ILN786490 ILN851949:ILN852026 ILN917485:ILN917562 ILN983021:ILN983098 IVJ2:IVJ58 IVJ65517:IVJ65594 IVJ131053:IVJ131130 IVJ196589:IVJ196666 IVJ262125:IVJ262202 IVJ327661:IVJ327738 IVJ393197:IVJ393274 IVJ458733:IVJ458810 IVJ524269:IVJ524346 IVJ589805:IVJ589882 IVJ655341:IVJ655418 IVJ720877:IVJ720954 IVJ786413:IVJ786490 IVJ851949:IVJ852026 IVJ917485:IVJ917562 IVJ983021:IVJ983098 JFF2:JFF58 JFF65517:JFF65594 JFF131053:JFF131130 JFF196589:JFF196666 JFF262125:JFF262202 JFF327661:JFF327738 JFF393197:JFF393274 JFF458733:JFF458810 JFF524269:JFF524346 JFF589805:JFF589882 JFF655341:JFF655418 JFF720877:JFF720954 JFF786413:JFF786490 JFF851949:JFF852026 JFF917485:JFF917562 JFF983021:JFF983098 JPB2:JPB58 JPB65517:JPB65594 JPB131053:JPB131130 JPB196589:JPB196666 JPB262125:JPB262202 JPB327661:JPB327738 JPB393197:JPB393274 JPB458733:JPB458810 JPB524269:JPB524346 JPB589805:JPB589882 JPB655341:JPB655418 JPB720877:JPB720954 JPB786413:JPB786490 JPB851949:JPB852026 JPB917485:JPB917562 JPB983021:JPB983098 JYX2:JYX58 JYX65517:JYX65594 JYX131053:JYX131130 JYX196589:JYX196666 JYX262125:JYX262202 JYX327661:JYX327738 JYX393197:JYX393274 JYX458733:JYX458810 JYX524269:JYX524346 JYX589805:JYX589882 JYX655341:JYX655418 JYX720877:JYX720954 JYX786413:JYX786490 JYX851949:JYX852026 JYX917485:JYX917562 JYX983021:JYX983098 KIT2:KIT58 KIT65517:KIT65594 KIT131053:KIT131130 KIT196589:KIT196666 KIT262125:KIT262202 KIT327661:KIT327738 KIT393197:KIT393274 KIT458733:KIT458810 KIT524269:KIT524346 KIT589805:KIT589882 KIT655341:KIT655418 KIT720877:KIT720954 KIT786413:KIT786490 KIT851949:KIT852026 KIT917485:KIT917562 KIT983021:KIT983098 KSP2:KSP58 KSP65517:KSP65594 KSP131053:KSP131130 KSP196589:KSP196666 KSP262125:KSP262202 KSP327661:KSP327738 KSP393197:KSP393274 KSP458733:KSP458810 KSP524269:KSP524346 KSP589805:KSP589882 KSP655341:KSP655418 KSP720877:KSP720954 KSP786413:KSP786490 KSP851949:KSP852026 KSP917485:KSP917562 KSP983021:KSP983098 LCL2:LCL58 LCL65517:LCL65594 LCL131053:LCL131130 LCL196589:LCL196666 LCL262125:LCL262202 LCL327661:LCL327738 LCL393197:LCL393274 LCL458733:LCL458810 LCL524269:LCL524346 LCL589805:LCL589882 LCL655341:LCL655418 LCL720877:LCL720954 LCL786413:LCL786490 LCL851949:LCL852026 LCL917485:LCL917562 LCL983021:LCL983098 LMH2:LMH58 LMH65517:LMH65594 LMH131053:LMH131130 LMH196589:LMH196666 LMH262125:LMH262202 LMH327661:LMH327738 LMH393197:LMH393274 LMH458733:LMH458810 LMH524269:LMH524346 LMH589805:LMH589882 LMH655341:LMH655418 LMH720877:LMH720954 LMH786413:LMH786490 LMH851949:LMH852026 LMH917485:LMH917562 LMH983021:LMH983098 LWD2:LWD58 LWD65517:LWD65594 LWD131053:LWD131130 LWD196589:LWD196666 LWD262125:LWD262202 LWD327661:LWD327738 LWD393197:LWD393274 LWD458733:LWD458810 LWD524269:LWD524346 LWD589805:LWD589882 LWD655341:LWD655418 LWD720877:LWD720954 LWD786413:LWD786490 LWD851949:LWD852026 LWD917485:LWD917562 LWD983021:LWD983098 MFZ2:MFZ58 MFZ65517:MFZ65594 MFZ131053:MFZ131130 MFZ196589:MFZ196666 MFZ262125:MFZ262202 MFZ327661:MFZ327738 MFZ393197:MFZ393274 MFZ458733:MFZ458810 MFZ524269:MFZ524346 MFZ589805:MFZ589882 MFZ655341:MFZ655418 MFZ720877:MFZ720954 MFZ786413:MFZ786490 MFZ851949:MFZ852026 MFZ917485:MFZ917562 MFZ983021:MFZ983098 MPV2:MPV58 MPV65517:MPV65594 MPV131053:MPV131130 MPV196589:MPV196666 MPV262125:MPV262202 MPV327661:MPV327738 MPV393197:MPV393274 MPV458733:MPV458810 MPV524269:MPV524346 MPV589805:MPV589882 MPV655341:MPV655418 MPV720877:MPV720954 MPV786413:MPV786490 MPV851949:MPV852026 MPV917485:MPV917562 MPV983021:MPV983098 MZR2:MZR58 MZR65517:MZR65594 MZR131053:MZR131130 MZR196589:MZR196666 MZR262125:MZR262202 MZR327661:MZR327738 MZR393197:MZR393274 MZR458733:MZR458810 MZR524269:MZR524346 MZR589805:MZR589882 MZR655341:MZR655418 MZR720877:MZR720954 MZR786413:MZR786490 MZR851949:MZR852026 MZR917485:MZR917562 MZR983021:MZR983098 NJN2:NJN58 NJN65517:NJN65594 NJN131053:NJN131130 NJN196589:NJN196666 NJN262125:NJN262202 NJN327661:NJN327738 NJN393197:NJN393274 NJN458733:NJN458810 NJN524269:NJN524346 NJN589805:NJN589882 NJN655341:NJN655418 NJN720877:NJN720954 NJN786413:NJN786490 NJN851949:NJN852026 NJN917485:NJN917562 NJN983021:NJN983098 NTJ2:NTJ58 NTJ65517:NTJ65594 NTJ131053:NTJ131130 NTJ196589:NTJ196666 NTJ262125:NTJ262202 NTJ327661:NTJ327738 NTJ393197:NTJ393274 NTJ458733:NTJ458810 NTJ524269:NTJ524346 NTJ589805:NTJ589882 NTJ655341:NTJ655418 NTJ720877:NTJ720954 NTJ786413:NTJ786490 NTJ851949:NTJ852026 NTJ917485:NTJ917562 NTJ983021:NTJ983098 ODF2:ODF58 ODF65517:ODF65594 ODF131053:ODF131130 ODF196589:ODF196666 ODF262125:ODF262202 ODF327661:ODF327738 ODF393197:ODF393274 ODF458733:ODF458810 ODF524269:ODF524346 ODF589805:ODF589882 ODF655341:ODF655418 ODF720877:ODF720954 ODF786413:ODF786490 ODF851949:ODF852026 ODF917485:ODF917562 ODF983021:ODF983098 ONB2:ONB58 ONB65517:ONB65594 ONB131053:ONB131130 ONB196589:ONB196666 ONB262125:ONB262202 ONB327661:ONB327738 ONB393197:ONB393274 ONB458733:ONB458810 ONB524269:ONB524346 ONB589805:ONB589882 ONB655341:ONB655418 ONB720877:ONB720954 ONB786413:ONB786490 ONB851949:ONB852026 ONB917485:ONB917562 ONB983021:ONB983098 OWX2:OWX58 OWX65517:OWX65594 OWX131053:OWX131130 OWX196589:OWX196666 OWX262125:OWX262202 OWX327661:OWX327738 OWX393197:OWX393274 OWX458733:OWX458810 OWX524269:OWX524346 OWX589805:OWX589882 OWX655341:OWX655418 OWX720877:OWX720954 OWX786413:OWX786490 OWX851949:OWX852026 OWX917485:OWX917562 OWX983021:OWX983098 PGT2:PGT58 PGT65517:PGT65594 PGT131053:PGT131130 PGT196589:PGT196666 PGT262125:PGT262202 PGT327661:PGT327738 PGT393197:PGT393274 PGT458733:PGT458810 PGT524269:PGT524346 PGT589805:PGT589882 PGT655341:PGT655418 PGT720877:PGT720954 PGT786413:PGT786490 PGT851949:PGT852026 PGT917485:PGT917562 PGT983021:PGT983098 PQP2:PQP58 PQP65517:PQP65594 PQP131053:PQP131130 PQP196589:PQP196666 PQP262125:PQP262202 PQP327661:PQP327738 PQP393197:PQP393274 PQP458733:PQP458810 PQP524269:PQP524346 PQP589805:PQP589882 PQP655341:PQP655418 PQP720877:PQP720954 PQP786413:PQP786490 PQP851949:PQP852026 PQP917485:PQP917562 PQP983021:PQP983098 QAL2:QAL58 QAL65517:QAL65594 QAL131053:QAL131130 QAL196589:QAL196666 QAL262125:QAL262202 QAL327661:QAL327738 QAL393197:QAL393274 QAL458733:QAL458810 QAL524269:QAL524346 QAL589805:QAL589882 QAL655341:QAL655418 QAL720877:QAL720954 QAL786413:QAL786490 QAL851949:QAL852026 QAL917485:QAL917562 QAL983021:QAL983098 QKH2:QKH58 QKH65517:QKH65594 QKH131053:QKH131130 QKH196589:QKH196666 QKH262125:QKH262202 QKH327661:QKH327738 QKH393197:QKH393274 QKH458733:QKH458810 QKH524269:QKH524346 QKH589805:QKH589882 QKH655341:QKH655418 QKH720877:QKH720954 QKH786413:QKH786490 QKH851949:QKH852026 QKH917485:QKH917562 QKH983021:QKH983098 QUD2:QUD58 QUD65517:QUD65594 QUD131053:QUD131130 QUD196589:QUD196666 QUD262125:QUD262202 QUD327661:QUD327738 QUD393197:QUD393274 QUD458733:QUD458810 QUD524269:QUD524346 QUD589805:QUD589882 QUD655341:QUD655418 QUD720877:QUD720954 QUD786413:QUD786490 QUD851949:QUD852026 QUD917485:QUD917562 QUD983021:QUD983098 RDZ2:RDZ58 RDZ65517:RDZ65594 RDZ131053:RDZ131130 RDZ196589:RDZ196666 RDZ262125:RDZ262202 RDZ327661:RDZ327738 RDZ393197:RDZ393274 RDZ458733:RDZ458810 RDZ524269:RDZ524346 RDZ589805:RDZ589882 RDZ655341:RDZ655418 RDZ720877:RDZ720954 RDZ786413:RDZ786490 RDZ851949:RDZ852026 RDZ917485:RDZ917562 RDZ983021:RDZ983098 RNV2:RNV58 RNV65517:RNV65594 RNV131053:RNV131130 RNV196589:RNV196666 RNV262125:RNV262202 RNV327661:RNV327738 RNV393197:RNV393274 RNV458733:RNV458810 RNV524269:RNV524346 RNV589805:RNV589882 RNV655341:RNV655418 RNV720877:RNV720954 RNV786413:RNV786490 RNV851949:RNV852026 RNV917485:RNV917562 RNV983021:RNV983098 RXR2:RXR58 RXR65517:RXR65594 RXR131053:RXR131130 RXR196589:RXR196666 RXR262125:RXR262202 RXR327661:RXR327738 RXR393197:RXR393274 RXR458733:RXR458810 RXR524269:RXR524346 RXR589805:RXR589882 RXR655341:RXR655418 RXR720877:RXR720954 RXR786413:RXR786490 RXR851949:RXR852026 RXR917485:RXR917562 RXR983021:RXR983098 SHN2:SHN58 SHN65517:SHN65594 SHN131053:SHN131130 SHN196589:SHN196666 SHN262125:SHN262202 SHN327661:SHN327738 SHN393197:SHN393274 SHN458733:SHN458810 SHN524269:SHN524346 SHN589805:SHN589882 SHN655341:SHN655418 SHN720877:SHN720954 SHN786413:SHN786490 SHN851949:SHN852026 SHN917485:SHN917562 SHN983021:SHN983098 SRJ2:SRJ58 SRJ65517:SRJ65594 SRJ131053:SRJ131130 SRJ196589:SRJ196666 SRJ262125:SRJ262202 SRJ327661:SRJ327738 SRJ393197:SRJ393274 SRJ458733:SRJ458810 SRJ524269:SRJ524346 SRJ589805:SRJ589882 SRJ655341:SRJ655418 SRJ720877:SRJ720954 SRJ786413:SRJ786490 SRJ851949:SRJ852026 SRJ917485:SRJ917562 SRJ983021:SRJ983098 TBF2:TBF58 TBF65517:TBF65594 TBF131053:TBF131130 TBF196589:TBF196666 TBF262125:TBF262202 TBF327661:TBF327738 TBF393197:TBF393274 TBF458733:TBF458810 TBF524269:TBF524346 TBF589805:TBF589882 TBF655341:TBF655418 TBF720877:TBF720954 TBF786413:TBF786490 TBF851949:TBF852026 TBF917485:TBF917562 TBF983021:TBF983098 TLB2:TLB58 TLB65517:TLB65594 TLB131053:TLB131130 TLB196589:TLB196666 TLB262125:TLB262202 TLB327661:TLB327738 TLB393197:TLB393274 TLB458733:TLB458810 TLB524269:TLB524346 TLB589805:TLB589882 TLB655341:TLB655418 TLB720877:TLB720954 TLB786413:TLB786490 TLB851949:TLB852026 TLB917485:TLB917562 TLB983021:TLB983098 TUX2:TUX58 TUX65517:TUX65594 TUX131053:TUX131130 TUX196589:TUX196666 TUX262125:TUX262202 TUX327661:TUX327738 TUX393197:TUX393274 TUX458733:TUX458810 TUX524269:TUX524346 TUX589805:TUX589882 TUX655341:TUX655418 TUX720877:TUX720954 TUX786413:TUX786490 TUX851949:TUX852026 TUX917485:TUX917562 TUX983021:TUX983098 UET2:UET58 UET65517:UET65594 UET131053:UET131130 UET196589:UET196666 UET262125:UET262202 UET327661:UET327738 UET393197:UET393274 UET458733:UET458810 UET524269:UET524346 UET589805:UET589882 UET655341:UET655418 UET720877:UET720954 UET786413:UET786490 UET851949:UET852026 UET917485:UET917562 UET983021:UET983098 UOP2:UOP58 UOP65517:UOP65594 UOP131053:UOP131130 UOP196589:UOP196666 UOP262125:UOP262202 UOP327661:UOP327738 UOP393197:UOP393274 UOP458733:UOP458810 UOP524269:UOP524346 UOP589805:UOP589882 UOP655341:UOP655418 UOP720877:UOP720954 UOP786413:UOP786490 UOP851949:UOP852026 UOP917485:UOP917562 UOP983021:UOP983098 UYL2:UYL58 UYL65517:UYL65594 UYL131053:UYL131130 UYL196589:UYL196666 UYL262125:UYL262202 UYL327661:UYL327738 UYL393197:UYL393274 UYL458733:UYL458810 UYL524269:UYL524346 UYL589805:UYL589882 UYL655341:UYL655418 UYL720877:UYL720954 UYL786413:UYL786490 UYL851949:UYL852026 UYL917485:UYL917562 UYL983021:UYL983098 VIH2:VIH58 VIH65517:VIH65594 VIH131053:VIH131130 VIH196589:VIH196666 VIH262125:VIH262202 VIH327661:VIH327738 VIH393197:VIH393274 VIH458733:VIH458810 VIH524269:VIH524346 VIH589805:VIH589882 VIH655341:VIH655418 VIH720877:VIH720954 VIH786413:VIH786490 VIH851949:VIH852026 VIH917485:VIH917562 VIH983021:VIH983098 VSD2:VSD58 VSD65517:VSD65594 VSD131053:VSD131130 VSD196589:VSD196666 VSD262125:VSD262202 VSD327661:VSD327738 VSD393197:VSD393274 VSD458733:VSD458810 VSD524269:VSD524346 VSD589805:VSD589882 VSD655341:VSD655418 VSD720877:VSD720954 VSD786413:VSD786490 VSD851949:VSD852026 VSD917485:VSD917562 VSD983021:VSD983098 WBZ2:WBZ58 WBZ65517:WBZ65594 WBZ131053:WBZ131130 WBZ196589:WBZ196666 WBZ262125:WBZ262202 WBZ327661:WBZ327738 WBZ393197:WBZ393274 WBZ458733:WBZ458810 WBZ524269:WBZ524346 WBZ589805:WBZ589882 WBZ655341:WBZ655418 WBZ720877:WBZ720954 WBZ786413:WBZ786490 WBZ851949:WBZ852026 WBZ917485:WBZ917562 WBZ983021:WBZ983098 WLV2:WLV58 WLV65517:WLV65594 WLV131053:WLV131130 WLV196589:WLV196666 WLV262125:WLV262202 WLV327661:WLV327738 WLV393197:WLV393274 WLV458733:WLV458810 WLV524269:WLV524346 WLV589805:WLV589882 WLV655341:WLV655418 WLV720877:WLV720954 WLV786413:WLV786490 WLV851949:WLV852026 WLV917485:WLV917562 WLV983021:WLV983098 WVR2:WVR58 WVR65517:WVR65594 WVR131053:WVR131130 WVR196589:WVR196666 WVR262125:WVR262202 WVR327661:WVR327738 WVR393197:WVR393274 WVR458733:WVR458810 WVR524269:WVR524346 WVR589805:WVR589882 WVR655341:WVR655418 WVR720877:WVR720954 WVR786413:WVR786490 WVR851949:WVR852026 WVR917485:WVR917562 WVR983021:WVR983098">
      <formula1>$AP$2:$AP$22</formula1>
    </dataValidation>
    <dataValidation type="list" allowBlank="1" showInputMessage="1" showErrorMessage="1" sqref="X2:X479 X65517:X65594 X131053:X131130 X196589:X196666 X262125:X262202 X327661:X327738 X393197:X393274 X458733:X458810 X524269:X524346 X589805:X589882 X655341:X655418 X720877:X720954 X786413:X786490 X851949:X852026 X917485:X917562 X983021:X983098 JT2:JT58 JT65517:JT65594 JT131053:JT131130 JT196589:JT196666 JT262125:JT262202 JT327661:JT327738 JT393197:JT393274 JT458733:JT458810 JT524269:JT524346 JT589805:JT589882 JT655341:JT655418 JT720877:JT720954 JT786413:JT786490 JT851949:JT852026 JT917485:JT917562 JT983021:JT983098 TP2:TP58 TP65517:TP65594 TP131053:TP131130 TP196589:TP196666 TP262125:TP262202 TP327661:TP327738 TP393197:TP393274 TP458733:TP458810 TP524269:TP524346 TP589805:TP589882 TP655341:TP655418 TP720877:TP720954 TP786413:TP786490 TP851949:TP852026 TP917485:TP917562 TP983021:TP983098 ADL2:ADL58 ADL65517:ADL65594 ADL131053:ADL131130 ADL196589:ADL196666 ADL262125:ADL262202 ADL327661:ADL327738 ADL393197:ADL393274 ADL458733:ADL458810 ADL524269:ADL524346 ADL589805:ADL589882 ADL655341:ADL655418 ADL720877:ADL720954 ADL786413:ADL786490 ADL851949:ADL852026 ADL917485:ADL917562 ADL983021:ADL983098 ANH2:ANH58 ANH65517:ANH65594 ANH131053:ANH131130 ANH196589:ANH196666 ANH262125:ANH262202 ANH327661:ANH327738 ANH393197:ANH393274 ANH458733:ANH458810 ANH524269:ANH524346 ANH589805:ANH589882 ANH655341:ANH655418 ANH720877:ANH720954 ANH786413:ANH786490 ANH851949:ANH852026 ANH917485:ANH917562 ANH983021:ANH983098 AXD2:AXD58 AXD65517:AXD65594 AXD131053:AXD131130 AXD196589:AXD196666 AXD262125:AXD262202 AXD327661:AXD327738 AXD393197:AXD393274 AXD458733:AXD458810 AXD524269:AXD524346 AXD589805:AXD589882 AXD655341:AXD655418 AXD720877:AXD720954 AXD786413:AXD786490 AXD851949:AXD852026 AXD917485:AXD917562 AXD983021:AXD983098 BGZ2:BGZ58 BGZ65517:BGZ65594 BGZ131053:BGZ131130 BGZ196589:BGZ196666 BGZ262125:BGZ262202 BGZ327661:BGZ327738 BGZ393197:BGZ393274 BGZ458733:BGZ458810 BGZ524269:BGZ524346 BGZ589805:BGZ589882 BGZ655341:BGZ655418 BGZ720877:BGZ720954 BGZ786413:BGZ786490 BGZ851949:BGZ852026 BGZ917485:BGZ917562 BGZ983021:BGZ983098 BQV2:BQV58 BQV65517:BQV65594 BQV131053:BQV131130 BQV196589:BQV196666 BQV262125:BQV262202 BQV327661:BQV327738 BQV393197:BQV393274 BQV458733:BQV458810 BQV524269:BQV524346 BQV589805:BQV589882 BQV655341:BQV655418 BQV720877:BQV720954 BQV786413:BQV786490 BQV851949:BQV852026 BQV917485:BQV917562 BQV983021:BQV983098 CAR2:CAR58 CAR65517:CAR65594 CAR131053:CAR131130 CAR196589:CAR196666 CAR262125:CAR262202 CAR327661:CAR327738 CAR393197:CAR393274 CAR458733:CAR458810 CAR524269:CAR524346 CAR589805:CAR589882 CAR655341:CAR655418 CAR720877:CAR720954 CAR786413:CAR786490 CAR851949:CAR852026 CAR917485:CAR917562 CAR983021:CAR983098 CKN2:CKN58 CKN65517:CKN65594 CKN131053:CKN131130 CKN196589:CKN196666 CKN262125:CKN262202 CKN327661:CKN327738 CKN393197:CKN393274 CKN458733:CKN458810 CKN524269:CKN524346 CKN589805:CKN589882 CKN655341:CKN655418 CKN720877:CKN720954 CKN786413:CKN786490 CKN851949:CKN852026 CKN917485:CKN917562 CKN983021:CKN983098 CUJ2:CUJ58 CUJ65517:CUJ65594 CUJ131053:CUJ131130 CUJ196589:CUJ196666 CUJ262125:CUJ262202 CUJ327661:CUJ327738 CUJ393197:CUJ393274 CUJ458733:CUJ458810 CUJ524269:CUJ524346 CUJ589805:CUJ589882 CUJ655341:CUJ655418 CUJ720877:CUJ720954 CUJ786413:CUJ786490 CUJ851949:CUJ852026 CUJ917485:CUJ917562 CUJ983021:CUJ983098 DEF2:DEF58 DEF65517:DEF65594 DEF131053:DEF131130 DEF196589:DEF196666 DEF262125:DEF262202 DEF327661:DEF327738 DEF393197:DEF393274 DEF458733:DEF458810 DEF524269:DEF524346 DEF589805:DEF589882 DEF655341:DEF655418 DEF720877:DEF720954 DEF786413:DEF786490 DEF851949:DEF852026 DEF917485:DEF917562 DEF983021:DEF983098 DOB2:DOB58 DOB65517:DOB65594 DOB131053:DOB131130 DOB196589:DOB196666 DOB262125:DOB262202 DOB327661:DOB327738 DOB393197:DOB393274 DOB458733:DOB458810 DOB524269:DOB524346 DOB589805:DOB589882 DOB655341:DOB655418 DOB720877:DOB720954 DOB786413:DOB786490 DOB851949:DOB852026 DOB917485:DOB917562 DOB983021:DOB983098 DXX2:DXX58 DXX65517:DXX65594 DXX131053:DXX131130 DXX196589:DXX196666 DXX262125:DXX262202 DXX327661:DXX327738 DXX393197:DXX393274 DXX458733:DXX458810 DXX524269:DXX524346 DXX589805:DXX589882 DXX655341:DXX655418 DXX720877:DXX720954 DXX786413:DXX786490 DXX851949:DXX852026 DXX917485:DXX917562 DXX983021:DXX983098 EHT2:EHT58 EHT65517:EHT65594 EHT131053:EHT131130 EHT196589:EHT196666 EHT262125:EHT262202 EHT327661:EHT327738 EHT393197:EHT393274 EHT458733:EHT458810 EHT524269:EHT524346 EHT589805:EHT589882 EHT655341:EHT655418 EHT720877:EHT720954 EHT786413:EHT786490 EHT851949:EHT852026 EHT917485:EHT917562 EHT983021:EHT983098 ERP2:ERP58 ERP65517:ERP65594 ERP131053:ERP131130 ERP196589:ERP196666 ERP262125:ERP262202 ERP327661:ERP327738 ERP393197:ERP393274 ERP458733:ERP458810 ERP524269:ERP524346 ERP589805:ERP589882 ERP655341:ERP655418 ERP720877:ERP720954 ERP786413:ERP786490 ERP851949:ERP852026 ERP917485:ERP917562 ERP983021:ERP983098 FBL2:FBL58 FBL65517:FBL65594 FBL131053:FBL131130 FBL196589:FBL196666 FBL262125:FBL262202 FBL327661:FBL327738 FBL393197:FBL393274 FBL458733:FBL458810 FBL524269:FBL524346 FBL589805:FBL589882 FBL655341:FBL655418 FBL720877:FBL720954 FBL786413:FBL786490 FBL851949:FBL852026 FBL917485:FBL917562 FBL983021:FBL983098 FLH2:FLH58 FLH65517:FLH65594 FLH131053:FLH131130 FLH196589:FLH196666 FLH262125:FLH262202 FLH327661:FLH327738 FLH393197:FLH393274 FLH458733:FLH458810 FLH524269:FLH524346 FLH589805:FLH589882 FLH655341:FLH655418 FLH720877:FLH720954 FLH786413:FLH786490 FLH851949:FLH852026 FLH917485:FLH917562 FLH983021:FLH983098 FVD2:FVD58 FVD65517:FVD65594 FVD131053:FVD131130 FVD196589:FVD196666 FVD262125:FVD262202 FVD327661:FVD327738 FVD393197:FVD393274 FVD458733:FVD458810 FVD524269:FVD524346 FVD589805:FVD589882 FVD655341:FVD655418 FVD720877:FVD720954 FVD786413:FVD786490 FVD851949:FVD852026 FVD917485:FVD917562 FVD983021:FVD983098 GEZ2:GEZ58 GEZ65517:GEZ65594 GEZ131053:GEZ131130 GEZ196589:GEZ196666 GEZ262125:GEZ262202 GEZ327661:GEZ327738 GEZ393197:GEZ393274 GEZ458733:GEZ458810 GEZ524269:GEZ524346 GEZ589805:GEZ589882 GEZ655341:GEZ655418 GEZ720877:GEZ720954 GEZ786413:GEZ786490 GEZ851949:GEZ852026 GEZ917485:GEZ917562 GEZ983021:GEZ983098 GOV2:GOV58 GOV65517:GOV65594 GOV131053:GOV131130 GOV196589:GOV196666 GOV262125:GOV262202 GOV327661:GOV327738 GOV393197:GOV393274 GOV458733:GOV458810 GOV524269:GOV524346 GOV589805:GOV589882 GOV655341:GOV655418 GOV720877:GOV720954 GOV786413:GOV786490 GOV851949:GOV852026 GOV917485:GOV917562 GOV983021:GOV983098 GYR2:GYR58 GYR65517:GYR65594 GYR131053:GYR131130 GYR196589:GYR196666 GYR262125:GYR262202 GYR327661:GYR327738 GYR393197:GYR393274 GYR458733:GYR458810 GYR524269:GYR524346 GYR589805:GYR589882 GYR655341:GYR655418 GYR720877:GYR720954 GYR786413:GYR786490 GYR851949:GYR852026 GYR917485:GYR917562 GYR983021:GYR983098 HIN2:HIN58 HIN65517:HIN65594 HIN131053:HIN131130 HIN196589:HIN196666 HIN262125:HIN262202 HIN327661:HIN327738 HIN393197:HIN393274 HIN458733:HIN458810 HIN524269:HIN524346 HIN589805:HIN589882 HIN655341:HIN655418 HIN720877:HIN720954 HIN786413:HIN786490 HIN851949:HIN852026 HIN917485:HIN917562 HIN983021:HIN983098 HSJ2:HSJ58 HSJ65517:HSJ65594 HSJ131053:HSJ131130 HSJ196589:HSJ196666 HSJ262125:HSJ262202 HSJ327661:HSJ327738 HSJ393197:HSJ393274 HSJ458733:HSJ458810 HSJ524269:HSJ524346 HSJ589805:HSJ589882 HSJ655341:HSJ655418 HSJ720877:HSJ720954 HSJ786413:HSJ786490 HSJ851949:HSJ852026 HSJ917485:HSJ917562 HSJ983021:HSJ983098 ICF2:ICF58 ICF65517:ICF65594 ICF131053:ICF131130 ICF196589:ICF196666 ICF262125:ICF262202 ICF327661:ICF327738 ICF393197:ICF393274 ICF458733:ICF458810 ICF524269:ICF524346 ICF589805:ICF589882 ICF655341:ICF655418 ICF720877:ICF720954 ICF786413:ICF786490 ICF851949:ICF852026 ICF917485:ICF917562 ICF983021:ICF983098 IMB2:IMB58 IMB65517:IMB65594 IMB131053:IMB131130 IMB196589:IMB196666 IMB262125:IMB262202 IMB327661:IMB327738 IMB393197:IMB393274 IMB458733:IMB458810 IMB524269:IMB524346 IMB589805:IMB589882 IMB655341:IMB655418 IMB720877:IMB720954 IMB786413:IMB786490 IMB851949:IMB852026 IMB917485:IMB917562 IMB983021:IMB983098 IVX2:IVX58 IVX65517:IVX65594 IVX131053:IVX131130 IVX196589:IVX196666 IVX262125:IVX262202 IVX327661:IVX327738 IVX393197:IVX393274 IVX458733:IVX458810 IVX524269:IVX524346 IVX589805:IVX589882 IVX655341:IVX655418 IVX720877:IVX720954 IVX786413:IVX786490 IVX851949:IVX852026 IVX917485:IVX917562 IVX983021:IVX983098 JFT2:JFT58 JFT65517:JFT65594 JFT131053:JFT131130 JFT196589:JFT196666 JFT262125:JFT262202 JFT327661:JFT327738 JFT393197:JFT393274 JFT458733:JFT458810 JFT524269:JFT524346 JFT589805:JFT589882 JFT655341:JFT655418 JFT720877:JFT720954 JFT786413:JFT786490 JFT851949:JFT852026 JFT917485:JFT917562 JFT983021:JFT983098 JPP2:JPP58 JPP65517:JPP65594 JPP131053:JPP131130 JPP196589:JPP196666 JPP262125:JPP262202 JPP327661:JPP327738 JPP393197:JPP393274 JPP458733:JPP458810 JPP524269:JPP524346 JPP589805:JPP589882 JPP655341:JPP655418 JPP720877:JPP720954 JPP786413:JPP786490 JPP851949:JPP852026 JPP917485:JPP917562 JPP983021:JPP983098 JZL2:JZL58 JZL65517:JZL65594 JZL131053:JZL131130 JZL196589:JZL196666 JZL262125:JZL262202 JZL327661:JZL327738 JZL393197:JZL393274 JZL458733:JZL458810 JZL524269:JZL524346 JZL589805:JZL589882 JZL655341:JZL655418 JZL720877:JZL720954 JZL786413:JZL786490 JZL851949:JZL852026 JZL917485:JZL917562 JZL983021:JZL983098 KJH2:KJH58 KJH65517:KJH65594 KJH131053:KJH131130 KJH196589:KJH196666 KJH262125:KJH262202 KJH327661:KJH327738 KJH393197:KJH393274 KJH458733:KJH458810 KJH524269:KJH524346 KJH589805:KJH589882 KJH655341:KJH655418 KJH720877:KJH720954 KJH786413:KJH786490 KJH851949:KJH852026 KJH917485:KJH917562 KJH983021:KJH983098 KTD2:KTD58 KTD65517:KTD65594 KTD131053:KTD131130 KTD196589:KTD196666 KTD262125:KTD262202 KTD327661:KTD327738 KTD393197:KTD393274 KTD458733:KTD458810 KTD524269:KTD524346 KTD589805:KTD589882 KTD655341:KTD655418 KTD720877:KTD720954 KTD786413:KTD786490 KTD851949:KTD852026 KTD917485:KTD917562 KTD983021:KTD983098 LCZ2:LCZ58 LCZ65517:LCZ65594 LCZ131053:LCZ131130 LCZ196589:LCZ196666 LCZ262125:LCZ262202 LCZ327661:LCZ327738 LCZ393197:LCZ393274 LCZ458733:LCZ458810 LCZ524269:LCZ524346 LCZ589805:LCZ589882 LCZ655341:LCZ655418 LCZ720877:LCZ720954 LCZ786413:LCZ786490 LCZ851949:LCZ852026 LCZ917485:LCZ917562 LCZ983021:LCZ983098 LMV2:LMV58 LMV65517:LMV65594 LMV131053:LMV131130 LMV196589:LMV196666 LMV262125:LMV262202 LMV327661:LMV327738 LMV393197:LMV393274 LMV458733:LMV458810 LMV524269:LMV524346 LMV589805:LMV589882 LMV655341:LMV655418 LMV720877:LMV720954 LMV786413:LMV786490 LMV851949:LMV852026 LMV917485:LMV917562 LMV983021:LMV983098 LWR2:LWR58 LWR65517:LWR65594 LWR131053:LWR131130 LWR196589:LWR196666 LWR262125:LWR262202 LWR327661:LWR327738 LWR393197:LWR393274 LWR458733:LWR458810 LWR524269:LWR524346 LWR589805:LWR589882 LWR655341:LWR655418 LWR720877:LWR720954 LWR786413:LWR786490 LWR851949:LWR852026 LWR917485:LWR917562 LWR983021:LWR983098 MGN2:MGN58 MGN65517:MGN65594 MGN131053:MGN131130 MGN196589:MGN196666 MGN262125:MGN262202 MGN327661:MGN327738 MGN393197:MGN393274 MGN458733:MGN458810 MGN524269:MGN524346 MGN589805:MGN589882 MGN655341:MGN655418 MGN720877:MGN720954 MGN786413:MGN786490 MGN851949:MGN852026 MGN917485:MGN917562 MGN983021:MGN983098 MQJ2:MQJ58 MQJ65517:MQJ65594 MQJ131053:MQJ131130 MQJ196589:MQJ196666 MQJ262125:MQJ262202 MQJ327661:MQJ327738 MQJ393197:MQJ393274 MQJ458733:MQJ458810 MQJ524269:MQJ524346 MQJ589805:MQJ589882 MQJ655341:MQJ655418 MQJ720877:MQJ720954 MQJ786413:MQJ786490 MQJ851949:MQJ852026 MQJ917485:MQJ917562 MQJ983021:MQJ983098 NAF2:NAF58 NAF65517:NAF65594 NAF131053:NAF131130 NAF196589:NAF196666 NAF262125:NAF262202 NAF327661:NAF327738 NAF393197:NAF393274 NAF458733:NAF458810 NAF524269:NAF524346 NAF589805:NAF589882 NAF655341:NAF655418 NAF720877:NAF720954 NAF786413:NAF786490 NAF851949:NAF852026 NAF917485:NAF917562 NAF983021:NAF983098 NKB2:NKB58 NKB65517:NKB65594 NKB131053:NKB131130 NKB196589:NKB196666 NKB262125:NKB262202 NKB327661:NKB327738 NKB393197:NKB393274 NKB458733:NKB458810 NKB524269:NKB524346 NKB589805:NKB589882 NKB655341:NKB655418 NKB720877:NKB720954 NKB786413:NKB786490 NKB851949:NKB852026 NKB917485:NKB917562 NKB983021:NKB983098 NTX2:NTX58 NTX65517:NTX65594 NTX131053:NTX131130 NTX196589:NTX196666 NTX262125:NTX262202 NTX327661:NTX327738 NTX393197:NTX393274 NTX458733:NTX458810 NTX524269:NTX524346 NTX589805:NTX589882 NTX655341:NTX655418 NTX720877:NTX720954 NTX786413:NTX786490 NTX851949:NTX852026 NTX917485:NTX917562 NTX983021:NTX983098 ODT2:ODT58 ODT65517:ODT65594 ODT131053:ODT131130 ODT196589:ODT196666 ODT262125:ODT262202 ODT327661:ODT327738 ODT393197:ODT393274 ODT458733:ODT458810 ODT524269:ODT524346 ODT589805:ODT589882 ODT655341:ODT655418 ODT720877:ODT720954 ODT786413:ODT786490 ODT851949:ODT852026 ODT917485:ODT917562 ODT983021:ODT983098 ONP2:ONP58 ONP65517:ONP65594 ONP131053:ONP131130 ONP196589:ONP196666 ONP262125:ONP262202 ONP327661:ONP327738 ONP393197:ONP393274 ONP458733:ONP458810 ONP524269:ONP524346 ONP589805:ONP589882 ONP655341:ONP655418 ONP720877:ONP720954 ONP786413:ONP786490 ONP851949:ONP852026 ONP917485:ONP917562 ONP983021:ONP983098 OXL2:OXL58 OXL65517:OXL65594 OXL131053:OXL131130 OXL196589:OXL196666 OXL262125:OXL262202 OXL327661:OXL327738 OXL393197:OXL393274 OXL458733:OXL458810 OXL524269:OXL524346 OXL589805:OXL589882 OXL655341:OXL655418 OXL720877:OXL720954 OXL786413:OXL786490 OXL851949:OXL852026 OXL917485:OXL917562 OXL983021:OXL983098 PHH2:PHH58 PHH65517:PHH65594 PHH131053:PHH131130 PHH196589:PHH196666 PHH262125:PHH262202 PHH327661:PHH327738 PHH393197:PHH393274 PHH458733:PHH458810 PHH524269:PHH524346 PHH589805:PHH589882 PHH655341:PHH655418 PHH720877:PHH720954 PHH786413:PHH786490 PHH851949:PHH852026 PHH917485:PHH917562 PHH983021:PHH983098 PRD2:PRD58 PRD65517:PRD65594 PRD131053:PRD131130 PRD196589:PRD196666 PRD262125:PRD262202 PRD327661:PRD327738 PRD393197:PRD393274 PRD458733:PRD458810 PRD524269:PRD524346 PRD589805:PRD589882 PRD655341:PRD655418 PRD720877:PRD720954 PRD786413:PRD786490 PRD851949:PRD852026 PRD917485:PRD917562 PRD983021:PRD983098 QAZ2:QAZ58 QAZ65517:QAZ65594 QAZ131053:QAZ131130 QAZ196589:QAZ196666 QAZ262125:QAZ262202 QAZ327661:QAZ327738 QAZ393197:QAZ393274 QAZ458733:QAZ458810 QAZ524269:QAZ524346 QAZ589805:QAZ589882 QAZ655341:QAZ655418 QAZ720877:QAZ720954 QAZ786413:QAZ786490 QAZ851949:QAZ852026 QAZ917485:QAZ917562 QAZ983021:QAZ983098 QKV2:QKV58 QKV65517:QKV65594 QKV131053:QKV131130 QKV196589:QKV196666 QKV262125:QKV262202 QKV327661:QKV327738 QKV393197:QKV393274 QKV458733:QKV458810 QKV524269:QKV524346 QKV589805:QKV589882 QKV655341:QKV655418 QKV720877:QKV720954 QKV786413:QKV786490 QKV851949:QKV852026 QKV917485:QKV917562 QKV983021:QKV983098 QUR2:QUR58 QUR65517:QUR65594 QUR131053:QUR131130 QUR196589:QUR196666 QUR262125:QUR262202 QUR327661:QUR327738 QUR393197:QUR393274 QUR458733:QUR458810 QUR524269:QUR524346 QUR589805:QUR589882 QUR655341:QUR655418 QUR720877:QUR720954 QUR786413:QUR786490 QUR851949:QUR852026 QUR917485:QUR917562 QUR983021:QUR983098 REN2:REN58 REN65517:REN65594 REN131053:REN131130 REN196589:REN196666 REN262125:REN262202 REN327661:REN327738 REN393197:REN393274 REN458733:REN458810 REN524269:REN524346 REN589805:REN589882 REN655341:REN655418 REN720877:REN720954 REN786413:REN786490 REN851949:REN852026 REN917485:REN917562 REN983021:REN983098 ROJ2:ROJ58 ROJ65517:ROJ65594 ROJ131053:ROJ131130 ROJ196589:ROJ196666 ROJ262125:ROJ262202 ROJ327661:ROJ327738 ROJ393197:ROJ393274 ROJ458733:ROJ458810 ROJ524269:ROJ524346 ROJ589805:ROJ589882 ROJ655341:ROJ655418 ROJ720877:ROJ720954 ROJ786413:ROJ786490 ROJ851949:ROJ852026 ROJ917485:ROJ917562 ROJ983021:ROJ983098 RYF2:RYF58 RYF65517:RYF65594 RYF131053:RYF131130 RYF196589:RYF196666 RYF262125:RYF262202 RYF327661:RYF327738 RYF393197:RYF393274 RYF458733:RYF458810 RYF524269:RYF524346 RYF589805:RYF589882 RYF655341:RYF655418 RYF720877:RYF720954 RYF786413:RYF786490 RYF851949:RYF852026 RYF917485:RYF917562 RYF983021:RYF983098 SIB2:SIB58 SIB65517:SIB65594 SIB131053:SIB131130 SIB196589:SIB196666 SIB262125:SIB262202 SIB327661:SIB327738 SIB393197:SIB393274 SIB458733:SIB458810 SIB524269:SIB524346 SIB589805:SIB589882 SIB655341:SIB655418 SIB720877:SIB720954 SIB786413:SIB786490 SIB851949:SIB852026 SIB917485:SIB917562 SIB983021:SIB983098 SRX2:SRX58 SRX65517:SRX65594 SRX131053:SRX131130 SRX196589:SRX196666 SRX262125:SRX262202 SRX327661:SRX327738 SRX393197:SRX393274 SRX458733:SRX458810 SRX524269:SRX524346 SRX589805:SRX589882 SRX655341:SRX655418 SRX720877:SRX720954 SRX786413:SRX786490 SRX851949:SRX852026 SRX917485:SRX917562 SRX983021:SRX983098 TBT2:TBT58 TBT65517:TBT65594 TBT131053:TBT131130 TBT196589:TBT196666 TBT262125:TBT262202 TBT327661:TBT327738 TBT393197:TBT393274 TBT458733:TBT458810 TBT524269:TBT524346 TBT589805:TBT589882 TBT655341:TBT655418 TBT720877:TBT720954 TBT786413:TBT786490 TBT851949:TBT852026 TBT917485:TBT917562 TBT983021:TBT983098 TLP2:TLP58 TLP65517:TLP65594 TLP131053:TLP131130 TLP196589:TLP196666 TLP262125:TLP262202 TLP327661:TLP327738 TLP393197:TLP393274 TLP458733:TLP458810 TLP524269:TLP524346 TLP589805:TLP589882 TLP655341:TLP655418 TLP720877:TLP720954 TLP786413:TLP786490 TLP851949:TLP852026 TLP917485:TLP917562 TLP983021:TLP983098 TVL2:TVL58 TVL65517:TVL65594 TVL131053:TVL131130 TVL196589:TVL196666 TVL262125:TVL262202 TVL327661:TVL327738 TVL393197:TVL393274 TVL458733:TVL458810 TVL524269:TVL524346 TVL589805:TVL589882 TVL655341:TVL655418 TVL720877:TVL720954 TVL786413:TVL786490 TVL851949:TVL852026 TVL917485:TVL917562 TVL983021:TVL983098 UFH2:UFH58 UFH65517:UFH65594 UFH131053:UFH131130 UFH196589:UFH196666 UFH262125:UFH262202 UFH327661:UFH327738 UFH393197:UFH393274 UFH458733:UFH458810 UFH524269:UFH524346 UFH589805:UFH589882 UFH655341:UFH655418 UFH720877:UFH720954 UFH786413:UFH786490 UFH851949:UFH852026 UFH917485:UFH917562 UFH983021:UFH983098 UPD2:UPD58 UPD65517:UPD65594 UPD131053:UPD131130 UPD196589:UPD196666 UPD262125:UPD262202 UPD327661:UPD327738 UPD393197:UPD393274 UPD458733:UPD458810 UPD524269:UPD524346 UPD589805:UPD589882 UPD655341:UPD655418 UPD720877:UPD720954 UPD786413:UPD786490 UPD851949:UPD852026 UPD917485:UPD917562 UPD983021:UPD983098 UYZ2:UYZ58 UYZ65517:UYZ65594 UYZ131053:UYZ131130 UYZ196589:UYZ196666 UYZ262125:UYZ262202 UYZ327661:UYZ327738 UYZ393197:UYZ393274 UYZ458733:UYZ458810 UYZ524269:UYZ524346 UYZ589805:UYZ589882 UYZ655341:UYZ655418 UYZ720877:UYZ720954 UYZ786413:UYZ786490 UYZ851949:UYZ852026 UYZ917485:UYZ917562 UYZ983021:UYZ983098 VIV2:VIV58 VIV65517:VIV65594 VIV131053:VIV131130 VIV196589:VIV196666 VIV262125:VIV262202 VIV327661:VIV327738 VIV393197:VIV393274 VIV458733:VIV458810 VIV524269:VIV524346 VIV589805:VIV589882 VIV655341:VIV655418 VIV720877:VIV720954 VIV786413:VIV786490 VIV851949:VIV852026 VIV917485:VIV917562 VIV983021:VIV983098 VSR2:VSR58 VSR65517:VSR65594 VSR131053:VSR131130 VSR196589:VSR196666 VSR262125:VSR262202 VSR327661:VSR327738 VSR393197:VSR393274 VSR458733:VSR458810 VSR524269:VSR524346 VSR589805:VSR589882 VSR655341:VSR655418 VSR720877:VSR720954 VSR786413:VSR786490 VSR851949:VSR852026 VSR917485:VSR917562 VSR983021:VSR983098 WCN2:WCN58 WCN65517:WCN65594 WCN131053:WCN131130 WCN196589:WCN196666 WCN262125:WCN262202 WCN327661:WCN327738 WCN393197:WCN393274 WCN458733:WCN458810 WCN524269:WCN524346 WCN589805:WCN589882 WCN655341:WCN655418 WCN720877:WCN720954 WCN786413:WCN786490 WCN851949:WCN852026 WCN917485:WCN917562 WCN983021:WCN983098 WMJ2:WMJ58 WMJ65517:WMJ65594 WMJ131053:WMJ131130 WMJ196589:WMJ196666 WMJ262125:WMJ262202 WMJ327661:WMJ327738 WMJ393197:WMJ393274 WMJ458733:WMJ458810 WMJ524269:WMJ524346 WMJ589805:WMJ589882 WMJ655341:WMJ655418 WMJ720877:WMJ720954 WMJ786413:WMJ786490 WMJ851949:WMJ852026 WMJ917485:WMJ917562 WMJ983021:WMJ983098 WWF2:WWF58 WWF65517:WWF65594 WWF131053:WWF131130 WWF196589:WWF196666 WWF262125:WWF262202 WWF327661:WWF327738 WWF393197:WWF393274 WWF458733:WWF458810 WWF524269:WWF524346 WWF589805:WWF589882 WWF655341:WWF655418 WWF720877:WWF720954 WWF786413:WWF786490 WWF851949:WWF852026 WWF917485:WWF917562 WWF983021:WWF983098">
      <formula1>$AT$2:$AT$3</formula1>
    </dataValidation>
    <dataValidation type="list" allowBlank="1" showInputMessage="1" showErrorMessage="1" sqref="Y2:AA479 JU2:JW58 ANI2:ANK58 BQW2:BQY58 CUK2:CUM58 DXY2:DYA58 FBM2:FBO58 GFA2:GFC58 HIO2:HIQ58 IMC2:IME58 JPQ2:JPS58 KTE2:KTG58 LWS2:LWU58 NAG2:NAI58 ODU2:ODW58 PHI2:PHK58 QKW2:QKY58 ROK2:ROM58 SRY2:SSA58 TVM2:TVO58 UZA2:UZC58 WCO2:WCQ58 TQ2:TS58 AXE2:AXG58 CAS2:CAU58 DEG2:DEI58 EHU2:EHW58 FLI2:FLK58 GOW2:GOY58 HSK2:HSM58 IVY2:IWA58 JZM2:JZO58 LDA2:LDC58 MGO2:MGQ58 NKC2:NKE58 ONQ2:ONS58 PRE2:PRG58 QUS2:QUU58 RYG2:RYI58 TBU2:TBW58 UFI2:UFK58 VIW2:VIY58 WMK2:WMM58 ADM2:ADO58 BHA2:BHC58 CKO2:CKQ58 DOC2:DOE58 ERQ2:ERS58 FVE2:FVG58 GYS2:GYU58 ICG2:ICI58 JFU2:JFW58 KJI2:KJK58 LMW2:LMY58 MQK2:MQM58 NTY2:NUA58 OXM2:OXO58 QBA2:QBC58 REO2:REQ58 SIC2:SIE58 TLQ2:TLS58 UPE2:UPG58 VSS2:VSU58 WWG2:WWI58 Y983021:AA983098 ADM983021:ADO983098 BHA983021:BHC983098 CKO983021:CKQ983098 DOC983021:DOE983098 ERQ983021:ERS983098 FVE983021:FVG983098 GYS983021:GYU983098 ICG983021:ICI983098 JFU983021:JFW983098 KJI983021:KJK983098 LMW983021:LMY983098 MQK983021:MQM983098 NTY983021:NUA983098 OXM983021:OXO983098 QBA983021:QBC983098 REO983021:REQ983098 SIC983021:SIE983098 TLQ983021:TLS983098 UPE983021:UPG983098 VSS983021:VSU983098 WWG983021:WWI983098 Y65517:AA65594 ADM65517:ADO65594 BHA65517:BHC65594 CKO65517:CKQ65594 DOC65517:DOE65594 ERQ65517:ERS65594 FVE65517:FVG65594 GYS65517:GYU65594 ICG65517:ICI65594 JFU65517:JFW65594 KJI65517:KJK65594 LMW65517:LMY65594 MQK65517:MQM65594 NTY65517:NUA65594 OXM65517:OXO65594 QBA65517:QBC65594 REO65517:REQ65594 SIC65517:SIE65594 TLQ65517:TLS65594 UPE65517:UPG65594 VSS65517:VSU65594 WWG65517:WWI65594 JU65517:JW65594 ANI65517:ANK65594 BQW65517:BQY65594 CUK65517:CUM65594 DXY65517:DYA65594 FBM65517:FBO65594 GFA65517:GFC65594 HIO65517:HIQ65594 IMC65517:IME65594 JPQ65517:JPS65594 KTE65517:KTG65594 LWS65517:LWU65594 NAG65517:NAI65594 ODU65517:ODW65594 PHI65517:PHK65594 QKW65517:QKY65594 ROK65517:ROM65594 SRY65517:SSA65594 TVM65517:TVO65594 UZA65517:UZC65594 WCO65517:WCQ65594 TQ65517:TS65594 AXE65517:AXG65594 CAS65517:CAU65594 DEG65517:DEI65594 EHU65517:EHW65594 FLI65517:FLK65594 GOW65517:GOY65594 HSK65517:HSM65594 IVY65517:IWA65594 JZM65517:JZO65594 LDA65517:LDC65594 MGO65517:MGQ65594 NKC65517:NKE65594 ONQ65517:ONS65594 PRE65517:PRG65594 QUS65517:QUU65594 RYG65517:RYI65594 TBU65517:TBW65594 UFI65517:UFK65594 VIW65517:VIY65594 WMK65517:WMM65594 Y131053:AA131130 ADM131053:ADO131130 BHA131053:BHC131130 CKO131053:CKQ131130 DOC131053:DOE131130 ERQ131053:ERS131130 FVE131053:FVG131130 GYS131053:GYU131130 ICG131053:ICI131130 JFU131053:JFW131130 KJI131053:KJK131130 LMW131053:LMY131130 MQK131053:MQM131130 NTY131053:NUA131130 OXM131053:OXO131130 QBA131053:QBC131130 REO131053:REQ131130 SIC131053:SIE131130 TLQ131053:TLS131130 UPE131053:UPG131130 VSS131053:VSU131130 WWG131053:WWI131130 JU131053:JW131130 ANI131053:ANK131130 BQW131053:BQY131130 CUK131053:CUM131130 DXY131053:DYA131130 FBM131053:FBO131130 GFA131053:GFC131130 HIO131053:HIQ131130 IMC131053:IME131130 JPQ131053:JPS131130 KTE131053:KTG131130 LWS131053:LWU131130 NAG131053:NAI131130 ODU131053:ODW131130 PHI131053:PHK131130 QKW131053:QKY131130 ROK131053:ROM131130 SRY131053:SSA131130 TVM131053:TVO131130 UZA131053:UZC131130 WCO131053:WCQ131130 TQ131053:TS131130 AXE131053:AXG131130 CAS131053:CAU131130 DEG131053:DEI131130 EHU131053:EHW131130 FLI131053:FLK131130 GOW131053:GOY131130 HSK131053:HSM131130 IVY131053:IWA131130 JZM131053:JZO131130 LDA131053:LDC131130 MGO131053:MGQ131130 NKC131053:NKE131130 ONQ131053:ONS131130 PRE131053:PRG131130 QUS131053:QUU131130 RYG131053:RYI131130 TBU131053:TBW131130 UFI131053:UFK131130 VIW131053:VIY131130 WMK131053:WMM131130 Y196589:AA196666 ADM196589:ADO196666 BHA196589:BHC196666 CKO196589:CKQ196666 DOC196589:DOE196666 ERQ196589:ERS196666 FVE196589:FVG196666 GYS196589:GYU196666 ICG196589:ICI196666 JFU196589:JFW196666 KJI196589:KJK196666 LMW196589:LMY196666 MQK196589:MQM196666 NTY196589:NUA196666 OXM196589:OXO196666 QBA196589:QBC196666 REO196589:REQ196666 SIC196589:SIE196666 TLQ196589:TLS196666 UPE196589:UPG196666 VSS196589:VSU196666 WWG196589:WWI196666 JU196589:JW196666 ANI196589:ANK196666 BQW196589:BQY196666 CUK196589:CUM196666 DXY196589:DYA196666 FBM196589:FBO196666 GFA196589:GFC196666 HIO196589:HIQ196666 IMC196589:IME196666 JPQ196589:JPS196666 KTE196589:KTG196666 LWS196589:LWU196666 NAG196589:NAI196666 ODU196589:ODW196666 PHI196589:PHK196666 QKW196589:QKY196666 ROK196589:ROM196666 SRY196589:SSA196666 TVM196589:TVO196666 UZA196589:UZC196666 WCO196589:WCQ196666 TQ196589:TS196666 AXE196589:AXG196666 CAS196589:CAU196666 DEG196589:DEI196666 EHU196589:EHW196666 FLI196589:FLK196666 GOW196589:GOY196666 HSK196589:HSM196666 IVY196589:IWA196666 JZM196589:JZO196666 LDA196589:LDC196666 MGO196589:MGQ196666 NKC196589:NKE196666 ONQ196589:ONS196666 PRE196589:PRG196666 QUS196589:QUU196666 RYG196589:RYI196666 TBU196589:TBW196666 UFI196589:UFK196666 VIW196589:VIY196666 WMK196589:WMM196666 Y262125:AA262202 ADM262125:ADO262202 BHA262125:BHC262202 CKO262125:CKQ262202 DOC262125:DOE262202 ERQ262125:ERS262202 FVE262125:FVG262202 GYS262125:GYU262202 ICG262125:ICI262202 JFU262125:JFW262202 KJI262125:KJK262202 LMW262125:LMY262202 MQK262125:MQM262202 NTY262125:NUA262202 OXM262125:OXO262202 QBA262125:QBC262202 REO262125:REQ262202 SIC262125:SIE262202 TLQ262125:TLS262202 UPE262125:UPG262202 VSS262125:VSU262202 WWG262125:WWI262202 JU262125:JW262202 ANI262125:ANK262202 BQW262125:BQY262202 CUK262125:CUM262202 DXY262125:DYA262202 FBM262125:FBO262202 GFA262125:GFC262202 HIO262125:HIQ262202 IMC262125:IME262202 JPQ262125:JPS262202 KTE262125:KTG262202 LWS262125:LWU262202 NAG262125:NAI262202 ODU262125:ODW262202 PHI262125:PHK262202 QKW262125:QKY262202 ROK262125:ROM262202 SRY262125:SSA262202 TVM262125:TVO262202 UZA262125:UZC262202 WCO262125:WCQ262202 TQ262125:TS262202 AXE262125:AXG262202 CAS262125:CAU262202 DEG262125:DEI262202 EHU262125:EHW262202 FLI262125:FLK262202 GOW262125:GOY262202 HSK262125:HSM262202 IVY262125:IWA262202 JZM262125:JZO262202 LDA262125:LDC262202 MGO262125:MGQ262202 NKC262125:NKE262202 ONQ262125:ONS262202 PRE262125:PRG262202 QUS262125:QUU262202 RYG262125:RYI262202 TBU262125:TBW262202 UFI262125:UFK262202 VIW262125:VIY262202 WMK262125:WMM262202 Y327661:AA327738 ADM327661:ADO327738 BHA327661:BHC327738 CKO327661:CKQ327738 DOC327661:DOE327738 ERQ327661:ERS327738 FVE327661:FVG327738 GYS327661:GYU327738 ICG327661:ICI327738 JFU327661:JFW327738 KJI327661:KJK327738 LMW327661:LMY327738 MQK327661:MQM327738 NTY327661:NUA327738 OXM327661:OXO327738 QBA327661:QBC327738 REO327661:REQ327738 SIC327661:SIE327738 TLQ327661:TLS327738 UPE327661:UPG327738 VSS327661:VSU327738 WWG327661:WWI327738 JU327661:JW327738 ANI327661:ANK327738 BQW327661:BQY327738 CUK327661:CUM327738 DXY327661:DYA327738 FBM327661:FBO327738 GFA327661:GFC327738 HIO327661:HIQ327738 IMC327661:IME327738 JPQ327661:JPS327738 KTE327661:KTG327738 LWS327661:LWU327738 NAG327661:NAI327738 ODU327661:ODW327738 PHI327661:PHK327738 QKW327661:QKY327738 ROK327661:ROM327738 SRY327661:SSA327738 TVM327661:TVO327738 UZA327661:UZC327738 WCO327661:WCQ327738 TQ327661:TS327738 AXE327661:AXG327738 CAS327661:CAU327738 DEG327661:DEI327738 EHU327661:EHW327738 FLI327661:FLK327738 GOW327661:GOY327738 HSK327661:HSM327738 IVY327661:IWA327738 JZM327661:JZO327738 LDA327661:LDC327738 MGO327661:MGQ327738 NKC327661:NKE327738 ONQ327661:ONS327738 PRE327661:PRG327738 QUS327661:QUU327738 RYG327661:RYI327738 TBU327661:TBW327738 UFI327661:UFK327738 VIW327661:VIY327738 WMK327661:WMM327738 Y393197:AA393274 ADM393197:ADO393274 BHA393197:BHC393274 CKO393197:CKQ393274 DOC393197:DOE393274 ERQ393197:ERS393274 FVE393197:FVG393274 GYS393197:GYU393274 ICG393197:ICI393274 JFU393197:JFW393274 KJI393197:KJK393274 LMW393197:LMY393274 MQK393197:MQM393274 NTY393197:NUA393274 OXM393197:OXO393274 QBA393197:QBC393274 REO393197:REQ393274 SIC393197:SIE393274 TLQ393197:TLS393274 UPE393197:UPG393274 VSS393197:VSU393274 WWG393197:WWI393274 JU393197:JW393274 ANI393197:ANK393274 BQW393197:BQY393274 CUK393197:CUM393274 DXY393197:DYA393274 FBM393197:FBO393274 GFA393197:GFC393274 HIO393197:HIQ393274 IMC393197:IME393274 JPQ393197:JPS393274 KTE393197:KTG393274 LWS393197:LWU393274 NAG393197:NAI393274 ODU393197:ODW393274 PHI393197:PHK393274 QKW393197:QKY393274 ROK393197:ROM393274 SRY393197:SSA393274 TVM393197:TVO393274 UZA393197:UZC393274 WCO393197:WCQ393274 TQ393197:TS393274 AXE393197:AXG393274 CAS393197:CAU393274 DEG393197:DEI393274 EHU393197:EHW393274 FLI393197:FLK393274 GOW393197:GOY393274 HSK393197:HSM393274 IVY393197:IWA393274 JZM393197:JZO393274 LDA393197:LDC393274 MGO393197:MGQ393274 NKC393197:NKE393274 ONQ393197:ONS393274 PRE393197:PRG393274 QUS393197:QUU393274 RYG393197:RYI393274 TBU393197:TBW393274 UFI393197:UFK393274 VIW393197:VIY393274 WMK393197:WMM393274 Y458733:AA458810 ADM458733:ADO458810 BHA458733:BHC458810 CKO458733:CKQ458810 DOC458733:DOE458810 ERQ458733:ERS458810 FVE458733:FVG458810 GYS458733:GYU458810 ICG458733:ICI458810 JFU458733:JFW458810 KJI458733:KJK458810 LMW458733:LMY458810 MQK458733:MQM458810 NTY458733:NUA458810 OXM458733:OXO458810 QBA458733:QBC458810 REO458733:REQ458810 SIC458733:SIE458810 TLQ458733:TLS458810 UPE458733:UPG458810 VSS458733:VSU458810 WWG458733:WWI458810 JU458733:JW458810 ANI458733:ANK458810 BQW458733:BQY458810 CUK458733:CUM458810 DXY458733:DYA458810 FBM458733:FBO458810 GFA458733:GFC458810 HIO458733:HIQ458810 IMC458733:IME458810 JPQ458733:JPS458810 KTE458733:KTG458810 LWS458733:LWU458810 NAG458733:NAI458810 ODU458733:ODW458810 PHI458733:PHK458810 QKW458733:QKY458810 ROK458733:ROM458810 SRY458733:SSA458810 TVM458733:TVO458810 UZA458733:UZC458810 WCO458733:WCQ458810 TQ458733:TS458810 AXE458733:AXG458810 CAS458733:CAU458810 DEG458733:DEI458810 EHU458733:EHW458810 FLI458733:FLK458810 GOW458733:GOY458810 HSK458733:HSM458810 IVY458733:IWA458810 JZM458733:JZO458810 LDA458733:LDC458810 MGO458733:MGQ458810 NKC458733:NKE458810 ONQ458733:ONS458810 PRE458733:PRG458810 QUS458733:QUU458810 RYG458733:RYI458810 TBU458733:TBW458810 UFI458733:UFK458810 VIW458733:VIY458810 WMK458733:WMM458810 Y524269:AA524346 ADM524269:ADO524346 BHA524269:BHC524346 CKO524269:CKQ524346 DOC524269:DOE524346 ERQ524269:ERS524346 FVE524269:FVG524346 GYS524269:GYU524346 ICG524269:ICI524346 JFU524269:JFW524346 KJI524269:KJK524346 LMW524269:LMY524346 MQK524269:MQM524346 NTY524269:NUA524346 OXM524269:OXO524346 QBA524269:QBC524346 REO524269:REQ524346 SIC524269:SIE524346 TLQ524269:TLS524346 UPE524269:UPG524346 VSS524269:VSU524346 WWG524269:WWI524346 JU524269:JW524346 ANI524269:ANK524346 BQW524269:BQY524346 CUK524269:CUM524346 DXY524269:DYA524346 FBM524269:FBO524346 GFA524269:GFC524346 HIO524269:HIQ524346 IMC524269:IME524346 JPQ524269:JPS524346 KTE524269:KTG524346 LWS524269:LWU524346 NAG524269:NAI524346 ODU524269:ODW524346 PHI524269:PHK524346 QKW524269:QKY524346 ROK524269:ROM524346 SRY524269:SSA524346 TVM524269:TVO524346 UZA524269:UZC524346 WCO524269:WCQ524346 TQ524269:TS524346 AXE524269:AXG524346 CAS524269:CAU524346 DEG524269:DEI524346 EHU524269:EHW524346 FLI524269:FLK524346 GOW524269:GOY524346 HSK524269:HSM524346 IVY524269:IWA524346 JZM524269:JZO524346 LDA524269:LDC524346 MGO524269:MGQ524346 NKC524269:NKE524346 ONQ524269:ONS524346 PRE524269:PRG524346 QUS524269:QUU524346 RYG524269:RYI524346 TBU524269:TBW524346 UFI524269:UFK524346 VIW524269:VIY524346 WMK524269:WMM524346 Y589805:AA589882 ADM589805:ADO589882 BHA589805:BHC589882 CKO589805:CKQ589882 DOC589805:DOE589882 ERQ589805:ERS589882 FVE589805:FVG589882 GYS589805:GYU589882 ICG589805:ICI589882 JFU589805:JFW589882 KJI589805:KJK589882 LMW589805:LMY589882 MQK589805:MQM589882 NTY589805:NUA589882 OXM589805:OXO589882 QBA589805:QBC589882 REO589805:REQ589882 SIC589805:SIE589882 TLQ589805:TLS589882 UPE589805:UPG589882 VSS589805:VSU589882 WWG589805:WWI589882 JU589805:JW589882 ANI589805:ANK589882 BQW589805:BQY589882 CUK589805:CUM589882 DXY589805:DYA589882 FBM589805:FBO589882 GFA589805:GFC589882 HIO589805:HIQ589882 IMC589805:IME589882 JPQ589805:JPS589882 KTE589805:KTG589882 LWS589805:LWU589882 NAG589805:NAI589882 ODU589805:ODW589882 PHI589805:PHK589882 QKW589805:QKY589882 ROK589805:ROM589882 SRY589805:SSA589882 TVM589805:TVO589882 UZA589805:UZC589882 WCO589805:WCQ589882 TQ589805:TS589882 AXE589805:AXG589882 CAS589805:CAU589882 DEG589805:DEI589882 EHU589805:EHW589882 FLI589805:FLK589882 GOW589805:GOY589882 HSK589805:HSM589882 IVY589805:IWA589882 JZM589805:JZO589882 LDA589805:LDC589882 MGO589805:MGQ589882 NKC589805:NKE589882 ONQ589805:ONS589882 PRE589805:PRG589882 QUS589805:QUU589882 RYG589805:RYI589882 TBU589805:TBW589882 UFI589805:UFK589882 VIW589805:VIY589882 WMK589805:WMM589882 Y655341:AA655418 ADM655341:ADO655418 BHA655341:BHC655418 CKO655341:CKQ655418 DOC655341:DOE655418 ERQ655341:ERS655418 FVE655341:FVG655418 GYS655341:GYU655418 ICG655341:ICI655418 JFU655341:JFW655418 KJI655341:KJK655418 LMW655341:LMY655418 MQK655341:MQM655418 NTY655341:NUA655418 OXM655341:OXO655418 QBA655341:QBC655418 REO655341:REQ655418 SIC655341:SIE655418 TLQ655341:TLS655418 UPE655341:UPG655418 VSS655341:VSU655418 WWG655341:WWI655418 JU655341:JW655418 ANI655341:ANK655418 BQW655341:BQY655418 CUK655341:CUM655418 DXY655341:DYA655418 FBM655341:FBO655418 GFA655341:GFC655418 HIO655341:HIQ655418 IMC655341:IME655418 JPQ655341:JPS655418 KTE655341:KTG655418 LWS655341:LWU655418 NAG655341:NAI655418 ODU655341:ODW655418 PHI655341:PHK655418 QKW655341:QKY655418 ROK655341:ROM655418 SRY655341:SSA655418 TVM655341:TVO655418 UZA655341:UZC655418 WCO655341:WCQ655418 TQ655341:TS655418 AXE655341:AXG655418 CAS655341:CAU655418 DEG655341:DEI655418 EHU655341:EHW655418 FLI655341:FLK655418 GOW655341:GOY655418 HSK655341:HSM655418 IVY655341:IWA655418 JZM655341:JZO655418 LDA655341:LDC655418 MGO655341:MGQ655418 NKC655341:NKE655418 ONQ655341:ONS655418 PRE655341:PRG655418 QUS655341:QUU655418 RYG655341:RYI655418 TBU655341:TBW655418 UFI655341:UFK655418 VIW655341:VIY655418 WMK655341:WMM655418 Y720877:AA720954 ADM720877:ADO720954 BHA720877:BHC720954 CKO720877:CKQ720954 DOC720877:DOE720954 ERQ720877:ERS720954 FVE720877:FVG720954 GYS720877:GYU720954 ICG720877:ICI720954 JFU720877:JFW720954 KJI720877:KJK720954 LMW720877:LMY720954 MQK720877:MQM720954 NTY720877:NUA720954 OXM720877:OXO720954 QBA720877:QBC720954 REO720877:REQ720954 SIC720877:SIE720954 TLQ720877:TLS720954 UPE720877:UPG720954 VSS720877:VSU720954 WWG720877:WWI720954 JU720877:JW720954 ANI720877:ANK720954 BQW720877:BQY720954 CUK720877:CUM720954 DXY720877:DYA720954 FBM720877:FBO720954 GFA720877:GFC720954 HIO720877:HIQ720954 IMC720877:IME720954 JPQ720877:JPS720954 KTE720877:KTG720954 LWS720877:LWU720954 NAG720877:NAI720954 ODU720877:ODW720954 PHI720877:PHK720954 QKW720877:QKY720954 ROK720877:ROM720954 SRY720877:SSA720954 TVM720877:TVO720954 UZA720877:UZC720954 WCO720877:WCQ720954 TQ720877:TS720954 AXE720877:AXG720954 CAS720877:CAU720954 DEG720877:DEI720954 EHU720877:EHW720954 FLI720877:FLK720954 GOW720877:GOY720954 HSK720877:HSM720954 IVY720877:IWA720954 JZM720877:JZO720954 LDA720877:LDC720954 MGO720877:MGQ720954 NKC720877:NKE720954 ONQ720877:ONS720954 PRE720877:PRG720954 QUS720877:QUU720954 RYG720877:RYI720954 TBU720877:TBW720954 UFI720877:UFK720954 VIW720877:VIY720954 WMK720877:WMM720954 Y786413:AA786490 ADM786413:ADO786490 BHA786413:BHC786490 CKO786413:CKQ786490 DOC786413:DOE786490 ERQ786413:ERS786490 FVE786413:FVG786490 GYS786413:GYU786490 ICG786413:ICI786490 JFU786413:JFW786490 KJI786413:KJK786490 LMW786413:LMY786490 MQK786413:MQM786490 NTY786413:NUA786490 OXM786413:OXO786490 QBA786413:QBC786490 REO786413:REQ786490 SIC786413:SIE786490 TLQ786413:TLS786490 UPE786413:UPG786490 VSS786413:VSU786490 WWG786413:WWI786490 JU786413:JW786490 ANI786413:ANK786490 BQW786413:BQY786490 CUK786413:CUM786490 DXY786413:DYA786490 FBM786413:FBO786490 GFA786413:GFC786490 HIO786413:HIQ786490 IMC786413:IME786490 JPQ786413:JPS786490 KTE786413:KTG786490 LWS786413:LWU786490 NAG786413:NAI786490 ODU786413:ODW786490 PHI786413:PHK786490 QKW786413:QKY786490 ROK786413:ROM786490 SRY786413:SSA786490 TVM786413:TVO786490 UZA786413:UZC786490 WCO786413:WCQ786490 TQ786413:TS786490 AXE786413:AXG786490 CAS786413:CAU786490 DEG786413:DEI786490 EHU786413:EHW786490 FLI786413:FLK786490 GOW786413:GOY786490 HSK786413:HSM786490 IVY786413:IWA786490 JZM786413:JZO786490 LDA786413:LDC786490 MGO786413:MGQ786490 NKC786413:NKE786490 ONQ786413:ONS786490 PRE786413:PRG786490 QUS786413:QUU786490 RYG786413:RYI786490 TBU786413:TBW786490 UFI786413:UFK786490 VIW786413:VIY786490 WMK786413:WMM786490 Y851949:AA852026 ADM851949:ADO852026 BHA851949:BHC852026 CKO851949:CKQ852026 DOC851949:DOE852026 ERQ851949:ERS852026 FVE851949:FVG852026 GYS851949:GYU852026 ICG851949:ICI852026 JFU851949:JFW852026 KJI851949:KJK852026 LMW851949:LMY852026 MQK851949:MQM852026 NTY851949:NUA852026 OXM851949:OXO852026 QBA851949:QBC852026 REO851949:REQ852026 SIC851949:SIE852026 TLQ851949:TLS852026 UPE851949:UPG852026 VSS851949:VSU852026 WWG851949:WWI852026 JU851949:JW852026 ANI851949:ANK852026 BQW851949:BQY852026 CUK851949:CUM852026 DXY851949:DYA852026 FBM851949:FBO852026 GFA851949:GFC852026 HIO851949:HIQ852026 IMC851949:IME852026 JPQ851949:JPS852026 KTE851949:KTG852026 LWS851949:LWU852026 NAG851949:NAI852026 ODU851949:ODW852026 PHI851949:PHK852026 QKW851949:QKY852026 ROK851949:ROM852026 SRY851949:SSA852026 TVM851949:TVO852026 UZA851949:UZC852026 WCO851949:WCQ852026 TQ851949:TS852026 AXE851949:AXG852026 CAS851949:CAU852026 DEG851949:DEI852026 EHU851949:EHW852026 FLI851949:FLK852026 GOW851949:GOY852026 HSK851949:HSM852026 IVY851949:IWA852026 JZM851949:JZO852026 LDA851949:LDC852026 MGO851949:MGQ852026 NKC851949:NKE852026 ONQ851949:ONS852026 PRE851949:PRG852026 QUS851949:QUU852026 RYG851949:RYI852026 TBU851949:TBW852026 UFI851949:UFK852026 VIW851949:VIY852026 WMK851949:WMM852026 Y917485:AA917562 ADM917485:ADO917562 BHA917485:BHC917562 CKO917485:CKQ917562 DOC917485:DOE917562 ERQ917485:ERS917562 FVE917485:FVG917562 GYS917485:GYU917562 ICG917485:ICI917562 JFU917485:JFW917562 KJI917485:KJK917562 LMW917485:LMY917562 MQK917485:MQM917562 NTY917485:NUA917562 OXM917485:OXO917562 QBA917485:QBC917562 REO917485:REQ917562 SIC917485:SIE917562 TLQ917485:TLS917562 UPE917485:UPG917562 VSS917485:VSU917562 WWG917485:WWI917562 JU917485:JW917562 ANI917485:ANK917562 BQW917485:BQY917562 CUK917485:CUM917562 DXY917485:DYA917562 FBM917485:FBO917562 GFA917485:GFC917562 HIO917485:HIQ917562 IMC917485:IME917562 JPQ917485:JPS917562 KTE917485:KTG917562 LWS917485:LWU917562 NAG917485:NAI917562 ODU917485:ODW917562 PHI917485:PHK917562 QKW917485:QKY917562 ROK917485:ROM917562 SRY917485:SSA917562 TVM917485:TVO917562 UZA917485:UZC917562 WCO917485:WCQ917562 TQ917485:TS917562 AXE917485:AXG917562 CAS917485:CAU917562 DEG917485:DEI917562 EHU917485:EHW917562 FLI917485:FLK917562 GOW917485:GOY917562 HSK917485:HSM917562 IVY917485:IWA917562 JZM917485:JZO917562 LDA917485:LDC917562 MGO917485:MGQ917562 NKC917485:NKE917562 ONQ917485:ONS917562 PRE917485:PRG917562 QUS917485:QUU917562 RYG917485:RYI917562 TBU917485:TBW917562 UFI917485:UFK917562 VIW917485:VIY917562 WMK917485:WMM917562 JU983021:JW983098 ANI983021:ANK983098 BQW983021:BQY983098 CUK983021:CUM983098 DXY983021:DYA983098 FBM983021:FBO983098 GFA983021:GFC983098 HIO983021:HIQ983098 IMC983021:IME983098 JPQ983021:JPS983098 KTE983021:KTG983098 LWS983021:LWU983098 NAG983021:NAI983098 ODU983021:ODW983098 PHI983021:PHK983098 QKW983021:QKY983098 ROK983021:ROM983098 SRY983021:SSA983098 TVM983021:TVO983098 UZA983021:UZC983098 WCO983021:WCQ983098 TQ983021:TS983098 AXE983021:AXG983098 CAS983021:CAU983098 DEG983021:DEI983098 EHU983021:EHW983098 FLI983021:FLK983098 GOW983021:GOY983098 HSK983021:HSM983098 IVY983021:IWA983098 JZM983021:JZO983098 LDA983021:LDC983098 MGO983021:MGQ983098 NKC983021:NKE983098 ONQ983021:ONS983098 PRE983021:PRG983098 QUS983021:QUU983098 RYG983021:RYI983098 TBU983021:TBW983098 UFI983021:UFK983098 VIW983021:VIY983098 WMK983021:WMM983098">
      <formula1>$AV$2:$AV$19</formula1>
    </dataValidation>
    <dataValidation type="list" allowBlank="1" showInputMessage="1" showErrorMessage="1" sqref="H2:H479">
      <formula1>$AL$2:$AL$8</formula1>
    </dataValidation>
    <dataValidation type="list" allowBlank="1" showInputMessage="1" showErrorMessage="1" sqref="F2:F710 F65517:F65594 F131053:F131130 F196589:F196666 F262125:F262202 F327661:F327738 F393197:F393274 F458733:F458810 F524269:F524346 F589805:F589882 F655341:F655418 F720877:F720954 F786413:F786490 F851949:F852026 F917485:F917562 F983021:F983098 JB2:JB58 JB65517:JB65594 JB131053:JB131130 JB196589:JB196666 JB262125:JB262202 JB327661:JB327738 JB393197:JB393274 JB458733:JB458810 JB524269:JB524346 JB589805:JB589882 JB655341:JB655418 JB720877:JB720954 JB786413:JB786490 JB851949:JB852026 JB917485:JB917562 JB983021:JB983098 SX2:SX58 SX65517:SX65594 SX131053:SX131130 SX196589:SX196666 SX262125:SX262202 SX327661:SX327738 SX393197:SX393274 SX458733:SX458810 SX524269:SX524346 SX589805:SX589882 SX655341:SX655418 SX720877:SX720954 SX786413:SX786490 SX851949:SX852026 SX917485:SX917562 SX983021:SX983098 ACT2:ACT58 ACT65517:ACT65594 ACT131053:ACT131130 ACT196589:ACT196666 ACT262125:ACT262202 ACT327661:ACT327738 ACT393197:ACT393274 ACT458733:ACT458810 ACT524269:ACT524346 ACT589805:ACT589882 ACT655341:ACT655418 ACT720877:ACT720954 ACT786413:ACT786490 ACT851949:ACT852026 ACT917485:ACT917562 ACT983021:ACT983098 AMP2:AMP58 AMP65517:AMP65594 AMP131053:AMP131130 AMP196589:AMP196666 AMP262125:AMP262202 AMP327661:AMP327738 AMP393197:AMP393274 AMP458733:AMP458810 AMP524269:AMP524346 AMP589805:AMP589882 AMP655341:AMP655418 AMP720877:AMP720954 AMP786413:AMP786490 AMP851949:AMP852026 AMP917485:AMP917562 AMP983021:AMP983098 AWL2:AWL58 AWL65517:AWL65594 AWL131053:AWL131130 AWL196589:AWL196666 AWL262125:AWL262202 AWL327661:AWL327738 AWL393197:AWL393274 AWL458733:AWL458810 AWL524269:AWL524346 AWL589805:AWL589882 AWL655341:AWL655418 AWL720877:AWL720954 AWL786413:AWL786490 AWL851949:AWL852026 AWL917485:AWL917562 AWL983021:AWL983098 BGH2:BGH58 BGH65517:BGH65594 BGH131053:BGH131130 BGH196589:BGH196666 BGH262125:BGH262202 BGH327661:BGH327738 BGH393197:BGH393274 BGH458733:BGH458810 BGH524269:BGH524346 BGH589805:BGH589882 BGH655341:BGH655418 BGH720877:BGH720954 BGH786413:BGH786490 BGH851949:BGH852026 BGH917485:BGH917562 BGH983021:BGH983098 BQD2:BQD58 BQD65517:BQD65594 BQD131053:BQD131130 BQD196589:BQD196666 BQD262125:BQD262202 BQD327661:BQD327738 BQD393197:BQD393274 BQD458733:BQD458810 BQD524269:BQD524346 BQD589805:BQD589882 BQD655341:BQD655418 BQD720877:BQD720954 BQD786413:BQD786490 BQD851949:BQD852026 BQD917485:BQD917562 BQD983021:BQD983098 BZZ2:BZZ58 BZZ65517:BZZ65594 BZZ131053:BZZ131130 BZZ196589:BZZ196666 BZZ262125:BZZ262202 BZZ327661:BZZ327738 BZZ393197:BZZ393274 BZZ458733:BZZ458810 BZZ524269:BZZ524346 BZZ589805:BZZ589882 BZZ655341:BZZ655418 BZZ720877:BZZ720954 BZZ786413:BZZ786490 BZZ851949:BZZ852026 BZZ917485:BZZ917562 BZZ983021:BZZ983098 CJV2:CJV58 CJV65517:CJV65594 CJV131053:CJV131130 CJV196589:CJV196666 CJV262125:CJV262202 CJV327661:CJV327738 CJV393197:CJV393274 CJV458733:CJV458810 CJV524269:CJV524346 CJV589805:CJV589882 CJV655341:CJV655418 CJV720877:CJV720954 CJV786413:CJV786490 CJV851949:CJV852026 CJV917485:CJV917562 CJV983021:CJV983098 CTR2:CTR58 CTR65517:CTR65594 CTR131053:CTR131130 CTR196589:CTR196666 CTR262125:CTR262202 CTR327661:CTR327738 CTR393197:CTR393274 CTR458733:CTR458810 CTR524269:CTR524346 CTR589805:CTR589882 CTR655341:CTR655418 CTR720877:CTR720954 CTR786413:CTR786490 CTR851949:CTR852026 CTR917485:CTR917562 CTR983021:CTR983098 DDN2:DDN58 DDN65517:DDN65594 DDN131053:DDN131130 DDN196589:DDN196666 DDN262125:DDN262202 DDN327661:DDN327738 DDN393197:DDN393274 DDN458733:DDN458810 DDN524269:DDN524346 DDN589805:DDN589882 DDN655341:DDN655418 DDN720877:DDN720954 DDN786413:DDN786490 DDN851949:DDN852026 DDN917485:DDN917562 DDN983021:DDN983098 DNJ2:DNJ58 DNJ65517:DNJ65594 DNJ131053:DNJ131130 DNJ196589:DNJ196666 DNJ262125:DNJ262202 DNJ327661:DNJ327738 DNJ393197:DNJ393274 DNJ458733:DNJ458810 DNJ524269:DNJ524346 DNJ589805:DNJ589882 DNJ655341:DNJ655418 DNJ720877:DNJ720954 DNJ786413:DNJ786490 DNJ851949:DNJ852026 DNJ917485:DNJ917562 DNJ983021:DNJ983098 DXF2:DXF58 DXF65517:DXF65594 DXF131053:DXF131130 DXF196589:DXF196666 DXF262125:DXF262202 DXF327661:DXF327738 DXF393197:DXF393274 DXF458733:DXF458810 DXF524269:DXF524346 DXF589805:DXF589882 DXF655341:DXF655418 DXF720877:DXF720954 DXF786413:DXF786490 DXF851949:DXF852026 DXF917485:DXF917562 DXF983021:DXF983098 EHB2:EHB58 EHB65517:EHB65594 EHB131053:EHB131130 EHB196589:EHB196666 EHB262125:EHB262202 EHB327661:EHB327738 EHB393197:EHB393274 EHB458733:EHB458810 EHB524269:EHB524346 EHB589805:EHB589882 EHB655341:EHB655418 EHB720877:EHB720954 EHB786413:EHB786490 EHB851949:EHB852026 EHB917485:EHB917562 EHB983021:EHB983098 EQX2:EQX58 EQX65517:EQX65594 EQX131053:EQX131130 EQX196589:EQX196666 EQX262125:EQX262202 EQX327661:EQX327738 EQX393197:EQX393274 EQX458733:EQX458810 EQX524269:EQX524346 EQX589805:EQX589882 EQX655341:EQX655418 EQX720877:EQX720954 EQX786413:EQX786490 EQX851949:EQX852026 EQX917485:EQX917562 EQX983021:EQX983098 FAT2:FAT58 FAT65517:FAT65594 FAT131053:FAT131130 FAT196589:FAT196666 FAT262125:FAT262202 FAT327661:FAT327738 FAT393197:FAT393274 FAT458733:FAT458810 FAT524269:FAT524346 FAT589805:FAT589882 FAT655341:FAT655418 FAT720877:FAT720954 FAT786413:FAT786490 FAT851949:FAT852026 FAT917485:FAT917562 FAT983021:FAT983098 FKP2:FKP58 FKP65517:FKP65594 FKP131053:FKP131130 FKP196589:FKP196666 FKP262125:FKP262202 FKP327661:FKP327738 FKP393197:FKP393274 FKP458733:FKP458810 FKP524269:FKP524346 FKP589805:FKP589882 FKP655341:FKP655418 FKP720877:FKP720954 FKP786413:FKP786490 FKP851949:FKP852026 FKP917485:FKP917562 FKP983021:FKP983098 FUL2:FUL58 FUL65517:FUL65594 FUL131053:FUL131130 FUL196589:FUL196666 FUL262125:FUL262202 FUL327661:FUL327738 FUL393197:FUL393274 FUL458733:FUL458810 FUL524269:FUL524346 FUL589805:FUL589882 FUL655341:FUL655418 FUL720877:FUL720954 FUL786413:FUL786490 FUL851949:FUL852026 FUL917485:FUL917562 FUL983021:FUL983098 GEH2:GEH58 GEH65517:GEH65594 GEH131053:GEH131130 GEH196589:GEH196666 GEH262125:GEH262202 GEH327661:GEH327738 GEH393197:GEH393274 GEH458733:GEH458810 GEH524269:GEH524346 GEH589805:GEH589882 GEH655341:GEH655418 GEH720877:GEH720954 GEH786413:GEH786490 GEH851949:GEH852026 GEH917485:GEH917562 GEH983021:GEH983098 GOD2:GOD58 GOD65517:GOD65594 GOD131053:GOD131130 GOD196589:GOD196666 GOD262125:GOD262202 GOD327661:GOD327738 GOD393197:GOD393274 GOD458733:GOD458810 GOD524269:GOD524346 GOD589805:GOD589882 GOD655341:GOD655418 GOD720877:GOD720954 GOD786413:GOD786490 GOD851949:GOD852026 GOD917485:GOD917562 GOD983021:GOD983098 GXZ2:GXZ58 GXZ65517:GXZ65594 GXZ131053:GXZ131130 GXZ196589:GXZ196666 GXZ262125:GXZ262202 GXZ327661:GXZ327738 GXZ393197:GXZ393274 GXZ458733:GXZ458810 GXZ524269:GXZ524346 GXZ589805:GXZ589882 GXZ655341:GXZ655418 GXZ720877:GXZ720954 GXZ786413:GXZ786490 GXZ851949:GXZ852026 GXZ917485:GXZ917562 GXZ983021:GXZ983098 HHV2:HHV58 HHV65517:HHV65594 HHV131053:HHV131130 HHV196589:HHV196666 HHV262125:HHV262202 HHV327661:HHV327738 HHV393197:HHV393274 HHV458733:HHV458810 HHV524269:HHV524346 HHV589805:HHV589882 HHV655341:HHV655418 HHV720877:HHV720954 HHV786413:HHV786490 HHV851949:HHV852026 HHV917485:HHV917562 HHV983021:HHV983098 HRR2:HRR58 HRR65517:HRR65594 HRR131053:HRR131130 HRR196589:HRR196666 HRR262125:HRR262202 HRR327661:HRR327738 HRR393197:HRR393274 HRR458733:HRR458810 HRR524269:HRR524346 HRR589805:HRR589882 HRR655341:HRR655418 HRR720877:HRR720954 HRR786413:HRR786490 HRR851949:HRR852026 HRR917485:HRR917562 HRR983021:HRR983098 IBN2:IBN58 IBN65517:IBN65594 IBN131053:IBN131130 IBN196589:IBN196666 IBN262125:IBN262202 IBN327661:IBN327738 IBN393197:IBN393274 IBN458733:IBN458810 IBN524269:IBN524346 IBN589805:IBN589882 IBN655341:IBN655418 IBN720877:IBN720954 IBN786413:IBN786490 IBN851949:IBN852026 IBN917485:IBN917562 IBN983021:IBN983098 ILJ2:ILJ58 ILJ65517:ILJ65594 ILJ131053:ILJ131130 ILJ196589:ILJ196666 ILJ262125:ILJ262202 ILJ327661:ILJ327738 ILJ393197:ILJ393274 ILJ458733:ILJ458810 ILJ524269:ILJ524346 ILJ589805:ILJ589882 ILJ655341:ILJ655418 ILJ720877:ILJ720954 ILJ786413:ILJ786490 ILJ851949:ILJ852026 ILJ917485:ILJ917562 ILJ983021:ILJ983098 IVF2:IVF58 IVF65517:IVF65594 IVF131053:IVF131130 IVF196589:IVF196666 IVF262125:IVF262202 IVF327661:IVF327738 IVF393197:IVF393274 IVF458733:IVF458810 IVF524269:IVF524346 IVF589805:IVF589882 IVF655341:IVF655418 IVF720877:IVF720954 IVF786413:IVF786490 IVF851949:IVF852026 IVF917485:IVF917562 IVF983021:IVF983098 JFB2:JFB58 JFB65517:JFB65594 JFB131053:JFB131130 JFB196589:JFB196666 JFB262125:JFB262202 JFB327661:JFB327738 JFB393197:JFB393274 JFB458733:JFB458810 JFB524269:JFB524346 JFB589805:JFB589882 JFB655341:JFB655418 JFB720877:JFB720954 JFB786413:JFB786490 JFB851949:JFB852026 JFB917485:JFB917562 JFB983021:JFB983098 JOX2:JOX58 JOX65517:JOX65594 JOX131053:JOX131130 JOX196589:JOX196666 JOX262125:JOX262202 JOX327661:JOX327738 JOX393197:JOX393274 JOX458733:JOX458810 JOX524269:JOX524346 JOX589805:JOX589882 JOX655341:JOX655418 JOX720877:JOX720954 JOX786413:JOX786490 JOX851949:JOX852026 JOX917485:JOX917562 JOX983021:JOX983098 JYT2:JYT58 JYT65517:JYT65594 JYT131053:JYT131130 JYT196589:JYT196666 JYT262125:JYT262202 JYT327661:JYT327738 JYT393197:JYT393274 JYT458733:JYT458810 JYT524269:JYT524346 JYT589805:JYT589882 JYT655341:JYT655418 JYT720877:JYT720954 JYT786413:JYT786490 JYT851949:JYT852026 JYT917485:JYT917562 JYT983021:JYT983098 KIP2:KIP58 KIP65517:KIP65594 KIP131053:KIP131130 KIP196589:KIP196666 KIP262125:KIP262202 KIP327661:KIP327738 KIP393197:KIP393274 KIP458733:KIP458810 KIP524269:KIP524346 KIP589805:KIP589882 KIP655341:KIP655418 KIP720877:KIP720954 KIP786413:KIP786490 KIP851949:KIP852026 KIP917485:KIP917562 KIP983021:KIP983098 KSL2:KSL58 KSL65517:KSL65594 KSL131053:KSL131130 KSL196589:KSL196666 KSL262125:KSL262202 KSL327661:KSL327738 KSL393197:KSL393274 KSL458733:KSL458810 KSL524269:KSL524346 KSL589805:KSL589882 KSL655341:KSL655418 KSL720877:KSL720954 KSL786413:KSL786490 KSL851949:KSL852026 KSL917485:KSL917562 KSL983021:KSL983098 LCH2:LCH58 LCH65517:LCH65594 LCH131053:LCH131130 LCH196589:LCH196666 LCH262125:LCH262202 LCH327661:LCH327738 LCH393197:LCH393274 LCH458733:LCH458810 LCH524269:LCH524346 LCH589805:LCH589882 LCH655341:LCH655418 LCH720877:LCH720954 LCH786413:LCH786490 LCH851949:LCH852026 LCH917485:LCH917562 LCH983021:LCH983098 LMD2:LMD58 LMD65517:LMD65594 LMD131053:LMD131130 LMD196589:LMD196666 LMD262125:LMD262202 LMD327661:LMD327738 LMD393197:LMD393274 LMD458733:LMD458810 LMD524269:LMD524346 LMD589805:LMD589882 LMD655341:LMD655418 LMD720877:LMD720954 LMD786413:LMD786490 LMD851949:LMD852026 LMD917485:LMD917562 LMD983021:LMD983098 LVZ2:LVZ58 LVZ65517:LVZ65594 LVZ131053:LVZ131130 LVZ196589:LVZ196666 LVZ262125:LVZ262202 LVZ327661:LVZ327738 LVZ393197:LVZ393274 LVZ458733:LVZ458810 LVZ524269:LVZ524346 LVZ589805:LVZ589882 LVZ655341:LVZ655418 LVZ720877:LVZ720954 LVZ786413:LVZ786490 LVZ851949:LVZ852026 LVZ917485:LVZ917562 LVZ983021:LVZ983098 MFV2:MFV58 MFV65517:MFV65594 MFV131053:MFV131130 MFV196589:MFV196666 MFV262125:MFV262202 MFV327661:MFV327738 MFV393197:MFV393274 MFV458733:MFV458810 MFV524269:MFV524346 MFV589805:MFV589882 MFV655341:MFV655418 MFV720877:MFV720954 MFV786413:MFV786490 MFV851949:MFV852026 MFV917485:MFV917562 MFV983021:MFV983098 MPR2:MPR58 MPR65517:MPR65594 MPR131053:MPR131130 MPR196589:MPR196666 MPR262125:MPR262202 MPR327661:MPR327738 MPR393197:MPR393274 MPR458733:MPR458810 MPR524269:MPR524346 MPR589805:MPR589882 MPR655341:MPR655418 MPR720877:MPR720954 MPR786413:MPR786490 MPR851949:MPR852026 MPR917485:MPR917562 MPR983021:MPR983098 MZN2:MZN58 MZN65517:MZN65594 MZN131053:MZN131130 MZN196589:MZN196666 MZN262125:MZN262202 MZN327661:MZN327738 MZN393197:MZN393274 MZN458733:MZN458810 MZN524269:MZN524346 MZN589805:MZN589882 MZN655341:MZN655418 MZN720877:MZN720954 MZN786413:MZN786490 MZN851949:MZN852026 MZN917485:MZN917562 MZN983021:MZN983098 NJJ2:NJJ58 NJJ65517:NJJ65594 NJJ131053:NJJ131130 NJJ196589:NJJ196666 NJJ262125:NJJ262202 NJJ327661:NJJ327738 NJJ393197:NJJ393274 NJJ458733:NJJ458810 NJJ524269:NJJ524346 NJJ589805:NJJ589882 NJJ655341:NJJ655418 NJJ720877:NJJ720954 NJJ786413:NJJ786490 NJJ851949:NJJ852026 NJJ917485:NJJ917562 NJJ983021:NJJ983098 NTF2:NTF58 NTF65517:NTF65594 NTF131053:NTF131130 NTF196589:NTF196666 NTF262125:NTF262202 NTF327661:NTF327738 NTF393197:NTF393274 NTF458733:NTF458810 NTF524269:NTF524346 NTF589805:NTF589882 NTF655341:NTF655418 NTF720877:NTF720954 NTF786413:NTF786490 NTF851949:NTF852026 NTF917485:NTF917562 NTF983021:NTF983098 ODB2:ODB58 ODB65517:ODB65594 ODB131053:ODB131130 ODB196589:ODB196666 ODB262125:ODB262202 ODB327661:ODB327738 ODB393197:ODB393274 ODB458733:ODB458810 ODB524269:ODB524346 ODB589805:ODB589882 ODB655341:ODB655418 ODB720877:ODB720954 ODB786413:ODB786490 ODB851949:ODB852026 ODB917485:ODB917562 ODB983021:ODB983098 OMX2:OMX58 OMX65517:OMX65594 OMX131053:OMX131130 OMX196589:OMX196666 OMX262125:OMX262202 OMX327661:OMX327738 OMX393197:OMX393274 OMX458733:OMX458810 OMX524269:OMX524346 OMX589805:OMX589882 OMX655341:OMX655418 OMX720877:OMX720954 OMX786413:OMX786490 OMX851949:OMX852026 OMX917485:OMX917562 OMX983021:OMX983098 OWT2:OWT58 OWT65517:OWT65594 OWT131053:OWT131130 OWT196589:OWT196666 OWT262125:OWT262202 OWT327661:OWT327738 OWT393197:OWT393274 OWT458733:OWT458810 OWT524269:OWT524346 OWT589805:OWT589882 OWT655341:OWT655418 OWT720877:OWT720954 OWT786413:OWT786490 OWT851949:OWT852026 OWT917485:OWT917562 OWT983021:OWT983098 PGP2:PGP58 PGP65517:PGP65594 PGP131053:PGP131130 PGP196589:PGP196666 PGP262125:PGP262202 PGP327661:PGP327738 PGP393197:PGP393274 PGP458733:PGP458810 PGP524269:PGP524346 PGP589805:PGP589882 PGP655341:PGP655418 PGP720877:PGP720954 PGP786413:PGP786490 PGP851949:PGP852026 PGP917485:PGP917562 PGP983021:PGP983098 PQL2:PQL58 PQL65517:PQL65594 PQL131053:PQL131130 PQL196589:PQL196666 PQL262125:PQL262202 PQL327661:PQL327738 PQL393197:PQL393274 PQL458733:PQL458810 PQL524269:PQL524346 PQL589805:PQL589882 PQL655341:PQL655418 PQL720877:PQL720954 PQL786413:PQL786490 PQL851949:PQL852026 PQL917485:PQL917562 PQL983021:PQL983098 QAH2:QAH58 QAH65517:QAH65594 QAH131053:QAH131130 QAH196589:QAH196666 QAH262125:QAH262202 QAH327661:QAH327738 QAH393197:QAH393274 QAH458733:QAH458810 QAH524269:QAH524346 QAH589805:QAH589882 QAH655341:QAH655418 QAH720877:QAH720954 QAH786413:QAH786490 QAH851949:QAH852026 QAH917485:QAH917562 QAH983021:QAH983098 QKD2:QKD58 QKD65517:QKD65594 QKD131053:QKD131130 QKD196589:QKD196666 QKD262125:QKD262202 QKD327661:QKD327738 QKD393197:QKD393274 QKD458733:QKD458810 QKD524269:QKD524346 QKD589805:QKD589882 QKD655341:QKD655418 QKD720877:QKD720954 QKD786413:QKD786490 QKD851949:QKD852026 QKD917485:QKD917562 QKD983021:QKD983098 QTZ2:QTZ58 QTZ65517:QTZ65594 QTZ131053:QTZ131130 QTZ196589:QTZ196666 QTZ262125:QTZ262202 QTZ327661:QTZ327738 QTZ393197:QTZ393274 QTZ458733:QTZ458810 QTZ524269:QTZ524346 QTZ589805:QTZ589882 QTZ655341:QTZ655418 QTZ720877:QTZ720954 QTZ786413:QTZ786490 QTZ851949:QTZ852026 QTZ917485:QTZ917562 QTZ983021:QTZ983098 RDV2:RDV58 RDV65517:RDV65594 RDV131053:RDV131130 RDV196589:RDV196666 RDV262125:RDV262202 RDV327661:RDV327738 RDV393197:RDV393274 RDV458733:RDV458810 RDV524269:RDV524346 RDV589805:RDV589882 RDV655341:RDV655418 RDV720877:RDV720954 RDV786413:RDV786490 RDV851949:RDV852026 RDV917485:RDV917562 RDV983021:RDV983098 RNR2:RNR58 RNR65517:RNR65594 RNR131053:RNR131130 RNR196589:RNR196666 RNR262125:RNR262202 RNR327661:RNR327738 RNR393197:RNR393274 RNR458733:RNR458810 RNR524269:RNR524346 RNR589805:RNR589882 RNR655341:RNR655418 RNR720877:RNR720954 RNR786413:RNR786490 RNR851949:RNR852026 RNR917485:RNR917562 RNR983021:RNR983098 RXN2:RXN58 RXN65517:RXN65594 RXN131053:RXN131130 RXN196589:RXN196666 RXN262125:RXN262202 RXN327661:RXN327738 RXN393197:RXN393274 RXN458733:RXN458810 RXN524269:RXN524346 RXN589805:RXN589882 RXN655341:RXN655418 RXN720877:RXN720954 RXN786413:RXN786490 RXN851949:RXN852026 RXN917485:RXN917562 RXN983021:RXN983098 SHJ2:SHJ58 SHJ65517:SHJ65594 SHJ131053:SHJ131130 SHJ196589:SHJ196666 SHJ262125:SHJ262202 SHJ327661:SHJ327738 SHJ393197:SHJ393274 SHJ458733:SHJ458810 SHJ524269:SHJ524346 SHJ589805:SHJ589882 SHJ655341:SHJ655418 SHJ720877:SHJ720954 SHJ786413:SHJ786490 SHJ851949:SHJ852026 SHJ917485:SHJ917562 SHJ983021:SHJ983098 SRF2:SRF58 SRF65517:SRF65594 SRF131053:SRF131130 SRF196589:SRF196666 SRF262125:SRF262202 SRF327661:SRF327738 SRF393197:SRF393274 SRF458733:SRF458810 SRF524269:SRF524346 SRF589805:SRF589882 SRF655341:SRF655418 SRF720877:SRF720954 SRF786413:SRF786490 SRF851949:SRF852026 SRF917485:SRF917562 SRF983021:SRF983098 TBB2:TBB58 TBB65517:TBB65594 TBB131053:TBB131130 TBB196589:TBB196666 TBB262125:TBB262202 TBB327661:TBB327738 TBB393197:TBB393274 TBB458733:TBB458810 TBB524269:TBB524346 TBB589805:TBB589882 TBB655341:TBB655418 TBB720877:TBB720954 TBB786413:TBB786490 TBB851949:TBB852026 TBB917485:TBB917562 TBB983021:TBB983098 TKX2:TKX58 TKX65517:TKX65594 TKX131053:TKX131130 TKX196589:TKX196666 TKX262125:TKX262202 TKX327661:TKX327738 TKX393197:TKX393274 TKX458733:TKX458810 TKX524269:TKX524346 TKX589805:TKX589882 TKX655341:TKX655418 TKX720877:TKX720954 TKX786413:TKX786490 TKX851949:TKX852026 TKX917485:TKX917562 TKX983021:TKX983098 TUT2:TUT58 TUT65517:TUT65594 TUT131053:TUT131130 TUT196589:TUT196666 TUT262125:TUT262202 TUT327661:TUT327738 TUT393197:TUT393274 TUT458733:TUT458810 TUT524269:TUT524346 TUT589805:TUT589882 TUT655341:TUT655418 TUT720877:TUT720954 TUT786413:TUT786490 TUT851949:TUT852026 TUT917485:TUT917562 TUT983021:TUT983098 UEP2:UEP58 UEP65517:UEP65594 UEP131053:UEP131130 UEP196589:UEP196666 UEP262125:UEP262202 UEP327661:UEP327738 UEP393197:UEP393274 UEP458733:UEP458810 UEP524269:UEP524346 UEP589805:UEP589882 UEP655341:UEP655418 UEP720877:UEP720954 UEP786413:UEP786490 UEP851949:UEP852026 UEP917485:UEP917562 UEP983021:UEP983098 UOL2:UOL58 UOL65517:UOL65594 UOL131053:UOL131130 UOL196589:UOL196666 UOL262125:UOL262202 UOL327661:UOL327738 UOL393197:UOL393274 UOL458733:UOL458810 UOL524269:UOL524346 UOL589805:UOL589882 UOL655341:UOL655418 UOL720877:UOL720954 UOL786413:UOL786490 UOL851949:UOL852026 UOL917485:UOL917562 UOL983021:UOL983098 UYH2:UYH58 UYH65517:UYH65594 UYH131053:UYH131130 UYH196589:UYH196666 UYH262125:UYH262202 UYH327661:UYH327738 UYH393197:UYH393274 UYH458733:UYH458810 UYH524269:UYH524346 UYH589805:UYH589882 UYH655341:UYH655418 UYH720877:UYH720954 UYH786413:UYH786490 UYH851949:UYH852026 UYH917485:UYH917562 UYH983021:UYH983098 VID2:VID58 VID65517:VID65594 VID131053:VID131130 VID196589:VID196666 VID262125:VID262202 VID327661:VID327738 VID393197:VID393274 VID458733:VID458810 VID524269:VID524346 VID589805:VID589882 VID655341:VID655418 VID720877:VID720954 VID786413:VID786490 VID851949:VID852026 VID917485:VID917562 VID983021:VID983098 VRZ2:VRZ58 VRZ65517:VRZ65594 VRZ131053:VRZ131130 VRZ196589:VRZ196666 VRZ262125:VRZ262202 VRZ327661:VRZ327738 VRZ393197:VRZ393274 VRZ458733:VRZ458810 VRZ524269:VRZ524346 VRZ589805:VRZ589882 VRZ655341:VRZ655418 VRZ720877:VRZ720954 VRZ786413:VRZ786490 VRZ851949:VRZ852026 VRZ917485:VRZ917562 VRZ983021:VRZ983098 WBV2:WBV58 WBV65517:WBV65594 WBV131053:WBV131130 WBV196589:WBV196666 WBV262125:WBV262202 WBV327661:WBV327738 WBV393197:WBV393274 WBV458733:WBV458810 WBV524269:WBV524346 WBV589805:WBV589882 WBV655341:WBV655418 WBV720877:WBV720954 WBV786413:WBV786490 WBV851949:WBV852026 WBV917485:WBV917562 WBV983021:WBV983098 WLR2:WLR58 WLR65517:WLR65594 WLR131053:WLR131130 WLR196589:WLR196666 WLR262125:WLR262202 WLR327661:WLR327738 WLR393197:WLR393274 WLR458733:WLR458810 WLR524269:WLR524346 WLR589805:WLR589882 WLR655341:WLR655418 WLR720877:WLR720954 WLR786413:WLR786490 WLR851949:WLR852026 WLR917485:WLR917562 WLR983021:WLR983098 WVN2:WVN58 WVN65517:WVN65594 WVN131053:WVN131130 WVN196589:WVN196666 WVN262125:WVN262202 WVN327661:WVN327738 WVN393197:WVN393274 WVN458733:WVN458810 WVN524269:WVN524346 WVN589805:WVN589882 WVN655341:WVN655418 WVN720877:WVN720954 WVN786413:WVN786490 WVN851949:WVN852026 WVN917485:WVN917562 WVN983021:WVN983098">
      <formula1>$AH$2:$AH$11</formula1>
    </dataValidation>
    <dataValidation type="list" allowBlank="1" showInputMessage="1" showErrorMessage="1" sqref="E2:E711 E65517:E65594 E131053:E131130 E196589:E196666 E262125:E262202 E327661:E327738 E393197:E393274 E458733:E458810 E524269:E524346 E589805:E589882 E655341:E655418 E720877:E720954 E786413:E786490 E851949:E852026 E917485:E917562 E983021:E983098 JA2:JA58 JA65517:JA65594 JA131053:JA131130 JA196589:JA196666 JA262125:JA262202 JA327661:JA327738 JA393197:JA393274 JA458733:JA458810 JA524269:JA524346 JA589805:JA589882 JA655341:JA655418 JA720877:JA720954 JA786413:JA786490 JA851949:JA852026 JA917485:JA917562 JA983021:JA983098 SW2:SW58 SW65517:SW65594 SW131053:SW131130 SW196589:SW196666 SW262125:SW262202 SW327661:SW327738 SW393197:SW393274 SW458733:SW458810 SW524269:SW524346 SW589805:SW589882 SW655341:SW655418 SW720877:SW720954 SW786413:SW786490 SW851949:SW852026 SW917485:SW917562 SW983021:SW983098 ACS2:ACS58 ACS65517:ACS65594 ACS131053:ACS131130 ACS196589:ACS196666 ACS262125:ACS262202 ACS327661:ACS327738 ACS393197:ACS393274 ACS458733:ACS458810 ACS524269:ACS524346 ACS589805:ACS589882 ACS655341:ACS655418 ACS720877:ACS720954 ACS786413:ACS786490 ACS851949:ACS852026 ACS917485:ACS917562 ACS983021:ACS983098 AMO2:AMO58 AMO65517:AMO65594 AMO131053:AMO131130 AMO196589:AMO196666 AMO262125:AMO262202 AMO327661:AMO327738 AMO393197:AMO393274 AMO458733:AMO458810 AMO524269:AMO524346 AMO589805:AMO589882 AMO655341:AMO655418 AMO720877:AMO720954 AMO786413:AMO786490 AMO851949:AMO852026 AMO917485:AMO917562 AMO983021:AMO983098 AWK2:AWK58 AWK65517:AWK65594 AWK131053:AWK131130 AWK196589:AWK196666 AWK262125:AWK262202 AWK327661:AWK327738 AWK393197:AWK393274 AWK458733:AWK458810 AWK524269:AWK524346 AWK589805:AWK589882 AWK655341:AWK655418 AWK720877:AWK720954 AWK786413:AWK786490 AWK851949:AWK852026 AWK917485:AWK917562 AWK983021:AWK983098 BGG2:BGG58 BGG65517:BGG65594 BGG131053:BGG131130 BGG196589:BGG196666 BGG262125:BGG262202 BGG327661:BGG327738 BGG393197:BGG393274 BGG458733:BGG458810 BGG524269:BGG524346 BGG589805:BGG589882 BGG655341:BGG655418 BGG720877:BGG720954 BGG786413:BGG786490 BGG851949:BGG852026 BGG917485:BGG917562 BGG983021:BGG983098 BQC2:BQC58 BQC65517:BQC65594 BQC131053:BQC131130 BQC196589:BQC196666 BQC262125:BQC262202 BQC327661:BQC327738 BQC393197:BQC393274 BQC458733:BQC458810 BQC524269:BQC524346 BQC589805:BQC589882 BQC655341:BQC655418 BQC720877:BQC720954 BQC786413:BQC786490 BQC851949:BQC852026 BQC917485:BQC917562 BQC983021:BQC983098 BZY2:BZY58 BZY65517:BZY65594 BZY131053:BZY131130 BZY196589:BZY196666 BZY262125:BZY262202 BZY327661:BZY327738 BZY393197:BZY393274 BZY458733:BZY458810 BZY524269:BZY524346 BZY589805:BZY589882 BZY655341:BZY655418 BZY720877:BZY720954 BZY786413:BZY786490 BZY851949:BZY852026 BZY917485:BZY917562 BZY983021:BZY983098 CJU2:CJU58 CJU65517:CJU65594 CJU131053:CJU131130 CJU196589:CJU196666 CJU262125:CJU262202 CJU327661:CJU327738 CJU393197:CJU393274 CJU458733:CJU458810 CJU524269:CJU524346 CJU589805:CJU589882 CJU655341:CJU655418 CJU720877:CJU720954 CJU786413:CJU786490 CJU851949:CJU852026 CJU917485:CJU917562 CJU983021:CJU983098 CTQ2:CTQ58 CTQ65517:CTQ65594 CTQ131053:CTQ131130 CTQ196589:CTQ196666 CTQ262125:CTQ262202 CTQ327661:CTQ327738 CTQ393197:CTQ393274 CTQ458733:CTQ458810 CTQ524269:CTQ524346 CTQ589805:CTQ589882 CTQ655341:CTQ655418 CTQ720877:CTQ720954 CTQ786413:CTQ786490 CTQ851949:CTQ852026 CTQ917485:CTQ917562 CTQ983021:CTQ983098 DDM2:DDM58 DDM65517:DDM65594 DDM131053:DDM131130 DDM196589:DDM196666 DDM262125:DDM262202 DDM327661:DDM327738 DDM393197:DDM393274 DDM458733:DDM458810 DDM524269:DDM524346 DDM589805:DDM589882 DDM655341:DDM655418 DDM720877:DDM720954 DDM786413:DDM786490 DDM851949:DDM852026 DDM917485:DDM917562 DDM983021:DDM983098 DNI2:DNI58 DNI65517:DNI65594 DNI131053:DNI131130 DNI196589:DNI196666 DNI262125:DNI262202 DNI327661:DNI327738 DNI393197:DNI393274 DNI458733:DNI458810 DNI524269:DNI524346 DNI589805:DNI589882 DNI655341:DNI655418 DNI720877:DNI720954 DNI786413:DNI786490 DNI851949:DNI852026 DNI917485:DNI917562 DNI983021:DNI983098 DXE2:DXE58 DXE65517:DXE65594 DXE131053:DXE131130 DXE196589:DXE196666 DXE262125:DXE262202 DXE327661:DXE327738 DXE393197:DXE393274 DXE458733:DXE458810 DXE524269:DXE524346 DXE589805:DXE589882 DXE655341:DXE655418 DXE720877:DXE720954 DXE786413:DXE786490 DXE851949:DXE852026 DXE917485:DXE917562 DXE983021:DXE983098 EHA2:EHA58 EHA65517:EHA65594 EHA131053:EHA131130 EHA196589:EHA196666 EHA262125:EHA262202 EHA327661:EHA327738 EHA393197:EHA393274 EHA458733:EHA458810 EHA524269:EHA524346 EHA589805:EHA589882 EHA655341:EHA655418 EHA720877:EHA720954 EHA786413:EHA786490 EHA851949:EHA852026 EHA917485:EHA917562 EHA983021:EHA983098 EQW2:EQW58 EQW65517:EQW65594 EQW131053:EQW131130 EQW196589:EQW196666 EQW262125:EQW262202 EQW327661:EQW327738 EQW393197:EQW393274 EQW458733:EQW458810 EQW524269:EQW524346 EQW589805:EQW589882 EQW655341:EQW655418 EQW720877:EQW720954 EQW786413:EQW786490 EQW851949:EQW852026 EQW917485:EQW917562 EQW983021:EQW983098 FAS2:FAS58 FAS65517:FAS65594 FAS131053:FAS131130 FAS196589:FAS196666 FAS262125:FAS262202 FAS327661:FAS327738 FAS393197:FAS393274 FAS458733:FAS458810 FAS524269:FAS524346 FAS589805:FAS589882 FAS655341:FAS655418 FAS720877:FAS720954 FAS786413:FAS786490 FAS851949:FAS852026 FAS917485:FAS917562 FAS983021:FAS983098 FKO2:FKO58 FKO65517:FKO65594 FKO131053:FKO131130 FKO196589:FKO196666 FKO262125:FKO262202 FKO327661:FKO327738 FKO393197:FKO393274 FKO458733:FKO458810 FKO524269:FKO524346 FKO589805:FKO589882 FKO655341:FKO655418 FKO720877:FKO720954 FKO786413:FKO786490 FKO851949:FKO852026 FKO917485:FKO917562 FKO983021:FKO983098 FUK2:FUK58 FUK65517:FUK65594 FUK131053:FUK131130 FUK196589:FUK196666 FUK262125:FUK262202 FUK327661:FUK327738 FUK393197:FUK393274 FUK458733:FUK458810 FUK524269:FUK524346 FUK589805:FUK589882 FUK655341:FUK655418 FUK720877:FUK720954 FUK786413:FUK786490 FUK851949:FUK852026 FUK917485:FUK917562 FUK983021:FUK983098 GEG2:GEG58 GEG65517:GEG65594 GEG131053:GEG131130 GEG196589:GEG196666 GEG262125:GEG262202 GEG327661:GEG327738 GEG393197:GEG393274 GEG458733:GEG458810 GEG524269:GEG524346 GEG589805:GEG589882 GEG655341:GEG655418 GEG720877:GEG720954 GEG786413:GEG786490 GEG851949:GEG852026 GEG917485:GEG917562 GEG983021:GEG983098 GOC2:GOC58 GOC65517:GOC65594 GOC131053:GOC131130 GOC196589:GOC196666 GOC262125:GOC262202 GOC327661:GOC327738 GOC393197:GOC393274 GOC458733:GOC458810 GOC524269:GOC524346 GOC589805:GOC589882 GOC655341:GOC655418 GOC720877:GOC720954 GOC786413:GOC786490 GOC851949:GOC852026 GOC917485:GOC917562 GOC983021:GOC983098 GXY2:GXY58 GXY65517:GXY65594 GXY131053:GXY131130 GXY196589:GXY196666 GXY262125:GXY262202 GXY327661:GXY327738 GXY393197:GXY393274 GXY458733:GXY458810 GXY524269:GXY524346 GXY589805:GXY589882 GXY655341:GXY655418 GXY720877:GXY720954 GXY786413:GXY786490 GXY851949:GXY852026 GXY917485:GXY917562 GXY983021:GXY983098 HHU2:HHU58 HHU65517:HHU65594 HHU131053:HHU131130 HHU196589:HHU196666 HHU262125:HHU262202 HHU327661:HHU327738 HHU393197:HHU393274 HHU458733:HHU458810 HHU524269:HHU524346 HHU589805:HHU589882 HHU655341:HHU655418 HHU720877:HHU720954 HHU786413:HHU786490 HHU851949:HHU852026 HHU917485:HHU917562 HHU983021:HHU983098 HRQ2:HRQ58 HRQ65517:HRQ65594 HRQ131053:HRQ131130 HRQ196589:HRQ196666 HRQ262125:HRQ262202 HRQ327661:HRQ327738 HRQ393197:HRQ393274 HRQ458733:HRQ458810 HRQ524269:HRQ524346 HRQ589805:HRQ589882 HRQ655341:HRQ655418 HRQ720877:HRQ720954 HRQ786413:HRQ786490 HRQ851949:HRQ852026 HRQ917485:HRQ917562 HRQ983021:HRQ983098 IBM2:IBM58 IBM65517:IBM65594 IBM131053:IBM131130 IBM196589:IBM196666 IBM262125:IBM262202 IBM327661:IBM327738 IBM393197:IBM393274 IBM458733:IBM458810 IBM524269:IBM524346 IBM589805:IBM589882 IBM655341:IBM655418 IBM720877:IBM720954 IBM786413:IBM786490 IBM851949:IBM852026 IBM917485:IBM917562 IBM983021:IBM983098 ILI2:ILI58 ILI65517:ILI65594 ILI131053:ILI131130 ILI196589:ILI196666 ILI262125:ILI262202 ILI327661:ILI327738 ILI393197:ILI393274 ILI458733:ILI458810 ILI524269:ILI524346 ILI589805:ILI589882 ILI655341:ILI655418 ILI720877:ILI720954 ILI786413:ILI786490 ILI851949:ILI852026 ILI917485:ILI917562 ILI983021:ILI983098 IVE2:IVE58 IVE65517:IVE65594 IVE131053:IVE131130 IVE196589:IVE196666 IVE262125:IVE262202 IVE327661:IVE327738 IVE393197:IVE393274 IVE458733:IVE458810 IVE524269:IVE524346 IVE589805:IVE589882 IVE655341:IVE655418 IVE720877:IVE720954 IVE786413:IVE786490 IVE851949:IVE852026 IVE917485:IVE917562 IVE983021:IVE983098 JFA2:JFA58 JFA65517:JFA65594 JFA131053:JFA131130 JFA196589:JFA196666 JFA262125:JFA262202 JFA327661:JFA327738 JFA393197:JFA393274 JFA458733:JFA458810 JFA524269:JFA524346 JFA589805:JFA589882 JFA655341:JFA655418 JFA720877:JFA720954 JFA786413:JFA786490 JFA851949:JFA852026 JFA917485:JFA917562 JFA983021:JFA983098 JOW2:JOW58 JOW65517:JOW65594 JOW131053:JOW131130 JOW196589:JOW196666 JOW262125:JOW262202 JOW327661:JOW327738 JOW393197:JOW393274 JOW458733:JOW458810 JOW524269:JOW524346 JOW589805:JOW589882 JOW655341:JOW655418 JOW720877:JOW720954 JOW786413:JOW786490 JOW851949:JOW852026 JOW917485:JOW917562 JOW983021:JOW983098 JYS2:JYS58 JYS65517:JYS65594 JYS131053:JYS131130 JYS196589:JYS196666 JYS262125:JYS262202 JYS327661:JYS327738 JYS393197:JYS393274 JYS458733:JYS458810 JYS524269:JYS524346 JYS589805:JYS589882 JYS655341:JYS655418 JYS720877:JYS720954 JYS786413:JYS786490 JYS851949:JYS852026 JYS917485:JYS917562 JYS983021:JYS983098 KIO2:KIO58 KIO65517:KIO65594 KIO131053:KIO131130 KIO196589:KIO196666 KIO262125:KIO262202 KIO327661:KIO327738 KIO393197:KIO393274 KIO458733:KIO458810 KIO524269:KIO524346 KIO589805:KIO589882 KIO655341:KIO655418 KIO720877:KIO720954 KIO786413:KIO786490 KIO851949:KIO852026 KIO917485:KIO917562 KIO983021:KIO983098 KSK2:KSK58 KSK65517:KSK65594 KSK131053:KSK131130 KSK196589:KSK196666 KSK262125:KSK262202 KSK327661:KSK327738 KSK393197:KSK393274 KSK458733:KSK458810 KSK524269:KSK524346 KSK589805:KSK589882 KSK655341:KSK655418 KSK720877:KSK720954 KSK786413:KSK786490 KSK851949:KSK852026 KSK917485:KSK917562 KSK983021:KSK983098 LCG2:LCG58 LCG65517:LCG65594 LCG131053:LCG131130 LCG196589:LCG196666 LCG262125:LCG262202 LCG327661:LCG327738 LCG393197:LCG393274 LCG458733:LCG458810 LCG524269:LCG524346 LCG589805:LCG589882 LCG655341:LCG655418 LCG720877:LCG720954 LCG786413:LCG786490 LCG851949:LCG852026 LCG917485:LCG917562 LCG983021:LCG983098 LMC2:LMC58 LMC65517:LMC65594 LMC131053:LMC131130 LMC196589:LMC196666 LMC262125:LMC262202 LMC327661:LMC327738 LMC393197:LMC393274 LMC458733:LMC458810 LMC524269:LMC524346 LMC589805:LMC589882 LMC655341:LMC655418 LMC720877:LMC720954 LMC786413:LMC786490 LMC851949:LMC852026 LMC917485:LMC917562 LMC983021:LMC983098 LVY2:LVY58 LVY65517:LVY65594 LVY131053:LVY131130 LVY196589:LVY196666 LVY262125:LVY262202 LVY327661:LVY327738 LVY393197:LVY393274 LVY458733:LVY458810 LVY524269:LVY524346 LVY589805:LVY589882 LVY655341:LVY655418 LVY720877:LVY720954 LVY786413:LVY786490 LVY851949:LVY852026 LVY917485:LVY917562 LVY983021:LVY983098 MFU2:MFU58 MFU65517:MFU65594 MFU131053:MFU131130 MFU196589:MFU196666 MFU262125:MFU262202 MFU327661:MFU327738 MFU393197:MFU393274 MFU458733:MFU458810 MFU524269:MFU524346 MFU589805:MFU589882 MFU655341:MFU655418 MFU720877:MFU720954 MFU786413:MFU786490 MFU851949:MFU852026 MFU917485:MFU917562 MFU983021:MFU983098 MPQ2:MPQ58 MPQ65517:MPQ65594 MPQ131053:MPQ131130 MPQ196589:MPQ196666 MPQ262125:MPQ262202 MPQ327661:MPQ327738 MPQ393197:MPQ393274 MPQ458733:MPQ458810 MPQ524269:MPQ524346 MPQ589805:MPQ589882 MPQ655341:MPQ655418 MPQ720877:MPQ720954 MPQ786413:MPQ786490 MPQ851949:MPQ852026 MPQ917485:MPQ917562 MPQ983021:MPQ983098 MZM2:MZM58 MZM65517:MZM65594 MZM131053:MZM131130 MZM196589:MZM196666 MZM262125:MZM262202 MZM327661:MZM327738 MZM393197:MZM393274 MZM458733:MZM458810 MZM524269:MZM524346 MZM589805:MZM589882 MZM655341:MZM655418 MZM720877:MZM720954 MZM786413:MZM786490 MZM851949:MZM852026 MZM917485:MZM917562 MZM983021:MZM983098 NJI2:NJI58 NJI65517:NJI65594 NJI131053:NJI131130 NJI196589:NJI196666 NJI262125:NJI262202 NJI327661:NJI327738 NJI393197:NJI393274 NJI458733:NJI458810 NJI524269:NJI524346 NJI589805:NJI589882 NJI655341:NJI655418 NJI720877:NJI720954 NJI786413:NJI786490 NJI851949:NJI852026 NJI917485:NJI917562 NJI983021:NJI983098 NTE2:NTE58 NTE65517:NTE65594 NTE131053:NTE131130 NTE196589:NTE196666 NTE262125:NTE262202 NTE327661:NTE327738 NTE393197:NTE393274 NTE458733:NTE458810 NTE524269:NTE524346 NTE589805:NTE589882 NTE655341:NTE655418 NTE720877:NTE720954 NTE786413:NTE786490 NTE851949:NTE852026 NTE917485:NTE917562 NTE983021:NTE983098 ODA2:ODA58 ODA65517:ODA65594 ODA131053:ODA131130 ODA196589:ODA196666 ODA262125:ODA262202 ODA327661:ODA327738 ODA393197:ODA393274 ODA458733:ODA458810 ODA524269:ODA524346 ODA589805:ODA589882 ODA655341:ODA655418 ODA720877:ODA720954 ODA786413:ODA786490 ODA851949:ODA852026 ODA917485:ODA917562 ODA983021:ODA983098 OMW2:OMW58 OMW65517:OMW65594 OMW131053:OMW131130 OMW196589:OMW196666 OMW262125:OMW262202 OMW327661:OMW327738 OMW393197:OMW393274 OMW458733:OMW458810 OMW524269:OMW524346 OMW589805:OMW589882 OMW655341:OMW655418 OMW720877:OMW720954 OMW786413:OMW786490 OMW851949:OMW852026 OMW917485:OMW917562 OMW983021:OMW983098 OWS2:OWS58 OWS65517:OWS65594 OWS131053:OWS131130 OWS196589:OWS196666 OWS262125:OWS262202 OWS327661:OWS327738 OWS393197:OWS393274 OWS458733:OWS458810 OWS524269:OWS524346 OWS589805:OWS589882 OWS655341:OWS655418 OWS720877:OWS720954 OWS786413:OWS786490 OWS851949:OWS852026 OWS917485:OWS917562 OWS983021:OWS983098 PGO2:PGO58 PGO65517:PGO65594 PGO131053:PGO131130 PGO196589:PGO196666 PGO262125:PGO262202 PGO327661:PGO327738 PGO393197:PGO393274 PGO458733:PGO458810 PGO524269:PGO524346 PGO589805:PGO589882 PGO655341:PGO655418 PGO720877:PGO720954 PGO786413:PGO786490 PGO851949:PGO852026 PGO917485:PGO917562 PGO983021:PGO983098 PQK2:PQK58 PQK65517:PQK65594 PQK131053:PQK131130 PQK196589:PQK196666 PQK262125:PQK262202 PQK327661:PQK327738 PQK393197:PQK393274 PQK458733:PQK458810 PQK524269:PQK524346 PQK589805:PQK589882 PQK655341:PQK655418 PQK720877:PQK720954 PQK786413:PQK786490 PQK851949:PQK852026 PQK917485:PQK917562 PQK983021:PQK983098 QAG2:QAG58 QAG65517:QAG65594 QAG131053:QAG131130 QAG196589:QAG196666 QAG262125:QAG262202 QAG327661:QAG327738 QAG393197:QAG393274 QAG458733:QAG458810 QAG524269:QAG524346 QAG589805:QAG589882 QAG655341:QAG655418 QAG720877:QAG720954 QAG786413:QAG786490 QAG851949:QAG852026 QAG917485:QAG917562 QAG983021:QAG983098 QKC2:QKC58 QKC65517:QKC65594 QKC131053:QKC131130 QKC196589:QKC196666 QKC262125:QKC262202 QKC327661:QKC327738 QKC393197:QKC393274 QKC458733:QKC458810 QKC524269:QKC524346 QKC589805:QKC589882 QKC655341:QKC655418 QKC720877:QKC720954 QKC786413:QKC786490 QKC851949:QKC852026 QKC917485:QKC917562 QKC983021:QKC983098 QTY2:QTY58 QTY65517:QTY65594 QTY131053:QTY131130 QTY196589:QTY196666 QTY262125:QTY262202 QTY327661:QTY327738 QTY393197:QTY393274 QTY458733:QTY458810 QTY524269:QTY524346 QTY589805:QTY589882 QTY655341:QTY655418 QTY720877:QTY720954 QTY786413:QTY786490 QTY851949:QTY852026 QTY917485:QTY917562 QTY983021:QTY983098 RDU2:RDU58 RDU65517:RDU65594 RDU131053:RDU131130 RDU196589:RDU196666 RDU262125:RDU262202 RDU327661:RDU327738 RDU393197:RDU393274 RDU458733:RDU458810 RDU524269:RDU524346 RDU589805:RDU589882 RDU655341:RDU655418 RDU720877:RDU720954 RDU786413:RDU786490 RDU851949:RDU852026 RDU917485:RDU917562 RDU983021:RDU983098 RNQ2:RNQ58 RNQ65517:RNQ65594 RNQ131053:RNQ131130 RNQ196589:RNQ196666 RNQ262125:RNQ262202 RNQ327661:RNQ327738 RNQ393197:RNQ393274 RNQ458733:RNQ458810 RNQ524269:RNQ524346 RNQ589805:RNQ589882 RNQ655341:RNQ655418 RNQ720877:RNQ720954 RNQ786413:RNQ786490 RNQ851949:RNQ852026 RNQ917485:RNQ917562 RNQ983021:RNQ983098 RXM2:RXM58 RXM65517:RXM65594 RXM131053:RXM131130 RXM196589:RXM196666 RXM262125:RXM262202 RXM327661:RXM327738 RXM393197:RXM393274 RXM458733:RXM458810 RXM524269:RXM524346 RXM589805:RXM589882 RXM655341:RXM655418 RXM720877:RXM720954 RXM786413:RXM786490 RXM851949:RXM852026 RXM917485:RXM917562 RXM983021:RXM983098 SHI2:SHI58 SHI65517:SHI65594 SHI131053:SHI131130 SHI196589:SHI196666 SHI262125:SHI262202 SHI327661:SHI327738 SHI393197:SHI393274 SHI458733:SHI458810 SHI524269:SHI524346 SHI589805:SHI589882 SHI655341:SHI655418 SHI720877:SHI720954 SHI786413:SHI786490 SHI851949:SHI852026 SHI917485:SHI917562 SHI983021:SHI983098 SRE2:SRE58 SRE65517:SRE65594 SRE131053:SRE131130 SRE196589:SRE196666 SRE262125:SRE262202 SRE327661:SRE327738 SRE393197:SRE393274 SRE458733:SRE458810 SRE524269:SRE524346 SRE589805:SRE589882 SRE655341:SRE655418 SRE720877:SRE720954 SRE786413:SRE786490 SRE851949:SRE852026 SRE917485:SRE917562 SRE983021:SRE983098 TBA2:TBA58 TBA65517:TBA65594 TBA131053:TBA131130 TBA196589:TBA196666 TBA262125:TBA262202 TBA327661:TBA327738 TBA393197:TBA393274 TBA458733:TBA458810 TBA524269:TBA524346 TBA589805:TBA589882 TBA655341:TBA655418 TBA720877:TBA720954 TBA786413:TBA786490 TBA851949:TBA852026 TBA917485:TBA917562 TBA983021:TBA983098 TKW2:TKW58 TKW65517:TKW65594 TKW131053:TKW131130 TKW196589:TKW196666 TKW262125:TKW262202 TKW327661:TKW327738 TKW393197:TKW393274 TKW458733:TKW458810 TKW524269:TKW524346 TKW589805:TKW589882 TKW655341:TKW655418 TKW720877:TKW720954 TKW786413:TKW786490 TKW851949:TKW852026 TKW917485:TKW917562 TKW983021:TKW983098 TUS2:TUS58 TUS65517:TUS65594 TUS131053:TUS131130 TUS196589:TUS196666 TUS262125:TUS262202 TUS327661:TUS327738 TUS393197:TUS393274 TUS458733:TUS458810 TUS524269:TUS524346 TUS589805:TUS589882 TUS655341:TUS655418 TUS720877:TUS720954 TUS786413:TUS786490 TUS851949:TUS852026 TUS917485:TUS917562 TUS983021:TUS983098 UEO2:UEO58 UEO65517:UEO65594 UEO131053:UEO131130 UEO196589:UEO196666 UEO262125:UEO262202 UEO327661:UEO327738 UEO393197:UEO393274 UEO458733:UEO458810 UEO524269:UEO524346 UEO589805:UEO589882 UEO655341:UEO655418 UEO720877:UEO720954 UEO786413:UEO786490 UEO851949:UEO852026 UEO917485:UEO917562 UEO983021:UEO983098 UOK2:UOK58 UOK65517:UOK65594 UOK131053:UOK131130 UOK196589:UOK196666 UOK262125:UOK262202 UOK327661:UOK327738 UOK393197:UOK393274 UOK458733:UOK458810 UOK524269:UOK524346 UOK589805:UOK589882 UOK655341:UOK655418 UOK720877:UOK720954 UOK786413:UOK786490 UOK851949:UOK852026 UOK917485:UOK917562 UOK983021:UOK983098 UYG2:UYG58 UYG65517:UYG65594 UYG131053:UYG131130 UYG196589:UYG196666 UYG262125:UYG262202 UYG327661:UYG327738 UYG393197:UYG393274 UYG458733:UYG458810 UYG524269:UYG524346 UYG589805:UYG589882 UYG655341:UYG655418 UYG720877:UYG720954 UYG786413:UYG786490 UYG851949:UYG852026 UYG917485:UYG917562 UYG983021:UYG983098 VIC2:VIC58 VIC65517:VIC65594 VIC131053:VIC131130 VIC196589:VIC196666 VIC262125:VIC262202 VIC327661:VIC327738 VIC393197:VIC393274 VIC458733:VIC458810 VIC524269:VIC524346 VIC589805:VIC589882 VIC655341:VIC655418 VIC720877:VIC720954 VIC786413:VIC786490 VIC851949:VIC852026 VIC917485:VIC917562 VIC983021:VIC983098 VRY2:VRY58 VRY65517:VRY65594 VRY131053:VRY131130 VRY196589:VRY196666 VRY262125:VRY262202 VRY327661:VRY327738 VRY393197:VRY393274 VRY458733:VRY458810 VRY524269:VRY524346 VRY589805:VRY589882 VRY655341:VRY655418 VRY720877:VRY720954 VRY786413:VRY786490 VRY851949:VRY852026 VRY917485:VRY917562 VRY983021:VRY983098 WBU2:WBU58 WBU65517:WBU65594 WBU131053:WBU131130 WBU196589:WBU196666 WBU262125:WBU262202 WBU327661:WBU327738 WBU393197:WBU393274 WBU458733:WBU458810 WBU524269:WBU524346 WBU589805:WBU589882 WBU655341:WBU655418 WBU720877:WBU720954 WBU786413:WBU786490 WBU851949:WBU852026 WBU917485:WBU917562 WBU983021:WBU983098 WLQ2:WLQ58 WLQ65517:WLQ65594 WLQ131053:WLQ131130 WLQ196589:WLQ196666 WLQ262125:WLQ262202 WLQ327661:WLQ327738 WLQ393197:WLQ393274 WLQ458733:WLQ458810 WLQ524269:WLQ524346 WLQ589805:WLQ589882 WLQ655341:WLQ655418 WLQ720877:WLQ720954 WLQ786413:WLQ786490 WLQ851949:WLQ852026 WLQ917485:WLQ917562 WLQ983021:WLQ983098 WVM2:WVM58 WVM65517:WVM65594 WVM131053:WVM131130 WVM196589:WVM196666 WVM262125:WVM262202 WVM327661:WVM327738 WVM393197:WVM393274 WVM458733:WVM458810 WVM524269:WVM524346 WVM589805:WVM589882 WVM655341:WVM655418 WVM720877:WVM720954 WVM786413:WVM786490 WVM851949:WVM852026 WVM917485:WVM917562 WVM983021:WVM983098">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7 IX65517 ST65517 ACP65517 AML65517 AWH65517 BGD65517 BPZ65517 BZV65517 CJR65517 CTN65517 DDJ65517 DNF65517 DXB65517 EGX65517 EQT65517 FAP65517 FKL65517 FUH65517 GED65517 GNZ65517 GXV65517 HHR65517 HRN65517 IBJ65517 ILF65517 IVB65517 JEX65517 JOT65517 JYP65517 KIL65517 KSH65517 LCD65517 LLZ65517 LVV65517 MFR65517 MPN65517 MZJ65517 NJF65517 NTB65517 OCX65517 OMT65517 OWP65517 PGL65517 PQH65517 QAD65517 QJZ65517 QTV65517 RDR65517 RNN65517 RXJ65517 SHF65517 SRB65517 TAX65517 TKT65517 TUP65517 UEL65517 UOH65517 UYD65517 VHZ65517 VRV65517 WBR65517 WLN65517 WVJ65517 B131053 IX131053 ST131053 ACP131053 AML131053 AWH131053 BGD131053 BPZ131053 BZV131053 CJR131053 CTN131053 DDJ131053 DNF131053 DXB131053 EGX131053 EQT131053 FAP131053 FKL131053 FUH131053 GED131053 GNZ131053 GXV131053 HHR131053 HRN131053 IBJ131053 ILF131053 IVB131053 JEX131053 JOT131053 JYP131053 KIL131053 KSH131053 LCD131053 LLZ131053 LVV131053 MFR131053 MPN131053 MZJ131053 NJF131053 NTB131053 OCX131053 OMT131053 OWP131053 PGL131053 PQH131053 QAD131053 QJZ131053 QTV131053 RDR131053 RNN131053 RXJ131053 SHF131053 SRB131053 TAX131053 TKT131053 TUP131053 UEL131053 UOH131053 UYD131053 VHZ131053 VRV131053 WBR131053 WLN131053 WVJ131053 B196589 IX196589 ST196589 ACP196589 AML196589 AWH196589 BGD196589 BPZ196589 BZV196589 CJR196589 CTN196589 DDJ196589 DNF196589 DXB196589 EGX196589 EQT196589 FAP196589 FKL196589 FUH196589 GED196589 GNZ196589 GXV196589 HHR196589 HRN196589 IBJ196589 ILF196589 IVB196589 JEX196589 JOT196589 JYP196589 KIL196589 KSH196589 LCD196589 LLZ196589 LVV196589 MFR196589 MPN196589 MZJ196589 NJF196589 NTB196589 OCX196589 OMT196589 OWP196589 PGL196589 PQH196589 QAD196589 QJZ196589 QTV196589 RDR196589 RNN196589 RXJ196589 SHF196589 SRB196589 TAX196589 TKT196589 TUP196589 UEL196589 UOH196589 UYD196589 VHZ196589 VRV196589 WBR196589 WLN196589 WVJ196589 B262125 IX262125 ST262125 ACP262125 AML262125 AWH262125 BGD262125 BPZ262125 BZV262125 CJR262125 CTN262125 DDJ262125 DNF262125 DXB262125 EGX262125 EQT262125 FAP262125 FKL262125 FUH262125 GED262125 GNZ262125 GXV262125 HHR262125 HRN262125 IBJ262125 ILF262125 IVB262125 JEX262125 JOT262125 JYP262125 KIL262125 KSH262125 LCD262125 LLZ262125 LVV262125 MFR262125 MPN262125 MZJ262125 NJF262125 NTB262125 OCX262125 OMT262125 OWP262125 PGL262125 PQH262125 QAD262125 QJZ262125 QTV262125 RDR262125 RNN262125 RXJ262125 SHF262125 SRB262125 TAX262125 TKT262125 TUP262125 UEL262125 UOH262125 UYD262125 VHZ262125 VRV262125 WBR262125 WLN262125 WVJ262125 B327661 IX327661 ST327661 ACP327661 AML327661 AWH327661 BGD327661 BPZ327661 BZV327661 CJR327661 CTN327661 DDJ327661 DNF327661 DXB327661 EGX327661 EQT327661 FAP327661 FKL327661 FUH327661 GED327661 GNZ327661 GXV327661 HHR327661 HRN327661 IBJ327661 ILF327661 IVB327661 JEX327661 JOT327661 JYP327661 KIL327661 KSH327661 LCD327661 LLZ327661 LVV327661 MFR327661 MPN327661 MZJ327661 NJF327661 NTB327661 OCX327661 OMT327661 OWP327661 PGL327661 PQH327661 QAD327661 QJZ327661 QTV327661 RDR327661 RNN327661 RXJ327661 SHF327661 SRB327661 TAX327661 TKT327661 TUP327661 UEL327661 UOH327661 UYD327661 VHZ327661 VRV327661 WBR327661 WLN327661 WVJ327661 B393197 IX393197 ST393197 ACP393197 AML393197 AWH393197 BGD393197 BPZ393197 BZV393197 CJR393197 CTN393197 DDJ393197 DNF393197 DXB393197 EGX393197 EQT393197 FAP393197 FKL393197 FUH393197 GED393197 GNZ393197 GXV393197 HHR393197 HRN393197 IBJ393197 ILF393197 IVB393197 JEX393197 JOT393197 JYP393197 KIL393197 KSH393197 LCD393197 LLZ393197 LVV393197 MFR393197 MPN393197 MZJ393197 NJF393197 NTB393197 OCX393197 OMT393197 OWP393197 PGL393197 PQH393197 QAD393197 QJZ393197 QTV393197 RDR393197 RNN393197 RXJ393197 SHF393197 SRB393197 TAX393197 TKT393197 TUP393197 UEL393197 UOH393197 UYD393197 VHZ393197 VRV393197 WBR393197 WLN393197 WVJ393197 B458733 IX458733 ST458733 ACP458733 AML458733 AWH458733 BGD458733 BPZ458733 BZV458733 CJR458733 CTN458733 DDJ458733 DNF458733 DXB458733 EGX458733 EQT458733 FAP458733 FKL458733 FUH458733 GED458733 GNZ458733 GXV458733 HHR458733 HRN458733 IBJ458733 ILF458733 IVB458733 JEX458733 JOT458733 JYP458733 KIL458733 KSH458733 LCD458733 LLZ458733 LVV458733 MFR458733 MPN458733 MZJ458733 NJF458733 NTB458733 OCX458733 OMT458733 OWP458733 PGL458733 PQH458733 QAD458733 QJZ458733 QTV458733 RDR458733 RNN458733 RXJ458733 SHF458733 SRB458733 TAX458733 TKT458733 TUP458733 UEL458733 UOH458733 UYD458733 VHZ458733 VRV458733 WBR458733 WLN458733 WVJ458733 B524269 IX524269 ST524269 ACP524269 AML524269 AWH524269 BGD524269 BPZ524269 BZV524269 CJR524269 CTN524269 DDJ524269 DNF524269 DXB524269 EGX524269 EQT524269 FAP524269 FKL524269 FUH524269 GED524269 GNZ524269 GXV524269 HHR524269 HRN524269 IBJ524269 ILF524269 IVB524269 JEX524269 JOT524269 JYP524269 KIL524269 KSH524269 LCD524269 LLZ524269 LVV524269 MFR524269 MPN524269 MZJ524269 NJF524269 NTB524269 OCX524269 OMT524269 OWP524269 PGL524269 PQH524269 QAD524269 QJZ524269 QTV524269 RDR524269 RNN524269 RXJ524269 SHF524269 SRB524269 TAX524269 TKT524269 TUP524269 UEL524269 UOH524269 UYD524269 VHZ524269 VRV524269 WBR524269 WLN524269 WVJ524269 B589805 IX589805 ST589805 ACP589805 AML589805 AWH589805 BGD589805 BPZ589805 BZV589805 CJR589805 CTN589805 DDJ589805 DNF589805 DXB589805 EGX589805 EQT589805 FAP589805 FKL589805 FUH589805 GED589805 GNZ589805 GXV589805 HHR589805 HRN589805 IBJ589805 ILF589805 IVB589805 JEX589805 JOT589805 JYP589805 KIL589805 KSH589805 LCD589805 LLZ589805 LVV589805 MFR589805 MPN589805 MZJ589805 NJF589805 NTB589805 OCX589805 OMT589805 OWP589805 PGL589805 PQH589805 QAD589805 QJZ589805 QTV589805 RDR589805 RNN589805 RXJ589805 SHF589805 SRB589805 TAX589805 TKT589805 TUP589805 UEL589805 UOH589805 UYD589805 VHZ589805 VRV589805 WBR589805 WLN589805 WVJ589805 B655341 IX655341 ST655341 ACP655341 AML655341 AWH655341 BGD655341 BPZ655341 BZV655341 CJR655341 CTN655341 DDJ655341 DNF655341 DXB655341 EGX655341 EQT655341 FAP655341 FKL655341 FUH655341 GED655341 GNZ655341 GXV655341 HHR655341 HRN655341 IBJ655341 ILF655341 IVB655341 JEX655341 JOT655341 JYP655341 KIL655341 KSH655341 LCD655341 LLZ655341 LVV655341 MFR655341 MPN655341 MZJ655341 NJF655341 NTB655341 OCX655341 OMT655341 OWP655341 PGL655341 PQH655341 QAD655341 QJZ655341 QTV655341 RDR655341 RNN655341 RXJ655341 SHF655341 SRB655341 TAX655341 TKT655341 TUP655341 UEL655341 UOH655341 UYD655341 VHZ655341 VRV655341 WBR655341 WLN655341 WVJ655341 B720877 IX720877 ST720877 ACP720877 AML720877 AWH720877 BGD720877 BPZ720877 BZV720877 CJR720877 CTN720877 DDJ720877 DNF720877 DXB720877 EGX720877 EQT720877 FAP720877 FKL720877 FUH720877 GED720877 GNZ720877 GXV720877 HHR720877 HRN720877 IBJ720877 ILF720877 IVB720877 JEX720877 JOT720877 JYP720877 KIL720877 KSH720877 LCD720877 LLZ720877 LVV720877 MFR720877 MPN720877 MZJ720877 NJF720877 NTB720877 OCX720877 OMT720877 OWP720877 PGL720877 PQH720877 QAD720877 QJZ720877 QTV720877 RDR720877 RNN720877 RXJ720877 SHF720877 SRB720877 TAX720877 TKT720877 TUP720877 UEL720877 UOH720877 UYD720877 VHZ720877 VRV720877 WBR720877 WLN720877 WVJ720877 B786413 IX786413 ST786413 ACP786413 AML786413 AWH786413 BGD786413 BPZ786413 BZV786413 CJR786413 CTN786413 DDJ786413 DNF786413 DXB786413 EGX786413 EQT786413 FAP786413 FKL786413 FUH786413 GED786413 GNZ786413 GXV786413 HHR786413 HRN786413 IBJ786413 ILF786413 IVB786413 JEX786413 JOT786413 JYP786413 KIL786413 KSH786413 LCD786413 LLZ786413 LVV786413 MFR786413 MPN786413 MZJ786413 NJF786413 NTB786413 OCX786413 OMT786413 OWP786413 PGL786413 PQH786413 QAD786413 QJZ786413 QTV786413 RDR786413 RNN786413 RXJ786413 SHF786413 SRB786413 TAX786413 TKT786413 TUP786413 UEL786413 UOH786413 UYD786413 VHZ786413 VRV786413 WBR786413 WLN786413 WVJ786413 B851949 IX851949 ST851949 ACP851949 AML851949 AWH851949 BGD851949 BPZ851949 BZV851949 CJR851949 CTN851949 DDJ851949 DNF851949 DXB851949 EGX851949 EQT851949 FAP851949 FKL851949 FUH851949 GED851949 GNZ851949 GXV851949 HHR851949 HRN851949 IBJ851949 ILF851949 IVB851949 JEX851949 JOT851949 JYP851949 KIL851949 KSH851949 LCD851949 LLZ851949 LVV851949 MFR851949 MPN851949 MZJ851949 NJF851949 NTB851949 OCX851949 OMT851949 OWP851949 PGL851949 PQH851949 QAD851949 QJZ851949 QTV851949 RDR851949 RNN851949 RXJ851949 SHF851949 SRB851949 TAX851949 TKT851949 TUP851949 UEL851949 UOH851949 UYD851949 VHZ851949 VRV851949 WBR851949 WLN851949 WVJ851949 B917485 IX917485 ST917485 ACP917485 AML917485 AWH917485 BGD917485 BPZ917485 BZV917485 CJR917485 CTN917485 DDJ917485 DNF917485 DXB917485 EGX917485 EQT917485 FAP917485 FKL917485 FUH917485 GED917485 GNZ917485 GXV917485 HHR917485 HRN917485 IBJ917485 ILF917485 IVB917485 JEX917485 JOT917485 JYP917485 KIL917485 KSH917485 LCD917485 LLZ917485 LVV917485 MFR917485 MPN917485 MZJ917485 NJF917485 NTB917485 OCX917485 OMT917485 OWP917485 PGL917485 PQH917485 QAD917485 QJZ917485 QTV917485 RDR917485 RNN917485 RXJ917485 SHF917485 SRB917485 TAX917485 TKT917485 TUP917485 UEL917485 UOH917485 UYD917485 VHZ917485 VRV917485 WBR917485 WLN917485 WVJ917485 B983021 IX983021 ST983021 ACP983021 AML983021 AWH983021 BGD983021 BPZ983021 BZV983021 CJR983021 CTN983021 DDJ983021 DNF983021 DXB983021 EGX983021 EQT983021 FAP983021 FKL983021 FUH983021 GED983021 GNZ983021 GXV983021 HHR983021 HRN983021 IBJ983021 ILF983021 IVB983021 JEX983021 JOT983021 JYP983021 KIL983021 KSH983021 LCD983021 LLZ983021 LVV983021 MFR983021 MPN983021 MZJ983021 NJF983021 NTB983021 OCX983021 OMT983021 OWP983021 PGL983021 PQH983021 QAD983021 QJZ983021 QTV983021 RDR983021 RNN983021 RXJ983021 SHF983021 SRB983021 TAX983021 TKT983021 TUP983021 UEL983021 UOH983021 UYD983021 VHZ983021 VRV983021 WBR983021 WLN983021 WVJ983021 B2:B67"/>
    <dataValidation type="list" allowBlank="1" showInputMessage="1" showErrorMessage="1" sqref="A2:A479 A65517:A65594 A131053:A131130 A196589:A196666 A262125:A262202 A327661:A327738 A393197:A393274 A458733:A458810 A524269:A524346 A589805:A589882 A655341:A655418 A720877:A720954 A786413:A786490 A851949:A852026 A917485:A917562 A983021:A983098 IW2:IW58 IW65517:IW65594 IW131053:IW131130 IW196589:IW196666 IW262125:IW262202 IW327661:IW327738 IW393197:IW393274 IW458733:IW458810 IW524269:IW524346 IW589805:IW589882 IW655341:IW655418 IW720877:IW720954 IW786413:IW786490 IW851949:IW852026 IW917485:IW917562 IW983021:IW983098 SS2:SS58 SS65517:SS65594 SS131053:SS131130 SS196589:SS196666 SS262125:SS262202 SS327661:SS327738 SS393197:SS393274 SS458733:SS458810 SS524269:SS524346 SS589805:SS589882 SS655341:SS655418 SS720877:SS720954 SS786413:SS786490 SS851949:SS852026 SS917485:SS917562 SS983021:SS983098 ACO2:ACO58 ACO65517:ACO65594 ACO131053:ACO131130 ACO196589:ACO196666 ACO262125:ACO262202 ACO327661:ACO327738 ACO393197:ACO393274 ACO458733:ACO458810 ACO524269:ACO524346 ACO589805:ACO589882 ACO655341:ACO655418 ACO720877:ACO720954 ACO786413:ACO786490 ACO851949:ACO852026 ACO917485:ACO917562 ACO983021:ACO983098 AMK2:AMK58 AMK65517:AMK65594 AMK131053:AMK131130 AMK196589:AMK196666 AMK262125:AMK262202 AMK327661:AMK327738 AMK393197:AMK393274 AMK458733:AMK458810 AMK524269:AMK524346 AMK589805:AMK589882 AMK655341:AMK655418 AMK720877:AMK720954 AMK786413:AMK786490 AMK851949:AMK852026 AMK917485:AMK917562 AMK983021:AMK983098 AWG2:AWG58 AWG65517:AWG65594 AWG131053:AWG131130 AWG196589:AWG196666 AWG262125:AWG262202 AWG327661:AWG327738 AWG393197:AWG393274 AWG458733:AWG458810 AWG524269:AWG524346 AWG589805:AWG589882 AWG655341:AWG655418 AWG720877:AWG720954 AWG786413:AWG786490 AWG851949:AWG852026 AWG917485:AWG917562 AWG983021:AWG983098 BGC2:BGC58 BGC65517:BGC65594 BGC131053:BGC131130 BGC196589:BGC196666 BGC262125:BGC262202 BGC327661:BGC327738 BGC393197:BGC393274 BGC458733:BGC458810 BGC524269:BGC524346 BGC589805:BGC589882 BGC655341:BGC655418 BGC720877:BGC720954 BGC786413:BGC786490 BGC851949:BGC852026 BGC917485:BGC917562 BGC983021:BGC983098 BPY2:BPY58 BPY65517:BPY65594 BPY131053:BPY131130 BPY196589:BPY196666 BPY262125:BPY262202 BPY327661:BPY327738 BPY393197:BPY393274 BPY458733:BPY458810 BPY524269:BPY524346 BPY589805:BPY589882 BPY655341:BPY655418 BPY720877:BPY720954 BPY786413:BPY786490 BPY851949:BPY852026 BPY917485:BPY917562 BPY983021:BPY983098 BZU2:BZU58 BZU65517:BZU65594 BZU131053:BZU131130 BZU196589:BZU196666 BZU262125:BZU262202 BZU327661:BZU327738 BZU393197:BZU393274 BZU458733:BZU458810 BZU524269:BZU524346 BZU589805:BZU589882 BZU655341:BZU655418 BZU720877:BZU720954 BZU786413:BZU786490 BZU851949:BZU852026 BZU917485:BZU917562 BZU983021:BZU983098 CJQ2:CJQ58 CJQ65517:CJQ65594 CJQ131053:CJQ131130 CJQ196589:CJQ196666 CJQ262125:CJQ262202 CJQ327661:CJQ327738 CJQ393197:CJQ393274 CJQ458733:CJQ458810 CJQ524269:CJQ524346 CJQ589805:CJQ589882 CJQ655341:CJQ655418 CJQ720877:CJQ720954 CJQ786413:CJQ786490 CJQ851949:CJQ852026 CJQ917485:CJQ917562 CJQ983021:CJQ983098 CTM2:CTM58 CTM65517:CTM65594 CTM131053:CTM131130 CTM196589:CTM196666 CTM262125:CTM262202 CTM327661:CTM327738 CTM393197:CTM393274 CTM458733:CTM458810 CTM524269:CTM524346 CTM589805:CTM589882 CTM655341:CTM655418 CTM720877:CTM720954 CTM786413:CTM786490 CTM851949:CTM852026 CTM917485:CTM917562 CTM983021:CTM983098 DDI2:DDI58 DDI65517:DDI65594 DDI131053:DDI131130 DDI196589:DDI196666 DDI262125:DDI262202 DDI327661:DDI327738 DDI393197:DDI393274 DDI458733:DDI458810 DDI524269:DDI524346 DDI589805:DDI589882 DDI655341:DDI655418 DDI720877:DDI720954 DDI786413:DDI786490 DDI851949:DDI852026 DDI917485:DDI917562 DDI983021:DDI983098 DNE2:DNE58 DNE65517:DNE65594 DNE131053:DNE131130 DNE196589:DNE196666 DNE262125:DNE262202 DNE327661:DNE327738 DNE393197:DNE393274 DNE458733:DNE458810 DNE524269:DNE524346 DNE589805:DNE589882 DNE655341:DNE655418 DNE720877:DNE720954 DNE786413:DNE786490 DNE851949:DNE852026 DNE917485:DNE917562 DNE983021:DNE983098 DXA2:DXA58 DXA65517:DXA65594 DXA131053:DXA131130 DXA196589:DXA196666 DXA262125:DXA262202 DXA327661:DXA327738 DXA393197:DXA393274 DXA458733:DXA458810 DXA524269:DXA524346 DXA589805:DXA589882 DXA655341:DXA655418 DXA720877:DXA720954 DXA786413:DXA786490 DXA851949:DXA852026 DXA917485:DXA917562 DXA983021:DXA983098 EGW2:EGW58 EGW65517:EGW65594 EGW131053:EGW131130 EGW196589:EGW196666 EGW262125:EGW262202 EGW327661:EGW327738 EGW393197:EGW393274 EGW458733:EGW458810 EGW524269:EGW524346 EGW589805:EGW589882 EGW655341:EGW655418 EGW720877:EGW720954 EGW786413:EGW786490 EGW851949:EGW852026 EGW917485:EGW917562 EGW983021:EGW983098 EQS2:EQS58 EQS65517:EQS65594 EQS131053:EQS131130 EQS196589:EQS196666 EQS262125:EQS262202 EQS327661:EQS327738 EQS393197:EQS393274 EQS458733:EQS458810 EQS524269:EQS524346 EQS589805:EQS589882 EQS655341:EQS655418 EQS720877:EQS720954 EQS786413:EQS786490 EQS851949:EQS852026 EQS917485:EQS917562 EQS983021:EQS983098 FAO2:FAO58 FAO65517:FAO65594 FAO131053:FAO131130 FAO196589:FAO196666 FAO262125:FAO262202 FAO327661:FAO327738 FAO393197:FAO393274 FAO458733:FAO458810 FAO524269:FAO524346 FAO589805:FAO589882 FAO655341:FAO655418 FAO720877:FAO720954 FAO786413:FAO786490 FAO851949:FAO852026 FAO917485:FAO917562 FAO983021:FAO983098 FKK2:FKK58 FKK65517:FKK65594 FKK131053:FKK131130 FKK196589:FKK196666 FKK262125:FKK262202 FKK327661:FKK327738 FKK393197:FKK393274 FKK458733:FKK458810 FKK524269:FKK524346 FKK589805:FKK589882 FKK655341:FKK655418 FKK720877:FKK720954 FKK786413:FKK786490 FKK851949:FKK852026 FKK917485:FKK917562 FKK983021:FKK983098 FUG2:FUG58 FUG65517:FUG65594 FUG131053:FUG131130 FUG196589:FUG196666 FUG262125:FUG262202 FUG327661:FUG327738 FUG393197:FUG393274 FUG458733:FUG458810 FUG524269:FUG524346 FUG589805:FUG589882 FUG655341:FUG655418 FUG720877:FUG720954 FUG786413:FUG786490 FUG851949:FUG852026 FUG917485:FUG917562 FUG983021:FUG983098 GEC2:GEC58 GEC65517:GEC65594 GEC131053:GEC131130 GEC196589:GEC196666 GEC262125:GEC262202 GEC327661:GEC327738 GEC393197:GEC393274 GEC458733:GEC458810 GEC524269:GEC524346 GEC589805:GEC589882 GEC655341:GEC655418 GEC720877:GEC720954 GEC786413:GEC786490 GEC851949:GEC852026 GEC917485:GEC917562 GEC983021:GEC983098 GNY2:GNY58 GNY65517:GNY65594 GNY131053:GNY131130 GNY196589:GNY196666 GNY262125:GNY262202 GNY327661:GNY327738 GNY393197:GNY393274 GNY458733:GNY458810 GNY524269:GNY524346 GNY589805:GNY589882 GNY655341:GNY655418 GNY720877:GNY720954 GNY786413:GNY786490 GNY851949:GNY852026 GNY917485:GNY917562 GNY983021:GNY983098 GXU2:GXU58 GXU65517:GXU65594 GXU131053:GXU131130 GXU196589:GXU196666 GXU262125:GXU262202 GXU327661:GXU327738 GXU393197:GXU393274 GXU458733:GXU458810 GXU524269:GXU524346 GXU589805:GXU589882 GXU655341:GXU655418 GXU720877:GXU720954 GXU786413:GXU786490 GXU851949:GXU852026 GXU917485:GXU917562 GXU983021:GXU983098 HHQ2:HHQ58 HHQ65517:HHQ65594 HHQ131053:HHQ131130 HHQ196589:HHQ196666 HHQ262125:HHQ262202 HHQ327661:HHQ327738 HHQ393197:HHQ393274 HHQ458733:HHQ458810 HHQ524269:HHQ524346 HHQ589805:HHQ589882 HHQ655341:HHQ655418 HHQ720877:HHQ720954 HHQ786413:HHQ786490 HHQ851949:HHQ852026 HHQ917485:HHQ917562 HHQ983021:HHQ983098 HRM2:HRM58 HRM65517:HRM65594 HRM131053:HRM131130 HRM196589:HRM196666 HRM262125:HRM262202 HRM327661:HRM327738 HRM393197:HRM393274 HRM458733:HRM458810 HRM524269:HRM524346 HRM589805:HRM589882 HRM655341:HRM655418 HRM720877:HRM720954 HRM786413:HRM786490 HRM851949:HRM852026 HRM917485:HRM917562 HRM983021:HRM983098 IBI2:IBI58 IBI65517:IBI65594 IBI131053:IBI131130 IBI196589:IBI196666 IBI262125:IBI262202 IBI327661:IBI327738 IBI393197:IBI393274 IBI458733:IBI458810 IBI524269:IBI524346 IBI589805:IBI589882 IBI655341:IBI655418 IBI720877:IBI720954 IBI786413:IBI786490 IBI851949:IBI852026 IBI917485:IBI917562 IBI983021:IBI983098 ILE2:ILE58 ILE65517:ILE65594 ILE131053:ILE131130 ILE196589:ILE196666 ILE262125:ILE262202 ILE327661:ILE327738 ILE393197:ILE393274 ILE458733:ILE458810 ILE524269:ILE524346 ILE589805:ILE589882 ILE655341:ILE655418 ILE720877:ILE720954 ILE786413:ILE786490 ILE851949:ILE852026 ILE917485:ILE917562 ILE983021:ILE983098 IVA2:IVA58 IVA65517:IVA65594 IVA131053:IVA131130 IVA196589:IVA196666 IVA262125:IVA262202 IVA327661:IVA327738 IVA393197:IVA393274 IVA458733:IVA458810 IVA524269:IVA524346 IVA589805:IVA589882 IVA655341:IVA655418 IVA720877:IVA720954 IVA786413:IVA786490 IVA851949:IVA852026 IVA917485:IVA917562 IVA983021:IVA983098 JEW2:JEW58 JEW65517:JEW65594 JEW131053:JEW131130 JEW196589:JEW196666 JEW262125:JEW262202 JEW327661:JEW327738 JEW393197:JEW393274 JEW458733:JEW458810 JEW524269:JEW524346 JEW589805:JEW589882 JEW655341:JEW655418 JEW720877:JEW720954 JEW786413:JEW786490 JEW851949:JEW852026 JEW917485:JEW917562 JEW983021:JEW983098 JOS2:JOS58 JOS65517:JOS65594 JOS131053:JOS131130 JOS196589:JOS196666 JOS262125:JOS262202 JOS327661:JOS327738 JOS393197:JOS393274 JOS458733:JOS458810 JOS524269:JOS524346 JOS589805:JOS589882 JOS655341:JOS655418 JOS720877:JOS720954 JOS786413:JOS786490 JOS851949:JOS852026 JOS917485:JOS917562 JOS983021:JOS983098 JYO2:JYO58 JYO65517:JYO65594 JYO131053:JYO131130 JYO196589:JYO196666 JYO262125:JYO262202 JYO327661:JYO327738 JYO393197:JYO393274 JYO458733:JYO458810 JYO524269:JYO524346 JYO589805:JYO589882 JYO655341:JYO655418 JYO720877:JYO720954 JYO786413:JYO786490 JYO851949:JYO852026 JYO917485:JYO917562 JYO983021:JYO983098 KIK2:KIK58 KIK65517:KIK65594 KIK131053:KIK131130 KIK196589:KIK196666 KIK262125:KIK262202 KIK327661:KIK327738 KIK393197:KIK393274 KIK458733:KIK458810 KIK524269:KIK524346 KIK589805:KIK589882 KIK655341:KIK655418 KIK720877:KIK720954 KIK786413:KIK786490 KIK851949:KIK852026 KIK917485:KIK917562 KIK983021:KIK983098 KSG2:KSG58 KSG65517:KSG65594 KSG131053:KSG131130 KSG196589:KSG196666 KSG262125:KSG262202 KSG327661:KSG327738 KSG393197:KSG393274 KSG458733:KSG458810 KSG524269:KSG524346 KSG589805:KSG589882 KSG655341:KSG655418 KSG720877:KSG720954 KSG786413:KSG786490 KSG851949:KSG852026 KSG917485:KSG917562 KSG983021:KSG983098 LCC2:LCC58 LCC65517:LCC65594 LCC131053:LCC131130 LCC196589:LCC196666 LCC262125:LCC262202 LCC327661:LCC327738 LCC393197:LCC393274 LCC458733:LCC458810 LCC524269:LCC524346 LCC589805:LCC589882 LCC655341:LCC655418 LCC720877:LCC720954 LCC786413:LCC786490 LCC851949:LCC852026 LCC917485:LCC917562 LCC983021:LCC983098 LLY2:LLY58 LLY65517:LLY65594 LLY131053:LLY131130 LLY196589:LLY196666 LLY262125:LLY262202 LLY327661:LLY327738 LLY393197:LLY393274 LLY458733:LLY458810 LLY524269:LLY524346 LLY589805:LLY589882 LLY655341:LLY655418 LLY720877:LLY720954 LLY786413:LLY786490 LLY851949:LLY852026 LLY917485:LLY917562 LLY983021:LLY983098 LVU2:LVU58 LVU65517:LVU65594 LVU131053:LVU131130 LVU196589:LVU196666 LVU262125:LVU262202 LVU327661:LVU327738 LVU393197:LVU393274 LVU458733:LVU458810 LVU524269:LVU524346 LVU589805:LVU589882 LVU655341:LVU655418 LVU720877:LVU720954 LVU786413:LVU786490 LVU851949:LVU852026 LVU917485:LVU917562 LVU983021:LVU983098 MFQ2:MFQ58 MFQ65517:MFQ65594 MFQ131053:MFQ131130 MFQ196589:MFQ196666 MFQ262125:MFQ262202 MFQ327661:MFQ327738 MFQ393197:MFQ393274 MFQ458733:MFQ458810 MFQ524269:MFQ524346 MFQ589805:MFQ589882 MFQ655341:MFQ655418 MFQ720877:MFQ720954 MFQ786413:MFQ786490 MFQ851949:MFQ852026 MFQ917485:MFQ917562 MFQ983021:MFQ983098 MPM2:MPM58 MPM65517:MPM65594 MPM131053:MPM131130 MPM196589:MPM196666 MPM262125:MPM262202 MPM327661:MPM327738 MPM393197:MPM393274 MPM458733:MPM458810 MPM524269:MPM524346 MPM589805:MPM589882 MPM655341:MPM655418 MPM720877:MPM720954 MPM786413:MPM786490 MPM851949:MPM852026 MPM917485:MPM917562 MPM983021:MPM983098 MZI2:MZI58 MZI65517:MZI65594 MZI131053:MZI131130 MZI196589:MZI196666 MZI262125:MZI262202 MZI327661:MZI327738 MZI393197:MZI393274 MZI458733:MZI458810 MZI524269:MZI524346 MZI589805:MZI589882 MZI655341:MZI655418 MZI720877:MZI720954 MZI786413:MZI786490 MZI851949:MZI852026 MZI917485:MZI917562 MZI983021:MZI983098 NJE2:NJE58 NJE65517:NJE65594 NJE131053:NJE131130 NJE196589:NJE196666 NJE262125:NJE262202 NJE327661:NJE327738 NJE393197:NJE393274 NJE458733:NJE458810 NJE524269:NJE524346 NJE589805:NJE589882 NJE655341:NJE655418 NJE720877:NJE720954 NJE786413:NJE786490 NJE851949:NJE852026 NJE917485:NJE917562 NJE983021:NJE983098 NTA2:NTA58 NTA65517:NTA65594 NTA131053:NTA131130 NTA196589:NTA196666 NTA262125:NTA262202 NTA327661:NTA327738 NTA393197:NTA393274 NTA458733:NTA458810 NTA524269:NTA524346 NTA589805:NTA589882 NTA655341:NTA655418 NTA720877:NTA720954 NTA786413:NTA786490 NTA851949:NTA852026 NTA917485:NTA917562 NTA983021:NTA983098 OCW2:OCW58 OCW65517:OCW65594 OCW131053:OCW131130 OCW196589:OCW196666 OCW262125:OCW262202 OCW327661:OCW327738 OCW393197:OCW393274 OCW458733:OCW458810 OCW524269:OCW524346 OCW589805:OCW589882 OCW655341:OCW655418 OCW720877:OCW720954 OCW786413:OCW786490 OCW851949:OCW852026 OCW917485:OCW917562 OCW983021:OCW983098 OMS2:OMS58 OMS65517:OMS65594 OMS131053:OMS131130 OMS196589:OMS196666 OMS262125:OMS262202 OMS327661:OMS327738 OMS393197:OMS393274 OMS458733:OMS458810 OMS524269:OMS524346 OMS589805:OMS589882 OMS655341:OMS655418 OMS720877:OMS720954 OMS786413:OMS786490 OMS851949:OMS852026 OMS917485:OMS917562 OMS983021:OMS983098 OWO2:OWO58 OWO65517:OWO65594 OWO131053:OWO131130 OWO196589:OWO196666 OWO262125:OWO262202 OWO327661:OWO327738 OWO393197:OWO393274 OWO458733:OWO458810 OWO524269:OWO524346 OWO589805:OWO589882 OWO655341:OWO655418 OWO720877:OWO720954 OWO786413:OWO786490 OWO851949:OWO852026 OWO917485:OWO917562 OWO983021:OWO983098 PGK2:PGK58 PGK65517:PGK65594 PGK131053:PGK131130 PGK196589:PGK196666 PGK262125:PGK262202 PGK327661:PGK327738 PGK393197:PGK393274 PGK458733:PGK458810 PGK524269:PGK524346 PGK589805:PGK589882 PGK655341:PGK655418 PGK720877:PGK720954 PGK786413:PGK786490 PGK851949:PGK852026 PGK917485:PGK917562 PGK983021:PGK983098 PQG2:PQG58 PQG65517:PQG65594 PQG131053:PQG131130 PQG196589:PQG196666 PQG262125:PQG262202 PQG327661:PQG327738 PQG393197:PQG393274 PQG458733:PQG458810 PQG524269:PQG524346 PQG589805:PQG589882 PQG655341:PQG655418 PQG720877:PQG720954 PQG786413:PQG786490 PQG851949:PQG852026 PQG917485:PQG917562 PQG983021:PQG983098 QAC2:QAC58 QAC65517:QAC65594 QAC131053:QAC131130 QAC196589:QAC196666 QAC262125:QAC262202 QAC327661:QAC327738 QAC393197:QAC393274 QAC458733:QAC458810 QAC524269:QAC524346 QAC589805:QAC589882 QAC655341:QAC655418 QAC720877:QAC720954 QAC786413:QAC786490 QAC851949:QAC852026 QAC917485:QAC917562 QAC983021:QAC983098 QJY2:QJY58 QJY65517:QJY65594 QJY131053:QJY131130 QJY196589:QJY196666 QJY262125:QJY262202 QJY327661:QJY327738 QJY393197:QJY393274 QJY458733:QJY458810 QJY524269:QJY524346 QJY589805:QJY589882 QJY655341:QJY655418 QJY720877:QJY720954 QJY786413:QJY786490 QJY851949:QJY852026 QJY917485:QJY917562 QJY983021:QJY983098 QTU2:QTU58 QTU65517:QTU65594 QTU131053:QTU131130 QTU196589:QTU196666 QTU262125:QTU262202 QTU327661:QTU327738 QTU393197:QTU393274 QTU458733:QTU458810 QTU524269:QTU524346 QTU589805:QTU589882 QTU655341:QTU655418 QTU720877:QTU720954 QTU786413:QTU786490 QTU851949:QTU852026 QTU917485:QTU917562 QTU983021:QTU983098 RDQ2:RDQ58 RDQ65517:RDQ65594 RDQ131053:RDQ131130 RDQ196589:RDQ196666 RDQ262125:RDQ262202 RDQ327661:RDQ327738 RDQ393197:RDQ393274 RDQ458733:RDQ458810 RDQ524269:RDQ524346 RDQ589805:RDQ589882 RDQ655341:RDQ655418 RDQ720877:RDQ720954 RDQ786413:RDQ786490 RDQ851949:RDQ852026 RDQ917485:RDQ917562 RDQ983021:RDQ983098 RNM2:RNM58 RNM65517:RNM65594 RNM131053:RNM131130 RNM196589:RNM196666 RNM262125:RNM262202 RNM327661:RNM327738 RNM393197:RNM393274 RNM458733:RNM458810 RNM524269:RNM524346 RNM589805:RNM589882 RNM655341:RNM655418 RNM720877:RNM720954 RNM786413:RNM786490 RNM851949:RNM852026 RNM917485:RNM917562 RNM983021:RNM983098 RXI2:RXI58 RXI65517:RXI65594 RXI131053:RXI131130 RXI196589:RXI196666 RXI262125:RXI262202 RXI327661:RXI327738 RXI393197:RXI393274 RXI458733:RXI458810 RXI524269:RXI524346 RXI589805:RXI589882 RXI655341:RXI655418 RXI720877:RXI720954 RXI786413:RXI786490 RXI851949:RXI852026 RXI917485:RXI917562 RXI983021:RXI983098 SHE2:SHE58 SHE65517:SHE65594 SHE131053:SHE131130 SHE196589:SHE196666 SHE262125:SHE262202 SHE327661:SHE327738 SHE393197:SHE393274 SHE458733:SHE458810 SHE524269:SHE524346 SHE589805:SHE589882 SHE655341:SHE655418 SHE720877:SHE720954 SHE786413:SHE786490 SHE851949:SHE852026 SHE917485:SHE917562 SHE983021:SHE983098 SRA2:SRA58 SRA65517:SRA65594 SRA131053:SRA131130 SRA196589:SRA196666 SRA262125:SRA262202 SRA327661:SRA327738 SRA393197:SRA393274 SRA458733:SRA458810 SRA524269:SRA524346 SRA589805:SRA589882 SRA655341:SRA655418 SRA720877:SRA720954 SRA786413:SRA786490 SRA851949:SRA852026 SRA917485:SRA917562 SRA983021:SRA983098 TAW2:TAW58 TAW65517:TAW65594 TAW131053:TAW131130 TAW196589:TAW196666 TAW262125:TAW262202 TAW327661:TAW327738 TAW393197:TAW393274 TAW458733:TAW458810 TAW524269:TAW524346 TAW589805:TAW589882 TAW655341:TAW655418 TAW720877:TAW720954 TAW786413:TAW786490 TAW851949:TAW852026 TAW917485:TAW917562 TAW983021:TAW983098 TKS2:TKS58 TKS65517:TKS65594 TKS131053:TKS131130 TKS196589:TKS196666 TKS262125:TKS262202 TKS327661:TKS327738 TKS393197:TKS393274 TKS458733:TKS458810 TKS524269:TKS524346 TKS589805:TKS589882 TKS655341:TKS655418 TKS720877:TKS720954 TKS786413:TKS786490 TKS851949:TKS852026 TKS917485:TKS917562 TKS983021:TKS983098 TUO2:TUO58 TUO65517:TUO65594 TUO131053:TUO131130 TUO196589:TUO196666 TUO262125:TUO262202 TUO327661:TUO327738 TUO393197:TUO393274 TUO458733:TUO458810 TUO524269:TUO524346 TUO589805:TUO589882 TUO655341:TUO655418 TUO720877:TUO720954 TUO786413:TUO786490 TUO851949:TUO852026 TUO917485:TUO917562 TUO983021:TUO983098 UEK2:UEK58 UEK65517:UEK65594 UEK131053:UEK131130 UEK196589:UEK196666 UEK262125:UEK262202 UEK327661:UEK327738 UEK393197:UEK393274 UEK458733:UEK458810 UEK524269:UEK524346 UEK589805:UEK589882 UEK655341:UEK655418 UEK720877:UEK720954 UEK786413:UEK786490 UEK851949:UEK852026 UEK917485:UEK917562 UEK983021:UEK983098 UOG2:UOG58 UOG65517:UOG65594 UOG131053:UOG131130 UOG196589:UOG196666 UOG262125:UOG262202 UOG327661:UOG327738 UOG393197:UOG393274 UOG458733:UOG458810 UOG524269:UOG524346 UOG589805:UOG589882 UOG655341:UOG655418 UOG720877:UOG720954 UOG786413:UOG786490 UOG851949:UOG852026 UOG917485:UOG917562 UOG983021:UOG983098 UYC2:UYC58 UYC65517:UYC65594 UYC131053:UYC131130 UYC196589:UYC196666 UYC262125:UYC262202 UYC327661:UYC327738 UYC393197:UYC393274 UYC458733:UYC458810 UYC524269:UYC524346 UYC589805:UYC589882 UYC655341:UYC655418 UYC720877:UYC720954 UYC786413:UYC786490 UYC851949:UYC852026 UYC917485:UYC917562 UYC983021:UYC983098 VHY2:VHY58 VHY65517:VHY65594 VHY131053:VHY131130 VHY196589:VHY196666 VHY262125:VHY262202 VHY327661:VHY327738 VHY393197:VHY393274 VHY458733:VHY458810 VHY524269:VHY524346 VHY589805:VHY589882 VHY655341:VHY655418 VHY720877:VHY720954 VHY786413:VHY786490 VHY851949:VHY852026 VHY917485:VHY917562 VHY983021:VHY983098 VRU2:VRU58 VRU65517:VRU65594 VRU131053:VRU131130 VRU196589:VRU196666 VRU262125:VRU262202 VRU327661:VRU327738 VRU393197:VRU393274 VRU458733:VRU458810 VRU524269:VRU524346 VRU589805:VRU589882 VRU655341:VRU655418 VRU720877:VRU720954 VRU786413:VRU786490 VRU851949:VRU852026 VRU917485:VRU917562 VRU983021:VRU983098 WBQ2:WBQ58 WBQ65517:WBQ65594 WBQ131053:WBQ131130 WBQ196589:WBQ196666 WBQ262125:WBQ262202 WBQ327661:WBQ327738 WBQ393197:WBQ393274 WBQ458733:WBQ458810 WBQ524269:WBQ524346 WBQ589805:WBQ589882 WBQ655341:WBQ655418 WBQ720877:WBQ720954 WBQ786413:WBQ786490 WBQ851949:WBQ852026 WBQ917485:WBQ917562 WBQ983021:WBQ983098 WLM2:WLM58 WLM65517:WLM65594 WLM131053:WLM131130 WLM196589:WLM196666 WLM262125:WLM262202 WLM327661:WLM327738 WLM393197:WLM393274 WLM458733:WLM458810 WLM524269:WLM524346 WLM589805:WLM589882 WLM655341:WLM655418 WLM720877:WLM720954 WLM786413:WLM786490 WLM851949:WLM852026 WLM917485:WLM917562 WLM983021:WLM983098 WVI2:WVI58 WVI65517:WVI65594 WVI131053:WVI131130 WVI196589:WVI196666 WVI262125:WVI262202 WVI327661:WVI327738 WVI393197:WVI393274 WVI458733:WVI458810 WVI524269:WVI524346 WVI589805:WVI589882 WVI655341:WVI655418 WVI720877:WVI720954 WVI786413:WVI786490 WVI851949:WVI852026 WVI917485:WVI917562 WVI983021:WVI983098">
      <formula1>$AE$2:$AE$19</formula1>
    </dataValidation>
    <dataValidation type="list" allowBlank="1" showInputMessage="1" showErrorMessage="1" sqref="G2:G479 G65517:G65594 G131053:G131130 G196589:G196666 G262125:G262202 G327661:G327738 G393197:G393274 G458733:G458810 G524269:G524346 G589805:G589882 G655341:G655418 G720877:G720954 G786413:G786490 G851949:G852026 G917485:G917562 G983021:G983098 JC2:JC58 JC65517:JC65594 JC131053:JC131130 JC196589:JC196666 JC262125:JC262202 JC327661:JC327738 JC393197:JC393274 JC458733:JC458810 JC524269:JC524346 JC589805:JC589882 JC655341:JC655418 JC720877:JC720954 JC786413:JC786490 JC851949:JC852026 JC917485:JC917562 JC983021:JC983098 SY2:SY58 SY65517:SY65594 SY131053:SY131130 SY196589:SY196666 SY262125:SY262202 SY327661:SY327738 SY393197:SY393274 SY458733:SY458810 SY524269:SY524346 SY589805:SY589882 SY655341:SY655418 SY720877:SY720954 SY786413:SY786490 SY851949:SY852026 SY917485:SY917562 SY983021:SY983098 ACU2:ACU58 ACU65517:ACU65594 ACU131053:ACU131130 ACU196589:ACU196666 ACU262125:ACU262202 ACU327661:ACU327738 ACU393197:ACU393274 ACU458733:ACU458810 ACU524269:ACU524346 ACU589805:ACU589882 ACU655341:ACU655418 ACU720877:ACU720954 ACU786413:ACU786490 ACU851949:ACU852026 ACU917485:ACU917562 ACU983021:ACU983098 AMQ2:AMQ58 AMQ65517:AMQ65594 AMQ131053:AMQ131130 AMQ196589:AMQ196666 AMQ262125:AMQ262202 AMQ327661:AMQ327738 AMQ393197:AMQ393274 AMQ458733:AMQ458810 AMQ524269:AMQ524346 AMQ589805:AMQ589882 AMQ655341:AMQ655418 AMQ720877:AMQ720954 AMQ786413:AMQ786490 AMQ851949:AMQ852026 AMQ917485:AMQ917562 AMQ983021:AMQ983098 AWM2:AWM58 AWM65517:AWM65594 AWM131053:AWM131130 AWM196589:AWM196666 AWM262125:AWM262202 AWM327661:AWM327738 AWM393197:AWM393274 AWM458733:AWM458810 AWM524269:AWM524346 AWM589805:AWM589882 AWM655341:AWM655418 AWM720877:AWM720954 AWM786413:AWM786490 AWM851949:AWM852026 AWM917485:AWM917562 AWM983021:AWM983098 BGI2:BGI58 BGI65517:BGI65594 BGI131053:BGI131130 BGI196589:BGI196666 BGI262125:BGI262202 BGI327661:BGI327738 BGI393197:BGI393274 BGI458733:BGI458810 BGI524269:BGI524346 BGI589805:BGI589882 BGI655341:BGI655418 BGI720877:BGI720954 BGI786413:BGI786490 BGI851949:BGI852026 BGI917485:BGI917562 BGI983021:BGI983098 BQE2:BQE58 BQE65517:BQE65594 BQE131053:BQE131130 BQE196589:BQE196666 BQE262125:BQE262202 BQE327661:BQE327738 BQE393197:BQE393274 BQE458733:BQE458810 BQE524269:BQE524346 BQE589805:BQE589882 BQE655341:BQE655418 BQE720877:BQE720954 BQE786413:BQE786490 BQE851949:BQE852026 BQE917485:BQE917562 BQE983021:BQE983098 CAA2:CAA58 CAA65517:CAA65594 CAA131053:CAA131130 CAA196589:CAA196666 CAA262125:CAA262202 CAA327661:CAA327738 CAA393197:CAA393274 CAA458733:CAA458810 CAA524269:CAA524346 CAA589805:CAA589882 CAA655341:CAA655418 CAA720877:CAA720954 CAA786413:CAA786490 CAA851949:CAA852026 CAA917485:CAA917562 CAA983021:CAA983098 CJW2:CJW58 CJW65517:CJW65594 CJW131053:CJW131130 CJW196589:CJW196666 CJW262125:CJW262202 CJW327661:CJW327738 CJW393197:CJW393274 CJW458733:CJW458810 CJW524269:CJW524346 CJW589805:CJW589882 CJW655341:CJW655418 CJW720877:CJW720954 CJW786413:CJW786490 CJW851949:CJW852026 CJW917485:CJW917562 CJW983021:CJW983098 CTS2:CTS58 CTS65517:CTS65594 CTS131053:CTS131130 CTS196589:CTS196666 CTS262125:CTS262202 CTS327661:CTS327738 CTS393197:CTS393274 CTS458733:CTS458810 CTS524269:CTS524346 CTS589805:CTS589882 CTS655341:CTS655418 CTS720877:CTS720954 CTS786413:CTS786490 CTS851949:CTS852026 CTS917485:CTS917562 CTS983021:CTS983098 DDO2:DDO58 DDO65517:DDO65594 DDO131053:DDO131130 DDO196589:DDO196666 DDO262125:DDO262202 DDO327661:DDO327738 DDO393197:DDO393274 DDO458733:DDO458810 DDO524269:DDO524346 DDO589805:DDO589882 DDO655341:DDO655418 DDO720877:DDO720954 DDO786413:DDO786490 DDO851949:DDO852026 DDO917485:DDO917562 DDO983021:DDO983098 DNK2:DNK58 DNK65517:DNK65594 DNK131053:DNK131130 DNK196589:DNK196666 DNK262125:DNK262202 DNK327661:DNK327738 DNK393197:DNK393274 DNK458733:DNK458810 DNK524269:DNK524346 DNK589805:DNK589882 DNK655341:DNK655418 DNK720877:DNK720954 DNK786413:DNK786490 DNK851949:DNK852026 DNK917485:DNK917562 DNK983021:DNK983098 DXG2:DXG58 DXG65517:DXG65594 DXG131053:DXG131130 DXG196589:DXG196666 DXG262125:DXG262202 DXG327661:DXG327738 DXG393197:DXG393274 DXG458733:DXG458810 DXG524269:DXG524346 DXG589805:DXG589882 DXG655341:DXG655418 DXG720877:DXG720954 DXG786413:DXG786490 DXG851949:DXG852026 DXG917485:DXG917562 DXG983021:DXG983098 EHC2:EHC58 EHC65517:EHC65594 EHC131053:EHC131130 EHC196589:EHC196666 EHC262125:EHC262202 EHC327661:EHC327738 EHC393197:EHC393274 EHC458733:EHC458810 EHC524269:EHC524346 EHC589805:EHC589882 EHC655341:EHC655418 EHC720877:EHC720954 EHC786413:EHC786490 EHC851949:EHC852026 EHC917485:EHC917562 EHC983021:EHC983098 EQY2:EQY58 EQY65517:EQY65594 EQY131053:EQY131130 EQY196589:EQY196666 EQY262125:EQY262202 EQY327661:EQY327738 EQY393197:EQY393274 EQY458733:EQY458810 EQY524269:EQY524346 EQY589805:EQY589882 EQY655341:EQY655418 EQY720877:EQY720954 EQY786413:EQY786490 EQY851949:EQY852026 EQY917485:EQY917562 EQY983021:EQY983098 FAU2:FAU58 FAU65517:FAU65594 FAU131053:FAU131130 FAU196589:FAU196666 FAU262125:FAU262202 FAU327661:FAU327738 FAU393197:FAU393274 FAU458733:FAU458810 FAU524269:FAU524346 FAU589805:FAU589882 FAU655341:FAU655418 FAU720877:FAU720954 FAU786413:FAU786490 FAU851949:FAU852026 FAU917485:FAU917562 FAU983021:FAU983098 FKQ2:FKQ58 FKQ65517:FKQ65594 FKQ131053:FKQ131130 FKQ196589:FKQ196666 FKQ262125:FKQ262202 FKQ327661:FKQ327738 FKQ393197:FKQ393274 FKQ458733:FKQ458810 FKQ524269:FKQ524346 FKQ589805:FKQ589882 FKQ655341:FKQ655418 FKQ720877:FKQ720954 FKQ786413:FKQ786490 FKQ851949:FKQ852026 FKQ917485:FKQ917562 FKQ983021:FKQ983098 FUM2:FUM58 FUM65517:FUM65594 FUM131053:FUM131130 FUM196589:FUM196666 FUM262125:FUM262202 FUM327661:FUM327738 FUM393197:FUM393274 FUM458733:FUM458810 FUM524269:FUM524346 FUM589805:FUM589882 FUM655341:FUM655418 FUM720877:FUM720954 FUM786413:FUM786490 FUM851949:FUM852026 FUM917485:FUM917562 FUM983021:FUM983098 GEI2:GEI58 GEI65517:GEI65594 GEI131053:GEI131130 GEI196589:GEI196666 GEI262125:GEI262202 GEI327661:GEI327738 GEI393197:GEI393274 GEI458733:GEI458810 GEI524269:GEI524346 GEI589805:GEI589882 GEI655341:GEI655418 GEI720877:GEI720954 GEI786413:GEI786490 GEI851949:GEI852026 GEI917485:GEI917562 GEI983021:GEI983098 GOE2:GOE58 GOE65517:GOE65594 GOE131053:GOE131130 GOE196589:GOE196666 GOE262125:GOE262202 GOE327661:GOE327738 GOE393197:GOE393274 GOE458733:GOE458810 GOE524269:GOE524346 GOE589805:GOE589882 GOE655341:GOE655418 GOE720877:GOE720954 GOE786413:GOE786490 GOE851949:GOE852026 GOE917485:GOE917562 GOE983021:GOE983098 GYA2:GYA58 GYA65517:GYA65594 GYA131053:GYA131130 GYA196589:GYA196666 GYA262125:GYA262202 GYA327661:GYA327738 GYA393197:GYA393274 GYA458733:GYA458810 GYA524269:GYA524346 GYA589805:GYA589882 GYA655341:GYA655418 GYA720877:GYA720954 GYA786413:GYA786490 GYA851949:GYA852026 GYA917485:GYA917562 GYA983021:GYA983098 HHW2:HHW58 HHW65517:HHW65594 HHW131053:HHW131130 HHW196589:HHW196666 HHW262125:HHW262202 HHW327661:HHW327738 HHW393197:HHW393274 HHW458733:HHW458810 HHW524269:HHW524346 HHW589805:HHW589882 HHW655341:HHW655418 HHW720877:HHW720954 HHW786413:HHW786490 HHW851949:HHW852026 HHW917485:HHW917562 HHW983021:HHW983098 HRS2:HRS58 HRS65517:HRS65594 HRS131053:HRS131130 HRS196589:HRS196666 HRS262125:HRS262202 HRS327661:HRS327738 HRS393197:HRS393274 HRS458733:HRS458810 HRS524269:HRS524346 HRS589805:HRS589882 HRS655341:HRS655418 HRS720877:HRS720954 HRS786413:HRS786490 HRS851949:HRS852026 HRS917485:HRS917562 HRS983021:HRS983098 IBO2:IBO58 IBO65517:IBO65594 IBO131053:IBO131130 IBO196589:IBO196666 IBO262125:IBO262202 IBO327661:IBO327738 IBO393197:IBO393274 IBO458733:IBO458810 IBO524269:IBO524346 IBO589805:IBO589882 IBO655341:IBO655418 IBO720877:IBO720954 IBO786413:IBO786490 IBO851949:IBO852026 IBO917485:IBO917562 IBO983021:IBO983098 ILK2:ILK58 ILK65517:ILK65594 ILK131053:ILK131130 ILK196589:ILK196666 ILK262125:ILK262202 ILK327661:ILK327738 ILK393197:ILK393274 ILK458733:ILK458810 ILK524269:ILK524346 ILK589805:ILK589882 ILK655341:ILK655418 ILK720877:ILK720954 ILK786413:ILK786490 ILK851949:ILK852026 ILK917485:ILK917562 ILK983021:ILK983098 IVG2:IVG58 IVG65517:IVG65594 IVG131053:IVG131130 IVG196589:IVG196666 IVG262125:IVG262202 IVG327661:IVG327738 IVG393197:IVG393274 IVG458733:IVG458810 IVG524269:IVG524346 IVG589805:IVG589882 IVG655341:IVG655418 IVG720877:IVG720954 IVG786413:IVG786490 IVG851949:IVG852026 IVG917485:IVG917562 IVG983021:IVG983098 JFC2:JFC58 JFC65517:JFC65594 JFC131053:JFC131130 JFC196589:JFC196666 JFC262125:JFC262202 JFC327661:JFC327738 JFC393197:JFC393274 JFC458733:JFC458810 JFC524269:JFC524346 JFC589805:JFC589882 JFC655341:JFC655418 JFC720877:JFC720954 JFC786413:JFC786490 JFC851949:JFC852026 JFC917485:JFC917562 JFC983021:JFC983098 JOY2:JOY58 JOY65517:JOY65594 JOY131053:JOY131130 JOY196589:JOY196666 JOY262125:JOY262202 JOY327661:JOY327738 JOY393197:JOY393274 JOY458733:JOY458810 JOY524269:JOY524346 JOY589805:JOY589882 JOY655341:JOY655418 JOY720877:JOY720954 JOY786413:JOY786490 JOY851949:JOY852026 JOY917485:JOY917562 JOY983021:JOY983098 JYU2:JYU58 JYU65517:JYU65594 JYU131053:JYU131130 JYU196589:JYU196666 JYU262125:JYU262202 JYU327661:JYU327738 JYU393197:JYU393274 JYU458733:JYU458810 JYU524269:JYU524346 JYU589805:JYU589882 JYU655341:JYU655418 JYU720877:JYU720954 JYU786413:JYU786490 JYU851949:JYU852026 JYU917485:JYU917562 JYU983021:JYU983098 KIQ2:KIQ58 KIQ65517:KIQ65594 KIQ131053:KIQ131130 KIQ196589:KIQ196666 KIQ262125:KIQ262202 KIQ327661:KIQ327738 KIQ393197:KIQ393274 KIQ458733:KIQ458810 KIQ524269:KIQ524346 KIQ589805:KIQ589882 KIQ655341:KIQ655418 KIQ720877:KIQ720954 KIQ786413:KIQ786490 KIQ851949:KIQ852026 KIQ917485:KIQ917562 KIQ983021:KIQ983098 KSM2:KSM58 KSM65517:KSM65594 KSM131053:KSM131130 KSM196589:KSM196666 KSM262125:KSM262202 KSM327661:KSM327738 KSM393197:KSM393274 KSM458733:KSM458810 KSM524269:KSM524346 KSM589805:KSM589882 KSM655341:KSM655418 KSM720877:KSM720954 KSM786413:KSM786490 KSM851949:KSM852026 KSM917485:KSM917562 KSM983021:KSM983098 LCI2:LCI58 LCI65517:LCI65594 LCI131053:LCI131130 LCI196589:LCI196666 LCI262125:LCI262202 LCI327661:LCI327738 LCI393197:LCI393274 LCI458733:LCI458810 LCI524269:LCI524346 LCI589805:LCI589882 LCI655341:LCI655418 LCI720877:LCI720954 LCI786413:LCI786490 LCI851949:LCI852026 LCI917485:LCI917562 LCI983021:LCI983098 LME2:LME58 LME65517:LME65594 LME131053:LME131130 LME196589:LME196666 LME262125:LME262202 LME327661:LME327738 LME393197:LME393274 LME458733:LME458810 LME524269:LME524346 LME589805:LME589882 LME655341:LME655418 LME720877:LME720954 LME786413:LME786490 LME851949:LME852026 LME917485:LME917562 LME983021:LME983098 LWA2:LWA58 LWA65517:LWA65594 LWA131053:LWA131130 LWA196589:LWA196666 LWA262125:LWA262202 LWA327661:LWA327738 LWA393197:LWA393274 LWA458733:LWA458810 LWA524269:LWA524346 LWA589805:LWA589882 LWA655341:LWA655418 LWA720877:LWA720954 LWA786413:LWA786490 LWA851949:LWA852026 LWA917485:LWA917562 LWA983021:LWA983098 MFW2:MFW58 MFW65517:MFW65594 MFW131053:MFW131130 MFW196589:MFW196666 MFW262125:MFW262202 MFW327661:MFW327738 MFW393197:MFW393274 MFW458733:MFW458810 MFW524269:MFW524346 MFW589805:MFW589882 MFW655341:MFW655418 MFW720877:MFW720954 MFW786413:MFW786490 MFW851949:MFW852026 MFW917485:MFW917562 MFW983021:MFW983098 MPS2:MPS58 MPS65517:MPS65594 MPS131053:MPS131130 MPS196589:MPS196666 MPS262125:MPS262202 MPS327661:MPS327738 MPS393197:MPS393274 MPS458733:MPS458810 MPS524269:MPS524346 MPS589805:MPS589882 MPS655341:MPS655418 MPS720877:MPS720954 MPS786413:MPS786490 MPS851949:MPS852026 MPS917485:MPS917562 MPS983021:MPS983098 MZO2:MZO58 MZO65517:MZO65594 MZO131053:MZO131130 MZO196589:MZO196666 MZO262125:MZO262202 MZO327661:MZO327738 MZO393197:MZO393274 MZO458733:MZO458810 MZO524269:MZO524346 MZO589805:MZO589882 MZO655341:MZO655418 MZO720877:MZO720954 MZO786413:MZO786490 MZO851949:MZO852026 MZO917485:MZO917562 MZO983021:MZO983098 NJK2:NJK58 NJK65517:NJK65594 NJK131053:NJK131130 NJK196589:NJK196666 NJK262125:NJK262202 NJK327661:NJK327738 NJK393197:NJK393274 NJK458733:NJK458810 NJK524269:NJK524346 NJK589805:NJK589882 NJK655341:NJK655418 NJK720877:NJK720954 NJK786413:NJK786490 NJK851949:NJK852026 NJK917485:NJK917562 NJK983021:NJK983098 NTG2:NTG58 NTG65517:NTG65594 NTG131053:NTG131130 NTG196589:NTG196666 NTG262125:NTG262202 NTG327661:NTG327738 NTG393197:NTG393274 NTG458733:NTG458810 NTG524269:NTG524346 NTG589805:NTG589882 NTG655341:NTG655418 NTG720877:NTG720954 NTG786413:NTG786490 NTG851949:NTG852026 NTG917485:NTG917562 NTG983021:NTG983098 ODC2:ODC58 ODC65517:ODC65594 ODC131053:ODC131130 ODC196589:ODC196666 ODC262125:ODC262202 ODC327661:ODC327738 ODC393197:ODC393274 ODC458733:ODC458810 ODC524269:ODC524346 ODC589805:ODC589882 ODC655341:ODC655418 ODC720877:ODC720954 ODC786413:ODC786490 ODC851949:ODC852026 ODC917485:ODC917562 ODC983021:ODC983098 OMY2:OMY58 OMY65517:OMY65594 OMY131053:OMY131130 OMY196589:OMY196666 OMY262125:OMY262202 OMY327661:OMY327738 OMY393197:OMY393274 OMY458733:OMY458810 OMY524269:OMY524346 OMY589805:OMY589882 OMY655341:OMY655418 OMY720877:OMY720954 OMY786413:OMY786490 OMY851949:OMY852026 OMY917485:OMY917562 OMY983021:OMY983098 OWU2:OWU58 OWU65517:OWU65594 OWU131053:OWU131130 OWU196589:OWU196666 OWU262125:OWU262202 OWU327661:OWU327738 OWU393197:OWU393274 OWU458733:OWU458810 OWU524269:OWU524346 OWU589805:OWU589882 OWU655341:OWU655418 OWU720877:OWU720954 OWU786413:OWU786490 OWU851949:OWU852026 OWU917485:OWU917562 OWU983021:OWU983098 PGQ2:PGQ58 PGQ65517:PGQ65594 PGQ131053:PGQ131130 PGQ196589:PGQ196666 PGQ262125:PGQ262202 PGQ327661:PGQ327738 PGQ393197:PGQ393274 PGQ458733:PGQ458810 PGQ524269:PGQ524346 PGQ589805:PGQ589882 PGQ655341:PGQ655418 PGQ720877:PGQ720954 PGQ786413:PGQ786490 PGQ851949:PGQ852026 PGQ917485:PGQ917562 PGQ983021:PGQ983098 PQM2:PQM58 PQM65517:PQM65594 PQM131053:PQM131130 PQM196589:PQM196666 PQM262125:PQM262202 PQM327661:PQM327738 PQM393197:PQM393274 PQM458733:PQM458810 PQM524269:PQM524346 PQM589805:PQM589882 PQM655341:PQM655418 PQM720877:PQM720954 PQM786413:PQM786490 PQM851949:PQM852026 PQM917485:PQM917562 PQM983021:PQM983098 QAI2:QAI58 QAI65517:QAI65594 QAI131053:QAI131130 QAI196589:QAI196666 QAI262125:QAI262202 QAI327661:QAI327738 QAI393197:QAI393274 QAI458733:QAI458810 QAI524269:QAI524346 QAI589805:QAI589882 QAI655341:QAI655418 QAI720877:QAI720954 QAI786413:QAI786490 QAI851949:QAI852026 QAI917485:QAI917562 QAI983021:QAI983098 QKE2:QKE58 QKE65517:QKE65594 QKE131053:QKE131130 QKE196589:QKE196666 QKE262125:QKE262202 QKE327661:QKE327738 QKE393197:QKE393274 QKE458733:QKE458810 QKE524269:QKE524346 QKE589805:QKE589882 QKE655341:QKE655418 QKE720877:QKE720954 QKE786413:QKE786490 QKE851949:QKE852026 QKE917485:QKE917562 QKE983021:QKE983098 QUA2:QUA58 QUA65517:QUA65594 QUA131053:QUA131130 QUA196589:QUA196666 QUA262125:QUA262202 QUA327661:QUA327738 QUA393197:QUA393274 QUA458733:QUA458810 QUA524269:QUA524346 QUA589805:QUA589882 QUA655341:QUA655418 QUA720877:QUA720954 QUA786413:QUA786490 QUA851949:QUA852026 QUA917485:QUA917562 QUA983021:QUA983098 RDW2:RDW58 RDW65517:RDW65594 RDW131053:RDW131130 RDW196589:RDW196666 RDW262125:RDW262202 RDW327661:RDW327738 RDW393197:RDW393274 RDW458733:RDW458810 RDW524269:RDW524346 RDW589805:RDW589882 RDW655341:RDW655418 RDW720877:RDW720954 RDW786413:RDW786490 RDW851949:RDW852026 RDW917485:RDW917562 RDW983021:RDW983098 RNS2:RNS58 RNS65517:RNS65594 RNS131053:RNS131130 RNS196589:RNS196666 RNS262125:RNS262202 RNS327661:RNS327738 RNS393197:RNS393274 RNS458733:RNS458810 RNS524269:RNS524346 RNS589805:RNS589882 RNS655341:RNS655418 RNS720877:RNS720954 RNS786413:RNS786490 RNS851949:RNS852026 RNS917485:RNS917562 RNS983021:RNS983098 RXO2:RXO58 RXO65517:RXO65594 RXO131053:RXO131130 RXO196589:RXO196666 RXO262125:RXO262202 RXO327661:RXO327738 RXO393197:RXO393274 RXO458733:RXO458810 RXO524269:RXO524346 RXO589805:RXO589882 RXO655341:RXO655418 RXO720877:RXO720954 RXO786413:RXO786490 RXO851949:RXO852026 RXO917485:RXO917562 RXO983021:RXO983098 SHK2:SHK58 SHK65517:SHK65594 SHK131053:SHK131130 SHK196589:SHK196666 SHK262125:SHK262202 SHK327661:SHK327738 SHK393197:SHK393274 SHK458733:SHK458810 SHK524269:SHK524346 SHK589805:SHK589882 SHK655341:SHK655418 SHK720877:SHK720954 SHK786413:SHK786490 SHK851949:SHK852026 SHK917485:SHK917562 SHK983021:SHK983098 SRG2:SRG58 SRG65517:SRG65594 SRG131053:SRG131130 SRG196589:SRG196666 SRG262125:SRG262202 SRG327661:SRG327738 SRG393197:SRG393274 SRG458733:SRG458810 SRG524269:SRG524346 SRG589805:SRG589882 SRG655341:SRG655418 SRG720877:SRG720954 SRG786413:SRG786490 SRG851949:SRG852026 SRG917485:SRG917562 SRG983021:SRG983098 TBC2:TBC58 TBC65517:TBC65594 TBC131053:TBC131130 TBC196589:TBC196666 TBC262125:TBC262202 TBC327661:TBC327738 TBC393197:TBC393274 TBC458733:TBC458810 TBC524269:TBC524346 TBC589805:TBC589882 TBC655341:TBC655418 TBC720877:TBC720954 TBC786413:TBC786490 TBC851949:TBC852026 TBC917485:TBC917562 TBC983021:TBC983098 TKY2:TKY58 TKY65517:TKY65594 TKY131053:TKY131130 TKY196589:TKY196666 TKY262125:TKY262202 TKY327661:TKY327738 TKY393197:TKY393274 TKY458733:TKY458810 TKY524269:TKY524346 TKY589805:TKY589882 TKY655341:TKY655418 TKY720877:TKY720954 TKY786413:TKY786490 TKY851949:TKY852026 TKY917485:TKY917562 TKY983021:TKY983098 TUU2:TUU58 TUU65517:TUU65594 TUU131053:TUU131130 TUU196589:TUU196666 TUU262125:TUU262202 TUU327661:TUU327738 TUU393197:TUU393274 TUU458733:TUU458810 TUU524269:TUU524346 TUU589805:TUU589882 TUU655341:TUU655418 TUU720877:TUU720954 TUU786413:TUU786490 TUU851949:TUU852026 TUU917485:TUU917562 TUU983021:TUU983098 UEQ2:UEQ58 UEQ65517:UEQ65594 UEQ131053:UEQ131130 UEQ196589:UEQ196666 UEQ262125:UEQ262202 UEQ327661:UEQ327738 UEQ393197:UEQ393274 UEQ458733:UEQ458810 UEQ524269:UEQ524346 UEQ589805:UEQ589882 UEQ655341:UEQ655418 UEQ720877:UEQ720954 UEQ786413:UEQ786490 UEQ851949:UEQ852026 UEQ917485:UEQ917562 UEQ983021:UEQ983098 UOM2:UOM58 UOM65517:UOM65594 UOM131053:UOM131130 UOM196589:UOM196666 UOM262125:UOM262202 UOM327661:UOM327738 UOM393197:UOM393274 UOM458733:UOM458810 UOM524269:UOM524346 UOM589805:UOM589882 UOM655341:UOM655418 UOM720877:UOM720954 UOM786413:UOM786490 UOM851949:UOM852026 UOM917485:UOM917562 UOM983021:UOM983098 UYI2:UYI58 UYI65517:UYI65594 UYI131053:UYI131130 UYI196589:UYI196666 UYI262125:UYI262202 UYI327661:UYI327738 UYI393197:UYI393274 UYI458733:UYI458810 UYI524269:UYI524346 UYI589805:UYI589882 UYI655341:UYI655418 UYI720877:UYI720954 UYI786413:UYI786490 UYI851949:UYI852026 UYI917485:UYI917562 UYI983021:UYI983098 VIE2:VIE58 VIE65517:VIE65594 VIE131053:VIE131130 VIE196589:VIE196666 VIE262125:VIE262202 VIE327661:VIE327738 VIE393197:VIE393274 VIE458733:VIE458810 VIE524269:VIE524346 VIE589805:VIE589882 VIE655341:VIE655418 VIE720877:VIE720954 VIE786413:VIE786490 VIE851949:VIE852026 VIE917485:VIE917562 VIE983021:VIE983098 VSA2:VSA58 VSA65517:VSA65594 VSA131053:VSA131130 VSA196589:VSA196666 VSA262125:VSA262202 VSA327661:VSA327738 VSA393197:VSA393274 VSA458733:VSA458810 VSA524269:VSA524346 VSA589805:VSA589882 VSA655341:VSA655418 VSA720877:VSA720954 VSA786413:VSA786490 VSA851949:VSA852026 VSA917485:VSA917562 VSA983021:VSA983098 WBW2:WBW58 WBW65517:WBW65594 WBW131053:WBW131130 WBW196589:WBW196666 WBW262125:WBW262202 WBW327661:WBW327738 WBW393197:WBW393274 WBW458733:WBW458810 WBW524269:WBW524346 WBW589805:WBW589882 WBW655341:WBW655418 WBW720877:WBW720954 WBW786413:WBW786490 WBW851949:WBW852026 WBW917485:WBW917562 WBW983021:WBW983098 WLS2:WLS58 WLS65517:WLS65594 WLS131053:WLS131130 WLS196589:WLS196666 WLS262125:WLS262202 WLS327661:WLS327738 WLS393197:WLS393274 WLS458733:WLS458810 WLS524269:WLS524346 WLS589805:WLS589882 WLS655341:WLS655418 WLS720877:WLS720954 WLS786413:WLS786490 WLS851949:WLS852026 WLS917485:WLS917562 WLS983021:WLS983098 WVO2:WVO58 WVO65517:WVO65594 WVO131053:WVO131130 WVO196589:WVO196666 WVO262125:WVO262202 WVO327661:WVO327738 WVO393197:WVO393274 WVO458733:WVO458810 WVO524269:WVO524346 WVO589805:WVO589882 WVO655341:WVO655418 WVO720877:WVO720954 WVO786413:WVO786490 WVO851949:WVO852026 WVO917485:WVO917562 WVO983021:WVO983098">
      <formula1>$AJ$2:$AJ$4</formula1>
    </dataValidation>
    <dataValidation type="list" allowBlank="1" showInputMessage="1" showErrorMessage="1" sqref="I2:I479 I65517:I65594 I131053:I131130 I196589:I196666 I262125:I262202 I327661:I327738 I393197:I393274 I458733:I458810 I524269:I524346 I589805:I589882 I655341:I655418 I720877:I720954 I786413:I786490 I851949:I852026 I917485:I917562 I983021:I983098 JE2:JE58 JE65517:JE65594 JE131053:JE131130 JE196589:JE196666 JE262125:JE262202 JE327661:JE327738 JE393197:JE393274 JE458733:JE458810 JE524269:JE524346 JE589805:JE589882 JE655341:JE655418 JE720877:JE720954 JE786413:JE786490 JE851949:JE852026 JE917485:JE917562 JE983021:JE983098 TA2:TA58 TA65517:TA65594 TA131053:TA131130 TA196589:TA196666 TA262125:TA262202 TA327661:TA327738 TA393197:TA393274 TA458733:TA458810 TA524269:TA524346 TA589805:TA589882 TA655341:TA655418 TA720877:TA720954 TA786413:TA786490 TA851949:TA852026 TA917485:TA917562 TA983021:TA983098 ACW2:ACW58 ACW65517:ACW65594 ACW131053:ACW131130 ACW196589:ACW196666 ACW262125:ACW262202 ACW327661:ACW327738 ACW393197:ACW393274 ACW458733:ACW458810 ACW524269:ACW524346 ACW589805:ACW589882 ACW655341:ACW655418 ACW720877:ACW720954 ACW786413:ACW786490 ACW851949:ACW852026 ACW917485:ACW917562 ACW983021:ACW983098 AMS2:AMS58 AMS65517:AMS65594 AMS131053:AMS131130 AMS196589:AMS196666 AMS262125:AMS262202 AMS327661:AMS327738 AMS393197:AMS393274 AMS458733:AMS458810 AMS524269:AMS524346 AMS589805:AMS589882 AMS655341:AMS655418 AMS720877:AMS720954 AMS786413:AMS786490 AMS851949:AMS852026 AMS917485:AMS917562 AMS983021:AMS983098 AWO2:AWO58 AWO65517:AWO65594 AWO131053:AWO131130 AWO196589:AWO196666 AWO262125:AWO262202 AWO327661:AWO327738 AWO393197:AWO393274 AWO458733:AWO458810 AWO524269:AWO524346 AWO589805:AWO589882 AWO655341:AWO655418 AWO720877:AWO720954 AWO786413:AWO786490 AWO851949:AWO852026 AWO917485:AWO917562 AWO983021:AWO983098 BGK2:BGK58 BGK65517:BGK65594 BGK131053:BGK131130 BGK196589:BGK196666 BGK262125:BGK262202 BGK327661:BGK327738 BGK393197:BGK393274 BGK458733:BGK458810 BGK524269:BGK524346 BGK589805:BGK589882 BGK655341:BGK655418 BGK720877:BGK720954 BGK786413:BGK786490 BGK851949:BGK852026 BGK917485:BGK917562 BGK983021:BGK983098 BQG2:BQG58 BQG65517:BQG65594 BQG131053:BQG131130 BQG196589:BQG196666 BQG262125:BQG262202 BQG327661:BQG327738 BQG393197:BQG393274 BQG458733:BQG458810 BQG524269:BQG524346 BQG589805:BQG589882 BQG655341:BQG655418 BQG720877:BQG720954 BQG786413:BQG786490 BQG851949:BQG852026 BQG917485:BQG917562 BQG983021:BQG983098 CAC2:CAC58 CAC65517:CAC65594 CAC131053:CAC131130 CAC196589:CAC196666 CAC262125:CAC262202 CAC327661:CAC327738 CAC393197:CAC393274 CAC458733:CAC458810 CAC524269:CAC524346 CAC589805:CAC589882 CAC655341:CAC655418 CAC720877:CAC720954 CAC786413:CAC786490 CAC851949:CAC852026 CAC917485:CAC917562 CAC983021:CAC983098 CJY2:CJY58 CJY65517:CJY65594 CJY131053:CJY131130 CJY196589:CJY196666 CJY262125:CJY262202 CJY327661:CJY327738 CJY393197:CJY393274 CJY458733:CJY458810 CJY524269:CJY524346 CJY589805:CJY589882 CJY655341:CJY655418 CJY720877:CJY720954 CJY786413:CJY786490 CJY851949:CJY852026 CJY917485:CJY917562 CJY983021:CJY983098 CTU2:CTU58 CTU65517:CTU65594 CTU131053:CTU131130 CTU196589:CTU196666 CTU262125:CTU262202 CTU327661:CTU327738 CTU393197:CTU393274 CTU458733:CTU458810 CTU524269:CTU524346 CTU589805:CTU589882 CTU655341:CTU655418 CTU720877:CTU720954 CTU786413:CTU786490 CTU851949:CTU852026 CTU917485:CTU917562 CTU983021:CTU983098 DDQ2:DDQ58 DDQ65517:DDQ65594 DDQ131053:DDQ131130 DDQ196589:DDQ196666 DDQ262125:DDQ262202 DDQ327661:DDQ327738 DDQ393197:DDQ393274 DDQ458733:DDQ458810 DDQ524269:DDQ524346 DDQ589805:DDQ589882 DDQ655341:DDQ655418 DDQ720877:DDQ720954 DDQ786413:DDQ786490 DDQ851949:DDQ852026 DDQ917485:DDQ917562 DDQ983021:DDQ983098 DNM2:DNM58 DNM65517:DNM65594 DNM131053:DNM131130 DNM196589:DNM196666 DNM262125:DNM262202 DNM327661:DNM327738 DNM393197:DNM393274 DNM458733:DNM458810 DNM524269:DNM524346 DNM589805:DNM589882 DNM655341:DNM655418 DNM720877:DNM720954 DNM786413:DNM786490 DNM851949:DNM852026 DNM917485:DNM917562 DNM983021:DNM983098 DXI2:DXI58 DXI65517:DXI65594 DXI131053:DXI131130 DXI196589:DXI196666 DXI262125:DXI262202 DXI327661:DXI327738 DXI393197:DXI393274 DXI458733:DXI458810 DXI524269:DXI524346 DXI589805:DXI589882 DXI655341:DXI655418 DXI720877:DXI720954 DXI786413:DXI786490 DXI851949:DXI852026 DXI917485:DXI917562 DXI983021:DXI983098 EHE2:EHE58 EHE65517:EHE65594 EHE131053:EHE131130 EHE196589:EHE196666 EHE262125:EHE262202 EHE327661:EHE327738 EHE393197:EHE393274 EHE458733:EHE458810 EHE524269:EHE524346 EHE589805:EHE589882 EHE655341:EHE655418 EHE720877:EHE720954 EHE786413:EHE786490 EHE851949:EHE852026 EHE917485:EHE917562 EHE983021:EHE983098 ERA2:ERA58 ERA65517:ERA65594 ERA131053:ERA131130 ERA196589:ERA196666 ERA262125:ERA262202 ERA327661:ERA327738 ERA393197:ERA393274 ERA458733:ERA458810 ERA524269:ERA524346 ERA589805:ERA589882 ERA655341:ERA655418 ERA720877:ERA720954 ERA786413:ERA786490 ERA851949:ERA852026 ERA917485:ERA917562 ERA983021:ERA983098 FAW2:FAW58 FAW65517:FAW65594 FAW131053:FAW131130 FAW196589:FAW196666 FAW262125:FAW262202 FAW327661:FAW327738 FAW393197:FAW393274 FAW458733:FAW458810 FAW524269:FAW524346 FAW589805:FAW589882 FAW655341:FAW655418 FAW720877:FAW720954 FAW786413:FAW786490 FAW851949:FAW852026 FAW917485:FAW917562 FAW983021:FAW983098 FKS2:FKS58 FKS65517:FKS65594 FKS131053:FKS131130 FKS196589:FKS196666 FKS262125:FKS262202 FKS327661:FKS327738 FKS393197:FKS393274 FKS458733:FKS458810 FKS524269:FKS524346 FKS589805:FKS589882 FKS655341:FKS655418 FKS720877:FKS720954 FKS786413:FKS786490 FKS851949:FKS852026 FKS917485:FKS917562 FKS983021:FKS983098 FUO2:FUO58 FUO65517:FUO65594 FUO131053:FUO131130 FUO196589:FUO196666 FUO262125:FUO262202 FUO327661:FUO327738 FUO393197:FUO393274 FUO458733:FUO458810 FUO524269:FUO524346 FUO589805:FUO589882 FUO655341:FUO655418 FUO720877:FUO720954 FUO786413:FUO786490 FUO851949:FUO852026 FUO917485:FUO917562 FUO983021:FUO983098 GEK2:GEK58 GEK65517:GEK65594 GEK131053:GEK131130 GEK196589:GEK196666 GEK262125:GEK262202 GEK327661:GEK327738 GEK393197:GEK393274 GEK458733:GEK458810 GEK524269:GEK524346 GEK589805:GEK589882 GEK655341:GEK655418 GEK720877:GEK720954 GEK786413:GEK786490 GEK851949:GEK852026 GEK917485:GEK917562 GEK983021:GEK983098 GOG2:GOG58 GOG65517:GOG65594 GOG131053:GOG131130 GOG196589:GOG196666 GOG262125:GOG262202 GOG327661:GOG327738 GOG393197:GOG393274 GOG458733:GOG458810 GOG524269:GOG524346 GOG589805:GOG589882 GOG655341:GOG655418 GOG720877:GOG720954 GOG786413:GOG786490 GOG851949:GOG852026 GOG917485:GOG917562 GOG983021:GOG983098 GYC2:GYC58 GYC65517:GYC65594 GYC131053:GYC131130 GYC196589:GYC196666 GYC262125:GYC262202 GYC327661:GYC327738 GYC393197:GYC393274 GYC458733:GYC458810 GYC524269:GYC524346 GYC589805:GYC589882 GYC655341:GYC655418 GYC720877:GYC720954 GYC786413:GYC786490 GYC851949:GYC852026 GYC917485:GYC917562 GYC983021:GYC983098 HHY2:HHY58 HHY65517:HHY65594 HHY131053:HHY131130 HHY196589:HHY196666 HHY262125:HHY262202 HHY327661:HHY327738 HHY393197:HHY393274 HHY458733:HHY458810 HHY524269:HHY524346 HHY589805:HHY589882 HHY655341:HHY655418 HHY720877:HHY720954 HHY786413:HHY786490 HHY851949:HHY852026 HHY917485:HHY917562 HHY983021:HHY983098 HRU2:HRU58 HRU65517:HRU65594 HRU131053:HRU131130 HRU196589:HRU196666 HRU262125:HRU262202 HRU327661:HRU327738 HRU393197:HRU393274 HRU458733:HRU458810 HRU524269:HRU524346 HRU589805:HRU589882 HRU655341:HRU655418 HRU720877:HRU720954 HRU786413:HRU786490 HRU851949:HRU852026 HRU917485:HRU917562 HRU983021:HRU983098 IBQ2:IBQ58 IBQ65517:IBQ65594 IBQ131053:IBQ131130 IBQ196589:IBQ196666 IBQ262125:IBQ262202 IBQ327661:IBQ327738 IBQ393197:IBQ393274 IBQ458733:IBQ458810 IBQ524269:IBQ524346 IBQ589805:IBQ589882 IBQ655341:IBQ655418 IBQ720877:IBQ720954 IBQ786413:IBQ786490 IBQ851949:IBQ852026 IBQ917485:IBQ917562 IBQ983021:IBQ983098 ILM2:ILM58 ILM65517:ILM65594 ILM131053:ILM131130 ILM196589:ILM196666 ILM262125:ILM262202 ILM327661:ILM327738 ILM393197:ILM393274 ILM458733:ILM458810 ILM524269:ILM524346 ILM589805:ILM589882 ILM655341:ILM655418 ILM720877:ILM720954 ILM786413:ILM786490 ILM851949:ILM852026 ILM917485:ILM917562 ILM983021:ILM983098 IVI2:IVI58 IVI65517:IVI65594 IVI131053:IVI131130 IVI196589:IVI196666 IVI262125:IVI262202 IVI327661:IVI327738 IVI393197:IVI393274 IVI458733:IVI458810 IVI524269:IVI524346 IVI589805:IVI589882 IVI655341:IVI655418 IVI720877:IVI720954 IVI786413:IVI786490 IVI851949:IVI852026 IVI917485:IVI917562 IVI983021:IVI983098 JFE2:JFE58 JFE65517:JFE65594 JFE131053:JFE131130 JFE196589:JFE196666 JFE262125:JFE262202 JFE327661:JFE327738 JFE393197:JFE393274 JFE458733:JFE458810 JFE524269:JFE524346 JFE589805:JFE589882 JFE655341:JFE655418 JFE720877:JFE720954 JFE786413:JFE786490 JFE851949:JFE852026 JFE917485:JFE917562 JFE983021:JFE983098 JPA2:JPA58 JPA65517:JPA65594 JPA131053:JPA131130 JPA196589:JPA196666 JPA262125:JPA262202 JPA327661:JPA327738 JPA393197:JPA393274 JPA458733:JPA458810 JPA524269:JPA524346 JPA589805:JPA589882 JPA655341:JPA655418 JPA720877:JPA720954 JPA786413:JPA786490 JPA851949:JPA852026 JPA917485:JPA917562 JPA983021:JPA983098 JYW2:JYW58 JYW65517:JYW65594 JYW131053:JYW131130 JYW196589:JYW196666 JYW262125:JYW262202 JYW327661:JYW327738 JYW393197:JYW393274 JYW458733:JYW458810 JYW524269:JYW524346 JYW589805:JYW589882 JYW655341:JYW655418 JYW720877:JYW720954 JYW786413:JYW786490 JYW851949:JYW852026 JYW917485:JYW917562 JYW983021:JYW983098 KIS2:KIS58 KIS65517:KIS65594 KIS131053:KIS131130 KIS196589:KIS196666 KIS262125:KIS262202 KIS327661:KIS327738 KIS393197:KIS393274 KIS458733:KIS458810 KIS524269:KIS524346 KIS589805:KIS589882 KIS655341:KIS655418 KIS720877:KIS720954 KIS786413:KIS786490 KIS851949:KIS852026 KIS917485:KIS917562 KIS983021:KIS983098 KSO2:KSO58 KSO65517:KSO65594 KSO131053:KSO131130 KSO196589:KSO196666 KSO262125:KSO262202 KSO327661:KSO327738 KSO393197:KSO393274 KSO458733:KSO458810 KSO524269:KSO524346 KSO589805:KSO589882 KSO655341:KSO655418 KSO720877:KSO720954 KSO786413:KSO786490 KSO851949:KSO852026 KSO917485:KSO917562 KSO983021:KSO983098 LCK2:LCK58 LCK65517:LCK65594 LCK131053:LCK131130 LCK196589:LCK196666 LCK262125:LCK262202 LCK327661:LCK327738 LCK393197:LCK393274 LCK458733:LCK458810 LCK524269:LCK524346 LCK589805:LCK589882 LCK655341:LCK655418 LCK720877:LCK720954 LCK786413:LCK786490 LCK851949:LCK852026 LCK917485:LCK917562 LCK983021:LCK983098 LMG2:LMG58 LMG65517:LMG65594 LMG131053:LMG131130 LMG196589:LMG196666 LMG262125:LMG262202 LMG327661:LMG327738 LMG393197:LMG393274 LMG458733:LMG458810 LMG524269:LMG524346 LMG589805:LMG589882 LMG655341:LMG655418 LMG720877:LMG720954 LMG786413:LMG786490 LMG851949:LMG852026 LMG917485:LMG917562 LMG983021:LMG983098 LWC2:LWC58 LWC65517:LWC65594 LWC131053:LWC131130 LWC196589:LWC196666 LWC262125:LWC262202 LWC327661:LWC327738 LWC393197:LWC393274 LWC458733:LWC458810 LWC524269:LWC524346 LWC589805:LWC589882 LWC655341:LWC655418 LWC720877:LWC720954 LWC786413:LWC786490 LWC851949:LWC852026 LWC917485:LWC917562 LWC983021:LWC983098 MFY2:MFY58 MFY65517:MFY65594 MFY131053:MFY131130 MFY196589:MFY196666 MFY262125:MFY262202 MFY327661:MFY327738 MFY393197:MFY393274 MFY458733:MFY458810 MFY524269:MFY524346 MFY589805:MFY589882 MFY655341:MFY655418 MFY720877:MFY720954 MFY786413:MFY786490 MFY851949:MFY852026 MFY917485:MFY917562 MFY983021:MFY983098 MPU2:MPU58 MPU65517:MPU65594 MPU131053:MPU131130 MPU196589:MPU196666 MPU262125:MPU262202 MPU327661:MPU327738 MPU393197:MPU393274 MPU458733:MPU458810 MPU524269:MPU524346 MPU589805:MPU589882 MPU655341:MPU655418 MPU720877:MPU720954 MPU786413:MPU786490 MPU851949:MPU852026 MPU917485:MPU917562 MPU983021:MPU983098 MZQ2:MZQ58 MZQ65517:MZQ65594 MZQ131053:MZQ131130 MZQ196589:MZQ196666 MZQ262125:MZQ262202 MZQ327661:MZQ327738 MZQ393197:MZQ393274 MZQ458733:MZQ458810 MZQ524269:MZQ524346 MZQ589805:MZQ589882 MZQ655341:MZQ655418 MZQ720877:MZQ720954 MZQ786413:MZQ786490 MZQ851949:MZQ852026 MZQ917485:MZQ917562 MZQ983021:MZQ983098 NJM2:NJM58 NJM65517:NJM65594 NJM131053:NJM131130 NJM196589:NJM196666 NJM262125:NJM262202 NJM327661:NJM327738 NJM393197:NJM393274 NJM458733:NJM458810 NJM524269:NJM524346 NJM589805:NJM589882 NJM655341:NJM655418 NJM720877:NJM720954 NJM786413:NJM786490 NJM851949:NJM852026 NJM917485:NJM917562 NJM983021:NJM983098 NTI2:NTI58 NTI65517:NTI65594 NTI131053:NTI131130 NTI196589:NTI196666 NTI262125:NTI262202 NTI327661:NTI327738 NTI393197:NTI393274 NTI458733:NTI458810 NTI524269:NTI524346 NTI589805:NTI589882 NTI655341:NTI655418 NTI720877:NTI720954 NTI786413:NTI786490 NTI851949:NTI852026 NTI917485:NTI917562 NTI983021:NTI983098 ODE2:ODE58 ODE65517:ODE65594 ODE131053:ODE131130 ODE196589:ODE196666 ODE262125:ODE262202 ODE327661:ODE327738 ODE393197:ODE393274 ODE458733:ODE458810 ODE524269:ODE524346 ODE589805:ODE589882 ODE655341:ODE655418 ODE720877:ODE720954 ODE786413:ODE786490 ODE851949:ODE852026 ODE917485:ODE917562 ODE983021:ODE983098 ONA2:ONA58 ONA65517:ONA65594 ONA131053:ONA131130 ONA196589:ONA196666 ONA262125:ONA262202 ONA327661:ONA327738 ONA393197:ONA393274 ONA458733:ONA458810 ONA524269:ONA524346 ONA589805:ONA589882 ONA655341:ONA655418 ONA720877:ONA720954 ONA786413:ONA786490 ONA851949:ONA852026 ONA917485:ONA917562 ONA983021:ONA983098 OWW2:OWW58 OWW65517:OWW65594 OWW131053:OWW131130 OWW196589:OWW196666 OWW262125:OWW262202 OWW327661:OWW327738 OWW393197:OWW393274 OWW458733:OWW458810 OWW524269:OWW524346 OWW589805:OWW589882 OWW655341:OWW655418 OWW720877:OWW720954 OWW786413:OWW786490 OWW851949:OWW852026 OWW917485:OWW917562 OWW983021:OWW983098 PGS2:PGS58 PGS65517:PGS65594 PGS131053:PGS131130 PGS196589:PGS196666 PGS262125:PGS262202 PGS327661:PGS327738 PGS393197:PGS393274 PGS458733:PGS458810 PGS524269:PGS524346 PGS589805:PGS589882 PGS655341:PGS655418 PGS720877:PGS720954 PGS786413:PGS786490 PGS851949:PGS852026 PGS917485:PGS917562 PGS983021:PGS983098 PQO2:PQO58 PQO65517:PQO65594 PQO131053:PQO131130 PQO196589:PQO196666 PQO262125:PQO262202 PQO327661:PQO327738 PQO393197:PQO393274 PQO458733:PQO458810 PQO524269:PQO524346 PQO589805:PQO589882 PQO655341:PQO655418 PQO720877:PQO720954 PQO786413:PQO786490 PQO851949:PQO852026 PQO917485:PQO917562 PQO983021:PQO983098 QAK2:QAK58 QAK65517:QAK65594 QAK131053:QAK131130 QAK196589:QAK196666 QAK262125:QAK262202 QAK327661:QAK327738 QAK393197:QAK393274 QAK458733:QAK458810 QAK524269:QAK524346 QAK589805:QAK589882 QAK655341:QAK655418 QAK720877:QAK720954 QAK786413:QAK786490 QAK851949:QAK852026 QAK917485:QAK917562 QAK983021:QAK983098 QKG2:QKG58 QKG65517:QKG65594 QKG131053:QKG131130 QKG196589:QKG196666 QKG262125:QKG262202 QKG327661:QKG327738 QKG393197:QKG393274 QKG458733:QKG458810 QKG524269:QKG524346 QKG589805:QKG589882 QKG655341:QKG655418 QKG720877:QKG720954 QKG786413:QKG786490 QKG851949:QKG852026 QKG917485:QKG917562 QKG983021:QKG983098 QUC2:QUC58 QUC65517:QUC65594 QUC131053:QUC131130 QUC196589:QUC196666 QUC262125:QUC262202 QUC327661:QUC327738 QUC393197:QUC393274 QUC458733:QUC458810 QUC524269:QUC524346 QUC589805:QUC589882 QUC655341:QUC655418 QUC720877:QUC720954 QUC786413:QUC786490 QUC851949:QUC852026 QUC917485:QUC917562 QUC983021:QUC983098 RDY2:RDY58 RDY65517:RDY65594 RDY131053:RDY131130 RDY196589:RDY196666 RDY262125:RDY262202 RDY327661:RDY327738 RDY393197:RDY393274 RDY458733:RDY458810 RDY524269:RDY524346 RDY589805:RDY589882 RDY655341:RDY655418 RDY720877:RDY720954 RDY786413:RDY786490 RDY851949:RDY852026 RDY917485:RDY917562 RDY983021:RDY983098 RNU2:RNU58 RNU65517:RNU65594 RNU131053:RNU131130 RNU196589:RNU196666 RNU262125:RNU262202 RNU327661:RNU327738 RNU393197:RNU393274 RNU458733:RNU458810 RNU524269:RNU524346 RNU589805:RNU589882 RNU655341:RNU655418 RNU720877:RNU720954 RNU786413:RNU786490 RNU851949:RNU852026 RNU917485:RNU917562 RNU983021:RNU983098 RXQ2:RXQ58 RXQ65517:RXQ65594 RXQ131053:RXQ131130 RXQ196589:RXQ196666 RXQ262125:RXQ262202 RXQ327661:RXQ327738 RXQ393197:RXQ393274 RXQ458733:RXQ458810 RXQ524269:RXQ524346 RXQ589805:RXQ589882 RXQ655341:RXQ655418 RXQ720877:RXQ720954 RXQ786413:RXQ786490 RXQ851949:RXQ852026 RXQ917485:RXQ917562 RXQ983021:RXQ983098 SHM2:SHM58 SHM65517:SHM65594 SHM131053:SHM131130 SHM196589:SHM196666 SHM262125:SHM262202 SHM327661:SHM327738 SHM393197:SHM393274 SHM458733:SHM458810 SHM524269:SHM524346 SHM589805:SHM589882 SHM655341:SHM655418 SHM720877:SHM720954 SHM786413:SHM786490 SHM851949:SHM852026 SHM917485:SHM917562 SHM983021:SHM983098 SRI2:SRI58 SRI65517:SRI65594 SRI131053:SRI131130 SRI196589:SRI196666 SRI262125:SRI262202 SRI327661:SRI327738 SRI393197:SRI393274 SRI458733:SRI458810 SRI524269:SRI524346 SRI589805:SRI589882 SRI655341:SRI655418 SRI720877:SRI720954 SRI786413:SRI786490 SRI851949:SRI852026 SRI917485:SRI917562 SRI983021:SRI983098 TBE2:TBE58 TBE65517:TBE65594 TBE131053:TBE131130 TBE196589:TBE196666 TBE262125:TBE262202 TBE327661:TBE327738 TBE393197:TBE393274 TBE458733:TBE458810 TBE524269:TBE524346 TBE589805:TBE589882 TBE655341:TBE655418 TBE720877:TBE720954 TBE786413:TBE786490 TBE851949:TBE852026 TBE917485:TBE917562 TBE983021:TBE983098 TLA2:TLA58 TLA65517:TLA65594 TLA131053:TLA131130 TLA196589:TLA196666 TLA262125:TLA262202 TLA327661:TLA327738 TLA393197:TLA393274 TLA458733:TLA458810 TLA524269:TLA524346 TLA589805:TLA589882 TLA655341:TLA655418 TLA720877:TLA720954 TLA786413:TLA786490 TLA851949:TLA852026 TLA917485:TLA917562 TLA983021:TLA983098 TUW2:TUW58 TUW65517:TUW65594 TUW131053:TUW131130 TUW196589:TUW196666 TUW262125:TUW262202 TUW327661:TUW327738 TUW393197:TUW393274 TUW458733:TUW458810 TUW524269:TUW524346 TUW589805:TUW589882 TUW655341:TUW655418 TUW720877:TUW720954 TUW786413:TUW786490 TUW851949:TUW852026 TUW917485:TUW917562 TUW983021:TUW983098 UES2:UES58 UES65517:UES65594 UES131053:UES131130 UES196589:UES196666 UES262125:UES262202 UES327661:UES327738 UES393197:UES393274 UES458733:UES458810 UES524269:UES524346 UES589805:UES589882 UES655341:UES655418 UES720877:UES720954 UES786413:UES786490 UES851949:UES852026 UES917485:UES917562 UES983021:UES983098 UOO2:UOO58 UOO65517:UOO65594 UOO131053:UOO131130 UOO196589:UOO196666 UOO262125:UOO262202 UOO327661:UOO327738 UOO393197:UOO393274 UOO458733:UOO458810 UOO524269:UOO524346 UOO589805:UOO589882 UOO655341:UOO655418 UOO720877:UOO720954 UOO786413:UOO786490 UOO851949:UOO852026 UOO917485:UOO917562 UOO983021:UOO983098 UYK2:UYK58 UYK65517:UYK65594 UYK131053:UYK131130 UYK196589:UYK196666 UYK262125:UYK262202 UYK327661:UYK327738 UYK393197:UYK393274 UYK458733:UYK458810 UYK524269:UYK524346 UYK589805:UYK589882 UYK655341:UYK655418 UYK720877:UYK720954 UYK786413:UYK786490 UYK851949:UYK852026 UYK917485:UYK917562 UYK983021:UYK983098 VIG2:VIG58 VIG65517:VIG65594 VIG131053:VIG131130 VIG196589:VIG196666 VIG262125:VIG262202 VIG327661:VIG327738 VIG393197:VIG393274 VIG458733:VIG458810 VIG524269:VIG524346 VIG589805:VIG589882 VIG655341:VIG655418 VIG720877:VIG720954 VIG786413:VIG786490 VIG851949:VIG852026 VIG917485:VIG917562 VIG983021:VIG983098 VSC2:VSC58 VSC65517:VSC65594 VSC131053:VSC131130 VSC196589:VSC196666 VSC262125:VSC262202 VSC327661:VSC327738 VSC393197:VSC393274 VSC458733:VSC458810 VSC524269:VSC524346 VSC589805:VSC589882 VSC655341:VSC655418 VSC720877:VSC720954 VSC786413:VSC786490 VSC851949:VSC852026 VSC917485:VSC917562 VSC983021:VSC983098 WBY2:WBY58 WBY65517:WBY65594 WBY131053:WBY131130 WBY196589:WBY196666 WBY262125:WBY262202 WBY327661:WBY327738 WBY393197:WBY393274 WBY458733:WBY458810 WBY524269:WBY524346 WBY589805:WBY589882 WBY655341:WBY655418 WBY720877:WBY720954 WBY786413:WBY786490 WBY851949:WBY852026 WBY917485:WBY917562 WBY983021:WBY983098 WLU2:WLU58 WLU65517:WLU65594 WLU131053:WLU131130 WLU196589:WLU196666 WLU262125:WLU262202 WLU327661:WLU327738 WLU393197:WLU393274 WLU458733:WLU458810 WLU524269:WLU524346 WLU589805:WLU589882 WLU655341:WLU655418 WLU720877:WLU720954 WLU786413:WLU786490 WLU851949:WLU852026 WLU917485:WLU917562 WLU983021:WLU983098 WVQ2:WVQ58 WVQ65517:WVQ65594 WVQ131053:WVQ131130 WVQ196589:WVQ196666 WVQ262125:WVQ262202 WVQ327661:WVQ327738 WVQ393197:WVQ393274 WVQ458733:WVQ458810 WVQ524269:WVQ524346 WVQ589805:WVQ589882 WVQ655341:WVQ655418 WVQ720877:WVQ720954 WVQ786413:WVQ786490 WVQ851949:WVQ852026 WVQ917485:WVQ917562 WVQ983021:WVQ98309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70" zoomScaleNormal="70" workbookViewId="0">
      <selection activeCell="AC40" sqref="AC40"/>
    </sheetView>
  </sheetViews>
  <sheetFormatPr defaultRowHeight="13.5" x14ac:dyDescent="0.15"/>
  <cols>
    <col min="1" max="3" width="9" style="180" customWidth="1"/>
    <col min="4" max="4" width="10.5" style="180" customWidth="1"/>
    <col min="5" max="5" width="11.25" style="180" bestFit="1" customWidth="1"/>
    <col min="6" max="7" width="9" style="180"/>
    <col min="8" max="10" width="9" style="180" customWidth="1"/>
    <col min="11" max="11" width="11.375" style="180" customWidth="1"/>
    <col min="12" max="16" width="9" style="180" customWidth="1"/>
    <col min="17" max="17" width="9" style="189" customWidth="1"/>
    <col min="18" max="18" width="9" style="180"/>
    <col min="19" max="19" width="9.5" style="180" bestFit="1" customWidth="1"/>
    <col min="20" max="20" width="9" style="189" customWidth="1"/>
    <col min="21" max="21" width="9" style="180"/>
    <col min="22" max="22" width="9" style="189" customWidth="1"/>
    <col min="23" max="28" width="9" style="180"/>
    <col min="29" max="29" width="26.5" style="180" customWidth="1"/>
    <col min="30" max="32" width="9" style="180"/>
    <col min="33" max="33" width="15.75" style="180" bestFit="1" customWidth="1"/>
    <col min="34" max="34" width="15" style="180" bestFit="1" customWidth="1"/>
    <col min="35" max="256" width="9" style="180"/>
    <col min="257" max="259" width="9" style="180" customWidth="1"/>
    <col min="260" max="260" width="10.5" style="180" customWidth="1"/>
    <col min="261" max="261" width="11.25" style="180" bestFit="1" customWidth="1"/>
    <col min="262" max="263" width="9" style="180"/>
    <col min="264" max="273" width="9" style="180" customWidth="1"/>
    <col min="274" max="274" width="9" style="180"/>
    <col min="275" max="275" width="9.5" style="180" bestFit="1" customWidth="1"/>
    <col min="276" max="276" width="9" style="180" customWidth="1"/>
    <col min="277" max="277" width="9" style="180"/>
    <col min="278" max="278" width="9" style="180" customWidth="1"/>
    <col min="279" max="284" width="9" style="180"/>
    <col min="285" max="285" width="26.5" style="180" customWidth="1"/>
    <col min="286" max="288" width="9" style="180"/>
    <col min="289" max="289" width="14.75" style="180" bestFit="1" customWidth="1"/>
    <col min="290" max="512" width="9" style="180"/>
    <col min="513" max="515" width="9" style="180" customWidth="1"/>
    <col min="516" max="516" width="10.5" style="180" customWidth="1"/>
    <col min="517" max="517" width="11.25" style="180" bestFit="1" customWidth="1"/>
    <col min="518" max="519" width="9" style="180"/>
    <col min="520" max="529" width="9" style="180" customWidth="1"/>
    <col min="530" max="530" width="9" style="180"/>
    <col min="531" max="531" width="9.5" style="180" bestFit="1" customWidth="1"/>
    <col min="532" max="532" width="9" style="180" customWidth="1"/>
    <col min="533" max="533" width="9" style="180"/>
    <col min="534" max="534" width="9" style="180" customWidth="1"/>
    <col min="535" max="540" width="9" style="180"/>
    <col min="541" max="541" width="26.5" style="180" customWidth="1"/>
    <col min="542" max="544" width="9" style="180"/>
    <col min="545" max="545" width="14.75" style="180" bestFit="1" customWidth="1"/>
    <col min="546" max="768" width="9" style="180"/>
    <col min="769" max="771" width="9" style="180" customWidth="1"/>
    <col min="772" max="772" width="10.5" style="180" customWidth="1"/>
    <col min="773" max="773" width="11.25" style="180" bestFit="1" customWidth="1"/>
    <col min="774" max="775" width="9" style="180"/>
    <col min="776" max="785" width="9" style="180" customWidth="1"/>
    <col min="786" max="786" width="9" style="180"/>
    <col min="787" max="787" width="9.5" style="180" bestFit="1" customWidth="1"/>
    <col min="788" max="788" width="9" style="180" customWidth="1"/>
    <col min="789" max="789" width="9" style="180"/>
    <col min="790" max="790" width="9" style="180" customWidth="1"/>
    <col min="791" max="796" width="9" style="180"/>
    <col min="797" max="797" width="26.5" style="180" customWidth="1"/>
    <col min="798" max="800" width="9" style="180"/>
    <col min="801" max="801" width="14.75" style="180" bestFit="1" customWidth="1"/>
    <col min="802" max="1024" width="9" style="180"/>
    <col min="1025" max="1027" width="9" style="180" customWidth="1"/>
    <col min="1028" max="1028" width="10.5" style="180" customWidth="1"/>
    <col min="1029" max="1029" width="11.25" style="180" bestFit="1" customWidth="1"/>
    <col min="1030" max="1031" width="9" style="180"/>
    <col min="1032" max="1041" width="9" style="180" customWidth="1"/>
    <col min="1042" max="1042" width="9" style="180"/>
    <col min="1043" max="1043" width="9.5" style="180" bestFit="1" customWidth="1"/>
    <col min="1044" max="1044" width="9" style="180" customWidth="1"/>
    <col min="1045" max="1045" width="9" style="180"/>
    <col min="1046" max="1046" width="9" style="180" customWidth="1"/>
    <col min="1047" max="1052" width="9" style="180"/>
    <col min="1053" max="1053" width="26.5" style="180" customWidth="1"/>
    <col min="1054" max="1056" width="9" style="180"/>
    <col min="1057" max="1057" width="14.75" style="180" bestFit="1" customWidth="1"/>
    <col min="1058" max="1280" width="9" style="180"/>
    <col min="1281" max="1283" width="9" style="180" customWidth="1"/>
    <col min="1284" max="1284" width="10.5" style="180" customWidth="1"/>
    <col min="1285" max="1285" width="11.25" style="180" bestFit="1" customWidth="1"/>
    <col min="1286" max="1287" width="9" style="180"/>
    <col min="1288" max="1297" width="9" style="180" customWidth="1"/>
    <col min="1298" max="1298" width="9" style="180"/>
    <col min="1299" max="1299" width="9.5" style="180" bestFit="1" customWidth="1"/>
    <col min="1300" max="1300" width="9" style="180" customWidth="1"/>
    <col min="1301" max="1301" width="9" style="180"/>
    <col min="1302" max="1302" width="9" style="180" customWidth="1"/>
    <col min="1303" max="1308" width="9" style="180"/>
    <col min="1309" max="1309" width="26.5" style="180" customWidth="1"/>
    <col min="1310" max="1312" width="9" style="180"/>
    <col min="1313" max="1313" width="14.75" style="180" bestFit="1" customWidth="1"/>
    <col min="1314" max="1536" width="9" style="180"/>
    <col min="1537" max="1539" width="9" style="180" customWidth="1"/>
    <col min="1540" max="1540" width="10.5" style="180" customWidth="1"/>
    <col min="1541" max="1541" width="11.25" style="180" bestFit="1" customWidth="1"/>
    <col min="1542" max="1543" width="9" style="180"/>
    <col min="1544" max="1553" width="9" style="180" customWidth="1"/>
    <col min="1554" max="1554" width="9" style="180"/>
    <col min="1555" max="1555" width="9.5" style="180" bestFit="1" customWidth="1"/>
    <col min="1556" max="1556" width="9" style="180" customWidth="1"/>
    <col min="1557" max="1557" width="9" style="180"/>
    <col min="1558" max="1558" width="9" style="180" customWidth="1"/>
    <col min="1559" max="1564" width="9" style="180"/>
    <col min="1565" max="1565" width="26.5" style="180" customWidth="1"/>
    <col min="1566" max="1568" width="9" style="180"/>
    <col min="1569" max="1569" width="14.75" style="180" bestFit="1" customWidth="1"/>
    <col min="1570" max="1792" width="9" style="180"/>
    <col min="1793" max="1795" width="9" style="180" customWidth="1"/>
    <col min="1796" max="1796" width="10.5" style="180" customWidth="1"/>
    <col min="1797" max="1797" width="11.25" style="180" bestFit="1" customWidth="1"/>
    <col min="1798" max="1799" width="9" style="180"/>
    <col min="1800" max="1809" width="9" style="180" customWidth="1"/>
    <col min="1810" max="1810" width="9" style="180"/>
    <col min="1811" max="1811" width="9.5" style="180" bestFit="1" customWidth="1"/>
    <col min="1812" max="1812" width="9" style="180" customWidth="1"/>
    <col min="1813" max="1813" width="9" style="180"/>
    <col min="1814" max="1814" width="9" style="180" customWidth="1"/>
    <col min="1815" max="1820" width="9" style="180"/>
    <col min="1821" max="1821" width="26.5" style="180" customWidth="1"/>
    <col min="1822" max="1824" width="9" style="180"/>
    <col min="1825" max="1825" width="14.75" style="180" bestFit="1" customWidth="1"/>
    <col min="1826" max="2048" width="9" style="180"/>
    <col min="2049" max="2051" width="9" style="180" customWidth="1"/>
    <col min="2052" max="2052" width="10.5" style="180" customWidth="1"/>
    <col min="2053" max="2053" width="11.25" style="180" bestFit="1" customWidth="1"/>
    <col min="2054" max="2055" width="9" style="180"/>
    <col min="2056" max="2065" width="9" style="180" customWidth="1"/>
    <col min="2066" max="2066" width="9" style="180"/>
    <col min="2067" max="2067" width="9.5" style="180" bestFit="1" customWidth="1"/>
    <col min="2068" max="2068" width="9" style="180" customWidth="1"/>
    <col min="2069" max="2069" width="9" style="180"/>
    <col min="2070" max="2070" width="9" style="180" customWidth="1"/>
    <col min="2071" max="2076" width="9" style="180"/>
    <col min="2077" max="2077" width="26.5" style="180" customWidth="1"/>
    <col min="2078" max="2080" width="9" style="180"/>
    <col min="2081" max="2081" width="14.75" style="180" bestFit="1" customWidth="1"/>
    <col min="2082" max="2304" width="9" style="180"/>
    <col min="2305" max="2307" width="9" style="180" customWidth="1"/>
    <col min="2308" max="2308" width="10.5" style="180" customWidth="1"/>
    <col min="2309" max="2309" width="11.25" style="180" bestFit="1" customWidth="1"/>
    <col min="2310" max="2311" width="9" style="180"/>
    <col min="2312" max="2321" width="9" style="180" customWidth="1"/>
    <col min="2322" max="2322" width="9" style="180"/>
    <col min="2323" max="2323" width="9.5" style="180" bestFit="1" customWidth="1"/>
    <col min="2324" max="2324" width="9" style="180" customWidth="1"/>
    <col min="2325" max="2325" width="9" style="180"/>
    <col min="2326" max="2326" width="9" style="180" customWidth="1"/>
    <col min="2327" max="2332" width="9" style="180"/>
    <col min="2333" max="2333" width="26.5" style="180" customWidth="1"/>
    <col min="2334" max="2336" width="9" style="180"/>
    <col min="2337" max="2337" width="14.75" style="180" bestFit="1" customWidth="1"/>
    <col min="2338" max="2560" width="9" style="180"/>
    <col min="2561" max="2563" width="9" style="180" customWidth="1"/>
    <col min="2564" max="2564" width="10.5" style="180" customWidth="1"/>
    <col min="2565" max="2565" width="11.25" style="180" bestFit="1" customWidth="1"/>
    <col min="2566" max="2567" width="9" style="180"/>
    <col min="2568" max="2577" width="9" style="180" customWidth="1"/>
    <col min="2578" max="2578" width="9" style="180"/>
    <col min="2579" max="2579" width="9.5" style="180" bestFit="1" customWidth="1"/>
    <col min="2580" max="2580" width="9" style="180" customWidth="1"/>
    <col min="2581" max="2581" width="9" style="180"/>
    <col min="2582" max="2582" width="9" style="180" customWidth="1"/>
    <col min="2583" max="2588" width="9" style="180"/>
    <col min="2589" max="2589" width="26.5" style="180" customWidth="1"/>
    <col min="2590" max="2592" width="9" style="180"/>
    <col min="2593" max="2593" width="14.75" style="180" bestFit="1" customWidth="1"/>
    <col min="2594" max="2816" width="9" style="180"/>
    <col min="2817" max="2819" width="9" style="180" customWidth="1"/>
    <col min="2820" max="2820" width="10.5" style="180" customWidth="1"/>
    <col min="2821" max="2821" width="11.25" style="180" bestFit="1" customWidth="1"/>
    <col min="2822" max="2823" width="9" style="180"/>
    <col min="2824" max="2833" width="9" style="180" customWidth="1"/>
    <col min="2834" max="2834" width="9" style="180"/>
    <col min="2835" max="2835" width="9.5" style="180" bestFit="1" customWidth="1"/>
    <col min="2836" max="2836" width="9" style="180" customWidth="1"/>
    <col min="2837" max="2837" width="9" style="180"/>
    <col min="2838" max="2838" width="9" style="180" customWidth="1"/>
    <col min="2839" max="2844" width="9" style="180"/>
    <col min="2845" max="2845" width="26.5" style="180" customWidth="1"/>
    <col min="2846" max="2848" width="9" style="180"/>
    <col min="2849" max="2849" width="14.75" style="180" bestFit="1" customWidth="1"/>
    <col min="2850" max="3072" width="9" style="180"/>
    <col min="3073" max="3075" width="9" style="180" customWidth="1"/>
    <col min="3076" max="3076" width="10.5" style="180" customWidth="1"/>
    <col min="3077" max="3077" width="11.25" style="180" bestFit="1" customWidth="1"/>
    <col min="3078" max="3079" width="9" style="180"/>
    <col min="3080" max="3089" width="9" style="180" customWidth="1"/>
    <col min="3090" max="3090" width="9" style="180"/>
    <col min="3091" max="3091" width="9.5" style="180" bestFit="1" customWidth="1"/>
    <col min="3092" max="3092" width="9" style="180" customWidth="1"/>
    <col min="3093" max="3093" width="9" style="180"/>
    <col min="3094" max="3094" width="9" style="180" customWidth="1"/>
    <col min="3095" max="3100" width="9" style="180"/>
    <col min="3101" max="3101" width="26.5" style="180" customWidth="1"/>
    <col min="3102" max="3104" width="9" style="180"/>
    <col min="3105" max="3105" width="14.75" style="180" bestFit="1" customWidth="1"/>
    <col min="3106" max="3328" width="9" style="180"/>
    <col min="3329" max="3331" width="9" style="180" customWidth="1"/>
    <col min="3332" max="3332" width="10.5" style="180" customWidth="1"/>
    <col min="3333" max="3333" width="11.25" style="180" bestFit="1" customWidth="1"/>
    <col min="3334" max="3335" width="9" style="180"/>
    <col min="3336" max="3345" width="9" style="180" customWidth="1"/>
    <col min="3346" max="3346" width="9" style="180"/>
    <col min="3347" max="3347" width="9.5" style="180" bestFit="1" customWidth="1"/>
    <col min="3348" max="3348" width="9" style="180" customWidth="1"/>
    <col min="3349" max="3349" width="9" style="180"/>
    <col min="3350" max="3350" width="9" style="180" customWidth="1"/>
    <col min="3351" max="3356" width="9" style="180"/>
    <col min="3357" max="3357" width="26.5" style="180" customWidth="1"/>
    <col min="3358" max="3360" width="9" style="180"/>
    <col min="3361" max="3361" width="14.75" style="180" bestFit="1" customWidth="1"/>
    <col min="3362" max="3584" width="9" style="180"/>
    <col min="3585" max="3587" width="9" style="180" customWidth="1"/>
    <col min="3588" max="3588" width="10.5" style="180" customWidth="1"/>
    <col min="3589" max="3589" width="11.25" style="180" bestFit="1" customWidth="1"/>
    <col min="3590" max="3591" width="9" style="180"/>
    <col min="3592" max="3601" width="9" style="180" customWidth="1"/>
    <col min="3602" max="3602" width="9" style="180"/>
    <col min="3603" max="3603" width="9.5" style="180" bestFit="1" customWidth="1"/>
    <col min="3604" max="3604" width="9" style="180" customWidth="1"/>
    <col min="3605" max="3605" width="9" style="180"/>
    <col min="3606" max="3606" width="9" style="180" customWidth="1"/>
    <col min="3607" max="3612" width="9" style="180"/>
    <col min="3613" max="3613" width="26.5" style="180" customWidth="1"/>
    <col min="3614" max="3616" width="9" style="180"/>
    <col min="3617" max="3617" width="14.75" style="180" bestFit="1" customWidth="1"/>
    <col min="3618" max="3840" width="9" style="180"/>
    <col min="3841" max="3843" width="9" style="180" customWidth="1"/>
    <col min="3844" max="3844" width="10.5" style="180" customWidth="1"/>
    <col min="3845" max="3845" width="11.25" style="180" bestFit="1" customWidth="1"/>
    <col min="3846" max="3847" width="9" style="180"/>
    <col min="3848" max="3857" width="9" style="180" customWidth="1"/>
    <col min="3858" max="3858" width="9" style="180"/>
    <col min="3859" max="3859" width="9.5" style="180" bestFit="1" customWidth="1"/>
    <col min="3860" max="3860" width="9" style="180" customWidth="1"/>
    <col min="3861" max="3861" width="9" style="180"/>
    <col min="3862" max="3862" width="9" style="180" customWidth="1"/>
    <col min="3863" max="3868" width="9" style="180"/>
    <col min="3869" max="3869" width="26.5" style="180" customWidth="1"/>
    <col min="3870" max="3872" width="9" style="180"/>
    <col min="3873" max="3873" width="14.75" style="180" bestFit="1" customWidth="1"/>
    <col min="3874" max="4096" width="9" style="180"/>
    <col min="4097" max="4099" width="9" style="180" customWidth="1"/>
    <col min="4100" max="4100" width="10.5" style="180" customWidth="1"/>
    <col min="4101" max="4101" width="11.25" style="180" bestFit="1" customWidth="1"/>
    <col min="4102" max="4103" width="9" style="180"/>
    <col min="4104" max="4113" width="9" style="180" customWidth="1"/>
    <col min="4114" max="4114" width="9" style="180"/>
    <col min="4115" max="4115" width="9.5" style="180" bestFit="1" customWidth="1"/>
    <col min="4116" max="4116" width="9" style="180" customWidth="1"/>
    <col min="4117" max="4117" width="9" style="180"/>
    <col min="4118" max="4118" width="9" style="180" customWidth="1"/>
    <col min="4119" max="4124" width="9" style="180"/>
    <col min="4125" max="4125" width="26.5" style="180" customWidth="1"/>
    <col min="4126" max="4128" width="9" style="180"/>
    <col min="4129" max="4129" width="14.75" style="180" bestFit="1" customWidth="1"/>
    <col min="4130" max="4352" width="9" style="180"/>
    <col min="4353" max="4355" width="9" style="180" customWidth="1"/>
    <col min="4356" max="4356" width="10.5" style="180" customWidth="1"/>
    <col min="4357" max="4357" width="11.25" style="180" bestFit="1" customWidth="1"/>
    <col min="4358" max="4359" width="9" style="180"/>
    <col min="4360" max="4369" width="9" style="180" customWidth="1"/>
    <col min="4370" max="4370" width="9" style="180"/>
    <col min="4371" max="4371" width="9.5" style="180" bestFit="1" customWidth="1"/>
    <col min="4372" max="4372" width="9" style="180" customWidth="1"/>
    <col min="4373" max="4373" width="9" style="180"/>
    <col min="4374" max="4374" width="9" style="180" customWidth="1"/>
    <col min="4375" max="4380" width="9" style="180"/>
    <col min="4381" max="4381" width="26.5" style="180" customWidth="1"/>
    <col min="4382" max="4384" width="9" style="180"/>
    <col min="4385" max="4385" width="14.75" style="180" bestFit="1" customWidth="1"/>
    <col min="4386" max="4608" width="9" style="180"/>
    <col min="4609" max="4611" width="9" style="180" customWidth="1"/>
    <col min="4612" max="4612" width="10.5" style="180" customWidth="1"/>
    <col min="4613" max="4613" width="11.25" style="180" bestFit="1" customWidth="1"/>
    <col min="4614" max="4615" width="9" style="180"/>
    <col min="4616" max="4625" width="9" style="180" customWidth="1"/>
    <col min="4626" max="4626" width="9" style="180"/>
    <col min="4627" max="4627" width="9.5" style="180" bestFit="1" customWidth="1"/>
    <col min="4628" max="4628" width="9" style="180" customWidth="1"/>
    <col min="4629" max="4629" width="9" style="180"/>
    <col min="4630" max="4630" width="9" style="180" customWidth="1"/>
    <col min="4631" max="4636" width="9" style="180"/>
    <col min="4637" max="4637" width="26.5" style="180" customWidth="1"/>
    <col min="4638" max="4640" width="9" style="180"/>
    <col min="4641" max="4641" width="14.75" style="180" bestFit="1" customWidth="1"/>
    <col min="4642" max="4864" width="9" style="180"/>
    <col min="4865" max="4867" width="9" style="180" customWidth="1"/>
    <col min="4868" max="4868" width="10.5" style="180" customWidth="1"/>
    <col min="4869" max="4869" width="11.25" style="180" bestFit="1" customWidth="1"/>
    <col min="4870" max="4871" width="9" style="180"/>
    <col min="4872" max="4881" width="9" style="180" customWidth="1"/>
    <col min="4882" max="4882" width="9" style="180"/>
    <col min="4883" max="4883" width="9.5" style="180" bestFit="1" customWidth="1"/>
    <col min="4884" max="4884" width="9" style="180" customWidth="1"/>
    <col min="4885" max="4885" width="9" style="180"/>
    <col min="4886" max="4886" width="9" style="180" customWidth="1"/>
    <col min="4887" max="4892" width="9" style="180"/>
    <col min="4893" max="4893" width="26.5" style="180" customWidth="1"/>
    <col min="4894" max="4896" width="9" style="180"/>
    <col min="4897" max="4897" width="14.75" style="180" bestFit="1" customWidth="1"/>
    <col min="4898" max="5120" width="9" style="180"/>
    <col min="5121" max="5123" width="9" style="180" customWidth="1"/>
    <col min="5124" max="5124" width="10.5" style="180" customWidth="1"/>
    <col min="5125" max="5125" width="11.25" style="180" bestFit="1" customWidth="1"/>
    <col min="5126" max="5127" width="9" style="180"/>
    <col min="5128" max="5137" width="9" style="180" customWidth="1"/>
    <col min="5138" max="5138" width="9" style="180"/>
    <col min="5139" max="5139" width="9.5" style="180" bestFit="1" customWidth="1"/>
    <col min="5140" max="5140" width="9" style="180" customWidth="1"/>
    <col min="5141" max="5141" width="9" style="180"/>
    <col min="5142" max="5142" width="9" style="180" customWidth="1"/>
    <col min="5143" max="5148" width="9" style="180"/>
    <col min="5149" max="5149" width="26.5" style="180" customWidth="1"/>
    <col min="5150" max="5152" width="9" style="180"/>
    <col min="5153" max="5153" width="14.75" style="180" bestFit="1" customWidth="1"/>
    <col min="5154" max="5376" width="9" style="180"/>
    <col min="5377" max="5379" width="9" style="180" customWidth="1"/>
    <col min="5380" max="5380" width="10.5" style="180" customWidth="1"/>
    <col min="5381" max="5381" width="11.25" style="180" bestFit="1" customWidth="1"/>
    <col min="5382" max="5383" width="9" style="180"/>
    <col min="5384" max="5393" width="9" style="180" customWidth="1"/>
    <col min="5394" max="5394" width="9" style="180"/>
    <col min="5395" max="5395" width="9.5" style="180" bestFit="1" customWidth="1"/>
    <col min="5396" max="5396" width="9" style="180" customWidth="1"/>
    <col min="5397" max="5397" width="9" style="180"/>
    <col min="5398" max="5398" width="9" style="180" customWidth="1"/>
    <col min="5399" max="5404" width="9" style="180"/>
    <col min="5405" max="5405" width="26.5" style="180" customWidth="1"/>
    <col min="5406" max="5408" width="9" style="180"/>
    <col min="5409" max="5409" width="14.75" style="180" bestFit="1" customWidth="1"/>
    <col min="5410" max="5632" width="9" style="180"/>
    <col min="5633" max="5635" width="9" style="180" customWidth="1"/>
    <col min="5636" max="5636" width="10.5" style="180" customWidth="1"/>
    <col min="5637" max="5637" width="11.25" style="180" bestFit="1" customWidth="1"/>
    <col min="5638" max="5639" width="9" style="180"/>
    <col min="5640" max="5649" width="9" style="180" customWidth="1"/>
    <col min="5650" max="5650" width="9" style="180"/>
    <col min="5651" max="5651" width="9.5" style="180" bestFit="1" customWidth="1"/>
    <col min="5652" max="5652" width="9" style="180" customWidth="1"/>
    <col min="5653" max="5653" width="9" style="180"/>
    <col min="5654" max="5654" width="9" style="180" customWidth="1"/>
    <col min="5655" max="5660" width="9" style="180"/>
    <col min="5661" max="5661" width="26.5" style="180" customWidth="1"/>
    <col min="5662" max="5664" width="9" style="180"/>
    <col min="5665" max="5665" width="14.75" style="180" bestFit="1" customWidth="1"/>
    <col min="5666" max="5888" width="9" style="180"/>
    <col min="5889" max="5891" width="9" style="180" customWidth="1"/>
    <col min="5892" max="5892" width="10.5" style="180" customWidth="1"/>
    <col min="5893" max="5893" width="11.25" style="180" bestFit="1" customWidth="1"/>
    <col min="5894" max="5895" width="9" style="180"/>
    <col min="5896" max="5905" width="9" style="180" customWidth="1"/>
    <col min="5906" max="5906" width="9" style="180"/>
    <col min="5907" max="5907" width="9.5" style="180" bestFit="1" customWidth="1"/>
    <col min="5908" max="5908" width="9" style="180" customWidth="1"/>
    <col min="5909" max="5909" width="9" style="180"/>
    <col min="5910" max="5910" width="9" style="180" customWidth="1"/>
    <col min="5911" max="5916" width="9" style="180"/>
    <col min="5917" max="5917" width="26.5" style="180" customWidth="1"/>
    <col min="5918" max="5920" width="9" style="180"/>
    <col min="5921" max="5921" width="14.75" style="180" bestFit="1" customWidth="1"/>
    <col min="5922" max="6144" width="9" style="180"/>
    <col min="6145" max="6147" width="9" style="180" customWidth="1"/>
    <col min="6148" max="6148" width="10.5" style="180" customWidth="1"/>
    <col min="6149" max="6149" width="11.25" style="180" bestFit="1" customWidth="1"/>
    <col min="6150" max="6151" width="9" style="180"/>
    <col min="6152" max="6161" width="9" style="180" customWidth="1"/>
    <col min="6162" max="6162" width="9" style="180"/>
    <col min="6163" max="6163" width="9.5" style="180" bestFit="1" customWidth="1"/>
    <col min="6164" max="6164" width="9" style="180" customWidth="1"/>
    <col min="6165" max="6165" width="9" style="180"/>
    <col min="6166" max="6166" width="9" style="180" customWidth="1"/>
    <col min="6167" max="6172" width="9" style="180"/>
    <col min="6173" max="6173" width="26.5" style="180" customWidth="1"/>
    <col min="6174" max="6176" width="9" style="180"/>
    <col min="6177" max="6177" width="14.75" style="180" bestFit="1" customWidth="1"/>
    <col min="6178" max="6400" width="9" style="180"/>
    <col min="6401" max="6403" width="9" style="180" customWidth="1"/>
    <col min="6404" max="6404" width="10.5" style="180" customWidth="1"/>
    <col min="6405" max="6405" width="11.25" style="180" bestFit="1" customWidth="1"/>
    <col min="6406" max="6407" width="9" style="180"/>
    <col min="6408" max="6417" width="9" style="180" customWidth="1"/>
    <col min="6418" max="6418" width="9" style="180"/>
    <col min="6419" max="6419" width="9.5" style="180" bestFit="1" customWidth="1"/>
    <col min="6420" max="6420" width="9" style="180" customWidth="1"/>
    <col min="6421" max="6421" width="9" style="180"/>
    <col min="6422" max="6422" width="9" style="180" customWidth="1"/>
    <col min="6423" max="6428" width="9" style="180"/>
    <col min="6429" max="6429" width="26.5" style="180" customWidth="1"/>
    <col min="6430" max="6432" width="9" style="180"/>
    <col min="6433" max="6433" width="14.75" style="180" bestFit="1" customWidth="1"/>
    <col min="6434" max="6656" width="9" style="180"/>
    <col min="6657" max="6659" width="9" style="180" customWidth="1"/>
    <col min="6660" max="6660" width="10.5" style="180" customWidth="1"/>
    <col min="6661" max="6661" width="11.25" style="180" bestFit="1" customWidth="1"/>
    <col min="6662" max="6663" width="9" style="180"/>
    <col min="6664" max="6673" width="9" style="180" customWidth="1"/>
    <col min="6674" max="6674" width="9" style="180"/>
    <col min="6675" max="6675" width="9.5" style="180" bestFit="1" customWidth="1"/>
    <col min="6676" max="6676" width="9" style="180" customWidth="1"/>
    <col min="6677" max="6677" width="9" style="180"/>
    <col min="6678" max="6678" width="9" style="180" customWidth="1"/>
    <col min="6679" max="6684" width="9" style="180"/>
    <col min="6685" max="6685" width="26.5" style="180" customWidth="1"/>
    <col min="6686" max="6688" width="9" style="180"/>
    <col min="6689" max="6689" width="14.75" style="180" bestFit="1" customWidth="1"/>
    <col min="6690" max="6912" width="9" style="180"/>
    <col min="6913" max="6915" width="9" style="180" customWidth="1"/>
    <col min="6916" max="6916" width="10.5" style="180" customWidth="1"/>
    <col min="6917" max="6917" width="11.25" style="180" bestFit="1" customWidth="1"/>
    <col min="6918" max="6919" width="9" style="180"/>
    <col min="6920" max="6929" width="9" style="180" customWidth="1"/>
    <col min="6930" max="6930" width="9" style="180"/>
    <col min="6931" max="6931" width="9.5" style="180" bestFit="1" customWidth="1"/>
    <col min="6932" max="6932" width="9" style="180" customWidth="1"/>
    <col min="6933" max="6933" width="9" style="180"/>
    <col min="6934" max="6934" width="9" style="180" customWidth="1"/>
    <col min="6935" max="6940" width="9" style="180"/>
    <col min="6941" max="6941" width="26.5" style="180" customWidth="1"/>
    <col min="6942" max="6944" width="9" style="180"/>
    <col min="6945" max="6945" width="14.75" style="180" bestFit="1" customWidth="1"/>
    <col min="6946" max="7168" width="9" style="180"/>
    <col min="7169" max="7171" width="9" style="180" customWidth="1"/>
    <col min="7172" max="7172" width="10.5" style="180" customWidth="1"/>
    <col min="7173" max="7173" width="11.25" style="180" bestFit="1" customWidth="1"/>
    <col min="7174" max="7175" width="9" style="180"/>
    <col min="7176" max="7185" width="9" style="180" customWidth="1"/>
    <col min="7186" max="7186" width="9" style="180"/>
    <col min="7187" max="7187" width="9.5" style="180" bestFit="1" customWidth="1"/>
    <col min="7188" max="7188" width="9" style="180" customWidth="1"/>
    <col min="7189" max="7189" width="9" style="180"/>
    <col min="7190" max="7190" width="9" style="180" customWidth="1"/>
    <col min="7191" max="7196" width="9" style="180"/>
    <col min="7197" max="7197" width="26.5" style="180" customWidth="1"/>
    <col min="7198" max="7200" width="9" style="180"/>
    <col min="7201" max="7201" width="14.75" style="180" bestFit="1" customWidth="1"/>
    <col min="7202" max="7424" width="9" style="180"/>
    <col min="7425" max="7427" width="9" style="180" customWidth="1"/>
    <col min="7428" max="7428" width="10.5" style="180" customWidth="1"/>
    <col min="7429" max="7429" width="11.25" style="180" bestFit="1" customWidth="1"/>
    <col min="7430" max="7431" width="9" style="180"/>
    <col min="7432" max="7441" width="9" style="180" customWidth="1"/>
    <col min="7442" max="7442" width="9" style="180"/>
    <col min="7443" max="7443" width="9.5" style="180" bestFit="1" customWidth="1"/>
    <col min="7444" max="7444" width="9" style="180" customWidth="1"/>
    <col min="7445" max="7445" width="9" style="180"/>
    <col min="7446" max="7446" width="9" style="180" customWidth="1"/>
    <col min="7447" max="7452" width="9" style="180"/>
    <col min="7453" max="7453" width="26.5" style="180" customWidth="1"/>
    <col min="7454" max="7456" width="9" style="180"/>
    <col min="7457" max="7457" width="14.75" style="180" bestFit="1" customWidth="1"/>
    <col min="7458" max="7680" width="9" style="180"/>
    <col min="7681" max="7683" width="9" style="180" customWidth="1"/>
    <col min="7684" max="7684" width="10.5" style="180" customWidth="1"/>
    <col min="7685" max="7685" width="11.25" style="180" bestFit="1" customWidth="1"/>
    <col min="7686" max="7687" width="9" style="180"/>
    <col min="7688" max="7697" width="9" style="180" customWidth="1"/>
    <col min="7698" max="7698" width="9" style="180"/>
    <col min="7699" max="7699" width="9.5" style="180" bestFit="1" customWidth="1"/>
    <col min="7700" max="7700" width="9" style="180" customWidth="1"/>
    <col min="7701" max="7701" width="9" style="180"/>
    <col min="7702" max="7702" width="9" style="180" customWidth="1"/>
    <col min="7703" max="7708" width="9" style="180"/>
    <col min="7709" max="7709" width="26.5" style="180" customWidth="1"/>
    <col min="7710" max="7712" width="9" style="180"/>
    <col min="7713" max="7713" width="14.75" style="180" bestFit="1" customWidth="1"/>
    <col min="7714" max="7936" width="9" style="180"/>
    <col min="7937" max="7939" width="9" style="180" customWidth="1"/>
    <col min="7940" max="7940" width="10.5" style="180" customWidth="1"/>
    <col min="7941" max="7941" width="11.25" style="180" bestFit="1" customWidth="1"/>
    <col min="7942" max="7943" width="9" style="180"/>
    <col min="7944" max="7953" width="9" style="180" customWidth="1"/>
    <col min="7954" max="7954" width="9" style="180"/>
    <col min="7955" max="7955" width="9.5" style="180" bestFit="1" customWidth="1"/>
    <col min="7956" max="7956" width="9" style="180" customWidth="1"/>
    <col min="7957" max="7957" width="9" style="180"/>
    <col min="7958" max="7958" width="9" style="180" customWidth="1"/>
    <col min="7959" max="7964" width="9" style="180"/>
    <col min="7965" max="7965" width="26.5" style="180" customWidth="1"/>
    <col min="7966" max="7968" width="9" style="180"/>
    <col min="7969" max="7969" width="14.75" style="180" bestFit="1" customWidth="1"/>
    <col min="7970" max="8192" width="9" style="180"/>
    <col min="8193" max="8195" width="9" style="180" customWidth="1"/>
    <col min="8196" max="8196" width="10.5" style="180" customWidth="1"/>
    <col min="8197" max="8197" width="11.25" style="180" bestFit="1" customWidth="1"/>
    <col min="8198" max="8199" width="9" style="180"/>
    <col min="8200" max="8209" width="9" style="180" customWidth="1"/>
    <col min="8210" max="8210" width="9" style="180"/>
    <col min="8211" max="8211" width="9.5" style="180" bestFit="1" customWidth="1"/>
    <col min="8212" max="8212" width="9" style="180" customWidth="1"/>
    <col min="8213" max="8213" width="9" style="180"/>
    <col min="8214" max="8214" width="9" style="180" customWidth="1"/>
    <col min="8215" max="8220" width="9" style="180"/>
    <col min="8221" max="8221" width="26.5" style="180" customWidth="1"/>
    <col min="8222" max="8224" width="9" style="180"/>
    <col min="8225" max="8225" width="14.75" style="180" bestFit="1" customWidth="1"/>
    <col min="8226" max="8448" width="9" style="180"/>
    <col min="8449" max="8451" width="9" style="180" customWidth="1"/>
    <col min="8452" max="8452" width="10.5" style="180" customWidth="1"/>
    <col min="8453" max="8453" width="11.25" style="180" bestFit="1" customWidth="1"/>
    <col min="8454" max="8455" width="9" style="180"/>
    <col min="8456" max="8465" width="9" style="180" customWidth="1"/>
    <col min="8466" max="8466" width="9" style="180"/>
    <col min="8467" max="8467" width="9.5" style="180" bestFit="1" customWidth="1"/>
    <col min="8468" max="8468" width="9" style="180" customWidth="1"/>
    <col min="8469" max="8469" width="9" style="180"/>
    <col min="8470" max="8470" width="9" style="180" customWidth="1"/>
    <col min="8471" max="8476" width="9" style="180"/>
    <col min="8477" max="8477" width="26.5" style="180" customWidth="1"/>
    <col min="8478" max="8480" width="9" style="180"/>
    <col min="8481" max="8481" width="14.75" style="180" bestFit="1" customWidth="1"/>
    <col min="8482" max="8704" width="9" style="180"/>
    <col min="8705" max="8707" width="9" style="180" customWidth="1"/>
    <col min="8708" max="8708" width="10.5" style="180" customWidth="1"/>
    <col min="8709" max="8709" width="11.25" style="180" bestFit="1" customWidth="1"/>
    <col min="8710" max="8711" width="9" style="180"/>
    <col min="8712" max="8721" width="9" style="180" customWidth="1"/>
    <col min="8722" max="8722" width="9" style="180"/>
    <col min="8723" max="8723" width="9.5" style="180" bestFit="1" customWidth="1"/>
    <col min="8724" max="8724" width="9" style="180" customWidth="1"/>
    <col min="8725" max="8725" width="9" style="180"/>
    <col min="8726" max="8726" width="9" style="180" customWidth="1"/>
    <col min="8727" max="8732" width="9" style="180"/>
    <col min="8733" max="8733" width="26.5" style="180" customWidth="1"/>
    <col min="8734" max="8736" width="9" style="180"/>
    <col min="8737" max="8737" width="14.75" style="180" bestFit="1" customWidth="1"/>
    <col min="8738" max="8960" width="9" style="180"/>
    <col min="8961" max="8963" width="9" style="180" customWidth="1"/>
    <col min="8964" max="8964" width="10.5" style="180" customWidth="1"/>
    <col min="8965" max="8965" width="11.25" style="180" bestFit="1" customWidth="1"/>
    <col min="8966" max="8967" width="9" style="180"/>
    <col min="8968" max="8977" width="9" style="180" customWidth="1"/>
    <col min="8978" max="8978" width="9" style="180"/>
    <col min="8979" max="8979" width="9.5" style="180" bestFit="1" customWidth="1"/>
    <col min="8980" max="8980" width="9" style="180" customWidth="1"/>
    <col min="8981" max="8981" width="9" style="180"/>
    <col min="8982" max="8982" width="9" style="180" customWidth="1"/>
    <col min="8983" max="8988" width="9" style="180"/>
    <col min="8989" max="8989" width="26.5" style="180" customWidth="1"/>
    <col min="8990" max="8992" width="9" style="180"/>
    <col min="8993" max="8993" width="14.75" style="180" bestFit="1" customWidth="1"/>
    <col min="8994" max="9216" width="9" style="180"/>
    <col min="9217" max="9219" width="9" style="180" customWidth="1"/>
    <col min="9220" max="9220" width="10.5" style="180" customWidth="1"/>
    <col min="9221" max="9221" width="11.25" style="180" bestFit="1" customWidth="1"/>
    <col min="9222" max="9223" width="9" style="180"/>
    <col min="9224" max="9233" width="9" style="180" customWidth="1"/>
    <col min="9234" max="9234" width="9" style="180"/>
    <col min="9235" max="9235" width="9.5" style="180" bestFit="1" customWidth="1"/>
    <col min="9236" max="9236" width="9" style="180" customWidth="1"/>
    <col min="9237" max="9237" width="9" style="180"/>
    <col min="9238" max="9238" width="9" style="180" customWidth="1"/>
    <col min="9239" max="9244" width="9" style="180"/>
    <col min="9245" max="9245" width="26.5" style="180" customWidth="1"/>
    <col min="9246" max="9248" width="9" style="180"/>
    <col min="9249" max="9249" width="14.75" style="180" bestFit="1" customWidth="1"/>
    <col min="9250" max="9472" width="9" style="180"/>
    <col min="9473" max="9475" width="9" style="180" customWidth="1"/>
    <col min="9476" max="9476" width="10.5" style="180" customWidth="1"/>
    <col min="9477" max="9477" width="11.25" style="180" bestFit="1" customWidth="1"/>
    <col min="9478" max="9479" width="9" style="180"/>
    <col min="9480" max="9489" width="9" style="180" customWidth="1"/>
    <col min="9490" max="9490" width="9" style="180"/>
    <col min="9491" max="9491" width="9.5" style="180" bestFit="1" customWidth="1"/>
    <col min="9492" max="9492" width="9" style="180" customWidth="1"/>
    <col min="9493" max="9493" width="9" style="180"/>
    <col min="9494" max="9494" width="9" style="180" customWidth="1"/>
    <col min="9495" max="9500" width="9" style="180"/>
    <col min="9501" max="9501" width="26.5" style="180" customWidth="1"/>
    <col min="9502" max="9504" width="9" style="180"/>
    <col min="9505" max="9505" width="14.75" style="180" bestFit="1" customWidth="1"/>
    <col min="9506" max="9728" width="9" style="180"/>
    <col min="9729" max="9731" width="9" style="180" customWidth="1"/>
    <col min="9732" max="9732" width="10.5" style="180" customWidth="1"/>
    <col min="9733" max="9733" width="11.25" style="180" bestFit="1" customWidth="1"/>
    <col min="9734" max="9735" width="9" style="180"/>
    <col min="9736" max="9745" width="9" style="180" customWidth="1"/>
    <col min="9746" max="9746" width="9" style="180"/>
    <col min="9747" max="9747" width="9.5" style="180" bestFit="1" customWidth="1"/>
    <col min="9748" max="9748" width="9" style="180" customWidth="1"/>
    <col min="9749" max="9749" width="9" style="180"/>
    <col min="9750" max="9750" width="9" style="180" customWidth="1"/>
    <col min="9751" max="9756" width="9" style="180"/>
    <col min="9757" max="9757" width="26.5" style="180" customWidth="1"/>
    <col min="9758" max="9760" width="9" style="180"/>
    <col min="9761" max="9761" width="14.75" style="180" bestFit="1" customWidth="1"/>
    <col min="9762" max="9984" width="9" style="180"/>
    <col min="9985" max="9987" width="9" style="180" customWidth="1"/>
    <col min="9988" max="9988" width="10.5" style="180" customWidth="1"/>
    <col min="9989" max="9989" width="11.25" style="180" bestFit="1" customWidth="1"/>
    <col min="9990" max="9991" width="9" style="180"/>
    <col min="9992" max="10001" width="9" style="180" customWidth="1"/>
    <col min="10002" max="10002" width="9" style="180"/>
    <col min="10003" max="10003" width="9.5" style="180" bestFit="1" customWidth="1"/>
    <col min="10004" max="10004" width="9" style="180" customWidth="1"/>
    <col min="10005" max="10005" width="9" style="180"/>
    <col min="10006" max="10006" width="9" style="180" customWidth="1"/>
    <col min="10007" max="10012" width="9" style="180"/>
    <col min="10013" max="10013" width="26.5" style="180" customWidth="1"/>
    <col min="10014" max="10016" width="9" style="180"/>
    <col min="10017" max="10017" width="14.75" style="180" bestFit="1" customWidth="1"/>
    <col min="10018" max="10240" width="9" style="180"/>
    <col min="10241" max="10243" width="9" style="180" customWidth="1"/>
    <col min="10244" max="10244" width="10.5" style="180" customWidth="1"/>
    <col min="10245" max="10245" width="11.25" style="180" bestFit="1" customWidth="1"/>
    <col min="10246" max="10247" width="9" style="180"/>
    <col min="10248" max="10257" width="9" style="180" customWidth="1"/>
    <col min="10258" max="10258" width="9" style="180"/>
    <col min="10259" max="10259" width="9.5" style="180" bestFit="1" customWidth="1"/>
    <col min="10260" max="10260" width="9" style="180" customWidth="1"/>
    <col min="10261" max="10261" width="9" style="180"/>
    <col min="10262" max="10262" width="9" style="180" customWidth="1"/>
    <col min="10263" max="10268" width="9" style="180"/>
    <col min="10269" max="10269" width="26.5" style="180" customWidth="1"/>
    <col min="10270" max="10272" width="9" style="180"/>
    <col min="10273" max="10273" width="14.75" style="180" bestFit="1" customWidth="1"/>
    <col min="10274" max="10496" width="9" style="180"/>
    <col min="10497" max="10499" width="9" style="180" customWidth="1"/>
    <col min="10500" max="10500" width="10.5" style="180" customWidth="1"/>
    <col min="10501" max="10501" width="11.25" style="180" bestFit="1" customWidth="1"/>
    <col min="10502" max="10503" width="9" style="180"/>
    <col min="10504" max="10513" width="9" style="180" customWidth="1"/>
    <col min="10514" max="10514" width="9" style="180"/>
    <col min="10515" max="10515" width="9.5" style="180" bestFit="1" customWidth="1"/>
    <col min="10516" max="10516" width="9" style="180" customWidth="1"/>
    <col min="10517" max="10517" width="9" style="180"/>
    <col min="10518" max="10518" width="9" style="180" customWidth="1"/>
    <col min="10519" max="10524" width="9" style="180"/>
    <col min="10525" max="10525" width="26.5" style="180" customWidth="1"/>
    <col min="10526" max="10528" width="9" style="180"/>
    <col min="10529" max="10529" width="14.75" style="180" bestFit="1" customWidth="1"/>
    <col min="10530" max="10752" width="9" style="180"/>
    <col min="10753" max="10755" width="9" style="180" customWidth="1"/>
    <col min="10756" max="10756" width="10.5" style="180" customWidth="1"/>
    <col min="10757" max="10757" width="11.25" style="180" bestFit="1" customWidth="1"/>
    <col min="10758" max="10759" width="9" style="180"/>
    <col min="10760" max="10769" width="9" style="180" customWidth="1"/>
    <col min="10770" max="10770" width="9" style="180"/>
    <col min="10771" max="10771" width="9.5" style="180" bestFit="1" customWidth="1"/>
    <col min="10772" max="10772" width="9" style="180" customWidth="1"/>
    <col min="10773" max="10773" width="9" style="180"/>
    <col min="10774" max="10774" width="9" style="180" customWidth="1"/>
    <col min="10775" max="10780" width="9" style="180"/>
    <col min="10781" max="10781" width="26.5" style="180" customWidth="1"/>
    <col min="10782" max="10784" width="9" style="180"/>
    <col min="10785" max="10785" width="14.75" style="180" bestFit="1" customWidth="1"/>
    <col min="10786" max="11008" width="9" style="180"/>
    <col min="11009" max="11011" width="9" style="180" customWidth="1"/>
    <col min="11012" max="11012" width="10.5" style="180" customWidth="1"/>
    <col min="11013" max="11013" width="11.25" style="180" bestFit="1" customWidth="1"/>
    <col min="11014" max="11015" width="9" style="180"/>
    <col min="11016" max="11025" width="9" style="180" customWidth="1"/>
    <col min="11026" max="11026" width="9" style="180"/>
    <col min="11027" max="11027" width="9.5" style="180" bestFit="1" customWidth="1"/>
    <col min="11028" max="11028" width="9" style="180" customWidth="1"/>
    <col min="11029" max="11029" width="9" style="180"/>
    <col min="11030" max="11030" width="9" style="180" customWidth="1"/>
    <col min="11031" max="11036" width="9" style="180"/>
    <col min="11037" max="11037" width="26.5" style="180" customWidth="1"/>
    <col min="11038" max="11040" width="9" style="180"/>
    <col min="11041" max="11041" width="14.75" style="180" bestFit="1" customWidth="1"/>
    <col min="11042" max="11264" width="9" style="180"/>
    <col min="11265" max="11267" width="9" style="180" customWidth="1"/>
    <col min="11268" max="11268" width="10.5" style="180" customWidth="1"/>
    <col min="11269" max="11269" width="11.25" style="180" bestFit="1" customWidth="1"/>
    <col min="11270" max="11271" width="9" style="180"/>
    <col min="11272" max="11281" width="9" style="180" customWidth="1"/>
    <col min="11282" max="11282" width="9" style="180"/>
    <col min="11283" max="11283" width="9.5" style="180" bestFit="1" customWidth="1"/>
    <col min="11284" max="11284" width="9" style="180" customWidth="1"/>
    <col min="11285" max="11285" width="9" style="180"/>
    <col min="11286" max="11286" width="9" style="180" customWidth="1"/>
    <col min="11287" max="11292" width="9" style="180"/>
    <col min="11293" max="11293" width="26.5" style="180" customWidth="1"/>
    <col min="11294" max="11296" width="9" style="180"/>
    <col min="11297" max="11297" width="14.75" style="180" bestFit="1" customWidth="1"/>
    <col min="11298" max="11520" width="9" style="180"/>
    <col min="11521" max="11523" width="9" style="180" customWidth="1"/>
    <col min="11524" max="11524" width="10.5" style="180" customWidth="1"/>
    <col min="11525" max="11525" width="11.25" style="180" bestFit="1" customWidth="1"/>
    <col min="11526" max="11527" width="9" style="180"/>
    <col min="11528" max="11537" width="9" style="180" customWidth="1"/>
    <col min="11538" max="11538" width="9" style="180"/>
    <col min="11539" max="11539" width="9.5" style="180" bestFit="1" customWidth="1"/>
    <col min="11540" max="11540" width="9" style="180" customWidth="1"/>
    <col min="11541" max="11541" width="9" style="180"/>
    <col min="11542" max="11542" width="9" style="180" customWidth="1"/>
    <col min="11543" max="11548" width="9" style="180"/>
    <col min="11549" max="11549" width="26.5" style="180" customWidth="1"/>
    <col min="11550" max="11552" width="9" style="180"/>
    <col min="11553" max="11553" width="14.75" style="180" bestFit="1" customWidth="1"/>
    <col min="11554" max="11776" width="9" style="180"/>
    <col min="11777" max="11779" width="9" style="180" customWidth="1"/>
    <col min="11780" max="11780" width="10.5" style="180" customWidth="1"/>
    <col min="11781" max="11781" width="11.25" style="180" bestFit="1" customWidth="1"/>
    <col min="11782" max="11783" width="9" style="180"/>
    <col min="11784" max="11793" width="9" style="180" customWidth="1"/>
    <col min="11794" max="11794" width="9" style="180"/>
    <col min="11795" max="11795" width="9.5" style="180" bestFit="1" customWidth="1"/>
    <col min="11796" max="11796" width="9" style="180" customWidth="1"/>
    <col min="11797" max="11797" width="9" style="180"/>
    <col min="11798" max="11798" width="9" style="180" customWidth="1"/>
    <col min="11799" max="11804" width="9" style="180"/>
    <col min="11805" max="11805" width="26.5" style="180" customWidth="1"/>
    <col min="11806" max="11808" width="9" style="180"/>
    <col min="11809" max="11809" width="14.75" style="180" bestFit="1" customWidth="1"/>
    <col min="11810" max="12032" width="9" style="180"/>
    <col min="12033" max="12035" width="9" style="180" customWidth="1"/>
    <col min="12036" max="12036" width="10.5" style="180" customWidth="1"/>
    <col min="12037" max="12037" width="11.25" style="180" bestFit="1" customWidth="1"/>
    <col min="12038" max="12039" width="9" style="180"/>
    <col min="12040" max="12049" width="9" style="180" customWidth="1"/>
    <col min="12050" max="12050" width="9" style="180"/>
    <col min="12051" max="12051" width="9.5" style="180" bestFit="1" customWidth="1"/>
    <col min="12052" max="12052" width="9" style="180" customWidth="1"/>
    <col min="12053" max="12053" width="9" style="180"/>
    <col min="12054" max="12054" width="9" style="180" customWidth="1"/>
    <col min="12055" max="12060" width="9" style="180"/>
    <col min="12061" max="12061" width="26.5" style="180" customWidth="1"/>
    <col min="12062" max="12064" width="9" style="180"/>
    <col min="12065" max="12065" width="14.75" style="180" bestFit="1" customWidth="1"/>
    <col min="12066" max="12288" width="9" style="180"/>
    <col min="12289" max="12291" width="9" style="180" customWidth="1"/>
    <col min="12292" max="12292" width="10.5" style="180" customWidth="1"/>
    <col min="12293" max="12293" width="11.25" style="180" bestFit="1" customWidth="1"/>
    <col min="12294" max="12295" width="9" style="180"/>
    <col min="12296" max="12305" width="9" style="180" customWidth="1"/>
    <col min="12306" max="12306" width="9" style="180"/>
    <col min="12307" max="12307" width="9.5" style="180" bestFit="1" customWidth="1"/>
    <col min="12308" max="12308" width="9" style="180" customWidth="1"/>
    <col min="12309" max="12309" width="9" style="180"/>
    <col min="12310" max="12310" width="9" style="180" customWidth="1"/>
    <col min="12311" max="12316" width="9" style="180"/>
    <col min="12317" max="12317" width="26.5" style="180" customWidth="1"/>
    <col min="12318" max="12320" width="9" style="180"/>
    <col min="12321" max="12321" width="14.75" style="180" bestFit="1" customWidth="1"/>
    <col min="12322" max="12544" width="9" style="180"/>
    <col min="12545" max="12547" width="9" style="180" customWidth="1"/>
    <col min="12548" max="12548" width="10.5" style="180" customWidth="1"/>
    <col min="12549" max="12549" width="11.25" style="180" bestFit="1" customWidth="1"/>
    <col min="12550" max="12551" width="9" style="180"/>
    <col min="12552" max="12561" width="9" style="180" customWidth="1"/>
    <col min="12562" max="12562" width="9" style="180"/>
    <col min="12563" max="12563" width="9.5" style="180" bestFit="1" customWidth="1"/>
    <col min="12564" max="12564" width="9" style="180" customWidth="1"/>
    <col min="12565" max="12565" width="9" style="180"/>
    <col min="12566" max="12566" width="9" style="180" customWidth="1"/>
    <col min="12567" max="12572" width="9" style="180"/>
    <col min="12573" max="12573" width="26.5" style="180" customWidth="1"/>
    <col min="12574" max="12576" width="9" style="180"/>
    <col min="12577" max="12577" width="14.75" style="180" bestFit="1" customWidth="1"/>
    <col min="12578" max="12800" width="9" style="180"/>
    <col min="12801" max="12803" width="9" style="180" customWidth="1"/>
    <col min="12804" max="12804" width="10.5" style="180" customWidth="1"/>
    <col min="12805" max="12805" width="11.25" style="180" bestFit="1" customWidth="1"/>
    <col min="12806" max="12807" width="9" style="180"/>
    <col min="12808" max="12817" width="9" style="180" customWidth="1"/>
    <col min="12818" max="12818" width="9" style="180"/>
    <col min="12819" max="12819" width="9.5" style="180" bestFit="1" customWidth="1"/>
    <col min="12820" max="12820" width="9" style="180" customWidth="1"/>
    <col min="12821" max="12821" width="9" style="180"/>
    <col min="12822" max="12822" width="9" style="180" customWidth="1"/>
    <col min="12823" max="12828" width="9" style="180"/>
    <col min="12829" max="12829" width="26.5" style="180" customWidth="1"/>
    <col min="12830" max="12832" width="9" style="180"/>
    <col min="12833" max="12833" width="14.75" style="180" bestFit="1" customWidth="1"/>
    <col min="12834" max="13056" width="9" style="180"/>
    <col min="13057" max="13059" width="9" style="180" customWidth="1"/>
    <col min="13060" max="13060" width="10.5" style="180" customWidth="1"/>
    <col min="13061" max="13061" width="11.25" style="180" bestFit="1" customWidth="1"/>
    <col min="13062" max="13063" width="9" style="180"/>
    <col min="13064" max="13073" width="9" style="180" customWidth="1"/>
    <col min="13074" max="13074" width="9" style="180"/>
    <col min="13075" max="13075" width="9.5" style="180" bestFit="1" customWidth="1"/>
    <col min="13076" max="13076" width="9" style="180" customWidth="1"/>
    <col min="13077" max="13077" width="9" style="180"/>
    <col min="13078" max="13078" width="9" style="180" customWidth="1"/>
    <col min="13079" max="13084" width="9" style="180"/>
    <col min="13085" max="13085" width="26.5" style="180" customWidth="1"/>
    <col min="13086" max="13088" width="9" style="180"/>
    <col min="13089" max="13089" width="14.75" style="180" bestFit="1" customWidth="1"/>
    <col min="13090" max="13312" width="9" style="180"/>
    <col min="13313" max="13315" width="9" style="180" customWidth="1"/>
    <col min="13316" max="13316" width="10.5" style="180" customWidth="1"/>
    <col min="13317" max="13317" width="11.25" style="180" bestFit="1" customWidth="1"/>
    <col min="13318" max="13319" width="9" style="180"/>
    <col min="13320" max="13329" width="9" style="180" customWidth="1"/>
    <col min="13330" max="13330" width="9" style="180"/>
    <col min="13331" max="13331" width="9.5" style="180" bestFit="1" customWidth="1"/>
    <col min="13332" max="13332" width="9" style="180" customWidth="1"/>
    <col min="13333" max="13333" width="9" style="180"/>
    <col min="13334" max="13334" width="9" style="180" customWidth="1"/>
    <col min="13335" max="13340" width="9" style="180"/>
    <col min="13341" max="13341" width="26.5" style="180" customWidth="1"/>
    <col min="13342" max="13344" width="9" style="180"/>
    <col min="13345" max="13345" width="14.75" style="180" bestFit="1" customWidth="1"/>
    <col min="13346" max="13568" width="9" style="180"/>
    <col min="13569" max="13571" width="9" style="180" customWidth="1"/>
    <col min="13572" max="13572" width="10.5" style="180" customWidth="1"/>
    <col min="13573" max="13573" width="11.25" style="180" bestFit="1" customWidth="1"/>
    <col min="13574" max="13575" width="9" style="180"/>
    <col min="13576" max="13585" width="9" style="180" customWidth="1"/>
    <col min="13586" max="13586" width="9" style="180"/>
    <col min="13587" max="13587" width="9.5" style="180" bestFit="1" customWidth="1"/>
    <col min="13588" max="13588" width="9" style="180" customWidth="1"/>
    <col min="13589" max="13589" width="9" style="180"/>
    <col min="13590" max="13590" width="9" style="180" customWidth="1"/>
    <col min="13591" max="13596" width="9" style="180"/>
    <col min="13597" max="13597" width="26.5" style="180" customWidth="1"/>
    <col min="13598" max="13600" width="9" style="180"/>
    <col min="13601" max="13601" width="14.75" style="180" bestFit="1" customWidth="1"/>
    <col min="13602" max="13824" width="9" style="180"/>
    <col min="13825" max="13827" width="9" style="180" customWidth="1"/>
    <col min="13828" max="13828" width="10.5" style="180" customWidth="1"/>
    <col min="13829" max="13829" width="11.25" style="180" bestFit="1" customWidth="1"/>
    <col min="13830" max="13831" width="9" style="180"/>
    <col min="13832" max="13841" width="9" style="180" customWidth="1"/>
    <col min="13842" max="13842" width="9" style="180"/>
    <col min="13843" max="13843" width="9.5" style="180" bestFit="1" customWidth="1"/>
    <col min="13844" max="13844" width="9" style="180" customWidth="1"/>
    <col min="13845" max="13845" width="9" style="180"/>
    <col min="13846" max="13846" width="9" style="180" customWidth="1"/>
    <col min="13847" max="13852" width="9" style="180"/>
    <col min="13853" max="13853" width="26.5" style="180" customWidth="1"/>
    <col min="13854" max="13856" width="9" style="180"/>
    <col min="13857" max="13857" width="14.75" style="180" bestFit="1" customWidth="1"/>
    <col min="13858" max="14080" width="9" style="180"/>
    <col min="14081" max="14083" width="9" style="180" customWidth="1"/>
    <col min="14084" max="14084" width="10.5" style="180" customWidth="1"/>
    <col min="14085" max="14085" width="11.25" style="180" bestFit="1" customWidth="1"/>
    <col min="14086" max="14087" width="9" style="180"/>
    <col min="14088" max="14097" width="9" style="180" customWidth="1"/>
    <col min="14098" max="14098" width="9" style="180"/>
    <col min="14099" max="14099" width="9.5" style="180" bestFit="1" customWidth="1"/>
    <col min="14100" max="14100" width="9" style="180" customWidth="1"/>
    <col min="14101" max="14101" width="9" style="180"/>
    <col min="14102" max="14102" width="9" style="180" customWidth="1"/>
    <col min="14103" max="14108" width="9" style="180"/>
    <col min="14109" max="14109" width="26.5" style="180" customWidth="1"/>
    <col min="14110" max="14112" width="9" style="180"/>
    <col min="14113" max="14113" width="14.75" style="180" bestFit="1" customWidth="1"/>
    <col min="14114" max="14336" width="9" style="180"/>
    <col min="14337" max="14339" width="9" style="180" customWidth="1"/>
    <col min="14340" max="14340" width="10.5" style="180" customWidth="1"/>
    <col min="14341" max="14341" width="11.25" style="180" bestFit="1" customWidth="1"/>
    <col min="14342" max="14343" width="9" style="180"/>
    <col min="14344" max="14353" width="9" style="180" customWidth="1"/>
    <col min="14354" max="14354" width="9" style="180"/>
    <col min="14355" max="14355" width="9.5" style="180" bestFit="1" customWidth="1"/>
    <col min="14356" max="14356" width="9" style="180" customWidth="1"/>
    <col min="14357" max="14357" width="9" style="180"/>
    <col min="14358" max="14358" width="9" style="180" customWidth="1"/>
    <col min="14359" max="14364" width="9" style="180"/>
    <col min="14365" max="14365" width="26.5" style="180" customWidth="1"/>
    <col min="14366" max="14368" width="9" style="180"/>
    <col min="14369" max="14369" width="14.75" style="180" bestFit="1" customWidth="1"/>
    <col min="14370" max="14592" width="9" style="180"/>
    <col min="14593" max="14595" width="9" style="180" customWidth="1"/>
    <col min="14596" max="14596" width="10.5" style="180" customWidth="1"/>
    <col min="14597" max="14597" width="11.25" style="180" bestFit="1" customWidth="1"/>
    <col min="14598" max="14599" width="9" style="180"/>
    <col min="14600" max="14609" width="9" style="180" customWidth="1"/>
    <col min="14610" max="14610" width="9" style="180"/>
    <col min="14611" max="14611" width="9.5" style="180" bestFit="1" customWidth="1"/>
    <col min="14612" max="14612" width="9" style="180" customWidth="1"/>
    <col min="14613" max="14613" width="9" style="180"/>
    <col min="14614" max="14614" width="9" style="180" customWidth="1"/>
    <col min="14615" max="14620" width="9" style="180"/>
    <col min="14621" max="14621" width="26.5" style="180" customWidth="1"/>
    <col min="14622" max="14624" width="9" style="180"/>
    <col min="14625" max="14625" width="14.75" style="180" bestFit="1" customWidth="1"/>
    <col min="14626" max="14848" width="9" style="180"/>
    <col min="14849" max="14851" width="9" style="180" customWidth="1"/>
    <col min="14852" max="14852" width="10.5" style="180" customWidth="1"/>
    <col min="14853" max="14853" width="11.25" style="180" bestFit="1" customWidth="1"/>
    <col min="14854" max="14855" width="9" style="180"/>
    <col min="14856" max="14865" width="9" style="180" customWidth="1"/>
    <col min="14866" max="14866" width="9" style="180"/>
    <col min="14867" max="14867" width="9.5" style="180" bestFit="1" customWidth="1"/>
    <col min="14868" max="14868" width="9" style="180" customWidth="1"/>
    <col min="14869" max="14869" width="9" style="180"/>
    <col min="14870" max="14870" width="9" style="180" customWidth="1"/>
    <col min="14871" max="14876" width="9" style="180"/>
    <col min="14877" max="14877" width="26.5" style="180" customWidth="1"/>
    <col min="14878" max="14880" width="9" style="180"/>
    <col min="14881" max="14881" width="14.75" style="180" bestFit="1" customWidth="1"/>
    <col min="14882" max="15104" width="9" style="180"/>
    <col min="15105" max="15107" width="9" style="180" customWidth="1"/>
    <col min="15108" max="15108" width="10.5" style="180" customWidth="1"/>
    <col min="15109" max="15109" width="11.25" style="180" bestFit="1" customWidth="1"/>
    <col min="15110" max="15111" width="9" style="180"/>
    <col min="15112" max="15121" width="9" style="180" customWidth="1"/>
    <col min="15122" max="15122" width="9" style="180"/>
    <col min="15123" max="15123" width="9.5" style="180" bestFit="1" customWidth="1"/>
    <col min="15124" max="15124" width="9" style="180" customWidth="1"/>
    <col min="15125" max="15125" width="9" style="180"/>
    <col min="15126" max="15126" width="9" style="180" customWidth="1"/>
    <col min="15127" max="15132" width="9" style="180"/>
    <col min="15133" max="15133" width="26.5" style="180" customWidth="1"/>
    <col min="15134" max="15136" width="9" style="180"/>
    <col min="15137" max="15137" width="14.75" style="180" bestFit="1" customWidth="1"/>
    <col min="15138" max="15360" width="9" style="180"/>
    <col min="15361" max="15363" width="9" style="180" customWidth="1"/>
    <col min="15364" max="15364" width="10.5" style="180" customWidth="1"/>
    <col min="15365" max="15365" width="11.25" style="180" bestFit="1" customWidth="1"/>
    <col min="15366" max="15367" width="9" style="180"/>
    <col min="15368" max="15377" width="9" style="180" customWidth="1"/>
    <col min="15378" max="15378" width="9" style="180"/>
    <col min="15379" max="15379" width="9.5" style="180" bestFit="1" customWidth="1"/>
    <col min="15380" max="15380" width="9" style="180" customWidth="1"/>
    <col min="15381" max="15381" width="9" style="180"/>
    <col min="15382" max="15382" width="9" style="180" customWidth="1"/>
    <col min="15383" max="15388" width="9" style="180"/>
    <col min="15389" max="15389" width="26.5" style="180" customWidth="1"/>
    <col min="15390" max="15392" width="9" style="180"/>
    <col min="15393" max="15393" width="14.75" style="180" bestFit="1" customWidth="1"/>
    <col min="15394" max="15616" width="9" style="180"/>
    <col min="15617" max="15619" width="9" style="180" customWidth="1"/>
    <col min="15620" max="15620" width="10.5" style="180" customWidth="1"/>
    <col min="15621" max="15621" width="11.25" style="180" bestFit="1" customWidth="1"/>
    <col min="15622" max="15623" width="9" style="180"/>
    <col min="15624" max="15633" width="9" style="180" customWidth="1"/>
    <col min="15634" max="15634" width="9" style="180"/>
    <col min="15635" max="15635" width="9.5" style="180" bestFit="1" customWidth="1"/>
    <col min="15636" max="15636" width="9" style="180" customWidth="1"/>
    <col min="15637" max="15637" width="9" style="180"/>
    <col min="15638" max="15638" width="9" style="180" customWidth="1"/>
    <col min="15639" max="15644" width="9" style="180"/>
    <col min="15645" max="15645" width="26.5" style="180" customWidth="1"/>
    <col min="15646" max="15648" width="9" style="180"/>
    <col min="15649" max="15649" width="14.75" style="180" bestFit="1" customWidth="1"/>
    <col min="15650" max="15872" width="9" style="180"/>
    <col min="15873" max="15875" width="9" style="180" customWidth="1"/>
    <col min="15876" max="15876" width="10.5" style="180" customWidth="1"/>
    <col min="15877" max="15877" width="11.25" style="180" bestFit="1" customWidth="1"/>
    <col min="15878" max="15879" width="9" style="180"/>
    <col min="15880" max="15889" width="9" style="180" customWidth="1"/>
    <col min="15890" max="15890" width="9" style="180"/>
    <col min="15891" max="15891" width="9.5" style="180" bestFit="1" customWidth="1"/>
    <col min="15892" max="15892" width="9" style="180" customWidth="1"/>
    <col min="15893" max="15893" width="9" style="180"/>
    <col min="15894" max="15894" width="9" style="180" customWidth="1"/>
    <col min="15895" max="15900" width="9" style="180"/>
    <col min="15901" max="15901" width="26.5" style="180" customWidth="1"/>
    <col min="15902" max="15904" width="9" style="180"/>
    <col min="15905" max="15905" width="14.75" style="180" bestFit="1" customWidth="1"/>
    <col min="15906" max="16128" width="9" style="180"/>
    <col min="16129" max="16131" width="9" style="180" customWidth="1"/>
    <col min="16132" max="16132" width="10.5" style="180" customWidth="1"/>
    <col min="16133" max="16133" width="11.25" style="180" bestFit="1" customWidth="1"/>
    <col min="16134" max="16135" width="9" style="180"/>
    <col min="16136" max="16145" width="9" style="180" customWidth="1"/>
    <col min="16146" max="16146" width="9" style="180"/>
    <col min="16147" max="16147" width="9.5" style="180" bestFit="1" customWidth="1"/>
    <col min="16148" max="16148" width="9" style="180" customWidth="1"/>
    <col min="16149" max="16149" width="9" style="180"/>
    <col min="16150" max="16150" width="9" style="180" customWidth="1"/>
    <col min="16151" max="16156" width="9" style="180"/>
    <col min="16157" max="16157" width="26.5" style="180" customWidth="1"/>
    <col min="16158" max="16160" width="9" style="180"/>
    <col min="16161" max="16161" width="14.75" style="180" bestFit="1" customWidth="1"/>
    <col min="16162" max="16384" width="9" style="180"/>
  </cols>
  <sheetData>
    <row r="1" spans="1:53" ht="44.25" customHeight="1" x14ac:dyDescent="0.15">
      <c r="A1" s="105" t="s">
        <v>249</v>
      </c>
      <c r="B1" s="174" t="s">
        <v>1</v>
      </c>
      <c r="C1" s="174" t="s">
        <v>157</v>
      </c>
      <c r="D1" s="175" t="s">
        <v>3</v>
      </c>
      <c r="E1" s="175" t="s">
        <v>250</v>
      </c>
      <c r="F1" s="175" t="s">
        <v>5</v>
      </c>
      <c r="G1" s="175" t="s">
        <v>6</v>
      </c>
      <c r="H1" s="175" t="s">
        <v>251</v>
      </c>
      <c r="I1" s="175" t="s">
        <v>8</v>
      </c>
      <c r="J1" s="175" t="s">
        <v>9</v>
      </c>
      <c r="K1" s="175" t="s">
        <v>10</v>
      </c>
      <c r="L1" s="175" t="s">
        <v>158</v>
      </c>
      <c r="M1" s="175" t="s">
        <v>12</v>
      </c>
      <c r="N1" s="175" t="s">
        <v>13</v>
      </c>
      <c r="O1" s="175" t="s">
        <v>14</v>
      </c>
      <c r="P1" s="175" t="s">
        <v>159</v>
      </c>
      <c r="Q1" s="176" t="s">
        <v>16</v>
      </c>
      <c r="R1" s="175" t="s">
        <v>160</v>
      </c>
      <c r="S1" s="175" t="s">
        <v>161</v>
      </c>
      <c r="T1" s="176" t="s">
        <v>19</v>
      </c>
      <c r="U1" s="177" t="s">
        <v>108</v>
      </c>
      <c r="V1" s="178" t="s">
        <v>20</v>
      </c>
      <c r="W1" s="175" t="s">
        <v>21</v>
      </c>
      <c r="X1" s="175" t="s">
        <v>22</v>
      </c>
      <c r="Y1" s="175" t="s">
        <v>23</v>
      </c>
      <c r="Z1" s="175" t="s">
        <v>24</v>
      </c>
      <c r="AA1" s="106" t="s">
        <v>25</v>
      </c>
      <c r="AB1" s="107" t="s">
        <v>162</v>
      </c>
      <c r="AC1" s="108"/>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163</v>
      </c>
      <c r="AY1" s="186" t="s">
        <v>164</v>
      </c>
      <c r="AZ1" s="186" t="s">
        <v>165</v>
      </c>
      <c r="BA1" s="187" t="s">
        <v>166</v>
      </c>
    </row>
    <row r="2" spans="1:53" s="115" customFormat="1" x14ac:dyDescent="0.15">
      <c r="A2" s="109" t="s">
        <v>61</v>
      </c>
      <c r="B2" s="109" t="s">
        <v>347</v>
      </c>
      <c r="C2" s="109">
        <v>2018</v>
      </c>
      <c r="D2" s="110" t="s">
        <v>353</v>
      </c>
      <c r="E2" s="109" t="s">
        <v>253</v>
      </c>
      <c r="F2" s="109" t="s">
        <v>252</v>
      </c>
      <c r="G2" s="109" t="s">
        <v>42</v>
      </c>
      <c r="H2" s="219" t="s">
        <v>155</v>
      </c>
      <c r="I2" s="219" t="s">
        <v>153</v>
      </c>
      <c r="J2" s="109" t="s">
        <v>38</v>
      </c>
      <c r="K2" s="219" t="s">
        <v>154</v>
      </c>
      <c r="L2" s="219">
        <v>1</v>
      </c>
      <c r="M2" s="219"/>
      <c r="N2" s="219">
        <v>1</v>
      </c>
      <c r="O2" s="219">
        <v>0.6</v>
      </c>
      <c r="P2" s="219">
        <v>0.6</v>
      </c>
      <c r="Q2" s="111">
        <f t="shared" ref="Q2:Q65" si="0">IF(OR(O2="",P2=""),"",AVERAGE(O2,P2))</f>
        <v>0.6</v>
      </c>
      <c r="R2" s="219">
        <v>17.2</v>
      </c>
      <c r="S2" s="219">
        <v>136</v>
      </c>
      <c r="T2" s="112">
        <f t="shared" ref="T2:T65" si="1">IF(H2="","",IF(OR(H2="GREEN",H2="GK"),IF(S2&gt;=$AX$2,VLOOKUP(S2,$AX$2:$AY$15,2,1),""),IF(S2&gt;=$AZ$2,VLOOKUP(S2,$AZ$2:$BA$15,2,1),"")))</f>
        <v>25</v>
      </c>
      <c r="U2" s="219">
        <v>148</v>
      </c>
      <c r="V2" s="113">
        <f t="shared" ref="V2:V65" si="2">IF(OR(N2="",U2="",T2=""),"",U2/N2*T2)</f>
        <v>3700</v>
      </c>
      <c r="W2" s="219">
        <v>2</v>
      </c>
      <c r="X2" s="109" t="s">
        <v>39</v>
      </c>
      <c r="Y2" s="219" t="s">
        <v>78</v>
      </c>
      <c r="Z2" s="219" t="s">
        <v>102</v>
      </c>
      <c r="AA2" s="219" t="s">
        <v>90</v>
      </c>
      <c r="AB2" s="109" t="s">
        <v>349</v>
      </c>
      <c r="AC2" s="114"/>
      <c r="AE2" s="190" t="s">
        <v>35</v>
      </c>
      <c r="AG2" s="49" t="s">
        <v>253</v>
      </c>
      <c r="AH2" s="49" t="s">
        <v>252</v>
      </c>
      <c r="AJ2" s="116" t="s">
        <v>36</v>
      </c>
      <c r="AL2" s="191" t="s">
        <v>127</v>
      </c>
      <c r="AN2" s="116" t="s">
        <v>37</v>
      </c>
      <c r="AP2" s="191" t="s">
        <v>38</v>
      </c>
      <c r="AR2" s="191" t="s">
        <v>120</v>
      </c>
      <c r="AT2" s="116" t="s">
        <v>39</v>
      </c>
      <c r="AV2" s="191" t="s">
        <v>40</v>
      </c>
      <c r="AX2" s="117">
        <v>1</v>
      </c>
      <c r="AY2" s="118">
        <v>50</v>
      </c>
      <c r="AZ2" s="118">
        <v>1</v>
      </c>
      <c r="BA2" s="119">
        <v>50</v>
      </c>
    </row>
    <row r="3" spans="1:53" x14ac:dyDescent="0.15">
      <c r="A3" s="109" t="s">
        <v>61</v>
      </c>
      <c r="B3" s="109" t="s">
        <v>347</v>
      </c>
      <c r="C3" s="109">
        <v>2018</v>
      </c>
      <c r="D3" s="110" t="s">
        <v>353</v>
      </c>
      <c r="E3" s="109" t="s">
        <v>253</v>
      </c>
      <c r="F3" s="109" t="s">
        <v>252</v>
      </c>
      <c r="G3" s="109" t="s">
        <v>42</v>
      </c>
      <c r="H3" s="219" t="s">
        <v>155</v>
      </c>
      <c r="I3" s="219" t="s">
        <v>153</v>
      </c>
      <c r="J3" s="109" t="s">
        <v>38</v>
      </c>
      <c r="K3" s="219" t="s">
        <v>154</v>
      </c>
      <c r="L3" s="219">
        <v>2</v>
      </c>
      <c r="M3" s="219"/>
      <c r="N3" s="219">
        <v>1</v>
      </c>
      <c r="O3" s="219">
        <v>0.65</v>
      </c>
      <c r="P3" s="219">
        <v>0.65</v>
      </c>
      <c r="Q3" s="111">
        <f t="shared" si="0"/>
        <v>0.65</v>
      </c>
      <c r="R3" s="219">
        <v>17.3</v>
      </c>
      <c r="S3" s="219">
        <v>136</v>
      </c>
      <c r="T3" s="112">
        <f t="shared" si="1"/>
        <v>25</v>
      </c>
      <c r="U3" s="219">
        <v>148</v>
      </c>
      <c r="V3" s="113">
        <f t="shared" si="2"/>
        <v>3700</v>
      </c>
      <c r="W3" s="219">
        <v>2</v>
      </c>
      <c r="X3" s="109" t="s">
        <v>39</v>
      </c>
      <c r="Y3" s="219" t="s">
        <v>78</v>
      </c>
      <c r="Z3" s="219" t="s">
        <v>102</v>
      </c>
      <c r="AA3" s="219" t="s">
        <v>90</v>
      </c>
      <c r="AB3" s="109" t="s">
        <v>349</v>
      </c>
      <c r="AC3" s="114"/>
      <c r="AE3" s="195" t="s">
        <v>41</v>
      </c>
      <c r="AG3" s="49" t="s">
        <v>254</v>
      </c>
      <c r="AH3" s="49" t="s">
        <v>255</v>
      </c>
      <c r="AJ3" s="196" t="s">
        <v>42</v>
      </c>
      <c r="AL3" s="196" t="s">
        <v>128</v>
      </c>
      <c r="AN3" s="196" t="s">
        <v>43</v>
      </c>
      <c r="AP3" s="196" t="s">
        <v>44</v>
      </c>
      <c r="AR3" s="210" t="s">
        <v>45</v>
      </c>
      <c r="AT3" s="196" t="s">
        <v>46</v>
      </c>
      <c r="AV3" s="210" t="s">
        <v>47</v>
      </c>
      <c r="AX3" s="197">
        <v>72</v>
      </c>
      <c r="AY3" s="198">
        <v>46</v>
      </c>
      <c r="AZ3" s="198">
        <v>71</v>
      </c>
      <c r="BA3" s="199">
        <v>42</v>
      </c>
    </row>
    <row r="4" spans="1:53" x14ac:dyDescent="0.15">
      <c r="A4" s="109" t="s">
        <v>61</v>
      </c>
      <c r="B4" s="109" t="s">
        <v>347</v>
      </c>
      <c r="C4" s="109">
        <v>2018</v>
      </c>
      <c r="D4" s="110" t="s">
        <v>353</v>
      </c>
      <c r="E4" s="109" t="s">
        <v>253</v>
      </c>
      <c r="F4" s="109" t="s">
        <v>252</v>
      </c>
      <c r="G4" s="109" t="s">
        <v>42</v>
      </c>
      <c r="H4" s="219" t="s">
        <v>155</v>
      </c>
      <c r="I4" s="219" t="s">
        <v>153</v>
      </c>
      <c r="J4" s="109" t="s">
        <v>38</v>
      </c>
      <c r="K4" s="219" t="s">
        <v>154</v>
      </c>
      <c r="L4" s="219">
        <v>3</v>
      </c>
      <c r="M4" s="219"/>
      <c r="N4" s="219">
        <v>1</v>
      </c>
      <c r="O4" s="219">
        <v>0.5</v>
      </c>
      <c r="P4" s="219">
        <v>0.55000000000000004</v>
      </c>
      <c r="Q4" s="111">
        <f t="shared" si="0"/>
        <v>0.52500000000000002</v>
      </c>
      <c r="R4" s="219">
        <v>18.100000000000001</v>
      </c>
      <c r="S4" s="219">
        <v>137</v>
      </c>
      <c r="T4" s="112">
        <f t="shared" si="1"/>
        <v>25</v>
      </c>
      <c r="U4" s="219">
        <v>148</v>
      </c>
      <c r="V4" s="113">
        <f t="shared" si="2"/>
        <v>3700</v>
      </c>
      <c r="W4" s="219">
        <v>2</v>
      </c>
      <c r="X4" s="109" t="s">
        <v>39</v>
      </c>
      <c r="Y4" s="219" t="s">
        <v>78</v>
      </c>
      <c r="Z4" s="219" t="s">
        <v>102</v>
      </c>
      <c r="AA4" s="219" t="s">
        <v>90</v>
      </c>
      <c r="AB4" s="109" t="s">
        <v>349</v>
      </c>
      <c r="AC4" s="114"/>
      <c r="AE4" s="195" t="s">
        <v>34</v>
      </c>
      <c r="AG4" s="49" t="s">
        <v>256</v>
      </c>
      <c r="AH4" s="49" t="s">
        <v>257</v>
      </c>
      <c r="AJ4" s="200" t="s">
        <v>48</v>
      </c>
      <c r="AL4" s="200" t="s">
        <v>129</v>
      </c>
      <c r="AN4" s="201" t="s">
        <v>49</v>
      </c>
      <c r="AP4" s="196" t="s">
        <v>167</v>
      </c>
      <c r="AR4" s="210" t="s">
        <v>121</v>
      </c>
      <c r="AT4" s="201"/>
      <c r="AV4" s="210" t="s">
        <v>50</v>
      </c>
      <c r="AX4" s="197">
        <v>75</v>
      </c>
      <c r="AY4" s="198">
        <v>42</v>
      </c>
      <c r="AZ4" s="198">
        <v>76</v>
      </c>
      <c r="BA4" s="199">
        <v>39</v>
      </c>
    </row>
    <row r="5" spans="1:53" x14ac:dyDescent="0.15">
      <c r="A5" s="109" t="s">
        <v>61</v>
      </c>
      <c r="B5" s="109" t="s">
        <v>347</v>
      </c>
      <c r="C5" s="109">
        <v>2018</v>
      </c>
      <c r="D5" s="110" t="s">
        <v>353</v>
      </c>
      <c r="E5" s="109" t="s">
        <v>253</v>
      </c>
      <c r="F5" s="109" t="s">
        <v>252</v>
      </c>
      <c r="G5" s="109" t="s">
        <v>42</v>
      </c>
      <c r="H5" s="219" t="s">
        <v>168</v>
      </c>
      <c r="I5" s="219" t="s">
        <v>153</v>
      </c>
      <c r="J5" s="109" t="s">
        <v>38</v>
      </c>
      <c r="K5" s="219" t="s">
        <v>154</v>
      </c>
      <c r="L5" s="219">
        <v>1</v>
      </c>
      <c r="M5" s="219"/>
      <c r="N5" s="219">
        <v>1</v>
      </c>
      <c r="O5" s="219">
        <v>0.5</v>
      </c>
      <c r="P5" s="219">
        <v>0.55000000000000004</v>
      </c>
      <c r="Q5" s="111">
        <f t="shared" si="0"/>
        <v>0.52500000000000002</v>
      </c>
      <c r="R5" s="219">
        <v>18.399999999999999</v>
      </c>
      <c r="S5" s="219">
        <v>124</v>
      </c>
      <c r="T5" s="112">
        <f t="shared" si="1"/>
        <v>27</v>
      </c>
      <c r="U5" s="219">
        <v>166</v>
      </c>
      <c r="V5" s="113">
        <f t="shared" si="2"/>
        <v>4482</v>
      </c>
      <c r="W5" s="219">
        <v>2</v>
      </c>
      <c r="X5" s="109" t="s">
        <v>39</v>
      </c>
      <c r="Y5" s="219" t="s">
        <v>78</v>
      </c>
      <c r="Z5" s="219" t="s">
        <v>102</v>
      </c>
      <c r="AA5" s="219" t="s">
        <v>90</v>
      </c>
      <c r="AB5" s="109" t="s">
        <v>349</v>
      </c>
      <c r="AC5" s="114"/>
      <c r="AE5" s="195" t="s">
        <v>51</v>
      </c>
      <c r="AG5" s="49" t="s">
        <v>258</v>
      </c>
      <c r="AH5" s="49" t="s">
        <v>259</v>
      </c>
      <c r="AJ5" s="200"/>
      <c r="AL5" s="202" t="s">
        <v>170</v>
      </c>
      <c r="AN5" s="202" t="s">
        <v>171</v>
      </c>
      <c r="AP5" s="196" t="s">
        <v>172</v>
      </c>
      <c r="AR5" s="210" t="s">
        <v>54</v>
      </c>
      <c r="AT5" s="219"/>
      <c r="AV5" s="210" t="s">
        <v>55</v>
      </c>
      <c r="AX5" s="197">
        <v>84</v>
      </c>
      <c r="AY5" s="198">
        <v>39</v>
      </c>
      <c r="AZ5" s="198">
        <v>84</v>
      </c>
      <c r="BA5" s="199">
        <v>36</v>
      </c>
    </row>
    <row r="6" spans="1:53" x14ac:dyDescent="0.15">
      <c r="A6" s="109" t="s">
        <v>61</v>
      </c>
      <c r="B6" s="109" t="s">
        <v>347</v>
      </c>
      <c r="C6" s="109">
        <v>2018</v>
      </c>
      <c r="D6" s="110" t="s">
        <v>353</v>
      </c>
      <c r="E6" s="109" t="s">
        <v>253</v>
      </c>
      <c r="F6" s="109" t="s">
        <v>252</v>
      </c>
      <c r="G6" s="109" t="s">
        <v>42</v>
      </c>
      <c r="H6" s="219" t="s">
        <v>168</v>
      </c>
      <c r="I6" s="219" t="s">
        <v>153</v>
      </c>
      <c r="J6" s="109" t="s">
        <v>38</v>
      </c>
      <c r="K6" s="219" t="s">
        <v>154</v>
      </c>
      <c r="L6" s="219">
        <v>2</v>
      </c>
      <c r="M6" s="219"/>
      <c r="N6" s="219">
        <v>1</v>
      </c>
      <c r="O6" s="219">
        <v>0.55000000000000004</v>
      </c>
      <c r="P6" s="219">
        <v>0.5</v>
      </c>
      <c r="Q6" s="111">
        <f t="shared" si="0"/>
        <v>0.52500000000000002</v>
      </c>
      <c r="R6" s="219">
        <v>18.600000000000001</v>
      </c>
      <c r="S6" s="219">
        <v>126</v>
      </c>
      <c r="T6" s="112">
        <f t="shared" si="1"/>
        <v>27</v>
      </c>
      <c r="U6" s="219">
        <v>166</v>
      </c>
      <c r="V6" s="113">
        <f t="shared" si="2"/>
        <v>4482</v>
      </c>
      <c r="W6" s="219">
        <v>2</v>
      </c>
      <c r="X6" s="109" t="s">
        <v>39</v>
      </c>
      <c r="Y6" s="219" t="s">
        <v>78</v>
      </c>
      <c r="Z6" s="219" t="s">
        <v>102</v>
      </c>
      <c r="AA6" s="219" t="s">
        <v>90</v>
      </c>
      <c r="AB6" s="109" t="s">
        <v>349</v>
      </c>
      <c r="AC6" s="114"/>
      <c r="AE6" s="195" t="s">
        <v>56</v>
      </c>
      <c r="AG6" s="49" t="s">
        <v>260</v>
      </c>
      <c r="AH6" s="49" t="s">
        <v>261</v>
      </c>
      <c r="AJ6" s="200"/>
      <c r="AL6" s="202" t="s">
        <v>173</v>
      </c>
      <c r="AN6" s="202" t="s">
        <v>174</v>
      </c>
      <c r="AP6" s="196" t="s">
        <v>53</v>
      </c>
      <c r="AR6" s="210" t="s">
        <v>59</v>
      </c>
      <c r="AT6" s="219"/>
      <c r="AV6" s="210" t="s">
        <v>60</v>
      </c>
      <c r="AX6" s="197">
        <v>97</v>
      </c>
      <c r="AY6" s="198">
        <v>36</v>
      </c>
      <c r="AZ6" s="198">
        <v>99</v>
      </c>
      <c r="BA6" s="199">
        <v>33</v>
      </c>
    </row>
    <row r="7" spans="1:53" x14ac:dyDescent="0.15">
      <c r="A7" s="109" t="s">
        <v>61</v>
      </c>
      <c r="B7" s="109" t="s">
        <v>347</v>
      </c>
      <c r="C7" s="109">
        <v>2018</v>
      </c>
      <c r="D7" s="110" t="s">
        <v>353</v>
      </c>
      <c r="E7" s="109" t="s">
        <v>253</v>
      </c>
      <c r="F7" s="109" t="s">
        <v>252</v>
      </c>
      <c r="G7" s="109" t="s">
        <v>42</v>
      </c>
      <c r="H7" s="219" t="s">
        <v>168</v>
      </c>
      <c r="I7" s="219" t="s">
        <v>153</v>
      </c>
      <c r="J7" s="109" t="s">
        <v>38</v>
      </c>
      <c r="K7" s="219" t="s">
        <v>154</v>
      </c>
      <c r="L7" s="219">
        <v>3</v>
      </c>
      <c r="M7" s="219"/>
      <c r="N7" s="219">
        <v>1</v>
      </c>
      <c r="O7" s="219">
        <v>0.6</v>
      </c>
      <c r="P7" s="219">
        <v>0.65</v>
      </c>
      <c r="Q7" s="111">
        <f t="shared" si="0"/>
        <v>0.625</v>
      </c>
      <c r="R7" s="219">
        <v>18.600000000000001</v>
      </c>
      <c r="S7" s="219">
        <v>129</v>
      </c>
      <c r="T7" s="112">
        <f t="shared" si="1"/>
        <v>25</v>
      </c>
      <c r="U7" s="219">
        <v>166</v>
      </c>
      <c r="V7" s="113">
        <f t="shared" si="2"/>
        <v>4150</v>
      </c>
      <c r="W7" s="219">
        <v>2</v>
      </c>
      <c r="X7" s="109" t="s">
        <v>39</v>
      </c>
      <c r="Y7" s="219" t="s">
        <v>78</v>
      </c>
      <c r="Z7" s="219" t="s">
        <v>102</v>
      </c>
      <c r="AA7" s="219" t="s">
        <v>90</v>
      </c>
      <c r="AB7" s="109" t="s">
        <v>349</v>
      </c>
      <c r="AC7" s="114"/>
      <c r="AE7" s="195" t="s">
        <v>61</v>
      </c>
      <c r="AG7" s="49" t="s">
        <v>262</v>
      </c>
      <c r="AH7" s="49" t="s">
        <v>263</v>
      </c>
      <c r="AJ7" s="200"/>
      <c r="AL7" s="207" t="s">
        <v>175</v>
      </c>
      <c r="AN7" s="120"/>
      <c r="AP7" s="196" t="s">
        <v>58</v>
      </c>
      <c r="AR7" s="203" t="s">
        <v>122</v>
      </c>
      <c r="AT7" s="219"/>
      <c r="AV7" s="210" t="s">
        <v>64</v>
      </c>
      <c r="AX7" s="197">
        <v>109</v>
      </c>
      <c r="AY7" s="198">
        <v>33</v>
      </c>
      <c r="AZ7" s="198">
        <v>113</v>
      </c>
      <c r="BA7" s="199">
        <v>30</v>
      </c>
    </row>
    <row r="8" spans="1:53" x14ac:dyDescent="0.15">
      <c r="A8" s="109" t="s">
        <v>61</v>
      </c>
      <c r="B8" s="109" t="s">
        <v>376</v>
      </c>
      <c r="C8" s="109">
        <v>2018</v>
      </c>
      <c r="D8" s="110" t="s">
        <v>405</v>
      </c>
      <c r="E8" s="109" t="s">
        <v>254</v>
      </c>
      <c r="F8" s="109" t="s">
        <v>255</v>
      </c>
      <c r="G8" s="109" t="s">
        <v>42</v>
      </c>
      <c r="H8" s="219" t="s">
        <v>155</v>
      </c>
      <c r="I8" s="219" t="s">
        <v>153</v>
      </c>
      <c r="J8" s="109" t="s">
        <v>38</v>
      </c>
      <c r="K8" s="219" t="s">
        <v>154</v>
      </c>
      <c r="L8" s="219">
        <v>1</v>
      </c>
      <c r="M8" s="219"/>
      <c r="N8" s="219">
        <v>1</v>
      </c>
      <c r="O8" s="219">
        <v>0.6</v>
      </c>
      <c r="P8" s="219">
        <v>0.6</v>
      </c>
      <c r="Q8" s="111">
        <f t="shared" si="0"/>
        <v>0.6</v>
      </c>
      <c r="R8" s="219">
        <v>18.100000000000001</v>
      </c>
      <c r="S8" s="219">
        <v>136</v>
      </c>
      <c r="T8" s="112">
        <f t="shared" si="1"/>
        <v>25</v>
      </c>
      <c r="U8" s="219">
        <v>98</v>
      </c>
      <c r="V8" s="113">
        <f t="shared" si="2"/>
        <v>2450</v>
      </c>
      <c r="W8" s="219">
        <v>7</v>
      </c>
      <c r="X8" s="109" t="s">
        <v>46</v>
      </c>
      <c r="Y8" s="219" t="s">
        <v>69</v>
      </c>
      <c r="Z8" s="219" t="s">
        <v>102</v>
      </c>
      <c r="AA8" s="219" t="s">
        <v>90</v>
      </c>
      <c r="AB8" s="109" t="s">
        <v>406</v>
      </c>
      <c r="AC8" s="114"/>
      <c r="AE8" s="195" t="s">
        <v>59</v>
      </c>
      <c r="AG8" s="49" t="s">
        <v>264</v>
      </c>
      <c r="AH8" s="49" t="s">
        <v>265</v>
      </c>
      <c r="AJ8" s="201"/>
      <c r="AL8" s="114" t="s">
        <v>368</v>
      </c>
      <c r="AN8" s="202"/>
      <c r="AP8" s="196" t="s">
        <v>62</v>
      </c>
      <c r="AR8" s="210" t="s">
        <v>81</v>
      </c>
      <c r="AT8" s="219"/>
      <c r="AV8" s="210" t="s">
        <v>97</v>
      </c>
      <c r="AX8" s="197">
        <v>119</v>
      </c>
      <c r="AY8" s="198">
        <v>30</v>
      </c>
      <c r="AZ8" s="198">
        <v>121</v>
      </c>
      <c r="BA8" s="199">
        <v>27</v>
      </c>
    </row>
    <row r="9" spans="1:53" x14ac:dyDescent="0.15">
      <c r="A9" s="109" t="s">
        <v>61</v>
      </c>
      <c r="B9" s="109" t="s">
        <v>376</v>
      </c>
      <c r="C9" s="109">
        <v>2018</v>
      </c>
      <c r="D9" s="110" t="s">
        <v>405</v>
      </c>
      <c r="E9" s="109" t="s">
        <v>254</v>
      </c>
      <c r="F9" s="109" t="s">
        <v>255</v>
      </c>
      <c r="G9" s="109" t="s">
        <v>42</v>
      </c>
      <c r="H9" s="219" t="s">
        <v>155</v>
      </c>
      <c r="I9" s="219" t="s">
        <v>153</v>
      </c>
      <c r="J9" s="109" t="s">
        <v>38</v>
      </c>
      <c r="K9" s="219" t="s">
        <v>154</v>
      </c>
      <c r="L9" s="219">
        <v>2</v>
      </c>
      <c r="M9" s="219"/>
      <c r="N9" s="219">
        <v>1</v>
      </c>
      <c r="O9" s="219">
        <v>0.6</v>
      </c>
      <c r="P9" s="219">
        <v>0.6</v>
      </c>
      <c r="Q9" s="111">
        <f t="shared" si="0"/>
        <v>0.6</v>
      </c>
      <c r="R9" s="219">
        <v>18.2</v>
      </c>
      <c r="S9" s="219">
        <v>135</v>
      </c>
      <c r="T9" s="112">
        <f t="shared" si="1"/>
        <v>25</v>
      </c>
      <c r="U9" s="219">
        <v>98</v>
      </c>
      <c r="V9" s="113">
        <f t="shared" si="2"/>
        <v>2450</v>
      </c>
      <c r="W9" s="219">
        <v>7</v>
      </c>
      <c r="X9" s="109" t="s">
        <v>46</v>
      </c>
      <c r="Y9" s="219" t="s">
        <v>69</v>
      </c>
      <c r="Z9" s="219" t="s">
        <v>102</v>
      </c>
      <c r="AA9" s="219" t="s">
        <v>90</v>
      </c>
      <c r="AB9" s="109" t="s">
        <v>406</v>
      </c>
      <c r="AC9" s="114"/>
      <c r="AE9" s="195" t="s">
        <v>98</v>
      </c>
      <c r="AG9" s="49" t="s">
        <v>133</v>
      </c>
      <c r="AH9" s="49" t="s">
        <v>266</v>
      </c>
      <c r="AJ9" s="219"/>
      <c r="AL9" s="202"/>
      <c r="AN9" s="202"/>
      <c r="AP9" s="196" t="s">
        <v>95</v>
      </c>
      <c r="AR9" s="203" t="s">
        <v>89</v>
      </c>
      <c r="AT9" s="219"/>
      <c r="AV9" s="210" t="s">
        <v>102</v>
      </c>
      <c r="AX9" s="197">
        <v>128</v>
      </c>
      <c r="AY9" s="198">
        <v>27</v>
      </c>
      <c r="AZ9" s="198">
        <v>129</v>
      </c>
      <c r="BA9" s="199">
        <v>25</v>
      </c>
    </row>
    <row r="10" spans="1:53" x14ac:dyDescent="0.15">
      <c r="A10" s="109" t="s">
        <v>61</v>
      </c>
      <c r="B10" s="109" t="s">
        <v>379</v>
      </c>
      <c r="C10" s="109">
        <v>2018</v>
      </c>
      <c r="D10" s="110" t="s">
        <v>407</v>
      </c>
      <c r="E10" s="109" t="s">
        <v>254</v>
      </c>
      <c r="F10" s="109" t="s">
        <v>255</v>
      </c>
      <c r="G10" s="109" t="s">
        <v>42</v>
      </c>
      <c r="H10" s="219" t="s">
        <v>155</v>
      </c>
      <c r="I10" s="219" t="s">
        <v>153</v>
      </c>
      <c r="J10" s="109" t="s">
        <v>38</v>
      </c>
      <c r="K10" s="219" t="s">
        <v>154</v>
      </c>
      <c r="L10" s="219">
        <v>3</v>
      </c>
      <c r="M10" s="219"/>
      <c r="N10" s="219">
        <v>1</v>
      </c>
      <c r="O10" s="219">
        <v>0.65</v>
      </c>
      <c r="P10" s="219">
        <v>0.65</v>
      </c>
      <c r="Q10" s="111">
        <f t="shared" si="0"/>
        <v>0.65</v>
      </c>
      <c r="R10" s="219">
        <v>18.100000000000001</v>
      </c>
      <c r="S10" s="219">
        <v>140</v>
      </c>
      <c r="T10" s="112">
        <f t="shared" si="1"/>
        <v>22</v>
      </c>
      <c r="U10" s="219">
        <v>98</v>
      </c>
      <c r="V10" s="113">
        <f t="shared" si="2"/>
        <v>2156</v>
      </c>
      <c r="W10" s="219">
        <v>7</v>
      </c>
      <c r="X10" s="109" t="s">
        <v>46</v>
      </c>
      <c r="Y10" s="219" t="s">
        <v>69</v>
      </c>
      <c r="Z10" s="219" t="s">
        <v>102</v>
      </c>
      <c r="AA10" s="219" t="s">
        <v>90</v>
      </c>
      <c r="AB10" s="109" t="s">
        <v>408</v>
      </c>
      <c r="AC10" s="114"/>
      <c r="AE10" s="195" t="s">
        <v>103</v>
      </c>
      <c r="AG10" s="49" t="s">
        <v>267</v>
      </c>
      <c r="AH10" s="49" t="s">
        <v>268</v>
      </c>
      <c r="AJ10" s="219"/>
      <c r="AL10" s="200"/>
      <c r="AN10" s="219"/>
      <c r="AP10" s="196" t="s">
        <v>100</v>
      </c>
      <c r="AR10" s="203" t="s">
        <v>123</v>
      </c>
      <c r="AT10" s="219"/>
      <c r="AV10" s="210" t="s">
        <v>106</v>
      </c>
      <c r="AX10" s="197">
        <v>138</v>
      </c>
      <c r="AY10" s="198">
        <v>25</v>
      </c>
      <c r="AZ10" s="198">
        <v>138</v>
      </c>
      <c r="BA10" s="199">
        <v>22</v>
      </c>
    </row>
    <row r="11" spans="1:53" x14ac:dyDescent="0.15">
      <c r="A11" s="109" t="s">
        <v>409</v>
      </c>
      <c r="B11" s="109" t="s">
        <v>379</v>
      </c>
      <c r="C11" s="109">
        <v>2018</v>
      </c>
      <c r="D11" s="110" t="s">
        <v>407</v>
      </c>
      <c r="E11" s="109" t="s">
        <v>254</v>
      </c>
      <c r="F11" s="109" t="s">
        <v>255</v>
      </c>
      <c r="G11" s="109" t="s">
        <v>42</v>
      </c>
      <c r="H11" s="219" t="s">
        <v>168</v>
      </c>
      <c r="I11" s="219" t="s">
        <v>153</v>
      </c>
      <c r="J11" s="109" t="s">
        <v>38</v>
      </c>
      <c r="K11" s="219" t="s">
        <v>154</v>
      </c>
      <c r="L11" s="219">
        <v>1</v>
      </c>
      <c r="M11" s="219"/>
      <c r="N11" s="219">
        <v>4</v>
      </c>
      <c r="O11" s="219">
        <v>0.5</v>
      </c>
      <c r="P11" s="219">
        <v>0.55000000000000004</v>
      </c>
      <c r="Q11" s="111">
        <f t="shared" si="0"/>
        <v>0.52500000000000002</v>
      </c>
      <c r="R11" s="219">
        <v>18.600000000000001</v>
      </c>
      <c r="S11" s="219">
        <v>95</v>
      </c>
      <c r="T11" s="112">
        <f t="shared" si="1"/>
        <v>36</v>
      </c>
      <c r="U11" s="219">
        <v>429</v>
      </c>
      <c r="V11" s="113">
        <f t="shared" si="2"/>
        <v>3861</v>
      </c>
      <c r="W11" s="219">
        <v>7</v>
      </c>
      <c r="X11" s="109" t="s">
        <v>46</v>
      </c>
      <c r="Y11" s="219" t="s">
        <v>69</v>
      </c>
      <c r="Z11" s="219" t="s">
        <v>102</v>
      </c>
      <c r="AA11" s="219" t="s">
        <v>90</v>
      </c>
      <c r="AB11" s="109" t="s">
        <v>408</v>
      </c>
      <c r="AC11" s="114"/>
      <c r="AE11" s="195" t="s">
        <v>65</v>
      </c>
      <c r="AG11" s="49" t="s">
        <v>269</v>
      </c>
      <c r="AH11" s="49" t="s">
        <v>268</v>
      </c>
      <c r="AJ11" s="219"/>
      <c r="AL11" s="121"/>
      <c r="AN11" s="219"/>
      <c r="AP11" s="196" t="s">
        <v>104</v>
      </c>
      <c r="AR11" s="203" t="s">
        <v>87</v>
      </c>
      <c r="AV11" s="122" t="s">
        <v>410</v>
      </c>
      <c r="AX11" s="197">
        <v>151</v>
      </c>
      <c r="AY11" s="198">
        <v>22</v>
      </c>
      <c r="AZ11" s="198">
        <v>152</v>
      </c>
      <c r="BA11" s="199">
        <v>18</v>
      </c>
    </row>
    <row r="12" spans="1:53" x14ac:dyDescent="0.15">
      <c r="A12" s="109" t="s">
        <v>61</v>
      </c>
      <c r="B12" s="109" t="s">
        <v>384</v>
      </c>
      <c r="C12" s="109">
        <v>2018</v>
      </c>
      <c r="D12" s="110" t="s">
        <v>411</v>
      </c>
      <c r="E12" s="109" t="s">
        <v>254</v>
      </c>
      <c r="F12" s="109" t="s">
        <v>255</v>
      </c>
      <c r="G12" s="109" t="s">
        <v>42</v>
      </c>
      <c r="H12" s="219" t="s">
        <v>168</v>
      </c>
      <c r="I12" s="219" t="s">
        <v>153</v>
      </c>
      <c r="J12" s="109" t="s">
        <v>38</v>
      </c>
      <c r="K12" s="219" t="s">
        <v>154</v>
      </c>
      <c r="L12" s="219">
        <v>2</v>
      </c>
      <c r="M12" s="219"/>
      <c r="N12" s="219">
        <v>4</v>
      </c>
      <c r="O12" s="219">
        <v>0.55000000000000004</v>
      </c>
      <c r="P12" s="219">
        <v>0.5</v>
      </c>
      <c r="Q12" s="111">
        <f t="shared" si="0"/>
        <v>0.52500000000000002</v>
      </c>
      <c r="R12" s="219">
        <v>18.399999999999999</v>
      </c>
      <c r="S12" s="219">
        <v>95</v>
      </c>
      <c r="T12" s="112">
        <f t="shared" si="1"/>
        <v>36</v>
      </c>
      <c r="U12" s="219">
        <v>429</v>
      </c>
      <c r="V12" s="113">
        <f t="shared" si="2"/>
        <v>3861</v>
      </c>
      <c r="W12" s="219">
        <v>7</v>
      </c>
      <c r="X12" s="109" t="s">
        <v>46</v>
      </c>
      <c r="Y12" s="219" t="s">
        <v>69</v>
      </c>
      <c r="Z12" s="219" t="s">
        <v>102</v>
      </c>
      <c r="AA12" s="219" t="s">
        <v>90</v>
      </c>
      <c r="AB12" s="109" t="s">
        <v>412</v>
      </c>
      <c r="AC12" s="114"/>
      <c r="AE12" s="195" t="s">
        <v>70</v>
      </c>
      <c r="AG12" s="196"/>
      <c r="AH12" s="195"/>
      <c r="AJ12" s="219"/>
      <c r="AL12" s="121"/>
      <c r="AN12" s="219"/>
      <c r="AP12" s="196" t="s">
        <v>67</v>
      </c>
      <c r="AR12" s="203" t="s">
        <v>124</v>
      </c>
      <c r="AV12" s="122" t="s">
        <v>413</v>
      </c>
      <c r="AX12" s="197">
        <v>180</v>
      </c>
      <c r="AY12" s="198">
        <v>18</v>
      </c>
      <c r="AZ12" s="198">
        <v>181</v>
      </c>
      <c r="BA12" s="199">
        <v>16</v>
      </c>
    </row>
    <row r="13" spans="1:53" x14ac:dyDescent="0.15">
      <c r="A13" s="109" t="s">
        <v>61</v>
      </c>
      <c r="B13" s="109" t="s">
        <v>388</v>
      </c>
      <c r="C13" s="109">
        <v>2018</v>
      </c>
      <c r="D13" s="110" t="s">
        <v>414</v>
      </c>
      <c r="E13" s="109" t="s">
        <v>254</v>
      </c>
      <c r="F13" s="109" t="s">
        <v>255</v>
      </c>
      <c r="G13" s="109" t="s">
        <v>42</v>
      </c>
      <c r="H13" s="219" t="s">
        <v>168</v>
      </c>
      <c r="I13" s="219" t="s">
        <v>153</v>
      </c>
      <c r="J13" s="109" t="s">
        <v>38</v>
      </c>
      <c r="K13" s="219" t="s">
        <v>154</v>
      </c>
      <c r="L13" s="219">
        <v>3</v>
      </c>
      <c r="M13" s="219"/>
      <c r="N13" s="219">
        <v>4</v>
      </c>
      <c r="O13" s="219">
        <v>0.5</v>
      </c>
      <c r="P13" s="219">
        <v>0.5</v>
      </c>
      <c r="Q13" s="111">
        <f t="shared" si="0"/>
        <v>0.5</v>
      </c>
      <c r="R13" s="219">
        <v>18.100000000000001</v>
      </c>
      <c r="S13" s="219">
        <v>98</v>
      </c>
      <c r="T13" s="112">
        <f t="shared" si="1"/>
        <v>36</v>
      </c>
      <c r="U13" s="219">
        <v>429</v>
      </c>
      <c r="V13" s="113">
        <f t="shared" si="2"/>
        <v>3861</v>
      </c>
      <c r="W13" s="219">
        <v>7</v>
      </c>
      <c r="X13" s="109" t="s">
        <v>46</v>
      </c>
      <c r="Y13" s="219" t="s">
        <v>69</v>
      </c>
      <c r="Z13" s="219" t="s">
        <v>102</v>
      </c>
      <c r="AA13" s="219" t="s">
        <v>90</v>
      </c>
      <c r="AB13" s="109" t="s">
        <v>415</v>
      </c>
      <c r="AC13" s="114"/>
      <c r="AE13" s="195" t="s">
        <v>73</v>
      </c>
      <c r="AG13" s="196"/>
      <c r="AH13" s="195"/>
      <c r="AJ13" s="219"/>
      <c r="AL13" s="123"/>
      <c r="AN13" s="219"/>
      <c r="AP13" s="196" t="s">
        <v>71</v>
      </c>
      <c r="AR13" s="203" t="s">
        <v>103</v>
      </c>
      <c r="AV13" s="122" t="s">
        <v>416</v>
      </c>
      <c r="AX13" s="197"/>
      <c r="AY13" s="198"/>
      <c r="AZ13" s="198"/>
      <c r="BA13" s="199"/>
    </row>
    <row r="14" spans="1:53" x14ac:dyDescent="0.15">
      <c r="A14" s="109" t="s">
        <v>61</v>
      </c>
      <c r="B14" s="109" t="s">
        <v>390</v>
      </c>
      <c r="C14" s="109">
        <v>2018</v>
      </c>
      <c r="D14" s="110" t="s">
        <v>417</v>
      </c>
      <c r="E14" s="109" t="s">
        <v>256</v>
      </c>
      <c r="F14" s="109" t="s">
        <v>257</v>
      </c>
      <c r="G14" s="109" t="s">
        <v>42</v>
      </c>
      <c r="H14" s="219" t="s">
        <v>155</v>
      </c>
      <c r="I14" s="219" t="s">
        <v>153</v>
      </c>
      <c r="J14" s="109" t="s">
        <v>38</v>
      </c>
      <c r="K14" s="219" t="s">
        <v>154</v>
      </c>
      <c r="L14" s="219">
        <v>1</v>
      </c>
      <c r="M14" s="219"/>
      <c r="N14" s="219">
        <v>5</v>
      </c>
      <c r="O14" s="219">
        <v>0.8</v>
      </c>
      <c r="P14" s="219">
        <v>0.75</v>
      </c>
      <c r="Q14" s="111">
        <f t="shared" si="0"/>
        <v>0.77500000000000002</v>
      </c>
      <c r="R14" s="219">
        <v>16.100000000000001</v>
      </c>
      <c r="S14" s="219">
        <v>75</v>
      </c>
      <c r="T14" s="112">
        <f t="shared" si="1"/>
        <v>42</v>
      </c>
      <c r="U14" s="219">
        <v>298</v>
      </c>
      <c r="V14" s="113">
        <f t="shared" si="2"/>
        <v>2503.2000000000003</v>
      </c>
      <c r="W14" s="219">
        <v>12</v>
      </c>
      <c r="X14" s="109" t="s">
        <v>46</v>
      </c>
      <c r="Y14" s="219" t="s">
        <v>78</v>
      </c>
      <c r="Z14" s="219" t="s">
        <v>55</v>
      </c>
      <c r="AA14" s="219" t="s">
        <v>69</v>
      </c>
      <c r="AB14" s="109" t="s">
        <v>418</v>
      </c>
      <c r="AC14" s="114"/>
      <c r="AE14" s="195" t="s">
        <v>76</v>
      </c>
      <c r="AG14" s="196"/>
      <c r="AH14" s="195"/>
      <c r="AL14" s="207"/>
      <c r="AP14" s="196" t="s">
        <v>74</v>
      </c>
      <c r="AR14" s="203" t="s">
        <v>125</v>
      </c>
      <c r="AV14" s="122" t="s">
        <v>419</v>
      </c>
      <c r="AX14" s="197"/>
      <c r="AY14" s="198"/>
      <c r="AZ14" s="198"/>
      <c r="BA14" s="199"/>
    </row>
    <row r="15" spans="1:53" x14ac:dyDescent="0.15">
      <c r="A15" s="109" t="s">
        <v>61</v>
      </c>
      <c r="B15" s="109" t="s">
        <v>390</v>
      </c>
      <c r="C15" s="109">
        <v>2018</v>
      </c>
      <c r="D15" s="110" t="s">
        <v>417</v>
      </c>
      <c r="E15" s="109" t="s">
        <v>256</v>
      </c>
      <c r="F15" s="109" t="s">
        <v>257</v>
      </c>
      <c r="G15" s="109" t="s">
        <v>42</v>
      </c>
      <c r="H15" s="219" t="s">
        <v>155</v>
      </c>
      <c r="I15" s="219" t="s">
        <v>153</v>
      </c>
      <c r="J15" s="109" t="s">
        <v>38</v>
      </c>
      <c r="K15" s="219" t="s">
        <v>154</v>
      </c>
      <c r="L15" s="219">
        <v>2</v>
      </c>
      <c r="M15" s="219"/>
      <c r="N15" s="219">
        <v>5</v>
      </c>
      <c r="O15" s="219">
        <v>0.7</v>
      </c>
      <c r="P15" s="219">
        <v>0.7</v>
      </c>
      <c r="Q15" s="111">
        <f t="shared" si="0"/>
        <v>0.7</v>
      </c>
      <c r="R15" s="114">
        <v>16.8</v>
      </c>
      <c r="S15" s="219">
        <v>81</v>
      </c>
      <c r="T15" s="112">
        <f t="shared" si="1"/>
        <v>39</v>
      </c>
      <c r="U15" s="219">
        <v>298</v>
      </c>
      <c r="V15" s="113">
        <f t="shared" si="2"/>
        <v>2324.4</v>
      </c>
      <c r="W15" s="219">
        <v>12</v>
      </c>
      <c r="X15" s="109" t="s">
        <v>46</v>
      </c>
      <c r="Y15" s="219" t="s">
        <v>78</v>
      </c>
      <c r="Z15" s="219" t="s">
        <v>55</v>
      </c>
      <c r="AA15" s="219" t="s">
        <v>69</v>
      </c>
      <c r="AB15" s="109" t="s">
        <v>418</v>
      </c>
      <c r="AC15" s="114"/>
      <c r="AE15" s="195" t="s">
        <v>79</v>
      </c>
      <c r="AG15" s="196"/>
      <c r="AH15" s="196"/>
      <c r="AL15" s="207"/>
      <c r="AP15" s="196" t="s">
        <v>77</v>
      </c>
      <c r="AR15" s="203" t="s">
        <v>94</v>
      </c>
      <c r="AV15" s="122" t="s">
        <v>420</v>
      </c>
      <c r="AX15" s="204"/>
      <c r="AY15" s="205"/>
      <c r="AZ15" s="205"/>
      <c r="BA15" s="206"/>
    </row>
    <row r="16" spans="1:53" x14ac:dyDescent="0.15">
      <c r="A16" s="109" t="s">
        <v>61</v>
      </c>
      <c r="B16" s="109" t="s">
        <v>394</v>
      </c>
      <c r="C16" s="109">
        <v>2018</v>
      </c>
      <c r="D16" s="110" t="s">
        <v>421</v>
      </c>
      <c r="E16" s="109" t="s">
        <v>256</v>
      </c>
      <c r="F16" s="109" t="s">
        <v>257</v>
      </c>
      <c r="G16" s="109" t="s">
        <v>42</v>
      </c>
      <c r="H16" s="219" t="s">
        <v>155</v>
      </c>
      <c r="I16" s="219" t="s">
        <v>153</v>
      </c>
      <c r="J16" s="109" t="s">
        <v>38</v>
      </c>
      <c r="K16" s="219" t="s">
        <v>154</v>
      </c>
      <c r="L16" s="219">
        <v>3</v>
      </c>
      <c r="M16" s="219"/>
      <c r="N16" s="219">
        <v>5</v>
      </c>
      <c r="O16" s="219">
        <v>0.7</v>
      </c>
      <c r="P16" s="219">
        <v>0.75</v>
      </c>
      <c r="Q16" s="111">
        <f t="shared" si="0"/>
        <v>0.72499999999999998</v>
      </c>
      <c r="R16" s="219">
        <v>16.5</v>
      </c>
      <c r="S16" s="219">
        <v>73</v>
      </c>
      <c r="T16" s="112">
        <f t="shared" si="1"/>
        <v>42</v>
      </c>
      <c r="U16" s="219">
        <v>298</v>
      </c>
      <c r="V16" s="113">
        <f t="shared" si="2"/>
        <v>2503.2000000000003</v>
      </c>
      <c r="W16" s="219">
        <v>12</v>
      </c>
      <c r="X16" s="109" t="s">
        <v>46</v>
      </c>
      <c r="Y16" s="219" t="s">
        <v>78</v>
      </c>
      <c r="Z16" s="219" t="s">
        <v>55</v>
      </c>
      <c r="AA16" s="219" t="s">
        <v>69</v>
      </c>
      <c r="AB16" s="109" t="s">
        <v>422</v>
      </c>
      <c r="AC16" s="114"/>
      <c r="AE16" s="195" t="s">
        <v>82</v>
      </c>
      <c r="AG16" s="196"/>
      <c r="AH16" s="196"/>
      <c r="AP16" s="196" t="s">
        <v>80</v>
      </c>
      <c r="AR16" s="210" t="s">
        <v>63</v>
      </c>
      <c r="AV16" s="122" t="s">
        <v>423</v>
      </c>
    </row>
    <row r="17" spans="1:48" x14ac:dyDescent="0.15">
      <c r="A17" s="109" t="s">
        <v>61</v>
      </c>
      <c r="B17" s="109" t="s">
        <v>394</v>
      </c>
      <c r="C17" s="109">
        <v>2018</v>
      </c>
      <c r="D17" s="110" t="s">
        <v>421</v>
      </c>
      <c r="E17" s="109" t="s">
        <v>256</v>
      </c>
      <c r="F17" s="109" t="s">
        <v>257</v>
      </c>
      <c r="G17" s="109" t="s">
        <v>42</v>
      </c>
      <c r="H17" s="219" t="s">
        <v>168</v>
      </c>
      <c r="I17" s="219" t="s">
        <v>153</v>
      </c>
      <c r="J17" s="109" t="s">
        <v>38</v>
      </c>
      <c r="K17" s="219" t="s">
        <v>154</v>
      </c>
      <c r="L17" s="219">
        <v>1</v>
      </c>
      <c r="M17" s="219"/>
      <c r="N17" s="219">
        <v>1</v>
      </c>
      <c r="O17" s="219">
        <v>0.6</v>
      </c>
      <c r="P17" s="219">
        <v>0.6</v>
      </c>
      <c r="Q17" s="111">
        <f t="shared" si="0"/>
        <v>0.6</v>
      </c>
      <c r="R17" s="219">
        <v>17.8</v>
      </c>
      <c r="S17" s="219">
        <v>153</v>
      </c>
      <c r="T17" s="112">
        <f t="shared" si="1"/>
        <v>18</v>
      </c>
      <c r="U17" s="219">
        <v>158</v>
      </c>
      <c r="V17" s="113">
        <f t="shared" si="2"/>
        <v>2844</v>
      </c>
      <c r="W17" s="219">
        <v>12</v>
      </c>
      <c r="X17" s="109" t="s">
        <v>46</v>
      </c>
      <c r="Y17" s="219" t="s">
        <v>78</v>
      </c>
      <c r="Z17" s="219" t="s">
        <v>55</v>
      </c>
      <c r="AA17" s="219" t="s">
        <v>69</v>
      </c>
      <c r="AB17" s="109" t="s">
        <v>422</v>
      </c>
      <c r="AC17" s="114"/>
      <c r="AE17" s="195" t="s">
        <v>85</v>
      </c>
      <c r="AP17" s="211" t="s">
        <v>110</v>
      </c>
      <c r="AR17" s="210" t="s">
        <v>96</v>
      </c>
      <c r="AV17" s="122" t="s">
        <v>424</v>
      </c>
    </row>
    <row r="18" spans="1:48" x14ac:dyDescent="0.15">
      <c r="A18" s="109" t="s">
        <v>61</v>
      </c>
      <c r="B18" s="109" t="s">
        <v>394</v>
      </c>
      <c r="C18" s="109">
        <v>2018</v>
      </c>
      <c r="D18" s="110" t="s">
        <v>421</v>
      </c>
      <c r="E18" s="109" t="s">
        <v>256</v>
      </c>
      <c r="F18" s="109" t="s">
        <v>257</v>
      </c>
      <c r="G18" s="109" t="s">
        <v>42</v>
      </c>
      <c r="H18" s="219" t="s">
        <v>168</v>
      </c>
      <c r="I18" s="219" t="s">
        <v>153</v>
      </c>
      <c r="J18" s="109" t="s">
        <v>38</v>
      </c>
      <c r="K18" s="219" t="s">
        <v>154</v>
      </c>
      <c r="L18" s="219">
        <v>2</v>
      </c>
      <c r="M18" s="219"/>
      <c r="N18" s="219">
        <v>1</v>
      </c>
      <c r="O18" s="219">
        <v>0.65</v>
      </c>
      <c r="P18" s="219">
        <v>0.65</v>
      </c>
      <c r="Q18" s="111">
        <f t="shared" si="0"/>
        <v>0.65</v>
      </c>
      <c r="R18" s="219">
        <v>17.8</v>
      </c>
      <c r="S18" s="219">
        <v>145</v>
      </c>
      <c r="T18" s="112">
        <f t="shared" si="1"/>
        <v>22</v>
      </c>
      <c r="U18" s="219">
        <v>158</v>
      </c>
      <c r="V18" s="113">
        <f t="shared" si="2"/>
        <v>3476</v>
      </c>
      <c r="W18" s="219">
        <v>12</v>
      </c>
      <c r="X18" s="109" t="s">
        <v>46</v>
      </c>
      <c r="Y18" s="219" t="s">
        <v>78</v>
      </c>
      <c r="Z18" s="219" t="s">
        <v>55</v>
      </c>
      <c r="AA18" s="219" t="s">
        <v>69</v>
      </c>
      <c r="AB18" s="109" t="s">
        <v>422</v>
      </c>
      <c r="AC18" s="114"/>
      <c r="AE18" s="195" t="s">
        <v>87</v>
      </c>
      <c r="AP18" s="211" t="s">
        <v>111</v>
      </c>
      <c r="AR18" s="210" t="s">
        <v>101</v>
      </c>
      <c r="AV18" s="122" t="s">
        <v>369</v>
      </c>
    </row>
    <row r="19" spans="1:48" x14ac:dyDescent="0.15">
      <c r="A19" s="109" t="s">
        <v>61</v>
      </c>
      <c r="B19" s="109" t="s">
        <v>384</v>
      </c>
      <c r="C19" s="109">
        <v>2018</v>
      </c>
      <c r="D19" s="110" t="s">
        <v>411</v>
      </c>
      <c r="E19" s="109" t="s">
        <v>256</v>
      </c>
      <c r="F19" s="109" t="s">
        <v>257</v>
      </c>
      <c r="G19" s="109" t="s">
        <v>42</v>
      </c>
      <c r="H19" s="219" t="s">
        <v>168</v>
      </c>
      <c r="I19" s="219" t="s">
        <v>153</v>
      </c>
      <c r="J19" s="109" t="s">
        <v>38</v>
      </c>
      <c r="K19" s="219" t="s">
        <v>154</v>
      </c>
      <c r="L19" s="219">
        <v>3</v>
      </c>
      <c r="M19" s="219"/>
      <c r="N19" s="219">
        <v>1</v>
      </c>
      <c r="O19" s="219">
        <v>0.5</v>
      </c>
      <c r="P19" s="219">
        <v>0.5</v>
      </c>
      <c r="Q19" s="111">
        <f t="shared" si="0"/>
        <v>0.5</v>
      </c>
      <c r="R19" s="219">
        <v>18.600000000000001</v>
      </c>
      <c r="S19" s="219">
        <v>160</v>
      </c>
      <c r="T19" s="112">
        <f t="shared" si="1"/>
        <v>18</v>
      </c>
      <c r="U19" s="219">
        <v>158</v>
      </c>
      <c r="V19" s="113">
        <f t="shared" si="2"/>
        <v>2844</v>
      </c>
      <c r="W19" s="219">
        <v>12</v>
      </c>
      <c r="X19" s="109" t="s">
        <v>46</v>
      </c>
      <c r="Y19" s="219" t="s">
        <v>78</v>
      </c>
      <c r="Z19" s="219" t="s">
        <v>55</v>
      </c>
      <c r="AA19" s="219" t="s">
        <v>69</v>
      </c>
      <c r="AB19" s="109" t="s">
        <v>412</v>
      </c>
      <c r="AC19" s="114"/>
      <c r="AE19" s="208" t="s">
        <v>89</v>
      </c>
      <c r="AP19" s="211" t="s">
        <v>112</v>
      </c>
      <c r="AR19" s="203" t="s">
        <v>126</v>
      </c>
      <c r="AV19" s="122" t="s">
        <v>425</v>
      </c>
    </row>
    <row r="20" spans="1:48" x14ac:dyDescent="0.15">
      <c r="A20" s="109" t="s">
        <v>61</v>
      </c>
      <c r="B20" s="109" t="s">
        <v>384</v>
      </c>
      <c r="C20" s="109">
        <v>2018</v>
      </c>
      <c r="D20" s="110" t="s">
        <v>411</v>
      </c>
      <c r="E20" s="109" t="s">
        <v>258</v>
      </c>
      <c r="F20" s="109" t="s">
        <v>259</v>
      </c>
      <c r="G20" s="109" t="s">
        <v>42</v>
      </c>
      <c r="H20" s="219" t="s">
        <v>155</v>
      </c>
      <c r="I20" s="219" t="s">
        <v>153</v>
      </c>
      <c r="J20" s="109" t="s">
        <v>38</v>
      </c>
      <c r="K20" s="219" t="s">
        <v>154</v>
      </c>
      <c r="L20" s="219">
        <v>1</v>
      </c>
      <c r="M20" s="219"/>
      <c r="N20" s="219">
        <v>4</v>
      </c>
      <c r="O20" s="219">
        <v>0.7</v>
      </c>
      <c r="P20" s="219">
        <v>0.65</v>
      </c>
      <c r="Q20" s="111">
        <f t="shared" si="0"/>
        <v>0.67500000000000004</v>
      </c>
      <c r="R20" s="219">
        <v>17.100000000000001</v>
      </c>
      <c r="S20" s="219">
        <v>94</v>
      </c>
      <c r="T20" s="112">
        <f t="shared" si="1"/>
        <v>36</v>
      </c>
      <c r="U20" s="219">
        <v>429</v>
      </c>
      <c r="V20" s="113">
        <f t="shared" si="2"/>
        <v>3861</v>
      </c>
      <c r="W20" s="219">
        <v>14</v>
      </c>
      <c r="X20" s="109" t="s">
        <v>46</v>
      </c>
      <c r="Y20" s="219" t="s">
        <v>90</v>
      </c>
      <c r="Z20" s="219" t="s">
        <v>69</v>
      </c>
      <c r="AA20" s="219" t="s">
        <v>78</v>
      </c>
      <c r="AB20" s="109" t="s">
        <v>412</v>
      </c>
      <c r="AC20" s="114"/>
      <c r="AE20" s="195"/>
      <c r="AG20" s="219"/>
      <c r="AH20" s="219"/>
      <c r="AJ20" s="219"/>
      <c r="AN20" s="219"/>
      <c r="AP20" s="211" t="s">
        <v>113</v>
      </c>
      <c r="AR20" s="210" t="s">
        <v>105</v>
      </c>
      <c r="AV20" s="122" t="s">
        <v>426</v>
      </c>
    </row>
    <row r="21" spans="1:48" x14ac:dyDescent="0.15">
      <c r="A21" s="109" t="s">
        <v>61</v>
      </c>
      <c r="B21" s="109" t="s">
        <v>384</v>
      </c>
      <c r="C21" s="109">
        <v>2018</v>
      </c>
      <c r="D21" s="110" t="s">
        <v>411</v>
      </c>
      <c r="E21" s="109" t="s">
        <v>258</v>
      </c>
      <c r="F21" s="109" t="s">
        <v>259</v>
      </c>
      <c r="G21" s="109" t="s">
        <v>42</v>
      </c>
      <c r="H21" s="219" t="s">
        <v>155</v>
      </c>
      <c r="I21" s="219" t="s">
        <v>153</v>
      </c>
      <c r="J21" s="109" t="s">
        <v>38</v>
      </c>
      <c r="K21" s="219" t="s">
        <v>154</v>
      </c>
      <c r="L21" s="219">
        <v>2</v>
      </c>
      <c r="M21" s="219"/>
      <c r="N21" s="219">
        <v>4</v>
      </c>
      <c r="O21" s="219">
        <v>0.65</v>
      </c>
      <c r="P21" s="219">
        <v>0.6</v>
      </c>
      <c r="Q21" s="111">
        <f t="shared" si="0"/>
        <v>0.625</v>
      </c>
      <c r="R21" s="219">
        <v>17.600000000000001</v>
      </c>
      <c r="S21" s="219">
        <v>106</v>
      </c>
      <c r="T21" s="112">
        <f t="shared" si="1"/>
        <v>33</v>
      </c>
      <c r="U21" s="219">
        <v>429</v>
      </c>
      <c r="V21" s="113">
        <f t="shared" si="2"/>
        <v>3539.25</v>
      </c>
      <c r="W21" s="219">
        <v>14</v>
      </c>
      <c r="X21" s="109" t="s">
        <v>46</v>
      </c>
      <c r="Y21" s="219" t="s">
        <v>90</v>
      </c>
      <c r="Z21" s="219" t="s">
        <v>69</v>
      </c>
      <c r="AA21" s="219" t="s">
        <v>78</v>
      </c>
      <c r="AB21" s="109" t="s">
        <v>412</v>
      </c>
      <c r="AC21" s="114"/>
      <c r="AE21" s="195"/>
      <c r="AG21" s="219"/>
      <c r="AH21" s="219"/>
      <c r="AL21" s="219"/>
      <c r="AN21" s="219"/>
      <c r="AP21" s="211" t="s">
        <v>114</v>
      </c>
      <c r="AR21" s="210" t="s">
        <v>68</v>
      </c>
      <c r="AV21" s="122" t="s">
        <v>427</v>
      </c>
    </row>
    <row r="22" spans="1:48" x14ac:dyDescent="0.15">
      <c r="A22" s="109" t="s">
        <v>61</v>
      </c>
      <c r="B22" s="109" t="s">
        <v>384</v>
      </c>
      <c r="C22" s="109">
        <v>2018</v>
      </c>
      <c r="D22" s="110" t="s">
        <v>411</v>
      </c>
      <c r="E22" s="109" t="s">
        <v>258</v>
      </c>
      <c r="F22" s="109" t="s">
        <v>259</v>
      </c>
      <c r="G22" s="109" t="s">
        <v>42</v>
      </c>
      <c r="H22" s="219" t="s">
        <v>155</v>
      </c>
      <c r="I22" s="219" t="s">
        <v>153</v>
      </c>
      <c r="J22" s="109" t="s">
        <v>38</v>
      </c>
      <c r="K22" s="219" t="s">
        <v>154</v>
      </c>
      <c r="L22" s="219">
        <v>3</v>
      </c>
      <c r="M22" s="219"/>
      <c r="N22" s="114">
        <v>4</v>
      </c>
      <c r="O22" s="114">
        <v>0.6</v>
      </c>
      <c r="P22" s="219">
        <v>0.6</v>
      </c>
      <c r="Q22" s="111">
        <f t="shared" si="0"/>
        <v>0.6</v>
      </c>
      <c r="R22" s="219">
        <v>18.100000000000001</v>
      </c>
      <c r="S22" s="219">
        <v>95</v>
      </c>
      <c r="T22" s="112">
        <f t="shared" si="1"/>
        <v>36</v>
      </c>
      <c r="U22" s="219">
        <v>429</v>
      </c>
      <c r="V22" s="113">
        <f t="shared" si="2"/>
        <v>3861</v>
      </c>
      <c r="W22" s="219">
        <v>14</v>
      </c>
      <c r="X22" s="109" t="s">
        <v>46</v>
      </c>
      <c r="Y22" s="219" t="s">
        <v>90</v>
      </c>
      <c r="Z22" s="219" t="s">
        <v>69</v>
      </c>
      <c r="AA22" s="219" t="s">
        <v>78</v>
      </c>
      <c r="AB22" s="109" t="s">
        <v>412</v>
      </c>
      <c r="AC22" s="114"/>
      <c r="AE22" s="208"/>
      <c r="AG22" s="219"/>
      <c r="AH22" s="219"/>
      <c r="AL22" s="219"/>
      <c r="AP22" s="211" t="s">
        <v>115</v>
      </c>
      <c r="AR22" s="210" t="s">
        <v>83</v>
      </c>
      <c r="AV22" s="196"/>
    </row>
    <row r="23" spans="1:48" x14ac:dyDescent="0.15">
      <c r="A23" s="109" t="s">
        <v>61</v>
      </c>
      <c r="B23" s="109" t="s">
        <v>384</v>
      </c>
      <c r="C23" s="109">
        <v>2018</v>
      </c>
      <c r="D23" s="110" t="s">
        <v>411</v>
      </c>
      <c r="E23" s="109" t="s">
        <v>258</v>
      </c>
      <c r="F23" s="109" t="s">
        <v>259</v>
      </c>
      <c r="G23" s="109" t="s">
        <v>42</v>
      </c>
      <c r="H23" s="219" t="s">
        <v>168</v>
      </c>
      <c r="I23" s="219" t="s">
        <v>153</v>
      </c>
      <c r="J23" s="109" t="s">
        <v>38</v>
      </c>
      <c r="K23" s="219" t="s">
        <v>154</v>
      </c>
      <c r="L23" s="219">
        <v>1</v>
      </c>
      <c r="M23" s="219"/>
      <c r="N23" s="219">
        <v>4</v>
      </c>
      <c r="O23" s="219">
        <v>0.5</v>
      </c>
      <c r="P23" s="219">
        <v>0.5</v>
      </c>
      <c r="Q23" s="111">
        <f t="shared" si="0"/>
        <v>0.5</v>
      </c>
      <c r="R23" s="219">
        <v>18.100000000000001</v>
      </c>
      <c r="S23" s="219">
        <v>106</v>
      </c>
      <c r="T23" s="112">
        <f t="shared" si="1"/>
        <v>33</v>
      </c>
      <c r="U23" s="219">
        <v>429</v>
      </c>
      <c r="V23" s="113">
        <f t="shared" si="2"/>
        <v>3539.25</v>
      </c>
      <c r="W23" s="219">
        <v>14</v>
      </c>
      <c r="X23" s="109" t="s">
        <v>46</v>
      </c>
      <c r="Y23" s="219" t="s">
        <v>90</v>
      </c>
      <c r="Z23" s="219" t="s">
        <v>69</v>
      </c>
      <c r="AA23" s="219" t="s">
        <v>78</v>
      </c>
      <c r="AB23" s="109" t="s">
        <v>412</v>
      </c>
      <c r="AC23" s="114"/>
      <c r="AE23" s="195"/>
      <c r="AG23" s="219"/>
      <c r="AH23" s="219"/>
      <c r="AL23" s="219"/>
      <c r="AP23" s="211" t="s">
        <v>399</v>
      </c>
      <c r="AR23" s="210" t="s">
        <v>61</v>
      </c>
      <c r="AV23" s="219"/>
    </row>
    <row r="24" spans="1:48" x14ac:dyDescent="0.15">
      <c r="A24" s="109" t="s">
        <v>61</v>
      </c>
      <c r="B24" s="109" t="s">
        <v>384</v>
      </c>
      <c r="C24" s="109">
        <v>2018</v>
      </c>
      <c r="D24" s="110" t="s">
        <v>411</v>
      </c>
      <c r="E24" s="109" t="s">
        <v>258</v>
      </c>
      <c r="F24" s="109" t="s">
        <v>259</v>
      </c>
      <c r="G24" s="109" t="s">
        <v>42</v>
      </c>
      <c r="H24" s="219" t="s">
        <v>168</v>
      </c>
      <c r="I24" s="219" t="s">
        <v>153</v>
      </c>
      <c r="J24" s="109" t="s">
        <v>38</v>
      </c>
      <c r="K24" s="219" t="s">
        <v>154</v>
      </c>
      <c r="L24" s="219">
        <v>2</v>
      </c>
      <c r="M24" s="219"/>
      <c r="N24" s="219">
        <v>4</v>
      </c>
      <c r="O24" s="219">
        <v>0.55000000000000004</v>
      </c>
      <c r="P24" s="219">
        <v>0.55000000000000004</v>
      </c>
      <c r="Q24" s="111">
        <f t="shared" si="0"/>
        <v>0.55000000000000004</v>
      </c>
      <c r="R24" s="219">
        <v>18.3</v>
      </c>
      <c r="S24" s="219">
        <v>109</v>
      </c>
      <c r="T24" s="112">
        <f t="shared" si="1"/>
        <v>33</v>
      </c>
      <c r="U24" s="219">
        <v>429</v>
      </c>
      <c r="V24" s="113">
        <f t="shared" si="2"/>
        <v>3539.25</v>
      </c>
      <c r="W24" s="219">
        <v>14</v>
      </c>
      <c r="X24" s="109" t="s">
        <v>46</v>
      </c>
      <c r="Y24" s="219" t="s">
        <v>90</v>
      </c>
      <c r="Z24" s="219" t="s">
        <v>69</v>
      </c>
      <c r="AA24" s="219" t="s">
        <v>78</v>
      </c>
      <c r="AB24" s="109" t="s">
        <v>412</v>
      </c>
      <c r="AC24" s="114"/>
      <c r="AE24" s="195"/>
      <c r="AG24" s="219"/>
      <c r="AH24" s="219"/>
      <c r="AL24" s="219"/>
      <c r="AP24" s="211" t="s">
        <v>400</v>
      </c>
      <c r="AR24" s="210" t="s">
        <v>91</v>
      </c>
      <c r="AV24" s="219"/>
    </row>
    <row r="25" spans="1:48" x14ac:dyDescent="0.15">
      <c r="A25" s="109" t="s">
        <v>61</v>
      </c>
      <c r="B25" s="109" t="s">
        <v>384</v>
      </c>
      <c r="C25" s="109">
        <v>2018</v>
      </c>
      <c r="D25" s="110" t="s">
        <v>411</v>
      </c>
      <c r="E25" s="109" t="s">
        <v>258</v>
      </c>
      <c r="F25" s="109" t="s">
        <v>259</v>
      </c>
      <c r="G25" s="109" t="s">
        <v>42</v>
      </c>
      <c r="H25" s="219" t="s">
        <v>168</v>
      </c>
      <c r="I25" s="219" t="s">
        <v>153</v>
      </c>
      <c r="J25" s="109" t="s">
        <v>38</v>
      </c>
      <c r="K25" s="219" t="s">
        <v>154</v>
      </c>
      <c r="L25" s="219">
        <v>3</v>
      </c>
      <c r="M25" s="219"/>
      <c r="N25" s="219">
        <v>4</v>
      </c>
      <c r="O25" s="219">
        <v>0.6</v>
      </c>
      <c r="P25" s="219">
        <v>0.6</v>
      </c>
      <c r="Q25" s="111">
        <f t="shared" si="0"/>
        <v>0.6</v>
      </c>
      <c r="R25" s="219">
        <v>18</v>
      </c>
      <c r="S25" s="219">
        <v>108</v>
      </c>
      <c r="T25" s="112">
        <f t="shared" si="1"/>
        <v>33</v>
      </c>
      <c r="U25" s="219">
        <v>429</v>
      </c>
      <c r="V25" s="113">
        <f t="shared" si="2"/>
        <v>3539.25</v>
      </c>
      <c r="W25" s="219">
        <v>14</v>
      </c>
      <c r="X25" s="109" t="s">
        <v>46</v>
      </c>
      <c r="Y25" s="219" t="s">
        <v>90</v>
      </c>
      <c r="Z25" s="219" t="s">
        <v>69</v>
      </c>
      <c r="AA25" s="219" t="s">
        <v>78</v>
      </c>
      <c r="AB25" s="109" t="s">
        <v>412</v>
      </c>
      <c r="AC25" s="114"/>
      <c r="AE25" s="208"/>
      <c r="AG25" s="219"/>
      <c r="AH25" s="219"/>
      <c r="AL25" s="219"/>
      <c r="AP25" s="211" t="s">
        <v>116</v>
      </c>
      <c r="AR25" s="42" t="s">
        <v>92</v>
      </c>
      <c r="AV25" s="219"/>
    </row>
    <row r="26" spans="1:48" x14ac:dyDescent="0.15">
      <c r="A26" s="109" t="s">
        <v>61</v>
      </c>
      <c r="B26" s="109" t="s">
        <v>384</v>
      </c>
      <c r="C26" s="109">
        <v>2018</v>
      </c>
      <c r="D26" s="110" t="s">
        <v>411</v>
      </c>
      <c r="E26" s="109" t="s">
        <v>258</v>
      </c>
      <c r="F26" s="109" t="s">
        <v>259</v>
      </c>
      <c r="G26" s="109" t="s">
        <v>42</v>
      </c>
      <c r="H26" s="219" t="s">
        <v>155</v>
      </c>
      <c r="I26" s="219" t="s">
        <v>156</v>
      </c>
      <c r="J26" s="109" t="s">
        <v>38</v>
      </c>
      <c r="K26" s="219" t="s">
        <v>154</v>
      </c>
      <c r="L26" s="219">
        <v>1</v>
      </c>
      <c r="M26" s="219"/>
      <c r="N26" s="219">
        <v>4</v>
      </c>
      <c r="O26" s="219">
        <v>1</v>
      </c>
      <c r="P26" s="114">
        <v>0.95</v>
      </c>
      <c r="Q26" s="111">
        <f t="shared" si="0"/>
        <v>0.97499999999999998</v>
      </c>
      <c r="R26" s="219">
        <v>15.6</v>
      </c>
      <c r="S26" s="219">
        <v>93</v>
      </c>
      <c r="T26" s="112">
        <f t="shared" si="1"/>
        <v>36</v>
      </c>
      <c r="U26" s="219">
        <v>429</v>
      </c>
      <c r="V26" s="113">
        <f t="shared" si="2"/>
        <v>3861</v>
      </c>
      <c r="W26" s="219">
        <v>14</v>
      </c>
      <c r="X26" s="109" t="s">
        <v>46</v>
      </c>
      <c r="Y26" s="219" t="s">
        <v>90</v>
      </c>
      <c r="Z26" s="219" t="s">
        <v>69</v>
      </c>
      <c r="AA26" s="219" t="s">
        <v>78</v>
      </c>
      <c r="AB26" s="109" t="s">
        <v>412</v>
      </c>
      <c r="AC26" s="114"/>
      <c r="AD26" s="207"/>
      <c r="AE26" s="208"/>
      <c r="AG26" s="219"/>
      <c r="AH26" s="219"/>
      <c r="AP26" s="211" t="s">
        <v>117</v>
      </c>
      <c r="AR26" s="196" t="s">
        <v>298</v>
      </c>
      <c r="AV26" s="219"/>
    </row>
    <row r="27" spans="1:48" x14ac:dyDescent="0.15">
      <c r="A27" s="109" t="s">
        <v>61</v>
      </c>
      <c r="B27" s="109" t="s">
        <v>384</v>
      </c>
      <c r="C27" s="109">
        <v>2018</v>
      </c>
      <c r="D27" s="110" t="s">
        <v>411</v>
      </c>
      <c r="E27" s="109" t="s">
        <v>258</v>
      </c>
      <c r="F27" s="109" t="s">
        <v>259</v>
      </c>
      <c r="G27" s="109" t="s">
        <v>42</v>
      </c>
      <c r="H27" s="219" t="s">
        <v>155</v>
      </c>
      <c r="I27" s="219" t="s">
        <v>156</v>
      </c>
      <c r="J27" s="109" t="s">
        <v>38</v>
      </c>
      <c r="K27" s="219" t="s">
        <v>154</v>
      </c>
      <c r="L27" s="219">
        <v>2</v>
      </c>
      <c r="M27" s="219"/>
      <c r="N27" s="219">
        <v>4</v>
      </c>
      <c r="O27" s="219">
        <v>0.8</v>
      </c>
      <c r="P27" s="114">
        <v>0.8</v>
      </c>
      <c r="Q27" s="111">
        <f t="shared" si="0"/>
        <v>0.8</v>
      </c>
      <c r="R27" s="219">
        <v>16.8</v>
      </c>
      <c r="S27" s="219">
        <v>102</v>
      </c>
      <c r="T27" s="112">
        <f t="shared" si="1"/>
        <v>33</v>
      </c>
      <c r="U27" s="219">
        <v>429</v>
      </c>
      <c r="V27" s="113">
        <f t="shared" si="2"/>
        <v>3539.25</v>
      </c>
      <c r="W27" s="219">
        <v>14</v>
      </c>
      <c r="X27" s="109" t="s">
        <v>46</v>
      </c>
      <c r="Y27" s="219" t="s">
        <v>90</v>
      </c>
      <c r="Z27" s="219" t="s">
        <v>69</v>
      </c>
      <c r="AA27" s="219" t="s">
        <v>78</v>
      </c>
      <c r="AB27" s="109" t="s">
        <v>412</v>
      </c>
      <c r="AC27" s="114"/>
      <c r="AD27" s="207"/>
      <c r="AE27" s="201"/>
      <c r="AG27" s="219"/>
      <c r="AH27" s="219"/>
      <c r="AP27" s="211" t="s">
        <v>118</v>
      </c>
      <c r="AR27" s="196"/>
      <c r="AV27" s="219"/>
    </row>
    <row r="28" spans="1:48" x14ac:dyDescent="0.15">
      <c r="A28" s="109" t="s">
        <v>61</v>
      </c>
      <c r="B28" s="109" t="s">
        <v>384</v>
      </c>
      <c r="C28" s="109">
        <v>2018</v>
      </c>
      <c r="D28" s="110" t="s">
        <v>411</v>
      </c>
      <c r="E28" s="109" t="s">
        <v>258</v>
      </c>
      <c r="F28" s="109" t="s">
        <v>259</v>
      </c>
      <c r="G28" s="109" t="s">
        <v>42</v>
      </c>
      <c r="H28" s="219" t="s">
        <v>155</v>
      </c>
      <c r="I28" s="219" t="s">
        <v>156</v>
      </c>
      <c r="J28" s="109" t="s">
        <v>38</v>
      </c>
      <c r="K28" s="219" t="s">
        <v>154</v>
      </c>
      <c r="L28" s="219">
        <v>3</v>
      </c>
      <c r="M28" s="219"/>
      <c r="N28" s="219">
        <v>4</v>
      </c>
      <c r="O28" s="219">
        <v>0.85</v>
      </c>
      <c r="P28" s="114">
        <v>0.85</v>
      </c>
      <c r="Q28" s="111">
        <f t="shared" si="0"/>
        <v>0.85</v>
      </c>
      <c r="R28" s="219">
        <v>16.600000000000001</v>
      </c>
      <c r="S28" s="219">
        <v>108</v>
      </c>
      <c r="T28" s="112">
        <f t="shared" si="1"/>
        <v>33</v>
      </c>
      <c r="U28" s="219">
        <v>429</v>
      </c>
      <c r="V28" s="113">
        <f t="shared" si="2"/>
        <v>3539.25</v>
      </c>
      <c r="W28" s="219">
        <v>14</v>
      </c>
      <c r="X28" s="109" t="s">
        <v>46</v>
      </c>
      <c r="Y28" s="219" t="s">
        <v>90</v>
      </c>
      <c r="Z28" s="219" t="s">
        <v>69</v>
      </c>
      <c r="AA28" s="219" t="s">
        <v>78</v>
      </c>
      <c r="AB28" s="109" t="s">
        <v>412</v>
      </c>
      <c r="AC28" s="114"/>
      <c r="AD28" s="207"/>
      <c r="AE28" s="219"/>
      <c r="AG28" s="219"/>
      <c r="AH28" s="219"/>
      <c r="AP28" s="200"/>
      <c r="AR28" s="196"/>
      <c r="AV28" s="219"/>
    </row>
    <row r="29" spans="1:48" x14ac:dyDescent="0.15">
      <c r="A29" s="109" t="s">
        <v>61</v>
      </c>
      <c r="B29" s="109" t="s">
        <v>384</v>
      </c>
      <c r="C29" s="109">
        <v>2018</v>
      </c>
      <c r="D29" s="110" t="s">
        <v>411</v>
      </c>
      <c r="E29" s="109" t="s">
        <v>258</v>
      </c>
      <c r="F29" s="109" t="s">
        <v>259</v>
      </c>
      <c r="G29" s="109" t="s">
        <v>42</v>
      </c>
      <c r="H29" s="219" t="s">
        <v>168</v>
      </c>
      <c r="I29" s="219" t="s">
        <v>156</v>
      </c>
      <c r="J29" s="109" t="s">
        <v>38</v>
      </c>
      <c r="K29" s="219" t="s">
        <v>154</v>
      </c>
      <c r="L29" s="219">
        <v>1</v>
      </c>
      <c r="M29" s="219"/>
      <c r="N29" s="219">
        <v>3</v>
      </c>
      <c r="O29" s="219">
        <v>0.65</v>
      </c>
      <c r="P29" s="219">
        <v>0.65</v>
      </c>
      <c r="Q29" s="111">
        <f t="shared" si="0"/>
        <v>0.65</v>
      </c>
      <c r="R29" s="219">
        <v>17.8</v>
      </c>
      <c r="S29" s="219">
        <v>100</v>
      </c>
      <c r="T29" s="112">
        <f t="shared" si="1"/>
        <v>33</v>
      </c>
      <c r="U29" s="219">
        <v>429</v>
      </c>
      <c r="V29" s="113">
        <f t="shared" si="2"/>
        <v>4719</v>
      </c>
      <c r="W29" s="219">
        <v>14</v>
      </c>
      <c r="X29" s="109" t="s">
        <v>46</v>
      </c>
      <c r="Y29" s="219" t="s">
        <v>90</v>
      </c>
      <c r="Z29" s="219" t="s">
        <v>69</v>
      </c>
      <c r="AA29" s="219" t="s">
        <v>78</v>
      </c>
      <c r="AB29" s="109" t="s">
        <v>412</v>
      </c>
      <c r="AC29" s="114"/>
    </row>
    <row r="30" spans="1:48" x14ac:dyDescent="0.15">
      <c r="A30" s="109" t="s">
        <v>61</v>
      </c>
      <c r="B30" s="109" t="s">
        <v>384</v>
      </c>
      <c r="C30" s="109">
        <v>2018</v>
      </c>
      <c r="D30" s="110" t="s">
        <v>411</v>
      </c>
      <c r="E30" s="109" t="s">
        <v>258</v>
      </c>
      <c r="F30" s="109" t="s">
        <v>259</v>
      </c>
      <c r="G30" s="109" t="s">
        <v>42</v>
      </c>
      <c r="H30" s="219" t="s">
        <v>168</v>
      </c>
      <c r="I30" s="219" t="s">
        <v>156</v>
      </c>
      <c r="J30" s="109" t="s">
        <v>38</v>
      </c>
      <c r="K30" s="219" t="s">
        <v>154</v>
      </c>
      <c r="L30" s="219">
        <v>2</v>
      </c>
      <c r="M30" s="219"/>
      <c r="N30" s="219">
        <v>3</v>
      </c>
      <c r="O30" s="219">
        <v>0.6</v>
      </c>
      <c r="P30" s="219">
        <v>0.65</v>
      </c>
      <c r="Q30" s="111">
        <f t="shared" si="0"/>
        <v>0.625</v>
      </c>
      <c r="R30" s="219">
        <v>18.100000000000001</v>
      </c>
      <c r="S30" s="219">
        <v>99</v>
      </c>
      <c r="T30" s="112">
        <f t="shared" si="1"/>
        <v>33</v>
      </c>
      <c r="U30" s="219">
        <v>429</v>
      </c>
      <c r="V30" s="113">
        <f t="shared" si="2"/>
        <v>4719</v>
      </c>
      <c r="W30" s="219">
        <v>14</v>
      </c>
      <c r="X30" s="109" t="s">
        <v>46</v>
      </c>
      <c r="Y30" s="219" t="s">
        <v>90</v>
      </c>
      <c r="Z30" s="219" t="s">
        <v>69</v>
      </c>
      <c r="AA30" s="219" t="s">
        <v>78</v>
      </c>
      <c r="AB30" s="109" t="s">
        <v>412</v>
      </c>
      <c r="AC30" s="114"/>
    </row>
    <row r="31" spans="1:48" x14ac:dyDescent="0.15">
      <c r="A31" s="109" t="s">
        <v>61</v>
      </c>
      <c r="B31" s="109" t="s">
        <v>384</v>
      </c>
      <c r="C31" s="109">
        <v>2018</v>
      </c>
      <c r="D31" s="110" t="s">
        <v>411</v>
      </c>
      <c r="E31" s="109" t="s">
        <v>258</v>
      </c>
      <c r="F31" s="109" t="s">
        <v>259</v>
      </c>
      <c r="G31" s="109" t="s">
        <v>42</v>
      </c>
      <c r="H31" s="219" t="s">
        <v>168</v>
      </c>
      <c r="I31" s="219" t="s">
        <v>156</v>
      </c>
      <c r="J31" s="109" t="s">
        <v>38</v>
      </c>
      <c r="K31" s="219" t="s">
        <v>154</v>
      </c>
      <c r="L31" s="219">
        <v>3</v>
      </c>
      <c r="M31" s="219"/>
      <c r="N31" s="219">
        <v>3</v>
      </c>
      <c r="O31" s="219">
        <v>0.6</v>
      </c>
      <c r="P31" s="219">
        <v>0.6</v>
      </c>
      <c r="Q31" s="111">
        <f t="shared" si="0"/>
        <v>0.6</v>
      </c>
      <c r="R31" s="219">
        <v>18.399999999999999</v>
      </c>
      <c r="S31" s="219">
        <v>101</v>
      </c>
      <c r="T31" s="112">
        <f t="shared" si="1"/>
        <v>33</v>
      </c>
      <c r="U31" s="219">
        <v>429</v>
      </c>
      <c r="V31" s="113">
        <f t="shared" si="2"/>
        <v>4719</v>
      </c>
      <c r="W31" s="219">
        <v>14</v>
      </c>
      <c r="X31" s="109" t="s">
        <v>46</v>
      </c>
      <c r="Y31" s="219" t="s">
        <v>90</v>
      </c>
      <c r="Z31" s="219" t="s">
        <v>69</v>
      </c>
      <c r="AA31" s="219" t="s">
        <v>78</v>
      </c>
      <c r="AB31" s="109" t="s">
        <v>412</v>
      </c>
      <c r="AC31" s="114"/>
    </row>
    <row r="32" spans="1:48" x14ac:dyDescent="0.15">
      <c r="A32" s="109" t="s">
        <v>61</v>
      </c>
      <c r="B32" s="109" t="s">
        <v>384</v>
      </c>
      <c r="C32" s="109">
        <v>2018</v>
      </c>
      <c r="D32" s="110" t="s">
        <v>411</v>
      </c>
      <c r="E32" s="109" t="s">
        <v>260</v>
      </c>
      <c r="F32" s="109" t="s">
        <v>261</v>
      </c>
      <c r="G32" s="109" t="s">
        <v>42</v>
      </c>
      <c r="H32" s="219" t="s">
        <v>155</v>
      </c>
      <c r="I32" s="219" t="s">
        <v>153</v>
      </c>
      <c r="J32" s="109" t="s">
        <v>38</v>
      </c>
      <c r="K32" s="219" t="s">
        <v>154</v>
      </c>
      <c r="L32" s="219">
        <v>1</v>
      </c>
      <c r="M32" s="219"/>
      <c r="N32" s="219">
        <v>5</v>
      </c>
      <c r="O32" s="219">
        <v>0.7</v>
      </c>
      <c r="P32" s="219">
        <v>0.7</v>
      </c>
      <c r="Q32" s="111">
        <f t="shared" si="0"/>
        <v>0.7</v>
      </c>
      <c r="R32" s="219">
        <v>16.8</v>
      </c>
      <c r="S32" s="219">
        <v>85</v>
      </c>
      <c r="T32" s="112">
        <f t="shared" si="1"/>
        <v>36</v>
      </c>
      <c r="U32" s="219">
        <v>429</v>
      </c>
      <c r="V32" s="113">
        <f t="shared" si="2"/>
        <v>3088.7999999999997</v>
      </c>
      <c r="W32" s="219">
        <v>8</v>
      </c>
      <c r="X32" s="109" t="s">
        <v>39</v>
      </c>
      <c r="Y32" s="219" t="s">
        <v>102</v>
      </c>
      <c r="Z32" s="219" t="s">
        <v>69</v>
      </c>
      <c r="AA32" s="219" t="s">
        <v>90</v>
      </c>
      <c r="AB32" s="109" t="s">
        <v>412</v>
      </c>
      <c r="AC32" s="114"/>
    </row>
    <row r="33" spans="1:29" x14ac:dyDescent="0.15">
      <c r="A33" s="109" t="s">
        <v>61</v>
      </c>
      <c r="B33" s="109" t="s">
        <v>384</v>
      </c>
      <c r="C33" s="109">
        <v>2018</v>
      </c>
      <c r="D33" s="110" t="s">
        <v>411</v>
      </c>
      <c r="E33" s="109" t="s">
        <v>260</v>
      </c>
      <c r="F33" s="109" t="s">
        <v>261</v>
      </c>
      <c r="G33" s="109" t="s">
        <v>42</v>
      </c>
      <c r="H33" s="219" t="s">
        <v>155</v>
      </c>
      <c r="I33" s="219" t="s">
        <v>153</v>
      </c>
      <c r="J33" s="109" t="s">
        <v>38</v>
      </c>
      <c r="K33" s="219" t="s">
        <v>154</v>
      </c>
      <c r="L33" s="219">
        <v>2</v>
      </c>
      <c r="M33" s="219"/>
      <c r="N33" s="219">
        <v>5</v>
      </c>
      <c r="O33" s="219">
        <v>0.65</v>
      </c>
      <c r="P33" s="219">
        <v>0.65</v>
      </c>
      <c r="Q33" s="111">
        <f t="shared" si="0"/>
        <v>0.65</v>
      </c>
      <c r="R33" s="219">
        <v>17.100000000000001</v>
      </c>
      <c r="S33" s="219">
        <v>88</v>
      </c>
      <c r="T33" s="112">
        <f t="shared" si="1"/>
        <v>36</v>
      </c>
      <c r="U33" s="219">
        <v>429</v>
      </c>
      <c r="V33" s="113">
        <f t="shared" si="2"/>
        <v>3088.7999999999997</v>
      </c>
      <c r="W33" s="219">
        <v>8</v>
      </c>
      <c r="X33" s="109" t="s">
        <v>39</v>
      </c>
      <c r="Y33" s="219" t="s">
        <v>102</v>
      </c>
      <c r="Z33" s="219" t="s">
        <v>69</v>
      </c>
      <c r="AA33" s="219" t="s">
        <v>90</v>
      </c>
      <c r="AB33" s="109" t="s">
        <v>412</v>
      </c>
      <c r="AC33" s="114"/>
    </row>
    <row r="34" spans="1:29" x14ac:dyDescent="0.15">
      <c r="A34" s="109" t="s">
        <v>61</v>
      </c>
      <c r="B34" s="109" t="s">
        <v>384</v>
      </c>
      <c r="C34" s="109">
        <v>2018</v>
      </c>
      <c r="D34" s="110" t="s">
        <v>411</v>
      </c>
      <c r="E34" s="109" t="s">
        <v>260</v>
      </c>
      <c r="F34" s="109" t="s">
        <v>261</v>
      </c>
      <c r="G34" s="109" t="s">
        <v>42</v>
      </c>
      <c r="H34" s="219" t="s">
        <v>155</v>
      </c>
      <c r="I34" s="219" t="s">
        <v>153</v>
      </c>
      <c r="J34" s="109" t="s">
        <v>38</v>
      </c>
      <c r="K34" s="219" t="s">
        <v>154</v>
      </c>
      <c r="L34" s="219">
        <v>3</v>
      </c>
      <c r="M34" s="219"/>
      <c r="N34" s="219">
        <v>5</v>
      </c>
      <c r="O34" s="219">
        <v>0.7</v>
      </c>
      <c r="P34" s="219">
        <v>0.7</v>
      </c>
      <c r="Q34" s="111">
        <f t="shared" si="0"/>
        <v>0.7</v>
      </c>
      <c r="R34" s="219">
        <v>17.399999999999999</v>
      </c>
      <c r="S34" s="219">
        <v>92</v>
      </c>
      <c r="T34" s="112">
        <f t="shared" si="1"/>
        <v>36</v>
      </c>
      <c r="U34" s="219">
        <v>429</v>
      </c>
      <c r="V34" s="113">
        <f t="shared" si="2"/>
        <v>3088.7999999999997</v>
      </c>
      <c r="W34" s="219">
        <v>8</v>
      </c>
      <c r="X34" s="109" t="s">
        <v>39</v>
      </c>
      <c r="Y34" s="219" t="s">
        <v>102</v>
      </c>
      <c r="Z34" s="219" t="s">
        <v>69</v>
      </c>
      <c r="AA34" s="219" t="s">
        <v>90</v>
      </c>
      <c r="AB34" s="109" t="s">
        <v>412</v>
      </c>
      <c r="AC34" s="114"/>
    </row>
    <row r="35" spans="1:29" x14ac:dyDescent="0.15">
      <c r="A35" s="109" t="s">
        <v>61</v>
      </c>
      <c r="B35" s="109" t="s">
        <v>384</v>
      </c>
      <c r="C35" s="109">
        <v>2018</v>
      </c>
      <c r="D35" s="110" t="s">
        <v>411</v>
      </c>
      <c r="E35" s="109" t="s">
        <v>260</v>
      </c>
      <c r="F35" s="109" t="s">
        <v>261</v>
      </c>
      <c r="G35" s="109" t="s">
        <v>42</v>
      </c>
      <c r="H35" s="219" t="s">
        <v>168</v>
      </c>
      <c r="I35" s="219" t="s">
        <v>153</v>
      </c>
      <c r="J35" s="109" t="s">
        <v>38</v>
      </c>
      <c r="K35" s="219" t="s">
        <v>154</v>
      </c>
      <c r="L35" s="219">
        <v>1</v>
      </c>
      <c r="M35" s="219"/>
      <c r="N35" s="219">
        <v>4</v>
      </c>
      <c r="O35" s="219">
        <v>0.5</v>
      </c>
      <c r="P35" s="219">
        <v>0.55000000000000004</v>
      </c>
      <c r="Q35" s="111">
        <f t="shared" si="0"/>
        <v>0.52500000000000002</v>
      </c>
      <c r="R35" s="219">
        <v>17.8</v>
      </c>
      <c r="S35" s="219">
        <v>92</v>
      </c>
      <c r="T35" s="112">
        <f t="shared" si="1"/>
        <v>36</v>
      </c>
      <c r="U35" s="219">
        <v>537</v>
      </c>
      <c r="V35" s="113">
        <f t="shared" si="2"/>
        <v>4833</v>
      </c>
      <c r="W35" s="219">
        <v>8</v>
      </c>
      <c r="X35" s="109" t="s">
        <v>39</v>
      </c>
      <c r="Y35" s="219" t="s">
        <v>102</v>
      </c>
      <c r="Z35" s="219" t="s">
        <v>69</v>
      </c>
      <c r="AA35" s="219" t="s">
        <v>90</v>
      </c>
      <c r="AB35" s="109" t="s">
        <v>412</v>
      </c>
      <c r="AC35" s="114"/>
    </row>
    <row r="36" spans="1:29" x14ac:dyDescent="0.15">
      <c r="A36" s="109" t="s">
        <v>61</v>
      </c>
      <c r="B36" s="109" t="s">
        <v>384</v>
      </c>
      <c r="C36" s="109">
        <v>2018</v>
      </c>
      <c r="D36" s="110" t="s">
        <v>411</v>
      </c>
      <c r="E36" s="109" t="s">
        <v>260</v>
      </c>
      <c r="F36" s="109" t="s">
        <v>261</v>
      </c>
      <c r="G36" s="109" t="s">
        <v>42</v>
      </c>
      <c r="H36" s="219" t="s">
        <v>168</v>
      </c>
      <c r="I36" s="219" t="s">
        <v>153</v>
      </c>
      <c r="J36" s="109" t="s">
        <v>38</v>
      </c>
      <c r="K36" s="219" t="s">
        <v>154</v>
      </c>
      <c r="L36" s="219">
        <v>2</v>
      </c>
      <c r="M36" s="219"/>
      <c r="N36" s="219">
        <v>4</v>
      </c>
      <c r="O36" s="219">
        <v>0.55000000000000004</v>
      </c>
      <c r="P36" s="219">
        <v>0.5</v>
      </c>
      <c r="Q36" s="111">
        <f t="shared" si="0"/>
        <v>0.52500000000000002</v>
      </c>
      <c r="R36" s="219">
        <v>17.8</v>
      </c>
      <c r="S36" s="219">
        <v>96</v>
      </c>
      <c r="T36" s="112">
        <f t="shared" si="1"/>
        <v>36</v>
      </c>
      <c r="U36" s="219">
        <v>537</v>
      </c>
      <c r="V36" s="113">
        <f t="shared" si="2"/>
        <v>4833</v>
      </c>
      <c r="W36" s="219">
        <v>8</v>
      </c>
      <c r="X36" s="109" t="s">
        <v>39</v>
      </c>
      <c r="Y36" s="219" t="s">
        <v>102</v>
      </c>
      <c r="Z36" s="219" t="s">
        <v>69</v>
      </c>
      <c r="AA36" s="219" t="s">
        <v>90</v>
      </c>
      <c r="AB36" s="109" t="s">
        <v>412</v>
      </c>
      <c r="AC36" s="114"/>
    </row>
    <row r="37" spans="1:29" x14ac:dyDescent="0.15">
      <c r="A37" s="109" t="s">
        <v>61</v>
      </c>
      <c r="B37" s="109" t="s">
        <v>384</v>
      </c>
      <c r="C37" s="109">
        <v>2018</v>
      </c>
      <c r="D37" s="110" t="s">
        <v>411</v>
      </c>
      <c r="E37" s="109" t="s">
        <v>260</v>
      </c>
      <c r="F37" s="109" t="s">
        <v>261</v>
      </c>
      <c r="G37" s="109" t="s">
        <v>42</v>
      </c>
      <c r="H37" s="219" t="s">
        <v>168</v>
      </c>
      <c r="I37" s="219" t="s">
        <v>153</v>
      </c>
      <c r="J37" s="109" t="s">
        <v>38</v>
      </c>
      <c r="K37" s="219" t="s">
        <v>154</v>
      </c>
      <c r="L37" s="219">
        <v>3</v>
      </c>
      <c r="M37" s="219"/>
      <c r="N37" s="219">
        <v>4</v>
      </c>
      <c r="O37" s="219">
        <v>0.55000000000000004</v>
      </c>
      <c r="P37" s="219">
        <v>0.5</v>
      </c>
      <c r="Q37" s="111">
        <f t="shared" si="0"/>
        <v>0.52500000000000002</v>
      </c>
      <c r="R37" s="219">
        <v>18.399999999999999</v>
      </c>
      <c r="S37" s="219">
        <v>102</v>
      </c>
      <c r="T37" s="112">
        <f t="shared" si="1"/>
        <v>33</v>
      </c>
      <c r="U37" s="219">
        <v>537</v>
      </c>
      <c r="V37" s="113">
        <f t="shared" si="2"/>
        <v>4430.25</v>
      </c>
      <c r="W37" s="219">
        <v>8</v>
      </c>
      <c r="X37" s="109" t="s">
        <v>39</v>
      </c>
      <c r="Y37" s="219" t="s">
        <v>102</v>
      </c>
      <c r="Z37" s="219" t="s">
        <v>69</v>
      </c>
      <c r="AA37" s="219" t="s">
        <v>90</v>
      </c>
      <c r="AB37" s="109" t="s">
        <v>412</v>
      </c>
      <c r="AC37" s="114"/>
    </row>
    <row r="38" spans="1:29" x14ac:dyDescent="0.15">
      <c r="A38" s="109" t="s">
        <v>61</v>
      </c>
      <c r="B38" s="109" t="s">
        <v>384</v>
      </c>
      <c r="C38" s="109">
        <v>2018</v>
      </c>
      <c r="D38" s="110" t="s">
        <v>411</v>
      </c>
      <c r="E38" s="109" t="s">
        <v>262</v>
      </c>
      <c r="F38" s="109" t="s">
        <v>263</v>
      </c>
      <c r="G38" s="109" t="s">
        <v>42</v>
      </c>
      <c r="H38" s="219" t="s">
        <v>155</v>
      </c>
      <c r="I38" s="219" t="s">
        <v>153</v>
      </c>
      <c r="J38" s="109" t="s">
        <v>38</v>
      </c>
      <c r="K38" s="219" t="s">
        <v>154</v>
      </c>
      <c r="L38" s="219">
        <v>1</v>
      </c>
      <c r="M38" s="219"/>
      <c r="N38" s="219">
        <v>1</v>
      </c>
      <c r="O38" s="219">
        <v>0.5</v>
      </c>
      <c r="P38" s="219">
        <v>0.55000000000000004</v>
      </c>
      <c r="Q38" s="111">
        <f t="shared" si="0"/>
        <v>0.52500000000000002</v>
      </c>
      <c r="R38" s="219">
        <v>18.100000000000001</v>
      </c>
      <c r="S38" s="219">
        <v>138</v>
      </c>
      <c r="T38" s="112">
        <f t="shared" si="1"/>
        <v>22</v>
      </c>
      <c r="U38" s="219">
        <v>98</v>
      </c>
      <c r="V38" s="113">
        <f t="shared" si="2"/>
        <v>2156</v>
      </c>
      <c r="W38" s="219">
        <v>9</v>
      </c>
      <c r="X38" s="109" t="s">
        <v>46</v>
      </c>
      <c r="Y38" s="219" t="s">
        <v>90</v>
      </c>
      <c r="Z38" s="219" t="s">
        <v>78</v>
      </c>
      <c r="AA38" s="219" t="s">
        <v>102</v>
      </c>
      <c r="AB38" s="109" t="s">
        <v>412</v>
      </c>
      <c r="AC38" s="114"/>
    </row>
    <row r="39" spans="1:29" x14ac:dyDescent="0.15">
      <c r="A39" s="109" t="s">
        <v>61</v>
      </c>
      <c r="B39" s="109" t="s">
        <v>384</v>
      </c>
      <c r="C39" s="109">
        <v>2018</v>
      </c>
      <c r="D39" s="110" t="s">
        <v>411</v>
      </c>
      <c r="E39" s="109" t="s">
        <v>262</v>
      </c>
      <c r="F39" s="109" t="s">
        <v>263</v>
      </c>
      <c r="G39" s="109" t="s">
        <v>42</v>
      </c>
      <c r="H39" s="219" t="s">
        <v>155</v>
      </c>
      <c r="I39" s="219" t="s">
        <v>153</v>
      </c>
      <c r="J39" s="109" t="s">
        <v>38</v>
      </c>
      <c r="K39" s="219" t="s">
        <v>154</v>
      </c>
      <c r="L39" s="219">
        <v>2</v>
      </c>
      <c r="M39" s="219"/>
      <c r="N39" s="219">
        <v>1</v>
      </c>
      <c r="O39" s="219">
        <v>0.6</v>
      </c>
      <c r="P39" s="219">
        <v>0.6</v>
      </c>
      <c r="Q39" s="111">
        <f t="shared" si="0"/>
        <v>0.6</v>
      </c>
      <c r="R39" s="219">
        <v>18.399999999999999</v>
      </c>
      <c r="S39" s="219">
        <v>145</v>
      </c>
      <c r="T39" s="112">
        <f t="shared" si="1"/>
        <v>22</v>
      </c>
      <c r="U39" s="219">
        <v>98</v>
      </c>
      <c r="V39" s="113">
        <f t="shared" si="2"/>
        <v>2156</v>
      </c>
      <c r="W39" s="219">
        <v>9</v>
      </c>
      <c r="X39" s="109" t="s">
        <v>46</v>
      </c>
      <c r="Y39" s="219" t="s">
        <v>90</v>
      </c>
      <c r="Z39" s="219" t="s">
        <v>78</v>
      </c>
      <c r="AA39" s="219" t="s">
        <v>102</v>
      </c>
      <c r="AB39" s="109" t="s">
        <v>412</v>
      </c>
      <c r="AC39" s="114"/>
    </row>
    <row r="40" spans="1:29" x14ac:dyDescent="0.15">
      <c r="A40" s="109" t="s">
        <v>61</v>
      </c>
      <c r="B40" s="109" t="s">
        <v>384</v>
      </c>
      <c r="C40" s="109">
        <v>2018</v>
      </c>
      <c r="D40" s="110" t="s">
        <v>411</v>
      </c>
      <c r="E40" s="109" t="s">
        <v>262</v>
      </c>
      <c r="F40" s="109" t="s">
        <v>263</v>
      </c>
      <c r="G40" s="109" t="s">
        <v>42</v>
      </c>
      <c r="H40" s="219" t="s">
        <v>155</v>
      </c>
      <c r="I40" s="219" t="s">
        <v>153</v>
      </c>
      <c r="J40" s="109" t="s">
        <v>38</v>
      </c>
      <c r="K40" s="219" t="s">
        <v>154</v>
      </c>
      <c r="L40" s="219">
        <v>3</v>
      </c>
      <c r="M40" s="219"/>
      <c r="N40" s="219">
        <v>1</v>
      </c>
      <c r="O40" s="219">
        <v>0.5</v>
      </c>
      <c r="P40" s="219">
        <v>0.5</v>
      </c>
      <c r="Q40" s="111">
        <f t="shared" si="0"/>
        <v>0.5</v>
      </c>
      <c r="R40" s="219">
        <v>18</v>
      </c>
      <c r="S40" s="219">
        <v>142</v>
      </c>
      <c r="T40" s="112">
        <f t="shared" si="1"/>
        <v>22</v>
      </c>
      <c r="U40" s="219">
        <v>98</v>
      </c>
      <c r="V40" s="113">
        <f t="shared" si="2"/>
        <v>2156</v>
      </c>
      <c r="W40" s="219">
        <v>9</v>
      </c>
      <c r="X40" s="109" t="s">
        <v>46</v>
      </c>
      <c r="Y40" s="219" t="s">
        <v>90</v>
      </c>
      <c r="Z40" s="219" t="s">
        <v>78</v>
      </c>
      <c r="AA40" s="219" t="s">
        <v>102</v>
      </c>
      <c r="AB40" s="109" t="s">
        <v>412</v>
      </c>
      <c r="AC40" s="114"/>
    </row>
    <row r="41" spans="1:29" x14ac:dyDescent="0.15">
      <c r="A41" s="109" t="s">
        <v>61</v>
      </c>
      <c r="B41" s="109" t="s">
        <v>384</v>
      </c>
      <c r="C41" s="109">
        <v>2018</v>
      </c>
      <c r="D41" s="110" t="s">
        <v>411</v>
      </c>
      <c r="E41" s="109" t="s">
        <v>262</v>
      </c>
      <c r="F41" s="109" t="s">
        <v>263</v>
      </c>
      <c r="G41" s="109" t="s">
        <v>42</v>
      </c>
      <c r="H41" s="219" t="s">
        <v>168</v>
      </c>
      <c r="I41" s="219" t="s">
        <v>153</v>
      </c>
      <c r="J41" s="109" t="s">
        <v>38</v>
      </c>
      <c r="K41" s="219" t="s">
        <v>154</v>
      </c>
      <c r="L41" s="219">
        <v>1</v>
      </c>
      <c r="M41" s="219"/>
      <c r="N41" s="219">
        <v>3</v>
      </c>
      <c r="O41" s="219">
        <v>0.6</v>
      </c>
      <c r="P41" s="219">
        <v>0.6</v>
      </c>
      <c r="Q41" s="111">
        <f t="shared" si="0"/>
        <v>0.6</v>
      </c>
      <c r="R41" s="219">
        <v>18.600000000000001</v>
      </c>
      <c r="S41" s="219">
        <v>139</v>
      </c>
      <c r="T41" s="112">
        <f t="shared" si="1"/>
        <v>22</v>
      </c>
      <c r="U41" s="219">
        <v>380</v>
      </c>
      <c r="V41" s="113">
        <f t="shared" si="2"/>
        <v>2786.666666666667</v>
      </c>
      <c r="W41" s="219">
        <v>9</v>
      </c>
      <c r="X41" s="109" t="s">
        <v>46</v>
      </c>
      <c r="Y41" s="219" t="s">
        <v>90</v>
      </c>
      <c r="Z41" s="219" t="s">
        <v>78</v>
      </c>
      <c r="AA41" s="219" t="s">
        <v>102</v>
      </c>
      <c r="AB41" s="109" t="s">
        <v>412</v>
      </c>
      <c r="AC41" s="114"/>
    </row>
    <row r="42" spans="1:29" x14ac:dyDescent="0.15">
      <c r="A42" s="109" t="s">
        <v>61</v>
      </c>
      <c r="B42" s="109" t="s">
        <v>384</v>
      </c>
      <c r="C42" s="109">
        <v>2018</v>
      </c>
      <c r="D42" s="110" t="s">
        <v>411</v>
      </c>
      <c r="E42" s="109" t="s">
        <v>262</v>
      </c>
      <c r="F42" s="109" t="s">
        <v>263</v>
      </c>
      <c r="G42" s="109" t="s">
        <v>42</v>
      </c>
      <c r="H42" s="219" t="s">
        <v>168</v>
      </c>
      <c r="I42" s="219" t="s">
        <v>153</v>
      </c>
      <c r="J42" s="109" t="s">
        <v>38</v>
      </c>
      <c r="K42" s="219" t="s">
        <v>154</v>
      </c>
      <c r="L42" s="219">
        <v>2</v>
      </c>
      <c r="M42" s="219"/>
      <c r="N42" s="219">
        <v>3</v>
      </c>
      <c r="O42" s="219">
        <v>0.55000000000000004</v>
      </c>
      <c r="P42" s="219">
        <v>0.55000000000000004</v>
      </c>
      <c r="Q42" s="111">
        <f t="shared" si="0"/>
        <v>0.55000000000000004</v>
      </c>
      <c r="R42" s="219">
        <v>18.399999999999999</v>
      </c>
      <c r="S42" s="219">
        <v>139</v>
      </c>
      <c r="T42" s="112">
        <f t="shared" si="1"/>
        <v>22</v>
      </c>
      <c r="U42" s="219">
        <v>380</v>
      </c>
      <c r="V42" s="113">
        <f t="shared" si="2"/>
        <v>2786.666666666667</v>
      </c>
      <c r="W42" s="219">
        <v>9</v>
      </c>
      <c r="X42" s="109" t="s">
        <v>46</v>
      </c>
      <c r="Y42" s="219" t="s">
        <v>90</v>
      </c>
      <c r="Z42" s="219" t="s">
        <v>78</v>
      </c>
      <c r="AA42" s="219" t="s">
        <v>102</v>
      </c>
      <c r="AB42" s="109" t="s">
        <v>412</v>
      </c>
      <c r="AC42" s="114"/>
    </row>
    <row r="43" spans="1:29" x14ac:dyDescent="0.15">
      <c r="A43" s="109" t="s">
        <v>61</v>
      </c>
      <c r="B43" s="109" t="s">
        <v>384</v>
      </c>
      <c r="C43" s="109">
        <v>2018</v>
      </c>
      <c r="D43" s="110" t="s">
        <v>411</v>
      </c>
      <c r="E43" s="109" t="s">
        <v>262</v>
      </c>
      <c r="F43" s="109" t="s">
        <v>263</v>
      </c>
      <c r="G43" s="109" t="s">
        <v>42</v>
      </c>
      <c r="H43" s="219" t="s">
        <v>168</v>
      </c>
      <c r="I43" s="219" t="s">
        <v>153</v>
      </c>
      <c r="J43" s="109" t="s">
        <v>38</v>
      </c>
      <c r="K43" s="219" t="s">
        <v>154</v>
      </c>
      <c r="L43" s="219">
        <v>3</v>
      </c>
      <c r="M43" s="219"/>
      <c r="N43" s="219">
        <v>3</v>
      </c>
      <c r="O43" s="219">
        <v>0.5</v>
      </c>
      <c r="P43" s="219">
        <v>0.5</v>
      </c>
      <c r="Q43" s="111">
        <f t="shared" si="0"/>
        <v>0.5</v>
      </c>
      <c r="R43" s="219">
        <v>18.600000000000001</v>
      </c>
      <c r="S43" s="219">
        <v>140</v>
      </c>
      <c r="T43" s="112">
        <f t="shared" si="1"/>
        <v>22</v>
      </c>
      <c r="U43" s="219">
        <v>380</v>
      </c>
      <c r="V43" s="113">
        <f t="shared" si="2"/>
        <v>2786.666666666667</v>
      </c>
      <c r="W43" s="219">
        <v>9</v>
      </c>
      <c r="X43" s="109" t="s">
        <v>46</v>
      </c>
      <c r="Y43" s="219" t="s">
        <v>90</v>
      </c>
      <c r="Z43" s="219" t="s">
        <v>78</v>
      </c>
      <c r="AA43" s="219" t="s">
        <v>102</v>
      </c>
      <c r="AB43" s="109" t="s">
        <v>412</v>
      </c>
      <c r="AC43" s="114"/>
    </row>
    <row r="44" spans="1:29" x14ac:dyDescent="0.15">
      <c r="A44" s="109" t="s">
        <v>61</v>
      </c>
      <c r="B44" s="109" t="s">
        <v>384</v>
      </c>
      <c r="C44" s="109">
        <v>2018</v>
      </c>
      <c r="D44" s="110" t="s">
        <v>411</v>
      </c>
      <c r="E44" s="109" t="s">
        <v>264</v>
      </c>
      <c r="F44" s="109" t="s">
        <v>265</v>
      </c>
      <c r="G44" s="109" t="s">
        <v>42</v>
      </c>
      <c r="H44" s="219" t="s">
        <v>155</v>
      </c>
      <c r="I44" s="219" t="s">
        <v>153</v>
      </c>
      <c r="J44" s="109" t="s">
        <v>38</v>
      </c>
      <c r="K44" s="219" t="s">
        <v>154</v>
      </c>
      <c r="L44" s="219">
        <v>1</v>
      </c>
      <c r="M44" s="219"/>
      <c r="N44" s="219">
        <v>1</v>
      </c>
      <c r="O44" s="219">
        <v>0.7</v>
      </c>
      <c r="P44" s="219">
        <v>0.7</v>
      </c>
      <c r="Q44" s="111">
        <f t="shared" si="0"/>
        <v>0.7</v>
      </c>
      <c r="R44" s="219">
        <v>17.8</v>
      </c>
      <c r="S44" s="219">
        <v>144</v>
      </c>
      <c r="T44" s="112">
        <f t="shared" si="1"/>
        <v>22</v>
      </c>
      <c r="U44" s="219">
        <v>105</v>
      </c>
      <c r="V44" s="113">
        <f t="shared" si="2"/>
        <v>2310</v>
      </c>
      <c r="W44" s="219">
        <v>10</v>
      </c>
      <c r="X44" s="109" t="s">
        <v>39</v>
      </c>
      <c r="Y44" s="219" t="s">
        <v>90</v>
      </c>
      <c r="Z44" s="219" t="s">
        <v>102</v>
      </c>
      <c r="AA44" s="219" t="s">
        <v>69</v>
      </c>
      <c r="AB44" s="109" t="s">
        <v>412</v>
      </c>
      <c r="AC44" s="114"/>
    </row>
    <row r="45" spans="1:29" x14ac:dyDescent="0.15">
      <c r="A45" s="109" t="s">
        <v>61</v>
      </c>
      <c r="B45" s="109" t="s">
        <v>384</v>
      </c>
      <c r="C45" s="109">
        <v>2018</v>
      </c>
      <c r="D45" s="110" t="s">
        <v>411</v>
      </c>
      <c r="E45" s="109" t="s">
        <v>264</v>
      </c>
      <c r="F45" s="109" t="s">
        <v>265</v>
      </c>
      <c r="G45" s="109" t="s">
        <v>42</v>
      </c>
      <c r="H45" s="219" t="s">
        <v>155</v>
      </c>
      <c r="I45" s="219" t="s">
        <v>153</v>
      </c>
      <c r="J45" s="109" t="s">
        <v>38</v>
      </c>
      <c r="K45" s="219" t="s">
        <v>154</v>
      </c>
      <c r="L45" s="219">
        <v>2</v>
      </c>
      <c r="M45" s="219"/>
      <c r="N45" s="219">
        <v>1</v>
      </c>
      <c r="O45" s="219">
        <v>0.75</v>
      </c>
      <c r="P45" s="219">
        <v>0.75</v>
      </c>
      <c r="Q45" s="111">
        <f t="shared" si="0"/>
        <v>0.75</v>
      </c>
      <c r="R45" s="219">
        <v>18.100000000000001</v>
      </c>
      <c r="S45" s="219">
        <v>148</v>
      </c>
      <c r="T45" s="112">
        <f t="shared" si="1"/>
        <v>22</v>
      </c>
      <c r="U45" s="219">
        <v>105</v>
      </c>
      <c r="V45" s="113">
        <f t="shared" si="2"/>
        <v>2310</v>
      </c>
      <c r="W45" s="219">
        <v>10</v>
      </c>
      <c r="X45" s="109" t="s">
        <v>39</v>
      </c>
      <c r="Y45" s="219" t="s">
        <v>90</v>
      </c>
      <c r="Z45" s="219" t="s">
        <v>102</v>
      </c>
      <c r="AA45" s="219" t="s">
        <v>69</v>
      </c>
      <c r="AB45" s="109" t="s">
        <v>412</v>
      </c>
      <c r="AC45" s="114"/>
    </row>
    <row r="46" spans="1:29" x14ac:dyDescent="0.15">
      <c r="A46" s="109" t="s">
        <v>61</v>
      </c>
      <c r="B46" s="109" t="s">
        <v>384</v>
      </c>
      <c r="C46" s="109">
        <v>2018</v>
      </c>
      <c r="D46" s="110" t="s">
        <v>411</v>
      </c>
      <c r="E46" s="109" t="s">
        <v>264</v>
      </c>
      <c r="F46" s="109" t="s">
        <v>265</v>
      </c>
      <c r="G46" s="109" t="s">
        <v>42</v>
      </c>
      <c r="H46" s="219" t="s">
        <v>155</v>
      </c>
      <c r="I46" s="219" t="s">
        <v>153</v>
      </c>
      <c r="J46" s="109" t="s">
        <v>38</v>
      </c>
      <c r="K46" s="219" t="s">
        <v>154</v>
      </c>
      <c r="L46" s="219">
        <v>3</v>
      </c>
      <c r="M46" s="219"/>
      <c r="N46" s="219">
        <v>1</v>
      </c>
      <c r="O46" s="219">
        <v>0.6</v>
      </c>
      <c r="P46" s="219">
        <v>0.6</v>
      </c>
      <c r="Q46" s="111">
        <f t="shared" si="0"/>
        <v>0.6</v>
      </c>
      <c r="R46" s="219">
        <v>17.600000000000001</v>
      </c>
      <c r="S46" s="219">
        <v>149</v>
      </c>
      <c r="T46" s="112">
        <f t="shared" si="1"/>
        <v>22</v>
      </c>
      <c r="U46" s="219">
        <v>105</v>
      </c>
      <c r="V46" s="113">
        <f t="shared" si="2"/>
        <v>2310</v>
      </c>
      <c r="W46" s="219">
        <v>10</v>
      </c>
      <c r="X46" s="109" t="s">
        <v>39</v>
      </c>
      <c r="Y46" s="219" t="s">
        <v>90</v>
      </c>
      <c r="Z46" s="219" t="s">
        <v>102</v>
      </c>
      <c r="AA46" s="219" t="s">
        <v>69</v>
      </c>
      <c r="AB46" s="109" t="s">
        <v>412</v>
      </c>
      <c r="AC46" s="114"/>
    </row>
    <row r="47" spans="1:29" x14ac:dyDescent="0.15">
      <c r="A47" s="109" t="s">
        <v>61</v>
      </c>
      <c r="B47" s="109" t="s">
        <v>384</v>
      </c>
      <c r="C47" s="109">
        <v>2018</v>
      </c>
      <c r="D47" s="110" t="s">
        <v>411</v>
      </c>
      <c r="E47" s="109" t="s">
        <v>264</v>
      </c>
      <c r="F47" s="109" t="s">
        <v>265</v>
      </c>
      <c r="G47" s="109" t="s">
        <v>42</v>
      </c>
      <c r="H47" s="219" t="s">
        <v>168</v>
      </c>
      <c r="I47" s="219" t="s">
        <v>153</v>
      </c>
      <c r="J47" s="109" t="s">
        <v>38</v>
      </c>
      <c r="K47" s="219" t="s">
        <v>154</v>
      </c>
      <c r="L47" s="219">
        <v>1</v>
      </c>
      <c r="M47" s="219"/>
      <c r="N47" s="219">
        <v>1</v>
      </c>
      <c r="O47" s="219">
        <v>0.5</v>
      </c>
      <c r="P47" s="219">
        <v>0.55000000000000004</v>
      </c>
      <c r="Q47" s="111">
        <f t="shared" si="0"/>
        <v>0.52500000000000002</v>
      </c>
      <c r="R47" s="219">
        <v>18.100000000000001</v>
      </c>
      <c r="S47" s="219">
        <v>142</v>
      </c>
      <c r="T47" s="112">
        <f t="shared" si="1"/>
        <v>22</v>
      </c>
      <c r="U47" s="219">
        <v>105</v>
      </c>
      <c r="V47" s="113">
        <f t="shared" si="2"/>
        <v>2310</v>
      </c>
      <c r="W47" s="219">
        <v>10</v>
      </c>
      <c r="X47" s="109" t="s">
        <v>39</v>
      </c>
      <c r="Y47" s="219" t="s">
        <v>90</v>
      </c>
      <c r="Z47" s="219" t="s">
        <v>102</v>
      </c>
      <c r="AA47" s="219" t="s">
        <v>69</v>
      </c>
      <c r="AB47" s="109" t="s">
        <v>412</v>
      </c>
      <c r="AC47" s="114"/>
    </row>
    <row r="48" spans="1:29" x14ac:dyDescent="0.15">
      <c r="A48" s="109" t="s">
        <v>61</v>
      </c>
      <c r="B48" s="109" t="s">
        <v>384</v>
      </c>
      <c r="C48" s="109">
        <v>2018</v>
      </c>
      <c r="D48" s="110" t="s">
        <v>411</v>
      </c>
      <c r="E48" s="109" t="s">
        <v>264</v>
      </c>
      <c r="F48" s="109" t="s">
        <v>265</v>
      </c>
      <c r="G48" s="109" t="s">
        <v>42</v>
      </c>
      <c r="H48" s="219" t="s">
        <v>168</v>
      </c>
      <c r="I48" s="219" t="s">
        <v>153</v>
      </c>
      <c r="J48" s="109" t="s">
        <v>38</v>
      </c>
      <c r="K48" s="219" t="s">
        <v>154</v>
      </c>
      <c r="L48" s="219">
        <v>2</v>
      </c>
      <c r="M48" s="219"/>
      <c r="N48" s="219">
        <v>1</v>
      </c>
      <c r="O48" s="219">
        <v>0.6</v>
      </c>
      <c r="P48" s="219">
        <v>0.6</v>
      </c>
      <c r="Q48" s="111">
        <f t="shared" si="0"/>
        <v>0.6</v>
      </c>
      <c r="R48" s="219">
        <v>17.8</v>
      </c>
      <c r="S48" s="219">
        <v>139</v>
      </c>
      <c r="T48" s="112">
        <f t="shared" si="1"/>
        <v>22</v>
      </c>
      <c r="U48" s="219">
        <v>105</v>
      </c>
      <c r="V48" s="113">
        <f t="shared" si="2"/>
        <v>2310</v>
      </c>
      <c r="W48" s="219">
        <v>10</v>
      </c>
      <c r="X48" s="109" t="s">
        <v>39</v>
      </c>
      <c r="Y48" s="219" t="s">
        <v>90</v>
      </c>
      <c r="Z48" s="219" t="s">
        <v>102</v>
      </c>
      <c r="AA48" s="219" t="s">
        <v>69</v>
      </c>
      <c r="AB48" s="109" t="s">
        <v>412</v>
      </c>
      <c r="AC48" s="114"/>
    </row>
    <row r="49" spans="1:29" x14ac:dyDescent="0.15">
      <c r="A49" s="109" t="s">
        <v>61</v>
      </c>
      <c r="B49" s="109" t="s">
        <v>384</v>
      </c>
      <c r="C49" s="109">
        <v>2018</v>
      </c>
      <c r="D49" s="110" t="s">
        <v>411</v>
      </c>
      <c r="E49" s="109" t="s">
        <v>264</v>
      </c>
      <c r="F49" s="109" t="s">
        <v>265</v>
      </c>
      <c r="G49" s="109" t="s">
        <v>42</v>
      </c>
      <c r="H49" s="219" t="s">
        <v>168</v>
      </c>
      <c r="I49" s="219" t="s">
        <v>153</v>
      </c>
      <c r="J49" s="109" t="s">
        <v>38</v>
      </c>
      <c r="K49" s="219" t="s">
        <v>154</v>
      </c>
      <c r="L49" s="219">
        <v>3</v>
      </c>
      <c r="M49" s="219"/>
      <c r="N49" s="219">
        <v>1</v>
      </c>
      <c r="O49" s="219">
        <v>0.65</v>
      </c>
      <c r="P49" s="219">
        <v>0.65</v>
      </c>
      <c r="Q49" s="111">
        <f t="shared" si="0"/>
        <v>0.65</v>
      </c>
      <c r="R49" s="219">
        <v>18</v>
      </c>
      <c r="S49" s="219">
        <v>140</v>
      </c>
      <c r="T49" s="112">
        <f t="shared" si="1"/>
        <v>22</v>
      </c>
      <c r="U49" s="219">
        <v>105</v>
      </c>
      <c r="V49" s="113">
        <f t="shared" si="2"/>
        <v>2310</v>
      </c>
      <c r="W49" s="219">
        <v>10</v>
      </c>
      <c r="X49" s="109" t="s">
        <v>39</v>
      </c>
      <c r="Y49" s="219" t="s">
        <v>90</v>
      </c>
      <c r="Z49" s="219" t="s">
        <v>102</v>
      </c>
      <c r="AA49" s="219" t="s">
        <v>69</v>
      </c>
      <c r="AB49" s="109" t="s">
        <v>412</v>
      </c>
      <c r="AC49" s="114"/>
    </row>
    <row r="50" spans="1:29" x14ac:dyDescent="0.15">
      <c r="A50" s="109" t="s">
        <v>61</v>
      </c>
      <c r="B50" s="109" t="s">
        <v>384</v>
      </c>
      <c r="C50" s="109">
        <v>2018</v>
      </c>
      <c r="D50" s="110" t="s">
        <v>411</v>
      </c>
      <c r="E50" s="109" t="s">
        <v>133</v>
      </c>
      <c r="F50" s="109" t="s">
        <v>266</v>
      </c>
      <c r="G50" s="109" t="s">
        <v>42</v>
      </c>
      <c r="H50" s="219" t="s">
        <v>155</v>
      </c>
      <c r="I50" s="219" t="s">
        <v>153</v>
      </c>
      <c r="J50" s="109" t="s">
        <v>38</v>
      </c>
      <c r="K50" s="219" t="s">
        <v>154</v>
      </c>
      <c r="L50" s="219">
        <v>1</v>
      </c>
      <c r="M50" s="219"/>
      <c r="N50" s="219">
        <v>1</v>
      </c>
      <c r="O50" s="219">
        <v>0.6</v>
      </c>
      <c r="P50" s="219">
        <v>0.6</v>
      </c>
      <c r="Q50" s="111">
        <f t="shared" si="0"/>
        <v>0.6</v>
      </c>
      <c r="R50" s="219">
        <v>18.100000000000001</v>
      </c>
      <c r="S50" s="219">
        <v>148</v>
      </c>
      <c r="T50" s="112">
        <f t="shared" si="1"/>
        <v>22</v>
      </c>
      <c r="U50" s="219">
        <v>105</v>
      </c>
      <c r="V50" s="113">
        <f t="shared" si="2"/>
        <v>2310</v>
      </c>
      <c r="W50" s="219">
        <v>20</v>
      </c>
      <c r="X50" s="109" t="s">
        <v>46</v>
      </c>
      <c r="Y50" s="219" t="s">
        <v>78</v>
      </c>
      <c r="Z50" s="219" t="s">
        <v>90</v>
      </c>
      <c r="AA50" s="219" t="s">
        <v>55</v>
      </c>
      <c r="AB50" s="109" t="s">
        <v>412</v>
      </c>
      <c r="AC50" s="114"/>
    </row>
    <row r="51" spans="1:29" x14ac:dyDescent="0.15">
      <c r="A51" s="109" t="s">
        <v>61</v>
      </c>
      <c r="B51" s="109" t="s">
        <v>384</v>
      </c>
      <c r="C51" s="109">
        <v>2018</v>
      </c>
      <c r="D51" s="110" t="s">
        <v>411</v>
      </c>
      <c r="E51" s="109" t="s">
        <v>133</v>
      </c>
      <c r="F51" s="109" t="s">
        <v>266</v>
      </c>
      <c r="G51" s="109" t="s">
        <v>42</v>
      </c>
      <c r="H51" s="219" t="s">
        <v>155</v>
      </c>
      <c r="I51" s="219" t="s">
        <v>153</v>
      </c>
      <c r="J51" s="109" t="s">
        <v>38</v>
      </c>
      <c r="K51" s="219" t="s">
        <v>154</v>
      </c>
      <c r="L51" s="219">
        <v>2</v>
      </c>
      <c r="M51" s="219"/>
      <c r="N51" s="219">
        <v>1</v>
      </c>
      <c r="O51" s="219">
        <v>0.5</v>
      </c>
      <c r="P51" s="219">
        <v>0.5</v>
      </c>
      <c r="Q51" s="111">
        <f t="shared" si="0"/>
        <v>0.5</v>
      </c>
      <c r="R51" s="219">
        <v>18.3</v>
      </c>
      <c r="S51" s="219">
        <v>151</v>
      </c>
      <c r="T51" s="112">
        <f t="shared" si="1"/>
        <v>22</v>
      </c>
      <c r="U51" s="219">
        <v>105</v>
      </c>
      <c r="V51" s="113">
        <f t="shared" si="2"/>
        <v>2310</v>
      </c>
      <c r="W51" s="219">
        <v>20</v>
      </c>
      <c r="X51" s="109" t="s">
        <v>46</v>
      </c>
      <c r="Y51" s="219" t="s">
        <v>78</v>
      </c>
      <c r="Z51" s="219" t="s">
        <v>90</v>
      </c>
      <c r="AA51" s="219" t="s">
        <v>55</v>
      </c>
      <c r="AB51" s="109" t="s">
        <v>412</v>
      </c>
      <c r="AC51" s="114"/>
    </row>
    <row r="52" spans="1:29" x14ac:dyDescent="0.15">
      <c r="A52" s="109" t="s">
        <v>61</v>
      </c>
      <c r="B52" s="109" t="s">
        <v>384</v>
      </c>
      <c r="C52" s="109">
        <v>2018</v>
      </c>
      <c r="D52" s="110" t="s">
        <v>411</v>
      </c>
      <c r="E52" s="109" t="s">
        <v>133</v>
      </c>
      <c r="F52" s="109" t="s">
        <v>266</v>
      </c>
      <c r="G52" s="109" t="s">
        <v>42</v>
      </c>
      <c r="H52" s="219" t="s">
        <v>155</v>
      </c>
      <c r="I52" s="219" t="s">
        <v>153</v>
      </c>
      <c r="J52" s="109" t="s">
        <v>38</v>
      </c>
      <c r="K52" s="219" t="s">
        <v>154</v>
      </c>
      <c r="L52" s="219">
        <v>3</v>
      </c>
      <c r="M52" s="219"/>
      <c r="N52" s="219">
        <v>1</v>
      </c>
      <c r="O52" s="219">
        <v>0.65</v>
      </c>
      <c r="P52" s="219">
        <v>0.65</v>
      </c>
      <c r="Q52" s="111">
        <f t="shared" si="0"/>
        <v>0.65</v>
      </c>
      <c r="R52" s="219">
        <v>18</v>
      </c>
      <c r="S52" s="219">
        <v>161</v>
      </c>
      <c r="T52" s="112">
        <f t="shared" si="1"/>
        <v>18</v>
      </c>
      <c r="U52" s="219">
        <v>105</v>
      </c>
      <c r="V52" s="113">
        <f t="shared" si="2"/>
        <v>1890</v>
      </c>
      <c r="W52" s="219">
        <v>20</v>
      </c>
      <c r="X52" s="109" t="s">
        <v>46</v>
      </c>
      <c r="Y52" s="219" t="s">
        <v>78</v>
      </c>
      <c r="Z52" s="219" t="s">
        <v>90</v>
      </c>
      <c r="AA52" s="219" t="s">
        <v>55</v>
      </c>
      <c r="AB52" s="109" t="s">
        <v>412</v>
      </c>
      <c r="AC52" s="114"/>
    </row>
    <row r="53" spans="1:29" x14ac:dyDescent="0.15">
      <c r="A53" s="109" t="s">
        <v>61</v>
      </c>
      <c r="B53" s="109" t="s">
        <v>384</v>
      </c>
      <c r="C53" s="109">
        <v>2018</v>
      </c>
      <c r="D53" s="110" t="s">
        <v>411</v>
      </c>
      <c r="E53" s="109" t="s">
        <v>133</v>
      </c>
      <c r="F53" s="109" t="s">
        <v>266</v>
      </c>
      <c r="G53" s="109" t="s">
        <v>42</v>
      </c>
      <c r="H53" s="219" t="s">
        <v>168</v>
      </c>
      <c r="I53" s="219" t="s">
        <v>153</v>
      </c>
      <c r="J53" s="109" t="s">
        <v>38</v>
      </c>
      <c r="K53" s="219" t="s">
        <v>154</v>
      </c>
      <c r="L53" s="219">
        <v>1</v>
      </c>
      <c r="M53" s="219"/>
      <c r="N53" s="219">
        <v>1</v>
      </c>
      <c r="O53" s="219">
        <v>0.55000000000000004</v>
      </c>
      <c r="P53" s="219">
        <v>0.6</v>
      </c>
      <c r="Q53" s="111">
        <f t="shared" si="0"/>
        <v>0.57499999999999996</v>
      </c>
      <c r="R53" s="219">
        <v>18.399999999999999</v>
      </c>
      <c r="S53" s="219">
        <v>144</v>
      </c>
      <c r="T53" s="112">
        <f t="shared" si="1"/>
        <v>22</v>
      </c>
      <c r="U53" s="219">
        <v>105</v>
      </c>
      <c r="V53" s="113">
        <f t="shared" si="2"/>
        <v>2310</v>
      </c>
      <c r="W53" s="219">
        <v>20</v>
      </c>
      <c r="X53" s="109" t="s">
        <v>46</v>
      </c>
      <c r="Y53" s="219" t="s">
        <v>78</v>
      </c>
      <c r="Z53" s="219" t="s">
        <v>90</v>
      </c>
      <c r="AA53" s="219" t="s">
        <v>55</v>
      </c>
      <c r="AB53" s="109" t="s">
        <v>412</v>
      </c>
      <c r="AC53" s="219"/>
    </row>
    <row r="54" spans="1:29" x14ac:dyDescent="0.15">
      <c r="A54" s="109" t="s">
        <v>61</v>
      </c>
      <c r="B54" s="109" t="s">
        <v>384</v>
      </c>
      <c r="C54" s="109">
        <v>2018</v>
      </c>
      <c r="D54" s="110" t="s">
        <v>411</v>
      </c>
      <c r="E54" s="109" t="s">
        <v>133</v>
      </c>
      <c r="F54" s="109" t="s">
        <v>266</v>
      </c>
      <c r="G54" s="109" t="s">
        <v>42</v>
      </c>
      <c r="H54" s="219" t="s">
        <v>168</v>
      </c>
      <c r="I54" s="219" t="s">
        <v>153</v>
      </c>
      <c r="J54" s="109" t="s">
        <v>38</v>
      </c>
      <c r="K54" s="219" t="s">
        <v>154</v>
      </c>
      <c r="L54" s="219">
        <v>2</v>
      </c>
      <c r="M54" s="219"/>
      <c r="N54" s="219">
        <v>1</v>
      </c>
      <c r="O54" s="219">
        <v>0.6</v>
      </c>
      <c r="P54" s="219">
        <v>0.6</v>
      </c>
      <c r="Q54" s="111">
        <f t="shared" si="0"/>
        <v>0.6</v>
      </c>
      <c r="R54" s="219">
        <v>17.8</v>
      </c>
      <c r="S54" s="219">
        <v>145</v>
      </c>
      <c r="T54" s="112">
        <f t="shared" si="1"/>
        <v>22</v>
      </c>
      <c r="U54" s="219">
        <v>105</v>
      </c>
      <c r="V54" s="113">
        <f t="shared" si="2"/>
        <v>2310</v>
      </c>
      <c r="W54" s="219">
        <v>20</v>
      </c>
      <c r="X54" s="109" t="s">
        <v>46</v>
      </c>
      <c r="Y54" s="219" t="s">
        <v>78</v>
      </c>
      <c r="Z54" s="219" t="s">
        <v>90</v>
      </c>
      <c r="AA54" s="219" t="s">
        <v>55</v>
      </c>
      <c r="AB54" s="109" t="s">
        <v>412</v>
      </c>
      <c r="AC54" s="219"/>
    </row>
    <row r="55" spans="1:29" x14ac:dyDescent="0.15">
      <c r="A55" s="109" t="s">
        <v>61</v>
      </c>
      <c r="B55" s="109" t="s">
        <v>384</v>
      </c>
      <c r="C55" s="109">
        <v>2018</v>
      </c>
      <c r="D55" s="110" t="s">
        <v>411</v>
      </c>
      <c r="E55" s="109" t="s">
        <v>133</v>
      </c>
      <c r="F55" s="109" t="s">
        <v>266</v>
      </c>
      <c r="G55" s="109" t="s">
        <v>42</v>
      </c>
      <c r="H55" s="219" t="s">
        <v>168</v>
      </c>
      <c r="I55" s="219" t="s">
        <v>153</v>
      </c>
      <c r="J55" s="109" t="s">
        <v>38</v>
      </c>
      <c r="K55" s="219" t="s">
        <v>154</v>
      </c>
      <c r="L55" s="219">
        <v>3</v>
      </c>
      <c r="M55" s="219"/>
      <c r="N55" s="219">
        <v>1</v>
      </c>
      <c r="O55" s="219">
        <v>0.65</v>
      </c>
      <c r="P55" s="219">
        <v>0.6</v>
      </c>
      <c r="Q55" s="111">
        <f t="shared" si="0"/>
        <v>0.625</v>
      </c>
      <c r="R55" s="219">
        <v>17.600000000000001</v>
      </c>
      <c r="S55" s="219">
        <v>141</v>
      </c>
      <c r="T55" s="112">
        <f t="shared" si="1"/>
        <v>22</v>
      </c>
      <c r="U55" s="219">
        <v>105</v>
      </c>
      <c r="V55" s="113">
        <f t="shared" si="2"/>
        <v>2310</v>
      </c>
      <c r="W55" s="219">
        <v>20</v>
      </c>
      <c r="X55" s="109" t="s">
        <v>46</v>
      </c>
      <c r="Y55" s="219" t="s">
        <v>78</v>
      </c>
      <c r="Z55" s="219" t="s">
        <v>90</v>
      </c>
      <c r="AA55" s="219" t="s">
        <v>55</v>
      </c>
      <c r="AB55" s="109" t="s">
        <v>412</v>
      </c>
      <c r="AC55" s="219"/>
    </row>
    <row r="56" spans="1:29" x14ac:dyDescent="0.15">
      <c r="A56" s="109" t="s">
        <v>61</v>
      </c>
      <c r="B56" s="109" t="s">
        <v>384</v>
      </c>
      <c r="C56" s="109">
        <v>2018</v>
      </c>
      <c r="D56" s="110" t="s">
        <v>411</v>
      </c>
      <c r="E56" s="109" t="s">
        <v>267</v>
      </c>
      <c r="F56" s="109" t="s">
        <v>268</v>
      </c>
      <c r="G56" s="109" t="s">
        <v>42</v>
      </c>
      <c r="H56" s="219" t="s">
        <v>155</v>
      </c>
      <c r="I56" s="219" t="s">
        <v>153</v>
      </c>
      <c r="J56" s="109" t="s">
        <v>38</v>
      </c>
      <c r="K56" s="219" t="s">
        <v>154</v>
      </c>
      <c r="L56" s="219">
        <v>1</v>
      </c>
      <c r="M56" s="219"/>
      <c r="N56" s="219">
        <v>4</v>
      </c>
      <c r="O56" s="219">
        <v>0.7</v>
      </c>
      <c r="P56" s="219">
        <v>0.75</v>
      </c>
      <c r="Q56" s="111">
        <f t="shared" si="0"/>
        <v>0.72499999999999998</v>
      </c>
      <c r="R56" s="219">
        <v>17.8</v>
      </c>
      <c r="S56" s="219">
        <v>115</v>
      </c>
      <c r="T56" s="112">
        <f t="shared" si="1"/>
        <v>30</v>
      </c>
      <c r="U56" s="219">
        <v>298</v>
      </c>
      <c r="V56" s="113">
        <f t="shared" si="2"/>
        <v>2235</v>
      </c>
      <c r="W56" s="219">
        <v>18</v>
      </c>
      <c r="X56" s="109" t="s">
        <v>46</v>
      </c>
      <c r="Y56" s="219" t="s">
        <v>78</v>
      </c>
      <c r="Z56" s="219" t="s">
        <v>102</v>
      </c>
      <c r="AA56" s="219" t="s">
        <v>69</v>
      </c>
      <c r="AB56" s="109" t="s">
        <v>412</v>
      </c>
      <c r="AC56" s="219"/>
    </row>
    <row r="57" spans="1:29" x14ac:dyDescent="0.15">
      <c r="A57" s="109" t="s">
        <v>61</v>
      </c>
      <c r="B57" s="109" t="s">
        <v>384</v>
      </c>
      <c r="C57" s="109">
        <v>2018</v>
      </c>
      <c r="D57" s="110" t="s">
        <v>411</v>
      </c>
      <c r="E57" s="109" t="s">
        <v>267</v>
      </c>
      <c r="F57" s="109" t="s">
        <v>268</v>
      </c>
      <c r="G57" s="109" t="s">
        <v>42</v>
      </c>
      <c r="H57" s="219" t="s">
        <v>155</v>
      </c>
      <c r="I57" s="219" t="s">
        <v>153</v>
      </c>
      <c r="J57" s="109" t="s">
        <v>38</v>
      </c>
      <c r="K57" s="219" t="s">
        <v>154</v>
      </c>
      <c r="L57" s="219">
        <v>2</v>
      </c>
      <c r="M57" s="219"/>
      <c r="N57" s="219">
        <v>4</v>
      </c>
      <c r="O57" s="219">
        <v>0.6</v>
      </c>
      <c r="P57" s="219">
        <v>0.6</v>
      </c>
      <c r="Q57" s="111">
        <f t="shared" si="0"/>
        <v>0.6</v>
      </c>
      <c r="R57" s="219">
        <v>18.100000000000001</v>
      </c>
      <c r="S57" s="219">
        <v>109</v>
      </c>
      <c r="T57" s="112">
        <f t="shared" si="1"/>
        <v>33</v>
      </c>
      <c r="U57" s="219">
        <v>298</v>
      </c>
      <c r="V57" s="113">
        <f t="shared" si="2"/>
        <v>2458.5</v>
      </c>
      <c r="W57" s="219">
        <v>18</v>
      </c>
      <c r="X57" s="109" t="s">
        <v>46</v>
      </c>
      <c r="Y57" s="219" t="s">
        <v>78</v>
      </c>
      <c r="Z57" s="219" t="s">
        <v>102</v>
      </c>
      <c r="AA57" s="219" t="s">
        <v>69</v>
      </c>
      <c r="AB57" s="109" t="s">
        <v>412</v>
      </c>
      <c r="AC57" s="219"/>
    </row>
    <row r="58" spans="1:29" x14ac:dyDescent="0.15">
      <c r="A58" s="109" t="s">
        <v>61</v>
      </c>
      <c r="B58" s="109" t="s">
        <v>384</v>
      </c>
      <c r="C58" s="109">
        <v>2018</v>
      </c>
      <c r="D58" s="110" t="s">
        <v>411</v>
      </c>
      <c r="E58" s="109" t="s">
        <v>267</v>
      </c>
      <c r="F58" s="109" t="s">
        <v>268</v>
      </c>
      <c r="G58" s="109" t="s">
        <v>42</v>
      </c>
      <c r="H58" s="219" t="s">
        <v>155</v>
      </c>
      <c r="I58" s="219" t="s">
        <v>153</v>
      </c>
      <c r="J58" s="109" t="s">
        <v>38</v>
      </c>
      <c r="K58" s="219" t="s">
        <v>154</v>
      </c>
      <c r="L58" s="219">
        <v>3</v>
      </c>
      <c r="M58" s="219"/>
      <c r="N58" s="219">
        <v>4</v>
      </c>
      <c r="O58" s="219">
        <v>0.6</v>
      </c>
      <c r="P58" s="219">
        <v>0.65</v>
      </c>
      <c r="Q58" s="111">
        <f t="shared" si="0"/>
        <v>0.625</v>
      </c>
      <c r="R58" s="219">
        <v>18</v>
      </c>
      <c r="S58" s="219">
        <v>107</v>
      </c>
      <c r="T58" s="112">
        <f t="shared" si="1"/>
        <v>33</v>
      </c>
      <c r="U58" s="219">
        <v>298</v>
      </c>
      <c r="V58" s="113">
        <f t="shared" si="2"/>
        <v>2458.5</v>
      </c>
      <c r="W58" s="219">
        <v>18</v>
      </c>
      <c r="X58" s="109" t="s">
        <v>46</v>
      </c>
      <c r="Y58" s="219" t="s">
        <v>78</v>
      </c>
      <c r="Z58" s="219" t="s">
        <v>102</v>
      </c>
      <c r="AA58" s="219" t="s">
        <v>69</v>
      </c>
      <c r="AB58" s="109" t="s">
        <v>412</v>
      </c>
      <c r="AC58" s="219"/>
    </row>
    <row r="59" spans="1:29" x14ac:dyDescent="0.15">
      <c r="A59" s="109" t="s">
        <v>61</v>
      </c>
      <c r="B59" s="109" t="s">
        <v>384</v>
      </c>
      <c r="C59" s="109">
        <v>2018</v>
      </c>
      <c r="D59" s="110" t="s">
        <v>411</v>
      </c>
      <c r="E59" s="109" t="s">
        <v>267</v>
      </c>
      <c r="F59" s="109" t="s">
        <v>268</v>
      </c>
      <c r="G59" s="109" t="s">
        <v>42</v>
      </c>
      <c r="H59" s="219" t="s">
        <v>168</v>
      </c>
      <c r="I59" s="219" t="s">
        <v>153</v>
      </c>
      <c r="J59" s="109" t="s">
        <v>38</v>
      </c>
      <c r="K59" s="219" t="s">
        <v>154</v>
      </c>
      <c r="L59" s="219">
        <v>1</v>
      </c>
      <c r="M59" s="219"/>
      <c r="N59" s="219">
        <v>4</v>
      </c>
      <c r="O59" s="219">
        <v>0.6</v>
      </c>
      <c r="P59" s="219">
        <v>0.55000000000000004</v>
      </c>
      <c r="Q59" s="111">
        <f t="shared" si="0"/>
        <v>0.57499999999999996</v>
      </c>
      <c r="R59" s="219">
        <v>18.399999999999999</v>
      </c>
      <c r="S59" s="219">
        <v>99</v>
      </c>
      <c r="T59" s="112">
        <f t="shared" si="1"/>
        <v>33</v>
      </c>
      <c r="U59" s="219">
        <v>398</v>
      </c>
      <c r="V59" s="113">
        <f t="shared" si="2"/>
        <v>3283.5</v>
      </c>
      <c r="W59" s="219">
        <v>18</v>
      </c>
      <c r="X59" s="109" t="s">
        <v>46</v>
      </c>
      <c r="Y59" s="219" t="s">
        <v>78</v>
      </c>
      <c r="Z59" s="219" t="s">
        <v>102</v>
      </c>
      <c r="AA59" s="219" t="s">
        <v>69</v>
      </c>
      <c r="AB59" s="109" t="s">
        <v>412</v>
      </c>
      <c r="AC59" s="114"/>
    </row>
    <row r="60" spans="1:29" x14ac:dyDescent="0.15">
      <c r="A60" s="109" t="s">
        <v>61</v>
      </c>
      <c r="B60" s="109" t="s">
        <v>384</v>
      </c>
      <c r="C60" s="109">
        <v>2018</v>
      </c>
      <c r="D60" s="110" t="s">
        <v>411</v>
      </c>
      <c r="E60" s="109" t="s">
        <v>267</v>
      </c>
      <c r="F60" s="109" t="s">
        <v>268</v>
      </c>
      <c r="G60" s="109" t="s">
        <v>42</v>
      </c>
      <c r="H60" s="219" t="s">
        <v>168</v>
      </c>
      <c r="I60" s="219" t="s">
        <v>153</v>
      </c>
      <c r="J60" s="109" t="s">
        <v>38</v>
      </c>
      <c r="K60" s="219" t="s">
        <v>154</v>
      </c>
      <c r="L60" s="219">
        <v>2</v>
      </c>
      <c r="M60" s="219"/>
      <c r="N60" s="219">
        <v>4</v>
      </c>
      <c r="O60" s="219">
        <v>0.5</v>
      </c>
      <c r="P60" s="219">
        <v>0.5</v>
      </c>
      <c r="Q60" s="111">
        <f t="shared" si="0"/>
        <v>0.5</v>
      </c>
      <c r="R60" s="219">
        <v>18.399999999999999</v>
      </c>
      <c r="S60" s="219">
        <v>99</v>
      </c>
      <c r="T60" s="112">
        <f t="shared" si="1"/>
        <v>33</v>
      </c>
      <c r="U60" s="219">
        <v>398</v>
      </c>
      <c r="V60" s="113">
        <f t="shared" si="2"/>
        <v>3283.5</v>
      </c>
      <c r="W60" s="219">
        <v>18</v>
      </c>
      <c r="X60" s="109" t="s">
        <v>46</v>
      </c>
      <c r="Y60" s="219" t="s">
        <v>78</v>
      </c>
      <c r="Z60" s="219" t="s">
        <v>102</v>
      </c>
      <c r="AA60" s="219" t="s">
        <v>69</v>
      </c>
      <c r="AB60" s="109" t="s">
        <v>412</v>
      </c>
      <c r="AC60" s="114"/>
    </row>
    <row r="61" spans="1:29" x14ac:dyDescent="0.15">
      <c r="A61" s="109" t="s">
        <v>61</v>
      </c>
      <c r="B61" s="109" t="s">
        <v>384</v>
      </c>
      <c r="C61" s="109">
        <v>2018</v>
      </c>
      <c r="D61" s="110" t="s">
        <v>411</v>
      </c>
      <c r="E61" s="109" t="s">
        <v>267</v>
      </c>
      <c r="F61" s="109" t="s">
        <v>268</v>
      </c>
      <c r="G61" s="109" t="s">
        <v>42</v>
      </c>
      <c r="H61" s="219" t="s">
        <v>168</v>
      </c>
      <c r="I61" s="219" t="s">
        <v>153</v>
      </c>
      <c r="J61" s="109" t="s">
        <v>38</v>
      </c>
      <c r="K61" s="219" t="s">
        <v>154</v>
      </c>
      <c r="L61" s="219">
        <v>3</v>
      </c>
      <c r="M61" s="219"/>
      <c r="N61" s="219">
        <v>4</v>
      </c>
      <c r="O61" s="219">
        <v>0.55000000000000004</v>
      </c>
      <c r="P61" s="219">
        <v>0.55000000000000004</v>
      </c>
      <c r="Q61" s="111">
        <f t="shared" si="0"/>
        <v>0.55000000000000004</v>
      </c>
      <c r="R61" s="219">
        <v>18.600000000000001</v>
      </c>
      <c r="S61" s="219">
        <v>102</v>
      </c>
      <c r="T61" s="112">
        <f t="shared" si="1"/>
        <v>33</v>
      </c>
      <c r="U61" s="219">
        <v>398</v>
      </c>
      <c r="V61" s="113">
        <f t="shared" si="2"/>
        <v>3283.5</v>
      </c>
      <c r="W61" s="219">
        <v>18</v>
      </c>
      <c r="X61" s="109" t="s">
        <v>46</v>
      </c>
      <c r="Y61" s="219" t="s">
        <v>78</v>
      </c>
      <c r="Z61" s="219" t="s">
        <v>102</v>
      </c>
      <c r="AA61" s="219" t="s">
        <v>69</v>
      </c>
      <c r="AB61" s="109" t="s">
        <v>412</v>
      </c>
      <c r="AC61" s="114"/>
    </row>
    <row r="62" spans="1:29" x14ac:dyDescent="0.15">
      <c r="A62" s="109" t="s">
        <v>61</v>
      </c>
      <c r="B62" s="109" t="s">
        <v>384</v>
      </c>
      <c r="C62" s="109">
        <v>2018</v>
      </c>
      <c r="D62" s="110" t="s">
        <v>411</v>
      </c>
      <c r="E62" s="109" t="s">
        <v>269</v>
      </c>
      <c r="F62" s="109" t="s">
        <v>268</v>
      </c>
      <c r="G62" s="109" t="s">
        <v>42</v>
      </c>
      <c r="H62" s="219" t="s">
        <v>155</v>
      </c>
      <c r="I62" s="219" t="s">
        <v>153</v>
      </c>
      <c r="J62" s="109" t="s">
        <v>38</v>
      </c>
      <c r="K62" s="219" t="s">
        <v>154</v>
      </c>
      <c r="L62" s="219">
        <v>1</v>
      </c>
      <c r="M62" s="219"/>
      <c r="N62" s="219">
        <v>5</v>
      </c>
      <c r="O62" s="219">
        <v>0.7</v>
      </c>
      <c r="P62" s="219">
        <v>0.65</v>
      </c>
      <c r="Q62" s="111">
        <f t="shared" si="0"/>
        <v>0.67500000000000004</v>
      </c>
      <c r="R62" s="219">
        <v>18.100000000000001</v>
      </c>
      <c r="S62" s="219">
        <v>86</v>
      </c>
      <c r="T62" s="112">
        <f t="shared" si="1"/>
        <v>36</v>
      </c>
      <c r="U62" s="219">
        <v>321</v>
      </c>
      <c r="V62" s="113">
        <f t="shared" si="2"/>
        <v>2311.2000000000003</v>
      </c>
      <c r="W62" s="219">
        <v>18</v>
      </c>
      <c r="X62" s="109" t="s">
        <v>46</v>
      </c>
      <c r="Y62" s="219" t="s">
        <v>78</v>
      </c>
      <c r="Z62" s="219" t="s">
        <v>102</v>
      </c>
      <c r="AA62" s="219" t="s">
        <v>69</v>
      </c>
      <c r="AB62" s="109" t="s">
        <v>412</v>
      </c>
      <c r="AC62" s="114"/>
    </row>
    <row r="63" spans="1:29" x14ac:dyDescent="0.15">
      <c r="A63" s="109" t="s">
        <v>61</v>
      </c>
      <c r="B63" s="109" t="s">
        <v>384</v>
      </c>
      <c r="C63" s="109">
        <v>2018</v>
      </c>
      <c r="D63" s="110" t="s">
        <v>411</v>
      </c>
      <c r="E63" s="109" t="s">
        <v>269</v>
      </c>
      <c r="F63" s="109" t="s">
        <v>268</v>
      </c>
      <c r="G63" s="109" t="s">
        <v>42</v>
      </c>
      <c r="H63" s="219" t="s">
        <v>155</v>
      </c>
      <c r="I63" s="219" t="s">
        <v>153</v>
      </c>
      <c r="J63" s="109" t="s">
        <v>38</v>
      </c>
      <c r="K63" s="219" t="s">
        <v>154</v>
      </c>
      <c r="L63" s="219">
        <v>2</v>
      </c>
      <c r="M63" s="219"/>
      <c r="N63" s="219">
        <v>5</v>
      </c>
      <c r="O63" s="219">
        <v>0.6</v>
      </c>
      <c r="P63" s="219">
        <v>0.6</v>
      </c>
      <c r="Q63" s="111">
        <f t="shared" si="0"/>
        <v>0.6</v>
      </c>
      <c r="R63" s="219">
        <v>18.2</v>
      </c>
      <c r="S63" s="219">
        <v>92</v>
      </c>
      <c r="T63" s="112">
        <f t="shared" si="1"/>
        <v>36</v>
      </c>
      <c r="U63" s="219">
        <v>321</v>
      </c>
      <c r="V63" s="113">
        <f t="shared" si="2"/>
        <v>2311.2000000000003</v>
      </c>
      <c r="W63" s="219">
        <v>18</v>
      </c>
      <c r="X63" s="109" t="s">
        <v>46</v>
      </c>
      <c r="Y63" s="219" t="s">
        <v>78</v>
      </c>
      <c r="Z63" s="219" t="s">
        <v>102</v>
      </c>
      <c r="AA63" s="219" t="s">
        <v>69</v>
      </c>
      <c r="AB63" s="109" t="s">
        <v>412</v>
      </c>
      <c r="AC63" s="114"/>
    </row>
    <row r="64" spans="1:29" x14ac:dyDescent="0.15">
      <c r="A64" s="109" t="s">
        <v>61</v>
      </c>
      <c r="B64" s="109" t="s">
        <v>384</v>
      </c>
      <c r="C64" s="109">
        <v>2018</v>
      </c>
      <c r="D64" s="110" t="s">
        <v>411</v>
      </c>
      <c r="E64" s="109" t="s">
        <v>269</v>
      </c>
      <c r="F64" s="109" t="s">
        <v>268</v>
      </c>
      <c r="G64" s="109" t="s">
        <v>42</v>
      </c>
      <c r="H64" s="219" t="s">
        <v>155</v>
      </c>
      <c r="I64" s="219" t="s">
        <v>153</v>
      </c>
      <c r="J64" s="109" t="s">
        <v>38</v>
      </c>
      <c r="K64" s="219" t="s">
        <v>154</v>
      </c>
      <c r="L64" s="219">
        <v>3</v>
      </c>
      <c r="M64" s="219"/>
      <c r="N64" s="219">
        <v>5</v>
      </c>
      <c r="O64" s="219">
        <v>0.65</v>
      </c>
      <c r="P64" s="219">
        <v>0.65</v>
      </c>
      <c r="Q64" s="111">
        <f t="shared" si="0"/>
        <v>0.65</v>
      </c>
      <c r="R64" s="219">
        <v>17.8</v>
      </c>
      <c r="S64" s="219">
        <v>96</v>
      </c>
      <c r="T64" s="112">
        <f t="shared" si="1"/>
        <v>36</v>
      </c>
      <c r="U64" s="219">
        <v>321</v>
      </c>
      <c r="V64" s="113">
        <f t="shared" si="2"/>
        <v>2311.2000000000003</v>
      </c>
      <c r="W64" s="219">
        <v>18</v>
      </c>
      <c r="X64" s="109" t="s">
        <v>46</v>
      </c>
      <c r="Y64" s="219" t="s">
        <v>78</v>
      </c>
      <c r="Z64" s="219" t="s">
        <v>102</v>
      </c>
      <c r="AA64" s="219" t="s">
        <v>69</v>
      </c>
      <c r="AB64" s="109" t="s">
        <v>412</v>
      </c>
      <c r="AC64" s="114"/>
    </row>
    <row r="65" spans="1:29" x14ac:dyDescent="0.15">
      <c r="A65" s="109" t="s">
        <v>61</v>
      </c>
      <c r="B65" s="109" t="s">
        <v>384</v>
      </c>
      <c r="C65" s="109">
        <v>2018</v>
      </c>
      <c r="D65" s="110" t="s">
        <v>411</v>
      </c>
      <c r="E65" s="109" t="s">
        <v>269</v>
      </c>
      <c r="F65" s="109" t="s">
        <v>268</v>
      </c>
      <c r="G65" s="109" t="s">
        <v>42</v>
      </c>
      <c r="H65" s="219" t="s">
        <v>168</v>
      </c>
      <c r="I65" s="219" t="s">
        <v>153</v>
      </c>
      <c r="J65" s="109" t="s">
        <v>38</v>
      </c>
      <c r="K65" s="219" t="s">
        <v>154</v>
      </c>
      <c r="L65" s="219">
        <v>1</v>
      </c>
      <c r="M65" s="219"/>
      <c r="N65" s="219">
        <v>3</v>
      </c>
      <c r="O65" s="219">
        <v>0.6</v>
      </c>
      <c r="P65" s="219">
        <v>0.55000000000000004</v>
      </c>
      <c r="Q65" s="111">
        <f t="shared" si="0"/>
        <v>0.57499999999999996</v>
      </c>
      <c r="R65" s="219">
        <v>18.100000000000001</v>
      </c>
      <c r="S65" s="219">
        <v>126</v>
      </c>
      <c r="T65" s="112">
        <f t="shared" si="1"/>
        <v>27</v>
      </c>
      <c r="U65" s="219">
        <v>429</v>
      </c>
      <c r="V65" s="113">
        <f t="shared" si="2"/>
        <v>3861</v>
      </c>
      <c r="W65" s="219">
        <v>18</v>
      </c>
      <c r="X65" s="109" t="s">
        <v>46</v>
      </c>
      <c r="Y65" s="219" t="s">
        <v>78</v>
      </c>
      <c r="Z65" s="219" t="s">
        <v>102</v>
      </c>
      <c r="AA65" s="219" t="s">
        <v>69</v>
      </c>
      <c r="AB65" s="109" t="s">
        <v>412</v>
      </c>
      <c r="AC65" s="114"/>
    </row>
    <row r="66" spans="1:29" x14ac:dyDescent="0.15">
      <c r="A66" s="109" t="s">
        <v>61</v>
      </c>
      <c r="B66" s="109" t="s">
        <v>384</v>
      </c>
      <c r="C66" s="109">
        <v>2018</v>
      </c>
      <c r="D66" s="110" t="s">
        <v>411</v>
      </c>
      <c r="E66" s="109" t="s">
        <v>269</v>
      </c>
      <c r="F66" s="109" t="s">
        <v>268</v>
      </c>
      <c r="G66" s="109" t="s">
        <v>42</v>
      </c>
      <c r="H66" s="219" t="s">
        <v>168</v>
      </c>
      <c r="I66" s="219" t="s">
        <v>153</v>
      </c>
      <c r="J66" s="109" t="s">
        <v>38</v>
      </c>
      <c r="K66" s="219" t="s">
        <v>154</v>
      </c>
      <c r="L66" s="219">
        <v>2</v>
      </c>
      <c r="M66" s="219"/>
      <c r="N66" s="219">
        <v>3</v>
      </c>
      <c r="O66" s="219">
        <v>0.5</v>
      </c>
      <c r="P66" s="219">
        <v>0.5</v>
      </c>
      <c r="Q66" s="111">
        <f t="shared" ref="Q66:Q99" si="3">IF(OR(O66="",P66=""),"",AVERAGE(O66,P66))</f>
        <v>0.5</v>
      </c>
      <c r="R66" s="219">
        <v>18.3</v>
      </c>
      <c r="S66" s="219">
        <v>131</v>
      </c>
      <c r="T66" s="112">
        <f t="shared" ref="T66:T99" si="4">IF(H66="","",IF(OR(H66="GREEN",H66="GK"),IF(S66&gt;=$AX$2,VLOOKUP(S66,$AX$2:$AY$15,2,1),""),IF(S66&gt;=$AZ$2,VLOOKUP(S66,$AZ$2:$BA$15,2,1),"")))</f>
        <v>25</v>
      </c>
      <c r="U66" s="219">
        <v>429</v>
      </c>
      <c r="V66" s="113">
        <f t="shared" ref="V66:V99" si="5">IF(OR(N66="",U66="",T66=""),"",U66/N66*T66)</f>
        <v>3575</v>
      </c>
      <c r="W66" s="219">
        <v>18</v>
      </c>
      <c r="X66" s="109" t="s">
        <v>46</v>
      </c>
      <c r="Y66" s="219" t="s">
        <v>78</v>
      </c>
      <c r="Z66" s="219" t="s">
        <v>102</v>
      </c>
      <c r="AA66" s="219" t="s">
        <v>69</v>
      </c>
      <c r="AB66" s="109" t="s">
        <v>412</v>
      </c>
      <c r="AC66" s="114"/>
    </row>
    <row r="67" spans="1:29" x14ac:dyDescent="0.15">
      <c r="A67" s="109" t="s">
        <v>61</v>
      </c>
      <c r="B67" s="109" t="s">
        <v>384</v>
      </c>
      <c r="C67" s="109">
        <v>2018</v>
      </c>
      <c r="D67" s="110" t="s">
        <v>411</v>
      </c>
      <c r="E67" s="109" t="s">
        <v>269</v>
      </c>
      <c r="F67" s="109" t="s">
        <v>268</v>
      </c>
      <c r="G67" s="109" t="s">
        <v>42</v>
      </c>
      <c r="H67" s="219" t="s">
        <v>168</v>
      </c>
      <c r="I67" s="219" t="s">
        <v>153</v>
      </c>
      <c r="J67" s="109" t="s">
        <v>38</v>
      </c>
      <c r="K67" s="219" t="s">
        <v>154</v>
      </c>
      <c r="L67" s="219">
        <v>3</v>
      </c>
      <c r="M67" s="219"/>
      <c r="N67" s="219">
        <v>3</v>
      </c>
      <c r="O67" s="219">
        <v>0.65</v>
      </c>
      <c r="P67" s="219">
        <v>0.65</v>
      </c>
      <c r="Q67" s="111">
        <f t="shared" si="3"/>
        <v>0.65</v>
      </c>
      <c r="R67" s="219">
        <v>18.600000000000001</v>
      </c>
      <c r="S67" s="219">
        <v>130</v>
      </c>
      <c r="T67" s="112">
        <f t="shared" si="4"/>
        <v>25</v>
      </c>
      <c r="U67" s="219">
        <v>429</v>
      </c>
      <c r="V67" s="113">
        <f t="shared" si="5"/>
        <v>3575</v>
      </c>
      <c r="W67" s="219">
        <v>18</v>
      </c>
      <c r="X67" s="109" t="s">
        <v>46</v>
      </c>
      <c r="Y67" s="219" t="s">
        <v>78</v>
      </c>
      <c r="Z67" s="219" t="s">
        <v>102</v>
      </c>
      <c r="AA67" s="219" t="s">
        <v>69</v>
      </c>
      <c r="AB67" s="109" t="s">
        <v>412</v>
      </c>
      <c r="AC67" s="114"/>
    </row>
    <row r="68" spans="1:29" x14ac:dyDescent="0.15">
      <c r="A68" s="109"/>
      <c r="B68" s="109"/>
      <c r="C68" s="109"/>
      <c r="D68" s="110"/>
      <c r="E68" s="109"/>
      <c r="F68" s="109"/>
      <c r="G68" s="109"/>
      <c r="H68" s="219"/>
      <c r="I68" s="219"/>
      <c r="J68" s="109"/>
      <c r="K68" s="219"/>
      <c r="L68" s="219"/>
      <c r="M68" s="219"/>
      <c r="N68" s="219"/>
      <c r="O68" s="219"/>
      <c r="P68" s="219"/>
      <c r="Q68" s="111"/>
      <c r="R68" s="219"/>
      <c r="S68" s="219"/>
      <c r="T68" s="112"/>
      <c r="U68" s="219"/>
      <c r="V68" s="113"/>
      <c r="W68" s="219"/>
      <c r="X68" s="109"/>
      <c r="Y68" s="219"/>
      <c r="Z68" s="219"/>
      <c r="AA68" s="219"/>
      <c r="AB68" s="109"/>
      <c r="AC68" s="219"/>
    </row>
    <row r="69" spans="1:29" x14ac:dyDescent="0.15">
      <c r="A69" s="109"/>
      <c r="B69" s="109"/>
      <c r="C69" s="109"/>
      <c r="D69" s="110"/>
      <c r="E69" s="109"/>
      <c r="F69" s="109"/>
      <c r="G69" s="109"/>
      <c r="H69" s="219"/>
      <c r="I69" s="219"/>
      <c r="J69" s="109"/>
      <c r="K69" s="219"/>
      <c r="L69" s="219"/>
      <c r="M69" s="219"/>
      <c r="N69" s="219"/>
      <c r="O69" s="219"/>
      <c r="P69" s="219"/>
      <c r="Q69" s="111"/>
      <c r="R69" s="219"/>
      <c r="S69" s="219"/>
      <c r="T69" s="112"/>
      <c r="U69" s="219"/>
      <c r="V69" s="113"/>
      <c r="W69" s="219"/>
      <c r="X69" s="109"/>
      <c r="Y69" s="219"/>
      <c r="Z69" s="219"/>
      <c r="AA69" s="219"/>
      <c r="AB69" s="109"/>
      <c r="AC69" s="219"/>
    </row>
    <row r="70" spans="1:29" x14ac:dyDescent="0.15">
      <c r="A70" s="109"/>
      <c r="B70" s="109"/>
      <c r="C70" s="109"/>
      <c r="D70" s="110"/>
      <c r="E70" s="109"/>
      <c r="F70" s="109"/>
      <c r="G70" s="109"/>
      <c r="H70" s="219"/>
      <c r="I70" s="219"/>
      <c r="J70" s="109"/>
      <c r="K70" s="219"/>
      <c r="L70" s="219"/>
      <c r="M70" s="219"/>
      <c r="N70" s="219"/>
      <c r="O70" s="219"/>
      <c r="P70" s="219"/>
      <c r="Q70" s="111"/>
      <c r="R70" s="219"/>
      <c r="S70" s="219"/>
      <c r="T70" s="112"/>
      <c r="U70" s="219"/>
      <c r="V70" s="113"/>
      <c r="W70" s="219"/>
      <c r="X70" s="109"/>
      <c r="Y70" s="219"/>
      <c r="Z70" s="219"/>
      <c r="AA70" s="219"/>
      <c r="AB70" s="109"/>
      <c r="AC70" s="219"/>
    </row>
    <row r="71" spans="1:29" x14ac:dyDescent="0.15">
      <c r="A71" s="109"/>
      <c r="B71" s="109"/>
      <c r="C71" s="109"/>
      <c r="D71" s="110"/>
      <c r="E71" s="109"/>
      <c r="F71" s="109"/>
      <c r="G71" s="109"/>
      <c r="H71" s="219"/>
      <c r="I71" s="219"/>
      <c r="J71" s="109"/>
      <c r="K71" s="219"/>
      <c r="L71" s="219"/>
      <c r="M71" s="219"/>
      <c r="N71" s="219"/>
      <c r="O71" s="219"/>
      <c r="P71" s="219"/>
      <c r="Q71" s="111"/>
      <c r="R71" s="219"/>
      <c r="S71" s="219"/>
      <c r="T71" s="112"/>
      <c r="U71" s="219"/>
      <c r="V71" s="113"/>
      <c r="W71" s="219"/>
      <c r="X71" s="109"/>
      <c r="Y71" s="219"/>
      <c r="Z71" s="219"/>
      <c r="AA71" s="219"/>
      <c r="AB71" s="109"/>
      <c r="AC71" s="219"/>
    </row>
    <row r="72" spans="1:29" x14ac:dyDescent="0.15">
      <c r="A72" s="109"/>
      <c r="B72" s="109"/>
      <c r="C72" s="109"/>
      <c r="D72" s="110"/>
      <c r="E72" s="109"/>
      <c r="F72" s="109"/>
      <c r="G72" s="109"/>
      <c r="H72" s="219"/>
      <c r="I72" s="219"/>
      <c r="J72" s="109"/>
      <c r="K72" s="219"/>
      <c r="L72" s="219"/>
      <c r="M72" s="219"/>
      <c r="N72" s="219"/>
      <c r="O72" s="219"/>
      <c r="P72" s="219"/>
      <c r="Q72" s="111"/>
      <c r="R72" s="219"/>
      <c r="S72" s="219"/>
      <c r="T72" s="112"/>
      <c r="U72" s="219"/>
      <c r="V72" s="113"/>
      <c r="W72" s="219"/>
      <c r="X72" s="109"/>
      <c r="Y72" s="219"/>
      <c r="Z72" s="219"/>
      <c r="AA72" s="219"/>
      <c r="AB72" s="109"/>
      <c r="AC72" s="219"/>
    </row>
    <row r="73" spans="1:29" x14ac:dyDescent="0.15">
      <c r="A73" s="109"/>
      <c r="B73" s="109"/>
      <c r="C73" s="109"/>
      <c r="D73" s="110"/>
      <c r="E73" s="109"/>
      <c r="F73" s="109"/>
      <c r="G73" s="109"/>
      <c r="H73" s="219"/>
      <c r="I73" s="219"/>
      <c r="J73" s="109"/>
      <c r="K73" s="219"/>
      <c r="L73" s="219"/>
      <c r="M73" s="219"/>
      <c r="N73" s="219"/>
      <c r="O73" s="219"/>
      <c r="P73" s="219"/>
      <c r="Q73" s="111"/>
      <c r="R73" s="219"/>
      <c r="S73" s="219"/>
      <c r="T73" s="112"/>
      <c r="U73" s="219"/>
      <c r="V73" s="113"/>
      <c r="W73" s="219"/>
      <c r="X73" s="109"/>
      <c r="Y73" s="219"/>
      <c r="Z73" s="219"/>
      <c r="AA73" s="219"/>
      <c r="AB73" s="109"/>
      <c r="AC73" s="219"/>
    </row>
    <row r="74" spans="1:29" x14ac:dyDescent="0.15">
      <c r="A74" s="109"/>
      <c r="B74" s="109"/>
      <c r="C74" s="109"/>
      <c r="D74" s="110"/>
      <c r="E74" s="109"/>
      <c r="F74" s="109"/>
      <c r="G74" s="109"/>
      <c r="H74" s="219"/>
      <c r="I74" s="219"/>
      <c r="J74" s="109"/>
      <c r="K74" s="219"/>
      <c r="L74" s="219"/>
      <c r="M74" s="219"/>
      <c r="N74" s="219"/>
      <c r="O74" s="219"/>
      <c r="P74" s="219"/>
      <c r="Q74" s="111" t="str">
        <f t="shared" ref="Q74:Q79" si="6">IF(OR(O74="",P74=""),"",AVERAGE(O74,P74))</f>
        <v/>
      </c>
      <c r="R74" s="219"/>
      <c r="S74" s="219"/>
      <c r="T74" s="112" t="str">
        <f t="shared" ref="T74:T79" si="7">IF(H74="","",IF(OR(H74="GREEN",H74="GK"),IF(S74&gt;=$AX$2,VLOOKUP(S74,$AX$2:$AY$15,2,1),""),IF(S74&gt;=$AZ$2,VLOOKUP(S74,$AZ$2:$BA$15,2,1),"")))</f>
        <v/>
      </c>
      <c r="U74" s="219"/>
      <c r="V74" s="113" t="str">
        <f t="shared" ref="V74:V79" si="8">IF(OR(N74="",U74="",T74=""),"",U74/N74*T74)</f>
        <v/>
      </c>
      <c r="W74" s="219"/>
      <c r="X74" s="109"/>
      <c r="Y74" s="219"/>
      <c r="Z74" s="219"/>
      <c r="AA74" s="219"/>
      <c r="AB74" s="109"/>
      <c r="AC74" s="219"/>
    </row>
    <row r="75" spans="1:29" x14ac:dyDescent="0.15">
      <c r="A75" s="109"/>
      <c r="B75" s="109"/>
      <c r="C75" s="109"/>
      <c r="D75" s="110"/>
      <c r="E75" s="109"/>
      <c r="F75" s="109"/>
      <c r="G75" s="109"/>
      <c r="H75" s="219"/>
      <c r="I75" s="219"/>
      <c r="J75" s="109"/>
      <c r="K75" s="219"/>
      <c r="L75" s="219"/>
      <c r="M75" s="219"/>
      <c r="N75" s="219"/>
      <c r="O75" s="219"/>
      <c r="P75" s="219"/>
      <c r="Q75" s="111" t="str">
        <f t="shared" si="6"/>
        <v/>
      </c>
      <c r="R75" s="219"/>
      <c r="S75" s="219"/>
      <c r="T75" s="112" t="str">
        <f t="shared" si="7"/>
        <v/>
      </c>
      <c r="U75" s="219"/>
      <c r="V75" s="113" t="str">
        <f t="shared" si="8"/>
        <v/>
      </c>
      <c r="W75" s="219"/>
      <c r="X75" s="109"/>
      <c r="Y75" s="219"/>
      <c r="Z75" s="219"/>
      <c r="AA75" s="219"/>
      <c r="AB75" s="109"/>
      <c r="AC75" s="219"/>
    </row>
    <row r="76" spans="1:29" x14ac:dyDescent="0.15">
      <c r="A76" s="109"/>
      <c r="B76" s="109"/>
      <c r="C76" s="109"/>
      <c r="D76" s="110"/>
      <c r="E76" s="109"/>
      <c r="F76" s="109"/>
      <c r="G76" s="109"/>
      <c r="H76" s="219"/>
      <c r="I76" s="219"/>
      <c r="J76" s="109"/>
      <c r="K76" s="219"/>
      <c r="L76" s="219"/>
      <c r="M76" s="219"/>
      <c r="N76" s="219"/>
      <c r="O76" s="219"/>
      <c r="P76" s="219"/>
      <c r="Q76" s="111" t="str">
        <f t="shared" si="6"/>
        <v/>
      </c>
      <c r="R76" s="219"/>
      <c r="S76" s="219"/>
      <c r="T76" s="112" t="str">
        <f t="shared" si="7"/>
        <v/>
      </c>
      <c r="U76" s="219"/>
      <c r="V76" s="113" t="str">
        <f t="shared" si="8"/>
        <v/>
      </c>
      <c r="W76" s="219"/>
      <c r="X76" s="109"/>
      <c r="Y76" s="219"/>
      <c r="Z76" s="219"/>
      <c r="AA76" s="219"/>
      <c r="AB76" s="109"/>
      <c r="AC76" s="219"/>
    </row>
    <row r="77" spans="1:29" x14ac:dyDescent="0.15">
      <c r="A77" s="109"/>
      <c r="B77" s="109"/>
      <c r="C77" s="109"/>
      <c r="D77" s="110"/>
      <c r="E77" s="109"/>
      <c r="F77" s="109"/>
      <c r="G77" s="109"/>
      <c r="H77" s="219"/>
      <c r="I77" s="219"/>
      <c r="J77" s="109"/>
      <c r="K77" s="219"/>
      <c r="L77" s="219"/>
      <c r="M77" s="219"/>
      <c r="N77" s="219"/>
      <c r="O77" s="219"/>
      <c r="P77" s="219"/>
      <c r="Q77" s="111" t="str">
        <f t="shared" si="6"/>
        <v/>
      </c>
      <c r="R77" s="219"/>
      <c r="S77" s="219"/>
      <c r="T77" s="112" t="str">
        <f t="shared" si="7"/>
        <v/>
      </c>
      <c r="U77" s="219"/>
      <c r="V77" s="113" t="str">
        <f t="shared" si="8"/>
        <v/>
      </c>
      <c r="W77" s="219"/>
      <c r="X77" s="109"/>
      <c r="Y77" s="219"/>
      <c r="Z77" s="219"/>
      <c r="AA77" s="219"/>
      <c r="AB77" s="109"/>
      <c r="AC77" s="219"/>
    </row>
    <row r="78" spans="1:29" x14ac:dyDescent="0.15">
      <c r="A78" s="109"/>
      <c r="B78" s="109"/>
      <c r="C78" s="109"/>
      <c r="D78" s="110"/>
      <c r="E78" s="109"/>
      <c r="F78" s="109"/>
      <c r="G78" s="109"/>
      <c r="H78" s="219"/>
      <c r="I78" s="219"/>
      <c r="J78" s="109"/>
      <c r="K78" s="219"/>
      <c r="L78" s="219"/>
      <c r="M78" s="219"/>
      <c r="N78" s="219"/>
      <c r="O78" s="219"/>
      <c r="P78" s="219"/>
      <c r="Q78" s="111" t="str">
        <f t="shared" si="6"/>
        <v/>
      </c>
      <c r="R78" s="219"/>
      <c r="S78" s="219"/>
      <c r="T78" s="112" t="str">
        <f t="shared" si="7"/>
        <v/>
      </c>
      <c r="U78" s="219"/>
      <c r="V78" s="113" t="str">
        <f t="shared" si="8"/>
        <v/>
      </c>
      <c r="W78" s="219"/>
      <c r="X78" s="109"/>
      <c r="Y78" s="219"/>
      <c r="Z78" s="219"/>
      <c r="AA78" s="219"/>
      <c r="AB78" s="109"/>
      <c r="AC78" s="219"/>
    </row>
    <row r="79" spans="1:29" x14ac:dyDescent="0.15">
      <c r="A79" s="109"/>
      <c r="B79" s="109"/>
      <c r="C79" s="109"/>
      <c r="D79" s="110"/>
      <c r="E79" s="109"/>
      <c r="F79" s="109"/>
      <c r="G79" s="109"/>
      <c r="H79" s="219"/>
      <c r="I79" s="219"/>
      <c r="J79" s="109"/>
      <c r="K79" s="219"/>
      <c r="L79" s="219"/>
      <c r="M79" s="219"/>
      <c r="N79" s="219"/>
      <c r="O79" s="219"/>
      <c r="P79" s="219"/>
      <c r="Q79" s="111" t="str">
        <f t="shared" si="6"/>
        <v/>
      </c>
      <c r="R79" s="219"/>
      <c r="S79" s="219"/>
      <c r="T79" s="112" t="str">
        <f t="shared" si="7"/>
        <v/>
      </c>
      <c r="U79" s="219"/>
      <c r="V79" s="113" t="str">
        <f t="shared" si="8"/>
        <v/>
      </c>
      <c r="W79" s="219"/>
      <c r="X79" s="109"/>
      <c r="Y79" s="219"/>
      <c r="Z79" s="219"/>
      <c r="AA79" s="219"/>
      <c r="AB79" s="109"/>
      <c r="AC79" s="219"/>
    </row>
    <row r="80" spans="1:29" x14ac:dyDescent="0.15">
      <c r="A80" s="109"/>
      <c r="B80" s="109"/>
      <c r="C80" s="109"/>
      <c r="D80" s="110"/>
      <c r="E80" s="219"/>
      <c r="F80" s="219"/>
      <c r="G80" s="109"/>
      <c r="H80" s="219"/>
      <c r="I80" s="219"/>
      <c r="J80" s="109"/>
      <c r="K80" s="219"/>
      <c r="L80" s="219"/>
      <c r="M80" s="219"/>
      <c r="N80" s="219"/>
      <c r="O80" s="219"/>
      <c r="P80" s="219"/>
      <c r="Q80" s="111"/>
      <c r="R80" s="219"/>
      <c r="S80" s="219"/>
      <c r="T80" s="112"/>
      <c r="U80" s="219"/>
      <c r="V80" s="113"/>
      <c r="W80" s="219"/>
      <c r="X80" s="109"/>
      <c r="Y80" s="219"/>
      <c r="Z80" s="219"/>
      <c r="AA80" s="219"/>
      <c r="AB80" s="109"/>
      <c r="AC80" s="219"/>
    </row>
    <row r="81" spans="1:29" x14ac:dyDescent="0.15">
      <c r="A81" s="109"/>
      <c r="B81" s="109"/>
      <c r="C81" s="109"/>
      <c r="D81" s="110"/>
      <c r="E81" s="219"/>
      <c r="F81" s="219"/>
      <c r="G81" s="109"/>
      <c r="H81" s="219"/>
      <c r="I81" s="219"/>
      <c r="J81" s="109"/>
      <c r="K81" s="219"/>
      <c r="L81" s="219"/>
      <c r="M81" s="219"/>
      <c r="N81" s="219"/>
      <c r="O81" s="219"/>
      <c r="P81" s="219"/>
      <c r="Q81" s="111"/>
      <c r="R81" s="219"/>
      <c r="S81" s="219"/>
      <c r="T81" s="112"/>
      <c r="U81" s="219"/>
      <c r="V81" s="113"/>
      <c r="W81" s="219"/>
      <c r="X81" s="109"/>
      <c r="Y81" s="219"/>
      <c r="Z81" s="219"/>
      <c r="AA81" s="219"/>
      <c r="AB81" s="109"/>
      <c r="AC81" s="219"/>
    </row>
    <row r="82" spans="1:29" x14ac:dyDescent="0.15">
      <c r="A82" s="109"/>
      <c r="B82" s="109"/>
      <c r="C82" s="109"/>
      <c r="D82" s="110"/>
      <c r="E82" s="219"/>
      <c r="F82" s="219"/>
      <c r="G82" s="109"/>
      <c r="H82" s="219"/>
      <c r="I82" s="219"/>
      <c r="J82" s="109"/>
      <c r="K82" s="219"/>
      <c r="L82" s="219"/>
      <c r="M82" s="219"/>
      <c r="N82" s="219"/>
      <c r="O82" s="219"/>
      <c r="P82" s="219"/>
      <c r="Q82" s="111"/>
      <c r="R82" s="219"/>
      <c r="S82" s="219"/>
      <c r="T82" s="112"/>
      <c r="U82" s="219"/>
      <c r="V82" s="113"/>
      <c r="W82" s="219"/>
      <c r="X82" s="109"/>
      <c r="Y82" s="219"/>
      <c r="Z82" s="219"/>
      <c r="AA82" s="219"/>
      <c r="AB82" s="109"/>
      <c r="AC82" s="219"/>
    </row>
    <row r="83" spans="1:29" x14ac:dyDescent="0.15">
      <c r="A83" s="109"/>
      <c r="B83" s="109"/>
      <c r="C83" s="109"/>
      <c r="D83" s="110"/>
      <c r="E83" s="219"/>
      <c r="F83" s="219"/>
      <c r="G83" s="109"/>
      <c r="H83" s="219"/>
      <c r="I83" s="219"/>
      <c r="J83" s="109"/>
      <c r="K83" s="219"/>
      <c r="L83" s="219"/>
      <c r="M83" s="219"/>
      <c r="N83" s="219"/>
      <c r="O83" s="219"/>
      <c r="P83" s="219"/>
      <c r="Q83" s="111"/>
      <c r="R83" s="219"/>
      <c r="S83" s="219"/>
      <c r="T83" s="112"/>
      <c r="U83" s="219"/>
      <c r="V83" s="113"/>
      <c r="W83" s="219"/>
      <c r="X83" s="109"/>
      <c r="Y83" s="219"/>
      <c r="Z83" s="219"/>
      <c r="AA83" s="219"/>
      <c r="AB83" s="109"/>
      <c r="AC83" s="219"/>
    </row>
    <row r="84" spans="1:29" x14ac:dyDescent="0.15">
      <c r="A84" s="109"/>
      <c r="B84" s="109"/>
      <c r="C84" s="109"/>
      <c r="D84" s="110"/>
      <c r="E84" s="219"/>
      <c r="F84" s="219"/>
      <c r="G84" s="109"/>
      <c r="H84" s="219"/>
      <c r="I84" s="219"/>
      <c r="J84" s="109"/>
      <c r="K84" s="219"/>
      <c r="L84" s="219"/>
      <c r="M84" s="219"/>
      <c r="N84" s="219"/>
      <c r="O84" s="219"/>
      <c r="P84" s="219"/>
      <c r="Q84" s="111"/>
      <c r="R84" s="219"/>
      <c r="S84" s="219"/>
      <c r="T84" s="112"/>
      <c r="U84" s="219"/>
      <c r="V84" s="113"/>
      <c r="W84" s="219"/>
      <c r="X84" s="109"/>
      <c r="Y84" s="219"/>
      <c r="Z84" s="219"/>
      <c r="AA84" s="219"/>
      <c r="AB84" s="109"/>
      <c r="AC84" s="219"/>
    </row>
    <row r="85" spans="1:29" x14ac:dyDescent="0.15">
      <c r="A85" s="109"/>
      <c r="B85" s="109"/>
      <c r="C85" s="109"/>
      <c r="D85" s="110"/>
      <c r="E85" s="219"/>
      <c r="F85" s="219"/>
      <c r="G85" s="109"/>
      <c r="H85" s="219"/>
      <c r="I85" s="219"/>
      <c r="J85" s="109"/>
      <c r="K85" s="219"/>
      <c r="L85" s="219"/>
      <c r="M85" s="219"/>
      <c r="N85" s="219"/>
      <c r="O85" s="219"/>
      <c r="P85" s="219"/>
      <c r="Q85" s="111"/>
      <c r="R85" s="219"/>
      <c r="S85" s="219"/>
      <c r="T85" s="112"/>
      <c r="U85" s="219"/>
      <c r="V85" s="113"/>
      <c r="W85" s="219"/>
      <c r="X85" s="109"/>
      <c r="Y85" s="219"/>
      <c r="Z85" s="219"/>
      <c r="AA85" s="219"/>
      <c r="AB85" s="109"/>
      <c r="AC85" s="219"/>
    </row>
    <row r="86" spans="1:29" x14ac:dyDescent="0.15">
      <c r="A86" s="109"/>
      <c r="B86" s="109"/>
      <c r="C86" s="109"/>
      <c r="D86" s="110"/>
      <c r="E86" s="219"/>
      <c r="F86" s="219"/>
      <c r="G86" s="109"/>
      <c r="H86" s="219"/>
      <c r="I86" s="219"/>
      <c r="J86" s="109"/>
      <c r="K86" s="219"/>
      <c r="L86" s="219"/>
      <c r="M86" s="219"/>
      <c r="N86" s="219"/>
      <c r="O86" s="219"/>
      <c r="P86" s="219"/>
      <c r="Q86" s="111"/>
      <c r="R86" s="219"/>
      <c r="S86" s="219"/>
      <c r="T86" s="112"/>
      <c r="U86" s="219"/>
      <c r="V86" s="113"/>
      <c r="W86" s="219"/>
      <c r="X86" s="109"/>
      <c r="Y86" s="219"/>
      <c r="Z86" s="219"/>
      <c r="AA86" s="219"/>
      <c r="AB86" s="109"/>
      <c r="AC86" s="219"/>
    </row>
    <row r="87" spans="1:29" x14ac:dyDescent="0.15">
      <c r="A87" s="109"/>
      <c r="B87" s="109"/>
      <c r="C87" s="109"/>
      <c r="D87" s="110"/>
      <c r="E87" s="219"/>
      <c r="F87" s="219"/>
      <c r="G87" s="109"/>
      <c r="H87" s="219"/>
      <c r="I87" s="219"/>
      <c r="J87" s="109"/>
      <c r="K87" s="219"/>
      <c r="L87" s="219"/>
      <c r="M87" s="219"/>
      <c r="N87" s="219"/>
      <c r="O87" s="219"/>
      <c r="P87" s="219"/>
      <c r="Q87" s="111"/>
      <c r="R87" s="219"/>
      <c r="S87" s="219"/>
      <c r="T87" s="112"/>
      <c r="U87" s="219"/>
      <c r="V87" s="113"/>
      <c r="W87" s="219"/>
      <c r="X87" s="109"/>
      <c r="Y87" s="219"/>
      <c r="Z87" s="219"/>
      <c r="AA87" s="219"/>
      <c r="AB87" s="109"/>
      <c r="AC87" s="219"/>
    </row>
    <row r="88" spans="1:29" x14ac:dyDescent="0.15">
      <c r="A88" s="109"/>
      <c r="B88" s="109"/>
      <c r="C88" s="109"/>
      <c r="D88" s="110"/>
      <c r="E88" s="219"/>
      <c r="F88" s="219"/>
      <c r="G88" s="109"/>
      <c r="H88" s="219"/>
      <c r="I88" s="219"/>
      <c r="J88" s="109"/>
      <c r="K88" s="219"/>
      <c r="L88" s="219"/>
      <c r="M88" s="219"/>
      <c r="N88" s="219"/>
      <c r="O88" s="219"/>
      <c r="P88" s="219"/>
      <c r="Q88" s="111"/>
      <c r="R88" s="219"/>
      <c r="S88" s="219"/>
      <c r="T88" s="112"/>
      <c r="U88" s="219"/>
      <c r="V88" s="113"/>
      <c r="W88" s="219"/>
      <c r="X88" s="109"/>
      <c r="Y88" s="219"/>
      <c r="Z88" s="219"/>
      <c r="AA88" s="219"/>
      <c r="AB88" s="109"/>
      <c r="AC88" s="219"/>
    </row>
    <row r="89" spans="1:29" x14ac:dyDescent="0.15">
      <c r="K89" s="219"/>
      <c r="AC89" s="219"/>
    </row>
    <row r="90" spans="1:29" x14ac:dyDescent="0.15">
      <c r="A90" s="109"/>
      <c r="B90" s="109"/>
      <c r="C90" s="109"/>
      <c r="D90" s="110"/>
      <c r="E90" s="219"/>
      <c r="F90" s="219"/>
      <c r="G90" s="109"/>
      <c r="H90" s="219"/>
      <c r="I90" s="219"/>
      <c r="J90" s="109"/>
      <c r="K90" s="219"/>
      <c r="L90" s="219"/>
      <c r="M90" s="219"/>
      <c r="N90" s="219"/>
      <c r="O90" s="219"/>
      <c r="P90" s="219"/>
      <c r="Q90" s="111"/>
      <c r="R90" s="219"/>
      <c r="S90" s="219"/>
      <c r="T90" s="112"/>
      <c r="U90" s="219"/>
      <c r="V90" s="113"/>
      <c r="W90" s="219"/>
      <c r="X90" s="109"/>
      <c r="Y90" s="219"/>
      <c r="Z90" s="219"/>
      <c r="AA90" s="219"/>
      <c r="AB90" s="109"/>
      <c r="AC90" s="219"/>
    </row>
    <row r="91" spans="1:29" x14ac:dyDescent="0.15">
      <c r="A91" s="109"/>
      <c r="B91" s="109"/>
      <c r="C91" s="109"/>
      <c r="D91" s="110"/>
      <c r="E91" s="219"/>
      <c r="F91" s="219"/>
      <c r="G91" s="109"/>
      <c r="H91" s="219"/>
      <c r="I91" s="219"/>
      <c r="J91" s="109"/>
      <c r="K91" s="219"/>
      <c r="L91" s="219"/>
      <c r="M91" s="219"/>
      <c r="N91" s="219"/>
      <c r="O91" s="219"/>
      <c r="P91" s="219"/>
      <c r="Q91" s="111"/>
      <c r="R91" s="219"/>
      <c r="S91" s="219"/>
      <c r="T91" s="112"/>
      <c r="U91" s="219"/>
      <c r="V91" s="113"/>
      <c r="W91" s="219"/>
      <c r="X91" s="109"/>
      <c r="Y91" s="219"/>
      <c r="Z91" s="219"/>
      <c r="AA91" s="219"/>
      <c r="AB91" s="109"/>
      <c r="AC91" s="219"/>
    </row>
    <row r="92" spans="1:29" x14ac:dyDescent="0.15">
      <c r="A92" s="109"/>
      <c r="B92" s="109"/>
      <c r="C92" s="109"/>
      <c r="D92" s="110"/>
      <c r="E92" s="219"/>
      <c r="F92" s="219"/>
      <c r="G92" s="109"/>
      <c r="H92" s="219"/>
      <c r="I92" s="219"/>
      <c r="J92" s="109"/>
      <c r="K92" s="219"/>
      <c r="L92" s="219"/>
      <c r="M92" s="219"/>
      <c r="N92" s="219"/>
      <c r="O92" s="219"/>
      <c r="P92" s="219"/>
      <c r="Q92" s="111"/>
      <c r="R92" s="219"/>
      <c r="S92" s="219"/>
      <c r="T92" s="112"/>
      <c r="U92" s="219"/>
      <c r="V92" s="113"/>
      <c r="W92" s="219"/>
      <c r="X92" s="109"/>
      <c r="Y92" s="219"/>
      <c r="Z92" s="219"/>
      <c r="AA92" s="219"/>
      <c r="AB92" s="109"/>
      <c r="AC92" s="219"/>
    </row>
    <row r="93" spans="1:29" x14ac:dyDescent="0.15">
      <c r="A93" s="109"/>
      <c r="B93" s="109"/>
      <c r="C93" s="109"/>
      <c r="D93" s="110"/>
      <c r="E93" s="219"/>
      <c r="F93" s="219"/>
      <c r="G93" s="109"/>
      <c r="H93" s="219"/>
      <c r="I93" s="219"/>
      <c r="J93" s="109"/>
      <c r="K93" s="219"/>
      <c r="L93" s="219"/>
      <c r="M93" s="219"/>
      <c r="N93" s="219"/>
      <c r="O93" s="219"/>
      <c r="P93" s="219"/>
      <c r="Q93" s="111"/>
      <c r="R93" s="219"/>
      <c r="S93" s="219"/>
      <c r="T93" s="112"/>
      <c r="U93" s="219"/>
      <c r="V93" s="113"/>
      <c r="W93" s="219"/>
      <c r="X93" s="109"/>
      <c r="Y93" s="219"/>
      <c r="Z93" s="219"/>
      <c r="AA93" s="219"/>
      <c r="AB93" s="109"/>
      <c r="AC93" s="219"/>
    </row>
    <row r="94" spans="1:29" x14ac:dyDescent="0.15">
      <c r="A94" s="109"/>
      <c r="B94" s="109"/>
      <c r="C94" s="109"/>
      <c r="D94" s="110"/>
      <c r="E94" s="219"/>
      <c r="F94" s="219"/>
      <c r="G94" s="109"/>
      <c r="H94" s="219"/>
      <c r="I94" s="219"/>
      <c r="J94" s="109"/>
      <c r="K94" s="219"/>
      <c r="L94" s="219"/>
      <c r="M94" s="219"/>
      <c r="N94" s="219"/>
      <c r="O94" s="219"/>
      <c r="P94" s="219"/>
      <c r="Q94" s="111"/>
      <c r="R94" s="219"/>
      <c r="S94" s="219"/>
      <c r="T94" s="112"/>
      <c r="U94" s="219"/>
      <c r="V94" s="113"/>
      <c r="W94" s="219"/>
      <c r="X94" s="109"/>
      <c r="Y94" s="219"/>
      <c r="Z94" s="219"/>
      <c r="AA94" s="219"/>
      <c r="AB94" s="109"/>
      <c r="AC94" s="219"/>
    </row>
    <row r="95" spans="1:29" x14ac:dyDescent="0.15">
      <c r="A95" s="109"/>
      <c r="B95" s="109"/>
      <c r="C95" s="109"/>
      <c r="D95" s="110"/>
      <c r="E95" s="219"/>
      <c r="F95" s="219"/>
      <c r="G95" s="109"/>
      <c r="H95" s="219"/>
      <c r="I95" s="219"/>
      <c r="J95" s="109"/>
      <c r="K95" s="219"/>
      <c r="L95" s="219"/>
      <c r="M95" s="219"/>
      <c r="N95" s="219"/>
      <c r="O95" s="219"/>
      <c r="P95" s="219"/>
      <c r="Q95" s="111"/>
      <c r="R95" s="219"/>
      <c r="S95" s="219"/>
      <c r="T95" s="112"/>
      <c r="U95" s="219"/>
      <c r="V95" s="113"/>
      <c r="W95" s="219"/>
      <c r="X95" s="109"/>
      <c r="Y95" s="219"/>
      <c r="Z95" s="219"/>
      <c r="AA95" s="219"/>
      <c r="AB95" s="109"/>
      <c r="AC95" s="219"/>
    </row>
    <row r="96" spans="1:29" x14ac:dyDescent="0.15">
      <c r="A96" s="109"/>
      <c r="B96" s="109"/>
      <c r="C96" s="109"/>
      <c r="D96" s="110"/>
      <c r="E96" s="219"/>
      <c r="F96" s="219"/>
      <c r="G96" s="109"/>
      <c r="H96" s="219"/>
      <c r="I96" s="219"/>
      <c r="J96" s="109"/>
      <c r="K96" s="219"/>
      <c r="L96" s="219"/>
      <c r="M96" s="219"/>
      <c r="N96" s="219"/>
      <c r="O96" s="219"/>
      <c r="P96" s="219"/>
      <c r="Q96" s="111"/>
      <c r="R96" s="219"/>
      <c r="S96" s="219"/>
      <c r="T96" s="112"/>
      <c r="U96" s="219"/>
      <c r="V96" s="113"/>
      <c r="W96" s="219"/>
      <c r="X96" s="109"/>
      <c r="Y96" s="219"/>
      <c r="Z96" s="219"/>
      <c r="AA96" s="219"/>
      <c r="AB96" s="109"/>
      <c r="AC96" s="219"/>
    </row>
    <row r="97" spans="1:29" x14ac:dyDescent="0.15">
      <c r="A97" s="109"/>
      <c r="B97" s="109"/>
      <c r="C97" s="109"/>
      <c r="D97" s="110"/>
      <c r="E97" s="219"/>
      <c r="F97" s="219"/>
      <c r="G97" s="109"/>
      <c r="H97" s="219"/>
      <c r="I97" s="219"/>
      <c r="J97" s="109"/>
      <c r="K97" s="219"/>
      <c r="L97" s="219"/>
      <c r="M97" s="219"/>
      <c r="N97" s="219"/>
      <c r="O97" s="219"/>
      <c r="P97" s="219"/>
      <c r="Q97" s="111"/>
      <c r="R97" s="219"/>
      <c r="S97" s="219"/>
      <c r="T97" s="112"/>
      <c r="U97" s="219"/>
      <c r="V97" s="113"/>
      <c r="W97" s="219"/>
      <c r="X97" s="109"/>
      <c r="Y97" s="219"/>
      <c r="Z97" s="219"/>
      <c r="AA97" s="219"/>
      <c r="AB97" s="109"/>
      <c r="AC97" s="219"/>
    </row>
    <row r="98" spans="1:29" x14ac:dyDescent="0.15">
      <c r="A98" s="109"/>
      <c r="B98" s="109"/>
      <c r="C98" s="109"/>
      <c r="D98" s="110"/>
      <c r="E98" s="219"/>
      <c r="F98" s="219"/>
      <c r="G98" s="109"/>
      <c r="H98" s="219"/>
      <c r="I98" s="219"/>
      <c r="J98" s="109"/>
      <c r="K98" s="219"/>
      <c r="L98" s="219"/>
      <c r="M98" s="219"/>
      <c r="N98" s="219"/>
      <c r="O98" s="219"/>
      <c r="P98" s="219"/>
      <c r="Q98" s="111"/>
      <c r="R98" s="219"/>
      <c r="S98" s="219"/>
      <c r="T98" s="112"/>
      <c r="U98" s="219"/>
      <c r="V98" s="113"/>
      <c r="W98" s="219"/>
      <c r="X98" s="109"/>
      <c r="Y98" s="219"/>
      <c r="Z98" s="219"/>
      <c r="AA98" s="219"/>
      <c r="AB98" s="109"/>
      <c r="AC98" s="219"/>
    </row>
    <row r="99" spans="1:29" x14ac:dyDescent="0.15">
      <c r="A99" s="109"/>
      <c r="B99" s="109"/>
      <c r="C99" s="109"/>
      <c r="D99" s="110"/>
      <c r="E99" s="219"/>
      <c r="F99" s="219"/>
      <c r="G99" s="109"/>
      <c r="H99" s="219"/>
      <c r="I99" s="219"/>
      <c r="J99" s="109"/>
      <c r="K99" s="219"/>
      <c r="L99" s="219"/>
      <c r="M99" s="219"/>
      <c r="N99" s="219"/>
      <c r="O99" s="219"/>
      <c r="P99" s="219"/>
      <c r="Q99" s="111"/>
      <c r="R99" s="219"/>
      <c r="S99" s="219"/>
      <c r="T99" s="112"/>
      <c r="U99" s="219"/>
      <c r="V99" s="113"/>
      <c r="W99" s="219"/>
      <c r="X99" s="109"/>
      <c r="Y99" s="219"/>
      <c r="Z99" s="219"/>
      <c r="AA99" s="219"/>
      <c r="AB99" s="109"/>
      <c r="AC99" s="219"/>
    </row>
    <row r="100" spans="1:29" x14ac:dyDescent="0.15">
      <c r="A100" s="109"/>
      <c r="B100" s="109"/>
      <c r="C100" s="109"/>
      <c r="D100" s="110"/>
      <c r="E100" s="219"/>
      <c r="F100" s="219"/>
      <c r="G100" s="109"/>
      <c r="H100" s="219"/>
      <c r="I100" s="219"/>
      <c r="J100" s="109"/>
      <c r="K100" s="219"/>
      <c r="L100" s="219"/>
      <c r="M100" s="219"/>
      <c r="N100" s="219"/>
      <c r="O100" s="219"/>
      <c r="P100" s="219"/>
      <c r="Q100" s="111"/>
      <c r="R100" s="219"/>
      <c r="S100" s="219"/>
      <c r="T100" s="112"/>
      <c r="U100" s="219"/>
      <c r="V100" s="113"/>
      <c r="W100" s="219"/>
      <c r="X100" s="109"/>
      <c r="Y100" s="219"/>
      <c r="Z100" s="219"/>
      <c r="AA100" s="219"/>
      <c r="AB100" s="109"/>
      <c r="AC100" s="219"/>
    </row>
    <row r="101" spans="1:29" x14ac:dyDescent="0.15">
      <c r="A101" s="109"/>
      <c r="B101" s="109"/>
      <c r="C101" s="109"/>
      <c r="D101" s="110"/>
      <c r="E101" s="219"/>
      <c r="F101" s="219"/>
      <c r="G101" s="109"/>
      <c r="H101" s="219"/>
      <c r="I101" s="219"/>
      <c r="J101" s="109"/>
      <c r="K101" s="219"/>
      <c r="L101" s="219"/>
      <c r="M101" s="219"/>
      <c r="N101" s="219"/>
      <c r="O101" s="219"/>
      <c r="P101" s="219"/>
      <c r="Q101" s="111"/>
      <c r="R101" s="219"/>
      <c r="S101" s="219"/>
      <c r="T101" s="112"/>
      <c r="U101" s="219"/>
      <c r="V101" s="113"/>
      <c r="W101" s="219"/>
      <c r="X101" s="109"/>
      <c r="Y101" s="219"/>
      <c r="Z101" s="219"/>
      <c r="AA101" s="219"/>
      <c r="AB101" s="109"/>
      <c r="AC101" s="219"/>
    </row>
    <row r="102" spans="1:29" x14ac:dyDescent="0.15">
      <c r="A102" s="109"/>
      <c r="B102" s="109"/>
      <c r="C102" s="109"/>
      <c r="D102" s="110"/>
      <c r="E102" s="219"/>
      <c r="F102" s="219"/>
      <c r="G102" s="109"/>
      <c r="H102" s="219"/>
      <c r="I102" s="219"/>
      <c r="J102" s="109"/>
      <c r="K102" s="219"/>
      <c r="L102" s="219"/>
      <c r="M102" s="219"/>
      <c r="N102" s="219"/>
      <c r="O102" s="219"/>
      <c r="P102" s="219"/>
      <c r="Q102" s="111"/>
      <c r="R102" s="219"/>
      <c r="S102" s="219"/>
      <c r="T102" s="112"/>
      <c r="U102" s="219"/>
      <c r="V102" s="113"/>
      <c r="W102" s="219"/>
      <c r="X102" s="109"/>
      <c r="Y102" s="219"/>
      <c r="Z102" s="219"/>
      <c r="AA102" s="219"/>
      <c r="AB102" s="109"/>
      <c r="AC102" s="219"/>
    </row>
    <row r="103" spans="1:29" x14ac:dyDescent="0.15">
      <c r="A103" s="109"/>
      <c r="B103" s="109"/>
      <c r="C103" s="109"/>
      <c r="D103" s="110"/>
      <c r="E103" s="219"/>
      <c r="F103" s="219"/>
      <c r="G103" s="109"/>
      <c r="H103" s="219"/>
      <c r="I103" s="219"/>
      <c r="J103" s="109"/>
      <c r="K103" s="219"/>
      <c r="L103" s="219"/>
      <c r="M103" s="219"/>
      <c r="N103" s="219"/>
      <c r="O103" s="219"/>
      <c r="P103" s="219"/>
      <c r="Q103" s="111"/>
      <c r="R103" s="219"/>
      <c r="S103" s="219"/>
      <c r="T103" s="112"/>
      <c r="U103" s="219"/>
      <c r="V103" s="113"/>
      <c r="W103" s="219"/>
      <c r="X103" s="109"/>
      <c r="Y103" s="219"/>
      <c r="Z103" s="219"/>
      <c r="AA103" s="219"/>
      <c r="AB103" s="109"/>
      <c r="AC103" s="219"/>
    </row>
    <row r="104" spans="1:29" x14ac:dyDescent="0.15">
      <c r="A104" s="109"/>
      <c r="B104" s="109"/>
      <c r="C104" s="109"/>
      <c r="D104" s="110"/>
      <c r="E104" s="219"/>
      <c r="F104" s="219"/>
      <c r="G104" s="109"/>
      <c r="H104" s="219"/>
      <c r="I104" s="219"/>
      <c r="J104" s="109"/>
      <c r="K104" s="219"/>
      <c r="L104" s="219"/>
      <c r="M104" s="219"/>
      <c r="N104" s="219"/>
      <c r="O104" s="219"/>
      <c r="P104" s="219"/>
      <c r="Q104" s="111"/>
      <c r="R104" s="219"/>
      <c r="S104" s="219"/>
      <c r="T104" s="112"/>
      <c r="U104" s="219"/>
      <c r="V104" s="113"/>
      <c r="W104" s="219"/>
      <c r="X104" s="109"/>
      <c r="Y104" s="219"/>
      <c r="Z104" s="219"/>
      <c r="AA104" s="219"/>
      <c r="AB104" s="109"/>
      <c r="AC104" s="219"/>
    </row>
    <row r="105" spans="1:29" x14ac:dyDescent="0.15">
      <c r="A105" s="109"/>
      <c r="B105" s="109"/>
      <c r="C105" s="109"/>
      <c r="D105" s="110"/>
      <c r="E105" s="219"/>
      <c r="F105" s="219"/>
      <c r="G105" s="109"/>
      <c r="H105" s="219"/>
      <c r="I105" s="219"/>
      <c r="J105" s="109"/>
      <c r="K105" s="219"/>
      <c r="L105" s="219"/>
      <c r="M105" s="219"/>
      <c r="N105" s="219"/>
      <c r="O105" s="219"/>
      <c r="P105" s="219"/>
      <c r="Q105" s="111"/>
      <c r="R105" s="219"/>
      <c r="S105" s="219"/>
      <c r="T105" s="112"/>
      <c r="U105" s="219"/>
      <c r="V105" s="113"/>
      <c r="W105" s="219"/>
      <c r="X105" s="109"/>
      <c r="Y105" s="219"/>
      <c r="Z105" s="219"/>
      <c r="AA105" s="219"/>
      <c r="AB105" s="109"/>
      <c r="AC105" s="219"/>
    </row>
    <row r="106" spans="1:29" x14ac:dyDescent="0.15">
      <c r="A106" s="109"/>
      <c r="B106" s="109"/>
      <c r="C106" s="109"/>
      <c r="D106" s="110"/>
      <c r="E106" s="219"/>
      <c r="F106" s="219"/>
      <c r="G106" s="109"/>
      <c r="H106" s="219"/>
      <c r="I106" s="219"/>
      <c r="J106" s="109"/>
      <c r="K106" s="219"/>
      <c r="L106" s="219"/>
      <c r="M106" s="219"/>
      <c r="N106" s="219"/>
      <c r="O106" s="219"/>
      <c r="P106" s="219"/>
      <c r="Q106" s="111"/>
      <c r="R106" s="219"/>
      <c r="S106" s="219"/>
      <c r="T106" s="112"/>
      <c r="U106" s="219"/>
      <c r="V106" s="113"/>
      <c r="W106" s="219"/>
      <c r="X106" s="109"/>
      <c r="Y106" s="219"/>
      <c r="Z106" s="219"/>
      <c r="AA106" s="219"/>
      <c r="AB106" s="109"/>
      <c r="AC106" s="219"/>
    </row>
    <row r="107" spans="1:29" x14ac:dyDescent="0.15">
      <c r="A107" s="219"/>
      <c r="B107" s="219"/>
      <c r="C107" s="219"/>
      <c r="D107" s="219"/>
      <c r="E107" s="219"/>
      <c r="F107" s="219"/>
      <c r="G107" s="219"/>
      <c r="H107" s="219"/>
      <c r="I107" s="219"/>
      <c r="J107" s="219"/>
      <c r="K107" s="219"/>
      <c r="L107" s="219"/>
      <c r="M107" s="219"/>
      <c r="N107" s="219"/>
      <c r="O107" s="219"/>
      <c r="P107" s="219"/>
      <c r="Q107" s="112"/>
      <c r="R107" s="219"/>
      <c r="S107" s="219"/>
      <c r="T107" s="112"/>
      <c r="U107" s="219"/>
      <c r="V107" s="112"/>
      <c r="W107" s="219"/>
      <c r="X107" s="219"/>
      <c r="Y107" s="219"/>
      <c r="Z107" s="219"/>
      <c r="AA107" s="219"/>
      <c r="AB107" s="219"/>
      <c r="AC107" s="219"/>
    </row>
    <row r="108" spans="1:29" x14ac:dyDescent="0.15">
      <c r="A108" s="219"/>
      <c r="B108" s="219"/>
      <c r="C108" s="219"/>
      <c r="D108" s="219"/>
      <c r="E108" s="219"/>
      <c r="F108" s="219"/>
      <c r="G108" s="219"/>
      <c r="H108" s="219"/>
      <c r="I108" s="219"/>
      <c r="J108" s="219"/>
      <c r="K108" s="219"/>
      <c r="L108" s="219" t="s">
        <v>428</v>
      </c>
      <c r="M108" s="219"/>
      <c r="N108" s="219"/>
      <c r="O108" s="219"/>
      <c r="P108" s="219"/>
      <c r="Q108" s="112"/>
      <c r="R108" s="219"/>
      <c r="S108" s="219"/>
      <c r="T108" s="112"/>
      <c r="U108" s="219"/>
      <c r="V108" s="112"/>
      <c r="W108" s="219"/>
      <c r="X108" s="219"/>
      <c r="Y108" s="219"/>
      <c r="Z108" s="219"/>
      <c r="AA108" s="219"/>
      <c r="AB108" s="219"/>
      <c r="AC108" s="219"/>
    </row>
    <row r="109" spans="1:29" x14ac:dyDescent="0.15">
      <c r="K109" s="219"/>
    </row>
    <row r="110" spans="1:29" x14ac:dyDescent="0.15">
      <c r="K110" s="219"/>
    </row>
    <row r="111" spans="1:29" x14ac:dyDescent="0.15">
      <c r="K111" s="219"/>
    </row>
    <row r="112" spans="1:29" x14ac:dyDescent="0.15">
      <c r="K112" s="219"/>
    </row>
    <row r="113" spans="11:11" x14ac:dyDescent="0.15">
      <c r="K113" s="219"/>
    </row>
    <row r="114" spans="11:11" x14ac:dyDescent="0.15">
      <c r="K114" s="219"/>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14:P19 N5:O7 P5:P13 N20:O22 P20:P37 N11:N13 O38:P88 N38:N66">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D2" sqref="D2"/>
    </sheetView>
  </sheetViews>
  <sheetFormatPr defaultColWidth="8.875" defaultRowHeight="13.5" x14ac:dyDescent="0.15"/>
  <cols>
    <col min="1" max="3" width="8.875" style="180"/>
    <col min="4" max="4" width="13.5" style="180" bestFit="1" customWidth="1"/>
    <col min="5" max="5" width="9.625" style="180" bestFit="1" customWidth="1"/>
    <col min="6" max="16" width="8.875" style="180"/>
    <col min="17" max="17" width="8.875" style="189"/>
    <col min="18" max="19" width="8.875" style="180"/>
    <col min="20" max="20" width="8.875" style="189"/>
    <col min="21" max="21" width="8.875" style="180"/>
    <col min="22" max="22" width="8.875" style="189"/>
    <col min="23" max="32" width="8.875" style="180"/>
    <col min="33" max="33" width="19.625" style="180" bestFit="1" customWidth="1"/>
    <col min="34" max="259" width="8.875" style="180"/>
    <col min="260" max="260" width="10.5" style="180" bestFit="1" customWidth="1"/>
    <col min="261" max="261" width="9.625" style="180" bestFit="1" customWidth="1"/>
    <col min="262" max="515" width="8.875" style="180"/>
    <col min="516" max="516" width="10.5" style="180" bestFit="1" customWidth="1"/>
    <col min="517" max="517" width="9.625" style="180" bestFit="1" customWidth="1"/>
    <col min="518" max="771" width="8.875" style="180"/>
    <col min="772" max="772" width="10.5" style="180" bestFit="1" customWidth="1"/>
    <col min="773" max="773" width="9.625" style="180" bestFit="1" customWidth="1"/>
    <col min="774" max="1027" width="8.875" style="180"/>
    <col min="1028" max="1028" width="10.5" style="180" bestFit="1" customWidth="1"/>
    <col min="1029" max="1029" width="9.625" style="180" bestFit="1" customWidth="1"/>
    <col min="1030" max="1283" width="8.875" style="180"/>
    <col min="1284" max="1284" width="10.5" style="180" bestFit="1" customWidth="1"/>
    <col min="1285" max="1285" width="9.625" style="180" bestFit="1" customWidth="1"/>
    <col min="1286" max="1539" width="8.875" style="180"/>
    <col min="1540" max="1540" width="10.5" style="180" bestFit="1" customWidth="1"/>
    <col min="1541" max="1541" width="9.625" style="180" bestFit="1" customWidth="1"/>
    <col min="1542" max="1795" width="8.875" style="180"/>
    <col min="1796" max="1796" width="10.5" style="180" bestFit="1" customWidth="1"/>
    <col min="1797" max="1797" width="9.625" style="180" bestFit="1" customWidth="1"/>
    <col min="1798" max="2051" width="8.875" style="180"/>
    <col min="2052" max="2052" width="10.5" style="180" bestFit="1" customWidth="1"/>
    <col min="2053" max="2053" width="9.625" style="180" bestFit="1" customWidth="1"/>
    <col min="2054" max="2307" width="8.875" style="180"/>
    <col min="2308" max="2308" width="10.5" style="180" bestFit="1" customWidth="1"/>
    <col min="2309" max="2309" width="9.625" style="180" bestFit="1" customWidth="1"/>
    <col min="2310" max="2563" width="8.875" style="180"/>
    <col min="2564" max="2564" width="10.5" style="180" bestFit="1" customWidth="1"/>
    <col min="2565" max="2565" width="9.625" style="180" bestFit="1" customWidth="1"/>
    <col min="2566" max="2819" width="8.875" style="180"/>
    <col min="2820" max="2820" width="10.5" style="180" bestFit="1" customWidth="1"/>
    <col min="2821" max="2821" width="9.625" style="180" bestFit="1" customWidth="1"/>
    <col min="2822" max="3075" width="8.875" style="180"/>
    <col min="3076" max="3076" width="10.5" style="180" bestFit="1" customWidth="1"/>
    <col min="3077" max="3077" width="9.625" style="180" bestFit="1" customWidth="1"/>
    <col min="3078" max="3331" width="8.875" style="180"/>
    <col min="3332" max="3332" width="10.5" style="180" bestFit="1" customWidth="1"/>
    <col min="3333" max="3333" width="9.625" style="180" bestFit="1" customWidth="1"/>
    <col min="3334" max="3587" width="8.875" style="180"/>
    <col min="3588" max="3588" width="10.5" style="180" bestFit="1" customWidth="1"/>
    <col min="3589" max="3589" width="9.625" style="180" bestFit="1" customWidth="1"/>
    <col min="3590" max="3843" width="8.875" style="180"/>
    <col min="3844" max="3844" width="10.5" style="180" bestFit="1" customWidth="1"/>
    <col min="3845" max="3845" width="9.625" style="180" bestFit="1" customWidth="1"/>
    <col min="3846" max="4099" width="8.875" style="180"/>
    <col min="4100" max="4100" width="10.5" style="180" bestFit="1" customWidth="1"/>
    <col min="4101" max="4101" width="9.625" style="180" bestFit="1" customWidth="1"/>
    <col min="4102" max="4355" width="8.875" style="180"/>
    <col min="4356" max="4356" width="10.5" style="180" bestFit="1" customWidth="1"/>
    <col min="4357" max="4357" width="9.625" style="180" bestFit="1" customWidth="1"/>
    <col min="4358" max="4611" width="8.875" style="180"/>
    <col min="4612" max="4612" width="10.5" style="180" bestFit="1" customWidth="1"/>
    <col min="4613" max="4613" width="9.625" style="180" bestFit="1" customWidth="1"/>
    <col min="4614" max="4867" width="8.875" style="180"/>
    <col min="4868" max="4868" width="10.5" style="180" bestFit="1" customWidth="1"/>
    <col min="4869" max="4869" width="9.625" style="180" bestFit="1" customWidth="1"/>
    <col min="4870" max="5123" width="8.875" style="180"/>
    <col min="5124" max="5124" width="10.5" style="180" bestFit="1" customWidth="1"/>
    <col min="5125" max="5125" width="9.625" style="180" bestFit="1" customWidth="1"/>
    <col min="5126" max="5379" width="8.875" style="180"/>
    <col min="5380" max="5380" width="10.5" style="180" bestFit="1" customWidth="1"/>
    <col min="5381" max="5381" width="9.625" style="180" bestFit="1" customWidth="1"/>
    <col min="5382" max="5635" width="8.875" style="180"/>
    <col min="5636" max="5636" width="10.5" style="180" bestFit="1" customWidth="1"/>
    <col min="5637" max="5637" width="9.625" style="180" bestFit="1" customWidth="1"/>
    <col min="5638" max="5891" width="8.875" style="180"/>
    <col min="5892" max="5892" width="10.5" style="180" bestFit="1" customWidth="1"/>
    <col min="5893" max="5893" width="9.625" style="180" bestFit="1" customWidth="1"/>
    <col min="5894" max="6147" width="8.875" style="180"/>
    <col min="6148" max="6148" width="10.5" style="180" bestFit="1" customWidth="1"/>
    <col min="6149" max="6149" width="9.625" style="180" bestFit="1" customWidth="1"/>
    <col min="6150" max="6403" width="8.875" style="180"/>
    <col min="6404" max="6404" width="10.5" style="180" bestFit="1" customWidth="1"/>
    <col min="6405" max="6405" width="9.625" style="180" bestFit="1" customWidth="1"/>
    <col min="6406" max="6659" width="8.875" style="180"/>
    <col min="6660" max="6660" width="10.5" style="180" bestFit="1" customWidth="1"/>
    <col min="6661" max="6661" width="9.625" style="180" bestFit="1" customWidth="1"/>
    <col min="6662" max="6915" width="8.875" style="180"/>
    <col min="6916" max="6916" width="10.5" style="180" bestFit="1" customWidth="1"/>
    <col min="6917" max="6917" width="9.625" style="180" bestFit="1" customWidth="1"/>
    <col min="6918" max="7171" width="8.875" style="180"/>
    <col min="7172" max="7172" width="10.5" style="180" bestFit="1" customWidth="1"/>
    <col min="7173" max="7173" width="9.625" style="180" bestFit="1" customWidth="1"/>
    <col min="7174" max="7427" width="8.875" style="180"/>
    <col min="7428" max="7428" width="10.5" style="180" bestFit="1" customWidth="1"/>
    <col min="7429" max="7429" width="9.625" style="180" bestFit="1" customWidth="1"/>
    <col min="7430" max="7683" width="8.875" style="180"/>
    <col min="7684" max="7684" width="10.5" style="180" bestFit="1" customWidth="1"/>
    <col min="7685" max="7685" width="9.625" style="180" bestFit="1" customWidth="1"/>
    <col min="7686" max="7939" width="8.875" style="180"/>
    <col min="7940" max="7940" width="10.5" style="180" bestFit="1" customWidth="1"/>
    <col min="7941" max="7941" width="9.625" style="180" bestFit="1" customWidth="1"/>
    <col min="7942" max="8195" width="8.875" style="180"/>
    <col min="8196" max="8196" width="10.5" style="180" bestFit="1" customWidth="1"/>
    <col min="8197" max="8197" width="9.625" style="180" bestFit="1" customWidth="1"/>
    <col min="8198" max="8451" width="8.875" style="180"/>
    <col min="8452" max="8452" width="10.5" style="180" bestFit="1" customWidth="1"/>
    <col min="8453" max="8453" width="9.625" style="180" bestFit="1" customWidth="1"/>
    <col min="8454" max="8707" width="8.875" style="180"/>
    <col min="8708" max="8708" width="10.5" style="180" bestFit="1" customWidth="1"/>
    <col min="8709" max="8709" width="9.625" style="180" bestFit="1" customWidth="1"/>
    <col min="8710" max="8963" width="8.875" style="180"/>
    <col min="8964" max="8964" width="10.5" style="180" bestFit="1" customWidth="1"/>
    <col min="8965" max="8965" width="9.625" style="180" bestFit="1" customWidth="1"/>
    <col min="8966" max="9219" width="8.875" style="180"/>
    <col min="9220" max="9220" width="10.5" style="180" bestFit="1" customWidth="1"/>
    <col min="9221" max="9221" width="9.625" style="180" bestFit="1" customWidth="1"/>
    <col min="9222" max="9475" width="8.875" style="180"/>
    <col min="9476" max="9476" width="10.5" style="180" bestFit="1" customWidth="1"/>
    <col min="9477" max="9477" width="9.625" style="180" bestFit="1" customWidth="1"/>
    <col min="9478" max="9731" width="8.875" style="180"/>
    <col min="9732" max="9732" width="10.5" style="180" bestFit="1" customWidth="1"/>
    <col min="9733" max="9733" width="9.625" style="180" bestFit="1" customWidth="1"/>
    <col min="9734" max="9987" width="8.875" style="180"/>
    <col min="9988" max="9988" width="10.5" style="180" bestFit="1" customWidth="1"/>
    <col min="9989" max="9989" width="9.625" style="180" bestFit="1" customWidth="1"/>
    <col min="9990" max="10243" width="8.875" style="180"/>
    <col min="10244" max="10244" width="10.5" style="180" bestFit="1" customWidth="1"/>
    <col min="10245" max="10245" width="9.625" style="180" bestFit="1" customWidth="1"/>
    <col min="10246" max="10499" width="8.875" style="180"/>
    <col min="10500" max="10500" width="10.5" style="180" bestFit="1" customWidth="1"/>
    <col min="10501" max="10501" width="9.625" style="180" bestFit="1" customWidth="1"/>
    <col min="10502" max="10755" width="8.875" style="180"/>
    <col min="10756" max="10756" width="10.5" style="180" bestFit="1" customWidth="1"/>
    <col min="10757" max="10757" width="9.625" style="180" bestFit="1" customWidth="1"/>
    <col min="10758" max="11011" width="8.875" style="180"/>
    <col min="11012" max="11012" width="10.5" style="180" bestFit="1" customWidth="1"/>
    <col min="11013" max="11013" width="9.625" style="180" bestFit="1" customWidth="1"/>
    <col min="11014" max="11267" width="8.875" style="180"/>
    <col min="11268" max="11268" width="10.5" style="180" bestFit="1" customWidth="1"/>
    <col min="11269" max="11269" width="9.625" style="180" bestFit="1" customWidth="1"/>
    <col min="11270" max="11523" width="8.875" style="180"/>
    <col min="11524" max="11524" width="10.5" style="180" bestFit="1" customWidth="1"/>
    <col min="11525" max="11525" width="9.625" style="180" bestFit="1" customWidth="1"/>
    <col min="11526" max="11779" width="8.875" style="180"/>
    <col min="11780" max="11780" width="10.5" style="180" bestFit="1" customWidth="1"/>
    <col min="11781" max="11781" width="9.625" style="180" bestFit="1" customWidth="1"/>
    <col min="11782" max="12035" width="8.875" style="180"/>
    <col min="12036" max="12036" width="10.5" style="180" bestFit="1" customWidth="1"/>
    <col min="12037" max="12037" width="9.625" style="180" bestFit="1" customWidth="1"/>
    <col min="12038" max="12291" width="8.875" style="180"/>
    <col min="12292" max="12292" width="10.5" style="180" bestFit="1" customWidth="1"/>
    <col min="12293" max="12293" width="9.625" style="180" bestFit="1" customWidth="1"/>
    <col min="12294" max="12547" width="8.875" style="180"/>
    <col min="12548" max="12548" width="10.5" style="180" bestFit="1" customWidth="1"/>
    <col min="12549" max="12549" width="9.625" style="180" bestFit="1" customWidth="1"/>
    <col min="12550" max="12803" width="8.875" style="180"/>
    <col min="12804" max="12804" width="10.5" style="180" bestFit="1" customWidth="1"/>
    <col min="12805" max="12805" width="9.625" style="180" bestFit="1" customWidth="1"/>
    <col min="12806" max="13059" width="8.875" style="180"/>
    <col min="13060" max="13060" width="10.5" style="180" bestFit="1" customWidth="1"/>
    <col min="13061" max="13061" width="9.625" style="180" bestFit="1" customWidth="1"/>
    <col min="13062" max="13315" width="8.875" style="180"/>
    <col min="13316" max="13316" width="10.5" style="180" bestFit="1" customWidth="1"/>
    <col min="13317" max="13317" width="9.625" style="180" bestFit="1" customWidth="1"/>
    <col min="13318" max="13571" width="8.875" style="180"/>
    <col min="13572" max="13572" width="10.5" style="180" bestFit="1" customWidth="1"/>
    <col min="13573" max="13573" width="9.625" style="180" bestFit="1" customWidth="1"/>
    <col min="13574" max="13827" width="8.875" style="180"/>
    <col min="13828" max="13828" width="10.5" style="180" bestFit="1" customWidth="1"/>
    <col min="13829" max="13829" width="9.625" style="180" bestFit="1" customWidth="1"/>
    <col min="13830" max="14083" width="8.875" style="180"/>
    <col min="14084" max="14084" width="10.5" style="180" bestFit="1" customWidth="1"/>
    <col min="14085" max="14085" width="9.625" style="180" bestFit="1" customWidth="1"/>
    <col min="14086" max="14339" width="8.875" style="180"/>
    <col min="14340" max="14340" width="10.5" style="180" bestFit="1" customWidth="1"/>
    <col min="14341" max="14341" width="9.625" style="180" bestFit="1" customWidth="1"/>
    <col min="14342" max="14595" width="8.875" style="180"/>
    <col min="14596" max="14596" width="10.5" style="180" bestFit="1" customWidth="1"/>
    <col min="14597" max="14597" width="9.625" style="180" bestFit="1" customWidth="1"/>
    <col min="14598" max="14851" width="8.875" style="180"/>
    <col min="14852" max="14852" width="10.5" style="180" bestFit="1" customWidth="1"/>
    <col min="14853" max="14853" width="9.625" style="180" bestFit="1" customWidth="1"/>
    <col min="14854" max="15107" width="8.875" style="180"/>
    <col min="15108" max="15108" width="10.5" style="180" bestFit="1" customWidth="1"/>
    <col min="15109" max="15109" width="9.625" style="180" bestFit="1" customWidth="1"/>
    <col min="15110" max="15363" width="8.875" style="180"/>
    <col min="15364" max="15364" width="10.5" style="180" bestFit="1" customWidth="1"/>
    <col min="15365" max="15365" width="9.625" style="180" bestFit="1" customWidth="1"/>
    <col min="15366" max="15619" width="8.875" style="180"/>
    <col min="15620" max="15620" width="10.5" style="180" bestFit="1" customWidth="1"/>
    <col min="15621" max="15621" width="9.625" style="180" bestFit="1" customWidth="1"/>
    <col min="15622" max="15875" width="8.875" style="180"/>
    <col min="15876" max="15876" width="10.5" style="180" bestFit="1" customWidth="1"/>
    <col min="15877" max="15877" width="9.625" style="180" bestFit="1" customWidth="1"/>
    <col min="15878" max="16131" width="8.875" style="180"/>
    <col min="16132" max="16132" width="10.5" style="180" bestFit="1" customWidth="1"/>
    <col min="16133" max="16133" width="9.625" style="180" bestFit="1" customWidth="1"/>
    <col min="16134" max="16384" width="8.875" style="180"/>
  </cols>
  <sheetData>
    <row r="1" spans="1:53" ht="45" x14ac:dyDescent="0.15">
      <c r="A1" s="212" t="s">
        <v>0</v>
      </c>
      <c r="B1" s="174" t="s">
        <v>1</v>
      </c>
      <c r="C1" s="174" t="s">
        <v>157</v>
      </c>
      <c r="D1" s="175" t="s">
        <v>3</v>
      </c>
      <c r="E1" s="213" t="s">
        <v>4</v>
      </c>
      <c r="F1" s="213" t="s">
        <v>5</v>
      </c>
      <c r="G1" s="213" t="s">
        <v>6</v>
      </c>
      <c r="H1" s="213" t="s">
        <v>7</v>
      </c>
      <c r="I1" s="213" t="s">
        <v>8</v>
      </c>
      <c r="J1" s="213" t="s">
        <v>9</v>
      </c>
      <c r="K1" s="213" t="s">
        <v>10</v>
      </c>
      <c r="L1" s="175" t="s">
        <v>158</v>
      </c>
      <c r="M1" s="175" t="s">
        <v>12</v>
      </c>
      <c r="N1" s="175" t="s">
        <v>270</v>
      </c>
      <c r="O1" s="175" t="s">
        <v>14</v>
      </c>
      <c r="P1" s="175" t="s">
        <v>159</v>
      </c>
      <c r="Q1" s="176" t="s">
        <v>16</v>
      </c>
      <c r="R1" s="175" t="s">
        <v>160</v>
      </c>
      <c r="S1" s="175" t="s">
        <v>161</v>
      </c>
      <c r="T1" s="176" t="s">
        <v>19</v>
      </c>
      <c r="U1" s="177" t="s">
        <v>271</v>
      </c>
      <c r="V1" s="178" t="s">
        <v>20</v>
      </c>
      <c r="W1" s="175" t="s">
        <v>21</v>
      </c>
      <c r="X1" s="213" t="s">
        <v>22</v>
      </c>
      <c r="Y1" s="213" t="s">
        <v>23</v>
      </c>
      <c r="Z1" s="213" t="s">
        <v>24</v>
      </c>
      <c r="AA1" s="214" t="s">
        <v>25</v>
      </c>
      <c r="AB1" s="179" t="s">
        <v>162</v>
      </c>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163</v>
      </c>
      <c r="AY1" s="186" t="s">
        <v>164</v>
      </c>
      <c r="AZ1" s="186" t="s">
        <v>165</v>
      </c>
      <c r="BA1" s="187" t="s">
        <v>166</v>
      </c>
    </row>
    <row r="2" spans="1:53" x14ac:dyDescent="0.15">
      <c r="A2" s="180" t="s">
        <v>59</v>
      </c>
      <c r="B2" s="209" t="s">
        <v>347</v>
      </c>
      <c r="C2" s="124">
        <v>2018</v>
      </c>
      <c r="D2" s="125" t="s">
        <v>429</v>
      </c>
      <c r="E2" s="180" t="s">
        <v>430</v>
      </c>
      <c r="F2" s="180" t="s">
        <v>312</v>
      </c>
      <c r="G2" s="180" t="s">
        <v>36</v>
      </c>
      <c r="H2" s="180" t="s">
        <v>168</v>
      </c>
      <c r="I2" s="180" t="s">
        <v>153</v>
      </c>
      <c r="J2" s="180" t="s">
        <v>38</v>
      </c>
      <c r="K2" s="180" t="s">
        <v>154</v>
      </c>
      <c r="L2" s="180">
        <v>1</v>
      </c>
      <c r="N2" s="180">
        <v>4</v>
      </c>
      <c r="O2" s="180">
        <v>0.4</v>
      </c>
      <c r="P2" s="180">
        <v>0.45</v>
      </c>
      <c r="Q2" s="217">
        <f>IF(OR(O2="",P2=""),"",AVERAGE(O2,P2))</f>
        <v>0.42500000000000004</v>
      </c>
      <c r="R2" s="180">
        <v>15</v>
      </c>
      <c r="S2" s="180">
        <v>136</v>
      </c>
      <c r="T2" s="189">
        <f t="shared" ref="T2:T73" si="0">IF(H2="","",IF(OR(H2="GREEN",H2="GK"),IF(S2&gt;=$AX$2,VLOOKUP(S2,$AX$2:$AY$12,2,1),""),IF(S2&gt;=$AZ$2,VLOOKUP(S2,$AZ$2:$BA$12,2,1),"")))</f>
        <v>25</v>
      </c>
      <c r="U2" s="180">
        <v>480</v>
      </c>
      <c r="V2" s="189">
        <f t="shared" ref="V2:V70" si="1">IF(J2="","",IF(OR(J2="GREEN",J2="GK"),IF(U2&gt;=$AX$2,VLOOKUP(U2,$AX$2:$AY$12,2,1),""),IF(U2&gt;=$AZ$2,VLOOKUP(U2,$AZ$2:$BA$12,2,1),"")))</f>
        <v>16</v>
      </c>
      <c r="W2" s="180">
        <v>6</v>
      </c>
      <c r="X2" s="180" t="s">
        <v>39</v>
      </c>
      <c r="Y2" s="180" t="s">
        <v>78</v>
      </c>
      <c r="Z2" s="180" t="s">
        <v>102</v>
      </c>
      <c r="AA2" s="180" t="s">
        <v>90</v>
      </c>
      <c r="AB2" s="209" t="s">
        <v>431</v>
      </c>
      <c r="AE2" s="190" t="s">
        <v>35</v>
      </c>
      <c r="AG2" s="126" t="s">
        <v>319</v>
      </c>
      <c r="AH2" s="127" t="s">
        <v>311</v>
      </c>
      <c r="AJ2" s="220" t="s">
        <v>36</v>
      </c>
      <c r="AL2" s="191" t="s">
        <v>127</v>
      </c>
      <c r="AN2" s="128" t="s">
        <v>432</v>
      </c>
      <c r="AP2" s="191" t="s">
        <v>38</v>
      </c>
      <c r="AR2" s="191" t="s">
        <v>433</v>
      </c>
      <c r="AT2" s="220" t="s">
        <v>39</v>
      </c>
      <c r="AV2" s="196" t="s">
        <v>55</v>
      </c>
      <c r="AX2" s="129">
        <v>1</v>
      </c>
      <c r="AY2" s="130">
        <v>50</v>
      </c>
      <c r="AZ2" s="130">
        <v>1</v>
      </c>
      <c r="BA2" s="131">
        <v>50</v>
      </c>
    </row>
    <row r="3" spans="1:53" x14ac:dyDescent="0.15">
      <c r="A3" s="180" t="s">
        <v>59</v>
      </c>
      <c r="B3" s="209" t="s">
        <v>434</v>
      </c>
      <c r="C3" s="124">
        <v>2018</v>
      </c>
      <c r="D3" s="125" t="s">
        <v>435</v>
      </c>
      <c r="E3" s="180" t="s">
        <v>436</v>
      </c>
      <c r="F3" s="180" t="s">
        <v>312</v>
      </c>
      <c r="G3" s="180" t="s">
        <v>36</v>
      </c>
      <c r="H3" s="180" t="s">
        <v>168</v>
      </c>
      <c r="I3" s="180" t="s">
        <v>153</v>
      </c>
      <c r="J3" s="180" t="s">
        <v>38</v>
      </c>
      <c r="K3" s="180" t="s">
        <v>154</v>
      </c>
      <c r="L3" s="180">
        <v>2</v>
      </c>
      <c r="N3" s="180">
        <v>4</v>
      </c>
      <c r="O3" s="180">
        <v>0.42</v>
      </c>
      <c r="P3" s="180">
        <v>0.45</v>
      </c>
      <c r="Q3" s="217">
        <f t="shared" ref="Q3:Q73" si="2">IF(OR(O3="",P3=""),"",AVERAGE(O3,P3))</f>
        <v>0.435</v>
      </c>
      <c r="R3" s="180">
        <v>15.4</v>
      </c>
      <c r="S3" s="180">
        <v>140</v>
      </c>
      <c r="T3" s="189">
        <f t="shared" si="0"/>
        <v>22</v>
      </c>
      <c r="U3" s="180">
        <v>480</v>
      </c>
      <c r="V3" s="189">
        <f t="shared" si="1"/>
        <v>16</v>
      </c>
      <c r="W3" s="180">
        <v>6</v>
      </c>
      <c r="X3" s="180" t="s">
        <v>39</v>
      </c>
      <c r="Y3" s="180" t="s">
        <v>78</v>
      </c>
      <c r="Z3" s="180" t="s">
        <v>102</v>
      </c>
      <c r="AA3" s="180" t="s">
        <v>90</v>
      </c>
      <c r="AB3" s="209" t="s">
        <v>437</v>
      </c>
      <c r="AE3" s="195" t="s">
        <v>41</v>
      </c>
      <c r="AG3" s="126" t="s">
        <v>320</v>
      </c>
      <c r="AH3" s="127" t="s">
        <v>312</v>
      </c>
      <c r="AJ3" s="196" t="s">
        <v>42</v>
      </c>
      <c r="AL3" s="196" t="s">
        <v>128</v>
      </c>
      <c r="AN3" s="196" t="s">
        <v>43</v>
      </c>
      <c r="AP3" s="196" t="s">
        <v>44</v>
      </c>
      <c r="AR3" s="210" t="s">
        <v>45</v>
      </c>
      <c r="AT3" s="196" t="s">
        <v>46</v>
      </c>
      <c r="AV3" s="196" t="s">
        <v>438</v>
      </c>
      <c r="AX3" s="197">
        <v>72</v>
      </c>
      <c r="AY3" s="198">
        <v>46</v>
      </c>
      <c r="AZ3" s="198">
        <v>71</v>
      </c>
      <c r="BA3" s="199">
        <v>42</v>
      </c>
    </row>
    <row r="4" spans="1:53" x14ac:dyDescent="0.15">
      <c r="A4" s="180" t="s">
        <v>59</v>
      </c>
      <c r="B4" s="209" t="s">
        <v>434</v>
      </c>
      <c r="C4" s="124">
        <v>2018</v>
      </c>
      <c r="D4" s="125" t="s">
        <v>435</v>
      </c>
      <c r="E4" s="180" t="s">
        <v>436</v>
      </c>
      <c r="F4" s="180" t="s">
        <v>312</v>
      </c>
      <c r="G4" s="180" t="s">
        <v>36</v>
      </c>
      <c r="H4" s="180" t="s">
        <v>168</v>
      </c>
      <c r="I4" s="180" t="s">
        <v>439</v>
      </c>
      <c r="J4" s="180" t="s">
        <v>38</v>
      </c>
      <c r="K4" s="180" t="s">
        <v>154</v>
      </c>
      <c r="L4" s="180">
        <v>3</v>
      </c>
      <c r="N4" s="180">
        <v>4</v>
      </c>
      <c r="O4" s="180">
        <v>0.42</v>
      </c>
      <c r="P4" s="180">
        <v>0.47</v>
      </c>
      <c r="Q4" s="217">
        <f t="shared" si="2"/>
        <v>0.44499999999999995</v>
      </c>
      <c r="R4" s="180">
        <v>15.7</v>
      </c>
      <c r="S4" s="180">
        <v>140</v>
      </c>
      <c r="T4" s="189">
        <f t="shared" si="0"/>
        <v>22</v>
      </c>
      <c r="U4" s="180">
        <v>480</v>
      </c>
      <c r="V4" s="189">
        <f t="shared" si="1"/>
        <v>16</v>
      </c>
      <c r="W4" s="180">
        <v>6</v>
      </c>
      <c r="X4" s="180" t="s">
        <v>39</v>
      </c>
      <c r="Y4" s="180" t="s">
        <v>78</v>
      </c>
      <c r="Z4" s="180" t="s">
        <v>102</v>
      </c>
      <c r="AA4" s="180" t="s">
        <v>90</v>
      </c>
      <c r="AB4" s="209" t="s">
        <v>437</v>
      </c>
      <c r="AE4" s="195" t="s">
        <v>34</v>
      </c>
      <c r="AG4" s="126" t="s">
        <v>321</v>
      </c>
      <c r="AH4" s="127" t="s">
        <v>313</v>
      </c>
      <c r="AJ4" s="200" t="s">
        <v>48</v>
      </c>
      <c r="AL4" s="200" t="s">
        <v>129</v>
      </c>
      <c r="AN4" s="201" t="s">
        <v>49</v>
      </c>
      <c r="AP4" s="196" t="s">
        <v>440</v>
      </c>
      <c r="AR4" s="210" t="s">
        <v>272</v>
      </c>
      <c r="AT4" s="201"/>
      <c r="AV4" s="196" t="s">
        <v>441</v>
      </c>
      <c r="AX4" s="197">
        <v>75</v>
      </c>
      <c r="AY4" s="198">
        <v>42</v>
      </c>
      <c r="AZ4" s="198">
        <v>76</v>
      </c>
      <c r="BA4" s="199">
        <v>39</v>
      </c>
    </row>
    <row r="5" spans="1:53" x14ac:dyDescent="0.15">
      <c r="A5" s="180" t="s">
        <v>59</v>
      </c>
      <c r="B5" s="209" t="s">
        <v>434</v>
      </c>
      <c r="C5" s="124">
        <v>2018</v>
      </c>
      <c r="D5" s="125" t="s">
        <v>435</v>
      </c>
      <c r="E5" s="180" t="s">
        <v>436</v>
      </c>
      <c r="F5" s="180" t="s">
        <v>312</v>
      </c>
      <c r="G5" s="180" t="s">
        <v>36</v>
      </c>
      <c r="H5" s="180" t="s">
        <v>155</v>
      </c>
      <c r="I5" s="180" t="s">
        <v>153</v>
      </c>
      <c r="J5" s="180" t="s">
        <v>38</v>
      </c>
      <c r="K5" s="180" t="s">
        <v>154</v>
      </c>
      <c r="L5" s="180">
        <v>1</v>
      </c>
      <c r="N5" s="180">
        <v>1</v>
      </c>
      <c r="O5" s="180">
        <v>0.53</v>
      </c>
      <c r="P5" s="180">
        <v>0.66</v>
      </c>
      <c r="Q5" s="217">
        <f t="shared" si="2"/>
        <v>0.59499999999999997</v>
      </c>
      <c r="R5" s="180">
        <v>16.7</v>
      </c>
      <c r="S5" s="180">
        <v>135</v>
      </c>
      <c r="T5" s="189">
        <f t="shared" si="0"/>
        <v>25</v>
      </c>
      <c r="U5" s="180">
        <v>128</v>
      </c>
      <c r="V5" s="189">
        <f t="shared" si="1"/>
        <v>27</v>
      </c>
      <c r="W5" s="180">
        <v>3</v>
      </c>
      <c r="X5" s="180" t="s">
        <v>39</v>
      </c>
      <c r="Y5" s="180" t="s">
        <v>78</v>
      </c>
      <c r="Z5" s="180" t="s">
        <v>102</v>
      </c>
      <c r="AA5" s="180" t="s">
        <v>90</v>
      </c>
      <c r="AB5" s="209" t="s">
        <v>437</v>
      </c>
      <c r="AE5" s="195" t="s">
        <v>51</v>
      </c>
      <c r="AG5" s="126" t="s">
        <v>273</v>
      </c>
      <c r="AH5" s="127" t="s">
        <v>314</v>
      </c>
      <c r="AJ5" s="201"/>
      <c r="AL5" s="202" t="s">
        <v>442</v>
      </c>
      <c r="AN5" s="54" t="s">
        <v>443</v>
      </c>
      <c r="AP5" s="196" t="s">
        <v>444</v>
      </c>
      <c r="AR5" s="210" t="s">
        <v>54</v>
      </c>
      <c r="AV5" s="196" t="s">
        <v>445</v>
      </c>
      <c r="AX5" s="197">
        <v>84</v>
      </c>
      <c r="AY5" s="198">
        <v>39</v>
      </c>
      <c r="AZ5" s="198">
        <v>84</v>
      </c>
      <c r="BA5" s="199">
        <v>36</v>
      </c>
    </row>
    <row r="6" spans="1:53" x14ac:dyDescent="0.15">
      <c r="A6" s="180" t="s">
        <v>59</v>
      </c>
      <c r="B6" s="209" t="s">
        <v>434</v>
      </c>
      <c r="C6" s="124">
        <v>2018</v>
      </c>
      <c r="D6" s="125" t="s">
        <v>435</v>
      </c>
      <c r="E6" s="180" t="s">
        <v>436</v>
      </c>
      <c r="F6" s="180" t="s">
        <v>312</v>
      </c>
      <c r="G6" s="180" t="s">
        <v>36</v>
      </c>
      <c r="H6" s="180" t="s">
        <v>155</v>
      </c>
      <c r="I6" s="180" t="s">
        <v>153</v>
      </c>
      <c r="J6" s="180" t="s">
        <v>38</v>
      </c>
      <c r="K6" s="180" t="s">
        <v>154</v>
      </c>
      <c r="L6" s="180">
        <v>2</v>
      </c>
      <c r="N6" s="180">
        <v>1</v>
      </c>
      <c r="O6" s="180">
        <v>0.72</v>
      </c>
      <c r="P6" s="180">
        <v>0.78</v>
      </c>
      <c r="Q6" s="217">
        <f t="shared" si="2"/>
        <v>0.75</v>
      </c>
      <c r="R6" s="180">
        <v>15.8</v>
      </c>
      <c r="S6" s="180">
        <v>136</v>
      </c>
      <c r="T6" s="189">
        <f t="shared" si="0"/>
        <v>25</v>
      </c>
      <c r="U6" s="180">
        <v>128</v>
      </c>
      <c r="V6" s="189">
        <f t="shared" si="1"/>
        <v>27</v>
      </c>
      <c r="W6" s="180">
        <v>3</v>
      </c>
      <c r="X6" s="180" t="s">
        <v>39</v>
      </c>
      <c r="Y6" s="180" t="s">
        <v>78</v>
      </c>
      <c r="Z6" s="180" t="s">
        <v>102</v>
      </c>
      <c r="AA6" s="180" t="s">
        <v>90</v>
      </c>
      <c r="AB6" s="209" t="s">
        <v>437</v>
      </c>
      <c r="AE6" s="195" t="s">
        <v>56</v>
      </c>
      <c r="AG6" s="126" t="s">
        <v>322</v>
      </c>
      <c r="AH6" s="127" t="s">
        <v>315</v>
      </c>
      <c r="AL6" s="202" t="s">
        <v>446</v>
      </c>
      <c r="AN6" s="202" t="s">
        <v>447</v>
      </c>
      <c r="AP6" s="196" t="s">
        <v>53</v>
      </c>
      <c r="AR6" s="210" t="s">
        <v>176</v>
      </c>
      <c r="AV6" s="196" t="s">
        <v>60</v>
      </c>
      <c r="AX6" s="197">
        <v>97</v>
      </c>
      <c r="AY6" s="198">
        <v>36</v>
      </c>
      <c r="AZ6" s="198">
        <v>99</v>
      </c>
      <c r="BA6" s="199">
        <v>33</v>
      </c>
    </row>
    <row r="7" spans="1:53" x14ac:dyDescent="0.15">
      <c r="A7" s="180" t="s">
        <v>59</v>
      </c>
      <c r="B7" s="209" t="s">
        <v>384</v>
      </c>
      <c r="C7" s="124">
        <v>2018</v>
      </c>
      <c r="D7" s="125" t="s">
        <v>448</v>
      </c>
      <c r="E7" s="180" t="s">
        <v>449</v>
      </c>
      <c r="F7" s="180" t="s">
        <v>312</v>
      </c>
      <c r="G7" s="180" t="s">
        <v>36</v>
      </c>
      <c r="H7" s="180" t="s">
        <v>155</v>
      </c>
      <c r="I7" s="180" t="s">
        <v>153</v>
      </c>
      <c r="J7" s="180" t="s">
        <v>38</v>
      </c>
      <c r="K7" s="180" t="s">
        <v>154</v>
      </c>
      <c r="L7" s="180">
        <v>3</v>
      </c>
      <c r="N7" s="180">
        <v>1</v>
      </c>
      <c r="O7" s="180">
        <v>0.65</v>
      </c>
      <c r="P7" s="180">
        <v>0.72</v>
      </c>
      <c r="Q7" s="217">
        <f t="shared" si="2"/>
        <v>0.68500000000000005</v>
      </c>
      <c r="R7" s="180">
        <v>15.5</v>
      </c>
      <c r="S7" s="180">
        <v>138</v>
      </c>
      <c r="T7" s="189">
        <f t="shared" si="0"/>
        <v>22</v>
      </c>
      <c r="U7" s="180">
        <v>128</v>
      </c>
      <c r="V7" s="189">
        <f t="shared" si="1"/>
        <v>27</v>
      </c>
      <c r="W7" s="180">
        <v>3</v>
      </c>
      <c r="X7" s="180" t="s">
        <v>39</v>
      </c>
      <c r="Y7" s="180" t="s">
        <v>78</v>
      </c>
      <c r="Z7" s="180" t="s">
        <v>102</v>
      </c>
      <c r="AA7" s="180" t="s">
        <v>90</v>
      </c>
      <c r="AB7" s="209" t="s">
        <v>450</v>
      </c>
      <c r="AE7" s="195" t="s">
        <v>61</v>
      </c>
      <c r="AG7" s="126" t="s">
        <v>323</v>
      </c>
      <c r="AH7" s="127" t="s">
        <v>316</v>
      </c>
      <c r="AL7" s="207" t="s">
        <v>451</v>
      </c>
      <c r="AP7" s="196" t="s">
        <v>58</v>
      </c>
      <c r="AR7" s="203" t="s">
        <v>274</v>
      </c>
      <c r="AV7" s="196" t="s">
        <v>64</v>
      </c>
      <c r="AX7" s="197">
        <v>109</v>
      </c>
      <c r="AY7" s="198">
        <v>33</v>
      </c>
      <c r="AZ7" s="198">
        <v>113</v>
      </c>
      <c r="BA7" s="199">
        <v>30</v>
      </c>
    </row>
    <row r="8" spans="1:53" x14ac:dyDescent="0.15">
      <c r="A8" s="180" t="s">
        <v>59</v>
      </c>
      <c r="B8" s="209" t="s">
        <v>452</v>
      </c>
      <c r="C8" s="124">
        <v>2018</v>
      </c>
      <c r="D8" s="125" t="s">
        <v>453</v>
      </c>
      <c r="E8" s="180" t="s">
        <v>319</v>
      </c>
      <c r="F8" s="180" t="s">
        <v>311</v>
      </c>
      <c r="G8" s="180" t="s">
        <v>36</v>
      </c>
      <c r="H8" s="180" t="s">
        <v>168</v>
      </c>
      <c r="I8" s="180" t="s">
        <v>153</v>
      </c>
      <c r="J8" s="180" t="s">
        <v>38</v>
      </c>
      <c r="K8" s="180" t="s">
        <v>154</v>
      </c>
      <c r="L8" s="180">
        <v>1</v>
      </c>
      <c r="N8" s="180">
        <v>4</v>
      </c>
      <c r="O8" s="180">
        <v>0.5</v>
      </c>
      <c r="P8" s="180">
        <v>0.52</v>
      </c>
      <c r="Q8" s="217">
        <f t="shared" si="2"/>
        <v>0.51</v>
      </c>
      <c r="R8" s="180">
        <v>15.5</v>
      </c>
      <c r="S8" s="180">
        <v>111</v>
      </c>
      <c r="T8" s="189">
        <f t="shared" si="0"/>
        <v>33</v>
      </c>
      <c r="U8" s="180">
        <v>437</v>
      </c>
      <c r="V8" s="189">
        <f t="shared" si="1"/>
        <v>16</v>
      </c>
      <c r="W8" s="180">
        <v>5</v>
      </c>
      <c r="X8" s="180" t="s">
        <v>39</v>
      </c>
      <c r="Y8" s="180" t="s">
        <v>102</v>
      </c>
      <c r="Z8" s="180" t="s">
        <v>78</v>
      </c>
      <c r="AA8" s="180" t="s">
        <v>88</v>
      </c>
      <c r="AB8" s="209" t="s">
        <v>437</v>
      </c>
      <c r="AE8" s="195" t="s">
        <v>59</v>
      </c>
      <c r="AG8" s="132" t="s">
        <v>324</v>
      </c>
      <c r="AH8" s="127" t="s">
        <v>317</v>
      </c>
      <c r="AL8" s="207" t="s">
        <v>454</v>
      </c>
      <c r="AP8" s="196" t="s">
        <v>62</v>
      </c>
      <c r="AR8" s="210" t="s">
        <v>81</v>
      </c>
      <c r="AV8" s="196" t="s">
        <v>97</v>
      </c>
      <c r="AX8" s="197">
        <v>119</v>
      </c>
      <c r="AY8" s="198">
        <v>30</v>
      </c>
      <c r="AZ8" s="198">
        <v>121</v>
      </c>
      <c r="BA8" s="199">
        <v>27</v>
      </c>
    </row>
    <row r="9" spans="1:53" x14ac:dyDescent="0.15">
      <c r="A9" s="180" t="s">
        <v>59</v>
      </c>
      <c r="B9" s="209" t="s">
        <v>434</v>
      </c>
      <c r="C9" s="124">
        <v>2018</v>
      </c>
      <c r="D9" s="125" t="s">
        <v>435</v>
      </c>
      <c r="E9" s="180" t="s">
        <v>319</v>
      </c>
      <c r="F9" s="180" t="s">
        <v>311</v>
      </c>
      <c r="G9" s="180" t="s">
        <v>36</v>
      </c>
      <c r="H9" s="180" t="s">
        <v>168</v>
      </c>
      <c r="I9" s="180" t="s">
        <v>153</v>
      </c>
      <c r="J9" s="180" t="s">
        <v>38</v>
      </c>
      <c r="K9" s="180" t="s">
        <v>154</v>
      </c>
      <c r="L9" s="180">
        <v>2</v>
      </c>
      <c r="N9" s="180">
        <v>4</v>
      </c>
      <c r="O9" s="180">
        <v>0.5</v>
      </c>
      <c r="P9" s="180">
        <v>0.48</v>
      </c>
      <c r="Q9" s="217">
        <f t="shared" si="2"/>
        <v>0.49</v>
      </c>
      <c r="R9" s="180">
        <v>16.8</v>
      </c>
      <c r="S9" s="180">
        <v>110</v>
      </c>
      <c r="T9" s="189">
        <f t="shared" si="0"/>
        <v>33</v>
      </c>
      <c r="U9" s="180">
        <v>437</v>
      </c>
      <c r="V9" s="189">
        <f t="shared" si="1"/>
        <v>16</v>
      </c>
      <c r="W9" s="180">
        <v>5</v>
      </c>
      <c r="X9" s="180" t="s">
        <v>39</v>
      </c>
      <c r="Y9" s="180" t="s">
        <v>102</v>
      </c>
      <c r="Z9" s="180" t="s">
        <v>78</v>
      </c>
      <c r="AA9" s="180" t="s">
        <v>88</v>
      </c>
      <c r="AB9" s="209" t="s">
        <v>437</v>
      </c>
      <c r="AE9" s="195" t="s">
        <v>98</v>
      </c>
      <c r="AG9" s="132" t="s">
        <v>325</v>
      </c>
      <c r="AH9" s="127" t="s">
        <v>317</v>
      </c>
      <c r="AL9" s="202"/>
      <c r="AP9" s="196" t="s">
        <v>276</v>
      </c>
      <c r="AR9" s="203" t="s">
        <v>89</v>
      </c>
      <c r="AV9" s="196" t="s">
        <v>102</v>
      </c>
      <c r="AX9" s="197">
        <v>128</v>
      </c>
      <c r="AY9" s="198">
        <v>27</v>
      </c>
      <c r="AZ9" s="198">
        <v>129</v>
      </c>
      <c r="BA9" s="199">
        <v>25</v>
      </c>
    </row>
    <row r="10" spans="1:53" x14ac:dyDescent="0.15">
      <c r="A10" s="180" t="s">
        <v>59</v>
      </c>
      <c r="B10" s="209" t="s">
        <v>379</v>
      </c>
      <c r="C10" s="124">
        <v>2018</v>
      </c>
      <c r="D10" s="125" t="s">
        <v>455</v>
      </c>
      <c r="E10" s="180" t="s">
        <v>319</v>
      </c>
      <c r="F10" s="180" t="s">
        <v>311</v>
      </c>
      <c r="G10" s="180" t="s">
        <v>36</v>
      </c>
      <c r="H10" s="180" t="s">
        <v>168</v>
      </c>
      <c r="I10" s="180" t="s">
        <v>153</v>
      </c>
      <c r="J10" s="180" t="s">
        <v>38</v>
      </c>
      <c r="K10" s="180" t="s">
        <v>154</v>
      </c>
      <c r="L10" s="180">
        <v>3</v>
      </c>
      <c r="N10" s="180">
        <v>4</v>
      </c>
      <c r="O10" s="180">
        <v>0.55000000000000004</v>
      </c>
      <c r="P10" s="180">
        <v>0.51</v>
      </c>
      <c r="Q10" s="217">
        <f t="shared" si="2"/>
        <v>0.53</v>
      </c>
      <c r="R10" s="180">
        <v>15.9</v>
      </c>
      <c r="S10" s="180">
        <v>106</v>
      </c>
      <c r="T10" s="189">
        <f t="shared" si="0"/>
        <v>33</v>
      </c>
      <c r="U10" s="180">
        <v>437</v>
      </c>
      <c r="V10" s="189">
        <f t="shared" si="1"/>
        <v>16</v>
      </c>
      <c r="W10" s="180">
        <v>5</v>
      </c>
      <c r="X10" s="180" t="s">
        <v>39</v>
      </c>
      <c r="Y10" s="180" t="s">
        <v>102</v>
      </c>
      <c r="Z10" s="180" t="s">
        <v>78</v>
      </c>
      <c r="AA10" s="180" t="s">
        <v>88</v>
      </c>
      <c r="AB10" s="209" t="s">
        <v>437</v>
      </c>
      <c r="AE10" s="195" t="s">
        <v>103</v>
      </c>
      <c r="AG10" s="126" t="s">
        <v>326</v>
      </c>
      <c r="AH10" s="127" t="s">
        <v>314</v>
      </c>
      <c r="AL10" s="60"/>
      <c r="AP10" s="196" t="s">
        <v>100</v>
      </c>
      <c r="AR10" s="203" t="s">
        <v>123</v>
      </c>
      <c r="AV10" s="196" t="s">
        <v>106</v>
      </c>
      <c r="AX10" s="197">
        <v>138</v>
      </c>
      <c r="AY10" s="198">
        <v>25</v>
      </c>
      <c r="AZ10" s="198">
        <v>138</v>
      </c>
      <c r="BA10" s="199">
        <v>22</v>
      </c>
    </row>
    <row r="11" spans="1:53" x14ac:dyDescent="0.15">
      <c r="A11" s="180" t="s">
        <v>59</v>
      </c>
      <c r="B11" s="209" t="s">
        <v>434</v>
      </c>
      <c r="C11" s="124">
        <v>2018</v>
      </c>
      <c r="D11" s="125" t="s">
        <v>435</v>
      </c>
      <c r="E11" s="180" t="s">
        <v>319</v>
      </c>
      <c r="F11" s="180" t="s">
        <v>311</v>
      </c>
      <c r="G11" s="180" t="s">
        <v>36</v>
      </c>
      <c r="H11" s="180" t="s">
        <v>155</v>
      </c>
      <c r="I11" s="180" t="s">
        <v>153</v>
      </c>
      <c r="J11" s="180" t="s">
        <v>38</v>
      </c>
      <c r="K11" s="180" t="s">
        <v>154</v>
      </c>
      <c r="L11" s="180">
        <v>1</v>
      </c>
      <c r="N11" s="180">
        <v>2</v>
      </c>
      <c r="O11" s="180">
        <v>0.72</v>
      </c>
      <c r="P11" s="180">
        <v>0.85</v>
      </c>
      <c r="Q11" s="217">
        <f t="shared" si="2"/>
        <v>0.78499999999999992</v>
      </c>
      <c r="R11" s="180">
        <v>14.5</v>
      </c>
      <c r="S11" s="180">
        <v>172</v>
      </c>
      <c r="T11" s="189">
        <f t="shared" si="0"/>
        <v>18</v>
      </c>
      <c r="U11" s="180">
        <v>277</v>
      </c>
      <c r="V11" s="189">
        <f t="shared" si="1"/>
        <v>16</v>
      </c>
      <c r="W11" s="180">
        <v>3</v>
      </c>
      <c r="X11" s="180" t="s">
        <v>39</v>
      </c>
      <c r="Y11" s="180" t="s">
        <v>102</v>
      </c>
      <c r="Z11" s="180" t="s">
        <v>78</v>
      </c>
      <c r="AA11" s="180" t="s">
        <v>88</v>
      </c>
      <c r="AB11" s="209" t="s">
        <v>437</v>
      </c>
      <c r="AE11" s="195" t="s">
        <v>65</v>
      </c>
      <c r="AG11" s="132" t="s">
        <v>327</v>
      </c>
      <c r="AH11" s="127" t="s">
        <v>318</v>
      </c>
      <c r="AL11" s="60"/>
      <c r="AP11" s="196" t="s">
        <v>275</v>
      </c>
      <c r="AR11" s="203" t="s">
        <v>277</v>
      </c>
      <c r="AV11" s="196" t="s">
        <v>456</v>
      </c>
      <c r="AX11" s="197">
        <v>151</v>
      </c>
      <c r="AY11" s="198">
        <v>22</v>
      </c>
      <c r="AZ11" s="198">
        <v>152</v>
      </c>
      <c r="BA11" s="199">
        <v>18</v>
      </c>
    </row>
    <row r="12" spans="1:53" x14ac:dyDescent="0.15">
      <c r="A12" s="180" t="s">
        <v>59</v>
      </c>
      <c r="B12" s="209" t="s">
        <v>457</v>
      </c>
      <c r="C12" s="124">
        <v>2018</v>
      </c>
      <c r="D12" s="125" t="s">
        <v>458</v>
      </c>
      <c r="E12" s="180" t="s">
        <v>319</v>
      </c>
      <c r="F12" s="180" t="s">
        <v>311</v>
      </c>
      <c r="G12" s="180" t="s">
        <v>36</v>
      </c>
      <c r="H12" s="180" t="s">
        <v>155</v>
      </c>
      <c r="I12" s="180" t="s">
        <v>153</v>
      </c>
      <c r="J12" s="180" t="s">
        <v>38</v>
      </c>
      <c r="K12" s="180" t="s">
        <v>154</v>
      </c>
      <c r="L12" s="180">
        <v>2</v>
      </c>
      <c r="N12" s="180">
        <v>2</v>
      </c>
      <c r="O12" s="180">
        <v>0.9</v>
      </c>
      <c r="P12" s="180">
        <v>0.98</v>
      </c>
      <c r="Q12" s="217">
        <f t="shared" si="2"/>
        <v>0.94</v>
      </c>
      <c r="R12" s="180">
        <v>15.1</v>
      </c>
      <c r="S12" s="180">
        <v>166</v>
      </c>
      <c r="T12" s="189">
        <f t="shared" si="0"/>
        <v>18</v>
      </c>
      <c r="U12" s="180">
        <v>277</v>
      </c>
      <c r="V12" s="189">
        <f t="shared" si="1"/>
        <v>16</v>
      </c>
      <c r="W12" s="180">
        <v>3</v>
      </c>
      <c r="X12" s="180" t="s">
        <v>39</v>
      </c>
      <c r="Y12" s="180" t="s">
        <v>102</v>
      </c>
      <c r="Z12" s="180" t="s">
        <v>78</v>
      </c>
      <c r="AA12" s="180" t="s">
        <v>88</v>
      </c>
      <c r="AB12" s="209" t="s">
        <v>437</v>
      </c>
      <c r="AE12" s="195" t="s">
        <v>70</v>
      </c>
      <c r="AG12" s="203"/>
      <c r="AH12" s="133"/>
      <c r="AL12" s="60"/>
      <c r="AP12" s="196" t="s">
        <v>67</v>
      </c>
      <c r="AR12" s="203" t="s">
        <v>124</v>
      </c>
      <c r="AV12" s="196" t="s">
        <v>72</v>
      </c>
      <c r="AX12" s="204">
        <v>180</v>
      </c>
      <c r="AY12" s="205">
        <v>18</v>
      </c>
      <c r="AZ12" s="205">
        <v>181</v>
      </c>
      <c r="BA12" s="206">
        <v>16</v>
      </c>
    </row>
    <row r="13" spans="1:53" x14ac:dyDescent="0.15">
      <c r="A13" s="180" t="s">
        <v>59</v>
      </c>
      <c r="B13" s="209" t="s">
        <v>388</v>
      </c>
      <c r="C13" s="124">
        <v>2018</v>
      </c>
      <c r="D13" s="125" t="s">
        <v>459</v>
      </c>
      <c r="E13" s="180" t="s">
        <v>319</v>
      </c>
      <c r="F13" s="180" t="s">
        <v>311</v>
      </c>
      <c r="G13" s="180" t="s">
        <v>36</v>
      </c>
      <c r="H13" s="180" t="s">
        <v>155</v>
      </c>
      <c r="I13" s="180" t="s">
        <v>153</v>
      </c>
      <c r="J13" s="180" t="s">
        <v>38</v>
      </c>
      <c r="K13" s="180" t="s">
        <v>154</v>
      </c>
      <c r="L13" s="180">
        <v>3</v>
      </c>
      <c r="N13" s="180">
        <v>2</v>
      </c>
      <c r="O13" s="180">
        <v>0.77</v>
      </c>
      <c r="P13" s="180">
        <v>0.82</v>
      </c>
      <c r="Q13" s="217">
        <f t="shared" si="2"/>
        <v>0.79499999999999993</v>
      </c>
      <c r="R13" s="180">
        <v>14.6</v>
      </c>
      <c r="S13" s="180">
        <v>170</v>
      </c>
      <c r="T13" s="189">
        <f t="shared" si="0"/>
        <v>18</v>
      </c>
      <c r="U13" s="180">
        <v>277</v>
      </c>
      <c r="V13" s="189">
        <f t="shared" si="1"/>
        <v>16</v>
      </c>
      <c r="W13" s="180">
        <v>3</v>
      </c>
      <c r="X13" s="180" t="s">
        <v>39</v>
      </c>
      <c r="Y13" s="180" t="s">
        <v>102</v>
      </c>
      <c r="Z13" s="180" t="s">
        <v>78</v>
      </c>
      <c r="AA13" s="180" t="s">
        <v>88</v>
      </c>
      <c r="AB13" s="209" t="s">
        <v>437</v>
      </c>
      <c r="AE13" s="195" t="s">
        <v>73</v>
      </c>
      <c r="AG13" s="196"/>
      <c r="AH13" s="196"/>
      <c r="AP13" s="196" t="s">
        <v>71</v>
      </c>
      <c r="AR13" s="203" t="s">
        <v>103</v>
      </c>
      <c r="AV13" s="196" t="s">
        <v>75</v>
      </c>
    </row>
    <row r="14" spans="1:53" x14ac:dyDescent="0.15">
      <c r="A14" s="180" t="s">
        <v>59</v>
      </c>
      <c r="B14" s="209" t="s">
        <v>390</v>
      </c>
      <c r="C14" s="124">
        <v>2018</v>
      </c>
      <c r="D14" s="125" t="s">
        <v>460</v>
      </c>
      <c r="E14" s="180" t="s">
        <v>273</v>
      </c>
      <c r="F14" s="180" t="s">
        <v>314</v>
      </c>
      <c r="G14" s="180" t="s">
        <v>36</v>
      </c>
      <c r="H14" s="180" t="s">
        <v>168</v>
      </c>
      <c r="I14" s="180" t="s">
        <v>153</v>
      </c>
      <c r="J14" s="180" t="s">
        <v>38</v>
      </c>
      <c r="K14" s="180" t="s">
        <v>154</v>
      </c>
      <c r="L14" s="180">
        <v>1</v>
      </c>
      <c r="N14" s="180">
        <v>3</v>
      </c>
      <c r="O14" s="180">
        <v>0.54</v>
      </c>
      <c r="P14" s="180">
        <v>0.52</v>
      </c>
      <c r="Q14" s="217">
        <f t="shared" si="2"/>
        <v>0.53</v>
      </c>
      <c r="R14" s="180">
        <v>16.100000000000001</v>
      </c>
      <c r="S14" s="180">
        <v>130</v>
      </c>
      <c r="T14" s="189">
        <f t="shared" si="0"/>
        <v>25</v>
      </c>
      <c r="U14" s="180">
        <v>399</v>
      </c>
      <c r="V14" s="189">
        <f t="shared" si="1"/>
        <v>16</v>
      </c>
      <c r="W14" s="180">
        <v>5</v>
      </c>
      <c r="X14" s="180" t="s">
        <v>39</v>
      </c>
      <c r="Y14" s="180" t="s">
        <v>90</v>
      </c>
      <c r="Z14" s="180" t="s">
        <v>102</v>
      </c>
      <c r="AA14" s="180" t="s">
        <v>78</v>
      </c>
      <c r="AB14" s="209" t="s">
        <v>461</v>
      </c>
      <c r="AE14" s="195" t="s">
        <v>76</v>
      </c>
      <c r="AG14" s="196"/>
      <c r="AH14" s="196"/>
      <c r="AP14" s="196" t="s">
        <v>278</v>
      </c>
      <c r="AR14" s="203" t="s">
        <v>125</v>
      </c>
      <c r="AV14" s="196" t="s">
        <v>78</v>
      </c>
    </row>
    <row r="15" spans="1:53" x14ac:dyDescent="0.15">
      <c r="A15" s="180" t="s">
        <v>59</v>
      </c>
      <c r="B15" s="209" t="s">
        <v>390</v>
      </c>
      <c r="C15" s="124">
        <v>2018</v>
      </c>
      <c r="D15" s="125" t="s">
        <v>460</v>
      </c>
      <c r="E15" s="180" t="s">
        <v>273</v>
      </c>
      <c r="F15" s="180" t="s">
        <v>314</v>
      </c>
      <c r="G15" s="180" t="s">
        <v>36</v>
      </c>
      <c r="H15" s="180" t="s">
        <v>168</v>
      </c>
      <c r="I15" s="180" t="s">
        <v>153</v>
      </c>
      <c r="J15" s="180" t="s">
        <v>38</v>
      </c>
      <c r="K15" s="180" t="s">
        <v>154</v>
      </c>
      <c r="L15" s="180">
        <v>2</v>
      </c>
      <c r="N15" s="180">
        <v>3</v>
      </c>
      <c r="O15" s="180">
        <v>0.62</v>
      </c>
      <c r="P15" s="180">
        <v>0.63</v>
      </c>
      <c r="Q15" s="217">
        <f t="shared" si="2"/>
        <v>0.625</v>
      </c>
      <c r="R15" s="180">
        <v>16.600000000000001</v>
      </c>
      <c r="S15" s="180">
        <v>132</v>
      </c>
      <c r="T15" s="189">
        <f t="shared" si="0"/>
        <v>25</v>
      </c>
      <c r="U15" s="180">
        <v>399</v>
      </c>
      <c r="V15" s="189">
        <f t="shared" si="1"/>
        <v>16</v>
      </c>
      <c r="W15" s="180">
        <v>5</v>
      </c>
      <c r="X15" s="180" t="s">
        <v>39</v>
      </c>
      <c r="Y15" s="180" t="s">
        <v>90</v>
      </c>
      <c r="Z15" s="180" t="s">
        <v>102</v>
      </c>
      <c r="AA15" s="180" t="s">
        <v>78</v>
      </c>
      <c r="AB15" s="209" t="s">
        <v>461</v>
      </c>
      <c r="AE15" s="195" t="s">
        <v>79</v>
      </c>
      <c r="AG15" s="196"/>
      <c r="AH15" s="196"/>
      <c r="AP15" s="196" t="s">
        <v>279</v>
      </c>
      <c r="AR15" s="203" t="s">
        <v>94</v>
      </c>
      <c r="AV15" s="196" t="s">
        <v>107</v>
      </c>
    </row>
    <row r="16" spans="1:53" x14ac:dyDescent="0.15">
      <c r="A16" s="180" t="s">
        <v>59</v>
      </c>
      <c r="B16" s="209" t="s">
        <v>394</v>
      </c>
      <c r="C16" s="124">
        <v>2018</v>
      </c>
      <c r="D16" s="125" t="s">
        <v>462</v>
      </c>
      <c r="E16" s="180" t="s">
        <v>273</v>
      </c>
      <c r="F16" s="180" t="s">
        <v>314</v>
      </c>
      <c r="G16" s="180" t="s">
        <v>36</v>
      </c>
      <c r="H16" s="180" t="s">
        <v>168</v>
      </c>
      <c r="I16" s="180" t="s">
        <v>153</v>
      </c>
      <c r="J16" s="180" t="s">
        <v>38</v>
      </c>
      <c r="K16" s="180" t="s">
        <v>154</v>
      </c>
      <c r="L16" s="180">
        <v>3</v>
      </c>
      <c r="N16" s="180">
        <v>3</v>
      </c>
      <c r="O16" s="180">
        <v>0.62</v>
      </c>
      <c r="P16" s="180">
        <v>0.65</v>
      </c>
      <c r="Q16" s="217">
        <f t="shared" si="2"/>
        <v>0.63500000000000001</v>
      </c>
      <c r="R16" s="180">
        <v>16.2</v>
      </c>
      <c r="S16" s="180">
        <v>120</v>
      </c>
      <c r="T16" s="189">
        <f t="shared" si="0"/>
        <v>30</v>
      </c>
      <c r="U16" s="180">
        <v>399</v>
      </c>
      <c r="V16" s="189">
        <f t="shared" si="1"/>
        <v>16</v>
      </c>
      <c r="W16" s="180">
        <v>5</v>
      </c>
      <c r="X16" s="180" t="s">
        <v>39</v>
      </c>
      <c r="Y16" s="180" t="s">
        <v>90</v>
      </c>
      <c r="Z16" s="180" t="s">
        <v>102</v>
      </c>
      <c r="AA16" s="180" t="s">
        <v>78</v>
      </c>
      <c r="AB16" s="209" t="s">
        <v>463</v>
      </c>
      <c r="AE16" s="195" t="s">
        <v>82</v>
      </c>
      <c r="AG16" s="201"/>
      <c r="AH16" s="201"/>
      <c r="AP16" s="196" t="s">
        <v>80</v>
      </c>
      <c r="AR16" s="210" t="s">
        <v>63</v>
      </c>
      <c r="AV16" s="196" t="s">
        <v>84</v>
      </c>
    </row>
    <row r="17" spans="1:48" x14ac:dyDescent="0.15">
      <c r="A17" s="180" t="s">
        <v>59</v>
      </c>
      <c r="B17" s="209" t="s">
        <v>394</v>
      </c>
      <c r="C17" s="124">
        <v>2018</v>
      </c>
      <c r="D17" s="125" t="s">
        <v>462</v>
      </c>
      <c r="E17" s="180" t="s">
        <v>273</v>
      </c>
      <c r="F17" s="180" t="s">
        <v>314</v>
      </c>
      <c r="G17" s="180" t="s">
        <v>36</v>
      </c>
      <c r="H17" s="180" t="s">
        <v>155</v>
      </c>
      <c r="I17" s="180" t="s">
        <v>153</v>
      </c>
      <c r="J17" s="180" t="s">
        <v>38</v>
      </c>
      <c r="K17" s="180" t="s">
        <v>154</v>
      </c>
      <c r="L17" s="180">
        <v>1</v>
      </c>
      <c r="N17" s="180">
        <v>4</v>
      </c>
      <c r="O17" s="180">
        <v>0.85</v>
      </c>
      <c r="P17" s="180">
        <v>0.94</v>
      </c>
      <c r="Q17" s="217">
        <f t="shared" si="2"/>
        <v>0.89500000000000002</v>
      </c>
      <c r="R17" s="180">
        <v>12.8</v>
      </c>
      <c r="S17" s="180">
        <v>105</v>
      </c>
      <c r="T17" s="189">
        <f t="shared" si="0"/>
        <v>33</v>
      </c>
      <c r="U17" s="180">
        <v>399</v>
      </c>
      <c r="V17" s="189">
        <f t="shared" si="1"/>
        <v>16</v>
      </c>
      <c r="W17" s="180">
        <v>4</v>
      </c>
      <c r="X17" s="180" t="s">
        <v>39</v>
      </c>
      <c r="Y17" s="180" t="s">
        <v>90</v>
      </c>
      <c r="Z17" s="180" t="s">
        <v>102</v>
      </c>
      <c r="AA17" s="180" t="s">
        <v>78</v>
      </c>
      <c r="AB17" s="209" t="s">
        <v>463</v>
      </c>
      <c r="AE17" s="195" t="s">
        <v>85</v>
      </c>
      <c r="AP17" s="211" t="s">
        <v>110</v>
      </c>
      <c r="AR17" s="210" t="s">
        <v>96</v>
      </c>
      <c r="AV17" s="196" t="s">
        <v>86</v>
      </c>
    </row>
    <row r="18" spans="1:48" x14ac:dyDescent="0.15">
      <c r="A18" s="180" t="s">
        <v>59</v>
      </c>
      <c r="B18" s="209" t="s">
        <v>394</v>
      </c>
      <c r="C18" s="124">
        <v>2018</v>
      </c>
      <c r="D18" s="125" t="s">
        <v>462</v>
      </c>
      <c r="E18" s="180" t="s">
        <v>273</v>
      </c>
      <c r="F18" s="180" t="s">
        <v>314</v>
      </c>
      <c r="G18" s="180" t="s">
        <v>36</v>
      </c>
      <c r="H18" s="180" t="s">
        <v>155</v>
      </c>
      <c r="I18" s="180" t="s">
        <v>153</v>
      </c>
      <c r="J18" s="180" t="s">
        <v>38</v>
      </c>
      <c r="K18" s="180" t="s">
        <v>154</v>
      </c>
      <c r="L18" s="180">
        <v>2</v>
      </c>
      <c r="N18" s="180">
        <v>4</v>
      </c>
      <c r="O18" s="180">
        <v>0.98</v>
      </c>
      <c r="P18" s="180">
        <v>1</v>
      </c>
      <c r="Q18" s="217">
        <f t="shared" si="2"/>
        <v>0.99</v>
      </c>
      <c r="R18" s="180">
        <v>12.8</v>
      </c>
      <c r="S18" s="180">
        <v>100</v>
      </c>
      <c r="T18" s="189">
        <f t="shared" si="0"/>
        <v>33</v>
      </c>
      <c r="U18" s="180">
        <v>399</v>
      </c>
      <c r="V18" s="189">
        <f t="shared" si="1"/>
        <v>16</v>
      </c>
      <c r="W18" s="180">
        <v>4</v>
      </c>
      <c r="X18" s="180" t="s">
        <v>39</v>
      </c>
      <c r="Y18" s="180" t="s">
        <v>90</v>
      </c>
      <c r="Z18" s="180" t="s">
        <v>102</v>
      </c>
      <c r="AA18" s="180" t="s">
        <v>78</v>
      </c>
      <c r="AB18" s="209" t="s">
        <v>463</v>
      </c>
      <c r="AE18" s="195" t="s">
        <v>87</v>
      </c>
      <c r="AP18" s="211" t="s">
        <v>281</v>
      </c>
      <c r="AR18" s="210" t="s">
        <v>101</v>
      </c>
      <c r="AV18" s="196" t="s">
        <v>88</v>
      </c>
    </row>
    <row r="19" spans="1:48" x14ac:dyDescent="0.15">
      <c r="A19" s="180" t="s">
        <v>59</v>
      </c>
      <c r="B19" s="209" t="s">
        <v>384</v>
      </c>
      <c r="C19" s="124">
        <v>2018</v>
      </c>
      <c r="D19" s="125" t="s">
        <v>448</v>
      </c>
      <c r="E19" s="180" t="s">
        <v>273</v>
      </c>
      <c r="F19" s="180" t="s">
        <v>314</v>
      </c>
      <c r="G19" s="180" t="s">
        <v>36</v>
      </c>
      <c r="H19" s="180" t="s">
        <v>155</v>
      </c>
      <c r="I19" s="180" t="s">
        <v>153</v>
      </c>
      <c r="J19" s="180" t="s">
        <v>38</v>
      </c>
      <c r="K19" s="180" t="s">
        <v>154</v>
      </c>
      <c r="L19" s="180">
        <v>3</v>
      </c>
      <c r="N19" s="180">
        <v>4</v>
      </c>
      <c r="O19" s="180">
        <v>0.88</v>
      </c>
      <c r="P19" s="180">
        <v>0.89</v>
      </c>
      <c r="Q19" s="217">
        <f t="shared" si="2"/>
        <v>0.88500000000000001</v>
      </c>
      <c r="R19" s="180">
        <v>12.9</v>
      </c>
      <c r="S19" s="180">
        <v>100</v>
      </c>
      <c r="T19" s="189">
        <f t="shared" si="0"/>
        <v>33</v>
      </c>
      <c r="U19" s="180">
        <v>399</v>
      </c>
      <c r="V19" s="189">
        <f t="shared" si="1"/>
        <v>16</v>
      </c>
      <c r="W19" s="180">
        <v>4</v>
      </c>
      <c r="X19" s="180" t="s">
        <v>39</v>
      </c>
      <c r="Y19" s="180" t="s">
        <v>90</v>
      </c>
      <c r="Z19" s="180" t="s">
        <v>102</v>
      </c>
      <c r="AA19" s="180" t="s">
        <v>78</v>
      </c>
      <c r="AB19" s="209" t="s">
        <v>450</v>
      </c>
      <c r="AD19" s="209"/>
      <c r="AE19" s="208" t="s">
        <v>89</v>
      </c>
      <c r="AP19" s="211" t="s">
        <v>112</v>
      </c>
      <c r="AR19" s="203" t="s">
        <v>126</v>
      </c>
      <c r="AV19" s="196" t="s">
        <v>282</v>
      </c>
    </row>
    <row r="20" spans="1:48" x14ac:dyDescent="0.15">
      <c r="A20" s="180" t="s">
        <v>59</v>
      </c>
      <c r="B20" s="209" t="s">
        <v>464</v>
      </c>
      <c r="C20" s="124">
        <v>2018</v>
      </c>
      <c r="D20" s="125" t="s">
        <v>465</v>
      </c>
      <c r="E20" s="180" t="s">
        <v>326</v>
      </c>
      <c r="F20" s="180" t="s">
        <v>314</v>
      </c>
      <c r="G20" s="180" t="s">
        <v>36</v>
      </c>
      <c r="H20" s="180" t="s">
        <v>168</v>
      </c>
      <c r="I20" s="180" t="s">
        <v>153</v>
      </c>
      <c r="J20" s="180" t="s">
        <v>38</v>
      </c>
      <c r="K20" s="180" t="s">
        <v>154</v>
      </c>
      <c r="L20" s="180">
        <v>1</v>
      </c>
      <c r="N20" s="180">
        <v>4</v>
      </c>
      <c r="O20" s="180">
        <v>0.45</v>
      </c>
      <c r="P20" s="180">
        <v>0.54</v>
      </c>
      <c r="Q20" s="217">
        <f t="shared" si="2"/>
        <v>0.495</v>
      </c>
      <c r="R20" s="180">
        <v>16.399999999999999</v>
      </c>
      <c r="S20" s="180">
        <v>131</v>
      </c>
      <c r="T20" s="189">
        <f t="shared" si="0"/>
        <v>25</v>
      </c>
      <c r="U20" s="180">
        <v>645</v>
      </c>
      <c r="V20" s="189">
        <f t="shared" si="1"/>
        <v>16</v>
      </c>
      <c r="W20" s="180">
        <v>3</v>
      </c>
      <c r="X20" s="180" t="s">
        <v>46</v>
      </c>
      <c r="Y20" s="180" t="s">
        <v>78</v>
      </c>
      <c r="Z20" s="180" t="s">
        <v>102</v>
      </c>
      <c r="AA20" s="180" t="s">
        <v>90</v>
      </c>
      <c r="AB20" s="209" t="s">
        <v>466</v>
      </c>
      <c r="AD20" s="209"/>
      <c r="AE20" s="208"/>
      <c r="AP20" s="211" t="s">
        <v>113</v>
      </c>
      <c r="AR20" s="210" t="s">
        <v>105</v>
      </c>
      <c r="AV20" s="200" t="s">
        <v>467</v>
      </c>
    </row>
    <row r="21" spans="1:48" x14ac:dyDescent="0.15">
      <c r="A21" s="180" t="s">
        <v>59</v>
      </c>
      <c r="B21" s="209" t="s">
        <v>464</v>
      </c>
      <c r="C21" s="124">
        <v>2018</v>
      </c>
      <c r="D21" s="125" t="s">
        <v>465</v>
      </c>
      <c r="E21" s="180" t="s">
        <v>326</v>
      </c>
      <c r="F21" s="180" t="s">
        <v>314</v>
      </c>
      <c r="G21" s="180" t="s">
        <v>36</v>
      </c>
      <c r="H21" s="180" t="s">
        <v>168</v>
      </c>
      <c r="I21" s="180" t="s">
        <v>153</v>
      </c>
      <c r="J21" s="180" t="s">
        <v>38</v>
      </c>
      <c r="K21" s="180" t="s">
        <v>154</v>
      </c>
      <c r="L21" s="180">
        <v>2</v>
      </c>
      <c r="N21" s="180">
        <v>4</v>
      </c>
      <c r="O21" s="180">
        <v>0.38</v>
      </c>
      <c r="P21" s="180">
        <v>0.37</v>
      </c>
      <c r="Q21" s="217">
        <f t="shared" si="2"/>
        <v>0.375</v>
      </c>
      <c r="R21" s="180">
        <v>16.3</v>
      </c>
      <c r="S21" s="180">
        <v>138</v>
      </c>
      <c r="T21" s="189">
        <f t="shared" si="0"/>
        <v>22</v>
      </c>
      <c r="U21" s="180">
        <v>645</v>
      </c>
      <c r="V21" s="189">
        <f t="shared" si="1"/>
        <v>16</v>
      </c>
      <c r="W21" s="180">
        <v>3</v>
      </c>
      <c r="X21" s="180" t="s">
        <v>46</v>
      </c>
      <c r="Y21" s="180" t="s">
        <v>78</v>
      </c>
      <c r="Z21" s="180" t="s">
        <v>102</v>
      </c>
      <c r="AA21" s="180" t="s">
        <v>90</v>
      </c>
      <c r="AB21" s="209" t="s">
        <v>466</v>
      </c>
      <c r="AD21" s="209"/>
      <c r="AE21" s="201"/>
      <c r="AP21" s="211" t="s">
        <v>283</v>
      </c>
      <c r="AR21" s="210" t="s">
        <v>68</v>
      </c>
      <c r="AV21" s="200" t="s">
        <v>468</v>
      </c>
    </row>
    <row r="22" spans="1:48" x14ac:dyDescent="0.15">
      <c r="A22" s="180" t="s">
        <v>59</v>
      </c>
      <c r="B22" s="209" t="s">
        <v>464</v>
      </c>
      <c r="C22" s="124">
        <v>2018</v>
      </c>
      <c r="D22" s="125" t="s">
        <v>465</v>
      </c>
      <c r="E22" s="180" t="s">
        <v>326</v>
      </c>
      <c r="F22" s="180" t="s">
        <v>314</v>
      </c>
      <c r="G22" s="180" t="s">
        <v>36</v>
      </c>
      <c r="H22" s="180" t="s">
        <v>168</v>
      </c>
      <c r="I22" s="180" t="s">
        <v>153</v>
      </c>
      <c r="J22" s="180" t="s">
        <v>38</v>
      </c>
      <c r="K22" s="180" t="s">
        <v>154</v>
      </c>
      <c r="L22" s="180">
        <v>3</v>
      </c>
      <c r="N22" s="180">
        <v>4</v>
      </c>
      <c r="O22" s="180">
        <v>0.45</v>
      </c>
      <c r="P22" s="180">
        <v>0.53</v>
      </c>
      <c r="Q22" s="217">
        <f t="shared" si="2"/>
        <v>0.49</v>
      </c>
      <c r="R22" s="180">
        <v>16.100000000000001</v>
      </c>
      <c r="S22" s="180">
        <v>129</v>
      </c>
      <c r="T22" s="189">
        <f t="shared" si="0"/>
        <v>25</v>
      </c>
      <c r="U22" s="180">
        <v>645</v>
      </c>
      <c r="V22" s="189">
        <f t="shared" si="1"/>
        <v>16</v>
      </c>
      <c r="W22" s="180">
        <v>3</v>
      </c>
      <c r="X22" s="180" t="s">
        <v>46</v>
      </c>
      <c r="Y22" s="180" t="s">
        <v>78</v>
      </c>
      <c r="Z22" s="180" t="s">
        <v>102</v>
      </c>
      <c r="AA22" s="180" t="s">
        <v>90</v>
      </c>
      <c r="AB22" s="209" t="s">
        <v>466</v>
      </c>
      <c r="AD22" s="209"/>
      <c r="AP22" s="211" t="s">
        <v>280</v>
      </c>
      <c r="AR22" s="210" t="s">
        <v>83</v>
      </c>
      <c r="AV22" s="200" t="s">
        <v>284</v>
      </c>
    </row>
    <row r="23" spans="1:48" x14ac:dyDescent="0.15">
      <c r="A23" s="180" t="s">
        <v>59</v>
      </c>
      <c r="B23" s="209" t="s">
        <v>464</v>
      </c>
      <c r="C23" s="124">
        <v>2018</v>
      </c>
      <c r="D23" s="125" t="s">
        <v>465</v>
      </c>
      <c r="E23" s="180" t="s">
        <v>326</v>
      </c>
      <c r="F23" s="180" t="s">
        <v>314</v>
      </c>
      <c r="G23" s="180" t="s">
        <v>36</v>
      </c>
      <c r="H23" s="180" t="s">
        <v>155</v>
      </c>
      <c r="I23" s="180" t="s">
        <v>153</v>
      </c>
      <c r="J23" s="180" t="s">
        <v>38</v>
      </c>
      <c r="K23" s="180" t="s">
        <v>154</v>
      </c>
      <c r="L23" s="180">
        <v>1</v>
      </c>
      <c r="N23" s="180">
        <v>1</v>
      </c>
      <c r="O23" s="180">
        <v>0.6</v>
      </c>
      <c r="P23" s="180">
        <v>0.56999999999999995</v>
      </c>
      <c r="Q23" s="217">
        <f t="shared" si="2"/>
        <v>0.58499999999999996</v>
      </c>
      <c r="R23" s="180">
        <v>15.7</v>
      </c>
      <c r="S23" s="180">
        <v>126</v>
      </c>
      <c r="T23" s="189">
        <f t="shared" si="0"/>
        <v>27</v>
      </c>
      <c r="U23" s="180">
        <v>129</v>
      </c>
      <c r="V23" s="189">
        <f t="shared" si="1"/>
        <v>25</v>
      </c>
      <c r="W23" s="180">
        <v>2</v>
      </c>
      <c r="X23" s="180" t="s">
        <v>46</v>
      </c>
      <c r="Y23" s="180" t="s">
        <v>78</v>
      </c>
      <c r="Z23" s="180" t="s">
        <v>102</v>
      </c>
      <c r="AA23" s="180" t="s">
        <v>90</v>
      </c>
      <c r="AB23" s="209" t="s">
        <v>466</v>
      </c>
      <c r="AP23" s="211" t="s">
        <v>469</v>
      </c>
      <c r="AR23" s="210" t="s">
        <v>61</v>
      </c>
      <c r="AV23" s="200" t="s">
        <v>470</v>
      </c>
    </row>
    <row r="24" spans="1:48" x14ac:dyDescent="0.15">
      <c r="A24" s="180" t="s">
        <v>59</v>
      </c>
      <c r="B24" s="209" t="s">
        <v>464</v>
      </c>
      <c r="C24" s="124">
        <v>2018</v>
      </c>
      <c r="D24" s="125" t="s">
        <v>465</v>
      </c>
      <c r="E24" s="180" t="s">
        <v>326</v>
      </c>
      <c r="F24" s="180" t="s">
        <v>314</v>
      </c>
      <c r="G24" s="180" t="s">
        <v>36</v>
      </c>
      <c r="H24" s="180" t="s">
        <v>155</v>
      </c>
      <c r="I24" s="180" t="s">
        <v>153</v>
      </c>
      <c r="J24" s="180" t="s">
        <v>38</v>
      </c>
      <c r="K24" s="180" t="s">
        <v>154</v>
      </c>
      <c r="L24" s="180">
        <v>2</v>
      </c>
      <c r="N24" s="180">
        <v>1</v>
      </c>
      <c r="O24" s="180">
        <v>0.48</v>
      </c>
      <c r="P24" s="180">
        <v>0.5</v>
      </c>
      <c r="Q24" s="217">
        <f t="shared" si="2"/>
        <v>0.49</v>
      </c>
      <c r="R24" s="180">
        <v>15</v>
      </c>
      <c r="S24" s="180">
        <v>120</v>
      </c>
      <c r="T24" s="189">
        <f t="shared" si="0"/>
        <v>30</v>
      </c>
      <c r="U24" s="180">
        <v>129</v>
      </c>
      <c r="V24" s="189">
        <f t="shared" si="1"/>
        <v>25</v>
      </c>
      <c r="W24" s="180">
        <v>2</v>
      </c>
      <c r="X24" s="180" t="s">
        <v>46</v>
      </c>
      <c r="Y24" s="180" t="s">
        <v>78</v>
      </c>
      <c r="Z24" s="180" t="s">
        <v>102</v>
      </c>
      <c r="AA24" s="180" t="s">
        <v>90</v>
      </c>
      <c r="AB24" s="209" t="s">
        <v>466</v>
      </c>
      <c r="AP24" s="211" t="s">
        <v>471</v>
      </c>
      <c r="AR24" s="210" t="s">
        <v>91</v>
      </c>
      <c r="AV24" s="200" t="s">
        <v>472</v>
      </c>
    </row>
    <row r="25" spans="1:48" x14ac:dyDescent="0.15">
      <c r="A25" s="180" t="s">
        <v>59</v>
      </c>
      <c r="B25" s="209" t="s">
        <v>464</v>
      </c>
      <c r="C25" s="124">
        <v>2018</v>
      </c>
      <c r="D25" s="125" t="s">
        <v>465</v>
      </c>
      <c r="E25" s="180" t="s">
        <v>326</v>
      </c>
      <c r="F25" s="180" t="s">
        <v>314</v>
      </c>
      <c r="G25" s="180" t="s">
        <v>36</v>
      </c>
      <c r="H25" s="180" t="s">
        <v>155</v>
      </c>
      <c r="I25" s="180" t="s">
        <v>153</v>
      </c>
      <c r="J25" s="180" t="s">
        <v>38</v>
      </c>
      <c r="K25" s="180" t="s">
        <v>154</v>
      </c>
      <c r="L25" s="180">
        <v>3</v>
      </c>
      <c r="N25" s="180">
        <v>1</v>
      </c>
      <c r="O25" s="180">
        <v>0.45</v>
      </c>
      <c r="P25" s="180">
        <v>0.52</v>
      </c>
      <c r="Q25" s="217">
        <f t="shared" si="2"/>
        <v>0.48499999999999999</v>
      </c>
      <c r="R25" s="180">
        <v>15.2</v>
      </c>
      <c r="S25" s="180">
        <v>116</v>
      </c>
      <c r="T25" s="189">
        <f t="shared" si="0"/>
        <v>30</v>
      </c>
      <c r="U25" s="180">
        <v>129</v>
      </c>
      <c r="V25" s="189">
        <f t="shared" si="1"/>
        <v>25</v>
      </c>
      <c r="W25" s="180">
        <v>2</v>
      </c>
      <c r="X25" s="180" t="s">
        <v>46</v>
      </c>
      <c r="Y25" s="180" t="s">
        <v>78</v>
      </c>
      <c r="Z25" s="180" t="s">
        <v>102</v>
      </c>
      <c r="AA25" s="180" t="s">
        <v>90</v>
      </c>
      <c r="AB25" s="209" t="s">
        <v>466</v>
      </c>
      <c r="AD25" s="209"/>
      <c r="AP25" s="211" t="s">
        <v>116</v>
      </c>
      <c r="AR25" s="42" t="s">
        <v>92</v>
      </c>
      <c r="AV25" s="200" t="s">
        <v>473</v>
      </c>
    </row>
    <row r="26" spans="1:48" x14ac:dyDescent="0.15">
      <c r="A26" s="180" t="s">
        <v>59</v>
      </c>
      <c r="B26" s="209" t="s">
        <v>464</v>
      </c>
      <c r="C26" s="124">
        <v>2018</v>
      </c>
      <c r="D26" s="125" t="s">
        <v>465</v>
      </c>
      <c r="E26" s="180" t="s">
        <v>325</v>
      </c>
      <c r="F26" s="180" t="s">
        <v>317</v>
      </c>
      <c r="G26" s="180" t="s">
        <v>36</v>
      </c>
      <c r="H26" s="180" t="s">
        <v>168</v>
      </c>
      <c r="I26" s="180" t="s">
        <v>153</v>
      </c>
      <c r="J26" s="180" t="s">
        <v>38</v>
      </c>
      <c r="K26" s="180" t="s">
        <v>154</v>
      </c>
      <c r="L26" s="180">
        <v>1</v>
      </c>
      <c r="N26" s="180">
        <v>2</v>
      </c>
      <c r="O26" s="180">
        <v>0.64</v>
      </c>
      <c r="P26" s="180">
        <v>0.63</v>
      </c>
      <c r="Q26" s="217">
        <f t="shared" si="2"/>
        <v>0.63500000000000001</v>
      </c>
      <c r="R26" s="180">
        <v>16.399999999999999</v>
      </c>
      <c r="S26" s="180">
        <v>173</v>
      </c>
      <c r="T26" s="189">
        <f t="shared" si="0"/>
        <v>18</v>
      </c>
      <c r="U26" s="180">
        <v>398</v>
      </c>
      <c r="V26" s="189">
        <f t="shared" si="1"/>
        <v>16</v>
      </c>
      <c r="W26" s="180">
        <v>3</v>
      </c>
      <c r="X26" s="180" t="s">
        <v>39</v>
      </c>
      <c r="Y26" s="180" t="s">
        <v>102</v>
      </c>
      <c r="Z26" s="180" t="s">
        <v>90</v>
      </c>
      <c r="AA26" s="180" t="s">
        <v>88</v>
      </c>
      <c r="AB26" s="209" t="s">
        <v>466</v>
      </c>
      <c r="AD26" s="209"/>
      <c r="AP26" s="211" t="s">
        <v>117</v>
      </c>
      <c r="AR26" s="200" t="s">
        <v>285</v>
      </c>
      <c r="AV26" s="200"/>
    </row>
    <row r="27" spans="1:48" x14ac:dyDescent="0.15">
      <c r="A27" s="180" t="s">
        <v>59</v>
      </c>
      <c r="B27" s="209" t="s">
        <v>464</v>
      </c>
      <c r="C27" s="124">
        <v>2018</v>
      </c>
      <c r="D27" s="125" t="s">
        <v>465</v>
      </c>
      <c r="E27" s="180" t="s">
        <v>325</v>
      </c>
      <c r="F27" s="180" t="s">
        <v>317</v>
      </c>
      <c r="G27" s="180" t="s">
        <v>36</v>
      </c>
      <c r="H27" s="180" t="s">
        <v>168</v>
      </c>
      <c r="I27" s="180" t="s">
        <v>153</v>
      </c>
      <c r="J27" s="180" t="s">
        <v>38</v>
      </c>
      <c r="K27" s="180" t="s">
        <v>154</v>
      </c>
      <c r="L27" s="180">
        <v>2</v>
      </c>
      <c r="N27" s="180">
        <v>2</v>
      </c>
      <c r="O27" s="180">
        <v>0.4</v>
      </c>
      <c r="P27" s="180">
        <v>0.46</v>
      </c>
      <c r="Q27" s="217">
        <f t="shared" si="2"/>
        <v>0.43000000000000005</v>
      </c>
      <c r="R27" s="180">
        <v>16.600000000000001</v>
      </c>
      <c r="S27" s="180">
        <v>166</v>
      </c>
      <c r="T27" s="189">
        <f t="shared" si="0"/>
        <v>18</v>
      </c>
      <c r="U27" s="180">
        <v>398</v>
      </c>
      <c r="V27" s="189">
        <f t="shared" si="1"/>
        <v>16</v>
      </c>
      <c r="W27" s="180">
        <v>3</v>
      </c>
      <c r="X27" s="180" t="s">
        <v>39</v>
      </c>
      <c r="Y27" s="180" t="s">
        <v>102</v>
      </c>
      <c r="Z27" s="180" t="s">
        <v>90</v>
      </c>
      <c r="AA27" s="180" t="s">
        <v>88</v>
      </c>
      <c r="AB27" s="209" t="s">
        <v>466</v>
      </c>
      <c r="AD27" s="209"/>
      <c r="AP27" s="211" t="s">
        <v>118</v>
      </c>
      <c r="AR27" s="201" t="s">
        <v>298</v>
      </c>
      <c r="AV27" s="200"/>
    </row>
    <row r="28" spans="1:48" x14ac:dyDescent="0.15">
      <c r="A28" s="180" t="s">
        <v>59</v>
      </c>
      <c r="B28" s="209" t="s">
        <v>464</v>
      </c>
      <c r="C28" s="124">
        <v>2018</v>
      </c>
      <c r="D28" s="125" t="s">
        <v>465</v>
      </c>
      <c r="E28" s="180" t="s">
        <v>325</v>
      </c>
      <c r="F28" s="180" t="s">
        <v>317</v>
      </c>
      <c r="G28" s="180" t="s">
        <v>36</v>
      </c>
      <c r="H28" s="180" t="s">
        <v>168</v>
      </c>
      <c r="I28" s="180" t="s">
        <v>153</v>
      </c>
      <c r="J28" s="180" t="s">
        <v>38</v>
      </c>
      <c r="K28" s="180" t="s">
        <v>154</v>
      </c>
      <c r="L28" s="180">
        <v>3</v>
      </c>
      <c r="N28" s="180">
        <v>2</v>
      </c>
      <c r="O28" s="180">
        <v>0.48</v>
      </c>
      <c r="P28" s="180">
        <v>0.53</v>
      </c>
      <c r="Q28" s="217">
        <f t="shared" si="2"/>
        <v>0.505</v>
      </c>
      <c r="R28" s="180">
        <v>16.399999999999999</v>
      </c>
      <c r="S28" s="180">
        <v>170</v>
      </c>
      <c r="T28" s="189">
        <f t="shared" si="0"/>
        <v>18</v>
      </c>
      <c r="U28" s="180">
        <v>398</v>
      </c>
      <c r="V28" s="189">
        <f t="shared" si="1"/>
        <v>16</v>
      </c>
      <c r="W28" s="180">
        <v>3</v>
      </c>
      <c r="X28" s="180" t="s">
        <v>39</v>
      </c>
      <c r="Y28" s="180" t="s">
        <v>102</v>
      </c>
      <c r="Z28" s="180" t="s">
        <v>90</v>
      </c>
      <c r="AA28" s="180" t="s">
        <v>88</v>
      </c>
      <c r="AB28" s="209" t="s">
        <v>466</v>
      </c>
      <c r="AD28" s="209"/>
      <c r="AV28" s="200"/>
    </row>
    <row r="29" spans="1:48" x14ac:dyDescent="0.15">
      <c r="A29" s="180" t="s">
        <v>59</v>
      </c>
      <c r="B29" s="209" t="s">
        <v>464</v>
      </c>
      <c r="C29" s="124">
        <v>2018</v>
      </c>
      <c r="D29" s="125" t="s">
        <v>465</v>
      </c>
      <c r="E29" s="180" t="s">
        <v>325</v>
      </c>
      <c r="F29" s="180" t="s">
        <v>317</v>
      </c>
      <c r="G29" s="180" t="s">
        <v>36</v>
      </c>
      <c r="H29" s="180" t="s">
        <v>155</v>
      </c>
      <c r="I29" s="180" t="s">
        <v>153</v>
      </c>
      <c r="J29" s="180" t="s">
        <v>38</v>
      </c>
      <c r="K29" s="180" t="s">
        <v>154</v>
      </c>
      <c r="L29" s="180">
        <v>1</v>
      </c>
      <c r="N29" s="180">
        <v>1</v>
      </c>
      <c r="O29" s="180">
        <v>1.03</v>
      </c>
      <c r="P29" s="180">
        <v>1.01</v>
      </c>
      <c r="Q29" s="217">
        <f t="shared" si="2"/>
        <v>1.02</v>
      </c>
      <c r="R29" s="180">
        <v>13.4</v>
      </c>
      <c r="S29" s="180">
        <v>146</v>
      </c>
      <c r="T29" s="189">
        <f t="shared" si="0"/>
        <v>22</v>
      </c>
      <c r="U29" s="180">
        <v>128</v>
      </c>
      <c r="V29" s="189">
        <f t="shared" si="1"/>
        <v>27</v>
      </c>
      <c r="W29" s="180">
        <v>3</v>
      </c>
      <c r="X29" s="180" t="s">
        <v>39</v>
      </c>
      <c r="Y29" s="180" t="s">
        <v>102</v>
      </c>
      <c r="Z29" s="180" t="s">
        <v>90</v>
      </c>
      <c r="AA29" s="180" t="s">
        <v>88</v>
      </c>
      <c r="AB29" s="209" t="s">
        <v>466</v>
      </c>
      <c r="AV29" s="200"/>
    </row>
    <row r="30" spans="1:48" x14ac:dyDescent="0.15">
      <c r="A30" s="180" t="s">
        <v>59</v>
      </c>
      <c r="B30" s="209" t="s">
        <v>464</v>
      </c>
      <c r="C30" s="124">
        <v>2018</v>
      </c>
      <c r="D30" s="125" t="s">
        <v>465</v>
      </c>
      <c r="E30" s="180" t="s">
        <v>325</v>
      </c>
      <c r="F30" s="180" t="s">
        <v>317</v>
      </c>
      <c r="G30" s="180" t="s">
        <v>36</v>
      </c>
      <c r="H30" s="180" t="s">
        <v>155</v>
      </c>
      <c r="I30" s="180" t="s">
        <v>153</v>
      </c>
      <c r="J30" s="180" t="s">
        <v>38</v>
      </c>
      <c r="K30" s="180" t="s">
        <v>154</v>
      </c>
      <c r="L30" s="180">
        <v>2</v>
      </c>
      <c r="N30" s="180">
        <v>1</v>
      </c>
      <c r="O30" s="180">
        <v>0.94</v>
      </c>
      <c r="P30" s="180">
        <v>0.98</v>
      </c>
      <c r="Q30" s="217">
        <f t="shared" si="2"/>
        <v>0.96</v>
      </c>
      <c r="R30" s="180">
        <v>13.8</v>
      </c>
      <c r="S30" s="180">
        <v>146</v>
      </c>
      <c r="T30" s="189">
        <f t="shared" si="0"/>
        <v>22</v>
      </c>
      <c r="U30" s="180">
        <v>128</v>
      </c>
      <c r="V30" s="189">
        <f t="shared" si="1"/>
        <v>27</v>
      </c>
      <c r="W30" s="180">
        <v>3</v>
      </c>
      <c r="X30" s="180" t="s">
        <v>39</v>
      </c>
      <c r="Y30" s="180" t="s">
        <v>102</v>
      </c>
      <c r="Z30" s="180" t="s">
        <v>90</v>
      </c>
      <c r="AA30" s="180" t="s">
        <v>88</v>
      </c>
      <c r="AB30" s="209" t="s">
        <v>466</v>
      </c>
      <c r="AV30" s="200"/>
    </row>
    <row r="31" spans="1:48" x14ac:dyDescent="0.15">
      <c r="A31" s="180" t="s">
        <v>59</v>
      </c>
      <c r="B31" s="209" t="s">
        <v>464</v>
      </c>
      <c r="C31" s="124">
        <v>2018</v>
      </c>
      <c r="D31" s="125" t="s">
        <v>465</v>
      </c>
      <c r="E31" s="180" t="s">
        <v>325</v>
      </c>
      <c r="F31" s="180" t="s">
        <v>317</v>
      </c>
      <c r="G31" s="180" t="s">
        <v>36</v>
      </c>
      <c r="H31" s="180" t="s">
        <v>155</v>
      </c>
      <c r="I31" s="180" t="s">
        <v>153</v>
      </c>
      <c r="J31" s="180" t="s">
        <v>38</v>
      </c>
      <c r="K31" s="180" t="s">
        <v>154</v>
      </c>
      <c r="L31" s="180">
        <v>3</v>
      </c>
      <c r="N31" s="180">
        <v>1</v>
      </c>
      <c r="O31" s="180">
        <v>0.97</v>
      </c>
      <c r="P31" s="180">
        <v>0.95</v>
      </c>
      <c r="Q31" s="217">
        <f t="shared" si="2"/>
        <v>0.96</v>
      </c>
      <c r="R31" s="180">
        <v>13.5</v>
      </c>
      <c r="S31" s="180">
        <v>140</v>
      </c>
      <c r="T31" s="189">
        <f t="shared" si="0"/>
        <v>22</v>
      </c>
      <c r="U31" s="180">
        <v>128</v>
      </c>
      <c r="V31" s="189">
        <f t="shared" si="1"/>
        <v>27</v>
      </c>
      <c r="W31" s="180">
        <v>3</v>
      </c>
      <c r="X31" s="180" t="s">
        <v>39</v>
      </c>
      <c r="Y31" s="180" t="s">
        <v>102</v>
      </c>
      <c r="Z31" s="180" t="s">
        <v>90</v>
      </c>
      <c r="AA31" s="180" t="s">
        <v>88</v>
      </c>
      <c r="AB31" s="209" t="s">
        <v>466</v>
      </c>
      <c r="AV31" s="200"/>
    </row>
    <row r="32" spans="1:48" x14ac:dyDescent="0.15">
      <c r="A32" s="180" t="s">
        <v>59</v>
      </c>
      <c r="B32" s="209" t="s">
        <v>464</v>
      </c>
      <c r="C32" s="124">
        <v>2018</v>
      </c>
      <c r="D32" s="125" t="s">
        <v>465</v>
      </c>
      <c r="E32" s="180" t="s">
        <v>324</v>
      </c>
      <c r="F32" s="180" t="s">
        <v>317</v>
      </c>
      <c r="G32" s="180" t="s">
        <v>36</v>
      </c>
      <c r="H32" s="180" t="s">
        <v>168</v>
      </c>
      <c r="I32" s="180" t="s">
        <v>153</v>
      </c>
      <c r="J32" s="180" t="s">
        <v>38</v>
      </c>
      <c r="K32" s="180" t="s">
        <v>154</v>
      </c>
      <c r="L32" s="180">
        <v>1</v>
      </c>
      <c r="N32" s="180">
        <v>3</v>
      </c>
      <c r="O32" s="180">
        <v>0.47</v>
      </c>
      <c r="P32" s="180">
        <v>0.44</v>
      </c>
      <c r="Q32" s="217">
        <f t="shared" si="2"/>
        <v>0.45499999999999996</v>
      </c>
      <c r="R32" s="180">
        <v>15.8</v>
      </c>
      <c r="S32" s="180">
        <v>110</v>
      </c>
      <c r="T32" s="189">
        <f t="shared" si="0"/>
        <v>33</v>
      </c>
      <c r="U32" s="180">
        <v>429</v>
      </c>
      <c r="V32" s="189">
        <f t="shared" si="1"/>
        <v>16</v>
      </c>
      <c r="W32" s="180">
        <v>5</v>
      </c>
      <c r="X32" s="180" t="s">
        <v>46</v>
      </c>
      <c r="Y32" s="180" t="s">
        <v>78</v>
      </c>
      <c r="Z32" s="180" t="s">
        <v>90</v>
      </c>
      <c r="AA32" s="180" t="s">
        <v>69</v>
      </c>
      <c r="AB32" s="209" t="s">
        <v>466</v>
      </c>
      <c r="AV32" s="200"/>
    </row>
    <row r="33" spans="1:48" x14ac:dyDescent="0.15">
      <c r="A33" s="180" t="s">
        <v>59</v>
      </c>
      <c r="B33" s="209" t="s">
        <v>464</v>
      </c>
      <c r="C33" s="124">
        <v>2018</v>
      </c>
      <c r="D33" s="125" t="s">
        <v>465</v>
      </c>
      <c r="E33" s="180" t="s">
        <v>324</v>
      </c>
      <c r="F33" s="180" t="s">
        <v>317</v>
      </c>
      <c r="G33" s="180" t="s">
        <v>36</v>
      </c>
      <c r="H33" s="180" t="s">
        <v>168</v>
      </c>
      <c r="I33" s="180" t="s">
        <v>153</v>
      </c>
      <c r="J33" s="180" t="s">
        <v>38</v>
      </c>
      <c r="K33" s="180" t="s">
        <v>154</v>
      </c>
      <c r="L33" s="180">
        <v>2</v>
      </c>
      <c r="N33" s="180">
        <v>3</v>
      </c>
      <c r="O33" s="180">
        <v>0.41</v>
      </c>
      <c r="P33" s="180">
        <v>0.55000000000000004</v>
      </c>
      <c r="Q33" s="217">
        <f t="shared" si="2"/>
        <v>0.48</v>
      </c>
      <c r="R33" s="180">
        <v>15.3</v>
      </c>
      <c r="S33" s="180">
        <v>111</v>
      </c>
      <c r="T33" s="189">
        <f t="shared" si="0"/>
        <v>33</v>
      </c>
      <c r="U33" s="180">
        <v>429</v>
      </c>
      <c r="V33" s="189">
        <f t="shared" si="1"/>
        <v>16</v>
      </c>
      <c r="W33" s="180">
        <v>5</v>
      </c>
      <c r="X33" s="180" t="s">
        <v>46</v>
      </c>
      <c r="Y33" s="180" t="s">
        <v>78</v>
      </c>
      <c r="Z33" s="180" t="s">
        <v>90</v>
      </c>
      <c r="AA33" s="180" t="s">
        <v>69</v>
      </c>
      <c r="AB33" s="209" t="s">
        <v>466</v>
      </c>
      <c r="AV33" s="200"/>
    </row>
    <row r="34" spans="1:48" x14ac:dyDescent="0.15">
      <c r="A34" s="180" t="s">
        <v>59</v>
      </c>
      <c r="B34" s="209" t="s">
        <v>464</v>
      </c>
      <c r="C34" s="124">
        <v>2018</v>
      </c>
      <c r="D34" s="125" t="s">
        <v>465</v>
      </c>
      <c r="E34" s="180" t="s">
        <v>324</v>
      </c>
      <c r="F34" s="180" t="s">
        <v>317</v>
      </c>
      <c r="G34" s="180" t="s">
        <v>36</v>
      </c>
      <c r="H34" s="180" t="s">
        <v>168</v>
      </c>
      <c r="I34" s="180" t="s">
        <v>153</v>
      </c>
      <c r="J34" s="180" t="s">
        <v>38</v>
      </c>
      <c r="K34" s="180" t="s">
        <v>154</v>
      </c>
      <c r="L34" s="180">
        <v>3</v>
      </c>
      <c r="N34" s="180">
        <v>3</v>
      </c>
      <c r="O34" s="180">
        <v>0.44</v>
      </c>
      <c r="P34" s="180">
        <v>0.47</v>
      </c>
      <c r="Q34" s="217">
        <f t="shared" si="2"/>
        <v>0.45499999999999996</v>
      </c>
      <c r="R34" s="180">
        <v>15.7</v>
      </c>
      <c r="S34" s="180">
        <v>113</v>
      </c>
      <c r="T34" s="189">
        <f t="shared" si="0"/>
        <v>30</v>
      </c>
      <c r="U34" s="180">
        <v>429</v>
      </c>
      <c r="V34" s="189">
        <f t="shared" si="1"/>
        <v>16</v>
      </c>
      <c r="W34" s="180">
        <v>5</v>
      </c>
      <c r="X34" s="180" t="s">
        <v>46</v>
      </c>
      <c r="Y34" s="180" t="s">
        <v>78</v>
      </c>
      <c r="Z34" s="180" t="s">
        <v>90</v>
      </c>
      <c r="AA34" s="180" t="s">
        <v>69</v>
      </c>
      <c r="AB34" s="209" t="s">
        <v>466</v>
      </c>
      <c r="AV34" s="200"/>
    </row>
    <row r="35" spans="1:48" x14ac:dyDescent="0.15">
      <c r="A35" s="180" t="s">
        <v>59</v>
      </c>
      <c r="B35" s="209" t="s">
        <v>464</v>
      </c>
      <c r="C35" s="124">
        <v>2018</v>
      </c>
      <c r="D35" s="125" t="s">
        <v>465</v>
      </c>
      <c r="E35" s="180" t="s">
        <v>324</v>
      </c>
      <c r="F35" s="180" t="s">
        <v>317</v>
      </c>
      <c r="G35" s="180" t="s">
        <v>36</v>
      </c>
      <c r="H35" s="180" t="s">
        <v>155</v>
      </c>
      <c r="I35" s="180" t="s">
        <v>153</v>
      </c>
      <c r="J35" s="180" t="s">
        <v>38</v>
      </c>
      <c r="K35" s="180" t="s">
        <v>154</v>
      </c>
      <c r="L35" s="180">
        <v>1</v>
      </c>
      <c r="N35" s="180">
        <v>3</v>
      </c>
      <c r="O35" s="180">
        <v>0.67</v>
      </c>
      <c r="P35" s="180">
        <v>0.68</v>
      </c>
      <c r="Q35" s="217">
        <f t="shared" si="2"/>
        <v>0.67500000000000004</v>
      </c>
      <c r="R35" s="180">
        <v>15.5</v>
      </c>
      <c r="S35" s="180">
        <v>114</v>
      </c>
      <c r="T35" s="189">
        <f t="shared" si="0"/>
        <v>30</v>
      </c>
      <c r="U35" s="180">
        <v>321</v>
      </c>
      <c r="V35" s="189">
        <f t="shared" si="1"/>
        <v>16</v>
      </c>
      <c r="W35" s="180">
        <v>5</v>
      </c>
      <c r="X35" s="180" t="s">
        <v>46</v>
      </c>
      <c r="Y35" s="180" t="s">
        <v>78</v>
      </c>
      <c r="Z35" s="180" t="s">
        <v>90</v>
      </c>
      <c r="AA35" s="180" t="s">
        <v>69</v>
      </c>
      <c r="AB35" s="209" t="s">
        <v>466</v>
      </c>
      <c r="AV35" s="200"/>
    </row>
    <row r="36" spans="1:48" x14ac:dyDescent="0.15">
      <c r="A36" s="180" t="s">
        <v>59</v>
      </c>
      <c r="B36" s="209" t="s">
        <v>464</v>
      </c>
      <c r="C36" s="124">
        <v>2018</v>
      </c>
      <c r="D36" s="125" t="s">
        <v>465</v>
      </c>
      <c r="E36" s="180" t="s">
        <v>324</v>
      </c>
      <c r="F36" s="180" t="s">
        <v>317</v>
      </c>
      <c r="G36" s="180" t="s">
        <v>36</v>
      </c>
      <c r="H36" s="180" t="s">
        <v>155</v>
      </c>
      <c r="I36" s="180" t="s">
        <v>153</v>
      </c>
      <c r="J36" s="180" t="s">
        <v>38</v>
      </c>
      <c r="K36" s="180" t="s">
        <v>154</v>
      </c>
      <c r="L36" s="180">
        <v>2</v>
      </c>
      <c r="N36" s="180">
        <v>3</v>
      </c>
      <c r="O36" s="180">
        <v>0.88</v>
      </c>
      <c r="P36" s="180">
        <v>0.93</v>
      </c>
      <c r="Q36" s="217">
        <f t="shared" si="2"/>
        <v>0.90500000000000003</v>
      </c>
      <c r="R36" s="180">
        <v>14.3</v>
      </c>
      <c r="S36" s="180">
        <v>115</v>
      </c>
      <c r="T36" s="189">
        <f t="shared" si="0"/>
        <v>30</v>
      </c>
      <c r="U36" s="180">
        <v>321</v>
      </c>
      <c r="V36" s="189">
        <f t="shared" si="1"/>
        <v>16</v>
      </c>
      <c r="W36" s="180">
        <v>5</v>
      </c>
      <c r="X36" s="180" t="s">
        <v>46</v>
      </c>
      <c r="Y36" s="180" t="s">
        <v>78</v>
      </c>
      <c r="Z36" s="180" t="s">
        <v>90</v>
      </c>
      <c r="AA36" s="180" t="s">
        <v>69</v>
      </c>
      <c r="AB36" s="209" t="s">
        <v>466</v>
      </c>
      <c r="AV36" s="200"/>
    </row>
    <row r="37" spans="1:48" x14ac:dyDescent="0.15">
      <c r="A37" s="180" t="s">
        <v>59</v>
      </c>
      <c r="B37" s="209" t="s">
        <v>464</v>
      </c>
      <c r="C37" s="124">
        <v>2018</v>
      </c>
      <c r="D37" s="125" t="s">
        <v>465</v>
      </c>
      <c r="E37" s="180" t="s">
        <v>324</v>
      </c>
      <c r="F37" s="180" t="s">
        <v>317</v>
      </c>
      <c r="G37" s="180" t="s">
        <v>36</v>
      </c>
      <c r="H37" s="180" t="s">
        <v>155</v>
      </c>
      <c r="I37" s="180" t="s">
        <v>153</v>
      </c>
      <c r="J37" s="180" t="s">
        <v>38</v>
      </c>
      <c r="K37" s="180" t="s">
        <v>154</v>
      </c>
      <c r="L37" s="180">
        <v>3</v>
      </c>
      <c r="N37" s="180">
        <v>3</v>
      </c>
      <c r="O37" s="180">
        <v>0.69</v>
      </c>
      <c r="P37" s="180">
        <v>0.77</v>
      </c>
      <c r="Q37" s="217">
        <f t="shared" si="2"/>
        <v>0.73</v>
      </c>
      <c r="R37" s="180">
        <v>15.1</v>
      </c>
      <c r="S37" s="180">
        <v>107</v>
      </c>
      <c r="T37" s="189">
        <f t="shared" si="0"/>
        <v>33</v>
      </c>
      <c r="U37" s="180">
        <v>321</v>
      </c>
      <c r="V37" s="189">
        <f t="shared" si="1"/>
        <v>16</v>
      </c>
      <c r="W37" s="180">
        <v>5</v>
      </c>
      <c r="X37" s="180" t="s">
        <v>46</v>
      </c>
      <c r="Y37" s="180" t="s">
        <v>78</v>
      </c>
      <c r="Z37" s="180" t="s">
        <v>90</v>
      </c>
      <c r="AA37" s="180" t="s">
        <v>69</v>
      </c>
      <c r="AB37" s="209" t="s">
        <v>466</v>
      </c>
      <c r="AV37" s="200"/>
    </row>
    <row r="38" spans="1:48" x14ac:dyDescent="0.15">
      <c r="A38" s="180" t="s">
        <v>59</v>
      </c>
      <c r="B38" s="209" t="s">
        <v>464</v>
      </c>
      <c r="C38" s="124">
        <v>2018</v>
      </c>
      <c r="D38" s="125" t="s">
        <v>465</v>
      </c>
      <c r="E38" s="180" t="s">
        <v>323</v>
      </c>
      <c r="F38" s="180" t="s">
        <v>316</v>
      </c>
      <c r="G38" s="180" t="s">
        <v>36</v>
      </c>
      <c r="H38" s="180" t="s">
        <v>168</v>
      </c>
      <c r="I38" s="180" t="s">
        <v>153</v>
      </c>
      <c r="J38" s="180" t="s">
        <v>38</v>
      </c>
      <c r="K38" s="180" t="s">
        <v>154</v>
      </c>
      <c r="L38" s="180">
        <v>1</v>
      </c>
      <c r="N38" s="180">
        <v>3</v>
      </c>
      <c r="O38" s="180">
        <v>0.45</v>
      </c>
      <c r="P38" s="180">
        <v>0.47</v>
      </c>
      <c r="Q38" s="217">
        <f t="shared" si="2"/>
        <v>0.45999999999999996</v>
      </c>
      <c r="R38" s="180">
        <v>15.8</v>
      </c>
      <c r="S38" s="180">
        <v>128</v>
      </c>
      <c r="T38" s="189">
        <f t="shared" si="0"/>
        <v>27</v>
      </c>
      <c r="U38" s="180">
        <v>480</v>
      </c>
      <c r="V38" s="189">
        <f t="shared" si="1"/>
        <v>16</v>
      </c>
      <c r="W38" s="180">
        <v>16</v>
      </c>
      <c r="X38" s="180" t="s">
        <v>46</v>
      </c>
      <c r="Y38" s="180" t="s">
        <v>55</v>
      </c>
      <c r="Z38" s="180" t="s">
        <v>69</v>
      </c>
      <c r="AA38" s="180" t="s">
        <v>90</v>
      </c>
      <c r="AB38" s="209" t="s">
        <v>474</v>
      </c>
      <c r="AV38" s="201"/>
    </row>
    <row r="39" spans="1:48" x14ac:dyDescent="0.15">
      <c r="A39" s="180" t="s">
        <v>59</v>
      </c>
      <c r="B39" s="209" t="s">
        <v>452</v>
      </c>
      <c r="C39" s="124">
        <v>2018</v>
      </c>
      <c r="D39" s="125" t="s">
        <v>453</v>
      </c>
      <c r="E39" s="180" t="s">
        <v>323</v>
      </c>
      <c r="F39" s="180" t="s">
        <v>316</v>
      </c>
      <c r="G39" s="180" t="s">
        <v>36</v>
      </c>
      <c r="H39" s="180" t="s">
        <v>168</v>
      </c>
      <c r="I39" s="180" t="s">
        <v>153</v>
      </c>
      <c r="J39" s="180" t="s">
        <v>38</v>
      </c>
      <c r="K39" s="180" t="s">
        <v>154</v>
      </c>
      <c r="L39" s="180">
        <v>2</v>
      </c>
      <c r="N39" s="180">
        <v>3</v>
      </c>
      <c r="O39" s="180">
        <v>0.55000000000000004</v>
      </c>
      <c r="P39" s="180">
        <v>0.43</v>
      </c>
      <c r="Q39" s="217">
        <f t="shared" si="2"/>
        <v>0.49</v>
      </c>
      <c r="R39" s="180">
        <v>15.1</v>
      </c>
      <c r="S39" s="180">
        <v>131</v>
      </c>
      <c r="T39" s="189">
        <f t="shared" si="0"/>
        <v>25</v>
      </c>
      <c r="U39" s="180">
        <v>480</v>
      </c>
      <c r="V39" s="189">
        <f t="shared" si="1"/>
        <v>16</v>
      </c>
      <c r="W39" s="180">
        <v>16</v>
      </c>
      <c r="X39" s="180" t="s">
        <v>46</v>
      </c>
      <c r="Y39" s="180" t="s">
        <v>55</v>
      </c>
      <c r="Z39" s="180" t="s">
        <v>69</v>
      </c>
      <c r="AA39" s="180" t="s">
        <v>90</v>
      </c>
      <c r="AB39" s="209" t="s">
        <v>474</v>
      </c>
    </row>
    <row r="40" spans="1:48" x14ac:dyDescent="0.15">
      <c r="A40" s="180" t="s">
        <v>59</v>
      </c>
      <c r="B40" s="209" t="s">
        <v>452</v>
      </c>
      <c r="C40" s="124">
        <v>2018</v>
      </c>
      <c r="D40" s="125" t="s">
        <v>453</v>
      </c>
      <c r="E40" s="180" t="s">
        <v>323</v>
      </c>
      <c r="F40" s="180" t="s">
        <v>316</v>
      </c>
      <c r="G40" s="180" t="s">
        <v>36</v>
      </c>
      <c r="H40" s="180" t="s">
        <v>168</v>
      </c>
      <c r="I40" s="180" t="s">
        <v>153</v>
      </c>
      <c r="J40" s="180" t="s">
        <v>38</v>
      </c>
      <c r="K40" s="180" t="s">
        <v>154</v>
      </c>
      <c r="L40" s="180">
        <v>3</v>
      </c>
      <c r="N40" s="180">
        <v>3</v>
      </c>
      <c r="O40" s="180">
        <v>0.47</v>
      </c>
      <c r="P40" s="180">
        <v>0.45</v>
      </c>
      <c r="Q40" s="217">
        <f t="shared" si="2"/>
        <v>0.45999999999999996</v>
      </c>
      <c r="R40" s="180">
        <v>15.9</v>
      </c>
      <c r="S40" s="180">
        <v>132</v>
      </c>
      <c r="T40" s="189">
        <f t="shared" si="0"/>
        <v>25</v>
      </c>
      <c r="U40" s="180">
        <v>480</v>
      </c>
      <c r="V40" s="189">
        <f t="shared" si="1"/>
        <v>16</v>
      </c>
      <c r="W40" s="180">
        <v>16</v>
      </c>
      <c r="X40" s="180" t="s">
        <v>46</v>
      </c>
      <c r="Y40" s="180" t="s">
        <v>55</v>
      </c>
      <c r="Z40" s="180" t="s">
        <v>69</v>
      </c>
      <c r="AA40" s="180" t="s">
        <v>90</v>
      </c>
      <c r="AB40" s="209" t="s">
        <v>474</v>
      </c>
    </row>
    <row r="41" spans="1:48" x14ac:dyDescent="0.15">
      <c r="A41" s="180" t="s">
        <v>59</v>
      </c>
      <c r="B41" s="209" t="s">
        <v>452</v>
      </c>
      <c r="C41" s="124">
        <v>2018</v>
      </c>
      <c r="D41" s="125" t="s">
        <v>453</v>
      </c>
      <c r="E41" s="180" t="s">
        <v>323</v>
      </c>
      <c r="F41" s="180" t="s">
        <v>316</v>
      </c>
      <c r="G41" s="180" t="s">
        <v>36</v>
      </c>
      <c r="H41" s="180" t="s">
        <v>155</v>
      </c>
      <c r="I41" s="180" t="s">
        <v>153</v>
      </c>
      <c r="J41" s="180" t="s">
        <v>38</v>
      </c>
      <c r="K41" s="180" t="s">
        <v>154</v>
      </c>
      <c r="L41" s="180">
        <v>1</v>
      </c>
      <c r="N41" s="180">
        <v>3</v>
      </c>
      <c r="O41" s="180">
        <v>0.69</v>
      </c>
      <c r="P41" s="180">
        <v>0.75</v>
      </c>
      <c r="Q41" s="217">
        <f t="shared" si="2"/>
        <v>0.72</v>
      </c>
      <c r="R41" s="180">
        <v>14.6</v>
      </c>
      <c r="S41" s="180">
        <v>131</v>
      </c>
      <c r="T41" s="189">
        <f t="shared" si="0"/>
        <v>25</v>
      </c>
      <c r="U41" s="180">
        <v>399</v>
      </c>
      <c r="V41" s="189">
        <f t="shared" si="1"/>
        <v>16</v>
      </c>
      <c r="W41" s="180">
        <v>8</v>
      </c>
      <c r="X41" s="180" t="s">
        <v>46</v>
      </c>
      <c r="Y41" s="180" t="s">
        <v>55</v>
      </c>
      <c r="Z41" s="180" t="s">
        <v>69</v>
      </c>
      <c r="AA41" s="180" t="s">
        <v>90</v>
      </c>
      <c r="AB41" s="209" t="s">
        <v>474</v>
      </c>
    </row>
    <row r="42" spans="1:48" x14ac:dyDescent="0.15">
      <c r="A42" s="180" t="s">
        <v>59</v>
      </c>
      <c r="B42" s="209" t="s">
        <v>452</v>
      </c>
      <c r="C42" s="124">
        <v>2018</v>
      </c>
      <c r="D42" s="125" t="s">
        <v>453</v>
      </c>
      <c r="E42" s="180" t="s">
        <v>323</v>
      </c>
      <c r="F42" s="180" t="s">
        <v>316</v>
      </c>
      <c r="G42" s="180" t="s">
        <v>36</v>
      </c>
      <c r="H42" s="180" t="s">
        <v>155</v>
      </c>
      <c r="I42" s="180" t="s">
        <v>153</v>
      </c>
      <c r="J42" s="180" t="s">
        <v>38</v>
      </c>
      <c r="K42" s="180" t="s">
        <v>154</v>
      </c>
      <c r="L42" s="180">
        <v>2</v>
      </c>
      <c r="N42" s="180">
        <v>3</v>
      </c>
      <c r="O42" s="180">
        <v>0.69</v>
      </c>
      <c r="P42" s="180">
        <v>0.64</v>
      </c>
      <c r="Q42" s="217">
        <f t="shared" si="2"/>
        <v>0.66500000000000004</v>
      </c>
      <c r="R42" s="180">
        <v>15.1</v>
      </c>
      <c r="S42" s="180">
        <v>131</v>
      </c>
      <c r="T42" s="189">
        <f t="shared" si="0"/>
        <v>25</v>
      </c>
      <c r="U42" s="180">
        <v>399</v>
      </c>
      <c r="V42" s="189">
        <f t="shared" si="1"/>
        <v>16</v>
      </c>
      <c r="W42" s="180">
        <v>8</v>
      </c>
      <c r="X42" s="180" t="s">
        <v>46</v>
      </c>
      <c r="Y42" s="180" t="s">
        <v>55</v>
      </c>
      <c r="Z42" s="180" t="s">
        <v>69</v>
      </c>
      <c r="AA42" s="180" t="s">
        <v>90</v>
      </c>
      <c r="AB42" s="209" t="s">
        <v>474</v>
      </c>
    </row>
    <row r="43" spans="1:48" x14ac:dyDescent="0.15">
      <c r="A43" s="180" t="s">
        <v>59</v>
      </c>
      <c r="B43" s="209" t="s">
        <v>452</v>
      </c>
      <c r="C43" s="124">
        <v>2018</v>
      </c>
      <c r="D43" s="125" t="s">
        <v>453</v>
      </c>
      <c r="E43" s="180" t="s">
        <v>323</v>
      </c>
      <c r="F43" s="180" t="s">
        <v>316</v>
      </c>
      <c r="G43" s="180" t="s">
        <v>36</v>
      </c>
      <c r="H43" s="180" t="s">
        <v>155</v>
      </c>
      <c r="I43" s="180" t="s">
        <v>153</v>
      </c>
      <c r="J43" s="180" t="s">
        <v>38</v>
      </c>
      <c r="K43" s="180" t="s">
        <v>154</v>
      </c>
      <c r="L43" s="180">
        <v>3</v>
      </c>
      <c r="N43" s="180">
        <v>3</v>
      </c>
      <c r="O43" s="180">
        <v>0.66</v>
      </c>
      <c r="P43" s="180">
        <v>0.69</v>
      </c>
      <c r="Q43" s="217">
        <f t="shared" si="2"/>
        <v>0.67500000000000004</v>
      </c>
      <c r="R43" s="180">
        <v>14.3</v>
      </c>
      <c r="S43" s="180">
        <v>132</v>
      </c>
      <c r="T43" s="189">
        <f t="shared" si="0"/>
        <v>25</v>
      </c>
      <c r="U43" s="180">
        <v>399</v>
      </c>
      <c r="V43" s="189">
        <f t="shared" si="1"/>
        <v>16</v>
      </c>
      <c r="W43" s="180">
        <v>8</v>
      </c>
      <c r="X43" s="180" t="s">
        <v>46</v>
      </c>
      <c r="Y43" s="180" t="s">
        <v>55</v>
      </c>
      <c r="Z43" s="180" t="s">
        <v>69</v>
      </c>
      <c r="AA43" s="180" t="s">
        <v>90</v>
      </c>
      <c r="AB43" s="209" t="s">
        <v>474</v>
      </c>
    </row>
    <row r="44" spans="1:48" x14ac:dyDescent="0.15">
      <c r="A44" s="180" t="s">
        <v>59</v>
      </c>
      <c r="B44" s="209" t="s">
        <v>452</v>
      </c>
      <c r="C44" s="124">
        <v>2018</v>
      </c>
      <c r="D44" s="125" t="s">
        <v>453</v>
      </c>
      <c r="E44" s="180" t="s">
        <v>321</v>
      </c>
      <c r="F44" s="180" t="s">
        <v>313</v>
      </c>
      <c r="G44" s="180" t="s">
        <v>36</v>
      </c>
      <c r="H44" s="180" t="s">
        <v>168</v>
      </c>
      <c r="I44" s="180" t="s">
        <v>153</v>
      </c>
      <c r="J44" s="180" t="s">
        <v>38</v>
      </c>
      <c r="K44" s="180" t="s">
        <v>154</v>
      </c>
      <c r="L44" s="180">
        <v>1</v>
      </c>
      <c r="N44" s="180">
        <v>4</v>
      </c>
      <c r="O44" s="180">
        <v>0.45</v>
      </c>
      <c r="P44" s="180">
        <v>0.5</v>
      </c>
      <c r="Q44" s="217">
        <f t="shared" si="2"/>
        <v>0.47499999999999998</v>
      </c>
      <c r="R44" s="180">
        <v>15.1</v>
      </c>
      <c r="S44" s="180">
        <v>97</v>
      </c>
      <c r="T44" s="189">
        <f t="shared" si="0"/>
        <v>36</v>
      </c>
      <c r="U44" s="180">
        <v>518</v>
      </c>
      <c r="V44" s="189">
        <f t="shared" si="1"/>
        <v>16</v>
      </c>
      <c r="W44" s="180">
        <v>4</v>
      </c>
      <c r="X44" s="180" t="s">
        <v>39</v>
      </c>
      <c r="Y44" s="180" t="s">
        <v>102</v>
      </c>
      <c r="Z44" s="180" t="s">
        <v>90</v>
      </c>
      <c r="AA44" s="180" t="s">
        <v>78</v>
      </c>
      <c r="AB44" s="209" t="s">
        <v>474</v>
      </c>
    </row>
    <row r="45" spans="1:48" x14ac:dyDescent="0.15">
      <c r="A45" s="180" t="s">
        <v>59</v>
      </c>
      <c r="B45" s="209" t="s">
        <v>452</v>
      </c>
      <c r="C45" s="124">
        <v>2018</v>
      </c>
      <c r="D45" s="125" t="s">
        <v>453</v>
      </c>
      <c r="E45" s="180" t="s">
        <v>321</v>
      </c>
      <c r="F45" s="180" t="s">
        <v>313</v>
      </c>
      <c r="G45" s="180" t="s">
        <v>36</v>
      </c>
      <c r="H45" s="180" t="s">
        <v>168</v>
      </c>
      <c r="I45" s="180" t="s">
        <v>153</v>
      </c>
      <c r="J45" s="180" t="s">
        <v>38</v>
      </c>
      <c r="K45" s="180" t="s">
        <v>154</v>
      </c>
      <c r="L45" s="180">
        <v>2</v>
      </c>
      <c r="N45" s="180">
        <v>4</v>
      </c>
      <c r="O45" s="180">
        <v>0.4</v>
      </c>
      <c r="P45" s="180">
        <v>0.43</v>
      </c>
      <c r="Q45" s="217">
        <f t="shared" si="2"/>
        <v>0.41500000000000004</v>
      </c>
      <c r="R45" s="180">
        <v>14.7</v>
      </c>
      <c r="S45" s="180">
        <v>105</v>
      </c>
      <c r="T45" s="189">
        <f t="shared" si="0"/>
        <v>33</v>
      </c>
      <c r="U45" s="180">
        <v>518</v>
      </c>
      <c r="V45" s="189">
        <f t="shared" si="1"/>
        <v>16</v>
      </c>
      <c r="W45" s="180">
        <v>4</v>
      </c>
      <c r="X45" s="180" t="s">
        <v>39</v>
      </c>
      <c r="Y45" s="180" t="s">
        <v>102</v>
      </c>
      <c r="Z45" s="180" t="s">
        <v>90</v>
      </c>
      <c r="AA45" s="180" t="s">
        <v>78</v>
      </c>
      <c r="AB45" s="209" t="s">
        <v>474</v>
      </c>
    </row>
    <row r="46" spans="1:48" x14ac:dyDescent="0.15">
      <c r="A46" s="180" t="s">
        <v>59</v>
      </c>
      <c r="B46" s="209" t="s">
        <v>452</v>
      </c>
      <c r="C46" s="124">
        <v>2018</v>
      </c>
      <c r="D46" s="125" t="s">
        <v>453</v>
      </c>
      <c r="E46" s="180" t="s">
        <v>321</v>
      </c>
      <c r="F46" s="180" t="s">
        <v>313</v>
      </c>
      <c r="G46" s="180" t="s">
        <v>36</v>
      </c>
      <c r="H46" s="180" t="s">
        <v>168</v>
      </c>
      <c r="I46" s="180" t="s">
        <v>153</v>
      </c>
      <c r="J46" s="180" t="s">
        <v>38</v>
      </c>
      <c r="K46" s="180" t="s">
        <v>154</v>
      </c>
      <c r="L46" s="180">
        <v>3</v>
      </c>
      <c r="N46" s="180">
        <v>4</v>
      </c>
      <c r="O46" s="180">
        <v>0.48</v>
      </c>
      <c r="P46" s="180">
        <v>0.45</v>
      </c>
      <c r="Q46" s="217">
        <f t="shared" si="2"/>
        <v>0.46499999999999997</v>
      </c>
      <c r="R46" s="180">
        <v>15.4</v>
      </c>
      <c r="S46" s="180">
        <v>98</v>
      </c>
      <c r="T46" s="189">
        <f t="shared" si="0"/>
        <v>36</v>
      </c>
      <c r="U46" s="180">
        <v>518</v>
      </c>
      <c r="V46" s="189">
        <f t="shared" si="1"/>
        <v>16</v>
      </c>
      <c r="W46" s="180">
        <v>4</v>
      </c>
      <c r="X46" s="180" t="s">
        <v>39</v>
      </c>
      <c r="Y46" s="180" t="s">
        <v>102</v>
      </c>
      <c r="Z46" s="180" t="s">
        <v>90</v>
      </c>
      <c r="AA46" s="180" t="s">
        <v>78</v>
      </c>
      <c r="AB46" s="209" t="s">
        <v>474</v>
      </c>
    </row>
    <row r="47" spans="1:48" x14ac:dyDescent="0.15">
      <c r="A47" s="180" t="s">
        <v>59</v>
      </c>
      <c r="B47" s="209" t="s">
        <v>452</v>
      </c>
      <c r="C47" s="124">
        <v>2018</v>
      </c>
      <c r="D47" s="125" t="s">
        <v>453</v>
      </c>
      <c r="E47" s="180" t="s">
        <v>321</v>
      </c>
      <c r="F47" s="180" t="s">
        <v>313</v>
      </c>
      <c r="G47" s="180" t="s">
        <v>36</v>
      </c>
      <c r="H47" s="180" t="s">
        <v>155</v>
      </c>
      <c r="I47" s="180" t="s">
        <v>153</v>
      </c>
      <c r="J47" s="180" t="s">
        <v>38</v>
      </c>
      <c r="K47" s="180" t="s">
        <v>154</v>
      </c>
      <c r="L47" s="180">
        <v>1</v>
      </c>
      <c r="N47" s="180">
        <v>1</v>
      </c>
      <c r="O47" s="180">
        <v>0.86</v>
      </c>
      <c r="P47" s="180">
        <v>0.89</v>
      </c>
      <c r="Q47" s="217">
        <f t="shared" si="2"/>
        <v>0.875</v>
      </c>
      <c r="R47" s="180">
        <v>16.2</v>
      </c>
      <c r="S47" s="180">
        <v>140</v>
      </c>
      <c r="T47" s="189">
        <f t="shared" si="0"/>
        <v>22</v>
      </c>
      <c r="U47" s="180">
        <v>105</v>
      </c>
      <c r="V47" s="189">
        <f t="shared" si="1"/>
        <v>33</v>
      </c>
      <c r="W47" s="180">
        <v>1</v>
      </c>
      <c r="X47" s="180" t="s">
        <v>39</v>
      </c>
      <c r="Y47" s="180" t="s">
        <v>102</v>
      </c>
      <c r="Z47" s="180" t="s">
        <v>90</v>
      </c>
      <c r="AA47" s="180" t="s">
        <v>78</v>
      </c>
      <c r="AB47" s="209" t="s">
        <v>474</v>
      </c>
    </row>
    <row r="48" spans="1:48" x14ac:dyDescent="0.15">
      <c r="A48" s="180" t="s">
        <v>59</v>
      </c>
      <c r="B48" s="209" t="s">
        <v>452</v>
      </c>
      <c r="C48" s="124">
        <v>2018</v>
      </c>
      <c r="D48" s="125" t="s">
        <v>453</v>
      </c>
      <c r="E48" s="180" t="s">
        <v>321</v>
      </c>
      <c r="F48" s="180" t="s">
        <v>313</v>
      </c>
      <c r="G48" s="180" t="s">
        <v>36</v>
      </c>
      <c r="H48" s="180" t="s">
        <v>155</v>
      </c>
      <c r="I48" s="180" t="s">
        <v>153</v>
      </c>
      <c r="J48" s="180" t="s">
        <v>38</v>
      </c>
      <c r="K48" s="180" t="s">
        <v>154</v>
      </c>
      <c r="L48" s="180">
        <v>2</v>
      </c>
      <c r="N48" s="180">
        <v>1</v>
      </c>
      <c r="O48" s="180">
        <v>0.7</v>
      </c>
      <c r="P48" s="180">
        <v>0.74</v>
      </c>
      <c r="Q48" s="217">
        <f t="shared" si="2"/>
        <v>0.72</v>
      </c>
      <c r="R48" s="180">
        <v>14.1</v>
      </c>
      <c r="S48" s="180">
        <v>117</v>
      </c>
      <c r="T48" s="189">
        <f t="shared" si="0"/>
        <v>30</v>
      </c>
      <c r="U48" s="180">
        <v>105</v>
      </c>
      <c r="V48" s="189">
        <f t="shared" si="1"/>
        <v>33</v>
      </c>
      <c r="W48" s="180">
        <v>1</v>
      </c>
      <c r="X48" s="180" t="s">
        <v>39</v>
      </c>
      <c r="Y48" s="180" t="s">
        <v>102</v>
      </c>
      <c r="Z48" s="180" t="s">
        <v>90</v>
      </c>
      <c r="AA48" s="180" t="s">
        <v>78</v>
      </c>
      <c r="AB48" s="209" t="s">
        <v>474</v>
      </c>
    </row>
    <row r="49" spans="1:28" x14ac:dyDescent="0.15">
      <c r="A49" s="180" t="s">
        <v>59</v>
      </c>
      <c r="B49" s="209" t="s">
        <v>452</v>
      </c>
      <c r="C49" s="124">
        <v>2018</v>
      </c>
      <c r="D49" s="125" t="s">
        <v>453</v>
      </c>
      <c r="E49" s="180" t="s">
        <v>321</v>
      </c>
      <c r="F49" s="180" t="s">
        <v>313</v>
      </c>
      <c r="G49" s="180" t="s">
        <v>36</v>
      </c>
      <c r="H49" s="180" t="s">
        <v>155</v>
      </c>
      <c r="I49" s="180" t="s">
        <v>153</v>
      </c>
      <c r="J49" s="180" t="s">
        <v>38</v>
      </c>
      <c r="K49" s="180" t="s">
        <v>154</v>
      </c>
      <c r="L49" s="180">
        <v>3</v>
      </c>
      <c r="N49" s="180">
        <v>1</v>
      </c>
      <c r="O49" s="180">
        <v>0.78</v>
      </c>
      <c r="P49" s="180">
        <v>0.82</v>
      </c>
      <c r="Q49" s="217">
        <f t="shared" si="2"/>
        <v>0.8</v>
      </c>
      <c r="R49" s="180">
        <v>15.5</v>
      </c>
      <c r="S49" s="180">
        <v>135</v>
      </c>
      <c r="T49" s="189">
        <f t="shared" si="0"/>
        <v>25</v>
      </c>
      <c r="U49" s="180">
        <v>105</v>
      </c>
      <c r="V49" s="189">
        <f t="shared" si="1"/>
        <v>33</v>
      </c>
      <c r="W49" s="180">
        <v>1</v>
      </c>
      <c r="X49" s="180" t="s">
        <v>39</v>
      </c>
      <c r="Y49" s="180" t="s">
        <v>102</v>
      </c>
      <c r="Z49" s="180" t="s">
        <v>90</v>
      </c>
      <c r="AA49" s="180" t="s">
        <v>78</v>
      </c>
      <c r="AB49" s="209" t="s">
        <v>474</v>
      </c>
    </row>
    <row r="50" spans="1:28" x14ac:dyDescent="0.15">
      <c r="A50" s="180" t="s">
        <v>59</v>
      </c>
      <c r="B50" s="209" t="s">
        <v>452</v>
      </c>
      <c r="C50" s="124">
        <v>2018</v>
      </c>
      <c r="D50" s="125" t="s">
        <v>453</v>
      </c>
      <c r="E50" s="180" t="s">
        <v>327</v>
      </c>
      <c r="F50" s="180" t="s">
        <v>318</v>
      </c>
      <c r="G50" s="180" t="s">
        <v>36</v>
      </c>
      <c r="H50" s="180" t="s">
        <v>168</v>
      </c>
      <c r="I50" s="180" t="s">
        <v>153</v>
      </c>
      <c r="J50" s="180" t="s">
        <v>38</v>
      </c>
      <c r="K50" s="180" t="s">
        <v>154</v>
      </c>
      <c r="L50" s="180">
        <v>1</v>
      </c>
      <c r="N50" s="180">
        <v>4</v>
      </c>
      <c r="O50" s="180">
        <v>0.6</v>
      </c>
      <c r="P50" s="180">
        <v>0.56000000000000005</v>
      </c>
      <c r="Q50" s="217">
        <f t="shared" si="2"/>
        <v>0.58000000000000007</v>
      </c>
      <c r="R50" s="180">
        <v>14.8</v>
      </c>
      <c r="S50" s="180">
        <v>125</v>
      </c>
      <c r="T50" s="189">
        <f t="shared" si="0"/>
        <v>27</v>
      </c>
      <c r="U50" s="180">
        <v>480</v>
      </c>
      <c r="V50" s="189">
        <f t="shared" si="1"/>
        <v>16</v>
      </c>
      <c r="W50" s="180">
        <v>6</v>
      </c>
      <c r="X50" s="180" t="s">
        <v>46</v>
      </c>
      <c r="Y50" s="180" t="s">
        <v>78</v>
      </c>
      <c r="Z50" s="180" t="s">
        <v>55</v>
      </c>
      <c r="AA50" s="180" t="s">
        <v>69</v>
      </c>
      <c r="AB50" s="209" t="s">
        <v>474</v>
      </c>
    </row>
    <row r="51" spans="1:28" x14ac:dyDescent="0.15">
      <c r="A51" s="180" t="s">
        <v>59</v>
      </c>
      <c r="B51" s="209" t="s">
        <v>452</v>
      </c>
      <c r="C51" s="124">
        <v>2018</v>
      </c>
      <c r="D51" s="125" t="s">
        <v>453</v>
      </c>
      <c r="E51" s="180" t="s">
        <v>327</v>
      </c>
      <c r="F51" s="180" t="s">
        <v>318</v>
      </c>
      <c r="G51" s="180" t="s">
        <v>36</v>
      </c>
      <c r="H51" s="180" t="s">
        <v>168</v>
      </c>
      <c r="I51" s="180" t="s">
        <v>153</v>
      </c>
      <c r="J51" s="180" t="s">
        <v>38</v>
      </c>
      <c r="K51" s="180" t="s">
        <v>154</v>
      </c>
      <c r="L51" s="180">
        <v>2</v>
      </c>
      <c r="N51" s="180">
        <v>4</v>
      </c>
      <c r="O51" s="180">
        <v>0.45</v>
      </c>
      <c r="P51" s="180">
        <v>0.4</v>
      </c>
      <c r="Q51" s="217">
        <f t="shared" si="2"/>
        <v>0.42500000000000004</v>
      </c>
      <c r="R51" s="180">
        <v>15.7</v>
      </c>
      <c r="S51" s="180">
        <v>120</v>
      </c>
      <c r="T51" s="189">
        <f t="shared" si="0"/>
        <v>30</v>
      </c>
      <c r="U51" s="180">
        <v>480</v>
      </c>
      <c r="V51" s="189">
        <f t="shared" si="1"/>
        <v>16</v>
      </c>
      <c r="W51" s="180">
        <v>6</v>
      </c>
      <c r="X51" s="180" t="s">
        <v>46</v>
      </c>
      <c r="Y51" s="180" t="s">
        <v>78</v>
      </c>
      <c r="Z51" s="180" t="s">
        <v>55</v>
      </c>
      <c r="AA51" s="180" t="s">
        <v>69</v>
      </c>
      <c r="AB51" s="209" t="s">
        <v>474</v>
      </c>
    </row>
    <row r="52" spans="1:28" x14ac:dyDescent="0.15">
      <c r="A52" s="180" t="s">
        <v>59</v>
      </c>
      <c r="B52" s="209" t="s">
        <v>452</v>
      </c>
      <c r="C52" s="124">
        <v>2018</v>
      </c>
      <c r="D52" s="125" t="s">
        <v>453</v>
      </c>
      <c r="E52" s="180" t="s">
        <v>327</v>
      </c>
      <c r="F52" s="180" t="s">
        <v>318</v>
      </c>
      <c r="G52" s="180" t="s">
        <v>36</v>
      </c>
      <c r="H52" s="180" t="s">
        <v>168</v>
      </c>
      <c r="I52" s="180" t="s">
        <v>153</v>
      </c>
      <c r="J52" s="180" t="s">
        <v>38</v>
      </c>
      <c r="K52" s="180" t="s">
        <v>154</v>
      </c>
      <c r="L52" s="180">
        <v>3</v>
      </c>
      <c r="N52" s="180">
        <v>4</v>
      </c>
      <c r="O52" s="180">
        <v>0.57999999999999996</v>
      </c>
      <c r="P52" s="180">
        <v>0.55000000000000004</v>
      </c>
      <c r="Q52" s="217">
        <f t="shared" si="2"/>
        <v>0.56499999999999995</v>
      </c>
      <c r="R52" s="180">
        <v>15.5</v>
      </c>
      <c r="S52" s="180">
        <v>120</v>
      </c>
      <c r="T52" s="189">
        <f t="shared" si="0"/>
        <v>30</v>
      </c>
      <c r="U52" s="180">
        <v>480</v>
      </c>
      <c r="V52" s="189">
        <f t="shared" si="1"/>
        <v>16</v>
      </c>
      <c r="W52" s="180">
        <v>6</v>
      </c>
      <c r="X52" s="180" t="s">
        <v>46</v>
      </c>
      <c r="Y52" s="180" t="s">
        <v>78</v>
      </c>
      <c r="Z52" s="180" t="s">
        <v>55</v>
      </c>
      <c r="AA52" s="180" t="s">
        <v>69</v>
      </c>
      <c r="AB52" s="209" t="s">
        <v>474</v>
      </c>
    </row>
    <row r="53" spans="1:28" x14ac:dyDescent="0.15">
      <c r="A53" s="180" t="s">
        <v>59</v>
      </c>
      <c r="B53" s="209" t="s">
        <v>452</v>
      </c>
      <c r="C53" s="124">
        <v>2018</v>
      </c>
      <c r="D53" s="125" t="s">
        <v>453</v>
      </c>
      <c r="E53" s="180" t="s">
        <v>327</v>
      </c>
      <c r="F53" s="180" t="s">
        <v>318</v>
      </c>
      <c r="G53" s="180" t="s">
        <v>36</v>
      </c>
      <c r="H53" s="180" t="s">
        <v>155</v>
      </c>
      <c r="I53" s="180" t="s">
        <v>153</v>
      </c>
      <c r="J53" s="180" t="s">
        <v>38</v>
      </c>
      <c r="K53" s="180" t="s">
        <v>154</v>
      </c>
      <c r="L53" s="180">
        <v>1</v>
      </c>
      <c r="N53" s="180">
        <v>1</v>
      </c>
      <c r="O53" s="180">
        <v>0.42</v>
      </c>
      <c r="P53" s="180">
        <v>0.45</v>
      </c>
      <c r="Q53" s="217">
        <f t="shared" si="2"/>
        <v>0.435</v>
      </c>
      <c r="R53" s="180">
        <v>15.9</v>
      </c>
      <c r="S53" s="180">
        <v>161</v>
      </c>
      <c r="T53" s="189">
        <f t="shared" si="0"/>
        <v>18</v>
      </c>
      <c r="U53" s="180">
        <v>128</v>
      </c>
      <c r="V53" s="189">
        <f t="shared" si="1"/>
        <v>27</v>
      </c>
      <c r="W53" s="180">
        <v>5</v>
      </c>
      <c r="X53" s="180" t="s">
        <v>46</v>
      </c>
      <c r="Y53" s="180" t="s">
        <v>78</v>
      </c>
      <c r="Z53" s="180" t="s">
        <v>55</v>
      </c>
      <c r="AA53" s="180" t="s">
        <v>69</v>
      </c>
      <c r="AB53" s="209" t="s">
        <v>474</v>
      </c>
    </row>
    <row r="54" spans="1:28" x14ac:dyDescent="0.15">
      <c r="A54" s="180" t="s">
        <v>59</v>
      </c>
      <c r="B54" s="209" t="s">
        <v>452</v>
      </c>
      <c r="C54" s="124">
        <v>2018</v>
      </c>
      <c r="D54" s="125" t="s">
        <v>453</v>
      </c>
      <c r="E54" s="180" t="s">
        <v>327</v>
      </c>
      <c r="F54" s="180" t="s">
        <v>318</v>
      </c>
      <c r="G54" s="180" t="s">
        <v>36</v>
      </c>
      <c r="H54" s="180" t="s">
        <v>155</v>
      </c>
      <c r="I54" s="180" t="s">
        <v>153</v>
      </c>
      <c r="J54" s="180" t="s">
        <v>38</v>
      </c>
      <c r="K54" s="180" t="s">
        <v>154</v>
      </c>
      <c r="L54" s="180">
        <v>2</v>
      </c>
      <c r="N54" s="180">
        <v>1</v>
      </c>
      <c r="O54" s="180">
        <v>0.28999999999999998</v>
      </c>
      <c r="P54" s="180">
        <v>0.33</v>
      </c>
      <c r="Q54" s="217">
        <f t="shared" si="2"/>
        <v>0.31</v>
      </c>
      <c r="R54" s="180">
        <v>15.3</v>
      </c>
      <c r="S54" s="180">
        <v>164</v>
      </c>
      <c r="T54" s="189">
        <f t="shared" si="0"/>
        <v>18</v>
      </c>
      <c r="U54" s="180">
        <v>128</v>
      </c>
      <c r="V54" s="189">
        <f t="shared" si="1"/>
        <v>27</v>
      </c>
      <c r="W54" s="180">
        <v>5</v>
      </c>
      <c r="X54" s="180" t="s">
        <v>46</v>
      </c>
      <c r="Y54" s="180" t="s">
        <v>78</v>
      </c>
      <c r="Z54" s="180" t="s">
        <v>55</v>
      </c>
      <c r="AA54" s="180" t="s">
        <v>69</v>
      </c>
      <c r="AB54" s="209" t="s">
        <v>474</v>
      </c>
    </row>
    <row r="55" spans="1:28" x14ac:dyDescent="0.15">
      <c r="A55" s="180" t="s">
        <v>59</v>
      </c>
      <c r="B55" s="209" t="s">
        <v>452</v>
      </c>
      <c r="C55" s="124">
        <v>2018</v>
      </c>
      <c r="D55" s="125" t="s">
        <v>453</v>
      </c>
      <c r="E55" s="180" t="s">
        <v>327</v>
      </c>
      <c r="F55" s="180" t="s">
        <v>318</v>
      </c>
      <c r="G55" s="180" t="s">
        <v>36</v>
      </c>
      <c r="H55" s="180" t="s">
        <v>155</v>
      </c>
      <c r="I55" s="180" t="s">
        <v>153</v>
      </c>
      <c r="J55" s="180" t="s">
        <v>38</v>
      </c>
      <c r="K55" s="180" t="s">
        <v>154</v>
      </c>
      <c r="L55" s="180">
        <v>3</v>
      </c>
      <c r="N55" s="180">
        <v>1</v>
      </c>
      <c r="O55" s="180">
        <v>0.48</v>
      </c>
      <c r="P55" s="180">
        <v>0.46</v>
      </c>
      <c r="Q55" s="217">
        <f t="shared" si="2"/>
        <v>0.47</v>
      </c>
      <c r="R55" s="180">
        <v>15</v>
      </c>
      <c r="S55" s="180">
        <v>159</v>
      </c>
      <c r="T55" s="189">
        <f t="shared" si="0"/>
        <v>18</v>
      </c>
      <c r="U55" s="180">
        <v>128</v>
      </c>
      <c r="V55" s="189">
        <f t="shared" si="1"/>
        <v>27</v>
      </c>
      <c r="W55" s="180">
        <v>5</v>
      </c>
      <c r="X55" s="180" t="s">
        <v>46</v>
      </c>
      <c r="Y55" s="180" t="s">
        <v>78</v>
      </c>
      <c r="Z55" s="180" t="s">
        <v>55</v>
      </c>
      <c r="AA55" s="180" t="s">
        <v>69</v>
      </c>
      <c r="AB55" s="209" t="s">
        <v>474</v>
      </c>
    </row>
    <row r="56" spans="1:28" x14ac:dyDescent="0.15">
      <c r="A56" s="180" t="s">
        <v>59</v>
      </c>
      <c r="B56" s="209" t="s">
        <v>452</v>
      </c>
      <c r="C56" s="124">
        <v>2018</v>
      </c>
      <c r="D56" s="125" t="s">
        <v>453</v>
      </c>
      <c r="E56" s="180" t="s">
        <v>322</v>
      </c>
      <c r="F56" s="180" t="s">
        <v>315</v>
      </c>
      <c r="G56" s="180" t="s">
        <v>36</v>
      </c>
      <c r="H56" s="180" t="s">
        <v>168</v>
      </c>
      <c r="I56" s="180" t="s">
        <v>153</v>
      </c>
      <c r="J56" s="180" t="s">
        <v>38</v>
      </c>
      <c r="K56" s="180" t="s">
        <v>154</v>
      </c>
      <c r="L56" s="180">
        <v>1</v>
      </c>
      <c r="N56" s="180">
        <v>4</v>
      </c>
      <c r="O56" s="180">
        <v>0.46</v>
      </c>
      <c r="P56" s="180">
        <v>0.55000000000000004</v>
      </c>
      <c r="Q56" s="217">
        <f t="shared" si="2"/>
        <v>0.505</v>
      </c>
      <c r="R56" s="180">
        <v>15.9</v>
      </c>
      <c r="S56" s="180">
        <v>105</v>
      </c>
      <c r="T56" s="189">
        <f t="shared" si="0"/>
        <v>33</v>
      </c>
      <c r="U56" s="180">
        <v>321</v>
      </c>
      <c r="V56" s="189">
        <f t="shared" si="1"/>
        <v>16</v>
      </c>
      <c r="W56" s="180">
        <v>5</v>
      </c>
      <c r="X56" s="180" t="s">
        <v>46</v>
      </c>
      <c r="Y56" s="180" t="s">
        <v>102</v>
      </c>
      <c r="Z56" s="180" t="s">
        <v>78</v>
      </c>
      <c r="AA56" s="180" t="s">
        <v>69</v>
      </c>
      <c r="AB56" s="209" t="s">
        <v>474</v>
      </c>
    </row>
    <row r="57" spans="1:28" x14ac:dyDescent="0.15">
      <c r="A57" s="180" t="s">
        <v>59</v>
      </c>
      <c r="B57" s="209" t="s">
        <v>452</v>
      </c>
      <c r="C57" s="124">
        <v>2018</v>
      </c>
      <c r="D57" s="125" t="s">
        <v>453</v>
      </c>
      <c r="E57" s="180" t="s">
        <v>322</v>
      </c>
      <c r="F57" s="180" t="s">
        <v>315</v>
      </c>
      <c r="G57" s="180" t="s">
        <v>36</v>
      </c>
      <c r="H57" s="180" t="s">
        <v>168</v>
      </c>
      <c r="I57" s="180" t="s">
        <v>153</v>
      </c>
      <c r="J57" s="180" t="s">
        <v>38</v>
      </c>
      <c r="K57" s="180" t="s">
        <v>154</v>
      </c>
      <c r="L57" s="180">
        <v>2</v>
      </c>
      <c r="N57" s="180">
        <v>4</v>
      </c>
      <c r="O57" s="180">
        <v>0.3</v>
      </c>
      <c r="P57" s="180">
        <v>0.43</v>
      </c>
      <c r="Q57" s="217">
        <f t="shared" si="2"/>
        <v>0.36499999999999999</v>
      </c>
      <c r="R57" s="180">
        <v>15.9</v>
      </c>
      <c r="S57" s="180">
        <v>112</v>
      </c>
      <c r="T57" s="189">
        <f t="shared" si="0"/>
        <v>33</v>
      </c>
      <c r="U57" s="180">
        <v>321</v>
      </c>
      <c r="V57" s="189">
        <f t="shared" si="1"/>
        <v>16</v>
      </c>
      <c r="W57" s="180">
        <v>5</v>
      </c>
      <c r="X57" s="180" t="s">
        <v>46</v>
      </c>
      <c r="Y57" s="180" t="s">
        <v>102</v>
      </c>
      <c r="Z57" s="180" t="s">
        <v>78</v>
      </c>
      <c r="AA57" s="180" t="s">
        <v>69</v>
      </c>
      <c r="AB57" s="209" t="s">
        <v>474</v>
      </c>
    </row>
    <row r="58" spans="1:28" x14ac:dyDescent="0.15">
      <c r="A58" s="180" t="s">
        <v>59</v>
      </c>
      <c r="B58" s="209" t="s">
        <v>452</v>
      </c>
      <c r="C58" s="124">
        <v>2018</v>
      </c>
      <c r="D58" s="125" t="s">
        <v>453</v>
      </c>
      <c r="E58" s="180" t="s">
        <v>322</v>
      </c>
      <c r="F58" s="180" t="s">
        <v>315</v>
      </c>
      <c r="G58" s="180" t="s">
        <v>36</v>
      </c>
      <c r="H58" s="180" t="s">
        <v>168</v>
      </c>
      <c r="I58" s="180" t="s">
        <v>153</v>
      </c>
      <c r="J58" s="180" t="s">
        <v>38</v>
      </c>
      <c r="K58" s="180" t="s">
        <v>154</v>
      </c>
      <c r="L58" s="180">
        <v>3</v>
      </c>
      <c r="N58" s="180">
        <v>4</v>
      </c>
      <c r="O58" s="180">
        <v>0.44</v>
      </c>
      <c r="P58" s="180">
        <v>0.5</v>
      </c>
      <c r="Q58" s="217">
        <f t="shared" si="2"/>
        <v>0.47</v>
      </c>
      <c r="R58" s="180">
        <v>15.7</v>
      </c>
      <c r="S58" s="180">
        <v>105</v>
      </c>
      <c r="T58" s="189">
        <f t="shared" si="0"/>
        <v>33</v>
      </c>
      <c r="U58" s="180">
        <v>321</v>
      </c>
      <c r="V58" s="189">
        <f t="shared" si="1"/>
        <v>16</v>
      </c>
      <c r="W58" s="180">
        <v>5</v>
      </c>
      <c r="X58" s="180" t="s">
        <v>46</v>
      </c>
      <c r="Y58" s="180" t="s">
        <v>102</v>
      </c>
      <c r="Z58" s="180" t="s">
        <v>78</v>
      </c>
      <c r="AA58" s="180" t="s">
        <v>69</v>
      </c>
      <c r="AB58" s="209" t="s">
        <v>474</v>
      </c>
    </row>
    <row r="59" spans="1:28" x14ac:dyDescent="0.15">
      <c r="A59" s="180" t="s">
        <v>59</v>
      </c>
      <c r="B59" s="209" t="s">
        <v>452</v>
      </c>
      <c r="C59" s="124">
        <v>2018</v>
      </c>
      <c r="D59" s="125" t="s">
        <v>453</v>
      </c>
      <c r="E59" s="180" t="s">
        <v>322</v>
      </c>
      <c r="F59" s="180" t="s">
        <v>315</v>
      </c>
      <c r="G59" s="180" t="s">
        <v>36</v>
      </c>
      <c r="H59" s="180" t="s">
        <v>155</v>
      </c>
      <c r="I59" s="180" t="s">
        <v>153</v>
      </c>
      <c r="J59" s="180" t="s">
        <v>38</v>
      </c>
      <c r="K59" s="180" t="s">
        <v>154</v>
      </c>
      <c r="L59" s="180">
        <v>1</v>
      </c>
      <c r="N59" s="180">
        <v>4</v>
      </c>
      <c r="O59" s="180">
        <v>0.57999999999999996</v>
      </c>
      <c r="P59" s="180">
        <v>0.76</v>
      </c>
      <c r="Q59" s="217">
        <f t="shared" si="2"/>
        <v>0.66999999999999993</v>
      </c>
      <c r="R59" s="180">
        <v>15</v>
      </c>
      <c r="S59" s="180">
        <v>86</v>
      </c>
      <c r="T59" s="189">
        <f t="shared" si="0"/>
        <v>36</v>
      </c>
      <c r="U59" s="180">
        <v>321</v>
      </c>
      <c r="V59" s="189">
        <f t="shared" si="1"/>
        <v>16</v>
      </c>
      <c r="W59" s="180">
        <v>5</v>
      </c>
      <c r="X59" s="180" t="s">
        <v>46</v>
      </c>
      <c r="Y59" s="180" t="s">
        <v>102</v>
      </c>
      <c r="Z59" s="180" t="s">
        <v>78</v>
      </c>
      <c r="AA59" s="180" t="s">
        <v>69</v>
      </c>
      <c r="AB59" s="209" t="s">
        <v>474</v>
      </c>
    </row>
    <row r="60" spans="1:28" x14ac:dyDescent="0.15">
      <c r="A60" s="180" t="s">
        <v>59</v>
      </c>
      <c r="B60" s="209" t="s">
        <v>452</v>
      </c>
      <c r="C60" s="124">
        <v>2018</v>
      </c>
      <c r="D60" s="125" t="s">
        <v>453</v>
      </c>
      <c r="E60" s="180" t="s">
        <v>322</v>
      </c>
      <c r="F60" s="180" t="s">
        <v>315</v>
      </c>
      <c r="G60" s="180" t="s">
        <v>36</v>
      </c>
      <c r="H60" s="180" t="s">
        <v>155</v>
      </c>
      <c r="I60" s="180" t="s">
        <v>153</v>
      </c>
      <c r="J60" s="180" t="s">
        <v>38</v>
      </c>
      <c r="K60" s="180" t="s">
        <v>154</v>
      </c>
      <c r="L60" s="180">
        <v>2</v>
      </c>
      <c r="N60" s="180">
        <v>4</v>
      </c>
      <c r="O60" s="180">
        <v>0.62</v>
      </c>
      <c r="P60" s="180">
        <v>0.67</v>
      </c>
      <c r="Q60" s="217">
        <f t="shared" si="2"/>
        <v>0.64500000000000002</v>
      </c>
      <c r="R60" s="180">
        <v>14.2</v>
      </c>
      <c r="S60" s="180">
        <v>81</v>
      </c>
      <c r="T60" s="189">
        <f t="shared" si="0"/>
        <v>39</v>
      </c>
      <c r="U60" s="180">
        <v>321</v>
      </c>
      <c r="V60" s="189">
        <f t="shared" si="1"/>
        <v>16</v>
      </c>
      <c r="W60" s="180">
        <v>5</v>
      </c>
      <c r="X60" s="180" t="s">
        <v>46</v>
      </c>
      <c r="Y60" s="180" t="s">
        <v>102</v>
      </c>
      <c r="Z60" s="180" t="s">
        <v>78</v>
      </c>
      <c r="AA60" s="180" t="s">
        <v>69</v>
      </c>
      <c r="AB60" s="209" t="s">
        <v>474</v>
      </c>
    </row>
    <row r="61" spans="1:28" x14ac:dyDescent="0.15">
      <c r="A61" s="180" t="s">
        <v>59</v>
      </c>
      <c r="B61" s="209" t="s">
        <v>452</v>
      </c>
      <c r="C61" s="124">
        <v>2018</v>
      </c>
      <c r="D61" s="125" t="s">
        <v>453</v>
      </c>
      <c r="E61" s="180" t="s">
        <v>322</v>
      </c>
      <c r="F61" s="180" t="s">
        <v>315</v>
      </c>
      <c r="G61" s="180" t="s">
        <v>36</v>
      </c>
      <c r="H61" s="180" t="s">
        <v>155</v>
      </c>
      <c r="I61" s="180" t="s">
        <v>153</v>
      </c>
      <c r="J61" s="180" t="s">
        <v>38</v>
      </c>
      <c r="K61" s="180" t="s">
        <v>154</v>
      </c>
      <c r="L61" s="180">
        <v>3</v>
      </c>
      <c r="N61" s="180">
        <v>4</v>
      </c>
      <c r="O61" s="180">
        <v>0.61</v>
      </c>
      <c r="P61" s="180">
        <v>0.66</v>
      </c>
      <c r="Q61" s="217">
        <f t="shared" si="2"/>
        <v>0.63500000000000001</v>
      </c>
      <c r="R61" s="180">
        <v>14.8</v>
      </c>
      <c r="S61" s="180">
        <v>85</v>
      </c>
      <c r="T61" s="189">
        <f t="shared" si="0"/>
        <v>36</v>
      </c>
      <c r="U61" s="180">
        <v>321</v>
      </c>
      <c r="V61" s="189">
        <f t="shared" si="1"/>
        <v>16</v>
      </c>
      <c r="W61" s="180">
        <v>5</v>
      </c>
      <c r="X61" s="180" t="s">
        <v>46</v>
      </c>
      <c r="Y61" s="180" t="s">
        <v>102</v>
      </c>
      <c r="Z61" s="180" t="s">
        <v>78</v>
      </c>
      <c r="AA61" s="180" t="s">
        <v>69</v>
      </c>
      <c r="AB61" s="209" t="s">
        <v>474</v>
      </c>
    </row>
    <row r="62" spans="1:28" x14ac:dyDescent="0.15">
      <c r="B62" s="209"/>
      <c r="C62" s="124"/>
      <c r="D62" s="125"/>
      <c r="Q62" s="217" t="str">
        <f t="shared" si="2"/>
        <v/>
      </c>
      <c r="T62" s="189" t="str">
        <f t="shared" si="0"/>
        <v/>
      </c>
      <c r="AB62" s="209"/>
    </row>
    <row r="63" spans="1:28" x14ac:dyDescent="0.15">
      <c r="B63" s="209"/>
      <c r="C63" s="124"/>
      <c r="D63" s="125"/>
      <c r="Q63" s="217" t="str">
        <f t="shared" si="2"/>
        <v/>
      </c>
      <c r="T63" s="189" t="str">
        <f t="shared" si="0"/>
        <v/>
      </c>
      <c r="V63" s="189" t="str">
        <f t="shared" si="1"/>
        <v/>
      </c>
      <c r="AB63" s="209"/>
    </row>
    <row r="64" spans="1:28" x14ac:dyDescent="0.15">
      <c r="B64" s="209"/>
      <c r="C64" s="124"/>
      <c r="D64" s="125"/>
      <c r="Q64" s="217" t="str">
        <f t="shared" si="2"/>
        <v/>
      </c>
      <c r="T64" s="189" t="str">
        <f t="shared" si="0"/>
        <v/>
      </c>
      <c r="V64" s="189" t="str">
        <f t="shared" si="1"/>
        <v/>
      </c>
      <c r="AB64" s="209"/>
    </row>
    <row r="65" spans="2:28" x14ac:dyDescent="0.15">
      <c r="B65" s="209"/>
      <c r="C65" s="124"/>
      <c r="D65" s="125"/>
      <c r="Q65" s="217" t="str">
        <f t="shared" si="2"/>
        <v/>
      </c>
      <c r="T65" s="189" t="str">
        <f t="shared" si="0"/>
        <v/>
      </c>
      <c r="V65" s="189" t="str">
        <f t="shared" si="1"/>
        <v/>
      </c>
      <c r="AB65" s="209"/>
    </row>
    <row r="66" spans="2:28" x14ac:dyDescent="0.15">
      <c r="B66" s="209"/>
      <c r="C66" s="124"/>
      <c r="D66" s="125"/>
      <c r="Q66" s="217" t="str">
        <f t="shared" si="2"/>
        <v/>
      </c>
      <c r="T66" s="189" t="str">
        <f t="shared" si="0"/>
        <v/>
      </c>
      <c r="V66" s="189" t="str">
        <f t="shared" si="1"/>
        <v/>
      </c>
      <c r="AB66" s="209"/>
    </row>
    <row r="67" spans="2:28" x14ac:dyDescent="0.15">
      <c r="B67" s="209"/>
      <c r="C67" s="124"/>
      <c r="D67" s="125"/>
      <c r="Q67" s="217" t="str">
        <f t="shared" si="2"/>
        <v/>
      </c>
      <c r="T67" s="189" t="str">
        <f t="shared" si="0"/>
        <v/>
      </c>
      <c r="V67" s="189" t="str">
        <f t="shared" si="1"/>
        <v/>
      </c>
      <c r="AB67" s="209"/>
    </row>
    <row r="68" spans="2:28" x14ac:dyDescent="0.15">
      <c r="B68" s="209"/>
      <c r="C68" s="124"/>
      <c r="D68" s="125"/>
      <c r="Q68" s="217" t="str">
        <f t="shared" si="2"/>
        <v/>
      </c>
      <c r="T68" s="189" t="str">
        <f t="shared" si="0"/>
        <v/>
      </c>
      <c r="V68" s="189" t="str">
        <f t="shared" si="1"/>
        <v/>
      </c>
      <c r="AB68" s="209"/>
    </row>
    <row r="69" spans="2:28" x14ac:dyDescent="0.15">
      <c r="B69" s="209"/>
      <c r="C69" s="124"/>
      <c r="D69" s="125"/>
      <c r="Q69" s="217" t="str">
        <f t="shared" si="2"/>
        <v/>
      </c>
      <c r="T69" s="189" t="str">
        <f t="shared" si="0"/>
        <v/>
      </c>
      <c r="V69" s="189" t="str">
        <f t="shared" si="1"/>
        <v/>
      </c>
      <c r="AB69" s="209"/>
    </row>
    <row r="70" spans="2:28" x14ac:dyDescent="0.15">
      <c r="B70" s="209"/>
      <c r="C70" s="124"/>
      <c r="D70" s="125"/>
      <c r="Q70" s="217" t="str">
        <f t="shared" si="2"/>
        <v/>
      </c>
      <c r="T70" s="189" t="str">
        <f t="shared" si="0"/>
        <v/>
      </c>
      <c r="V70" s="189" t="str">
        <f t="shared" si="1"/>
        <v/>
      </c>
      <c r="AB70" s="209"/>
    </row>
    <row r="71" spans="2:28" x14ac:dyDescent="0.15">
      <c r="B71" s="209"/>
      <c r="C71" s="124"/>
      <c r="D71" s="125"/>
      <c r="Q71" s="217" t="str">
        <f t="shared" si="2"/>
        <v/>
      </c>
      <c r="T71" s="189" t="str">
        <f t="shared" si="0"/>
        <v/>
      </c>
      <c r="AB71" s="209"/>
    </row>
    <row r="72" spans="2:28" x14ac:dyDescent="0.15">
      <c r="B72" s="209"/>
      <c r="C72" s="124"/>
      <c r="D72" s="125"/>
      <c r="Q72" s="217" t="str">
        <f t="shared" si="2"/>
        <v/>
      </c>
      <c r="T72" s="189" t="str">
        <f t="shared" si="0"/>
        <v/>
      </c>
      <c r="AB72" s="209"/>
    </row>
    <row r="73" spans="2:28" x14ac:dyDescent="0.15">
      <c r="B73" s="209"/>
      <c r="C73" s="124"/>
      <c r="D73" s="125"/>
      <c r="Q73" s="217" t="str">
        <f t="shared" si="2"/>
        <v/>
      </c>
      <c r="T73" s="189" t="str">
        <f t="shared" si="0"/>
        <v/>
      </c>
      <c r="AB73" s="209"/>
    </row>
    <row r="74" spans="2:28" x14ac:dyDescent="0.15">
      <c r="B74" s="209"/>
      <c r="C74" s="124"/>
      <c r="D74" s="125"/>
      <c r="Q74" s="217"/>
      <c r="AB74" s="209"/>
    </row>
    <row r="75" spans="2:28" x14ac:dyDescent="0.15">
      <c r="B75" s="209"/>
      <c r="C75" s="124"/>
      <c r="D75" s="125"/>
      <c r="Q75" s="217"/>
      <c r="AB75" s="209"/>
    </row>
    <row r="76" spans="2:28" x14ac:dyDescent="0.15">
      <c r="B76" s="209"/>
      <c r="C76" s="124"/>
      <c r="D76" s="125"/>
      <c r="Q76" s="217"/>
      <c r="AB76" s="209"/>
    </row>
    <row r="77" spans="2:28" x14ac:dyDescent="0.15">
      <c r="B77" s="209"/>
      <c r="C77" s="124"/>
      <c r="D77" s="125"/>
      <c r="Q77" s="217"/>
      <c r="AB77" s="209"/>
    </row>
    <row r="78" spans="2:28" x14ac:dyDescent="0.15">
      <c r="B78" s="209"/>
      <c r="C78" s="124"/>
      <c r="D78" s="125"/>
      <c r="Q78" s="217"/>
      <c r="AB78" s="209"/>
    </row>
    <row r="79" spans="2:28" x14ac:dyDescent="0.15">
      <c r="B79" s="209"/>
      <c r="C79" s="124"/>
      <c r="D79" s="125"/>
      <c r="Q79" s="217"/>
      <c r="AB79" s="209"/>
    </row>
    <row r="80" spans="2:28" x14ac:dyDescent="0.15">
      <c r="B80" s="209"/>
      <c r="C80" s="124"/>
      <c r="D80" s="125"/>
      <c r="Q80" s="217"/>
      <c r="AB80" s="209"/>
    </row>
    <row r="81" spans="2:28" x14ac:dyDescent="0.15">
      <c r="B81" s="209"/>
      <c r="C81" s="124"/>
      <c r="D81" s="125"/>
      <c r="Q81" s="217"/>
      <c r="AB81" s="209"/>
    </row>
    <row r="82" spans="2:28" x14ac:dyDescent="0.15">
      <c r="B82" s="209"/>
      <c r="C82" s="124"/>
      <c r="D82" s="125"/>
      <c r="Q82" s="217"/>
      <c r="AB82" s="209"/>
    </row>
    <row r="83" spans="2:28" x14ac:dyDescent="0.15">
      <c r="B83" s="209"/>
      <c r="C83" s="124"/>
      <c r="Q83" s="217"/>
      <c r="AB83" s="209"/>
    </row>
    <row r="84" spans="2:28" x14ac:dyDescent="0.15">
      <c r="B84" s="209"/>
      <c r="C84" s="124"/>
      <c r="Q84" s="217"/>
      <c r="AB84" s="209"/>
    </row>
    <row r="85" spans="2:28" x14ac:dyDescent="0.15">
      <c r="B85" s="209"/>
      <c r="C85" s="124"/>
      <c r="Q85" s="217"/>
      <c r="AB85" s="209"/>
    </row>
    <row r="86" spans="2:28" x14ac:dyDescent="0.15">
      <c r="B86" s="209"/>
      <c r="C86" s="124"/>
      <c r="Q86" s="217"/>
      <c r="AB86" s="209"/>
    </row>
    <row r="87" spans="2:28" x14ac:dyDescent="0.15">
      <c r="B87" s="209"/>
      <c r="C87" s="124"/>
      <c r="Q87" s="217"/>
      <c r="AB87" s="209"/>
    </row>
    <row r="88" spans="2:28" x14ac:dyDescent="0.15">
      <c r="B88" s="209"/>
      <c r="C88" s="124"/>
      <c r="Q88" s="217"/>
      <c r="AB88" s="209"/>
    </row>
    <row r="89" spans="2:28" x14ac:dyDescent="0.15">
      <c r="B89" s="209"/>
      <c r="C89" s="124"/>
      <c r="Q89" s="217"/>
      <c r="AB89" s="209"/>
    </row>
    <row r="90" spans="2:28" x14ac:dyDescent="0.15">
      <c r="B90" s="209"/>
      <c r="C90" s="124"/>
      <c r="Q90" s="217"/>
      <c r="AB90" s="209"/>
    </row>
    <row r="91" spans="2:28" x14ac:dyDescent="0.15">
      <c r="B91" s="209"/>
      <c r="C91" s="124"/>
      <c r="Q91" s="217"/>
      <c r="AB91" s="209"/>
    </row>
    <row r="92" spans="2:28" x14ac:dyDescent="0.15">
      <c r="B92" s="209"/>
      <c r="C92" s="124"/>
      <c r="Q92" s="217"/>
      <c r="AB92" s="209"/>
    </row>
    <row r="93" spans="2:28" x14ac:dyDescent="0.15">
      <c r="B93" s="209"/>
      <c r="C93" s="124"/>
      <c r="Q93" s="217"/>
      <c r="AB93" s="209"/>
    </row>
    <row r="94" spans="2:28" x14ac:dyDescent="0.15">
      <c r="B94" s="209"/>
      <c r="C94" s="124"/>
      <c r="Q94" s="217"/>
      <c r="AB94" s="209"/>
    </row>
    <row r="95" spans="2:28" x14ac:dyDescent="0.15">
      <c r="B95" s="209"/>
      <c r="C95" s="124"/>
      <c r="Q95" s="217"/>
      <c r="AB95" s="209"/>
    </row>
    <row r="96" spans="2:28" x14ac:dyDescent="0.15">
      <c r="B96" s="209"/>
      <c r="C96" s="124"/>
      <c r="Q96" s="217"/>
      <c r="AB96" s="209"/>
    </row>
    <row r="97" spans="2:28" x14ac:dyDescent="0.15">
      <c r="B97" s="209"/>
      <c r="C97" s="124"/>
      <c r="Q97" s="217"/>
      <c r="AB97" s="209"/>
    </row>
    <row r="98" spans="2:28" x14ac:dyDescent="0.15">
      <c r="B98" s="209"/>
      <c r="C98" s="124"/>
      <c r="Q98" s="217"/>
      <c r="AB98" s="209"/>
    </row>
    <row r="99" spans="2:28" x14ac:dyDescent="0.15">
      <c r="B99" s="209"/>
      <c r="C99" s="124"/>
      <c r="AB99" s="209"/>
    </row>
    <row r="100" spans="2:28" x14ac:dyDescent="0.15">
      <c r="B100" s="209"/>
      <c r="C100" s="124"/>
      <c r="AB100" s="209"/>
    </row>
    <row r="101" spans="2:28" x14ac:dyDescent="0.15">
      <c r="Q101" s="189" t="str">
        <f t="shared" ref="Q101:Q152" si="3">IF(OR(O101="",P101=""),"",AVERAGE(O101,P101))</f>
        <v/>
      </c>
      <c r="T101" s="189" t="str">
        <f t="shared" ref="T101:T152" si="4">IF(H101="","",IF(OR(H101="GREEN",H101="GK"),IF(S101&gt;=$AX$2,VLOOKUP(S101,$AX$2:$AY$12,2,1),""),IF(S101&gt;=$AZ$2,VLOOKUP(S101,$AZ$2:$BA$12,2,1),"")))</f>
        <v/>
      </c>
      <c r="V101" s="189" t="str">
        <f t="shared" ref="V101:V152" si="5">IF(J101="","",IF(OR(J101="GREEN",J101="GK"),IF(U101&gt;=$AX$2,VLOOKUP(U101,$AX$2:$AY$12,2,1),""),IF(U101&gt;=$AZ$2,VLOOKUP(U101,$AZ$2:$BA$12,2,1),"")))</f>
        <v/>
      </c>
      <c r="AB101" s="209"/>
    </row>
    <row r="102" spans="2:28" x14ac:dyDescent="0.15">
      <c r="Q102" s="189" t="str">
        <f t="shared" si="3"/>
        <v/>
      </c>
      <c r="T102" s="189" t="str">
        <f t="shared" si="4"/>
        <v/>
      </c>
      <c r="V102" s="189" t="str">
        <f t="shared" si="5"/>
        <v/>
      </c>
    </row>
    <row r="103" spans="2:28" x14ac:dyDescent="0.15">
      <c r="Q103" s="189" t="str">
        <f t="shared" si="3"/>
        <v/>
      </c>
      <c r="T103" s="189" t="str">
        <f t="shared" si="4"/>
        <v/>
      </c>
      <c r="V103" s="189" t="str">
        <f t="shared" si="5"/>
        <v/>
      </c>
    </row>
    <row r="104" spans="2:28" x14ac:dyDescent="0.15">
      <c r="Q104" s="189" t="str">
        <f t="shared" si="3"/>
        <v/>
      </c>
      <c r="T104" s="189" t="str">
        <f t="shared" si="4"/>
        <v/>
      </c>
      <c r="V104" s="189" t="str">
        <f t="shared" si="5"/>
        <v/>
      </c>
    </row>
    <row r="105" spans="2:28" x14ac:dyDescent="0.15">
      <c r="Q105" s="189" t="str">
        <f t="shared" si="3"/>
        <v/>
      </c>
      <c r="T105" s="189" t="str">
        <f t="shared" si="4"/>
        <v/>
      </c>
      <c r="V105" s="189" t="str">
        <f t="shared" si="5"/>
        <v/>
      </c>
    </row>
    <row r="106" spans="2:28" x14ac:dyDescent="0.15">
      <c r="Q106" s="189" t="str">
        <f t="shared" si="3"/>
        <v/>
      </c>
      <c r="T106" s="189" t="str">
        <f t="shared" si="4"/>
        <v/>
      </c>
      <c r="V106" s="189" t="str">
        <f t="shared" si="5"/>
        <v/>
      </c>
    </row>
    <row r="107" spans="2:28" x14ac:dyDescent="0.15">
      <c r="Q107" s="189" t="str">
        <f t="shared" si="3"/>
        <v/>
      </c>
      <c r="T107" s="189" t="str">
        <f t="shared" si="4"/>
        <v/>
      </c>
      <c r="V107" s="189" t="str">
        <f t="shared" si="5"/>
        <v/>
      </c>
    </row>
    <row r="108" spans="2:28" x14ac:dyDescent="0.15">
      <c r="Q108" s="189" t="str">
        <f t="shared" si="3"/>
        <v/>
      </c>
      <c r="T108" s="189" t="str">
        <f t="shared" si="4"/>
        <v/>
      </c>
      <c r="V108" s="189" t="str">
        <f t="shared" si="5"/>
        <v/>
      </c>
    </row>
    <row r="109" spans="2:28" x14ac:dyDescent="0.15">
      <c r="Q109" s="189" t="str">
        <f t="shared" si="3"/>
        <v/>
      </c>
      <c r="T109" s="189" t="str">
        <f t="shared" si="4"/>
        <v/>
      </c>
      <c r="V109" s="189" t="str">
        <f t="shared" si="5"/>
        <v/>
      </c>
    </row>
    <row r="110" spans="2:28" x14ac:dyDescent="0.15">
      <c r="Q110" s="189" t="str">
        <f t="shared" si="3"/>
        <v/>
      </c>
      <c r="T110" s="189" t="str">
        <f t="shared" si="4"/>
        <v/>
      </c>
      <c r="V110" s="189" t="str">
        <f t="shared" si="5"/>
        <v/>
      </c>
    </row>
    <row r="111" spans="2:28" x14ac:dyDescent="0.15">
      <c r="Q111" s="189" t="str">
        <f t="shared" si="3"/>
        <v/>
      </c>
      <c r="T111" s="189" t="str">
        <f t="shared" si="4"/>
        <v/>
      </c>
      <c r="V111" s="189" t="str">
        <f t="shared" si="5"/>
        <v/>
      </c>
    </row>
    <row r="112" spans="2:28" x14ac:dyDescent="0.15">
      <c r="Q112" s="189" t="str">
        <f t="shared" si="3"/>
        <v/>
      </c>
      <c r="T112" s="189" t="str">
        <f t="shared" si="4"/>
        <v/>
      </c>
      <c r="V112" s="189" t="str">
        <f t="shared" si="5"/>
        <v/>
      </c>
    </row>
    <row r="113" spans="17:22" x14ac:dyDescent="0.15">
      <c r="Q113" s="189" t="str">
        <f t="shared" si="3"/>
        <v/>
      </c>
      <c r="T113" s="189" t="str">
        <f t="shared" si="4"/>
        <v/>
      </c>
      <c r="V113" s="189" t="str">
        <f t="shared" si="5"/>
        <v/>
      </c>
    </row>
    <row r="114" spans="17:22" x14ac:dyDescent="0.15">
      <c r="Q114" s="189" t="str">
        <f t="shared" si="3"/>
        <v/>
      </c>
      <c r="T114" s="189" t="str">
        <f t="shared" si="4"/>
        <v/>
      </c>
      <c r="V114" s="189" t="str">
        <f t="shared" si="5"/>
        <v/>
      </c>
    </row>
    <row r="115" spans="17:22" x14ac:dyDescent="0.15">
      <c r="Q115" s="189" t="str">
        <f t="shared" si="3"/>
        <v/>
      </c>
      <c r="T115" s="189" t="str">
        <f t="shared" si="4"/>
        <v/>
      </c>
      <c r="V115" s="189" t="str">
        <f t="shared" si="5"/>
        <v/>
      </c>
    </row>
    <row r="116" spans="17:22" x14ac:dyDescent="0.15">
      <c r="Q116" s="189" t="str">
        <f t="shared" si="3"/>
        <v/>
      </c>
      <c r="T116" s="189" t="str">
        <f t="shared" si="4"/>
        <v/>
      </c>
      <c r="V116" s="189" t="str">
        <f t="shared" si="5"/>
        <v/>
      </c>
    </row>
    <row r="117" spans="17:22" x14ac:dyDescent="0.15">
      <c r="Q117" s="189" t="str">
        <f t="shared" si="3"/>
        <v/>
      </c>
      <c r="T117" s="189" t="str">
        <f t="shared" si="4"/>
        <v/>
      </c>
      <c r="V117" s="189" t="str">
        <f t="shared" si="5"/>
        <v/>
      </c>
    </row>
    <row r="118" spans="17:22" x14ac:dyDescent="0.15">
      <c r="Q118" s="189" t="str">
        <f t="shared" si="3"/>
        <v/>
      </c>
      <c r="T118" s="189" t="str">
        <f t="shared" si="4"/>
        <v/>
      </c>
      <c r="V118" s="189" t="str">
        <f t="shared" si="5"/>
        <v/>
      </c>
    </row>
    <row r="119" spans="17:22" x14ac:dyDescent="0.15">
      <c r="Q119" s="189" t="str">
        <f t="shared" si="3"/>
        <v/>
      </c>
      <c r="T119" s="189" t="str">
        <f t="shared" si="4"/>
        <v/>
      </c>
      <c r="V119" s="189" t="str">
        <f t="shared" si="5"/>
        <v/>
      </c>
    </row>
    <row r="120" spans="17:22" x14ac:dyDescent="0.15">
      <c r="Q120" s="189" t="str">
        <f t="shared" si="3"/>
        <v/>
      </c>
      <c r="T120" s="189" t="str">
        <f t="shared" si="4"/>
        <v/>
      </c>
      <c r="V120" s="189" t="str">
        <f t="shared" si="5"/>
        <v/>
      </c>
    </row>
    <row r="121" spans="17:22" x14ac:dyDescent="0.15">
      <c r="Q121" s="189" t="str">
        <f t="shared" si="3"/>
        <v/>
      </c>
      <c r="T121" s="189" t="str">
        <f t="shared" si="4"/>
        <v/>
      </c>
      <c r="V121" s="189" t="str">
        <f t="shared" si="5"/>
        <v/>
      </c>
    </row>
    <row r="122" spans="17:22" x14ac:dyDescent="0.15">
      <c r="Q122" s="189" t="str">
        <f t="shared" si="3"/>
        <v/>
      </c>
      <c r="T122" s="189" t="str">
        <f t="shared" si="4"/>
        <v/>
      </c>
      <c r="V122" s="189" t="str">
        <f t="shared" si="5"/>
        <v/>
      </c>
    </row>
    <row r="123" spans="17:22" x14ac:dyDescent="0.15">
      <c r="Q123" s="189" t="str">
        <f t="shared" si="3"/>
        <v/>
      </c>
      <c r="T123" s="189" t="str">
        <f t="shared" si="4"/>
        <v/>
      </c>
      <c r="V123" s="189" t="str">
        <f t="shared" si="5"/>
        <v/>
      </c>
    </row>
    <row r="124" spans="17:22" x14ac:dyDescent="0.15">
      <c r="Q124" s="189" t="str">
        <f t="shared" si="3"/>
        <v/>
      </c>
      <c r="T124" s="189" t="str">
        <f t="shared" si="4"/>
        <v/>
      </c>
      <c r="V124" s="189" t="str">
        <f t="shared" si="5"/>
        <v/>
      </c>
    </row>
    <row r="125" spans="17:22" x14ac:dyDescent="0.15">
      <c r="Q125" s="189" t="str">
        <f t="shared" si="3"/>
        <v/>
      </c>
      <c r="T125" s="189" t="str">
        <f t="shared" si="4"/>
        <v/>
      </c>
      <c r="V125" s="189" t="str">
        <f t="shared" si="5"/>
        <v/>
      </c>
    </row>
    <row r="126" spans="17:22" x14ac:dyDescent="0.15">
      <c r="Q126" s="189" t="str">
        <f t="shared" si="3"/>
        <v/>
      </c>
      <c r="T126" s="189" t="str">
        <f t="shared" si="4"/>
        <v/>
      </c>
      <c r="V126" s="189" t="str">
        <f t="shared" si="5"/>
        <v/>
      </c>
    </row>
    <row r="127" spans="17:22" x14ac:dyDescent="0.15">
      <c r="Q127" s="189" t="str">
        <f t="shared" si="3"/>
        <v/>
      </c>
      <c r="T127" s="189" t="str">
        <f t="shared" si="4"/>
        <v/>
      </c>
      <c r="V127" s="189" t="str">
        <f t="shared" si="5"/>
        <v/>
      </c>
    </row>
    <row r="128" spans="17:22" x14ac:dyDescent="0.15">
      <c r="Q128" s="189" t="str">
        <f t="shared" si="3"/>
        <v/>
      </c>
      <c r="T128" s="189" t="str">
        <f t="shared" si="4"/>
        <v/>
      </c>
      <c r="V128" s="189" t="str">
        <f t="shared" si="5"/>
        <v/>
      </c>
    </row>
    <row r="129" spans="17:22" x14ac:dyDescent="0.15">
      <c r="Q129" s="189" t="str">
        <f t="shared" si="3"/>
        <v/>
      </c>
      <c r="T129" s="189" t="str">
        <f t="shared" si="4"/>
        <v/>
      </c>
      <c r="V129" s="189" t="str">
        <f t="shared" si="5"/>
        <v/>
      </c>
    </row>
    <row r="130" spans="17:22" x14ac:dyDescent="0.15">
      <c r="Q130" s="189" t="str">
        <f t="shared" si="3"/>
        <v/>
      </c>
      <c r="T130" s="189" t="str">
        <f t="shared" si="4"/>
        <v/>
      </c>
      <c r="V130" s="189" t="str">
        <f t="shared" si="5"/>
        <v/>
      </c>
    </row>
    <row r="131" spans="17:22" x14ac:dyDescent="0.15">
      <c r="Q131" s="189" t="str">
        <f t="shared" si="3"/>
        <v/>
      </c>
      <c r="T131" s="189" t="str">
        <f t="shared" si="4"/>
        <v/>
      </c>
      <c r="V131" s="189" t="str">
        <f t="shared" si="5"/>
        <v/>
      </c>
    </row>
    <row r="132" spans="17:22" x14ac:dyDescent="0.15">
      <c r="Q132" s="189" t="str">
        <f t="shared" si="3"/>
        <v/>
      </c>
      <c r="T132" s="189" t="str">
        <f t="shared" si="4"/>
        <v/>
      </c>
      <c r="V132" s="189" t="str">
        <f t="shared" si="5"/>
        <v/>
      </c>
    </row>
    <row r="133" spans="17:22" x14ac:dyDescent="0.15">
      <c r="Q133" s="189" t="str">
        <f t="shared" si="3"/>
        <v/>
      </c>
      <c r="T133" s="189" t="str">
        <f t="shared" si="4"/>
        <v/>
      </c>
      <c r="V133" s="189" t="str">
        <f t="shared" si="5"/>
        <v/>
      </c>
    </row>
    <row r="134" spans="17:22" x14ac:dyDescent="0.15">
      <c r="Q134" s="189" t="str">
        <f t="shared" si="3"/>
        <v/>
      </c>
      <c r="T134" s="189" t="str">
        <f t="shared" si="4"/>
        <v/>
      </c>
      <c r="V134" s="189" t="str">
        <f t="shared" si="5"/>
        <v/>
      </c>
    </row>
    <row r="135" spans="17:22" x14ac:dyDescent="0.15">
      <c r="Q135" s="189" t="str">
        <f t="shared" si="3"/>
        <v/>
      </c>
      <c r="T135" s="189" t="str">
        <f t="shared" si="4"/>
        <v/>
      </c>
      <c r="V135" s="189" t="str">
        <f t="shared" si="5"/>
        <v/>
      </c>
    </row>
    <row r="136" spans="17:22" x14ac:dyDescent="0.15">
      <c r="Q136" s="189" t="str">
        <f t="shared" si="3"/>
        <v/>
      </c>
      <c r="T136" s="189" t="str">
        <f t="shared" si="4"/>
        <v/>
      </c>
      <c r="V136" s="189" t="str">
        <f t="shared" si="5"/>
        <v/>
      </c>
    </row>
    <row r="137" spans="17:22" x14ac:dyDescent="0.15">
      <c r="Q137" s="189" t="str">
        <f t="shared" si="3"/>
        <v/>
      </c>
      <c r="T137" s="189" t="str">
        <f t="shared" si="4"/>
        <v/>
      </c>
      <c r="V137" s="189" t="str">
        <f t="shared" si="5"/>
        <v/>
      </c>
    </row>
    <row r="138" spans="17:22" x14ac:dyDescent="0.15">
      <c r="Q138" s="189" t="str">
        <f t="shared" si="3"/>
        <v/>
      </c>
      <c r="T138" s="189" t="str">
        <f t="shared" si="4"/>
        <v/>
      </c>
      <c r="V138" s="189" t="str">
        <f t="shared" si="5"/>
        <v/>
      </c>
    </row>
    <row r="139" spans="17:22" x14ac:dyDescent="0.15">
      <c r="Q139" s="189" t="str">
        <f t="shared" si="3"/>
        <v/>
      </c>
      <c r="T139" s="189" t="str">
        <f t="shared" si="4"/>
        <v/>
      </c>
      <c r="V139" s="189" t="str">
        <f t="shared" si="5"/>
        <v/>
      </c>
    </row>
    <row r="140" spans="17:22" x14ac:dyDescent="0.15">
      <c r="Q140" s="189" t="str">
        <f t="shared" si="3"/>
        <v/>
      </c>
      <c r="T140" s="189" t="str">
        <f t="shared" si="4"/>
        <v/>
      </c>
      <c r="V140" s="189" t="str">
        <f t="shared" si="5"/>
        <v/>
      </c>
    </row>
    <row r="141" spans="17:22" x14ac:dyDescent="0.15">
      <c r="Q141" s="189" t="str">
        <f t="shared" si="3"/>
        <v/>
      </c>
      <c r="T141" s="189" t="str">
        <f t="shared" si="4"/>
        <v/>
      </c>
      <c r="V141" s="189" t="str">
        <f t="shared" si="5"/>
        <v/>
      </c>
    </row>
    <row r="142" spans="17:22" x14ac:dyDescent="0.15">
      <c r="Q142" s="189" t="str">
        <f t="shared" si="3"/>
        <v/>
      </c>
      <c r="T142" s="189" t="str">
        <f t="shared" si="4"/>
        <v/>
      </c>
      <c r="V142" s="189" t="str">
        <f t="shared" si="5"/>
        <v/>
      </c>
    </row>
    <row r="143" spans="17:22" x14ac:dyDescent="0.15">
      <c r="Q143" s="189" t="str">
        <f t="shared" si="3"/>
        <v/>
      </c>
      <c r="T143" s="189" t="str">
        <f t="shared" si="4"/>
        <v/>
      </c>
      <c r="V143" s="189" t="str">
        <f t="shared" si="5"/>
        <v/>
      </c>
    </row>
    <row r="144" spans="17:22" x14ac:dyDescent="0.15">
      <c r="Q144" s="189" t="str">
        <f t="shared" si="3"/>
        <v/>
      </c>
      <c r="T144" s="189" t="str">
        <f t="shared" si="4"/>
        <v/>
      </c>
      <c r="V144" s="189" t="str">
        <f t="shared" si="5"/>
        <v/>
      </c>
    </row>
    <row r="145" spans="17:22" x14ac:dyDescent="0.15">
      <c r="Q145" s="189" t="str">
        <f t="shared" si="3"/>
        <v/>
      </c>
      <c r="T145" s="189" t="str">
        <f t="shared" si="4"/>
        <v/>
      </c>
      <c r="V145" s="189" t="str">
        <f t="shared" si="5"/>
        <v/>
      </c>
    </row>
    <row r="146" spans="17:22" x14ac:dyDescent="0.15">
      <c r="Q146" s="189" t="str">
        <f t="shared" si="3"/>
        <v/>
      </c>
      <c r="T146" s="189" t="str">
        <f t="shared" si="4"/>
        <v/>
      </c>
      <c r="V146" s="189" t="str">
        <f t="shared" si="5"/>
        <v/>
      </c>
    </row>
    <row r="147" spans="17:22" x14ac:dyDescent="0.15">
      <c r="Q147" s="189" t="str">
        <f t="shared" si="3"/>
        <v/>
      </c>
      <c r="T147" s="189" t="str">
        <f t="shared" si="4"/>
        <v/>
      </c>
      <c r="V147" s="189" t="str">
        <f t="shared" si="5"/>
        <v/>
      </c>
    </row>
    <row r="148" spans="17:22" x14ac:dyDescent="0.15">
      <c r="Q148" s="189" t="str">
        <f t="shared" si="3"/>
        <v/>
      </c>
      <c r="T148" s="189" t="str">
        <f t="shared" si="4"/>
        <v/>
      </c>
      <c r="V148" s="189" t="str">
        <f t="shared" si="5"/>
        <v/>
      </c>
    </row>
    <row r="149" spans="17:22" x14ac:dyDescent="0.15">
      <c r="Q149" s="189" t="str">
        <f t="shared" si="3"/>
        <v/>
      </c>
      <c r="T149" s="189" t="str">
        <f t="shared" si="4"/>
        <v/>
      </c>
      <c r="V149" s="189" t="str">
        <f t="shared" si="5"/>
        <v/>
      </c>
    </row>
    <row r="150" spans="17:22" x14ac:dyDescent="0.15">
      <c r="Q150" s="189" t="str">
        <f t="shared" si="3"/>
        <v/>
      </c>
      <c r="T150" s="189" t="str">
        <f t="shared" si="4"/>
        <v/>
      </c>
      <c r="V150" s="189" t="str">
        <f t="shared" si="5"/>
        <v/>
      </c>
    </row>
    <row r="151" spans="17:22" x14ac:dyDescent="0.15">
      <c r="Q151" s="189" t="str">
        <f t="shared" si="3"/>
        <v/>
      </c>
      <c r="T151" s="189" t="str">
        <f t="shared" si="4"/>
        <v/>
      </c>
      <c r="V151" s="189" t="str">
        <f t="shared" si="5"/>
        <v/>
      </c>
    </row>
    <row r="152" spans="17:22" x14ac:dyDescent="0.15">
      <c r="Q152" s="189" t="str">
        <f t="shared" si="3"/>
        <v/>
      </c>
      <c r="T152" s="189" t="str">
        <f t="shared" si="4"/>
        <v/>
      </c>
      <c r="V152" s="189"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44:J492 JF2:JF61">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A2:A49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G2:G49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TA2:TA61">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A37" zoomScale="85" zoomScaleNormal="85" zoomScaleSheetLayoutView="100" workbookViewId="0">
      <selection activeCell="AB33" sqref="AB33"/>
    </sheetView>
  </sheetViews>
  <sheetFormatPr defaultRowHeight="13.5" x14ac:dyDescent="0.15"/>
  <cols>
    <col min="1" max="3" width="9" style="180"/>
    <col min="4" max="4" width="10.5" style="180" bestFit="1" customWidth="1"/>
    <col min="5" max="16" width="9" style="180"/>
    <col min="17" max="17" width="9" style="189"/>
    <col min="18" max="19" width="9" style="180"/>
    <col min="20" max="20" width="9" style="189"/>
    <col min="21" max="21" width="9" style="180"/>
    <col min="22" max="22" width="9" style="189"/>
    <col min="23" max="32" width="9" style="180"/>
    <col min="33" max="33" width="16.875" style="180" bestFit="1" customWidth="1"/>
    <col min="34" max="34" width="15.625" style="180" customWidth="1"/>
    <col min="35" max="39" width="9" style="115"/>
    <col min="40" max="16384" width="9" style="180"/>
  </cols>
  <sheetData>
    <row r="1" spans="1:53" ht="45" x14ac:dyDescent="0.15">
      <c r="A1" s="212" t="s">
        <v>0</v>
      </c>
      <c r="B1" s="174" t="s">
        <v>1</v>
      </c>
      <c r="C1" s="174" t="s">
        <v>475</v>
      </c>
      <c r="D1" s="175" t="s">
        <v>3</v>
      </c>
      <c r="E1" s="213" t="s">
        <v>4</v>
      </c>
      <c r="F1" s="213" t="s">
        <v>5</v>
      </c>
      <c r="G1" s="213" t="s">
        <v>6</v>
      </c>
      <c r="H1" s="213" t="s">
        <v>7</v>
      </c>
      <c r="I1" s="213" t="s">
        <v>8</v>
      </c>
      <c r="J1" s="213" t="s">
        <v>9</v>
      </c>
      <c r="K1" s="173" t="s">
        <v>10</v>
      </c>
      <c r="L1" s="175" t="s">
        <v>476</v>
      </c>
      <c r="M1" s="175" t="s">
        <v>12</v>
      </c>
      <c r="N1" s="175" t="s">
        <v>13</v>
      </c>
      <c r="O1" s="175" t="s">
        <v>477</v>
      </c>
      <c r="P1" s="175" t="s">
        <v>478</v>
      </c>
      <c r="Q1" s="176" t="s">
        <v>16</v>
      </c>
      <c r="R1" s="175" t="s">
        <v>479</v>
      </c>
      <c r="S1" s="175" t="s">
        <v>480</v>
      </c>
      <c r="T1" s="176" t="s">
        <v>19</v>
      </c>
      <c r="U1" s="177" t="s">
        <v>108</v>
      </c>
      <c r="V1" s="178" t="s">
        <v>20</v>
      </c>
      <c r="W1" s="175" t="s">
        <v>21</v>
      </c>
      <c r="X1" s="213" t="s">
        <v>22</v>
      </c>
      <c r="Y1" s="213" t="s">
        <v>23</v>
      </c>
      <c r="Z1" s="213" t="s">
        <v>24</v>
      </c>
      <c r="AA1" s="214" t="s">
        <v>25</v>
      </c>
      <c r="AB1" s="179" t="s">
        <v>481</v>
      </c>
      <c r="AE1" s="181" t="s">
        <v>0</v>
      </c>
      <c r="AF1" s="182"/>
      <c r="AG1" s="181" t="s">
        <v>4</v>
      </c>
      <c r="AH1" s="181" t="s">
        <v>5</v>
      </c>
      <c r="AI1" s="134"/>
      <c r="AJ1" s="135" t="s">
        <v>6</v>
      </c>
      <c r="AK1" s="134"/>
      <c r="AL1" s="136" t="s">
        <v>7</v>
      </c>
      <c r="AM1" s="134"/>
      <c r="AN1" s="183" t="s">
        <v>8</v>
      </c>
      <c r="AO1" s="182"/>
      <c r="AP1" s="183" t="s">
        <v>27</v>
      </c>
      <c r="AQ1" s="182"/>
      <c r="AR1" s="183" t="s">
        <v>10</v>
      </c>
      <c r="AS1" s="182"/>
      <c r="AT1" s="184" t="s">
        <v>28</v>
      </c>
      <c r="AU1" s="182"/>
      <c r="AV1" s="183" t="s">
        <v>29</v>
      </c>
      <c r="AX1" s="185" t="s">
        <v>482</v>
      </c>
      <c r="AY1" s="186" t="s">
        <v>483</v>
      </c>
      <c r="AZ1" s="186" t="s">
        <v>484</v>
      </c>
      <c r="BA1" s="187" t="s">
        <v>485</v>
      </c>
    </row>
    <row r="2" spans="1:53" x14ac:dyDescent="0.15">
      <c r="A2" s="137" t="s">
        <v>34</v>
      </c>
      <c r="B2" s="137" t="s">
        <v>486</v>
      </c>
      <c r="C2" s="137">
        <v>2018</v>
      </c>
      <c r="D2" s="138" t="s">
        <v>487</v>
      </c>
      <c r="E2" s="137" t="s">
        <v>488</v>
      </c>
      <c r="F2" s="137" t="s">
        <v>286</v>
      </c>
      <c r="G2" s="139" t="s">
        <v>36</v>
      </c>
      <c r="H2" s="140" t="s">
        <v>155</v>
      </c>
      <c r="I2" s="109" t="s">
        <v>153</v>
      </c>
      <c r="J2" s="172" t="s">
        <v>38</v>
      </c>
      <c r="K2" s="109" t="s">
        <v>154</v>
      </c>
      <c r="L2" s="141">
        <v>1</v>
      </c>
      <c r="M2" s="142"/>
      <c r="N2" s="142">
        <v>1</v>
      </c>
      <c r="O2" s="142">
        <v>0.55000000000000004</v>
      </c>
      <c r="P2" s="142">
        <v>0.6</v>
      </c>
      <c r="Q2" s="143">
        <f t="shared" ref="Q2:Q65" si="0">IF(OR(O2="",P2=""),"",AVERAGE(O2,P2))</f>
        <v>0.57499999999999996</v>
      </c>
      <c r="R2" s="144">
        <v>14.1</v>
      </c>
      <c r="S2" s="140">
        <v>124</v>
      </c>
      <c r="T2" s="145">
        <f t="shared" ref="T2:T65" si="1">IF(H2="","",IF(OR(H2="GREEN",H2="GK"),IF(S2&gt;=$AX$2,VLOOKUP(S2,$AX$2:$AY$7,2,1),""),IF(S2&gt;=$AZ$2,VLOOKUP(S2,$AZ$2:$BA$7,2,1),"")))</f>
        <v>30</v>
      </c>
      <c r="U2" s="109">
        <v>88</v>
      </c>
      <c r="V2" s="145">
        <f t="shared" ref="V2:V65" si="2">IF(OR(N2="",U2="",T2=""),"",U2/N2*T2)</f>
        <v>2640</v>
      </c>
      <c r="W2" s="146">
        <v>2</v>
      </c>
      <c r="X2" s="147" t="s">
        <v>46</v>
      </c>
      <c r="Y2" s="147" t="s">
        <v>69</v>
      </c>
      <c r="Z2" s="147" t="s">
        <v>90</v>
      </c>
      <c r="AA2" s="148" t="s">
        <v>102</v>
      </c>
      <c r="AB2" s="53" t="s">
        <v>489</v>
      </c>
      <c r="AE2" s="190" t="s">
        <v>35</v>
      </c>
      <c r="AG2" s="215" t="s">
        <v>490</v>
      </c>
      <c r="AH2" s="215" t="s">
        <v>287</v>
      </c>
      <c r="AJ2" s="116" t="s">
        <v>36</v>
      </c>
      <c r="AL2" s="191" t="s">
        <v>127</v>
      </c>
      <c r="AN2" s="191" t="s">
        <v>37</v>
      </c>
      <c r="AO2" s="188"/>
      <c r="AP2" s="191" t="s">
        <v>38</v>
      </c>
      <c r="AQ2" s="188"/>
      <c r="AR2" s="191" t="s">
        <v>491</v>
      </c>
      <c r="AS2" s="188"/>
      <c r="AT2" s="191" t="s">
        <v>39</v>
      </c>
      <c r="AU2" s="188"/>
      <c r="AV2" s="220" t="s">
        <v>40</v>
      </c>
      <c r="AW2" s="188"/>
      <c r="AX2" s="192">
        <v>1</v>
      </c>
      <c r="AY2" s="193">
        <v>50</v>
      </c>
      <c r="AZ2" s="193">
        <v>1</v>
      </c>
      <c r="BA2" s="194">
        <v>50</v>
      </c>
    </row>
    <row r="3" spans="1:53" x14ac:dyDescent="0.15">
      <c r="A3" s="149" t="s">
        <v>34</v>
      </c>
      <c r="B3" s="149" t="s">
        <v>346</v>
      </c>
      <c r="C3" s="150">
        <v>2018</v>
      </c>
      <c r="D3" s="151" t="s">
        <v>403</v>
      </c>
      <c r="E3" s="149" t="s">
        <v>488</v>
      </c>
      <c r="F3" s="149" t="s">
        <v>286</v>
      </c>
      <c r="G3" s="152" t="s">
        <v>36</v>
      </c>
      <c r="H3" s="109" t="s">
        <v>155</v>
      </c>
      <c r="I3" s="109" t="s">
        <v>153</v>
      </c>
      <c r="J3" s="109" t="s">
        <v>38</v>
      </c>
      <c r="K3" s="109" t="s">
        <v>154</v>
      </c>
      <c r="L3" s="180">
        <v>2</v>
      </c>
      <c r="N3" s="180">
        <v>1</v>
      </c>
      <c r="O3" s="180">
        <v>0.4</v>
      </c>
      <c r="P3" s="207">
        <v>0.5</v>
      </c>
      <c r="Q3" s="153">
        <f t="shared" si="0"/>
        <v>0.45</v>
      </c>
      <c r="R3" s="154">
        <v>14.5</v>
      </c>
      <c r="S3" s="154">
        <v>124</v>
      </c>
      <c r="T3" s="189">
        <f t="shared" si="1"/>
        <v>30</v>
      </c>
      <c r="U3" s="155">
        <v>88</v>
      </c>
      <c r="V3" s="156">
        <f t="shared" si="2"/>
        <v>2640</v>
      </c>
      <c r="W3" s="157">
        <v>2</v>
      </c>
      <c r="X3" s="158" t="s">
        <v>46</v>
      </c>
      <c r="Y3" s="158" t="s">
        <v>69</v>
      </c>
      <c r="Z3" s="158" t="s">
        <v>90</v>
      </c>
      <c r="AA3" s="148" t="s">
        <v>102</v>
      </c>
      <c r="AB3" s="53" t="s">
        <v>348</v>
      </c>
      <c r="AE3" s="195" t="s">
        <v>41</v>
      </c>
      <c r="AG3" s="215" t="s">
        <v>288</v>
      </c>
      <c r="AH3" s="215" t="s">
        <v>289</v>
      </c>
      <c r="AJ3" s="159" t="s">
        <v>42</v>
      </c>
      <c r="AL3" s="196" t="s">
        <v>128</v>
      </c>
      <c r="AN3" s="196" t="s">
        <v>43</v>
      </c>
      <c r="AP3" s="196" t="s">
        <v>44</v>
      </c>
      <c r="AR3" s="210" t="s">
        <v>45</v>
      </c>
      <c r="AT3" s="196" t="s">
        <v>46</v>
      </c>
      <c r="AV3" s="196" t="s">
        <v>47</v>
      </c>
      <c r="AX3" s="197">
        <v>72</v>
      </c>
      <c r="AY3" s="198">
        <v>46</v>
      </c>
      <c r="AZ3" s="198">
        <v>71</v>
      </c>
      <c r="BA3" s="199">
        <v>42</v>
      </c>
    </row>
    <row r="4" spans="1:53" x14ac:dyDescent="0.15">
      <c r="A4" s="149" t="s">
        <v>34</v>
      </c>
      <c r="B4" s="149" t="s">
        <v>346</v>
      </c>
      <c r="C4" s="149">
        <v>2018</v>
      </c>
      <c r="D4" s="151" t="s">
        <v>403</v>
      </c>
      <c r="E4" s="149" t="s">
        <v>488</v>
      </c>
      <c r="F4" s="149" t="s">
        <v>286</v>
      </c>
      <c r="G4" s="152" t="s">
        <v>36</v>
      </c>
      <c r="H4" s="109" t="s">
        <v>155</v>
      </c>
      <c r="I4" s="109" t="s">
        <v>153</v>
      </c>
      <c r="J4" s="109" t="s">
        <v>38</v>
      </c>
      <c r="K4" s="109" t="s">
        <v>154</v>
      </c>
      <c r="L4" s="180">
        <v>3</v>
      </c>
      <c r="N4" s="180">
        <v>1</v>
      </c>
      <c r="O4" s="180">
        <v>0.5</v>
      </c>
      <c r="P4" s="207">
        <v>0.45</v>
      </c>
      <c r="Q4" s="217">
        <f t="shared" si="0"/>
        <v>0.47499999999999998</v>
      </c>
      <c r="R4" s="160">
        <v>14.3</v>
      </c>
      <c r="S4" s="160">
        <v>123</v>
      </c>
      <c r="T4" s="189">
        <f t="shared" si="1"/>
        <v>30</v>
      </c>
      <c r="U4" s="161">
        <v>88</v>
      </c>
      <c r="V4" s="156">
        <f t="shared" si="2"/>
        <v>2640</v>
      </c>
      <c r="W4" s="162">
        <v>2</v>
      </c>
      <c r="X4" s="158" t="s">
        <v>46</v>
      </c>
      <c r="Y4" s="158" t="s">
        <v>69</v>
      </c>
      <c r="Z4" s="158" t="s">
        <v>90</v>
      </c>
      <c r="AA4" s="148" t="s">
        <v>102</v>
      </c>
      <c r="AB4" s="53" t="s">
        <v>348</v>
      </c>
      <c r="AE4" s="195" t="s">
        <v>34</v>
      </c>
      <c r="AG4" s="215" t="s">
        <v>492</v>
      </c>
      <c r="AH4" s="215" t="s">
        <v>290</v>
      </c>
      <c r="AJ4" s="163" t="s">
        <v>48</v>
      </c>
      <c r="AL4" s="200" t="s">
        <v>129</v>
      </c>
      <c r="AN4" s="201" t="s">
        <v>49</v>
      </c>
      <c r="AP4" s="196" t="s">
        <v>493</v>
      </c>
      <c r="AR4" s="210" t="s">
        <v>494</v>
      </c>
      <c r="AT4" s="201"/>
      <c r="AV4" s="196" t="s">
        <v>50</v>
      </c>
      <c r="AX4" s="197">
        <v>75</v>
      </c>
      <c r="AY4" s="198">
        <v>42</v>
      </c>
      <c r="AZ4" s="198">
        <v>76</v>
      </c>
      <c r="BA4" s="199">
        <v>39</v>
      </c>
    </row>
    <row r="5" spans="1:53" x14ac:dyDescent="0.15">
      <c r="A5" s="149" t="s">
        <v>34</v>
      </c>
      <c r="B5" s="149" t="s">
        <v>346</v>
      </c>
      <c r="C5" s="150">
        <v>2018</v>
      </c>
      <c r="D5" s="151" t="s">
        <v>403</v>
      </c>
      <c r="E5" s="149" t="s">
        <v>488</v>
      </c>
      <c r="F5" s="149" t="s">
        <v>286</v>
      </c>
      <c r="G5" s="152" t="s">
        <v>36</v>
      </c>
      <c r="H5" s="109" t="s">
        <v>168</v>
      </c>
      <c r="I5" s="109" t="s">
        <v>153</v>
      </c>
      <c r="J5" s="109" t="s">
        <v>38</v>
      </c>
      <c r="K5" s="109" t="s">
        <v>154</v>
      </c>
      <c r="L5" s="180">
        <v>1</v>
      </c>
      <c r="N5" s="180">
        <v>1</v>
      </c>
      <c r="O5" s="180">
        <v>0.6</v>
      </c>
      <c r="P5" s="209">
        <v>0.55000000000000004</v>
      </c>
      <c r="Q5" s="217">
        <f t="shared" si="0"/>
        <v>0.57499999999999996</v>
      </c>
      <c r="R5" s="160">
        <v>16.3</v>
      </c>
      <c r="S5" s="160">
        <v>148</v>
      </c>
      <c r="T5" s="189">
        <f t="shared" si="1"/>
        <v>30</v>
      </c>
      <c r="U5" s="161">
        <v>138</v>
      </c>
      <c r="V5" s="156">
        <f t="shared" si="2"/>
        <v>4140</v>
      </c>
      <c r="W5" s="162">
        <v>2</v>
      </c>
      <c r="X5" s="158" t="s">
        <v>46</v>
      </c>
      <c r="Y5" s="158" t="s">
        <v>69</v>
      </c>
      <c r="Z5" s="158" t="s">
        <v>90</v>
      </c>
      <c r="AA5" s="148" t="s">
        <v>102</v>
      </c>
      <c r="AB5" s="53" t="s">
        <v>348</v>
      </c>
      <c r="AE5" s="195" t="s">
        <v>51</v>
      </c>
      <c r="AG5" s="215" t="s">
        <v>495</v>
      </c>
      <c r="AH5" s="215" t="s">
        <v>293</v>
      </c>
      <c r="AJ5" s="164"/>
      <c r="AL5" s="202" t="s">
        <v>496</v>
      </c>
      <c r="AN5" s="202" t="s">
        <v>497</v>
      </c>
      <c r="AP5" s="196" t="s">
        <v>498</v>
      </c>
      <c r="AR5" s="210" t="s">
        <v>54</v>
      </c>
      <c r="AT5" s="219"/>
      <c r="AV5" s="196" t="s">
        <v>55</v>
      </c>
      <c r="AX5" s="197">
        <v>84</v>
      </c>
      <c r="AY5" s="198">
        <v>39</v>
      </c>
      <c r="AZ5" s="198">
        <v>84</v>
      </c>
      <c r="BA5" s="199">
        <v>36</v>
      </c>
    </row>
    <row r="6" spans="1:53" x14ac:dyDescent="0.15">
      <c r="A6" s="149" t="s">
        <v>34</v>
      </c>
      <c r="B6" s="149" t="s">
        <v>346</v>
      </c>
      <c r="C6" s="149">
        <v>2018</v>
      </c>
      <c r="D6" s="151" t="s">
        <v>403</v>
      </c>
      <c r="E6" s="149" t="s">
        <v>488</v>
      </c>
      <c r="F6" s="149" t="s">
        <v>286</v>
      </c>
      <c r="G6" s="152" t="s">
        <v>36</v>
      </c>
      <c r="H6" s="109" t="s">
        <v>168</v>
      </c>
      <c r="I6" s="109" t="s">
        <v>153</v>
      </c>
      <c r="J6" s="109" t="s">
        <v>38</v>
      </c>
      <c r="K6" s="109" t="s">
        <v>154</v>
      </c>
      <c r="L6" s="180">
        <v>2</v>
      </c>
      <c r="N6" s="180">
        <v>1</v>
      </c>
      <c r="O6" s="180">
        <v>0.6</v>
      </c>
      <c r="P6" s="209">
        <v>0.55000000000000004</v>
      </c>
      <c r="Q6" s="217">
        <f t="shared" si="0"/>
        <v>0.57499999999999996</v>
      </c>
      <c r="R6" s="160">
        <v>16.600000000000001</v>
      </c>
      <c r="S6" s="160">
        <v>150</v>
      </c>
      <c r="T6" s="189">
        <f t="shared" si="1"/>
        <v>30</v>
      </c>
      <c r="U6" s="161">
        <v>138</v>
      </c>
      <c r="V6" s="156">
        <f t="shared" si="2"/>
        <v>4140</v>
      </c>
      <c r="W6" s="162">
        <v>2</v>
      </c>
      <c r="X6" s="158" t="s">
        <v>46</v>
      </c>
      <c r="Y6" s="158" t="s">
        <v>69</v>
      </c>
      <c r="Z6" s="158" t="s">
        <v>90</v>
      </c>
      <c r="AA6" s="148" t="s">
        <v>102</v>
      </c>
      <c r="AB6" s="53" t="s">
        <v>348</v>
      </c>
      <c r="AE6" s="195" t="s">
        <v>56</v>
      </c>
      <c r="AG6" s="215" t="s">
        <v>499</v>
      </c>
      <c r="AH6" s="215" t="s">
        <v>292</v>
      </c>
      <c r="AL6" s="202" t="s">
        <v>500</v>
      </c>
      <c r="AN6" s="202" t="s">
        <v>501</v>
      </c>
      <c r="AP6" s="196" t="s">
        <v>53</v>
      </c>
      <c r="AR6" s="210" t="s">
        <v>59</v>
      </c>
      <c r="AV6" s="196" t="s">
        <v>60</v>
      </c>
      <c r="AX6" s="197">
        <v>97</v>
      </c>
      <c r="AY6" s="198">
        <v>36</v>
      </c>
      <c r="AZ6" s="198">
        <v>99</v>
      </c>
      <c r="BA6" s="199">
        <v>33</v>
      </c>
    </row>
    <row r="7" spans="1:53" x14ac:dyDescent="0.15">
      <c r="A7" s="149" t="s">
        <v>34</v>
      </c>
      <c r="B7" s="149" t="s">
        <v>346</v>
      </c>
      <c r="C7" s="150">
        <v>2018</v>
      </c>
      <c r="D7" s="151" t="s">
        <v>403</v>
      </c>
      <c r="E7" s="149" t="s">
        <v>488</v>
      </c>
      <c r="F7" s="149" t="s">
        <v>286</v>
      </c>
      <c r="G7" s="152" t="s">
        <v>36</v>
      </c>
      <c r="H7" s="109" t="s">
        <v>168</v>
      </c>
      <c r="I7" s="109" t="s">
        <v>153</v>
      </c>
      <c r="J7" s="109" t="s">
        <v>38</v>
      </c>
      <c r="K7" s="109" t="s">
        <v>154</v>
      </c>
      <c r="L7" s="180">
        <v>3</v>
      </c>
      <c r="N7" s="180">
        <v>1</v>
      </c>
      <c r="O7" s="180">
        <v>0.55000000000000004</v>
      </c>
      <c r="P7" s="209">
        <v>0.6</v>
      </c>
      <c r="Q7" s="217">
        <f t="shared" si="0"/>
        <v>0.57499999999999996</v>
      </c>
      <c r="R7" s="160">
        <v>16.399999999999999</v>
      </c>
      <c r="S7" s="160">
        <v>140</v>
      </c>
      <c r="T7" s="189">
        <f t="shared" si="1"/>
        <v>30</v>
      </c>
      <c r="U7" s="161">
        <v>138</v>
      </c>
      <c r="V7" s="156">
        <f t="shared" si="2"/>
        <v>4140</v>
      </c>
      <c r="W7" s="162">
        <v>2</v>
      </c>
      <c r="X7" s="158" t="s">
        <v>46</v>
      </c>
      <c r="Y7" s="158" t="s">
        <v>69</v>
      </c>
      <c r="Z7" s="158" t="s">
        <v>90</v>
      </c>
      <c r="AA7" s="148" t="s">
        <v>102</v>
      </c>
      <c r="AB7" s="53" t="s">
        <v>348</v>
      </c>
      <c r="AE7" s="195" t="s">
        <v>61</v>
      </c>
      <c r="AG7" s="215" t="s">
        <v>291</v>
      </c>
      <c r="AH7" s="215" t="s">
        <v>286</v>
      </c>
      <c r="AL7" s="207" t="s">
        <v>502</v>
      </c>
      <c r="AP7" s="196" t="s">
        <v>58</v>
      </c>
      <c r="AR7" s="203" t="s">
        <v>122</v>
      </c>
      <c r="AV7" s="196" t="s">
        <v>64</v>
      </c>
      <c r="AX7" s="197">
        <v>109</v>
      </c>
      <c r="AY7" s="198">
        <v>33</v>
      </c>
      <c r="AZ7" s="198">
        <v>113</v>
      </c>
      <c r="BA7" s="199">
        <v>30</v>
      </c>
    </row>
    <row r="8" spans="1:53" x14ac:dyDescent="0.15">
      <c r="A8" s="149" t="s">
        <v>34</v>
      </c>
      <c r="B8" s="149" t="s">
        <v>346</v>
      </c>
      <c r="C8" s="149">
        <v>2018</v>
      </c>
      <c r="D8" s="151" t="s">
        <v>403</v>
      </c>
      <c r="E8" s="150" t="s">
        <v>291</v>
      </c>
      <c r="F8" s="149" t="s">
        <v>292</v>
      </c>
      <c r="G8" s="152" t="s">
        <v>36</v>
      </c>
      <c r="H8" s="109" t="s">
        <v>155</v>
      </c>
      <c r="I8" s="109" t="s">
        <v>153</v>
      </c>
      <c r="J8" s="109" t="s">
        <v>38</v>
      </c>
      <c r="K8" s="109" t="s">
        <v>154</v>
      </c>
      <c r="L8" s="180">
        <v>1</v>
      </c>
      <c r="N8" s="180">
        <v>1</v>
      </c>
      <c r="O8" s="180">
        <v>0.85</v>
      </c>
      <c r="P8" s="180">
        <v>1</v>
      </c>
      <c r="Q8" s="217">
        <f t="shared" si="0"/>
        <v>0.92500000000000004</v>
      </c>
      <c r="R8" s="160">
        <v>13.1</v>
      </c>
      <c r="S8" s="160">
        <v>123</v>
      </c>
      <c r="T8" s="189">
        <f t="shared" si="1"/>
        <v>30</v>
      </c>
      <c r="U8" s="165">
        <v>138</v>
      </c>
      <c r="V8" s="156">
        <f t="shared" si="2"/>
        <v>4140</v>
      </c>
      <c r="W8" s="162">
        <v>4</v>
      </c>
      <c r="X8" s="158" t="s">
        <v>46</v>
      </c>
      <c r="Y8" s="166" t="s">
        <v>90</v>
      </c>
      <c r="Z8" s="158" t="s">
        <v>102</v>
      </c>
      <c r="AA8" s="148" t="s">
        <v>78</v>
      </c>
      <c r="AB8" s="53" t="s">
        <v>348</v>
      </c>
      <c r="AE8" s="195" t="s">
        <v>59</v>
      </c>
      <c r="AG8" s="215" t="s">
        <v>503</v>
      </c>
      <c r="AH8" s="215" t="s">
        <v>295</v>
      </c>
      <c r="AL8" s="207" t="s">
        <v>368</v>
      </c>
      <c r="AP8" s="196" t="s">
        <v>62</v>
      </c>
      <c r="AR8" s="210" t="s">
        <v>81</v>
      </c>
      <c r="AV8" s="196" t="s">
        <v>97</v>
      </c>
      <c r="AX8" s="197">
        <v>151</v>
      </c>
      <c r="AY8" s="198">
        <v>22</v>
      </c>
      <c r="AZ8" s="198">
        <v>152</v>
      </c>
      <c r="BA8" s="199">
        <v>18</v>
      </c>
    </row>
    <row r="9" spans="1:53" x14ac:dyDescent="0.15">
      <c r="A9" s="149" t="s">
        <v>34</v>
      </c>
      <c r="B9" s="149" t="s">
        <v>346</v>
      </c>
      <c r="C9" s="150">
        <v>2018</v>
      </c>
      <c r="D9" s="151" t="s">
        <v>403</v>
      </c>
      <c r="E9" s="150" t="s">
        <v>291</v>
      </c>
      <c r="F9" s="149" t="s">
        <v>292</v>
      </c>
      <c r="G9" s="152" t="s">
        <v>36</v>
      </c>
      <c r="H9" s="109" t="s">
        <v>155</v>
      </c>
      <c r="I9" s="109" t="s">
        <v>153</v>
      </c>
      <c r="J9" s="109" t="s">
        <v>38</v>
      </c>
      <c r="K9" s="109" t="s">
        <v>154</v>
      </c>
      <c r="L9" s="180">
        <v>2</v>
      </c>
      <c r="N9" s="180">
        <v>1</v>
      </c>
      <c r="O9" s="180">
        <v>1</v>
      </c>
      <c r="P9" s="180">
        <v>0.8</v>
      </c>
      <c r="Q9" s="217">
        <f t="shared" si="0"/>
        <v>0.9</v>
      </c>
      <c r="R9" s="160">
        <v>13.3</v>
      </c>
      <c r="S9" s="160">
        <v>121</v>
      </c>
      <c r="T9" s="189">
        <f t="shared" si="1"/>
        <v>30</v>
      </c>
      <c r="U9" s="165">
        <v>138</v>
      </c>
      <c r="V9" s="156">
        <f t="shared" si="2"/>
        <v>4140</v>
      </c>
      <c r="W9" s="162">
        <v>4</v>
      </c>
      <c r="X9" s="158" t="s">
        <v>46</v>
      </c>
      <c r="Y9" s="166" t="s">
        <v>90</v>
      </c>
      <c r="Z9" s="158" t="s">
        <v>102</v>
      </c>
      <c r="AA9" s="148" t="s">
        <v>78</v>
      </c>
      <c r="AB9" s="53" t="s">
        <v>348</v>
      </c>
      <c r="AE9" s="195" t="s">
        <v>98</v>
      </c>
      <c r="AG9" s="215" t="s">
        <v>504</v>
      </c>
      <c r="AH9" s="215" t="s">
        <v>296</v>
      </c>
      <c r="AL9" s="202"/>
      <c r="AP9" s="196" t="s">
        <v>95</v>
      </c>
      <c r="AR9" s="203" t="s">
        <v>89</v>
      </c>
      <c r="AV9" s="196" t="s">
        <v>102</v>
      </c>
      <c r="AX9" s="204">
        <v>180</v>
      </c>
      <c r="AY9" s="205">
        <v>18</v>
      </c>
      <c r="AZ9" s="205">
        <v>181</v>
      </c>
      <c r="BA9" s="206">
        <v>16</v>
      </c>
    </row>
    <row r="10" spans="1:53" x14ac:dyDescent="0.15">
      <c r="A10" s="149" t="s">
        <v>34</v>
      </c>
      <c r="B10" s="149" t="s">
        <v>346</v>
      </c>
      <c r="C10" s="149">
        <v>2018</v>
      </c>
      <c r="D10" s="151" t="s">
        <v>403</v>
      </c>
      <c r="E10" s="150" t="s">
        <v>291</v>
      </c>
      <c r="F10" s="149" t="s">
        <v>292</v>
      </c>
      <c r="G10" s="152" t="s">
        <v>36</v>
      </c>
      <c r="H10" s="109" t="s">
        <v>155</v>
      </c>
      <c r="I10" s="109" t="s">
        <v>153</v>
      </c>
      <c r="J10" s="109" t="s">
        <v>38</v>
      </c>
      <c r="K10" s="109" t="s">
        <v>154</v>
      </c>
      <c r="L10" s="180">
        <v>3</v>
      </c>
      <c r="N10" s="180">
        <v>1</v>
      </c>
      <c r="O10" s="180">
        <v>0.8</v>
      </c>
      <c r="P10" s="180">
        <v>0.75</v>
      </c>
      <c r="Q10" s="217">
        <f t="shared" si="0"/>
        <v>0.77500000000000002</v>
      </c>
      <c r="R10" s="160">
        <v>14</v>
      </c>
      <c r="S10" s="160">
        <v>120</v>
      </c>
      <c r="T10" s="189">
        <f t="shared" si="1"/>
        <v>30</v>
      </c>
      <c r="U10" s="165">
        <v>138</v>
      </c>
      <c r="V10" s="156">
        <f t="shared" si="2"/>
        <v>4140</v>
      </c>
      <c r="W10" s="162">
        <v>4</v>
      </c>
      <c r="X10" s="158" t="s">
        <v>46</v>
      </c>
      <c r="Y10" s="166" t="s">
        <v>90</v>
      </c>
      <c r="Z10" s="158" t="s">
        <v>102</v>
      </c>
      <c r="AA10" s="148" t="s">
        <v>78</v>
      </c>
      <c r="AB10" s="53" t="s">
        <v>348</v>
      </c>
      <c r="AE10" s="195" t="s">
        <v>103</v>
      </c>
      <c r="AG10" s="215" t="s">
        <v>505</v>
      </c>
      <c r="AH10" s="215" t="s">
        <v>506</v>
      </c>
      <c r="AL10" s="207"/>
      <c r="AP10" s="196" t="s">
        <v>100</v>
      </c>
      <c r="AR10" s="203" t="s">
        <v>123</v>
      </c>
      <c r="AV10" s="196" t="s">
        <v>106</v>
      </c>
    </row>
    <row r="11" spans="1:53" x14ac:dyDescent="0.15">
      <c r="A11" s="149" t="s">
        <v>34</v>
      </c>
      <c r="B11" s="149" t="s">
        <v>346</v>
      </c>
      <c r="C11" s="150">
        <v>2018</v>
      </c>
      <c r="D11" s="151" t="s">
        <v>403</v>
      </c>
      <c r="E11" s="150" t="s">
        <v>291</v>
      </c>
      <c r="F11" s="149" t="s">
        <v>292</v>
      </c>
      <c r="G11" s="152" t="s">
        <v>36</v>
      </c>
      <c r="H11" s="109" t="s">
        <v>168</v>
      </c>
      <c r="I11" s="109" t="s">
        <v>153</v>
      </c>
      <c r="J11" s="109" t="s">
        <v>38</v>
      </c>
      <c r="K11" s="109" t="s">
        <v>154</v>
      </c>
      <c r="L11" s="180">
        <v>1</v>
      </c>
      <c r="N11" s="180">
        <v>1</v>
      </c>
      <c r="O11" s="180">
        <v>0.6</v>
      </c>
      <c r="P11" s="180">
        <v>0.55000000000000004</v>
      </c>
      <c r="Q11" s="217">
        <f t="shared" si="0"/>
        <v>0.57499999999999996</v>
      </c>
      <c r="R11" s="160">
        <v>16.2</v>
      </c>
      <c r="S11" s="160">
        <v>166</v>
      </c>
      <c r="T11" s="189">
        <f t="shared" si="1"/>
        <v>30</v>
      </c>
      <c r="U11" s="165">
        <v>138</v>
      </c>
      <c r="V11" s="156">
        <f t="shared" si="2"/>
        <v>4140</v>
      </c>
      <c r="W11" s="162">
        <v>4</v>
      </c>
      <c r="X11" s="158" t="s">
        <v>46</v>
      </c>
      <c r="Y11" s="166" t="s">
        <v>90</v>
      </c>
      <c r="Z11" s="158" t="s">
        <v>102</v>
      </c>
      <c r="AA11" s="167" t="s">
        <v>78</v>
      </c>
      <c r="AB11" s="53" t="s">
        <v>348</v>
      </c>
      <c r="AE11" s="195" t="s">
        <v>65</v>
      </c>
      <c r="AG11" s="210"/>
      <c r="AH11" s="210"/>
      <c r="AL11" s="207"/>
      <c r="AP11" s="196" t="s">
        <v>104</v>
      </c>
      <c r="AR11" s="203" t="s">
        <v>87</v>
      </c>
      <c r="AV11" s="196" t="s">
        <v>69</v>
      </c>
    </row>
    <row r="12" spans="1:53" x14ac:dyDescent="0.15">
      <c r="A12" s="149" t="s">
        <v>34</v>
      </c>
      <c r="B12" s="149" t="s">
        <v>346</v>
      </c>
      <c r="C12" s="149">
        <v>2018</v>
      </c>
      <c r="D12" s="151" t="s">
        <v>403</v>
      </c>
      <c r="E12" s="150" t="s">
        <v>291</v>
      </c>
      <c r="F12" s="149" t="s">
        <v>292</v>
      </c>
      <c r="G12" s="152" t="s">
        <v>36</v>
      </c>
      <c r="H12" s="109" t="s">
        <v>168</v>
      </c>
      <c r="I12" s="109" t="s">
        <v>153</v>
      </c>
      <c r="J12" s="109" t="s">
        <v>38</v>
      </c>
      <c r="K12" s="109" t="s">
        <v>154</v>
      </c>
      <c r="L12" s="180">
        <v>2</v>
      </c>
      <c r="N12" s="180">
        <v>1</v>
      </c>
      <c r="O12" s="180">
        <v>0.55000000000000004</v>
      </c>
      <c r="P12" s="180">
        <v>0.6</v>
      </c>
      <c r="Q12" s="217">
        <f t="shared" si="0"/>
        <v>0.57499999999999996</v>
      </c>
      <c r="R12" s="160">
        <v>16.5</v>
      </c>
      <c r="S12" s="160">
        <v>157</v>
      </c>
      <c r="T12" s="189">
        <f t="shared" si="1"/>
        <v>30</v>
      </c>
      <c r="U12" s="165">
        <v>138</v>
      </c>
      <c r="V12" s="156">
        <f t="shared" si="2"/>
        <v>4140</v>
      </c>
      <c r="W12" s="162">
        <v>4</v>
      </c>
      <c r="X12" s="158" t="s">
        <v>46</v>
      </c>
      <c r="Y12" s="166" t="s">
        <v>90</v>
      </c>
      <c r="Z12" s="158" t="s">
        <v>102</v>
      </c>
      <c r="AA12" s="167" t="s">
        <v>78</v>
      </c>
      <c r="AB12" s="53" t="s">
        <v>348</v>
      </c>
      <c r="AE12" s="195" t="s">
        <v>70</v>
      </c>
      <c r="AG12" s="210"/>
      <c r="AH12" s="210"/>
      <c r="AL12" s="207"/>
      <c r="AP12" s="196" t="s">
        <v>67</v>
      </c>
      <c r="AR12" s="203" t="s">
        <v>124</v>
      </c>
      <c r="AV12" s="196" t="s">
        <v>72</v>
      </c>
    </row>
    <row r="13" spans="1:53" x14ac:dyDescent="0.15">
      <c r="A13" s="149" t="s">
        <v>34</v>
      </c>
      <c r="B13" s="149" t="s">
        <v>346</v>
      </c>
      <c r="C13" s="150">
        <v>2018</v>
      </c>
      <c r="D13" s="151" t="s">
        <v>403</v>
      </c>
      <c r="E13" s="150" t="s">
        <v>291</v>
      </c>
      <c r="F13" s="149" t="s">
        <v>292</v>
      </c>
      <c r="G13" s="152" t="s">
        <v>36</v>
      </c>
      <c r="H13" s="109" t="s">
        <v>168</v>
      </c>
      <c r="I13" s="109" t="s">
        <v>153</v>
      </c>
      <c r="J13" s="109" t="s">
        <v>38</v>
      </c>
      <c r="K13" s="109" t="s">
        <v>154</v>
      </c>
      <c r="L13" s="180">
        <v>3</v>
      </c>
      <c r="N13" s="180">
        <v>1</v>
      </c>
      <c r="O13" s="180">
        <v>0.6</v>
      </c>
      <c r="P13" s="180">
        <v>0.65</v>
      </c>
      <c r="Q13" s="217">
        <f t="shared" si="0"/>
        <v>0.625</v>
      </c>
      <c r="R13" s="160">
        <v>15.8</v>
      </c>
      <c r="S13" s="160">
        <v>160</v>
      </c>
      <c r="T13" s="189">
        <f t="shared" si="1"/>
        <v>30</v>
      </c>
      <c r="U13" s="165">
        <v>138</v>
      </c>
      <c r="V13" s="156">
        <f t="shared" si="2"/>
        <v>4140</v>
      </c>
      <c r="W13" s="162">
        <v>4</v>
      </c>
      <c r="X13" s="158" t="s">
        <v>46</v>
      </c>
      <c r="Y13" s="166" t="s">
        <v>90</v>
      </c>
      <c r="Z13" s="158" t="s">
        <v>102</v>
      </c>
      <c r="AA13" s="167" t="s">
        <v>78</v>
      </c>
      <c r="AB13" s="53" t="s">
        <v>348</v>
      </c>
      <c r="AE13" s="195" t="s">
        <v>73</v>
      </c>
      <c r="AG13" s="168"/>
      <c r="AH13" s="168"/>
      <c r="AP13" s="196" t="s">
        <v>71</v>
      </c>
      <c r="AR13" s="203" t="s">
        <v>103</v>
      </c>
      <c r="AV13" s="196" t="s">
        <v>75</v>
      </c>
    </row>
    <row r="14" spans="1:53" x14ac:dyDescent="0.15">
      <c r="A14" s="149" t="s">
        <v>34</v>
      </c>
      <c r="B14" s="149" t="s">
        <v>346</v>
      </c>
      <c r="C14" s="149">
        <v>2018</v>
      </c>
      <c r="D14" s="151" t="s">
        <v>403</v>
      </c>
      <c r="E14" s="150" t="s">
        <v>294</v>
      </c>
      <c r="F14" s="149" t="s">
        <v>292</v>
      </c>
      <c r="G14" s="152" t="s">
        <v>36</v>
      </c>
      <c r="H14" s="109" t="s">
        <v>127</v>
      </c>
      <c r="I14" s="109" t="s">
        <v>153</v>
      </c>
      <c r="J14" s="109" t="s">
        <v>80</v>
      </c>
      <c r="K14" s="109" t="s">
        <v>45</v>
      </c>
      <c r="L14" s="180">
        <v>1</v>
      </c>
      <c r="N14" s="180">
        <v>5</v>
      </c>
      <c r="O14" s="180">
        <v>0.3</v>
      </c>
      <c r="P14" s="180">
        <v>0.3</v>
      </c>
      <c r="Q14" s="217">
        <f t="shared" si="0"/>
        <v>0.3</v>
      </c>
      <c r="R14" s="160">
        <v>11.2</v>
      </c>
      <c r="S14" s="160">
        <v>123</v>
      </c>
      <c r="T14" s="189">
        <f t="shared" si="1"/>
        <v>30</v>
      </c>
      <c r="U14" s="165">
        <v>398</v>
      </c>
      <c r="V14" s="156">
        <f t="shared" si="2"/>
        <v>2388</v>
      </c>
      <c r="W14" s="162">
        <v>1</v>
      </c>
      <c r="X14" s="158" t="s">
        <v>46</v>
      </c>
      <c r="Y14" s="166" t="s">
        <v>78</v>
      </c>
      <c r="Z14" s="166" t="s">
        <v>60</v>
      </c>
      <c r="AA14" s="167" t="s">
        <v>69</v>
      </c>
      <c r="AB14" s="53" t="s">
        <v>348</v>
      </c>
      <c r="AC14" s="207"/>
      <c r="AE14" s="195" t="s">
        <v>76</v>
      </c>
      <c r="AG14" s="219"/>
      <c r="AH14" s="219"/>
      <c r="AP14" s="196" t="s">
        <v>74</v>
      </c>
      <c r="AR14" s="203" t="s">
        <v>125</v>
      </c>
      <c r="AV14" s="196" t="s">
        <v>78</v>
      </c>
    </row>
    <row r="15" spans="1:53" x14ac:dyDescent="0.15">
      <c r="A15" s="149" t="s">
        <v>34</v>
      </c>
      <c r="B15" s="149" t="s">
        <v>346</v>
      </c>
      <c r="C15" s="150">
        <v>2018</v>
      </c>
      <c r="D15" s="151" t="s">
        <v>403</v>
      </c>
      <c r="E15" s="150" t="s">
        <v>294</v>
      </c>
      <c r="F15" s="149" t="s">
        <v>292</v>
      </c>
      <c r="G15" s="152" t="s">
        <v>36</v>
      </c>
      <c r="H15" s="109" t="s">
        <v>127</v>
      </c>
      <c r="I15" s="109" t="s">
        <v>153</v>
      </c>
      <c r="J15" s="109" t="s">
        <v>80</v>
      </c>
      <c r="K15" s="109" t="s">
        <v>45</v>
      </c>
      <c r="L15" s="180">
        <v>2</v>
      </c>
      <c r="N15" s="180">
        <v>5</v>
      </c>
      <c r="O15" s="180">
        <v>0.35</v>
      </c>
      <c r="P15" s="180">
        <v>0.3</v>
      </c>
      <c r="Q15" s="217">
        <f t="shared" si="0"/>
        <v>0.32499999999999996</v>
      </c>
      <c r="R15" s="160">
        <v>12.3</v>
      </c>
      <c r="S15" s="160">
        <v>88</v>
      </c>
      <c r="T15" s="189">
        <f t="shared" si="1"/>
        <v>36</v>
      </c>
      <c r="U15" s="165">
        <v>398</v>
      </c>
      <c r="V15" s="156">
        <f t="shared" si="2"/>
        <v>2865.6</v>
      </c>
      <c r="W15" s="162">
        <v>1</v>
      </c>
      <c r="X15" s="158" t="s">
        <v>46</v>
      </c>
      <c r="Y15" s="166" t="s">
        <v>78</v>
      </c>
      <c r="Z15" s="166" t="s">
        <v>60</v>
      </c>
      <c r="AA15" s="167" t="s">
        <v>69</v>
      </c>
      <c r="AB15" s="53" t="s">
        <v>348</v>
      </c>
      <c r="AC15" s="207"/>
      <c r="AE15" s="195" t="s">
        <v>79</v>
      </c>
      <c r="AP15" s="196" t="s">
        <v>77</v>
      </c>
      <c r="AR15" s="203" t="s">
        <v>94</v>
      </c>
      <c r="AV15" s="196" t="s">
        <v>107</v>
      </c>
    </row>
    <row r="16" spans="1:53" x14ac:dyDescent="0.15">
      <c r="A16" s="149" t="s">
        <v>34</v>
      </c>
      <c r="B16" s="149" t="s">
        <v>346</v>
      </c>
      <c r="C16" s="149">
        <v>2018</v>
      </c>
      <c r="D16" s="151" t="s">
        <v>403</v>
      </c>
      <c r="E16" s="150" t="s">
        <v>294</v>
      </c>
      <c r="F16" s="149" t="s">
        <v>292</v>
      </c>
      <c r="G16" s="152" t="s">
        <v>36</v>
      </c>
      <c r="H16" s="109" t="s">
        <v>127</v>
      </c>
      <c r="I16" s="109" t="s">
        <v>153</v>
      </c>
      <c r="J16" s="109" t="s">
        <v>80</v>
      </c>
      <c r="K16" s="109" t="s">
        <v>45</v>
      </c>
      <c r="L16" s="180">
        <v>3</v>
      </c>
      <c r="N16" s="180">
        <v>5</v>
      </c>
      <c r="O16" s="180">
        <v>0.3</v>
      </c>
      <c r="P16" s="180">
        <v>0.25</v>
      </c>
      <c r="Q16" s="217">
        <f t="shared" si="0"/>
        <v>0.27500000000000002</v>
      </c>
      <c r="R16" s="160">
        <v>12.5</v>
      </c>
      <c r="S16" s="160">
        <v>90</v>
      </c>
      <c r="T16" s="189">
        <f t="shared" si="1"/>
        <v>36</v>
      </c>
      <c r="U16" s="165">
        <v>398</v>
      </c>
      <c r="V16" s="156">
        <f t="shared" si="2"/>
        <v>2865.6</v>
      </c>
      <c r="W16" s="162">
        <v>1</v>
      </c>
      <c r="X16" s="158" t="s">
        <v>46</v>
      </c>
      <c r="Y16" s="166" t="s">
        <v>78</v>
      </c>
      <c r="Z16" s="166" t="s">
        <v>60</v>
      </c>
      <c r="AA16" s="167" t="s">
        <v>69</v>
      </c>
      <c r="AB16" s="53" t="s">
        <v>348</v>
      </c>
      <c r="AC16" s="207"/>
      <c r="AE16" s="195" t="s">
        <v>82</v>
      </c>
      <c r="AP16" s="196" t="s">
        <v>80</v>
      </c>
      <c r="AR16" s="210" t="s">
        <v>63</v>
      </c>
      <c r="AV16" s="196" t="s">
        <v>84</v>
      </c>
    </row>
    <row r="17" spans="1:48" x14ac:dyDescent="0.15">
      <c r="A17" s="149" t="s">
        <v>34</v>
      </c>
      <c r="B17" s="149" t="s">
        <v>346</v>
      </c>
      <c r="C17" s="150">
        <v>2018</v>
      </c>
      <c r="D17" s="151" t="s">
        <v>403</v>
      </c>
      <c r="E17" s="150" t="s">
        <v>488</v>
      </c>
      <c r="F17" s="149" t="s">
        <v>507</v>
      </c>
      <c r="G17" s="152" t="s">
        <v>36</v>
      </c>
      <c r="H17" s="109" t="s">
        <v>155</v>
      </c>
      <c r="I17" s="109" t="s">
        <v>153</v>
      </c>
      <c r="J17" s="109" t="s">
        <v>38</v>
      </c>
      <c r="K17" s="109" t="s">
        <v>154</v>
      </c>
      <c r="L17" s="180">
        <v>1</v>
      </c>
      <c r="N17" s="180">
        <v>1</v>
      </c>
      <c r="O17" s="180">
        <v>0.45</v>
      </c>
      <c r="P17" s="180">
        <v>0.5</v>
      </c>
      <c r="Q17" s="217">
        <f t="shared" si="0"/>
        <v>0.47499999999999998</v>
      </c>
      <c r="R17" s="160">
        <v>14.3</v>
      </c>
      <c r="S17" s="160">
        <v>124</v>
      </c>
      <c r="T17" s="189">
        <f t="shared" si="1"/>
        <v>30</v>
      </c>
      <c r="U17" s="165">
        <v>88</v>
      </c>
      <c r="V17" s="156">
        <f t="shared" si="2"/>
        <v>2640</v>
      </c>
      <c r="W17" s="162">
        <v>4</v>
      </c>
      <c r="X17" s="158" t="s">
        <v>46</v>
      </c>
      <c r="Y17" s="166" t="s">
        <v>90</v>
      </c>
      <c r="Z17" s="166" t="s">
        <v>78</v>
      </c>
      <c r="AA17" s="167" t="s">
        <v>102</v>
      </c>
      <c r="AB17" s="53" t="s">
        <v>348</v>
      </c>
      <c r="AC17" s="207"/>
      <c r="AE17" s="195" t="s">
        <v>85</v>
      </c>
      <c r="AP17" s="211" t="s">
        <v>110</v>
      </c>
      <c r="AR17" s="210" t="s">
        <v>96</v>
      </c>
      <c r="AV17" s="196" t="s">
        <v>86</v>
      </c>
    </row>
    <row r="18" spans="1:48" x14ac:dyDescent="0.15">
      <c r="A18" s="149" t="s">
        <v>34</v>
      </c>
      <c r="B18" s="149" t="s">
        <v>346</v>
      </c>
      <c r="C18" s="149">
        <v>2018</v>
      </c>
      <c r="D18" s="151" t="s">
        <v>403</v>
      </c>
      <c r="E18" s="150" t="s">
        <v>488</v>
      </c>
      <c r="F18" s="149" t="s">
        <v>507</v>
      </c>
      <c r="G18" s="152" t="s">
        <v>36</v>
      </c>
      <c r="H18" s="109" t="s">
        <v>155</v>
      </c>
      <c r="I18" s="109" t="s">
        <v>153</v>
      </c>
      <c r="J18" s="109" t="s">
        <v>38</v>
      </c>
      <c r="K18" s="109" t="s">
        <v>154</v>
      </c>
      <c r="L18" s="180">
        <v>2</v>
      </c>
      <c r="N18" s="180">
        <v>1</v>
      </c>
      <c r="O18" s="180">
        <v>0.5</v>
      </c>
      <c r="P18" s="180">
        <v>0.6</v>
      </c>
      <c r="Q18" s="217">
        <f t="shared" si="0"/>
        <v>0.55000000000000004</v>
      </c>
      <c r="R18" s="160">
        <v>15.1</v>
      </c>
      <c r="S18" s="160">
        <v>121</v>
      </c>
      <c r="T18" s="189">
        <f t="shared" si="1"/>
        <v>30</v>
      </c>
      <c r="U18" s="165">
        <v>88</v>
      </c>
      <c r="V18" s="156">
        <f t="shared" si="2"/>
        <v>2640</v>
      </c>
      <c r="W18" s="162">
        <v>4</v>
      </c>
      <c r="X18" s="158" t="s">
        <v>46</v>
      </c>
      <c r="Y18" s="166" t="s">
        <v>90</v>
      </c>
      <c r="Z18" s="166" t="s">
        <v>78</v>
      </c>
      <c r="AA18" s="167" t="s">
        <v>102</v>
      </c>
      <c r="AB18" s="53" t="s">
        <v>348</v>
      </c>
      <c r="AC18" s="207"/>
      <c r="AE18" s="195" t="s">
        <v>87</v>
      </c>
      <c r="AP18" s="211" t="s">
        <v>111</v>
      </c>
      <c r="AR18" s="210" t="s">
        <v>101</v>
      </c>
      <c r="AV18" s="196" t="s">
        <v>88</v>
      </c>
    </row>
    <row r="19" spans="1:48" x14ac:dyDescent="0.15">
      <c r="A19" s="149" t="s">
        <v>34</v>
      </c>
      <c r="B19" s="149" t="s">
        <v>346</v>
      </c>
      <c r="C19" s="150">
        <v>2018</v>
      </c>
      <c r="D19" s="151" t="s">
        <v>403</v>
      </c>
      <c r="E19" s="150" t="s">
        <v>488</v>
      </c>
      <c r="F19" s="149" t="s">
        <v>507</v>
      </c>
      <c r="G19" s="152" t="s">
        <v>36</v>
      </c>
      <c r="H19" s="109" t="s">
        <v>155</v>
      </c>
      <c r="I19" s="109" t="s">
        <v>153</v>
      </c>
      <c r="J19" s="109" t="s">
        <v>38</v>
      </c>
      <c r="K19" s="109" t="s">
        <v>154</v>
      </c>
      <c r="L19" s="180">
        <v>3</v>
      </c>
      <c r="N19" s="180">
        <v>1</v>
      </c>
      <c r="O19" s="180">
        <v>0.65</v>
      </c>
      <c r="P19" s="180">
        <v>0.6</v>
      </c>
      <c r="Q19" s="217">
        <f t="shared" si="0"/>
        <v>0.625</v>
      </c>
      <c r="R19" s="160">
        <v>14.3</v>
      </c>
      <c r="S19" s="160">
        <v>123</v>
      </c>
      <c r="T19" s="189">
        <f t="shared" si="1"/>
        <v>30</v>
      </c>
      <c r="U19" s="165">
        <v>88</v>
      </c>
      <c r="V19" s="156">
        <f t="shared" si="2"/>
        <v>2640</v>
      </c>
      <c r="W19" s="162">
        <v>4</v>
      </c>
      <c r="X19" s="158" t="s">
        <v>46</v>
      </c>
      <c r="Y19" s="166" t="s">
        <v>90</v>
      </c>
      <c r="Z19" s="166" t="s">
        <v>78</v>
      </c>
      <c r="AA19" s="167" t="s">
        <v>102</v>
      </c>
      <c r="AB19" s="53" t="s">
        <v>348</v>
      </c>
      <c r="AC19" s="207"/>
      <c r="AE19" s="208" t="s">
        <v>89</v>
      </c>
      <c r="AP19" s="211" t="s">
        <v>112</v>
      </c>
      <c r="AR19" s="203" t="s">
        <v>126</v>
      </c>
      <c r="AV19" s="196" t="s">
        <v>90</v>
      </c>
    </row>
    <row r="20" spans="1:48" x14ac:dyDescent="0.15">
      <c r="A20" s="149" t="s">
        <v>34</v>
      </c>
      <c r="B20" s="149" t="s">
        <v>346</v>
      </c>
      <c r="C20" s="149">
        <v>2018</v>
      </c>
      <c r="D20" s="151" t="s">
        <v>403</v>
      </c>
      <c r="E20" s="150" t="s">
        <v>488</v>
      </c>
      <c r="F20" s="149" t="s">
        <v>507</v>
      </c>
      <c r="G20" s="152" t="s">
        <v>36</v>
      </c>
      <c r="H20" s="109" t="s">
        <v>168</v>
      </c>
      <c r="I20" s="109" t="s">
        <v>153</v>
      </c>
      <c r="J20" s="109" t="s">
        <v>38</v>
      </c>
      <c r="K20" s="109" t="s">
        <v>154</v>
      </c>
      <c r="L20" s="180">
        <v>1</v>
      </c>
      <c r="N20" s="180">
        <v>1</v>
      </c>
      <c r="O20" s="180">
        <v>0.55000000000000004</v>
      </c>
      <c r="P20" s="180">
        <v>0.6</v>
      </c>
      <c r="Q20" s="217">
        <f t="shared" si="0"/>
        <v>0.57499999999999996</v>
      </c>
      <c r="R20" s="160">
        <v>16.5</v>
      </c>
      <c r="S20" s="169">
        <v>134</v>
      </c>
      <c r="T20" s="189">
        <f t="shared" si="1"/>
        <v>30</v>
      </c>
      <c r="U20" s="165">
        <v>138</v>
      </c>
      <c r="V20" s="156">
        <f t="shared" si="2"/>
        <v>4140</v>
      </c>
      <c r="W20" s="162">
        <v>4</v>
      </c>
      <c r="X20" s="158" t="s">
        <v>46</v>
      </c>
      <c r="Y20" s="166" t="s">
        <v>90</v>
      </c>
      <c r="Z20" s="166" t="s">
        <v>78</v>
      </c>
      <c r="AA20" s="167" t="s">
        <v>102</v>
      </c>
      <c r="AB20" s="53" t="s">
        <v>348</v>
      </c>
      <c r="AE20" s="208"/>
      <c r="AP20" s="211" t="s">
        <v>113</v>
      </c>
      <c r="AR20" s="210" t="s">
        <v>105</v>
      </c>
      <c r="AV20" s="200" t="s">
        <v>369</v>
      </c>
    </row>
    <row r="21" spans="1:48" x14ac:dyDescent="0.15">
      <c r="A21" s="149" t="s">
        <v>34</v>
      </c>
      <c r="B21" s="149" t="s">
        <v>346</v>
      </c>
      <c r="C21" s="150">
        <v>2018</v>
      </c>
      <c r="D21" s="151" t="s">
        <v>403</v>
      </c>
      <c r="E21" s="150" t="s">
        <v>488</v>
      </c>
      <c r="F21" s="149" t="s">
        <v>507</v>
      </c>
      <c r="G21" s="152" t="s">
        <v>36</v>
      </c>
      <c r="H21" s="109" t="s">
        <v>168</v>
      </c>
      <c r="I21" s="109" t="s">
        <v>153</v>
      </c>
      <c r="J21" s="109" t="s">
        <v>38</v>
      </c>
      <c r="K21" s="109" t="s">
        <v>154</v>
      </c>
      <c r="L21" s="180">
        <v>2</v>
      </c>
      <c r="N21" s="180">
        <v>1</v>
      </c>
      <c r="O21" s="180">
        <v>0.55000000000000004</v>
      </c>
      <c r="P21" s="180">
        <v>0.55000000000000004</v>
      </c>
      <c r="Q21" s="217">
        <f t="shared" si="0"/>
        <v>0.55000000000000004</v>
      </c>
      <c r="R21" s="169">
        <v>16.3</v>
      </c>
      <c r="S21" s="160">
        <v>138</v>
      </c>
      <c r="T21" s="189">
        <f t="shared" si="1"/>
        <v>30</v>
      </c>
      <c r="U21" s="165">
        <v>138</v>
      </c>
      <c r="V21" s="156">
        <f t="shared" si="2"/>
        <v>4140</v>
      </c>
      <c r="W21" s="162">
        <v>4</v>
      </c>
      <c r="X21" s="158" t="s">
        <v>46</v>
      </c>
      <c r="Y21" s="166" t="s">
        <v>90</v>
      </c>
      <c r="Z21" s="166" t="s">
        <v>78</v>
      </c>
      <c r="AA21" s="167" t="s">
        <v>102</v>
      </c>
      <c r="AB21" s="53" t="s">
        <v>348</v>
      </c>
      <c r="AE21" s="201"/>
      <c r="AP21" s="211" t="s">
        <v>114</v>
      </c>
      <c r="AR21" s="210" t="s">
        <v>68</v>
      </c>
      <c r="AV21" s="200" t="s">
        <v>370</v>
      </c>
    </row>
    <row r="22" spans="1:48" x14ac:dyDescent="0.15">
      <c r="A22" s="149" t="s">
        <v>34</v>
      </c>
      <c r="B22" s="149" t="s">
        <v>346</v>
      </c>
      <c r="C22" s="149">
        <v>2018</v>
      </c>
      <c r="D22" s="151" t="s">
        <v>403</v>
      </c>
      <c r="E22" s="150" t="s">
        <v>488</v>
      </c>
      <c r="F22" s="149" t="s">
        <v>507</v>
      </c>
      <c r="G22" s="152" t="s">
        <v>36</v>
      </c>
      <c r="H22" s="109" t="s">
        <v>168</v>
      </c>
      <c r="I22" s="109" t="s">
        <v>153</v>
      </c>
      <c r="J22" s="109" t="s">
        <v>38</v>
      </c>
      <c r="K22" s="109" t="s">
        <v>154</v>
      </c>
      <c r="L22" s="180">
        <v>3</v>
      </c>
      <c r="N22" s="180">
        <v>1</v>
      </c>
      <c r="O22" s="180">
        <v>0.6</v>
      </c>
      <c r="P22" s="207">
        <v>0.6</v>
      </c>
      <c r="Q22" s="217">
        <f t="shared" si="0"/>
        <v>0.6</v>
      </c>
      <c r="R22" s="160">
        <v>15.7</v>
      </c>
      <c r="S22" s="160">
        <v>134</v>
      </c>
      <c r="T22" s="189">
        <f t="shared" si="1"/>
        <v>30</v>
      </c>
      <c r="U22" s="165">
        <v>138</v>
      </c>
      <c r="V22" s="156">
        <f t="shared" si="2"/>
        <v>4140</v>
      </c>
      <c r="W22" s="162">
        <v>4</v>
      </c>
      <c r="X22" s="158" t="s">
        <v>46</v>
      </c>
      <c r="Y22" s="166" t="s">
        <v>90</v>
      </c>
      <c r="Z22" s="166" t="s">
        <v>78</v>
      </c>
      <c r="AA22" s="167" t="s">
        <v>102</v>
      </c>
      <c r="AB22" s="53" t="s">
        <v>348</v>
      </c>
      <c r="AP22" s="211" t="s">
        <v>115</v>
      </c>
      <c r="AR22" s="210" t="s">
        <v>83</v>
      </c>
      <c r="AV22" s="196"/>
    </row>
    <row r="23" spans="1:48" x14ac:dyDescent="0.15">
      <c r="A23" s="149" t="s">
        <v>34</v>
      </c>
      <c r="B23" s="149" t="s">
        <v>346</v>
      </c>
      <c r="C23" s="150">
        <v>2018</v>
      </c>
      <c r="D23" s="151" t="s">
        <v>403</v>
      </c>
      <c r="E23" s="150" t="s">
        <v>288</v>
      </c>
      <c r="F23" s="149" t="s">
        <v>289</v>
      </c>
      <c r="G23" s="152" t="s">
        <v>42</v>
      </c>
      <c r="H23" s="109" t="s">
        <v>155</v>
      </c>
      <c r="I23" s="109" t="s">
        <v>153</v>
      </c>
      <c r="J23" s="109" t="s">
        <v>38</v>
      </c>
      <c r="K23" s="109" t="s">
        <v>154</v>
      </c>
      <c r="L23" s="180">
        <v>1</v>
      </c>
      <c r="N23" s="180">
        <v>1</v>
      </c>
      <c r="O23" s="180">
        <v>0.55000000000000004</v>
      </c>
      <c r="P23" s="207">
        <v>0.5</v>
      </c>
      <c r="Q23" s="217">
        <f t="shared" si="0"/>
        <v>0.52500000000000002</v>
      </c>
      <c r="R23" s="160">
        <v>12.8</v>
      </c>
      <c r="S23" s="160">
        <v>137</v>
      </c>
      <c r="T23" s="189">
        <f t="shared" si="1"/>
        <v>30</v>
      </c>
      <c r="U23" s="165">
        <v>127</v>
      </c>
      <c r="V23" s="156">
        <f t="shared" si="2"/>
        <v>3810</v>
      </c>
      <c r="W23" s="162">
        <v>6</v>
      </c>
      <c r="X23" s="158" t="s">
        <v>46</v>
      </c>
      <c r="Y23" s="166" t="s">
        <v>78</v>
      </c>
      <c r="Z23" s="166" t="s">
        <v>102</v>
      </c>
      <c r="AA23" s="167" t="s">
        <v>88</v>
      </c>
      <c r="AB23" s="53" t="s">
        <v>348</v>
      </c>
      <c r="AP23" s="211" t="s">
        <v>399</v>
      </c>
      <c r="AR23" s="210" t="s">
        <v>61</v>
      </c>
      <c r="AV23" s="196"/>
    </row>
    <row r="24" spans="1:48" x14ac:dyDescent="0.15">
      <c r="A24" s="149" t="s">
        <v>34</v>
      </c>
      <c r="B24" s="149" t="s">
        <v>346</v>
      </c>
      <c r="C24" s="149">
        <v>2018</v>
      </c>
      <c r="D24" s="151" t="s">
        <v>403</v>
      </c>
      <c r="E24" s="150" t="s">
        <v>288</v>
      </c>
      <c r="F24" s="149" t="s">
        <v>289</v>
      </c>
      <c r="G24" s="152" t="s">
        <v>42</v>
      </c>
      <c r="H24" s="109" t="s">
        <v>155</v>
      </c>
      <c r="I24" s="109" t="s">
        <v>153</v>
      </c>
      <c r="J24" s="109" t="s">
        <v>38</v>
      </c>
      <c r="K24" s="109" t="s">
        <v>154</v>
      </c>
      <c r="L24" s="180">
        <v>2</v>
      </c>
      <c r="N24" s="180">
        <v>1</v>
      </c>
      <c r="O24" s="180">
        <v>0.6</v>
      </c>
      <c r="P24" s="207">
        <v>0.65</v>
      </c>
      <c r="Q24" s="217">
        <f t="shared" si="0"/>
        <v>0.625</v>
      </c>
      <c r="R24" s="160">
        <v>14.2</v>
      </c>
      <c r="S24" s="160">
        <v>137</v>
      </c>
      <c r="T24" s="189">
        <f t="shared" si="1"/>
        <v>30</v>
      </c>
      <c r="U24" s="165">
        <v>127</v>
      </c>
      <c r="V24" s="156">
        <f t="shared" si="2"/>
        <v>3810</v>
      </c>
      <c r="W24" s="162">
        <v>6</v>
      </c>
      <c r="X24" s="158" t="s">
        <v>46</v>
      </c>
      <c r="Y24" s="166" t="s">
        <v>78</v>
      </c>
      <c r="Z24" s="166" t="s">
        <v>102</v>
      </c>
      <c r="AA24" s="167" t="s">
        <v>88</v>
      </c>
      <c r="AB24" s="53" t="s">
        <v>348</v>
      </c>
      <c r="AP24" s="211" t="s">
        <v>400</v>
      </c>
      <c r="AR24" s="210" t="s">
        <v>91</v>
      </c>
      <c r="AV24" s="196"/>
    </row>
    <row r="25" spans="1:48" x14ac:dyDescent="0.15">
      <c r="A25" s="149" t="s">
        <v>34</v>
      </c>
      <c r="B25" s="149" t="s">
        <v>346</v>
      </c>
      <c r="C25" s="150">
        <v>2018</v>
      </c>
      <c r="D25" s="151" t="s">
        <v>403</v>
      </c>
      <c r="E25" s="150" t="s">
        <v>288</v>
      </c>
      <c r="F25" s="149" t="s">
        <v>289</v>
      </c>
      <c r="G25" s="152" t="s">
        <v>42</v>
      </c>
      <c r="H25" s="109" t="s">
        <v>155</v>
      </c>
      <c r="I25" s="109" t="s">
        <v>153</v>
      </c>
      <c r="J25" s="109" t="s">
        <v>38</v>
      </c>
      <c r="K25" s="109" t="s">
        <v>154</v>
      </c>
      <c r="L25" s="180">
        <v>3</v>
      </c>
      <c r="N25" s="180">
        <v>1</v>
      </c>
      <c r="O25" s="180">
        <v>0.5</v>
      </c>
      <c r="P25" s="207">
        <v>0.55000000000000004</v>
      </c>
      <c r="Q25" s="217">
        <f t="shared" si="0"/>
        <v>0.52500000000000002</v>
      </c>
      <c r="R25" s="160">
        <v>13.6</v>
      </c>
      <c r="S25" s="160">
        <v>139</v>
      </c>
      <c r="T25" s="189">
        <f t="shared" si="1"/>
        <v>30</v>
      </c>
      <c r="U25" s="165">
        <v>127</v>
      </c>
      <c r="V25" s="156">
        <f t="shared" si="2"/>
        <v>3810</v>
      </c>
      <c r="W25" s="162">
        <v>6</v>
      </c>
      <c r="X25" s="158" t="s">
        <v>46</v>
      </c>
      <c r="Y25" s="166" t="s">
        <v>78</v>
      </c>
      <c r="Z25" s="166" t="s">
        <v>102</v>
      </c>
      <c r="AA25" s="167" t="s">
        <v>88</v>
      </c>
      <c r="AB25" s="53" t="s">
        <v>348</v>
      </c>
      <c r="AP25" s="211" t="s">
        <v>116</v>
      </c>
      <c r="AR25" s="42" t="s">
        <v>92</v>
      </c>
      <c r="AV25" s="196"/>
    </row>
    <row r="26" spans="1:48" x14ac:dyDescent="0.15">
      <c r="A26" s="149" t="s">
        <v>34</v>
      </c>
      <c r="B26" s="149" t="s">
        <v>346</v>
      </c>
      <c r="C26" s="149">
        <v>2018</v>
      </c>
      <c r="D26" s="151" t="s">
        <v>403</v>
      </c>
      <c r="E26" s="150" t="s">
        <v>288</v>
      </c>
      <c r="F26" s="149" t="s">
        <v>289</v>
      </c>
      <c r="G26" s="152" t="s">
        <v>42</v>
      </c>
      <c r="H26" s="109" t="s">
        <v>168</v>
      </c>
      <c r="I26" s="109" t="s">
        <v>153</v>
      </c>
      <c r="J26" s="109" t="s">
        <v>38</v>
      </c>
      <c r="K26" s="109" t="s">
        <v>154</v>
      </c>
      <c r="L26" s="180">
        <v>1</v>
      </c>
      <c r="N26" s="180">
        <v>1</v>
      </c>
      <c r="O26" s="180">
        <v>0.5</v>
      </c>
      <c r="P26" s="209">
        <v>0.45</v>
      </c>
      <c r="Q26" s="217">
        <f t="shared" si="0"/>
        <v>0.47499999999999998</v>
      </c>
      <c r="R26" s="160">
        <v>16.8</v>
      </c>
      <c r="S26" s="160">
        <v>178</v>
      </c>
      <c r="T26" s="189">
        <f t="shared" si="1"/>
        <v>30</v>
      </c>
      <c r="U26" s="165">
        <v>127</v>
      </c>
      <c r="V26" s="156">
        <f t="shared" si="2"/>
        <v>3810</v>
      </c>
      <c r="W26" s="162">
        <v>6</v>
      </c>
      <c r="X26" s="158" t="s">
        <v>46</v>
      </c>
      <c r="Y26" s="167" t="s">
        <v>78</v>
      </c>
      <c r="Z26" s="166" t="s">
        <v>102</v>
      </c>
      <c r="AA26" s="166" t="s">
        <v>88</v>
      </c>
      <c r="AB26" s="53" t="s">
        <v>348</v>
      </c>
      <c r="AP26" s="211" t="s">
        <v>117</v>
      </c>
      <c r="AR26" s="196" t="s">
        <v>298</v>
      </c>
      <c r="AV26" s="200"/>
    </row>
    <row r="27" spans="1:48" x14ac:dyDescent="0.15">
      <c r="A27" s="149" t="s">
        <v>34</v>
      </c>
      <c r="B27" s="149" t="s">
        <v>346</v>
      </c>
      <c r="C27" s="150">
        <v>2018</v>
      </c>
      <c r="D27" s="151" t="s">
        <v>403</v>
      </c>
      <c r="E27" s="150" t="s">
        <v>288</v>
      </c>
      <c r="F27" s="149" t="s">
        <v>289</v>
      </c>
      <c r="G27" s="152" t="s">
        <v>42</v>
      </c>
      <c r="H27" s="109" t="s">
        <v>168</v>
      </c>
      <c r="I27" s="109" t="s">
        <v>153</v>
      </c>
      <c r="J27" s="109" t="s">
        <v>38</v>
      </c>
      <c r="K27" s="109" t="s">
        <v>154</v>
      </c>
      <c r="L27" s="180">
        <v>2</v>
      </c>
      <c r="N27" s="180">
        <v>1</v>
      </c>
      <c r="O27" s="207">
        <v>0.6</v>
      </c>
      <c r="P27" s="209">
        <v>0.5</v>
      </c>
      <c r="Q27" s="217">
        <f t="shared" si="0"/>
        <v>0.55000000000000004</v>
      </c>
      <c r="R27" s="160">
        <v>16.5</v>
      </c>
      <c r="S27" s="160">
        <v>162</v>
      </c>
      <c r="T27" s="189">
        <f t="shared" si="1"/>
        <v>30</v>
      </c>
      <c r="U27" s="165">
        <v>127</v>
      </c>
      <c r="V27" s="156">
        <f t="shared" si="2"/>
        <v>3810</v>
      </c>
      <c r="W27" s="162">
        <v>6</v>
      </c>
      <c r="X27" s="158" t="s">
        <v>46</v>
      </c>
      <c r="Y27" s="167" t="s">
        <v>78</v>
      </c>
      <c r="Z27" s="166" t="s">
        <v>102</v>
      </c>
      <c r="AA27" s="166" t="s">
        <v>88</v>
      </c>
      <c r="AB27" s="53" t="s">
        <v>348</v>
      </c>
      <c r="AP27" s="211" t="s">
        <v>118</v>
      </c>
      <c r="AR27" s="196"/>
    </row>
    <row r="28" spans="1:48" x14ac:dyDescent="0.15">
      <c r="A28" s="149" t="s">
        <v>34</v>
      </c>
      <c r="B28" s="149" t="s">
        <v>346</v>
      </c>
      <c r="C28" s="149">
        <v>2018</v>
      </c>
      <c r="D28" s="151" t="s">
        <v>403</v>
      </c>
      <c r="E28" s="150" t="s">
        <v>288</v>
      </c>
      <c r="F28" s="149" t="s">
        <v>289</v>
      </c>
      <c r="G28" s="152" t="s">
        <v>42</v>
      </c>
      <c r="H28" s="109" t="s">
        <v>168</v>
      </c>
      <c r="I28" s="109" t="s">
        <v>153</v>
      </c>
      <c r="J28" s="109" t="s">
        <v>38</v>
      </c>
      <c r="K28" s="109" t="s">
        <v>154</v>
      </c>
      <c r="L28" s="180">
        <v>3</v>
      </c>
      <c r="N28" s="180">
        <v>1</v>
      </c>
      <c r="O28" s="207">
        <v>0.6</v>
      </c>
      <c r="P28" s="180">
        <v>0.55000000000000004</v>
      </c>
      <c r="Q28" s="217">
        <f t="shared" si="0"/>
        <v>0.57499999999999996</v>
      </c>
      <c r="R28" s="160">
        <v>16.600000000000001</v>
      </c>
      <c r="S28" s="160">
        <v>142</v>
      </c>
      <c r="T28" s="189">
        <f t="shared" si="1"/>
        <v>30</v>
      </c>
      <c r="U28" s="165">
        <v>127</v>
      </c>
      <c r="V28" s="156">
        <f t="shared" si="2"/>
        <v>3810</v>
      </c>
      <c r="W28" s="162">
        <v>6</v>
      </c>
      <c r="X28" s="158" t="s">
        <v>46</v>
      </c>
      <c r="Y28" s="167" t="s">
        <v>78</v>
      </c>
      <c r="Z28" s="166" t="s">
        <v>102</v>
      </c>
      <c r="AA28" s="166" t="s">
        <v>88</v>
      </c>
      <c r="AB28" s="53" t="s">
        <v>348</v>
      </c>
      <c r="AR28" s="196"/>
    </row>
    <row r="29" spans="1:48" x14ac:dyDescent="0.15">
      <c r="A29" s="149" t="s">
        <v>34</v>
      </c>
      <c r="B29" s="149" t="s">
        <v>346</v>
      </c>
      <c r="C29" s="149">
        <v>2018</v>
      </c>
      <c r="D29" s="151" t="s">
        <v>403</v>
      </c>
      <c r="E29" s="150" t="s">
        <v>508</v>
      </c>
      <c r="F29" s="149" t="s">
        <v>289</v>
      </c>
      <c r="G29" s="152" t="s">
        <v>42</v>
      </c>
      <c r="H29" s="109" t="s">
        <v>155</v>
      </c>
      <c r="I29" s="109" t="s">
        <v>156</v>
      </c>
      <c r="J29" s="109" t="s">
        <v>38</v>
      </c>
      <c r="K29" s="109" t="s">
        <v>154</v>
      </c>
      <c r="L29" s="180">
        <v>1</v>
      </c>
      <c r="N29" s="180">
        <v>1</v>
      </c>
      <c r="O29" s="180">
        <v>0.55000000000000004</v>
      </c>
      <c r="P29" s="180">
        <v>0.6</v>
      </c>
      <c r="Q29" s="217">
        <f t="shared" si="0"/>
        <v>0.57499999999999996</v>
      </c>
      <c r="R29" s="160">
        <v>13.7</v>
      </c>
      <c r="S29" s="160">
        <v>138</v>
      </c>
      <c r="T29" s="189">
        <f t="shared" si="1"/>
        <v>30</v>
      </c>
      <c r="U29" s="165">
        <v>129</v>
      </c>
      <c r="V29" s="156">
        <f t="shared" si="2"/>
        <v>3870</v>
      </c>
      <c r="W29" s="162">
        <v>2</v>
      </c>
      <c r="X29" s="158" t="s">
        <v>46</v>
      </c>
      <c r="Y29" s="167" t="s">
        <v>78</v>
      </c>
      <c r="Z29" s="166" t="s">
        <v>86</v>
      </c>
      <c r="AA29" s="166" t="s">
        <v>88</v>
      </c>
      <c r="AB29" s="53" t="s">
        <v>348</v>
      </c>
      <c r="AR29" s="201"/>
    </row>
    <row r="30" spans="1:48" x14ac:dyDescent="0.15">
      <c r="A30" s="149" t="s">
        <v>34</v>
      </c>
      <c r="B30" s="149" t="s">
        <v>346</v>
      </c>
      <c r="C30" s="150">
        <v>2018</v>
      </c>
      <c r="D30" s="151" t="s">
        <v>403</v>
      </c>
      <c r="E30" s="150" t="s">
        <v>508</v>
      </c>
      <c r="F30" s="149" t="s">
        <v>289</v>
      </c>
      <c r="G30" s="152" t="s">
        <v>42</v>
      </c>
      <c r="H30" s="109" t="s">
        <v>155</v>
      </c>
      <c r="I30" s="109" t="s">
        <v>156</v>
      </c>
      <c r="J30" s="109" t="s">
        <v>38</v>
      </c>
      <c r="K30" s="109" t="s">
        <v>154</v>
      </c>
      <c r="L30" s="180">
        <v>2</v>
      </c>
      <c r="N30" s="180">
        <v>1</v>
      </c>
      <c r="O30" s="180">
        <v>0.45</v>
      </c>
      <c r="P30" s="180">
        <v>0.5</v>
      </c>
      <c r="Q30" s="217">
        <f t="shared" si="0"/>
        <v>0.47499999999999998</v>
      </c>
      <c r="R30" s="160">
        <v>13.4</v>
      </c>
      <c r="S30" s="160">
        <v>142</v>
      </c>
      <c r="T30" s="189">
        <f t="shared" si="1"/>
        <v>30</v>
      </c>
      <c r="U30" s="165">
        <v>129</v>
      </c>
      <c r="V30" s="156">
        <f t="shared" si="2"/>
        <v>3870</v>
      </c>
      <c r="W30" s="162">
        <v>2</v>
      </c>
      <c r="X30" s="158" t="s">
        <v>46</v>
      </c>
      <c r="Y30" s="167" t="s">
        <v>78</v>
      </c>
      <c r="Z30" s="166" t="s">
        <v>86</v>
      </c>
      <c r="AA30" s="166" t="s">
        <v>88</v>
      </c>
      <c r="AB30" s="53" t="s">
        <v>348</v>
      </c>
    </row>
    <row r="31" spans="1:48" x14ac:dyDescent="0.15">
      <c r="A31" s="149" t="s">
        <v>34</v>
      </c>
      <c r="B31" s="149" t="s">
        <v>346</v>
      </c>
      <c r="C31" s="149">
        <v>2018</v>
      </c>
      <c r="D31" s="151" t="s">
        <v>403</v>
      </c>
      <c r="E31" s="150" t="s">
        <v>508</v>
      </c>
      <c r="F31" s="149" t="s">
        <v>289</v>
      </c>
      <c r="G31" s="152" t="s">
        <v>42</v>
      </c>
      <c r="H31" s="109" t="s">
        <v>155</v>
      </c>
      <c r="I31" s="109" t="s">
        <v>156</v>
      </c>
      <c r="J31" s="109" t="s">
        <v>38</v>
      </c>
      <c r="K31" s="109" t="s">
        <v>154</v>
      </c>
      <c r="L31" s="180">
        <v>3</v>
      </c>
      <c r="N31" s="180">
        <v>1</v>
      </c>
      <c r="O31" s="180">
        <v>0.5</v>
      </c>
      <c r="P31" s="180">
        <v>0.45</v>
      </c>
      <c r="Q31" s="217">
        <f t="shared" si="0"/>
        <v>0.47499999999999998</v>
      </c>
      <c r="R31" s="160">
        <v>13.6</v>
      </c>
      <c r="S31" s="160">
        <v>139</v>
      </c>
      <c r="T31" s="189">
        <f t="shared" si="1"/>
        <v>30</v>
      </c>
      <c r="U31" s="165">
        <v>129</v>
      </c>
      <c r="V31" s="156">
        <f t="shared" si="2"/>
        <v>3870</v>
      </c>
      <c r="W31" s="162">
        <v>2</v>
      </c>
      <c r="X31" s="158" t="s">
        <v>46</v>
      </c>
      <c r="Y31" s="167" t="s">
        <v>78</v>
      </c>
      <c r="Z31" s="166" t="s">
        <v>86</v>
      </c>
      <c r="AA31" s="166" t="s">
        <v>88</v>
      </c>
      <c r="AB31" s="53" t="s">
        <v>348</v>
      </c>
    </row>
    <row r="32" spans="1:48" ht="14.25" customHeight="1" x14ac:dyDescent="0.15">
      <c r="A32" s="149" t="s">
        <v>34</v>
      </c>
      <c r="B32" s="149" t="s">
        <v>346</v>
      </c>
      <c r="C32" s="150">
        <v>2018</v>
      </c>
      <c r="D32" s="151" t="s">
        <v>403</v>
      </c>
      <c r="E32" s="150" t="s">
        <v>508</v>
      </c>
      <c r="F32" s="149" t="s">
        <v>289</v>
      </c>
      <c r="G32" s="152" t="s">
        <v>42</v>
      </c>
      <c r="H32" s="109" t="s">
        <v>168</v>
      </c>
      <c r="I32" s="109" t="s">
        <v>153</v>
      </c>
      <c r="J32" s="109" t="s">
        <v>38</v>
      </c>
      <c r="K32" s="109" t="s">
        <v>154</v>
      </c>
      <c r="L32" s="180">
        <v>1</v>
      </c>
      <c r="N32" s="180">
        <v>1</v>
      </c>
      <c r="O32" s="180">
        <v>0.65</v>
      </c>
      <c r="P32" s="180">
        <v>0.55000000000000004</v>
      </c>
      <c r="Q32" s="217">
        <f t="shared" si="0"/>
        <v>0.60000000000000009</v>
      </c>
      <c r="R32" s="160">
        <v>16.399999999999999</v>
      </c>
      <c r="S32" s="160">
        <v>139</v>
      </c>
      <c r="T32" s="189">
        <f t="shared" si="1"/>
        <v>30</v>
      </c>
      <c r="U32" s="165">
        <v>129</v>
      </c>
      <c r="V32" s="156">
        <f t="shared" si="2"/>
        <v>3870</v>
      </c>
      <c r="W32" s="162">
        <v>2</v>
      </c>
      <c r="X32" s="158" t="s">
        <v>46</v>
      </c>
      <c r="Y32" s="167" t="s">
        <v>78</v>
      </c>
      <c r="Z32" s="166" t="s">
        <v>86</v>
      </c>
      <c r="AA32" s="166" t="s">
        <v>88</v>
      </c>
      <c r="AB32" s="53" t="s">
        <v>348</v>
      </c>
    </row>
    <row r="33" spans="1:28" x14ac:dyDescent="0.15">
      <c r="A33" s="149" t="s">
        <v>34</v>
      </c>
      <c r="B33" s="149" t="s">
        <v>346</v>
      </c>
      <c r="C33" s="149">
        <v>2018</v>
      </c>
      <c r="D33" s="151" t="s">
        <v>403</v>
      </c>
      <c r="E33" s="150" t="s">
        <v>508</v>
      </c>
      <c r="F33" s="149" t="s">
        <v>289</v>
      </c>
      <c r="G33" s="152" t="s">
        <v>42</v>
      </c>
      <c r="H33" s="109" t="s">
        <v>168</v>
      </c>
      <c r="I33" s="109" t="s">
        <v>153</v>
      </c>
      <c r="J33" s="109" t="s">
        <v>38</v>
      </c>
      <c r="K33" s="109" t="s">
        <v>154</v>
      </c>
      <c r="L33" s="180">
        <v>2</v>
      </c>
      <c r="N33" s="180">
        <v>1</v>
      </c>
      <c r="O33" s="180">
        <v>0.75</v>
      </c>
      <c r="P33" s="180">
        <v>0.65</v>
      </c>
      <c r="Q33" s="217">
        <f t="shared" si="0"/>
        <v>0.7</v>
      </c>
      <c r="R33" s="160">
        <v>15.9</v>
      </c>
      <c r="S33" s="160">
        <v>137</v>
      </c>
      <c r="T33" s="189">
        <f t="shared" si="1"/>
        <v>30</v>
      </c>
      <c r="U33" s="165">
        <v>129</v>
      </c>
      <c r="V33" s="156">
        <f t="shared" si="2"/>
        <v>3870</v>
      </c>
      <c r="W33" s="162">
        <v>2</v>
      </c>
      <c r="X33" s="158" t="s">
        <v>46</v>
      </c>
      <c r="Y33" s="167" t="s">
        <v>78</v>
      </c>
      <c r="Z33" s="166" t="s">
        <v>86</v>
      </c>
      <c r="AA33" s="166" t="s">
        <v>88</v>
      </c>
      <c r="AB33" s="53" t="s">
        <v>348</v>
      </c>
    </row>
    <row r="34" spans="1:28" x14ac:dyDescent="0.15">
      <c r="A34" s="149" t="s">
        <v>34</v>
      </c>
      <c r="B34" s="149" t="s">
        <v>346</v>
      </c>
      <c r="C34" s="150">
        <v>2018</v>
      </c>
      <c r="D34" s="151" t="s">
        <v>403</v>
      </c>
      <c r="E34" s="150" t="s">
        <v>508</v>
      </c>
      <c r="F34" s="149" t="s">
        <v>289</v>
      </c>
      <c r="G34" s="152" t="s">
        <v>42</v>
      </c>
      <c r="H34" s="109" t="s">
        <v>168</v>
      </c>
      <c r="I34" s="109" t="s">
        <v>153</v>
      </c>
      <c r="J34" s="109" t="s">
        <v>38</v>
      </c>
      <c r="K34" s="109" t="s">
        <v>154</v>
      </c>
      <c r="L34" s="180">
        <v>3</v>
      </c>
      <c r="N34" s="180">
        <v>1</v>
      </c>
      <c r="O34" s="180">
        <v>0.6</v>
      </c>
      <c r="P34" s="207">
        <v>0.55000000000000004</v>
      </c>
      <c r="Q34" s="217">
        <f t="shared" si="0"/>
        <v>0.57499999999999996</v>
      </c>
      <c r="R34" s="160">
        <v>16.100000000000001</v>
      </c>
      <c r="S34" s="160">
        <v>139</v>
      </c>
      <c r="T34" s="189">
        <f t="shared" si="1"/>
        <v>30</v>
      </c>
      <c r="U34" s="165">
        <v>129</v>
      </c>
      <c r="V34" s="156">
        <f t="shared" si="2"/>
        <v>3870</v>
      </c>
      <c r="W34" s="162">
        <v>2</v>
      </c>
      <c r="X34" s="158" t="s">
        <v>46</v>
      </c>
      <c r="Y34" s="167" t="s">
        <v>78</v>
      </c>
      <c r="Z34" s="166" t="s">
        <v>86</v>
      </c>
      <c r="AA34" s="166" t="s">
        <v>88</v>
      </c>
      <c r="AB34" s="53" t="s">
        <v>348</v>
      </c>
    </row>
    <row r="35" spans="1:28" x14ac:dyDescent="0.15">
      <c r="A35" s="149" t="s">
        <v>34</v>
      </c>
      <c r="B35" s="149" t="s">
        <v>346</v>
      </c>
      <c r="C35" s="149">
        <v>2018</v>
      </c>
      <c r="D35" s="151" t="s">
        <v>403</v>
      </c>
      <c r="E35" s="150" t="s">
        <v>288</v>
      </c>
      <c r="F35" s="149" t="s">
        <v>296</v>
      </c>
      <c r="G35" s="152" t="s">
        <v>42</v>
      </c>
      <c r="H35" s="109" t="s">
        <v>155</v>
      </c>
      <c r="I35" s="109" t="s">
        <v>153</v>
      </c>
      <c r="J35" s="109" t="s">
        <v>38</v>
      </c>
      <c r="K35" s="109" t="s">
        <v>154</v>
      </c>
      <c r="L35" s="180">
        <v>1</v>
      </c>
      <c r="N35" s="180">
        <v>1</v>
      </c>
      <c r="O35" s="180">
        <v>0.55000000000000004</v>
      </c>
      <c r="P35" s="180">
        <v>0.6</v>
      </c>
      <c r="Q35" s="217">
        <f t="shared" si="0"/>
        <v>0.57499999999999996</v>
      </c>
      <c r="R35" s="160">
        <v>14.5</v>
      </c>
      <c r="S35" s="160">
        <v>147</v>
      </c>
      <c r="T35" s="189">
        <f t="shared" si="1"/>
        <v>30</v>
      </c>
      <c r="U35" s="165">
        <v>127</v>
      </c>
      <c r="V35" s="156">
        <f t="shared" si="2"/>
        <v>3810</v>
      </c>
      <c r="W35" s="162">
        <v>6</v>
      </c>
      <c r="X35" s="158" t="s">
        <v>46</v>
      </c>
      <c r="Y35" s="166" t="s">
        <v>78</v>
      </c>
      <c r="Z35" s="166" t="s">
        <v>102</v>
      </c>
      <c r="AA35" s="166" t="s">
        <v>90</v>
      </c>
      <c r="AB35" s="53" t="s">
        <v>348</v>
      </c>
    </row>
    <row r="36" spans="1:28" x14ac:dyDescent="0.15">
      <c r="A36" s="149" t="s">
        <v>34</v>
      </c>
      <c r="B36" s="149" t="s">
        <v>346</v>
      </c>
      <c r="C36" s="150">
        <v>2018</v>
      </c>
      <c r="D36" s="151" t="s">
        <v>403</v>
      </c>
      <c r="E36" s="150" t="s">
        <v>288</v>
      </c>
      <c r="F36" s="149" t="s">
        <v>296</v>
      </c>
      <c r="G36" s="152" t="s">
        <v>42</v>
      </c>
      <c r="H36" s="109" t="s">
        <v>155</v>
      </c>
      <c r="I36" s="109" t="s">
        <v>153</v>
      </c>
      <c r="J36" s="109" t="s">
        <v>38</v>
      </c>
      <c r="K36" s="109" t="s">
        <v>154</v>
      </c>
      <c r="L36" s="180">
        <v>2</v>
      </c>
      <c r="N36" s="180">
        <v>1</v>
      </c>
      <c r="O36" s="180">
        <v>0.6</v>
      </c>
      <c r="P36" s="180">
        <v>0.55000000000000004</v>
      </c>
      <c r="Q36" s="217">
        <f t="shared" si="0"/>
        <v>0.57499999999999996</v>
      </c>
      <c r="R36" s="160">
        <v>14.2</v>
      </c>
      <c r="S36" s="160">
        <v>140</v>
      </c>
      <c r="T36" s="189">
        <f t="shared" si="1"/>
        <v>30</v>
      </c>
      <c r="U36" s="165">
        <v>127</v>
      </c>
      <c r="V36" s="156">
        <f t="shared" si="2"/>
        <v>3810</v>
      </c>
      <c r="W36" s="162">
        <v>6</v>
      </c>
      <c r="X36" s="158" t="s">
        <v>46</v>
      </c>
      <c r="Y36" s="166" t="s">
        <v>78</v>
      </c>
      <c r="Z36" s="166" t="s">
        <v>102</v>
      </c>
      <c r="AA36" s="166" t="s">
        <v>90</v>
      </c>
      <c r="AB36" s="53" t="s">
        <v>348</v>
      </c>
    </row>
    <row r="37" spans="1:28" x14ac:dyDescent="0.15">
      <c r="A37" s="149" t="s">
        <v>34</v>
      </c>
      <c r="B37" s="149" t="s">
        <v>346</v>
      </c>
      <c r="C37" s="149">
        <v>2018</v>
      </c>
      <c r="D37" s="151" t="s">
        <v>403</v>
      </c>
      <c r="E37" s="150" t="s">
        <v>288</v>
      </c>
      <c r="F37" s="149" t="s">
        <v>296</v>
      </c>
      <c r="G37" s="152" t="s">
        <v>42</v>
      </c>
      <c r="H37" s="109" t="s">
        <v>155</v>
      </c>
      <c r="I37" s="109" t="s">
        <v>153</v>
      </c>
      <c r="J37" s="109" t="s">
        <v>38</v>
      </c>
      <c r="K37" s="109" t="s">
        <v>154</v>
      </c>
      <c r="L37" s="180">
        <v>3</v>
      </c>
      <c r="N37" s="180">
        <v>1</v>
      </c>
      <c r="O37" s="180">
        <v>0.6</v>
      </c>
      <c r="P37" s="180">
        <v>0.65</v>
      </c>
      <c r="Q37" s="217">
        <f t="shared" si="0"/>
        <v>0.625</v>
      </c>
      <c r="R37" s="160">
        <v>14.4</v>
      </c>
      <c r="S37" s="160">
        <v>145</v>
      </c>
      <c r="T37" s="189">
        <f t="shared" si="1"/>
        <v>30</v>
      </c>
      <c r="U37" s="165">
        <v>127</v>
      </c>
      <c r="V37" s="156">
        <f t="shared" si="2"/>
        <v>3810</v>
      </c>
      <c r="W37" s="162">
        <v>6</v>
      </c>
      <c r="X37" s="158" t="s">
        <v>46</v>
      </c>
      <c r="Y37" s="166" t="s">
        <v>78</v>
      </c>
      <c r="Z37" s="166" t="s">
        <v>102</v>
      </c>
      <c r="AA37" s="166" t="s">
        <v>90</v>
      </c>
      <c r="AB37" s="53" t="s">
        <v>348</v>
      </c>
    </row>
    <row r="38" spans="1:28" x14ac:dyDescent="0.15">
      <c r="A38" s="149" t="s">
        <v>34</v>
      </c>
      <c r="B38" s="149" t="s">
        <v>346</v>
      </c>
      <c r="C38" s="150">
        <v>2018</v>
      </c>
      <c r="D38" s="151" t="s">
        <v>403</v>
      </c>
      <c r="E38" s="150" t="s">
        <v>288</v>
      </c>
      <c r="F38" s="149" t="s">
        <v>296</v>
      </c>
      <c r="G38" s="152" t="s">
        <v>42</v>
      </c>
      <c r="H38" s="109" t="s">
        <v>168</v>
      </c>
      <c r="I38" s="109" t="s">
        <v>153</v>
      </c>
      <c r="J38" s="109" t="s">
        <v>38</v>
      </c>
      <c r="K38" s="109" t="s">
        <v>154</v>
      </c>
      <c r="L38" s="180">
        <v>1</v>
      </c>
      <c r="N38" s="180">
        <v>1</v>
      </c>
      <c r="O38" s="180">
        <v>0.55000000000000004</v>
      </c>
      <c r="P38" s="180">
        <v>0.5</v>
      </c>
      <c r="Q38" s="217">
        <f t="shared" si="0"/>
        <v>0.52500000000000002</v>
      </c>
      <c r="R38" s="160">
        <v>16.2</v>
      </c>
      <c r="S38" s="160">
        <v>172</v>
      </c>
      <c r="T38" s="189">
        <f t="shared" si="1"/>
        <v>30</v>
      </c>
      <c r="U38" s="165">
        <v>127</v>
      </c>
      <c r="V38" s="156">
        <f t="shared" si="2"/>
        <v>3810</v>
      </c>
      <c r="W38" s="162">
        <v>6</v>
      </c>
      <c r="X38" s="158" t="s">
        <v>46</v>
      </c>
      <c r="Y38" s="166" t="s">
        <v>78</v>
      </c>
      <c r="Z38" s="166" t="s">
        <v>102</v>
      </c>
      <c r="AA38" s="166" t="s">
        <v>90</v>
      </c>
      <c r="AB38" s="53" t="s">
        <v>348</v>
      </c>
    </row>
    <row r="39" spans="1:28" x14ac:dyDescent="0.15">
      <c r="A39" s="149" t="s">
        <v>34</v>
      </c>
      <c r="B39" s="149" t="s">
        <v>346</v>
      </c>
      <c r="C39" s="149">
        <v>2018</v>
      </c>
      <c r="D39" s="151" t="s">
        <v>403</v>
      </c>
      <c r="E39" s="150" t="s">
        <v>288</v>
      </c>
      <c r="F39" s="149" t="s">
        <v>296</v>
      </c>
      <c r="G39" s="152" t="s">
        <v>42</v>
      </c>
      <c r="H39" s="109" t="s">
        <v>168</v>
      </c>
      <c r="I39" s="109" t="s">
        <v>153</v>
      </c>
      <c r="J39" s="109" t="s">
        <v>38</v>
      </c>
      <c r="K39" s="109" t="s">
        <v>154</v>
      </c>
      <c r="L39" s="180">
        <v>2</v>
      </c>
      <c r="N39" s="180">
        <v>1</v>
      </c>
      <c r="O39" s="180">
        <v>0.6</v>
      </c>
      <c r="P39" s="180">
        <v>0.55000000000000004</v>
      </c>
      <c r="Q39" s="217">
        <f t="shared" si="0"/>
        <v>0.57499999999999996</v>
      </c>
      <c r="R39" s="160">
        <v>16.600000000000001</v>
      </c>
      <c r="S39" s="160">
        <v>166</v>
      </c>
      <c r="T39" s="189">
        <f t="shared" si="1"/>
        <v>30</v>
      </c>
      <c r="U39" s="165">
        <v>127</v>
      </c>
      <c r="V39" s="156">
        <f t="shared" si="2"/>
        <v>3810</v>
      </c>
      <c r="W39" s="162">
        <v>6</v>
      </c>
      <c r="X39" s="158" t="s">
        <v>46</v>
      </c>
      <c r="Y39" s="166" t="s">
        <v>78</v>
      </c>
      <c r="Z39" s="166" t="s">
        <v>102</v>
      </c>
      <c r="AA39" s="166" t="s">
        <v>90</v>
      </c>
      <c r="AB39" s="53" t="s">
        <v>348</v>
      </c>
    </row>
    <row r="40" spans="1:28" ht="12.75" customHeight="1" x14ac:dyDescent="0.15">
      <c r="A40" s="149" t="s">
        <v>34</v>
      </c>
      <c r="B40" s="149" t="s">
        <v>346</v>
      </c>
      <c r="C40" s="150">
        <v>2018</v>
      </c>
      <c r="D40" s="151" t="s">
        <v>403</v>
      </c>
      <c r="E40" s="150" t="s">
        <v>288</v>
      </c>
      <c r="F40" s="149" t="s">
        <v>296</v>
      </c>
      <c r="G40" s="152" t="s">
        <v>42</v>
      </c>
      <c r="H40" s="109" t="s">
        <v>168</v>
      </c>
      <c r="I40" s="109" t="s">
        <v>153</v>
      </c>
      <c r="J40" s="109" t="s">
        <v>38</v>
      </c>
      <c r="K40" s="109" t="s">
        <v>154</v>
      </c>
      <c r="L40" s="180">
        <v>3</v>
      </c>
      <c r="N40" s="180">
        <v>1</v>
      </c>
      <c r="O40" s="180">
        <v>0.55000000000000004</v>
      </c>
      <c r="P40" s="180">
        <v>0.6</v>
      </c>
      <c r="Q40" s="217">
        <f t="shared" si="0"/>
        <v>0.57499999999999996</v>
      </c>
      <c r="R40" s="160">
        <v>16.399999999999999</v>
      </c>
      <c r="S40" s="160">
        <v>156</v>
      </c>
      <c r="T40" s="189">
        <f t="shared" si="1"/>
        <v>30</v>
      </c>
      <c r="U40" s="165">
        <v>127</v>
      </c>
      <c r="V40" s="156">
        <f t="shared" si="2"/>
        <v>3810</v>
      </c>
      <c r="W40" s="162">
        <v>6</v>
      </c>
      <c r="X40" s="158" t="s">
        <v>46</v>
      </c>
      <c r="Y40" s="166" t="s">
        <v>78</v>
      </c>
      <c r="Z40" s="166" t="s">
        <v>102</v>
      </c>
      <c r="AA40" s="166" t="s">
        <v>90</v>
      </c>
      <c r="AB40" s="53" t="s">
        <v>348</v>
      </c>
    </row>
    <row r="41" spans="1:28" ht="12.75" customHeight="1" x14ac:dyDescent="0.15">
      <c r="A41" s="109" t="s">
        <v>34</v>
      </c>
      <c r="B41" s="149" t="s">
        <v>346</v>
      </c>
      <c r="C41" s="150">
        <v>2018</v>
      </c>
      <c r="D41" s="151" t="s">
        <v>403</v>
      </c>
      <c r="E41" s="150" t="s">
        <v>139</v>
      </c>
      <c r="F41" s="149" t="s">
        <v>296</v>
      </c>
      <c r="G41" s="152" t="s">
        <v>36</v>
      </c>
      <c r="H41" s="109" t="s">
        <v>155</v>
      </c>
      <c r="I41" s="109" t="s">
        <v>156</v>
      </c>
      <c r="J41" s="109" t="s">
        <v>38</v>
      </c>
      <c r="K41" s="109" t="s">
        <v>154</v>
      </c>
      <c r="L41" s="180">
        <v>1</v>
      </c>
      <c r="N41" s="180">
        <v>1</v>
      </c>
      <c r="O41" s="180">
        <v>0.95</v>
      </c>
      <c r="P41" s="180">
        <v>1</v>
      </c>
      <c r="Q41" s="217">
        <f t="shared" si="0"/>
        <v>0.97499999999999998</v>
      </c>
      <c r="R41" s="160">
        <v>14.3</v>
      </c>
      <c r="S41" s="160">
        <v>149</v>
      </c>
      <c r="T41" s="189">
        <f t="shared" si="1"/>
        <v>30</v>
      </c>
      <c r="U41" s="165">
        <v>105</v>
      </c>
      <c r="V41" s="156">
        <f t="shared" si="2"/>
        <v>3150</v>
      </c>
      <c r="W41" s="219">
        <v>10</v>
      </c>
      <c r="X41" s="158" t="s">
        <v>46</v>
      </c>
      <c r="Y41" s="170" t="s">
        <v>78</v>
      </c>
      <c r="Z41" s="170" t="s">
        <v>102</v>
      </c>
      <c r="AA41" s="170" t="s">
        <v>90</v>
      </c>
      <c r="AB41" s="53" t="s">
        <v>348</v>
      </c>
    </row>
    <row r="42" spans="1:28" ht="12.75" customHeight="1" x14ac:dyDescent="0.15">
      <c r="A42" s="109" t="s">
        <v>34</v>
      </c>
      <c r="B42" s="149" t="s">
        <v>346</v>
      </c>
      <c r="C42" s="150">
        <v>2018</v>
      </c>
      <c r="D42" s="151" t="s">
        <v>403</v>
      </c>
      <c r="E42" s="150" t="s">
        <v>139</v>
      </c>
      <c r="F42" s="149" t="s">
        <v>296</v>
      </c>
      <c r="G42" s="152" t="s">
        <v>36</v>
      </c>
      <c r="H42" s="109" t="s">
        <v>155</v>
      </c>
      <c r="I42" s="109" t="s">
        <v>156</v>
      </c>
      <c r="J42" s="109" t="s">
        <v>38</v>
      </c>
      <c r="K42" s="109" t="s">
        <v>154</v>
      </c>
      <c r="L42" s="180">
        <v>2</v>
      </c>
      <c r="N42" s="180">
        <v>1</v>
      </c>
      <c r="O42" s="180">
        <v>1.2</v>
      </c>
      <c r="P42" s="180">
        <v>0.9</v>
      </c>
      <c r="Q42" s="217">
        <f t="shared" si="0"/>
        <v>1.05</v>
      </c>
      <c r="R42" s="160">
        <v>14.1</v>
      </c>
      <c r="S42" s="160">
        <v>153</v>
      </c>
      <c r="T42" s="189">
        <f t="shared" si="1"/>
        <v>30</v>
      </c>
      <c r="U42" s="165">
        <v>105</v>
      </c>
      <c r="V42" s="156">
        <f t="shared" si="2"/>
        <v>3150</v>
      </c>
      <c r="W42" s="219">
        <v>10</v>
      </c>
      <c r="X42" s="158" t="s">
        <v>46</v>
      </c>
      <c r="Y42" s="170" t="s">
        <v>78</v>
      </c>
      <c r="Z42" s="170" t="s">
        <v>102</v>
      </c>
      <c r="AA42" s="170" t="s">
        <v>90</v>
      </c>
      <c r="AB42" s="53" t="s">
        <v>348</v>
      </c>
    </row>
    <row r="43" spans="1:28" ht="12.75" customHeight="1" x14ac:dyDescent="0.15">
      <c r="A43" s="109" t="s">
        <v>34</v>
      </c>
      <c r="B43" s="149" t="s">
        <v>346</v>
      </c>
      <c r="C43" s="150">
        <v>2018</v>
      </c>
      <c r="D43" s="151" t="s">
        <v>403</v>
      </c>
      <c r="E43" s="150" t="s">
        <v>139</v>
      </c>
      <c r="F43" s="149" t="s">
        <v>296</v>
      </c>
      <c r="G43" s="152" t="s">
        <v>36</v>
      </c>
      <c r="H43" s="109" t="s">
        <v>155</v>
      </c>
      <c r="I43" s="109" t="s">
        <v>156</v>
      </c>
      <c r="J43" s="109" t="s">
        <v>38</v>
      </c>
      <c r="K43" s="109" t="s">
        <v>154</v>
      </c>
      <c r="L43" s="180">
        <v>3</v>
      </c>
      <c r="N43" s="180">
        <v>1</v>
      </c>
      <c r="O43" s="180">
        <v>1</v>
      </c>
      <c r="P43" s="180">
        <v>0.95</v>
      </c>
      <c r="Q43" s="217">
        <f t="shared" si="0"/>
        <v>0.97499999999999998</v>
      </c>
      <c r="R43" s="160">
        <v>14.7</v>
      </c>
      <c r="S43" s="160">
        <v>157</v>
      </c>
      <c r="T43" s="189">
        <f t="shared" si="1"/>
        <v>30</v>
      </c>
      <c r="U43" s="165">
        <v>105</v>
      </c>
      <c r="V43" s="156">
        <f t="shared" si="2"/>
        <v>3150</v>
      </c>
      <c r="W43" s="219">
        <v>10</v>
      </c>
      <c r="X43" s="158" t="s">
        <v>46</v>
      </c>
      <c r="Y43" s="170" t="s">
        <v>78</v>
      </c>
      <c r="Z43" s="170" t="s">
        <v>102</v>
      </c>
      <c r="AA43" s="170" t="s">
        <v>90</v>
      </c>
      <c r="AB43" s="53" t="s">
        <v>348</v>
      </c>
    </row>
    <row r="44" spans="1:28" x14ac:dyDescent="0.15">
      <c r="A44" s="180" t="s">
        <v>34</v>
      </c>
      <c r="B44" s="149" t="s">
        <v>346</v>
      </c>
      <c r="C44" s="150">
        <v>2018</v>
      </c>
      <c r="D44" s="151" t="s">
        <v>403</v>
      </c>
      <c r="E44" s="150" t="s">
        <v>139</v>
      </c>
      <c r="F44" s="149" t="s">
        <v>296</v>
      </c>
      <c r="G44" s="152" t="s">
        <v>36</v>
      </c>
      <c r="H44" s="109" t="s">
        <v>168</v>
      </c>
      <c r="I44" s="109" t="s">
        <v>153</v>
      </c>
      <c r="J44" s="219" t="s">
        <v>38</v>
      </c>
      <c r="K44" s="109" t="s">
        <v>154</v>
      </c>
      <c r="L44" s="180">
        <v>1</v>
      </c>
      <c r="N44" s="180">
        <v>1</v>
      </c>
      <c r="O44" s="180">
        <v>0.55000000000000004</v>
      </c>
      <c r="P44" s="180">
        <v>0.6</v>
      </c>
      <c r="Q44" s="217">
        <f t="shared" si="0"/>
        <v>0.57499999999999996</v>
      </c>
      <c r="R44" s="160">
        <v>15.9</v>
      </c>
      <c r="S44" s="160">
        <v>150</v>
      </c>
      <c r="T44" s="189">
        <f t="shared" si="1"/>
        <v>30</v>
      </c>
      <c r="U44" s="165">
        <v>168</v>
      </c>
      <c r="V44" s="189">
        <f t="shared" si="2"/>
        <v>5040</v>
      </c>
      <c r="W44" s="180">
        <v>10</v>
      </c>
      <c r="X44" s="158" t="s">
        <v>46</v>
      </c>
      <c r="Y44" s="170" t="s">
        <v>78</v>
      </c>
      <c r="Z44" s="170" t="s">
        <v>102</v>
      </c>
      <c r="AA44" s="170" t="s">
        <v>90</v>
      </c>
      <c r="AB44" s="53" t="s">
        <v>348</v>
      </c>
    </row>
    <row r="45" spans="1:28" x14ac:dyDescent="0.15">
      <c r="A45" s="180" t="s">
        <v>34</v>
      </c>
      <c r="B45" s="149" t="s">
        <v>346</v>
      </c>
      <c r="C45" s="149">
        <v>2018</v>
      </c>
      <c r="D45" s="151" t="s">
        <v>403</v>
      </c>
      <c r="E45" s="150" t="s">
        <v>139</v>
      </c>
      <c r="F45" s="149" t="s">
        <v>296</v>
      </c>
      <c r="G45" s="152" t="s">
        <v>36</v>
      </c>
      <c r="H45" s="109" t="s">
        <v>168</v>
      </c>
      <c r="I45" s="109" t="s">
        <v>153</v>
      </c>
      <c r="J45" s="219" t="s">
        <v>38</v>
      </c>
      <c r="K45" s="109" t="s">
        <v>154</v>
      </c>
      <c r="L45" s="180">
        <v>2</v>
      </c>
      <c r="N45" s="180">
        <v>1</v>
      </c>
      <c r="O45" s="180">
        <v>0.6</v>
      </c>
      <c r="P45" s="180">
        <v>0.55000000000000004</v>
      </c>
      <c r="Q45" s="217">
        <f t="shared" si="0"/>
        <v>0.57499999999999996</v>
      </c>
      <c r="R45" s="160">
        <v>16.2</v>
      </c>
      <c r="S45" s="160">
        <v>140</v>
      </c>
      <c r="T45" s="189">
        <f t="shared" si="1"/>
        <v>30</v>
      </c>
      <c r="U45" s="165">
        <v>168</v>
      </c>
      <c r="V45" s="189">
        <f t="shared" si="2"/>
        <v>5040</v>
      </c>
      <c r="W45" s="180">
        <v>10</v>
      </c>
      <c r="X45" s="158" t="s">
        <v>46</v>
      </c>
      <c r="Y45" s="170" t="s">
        <v>78</v>
      </c>
      <c r="Z45" s="170" t="s">
        <v>102</v>
      </c>
      <c r="AA45" s="170" t="s">
        <v>90</v>
      </c>
      <c r="AB45" s="53" t="s">
        <v>348</v>
      </c>
    </row>
    <row r="46" spans="1:28" x14ac:dyDescent="0.15">
      <c r="A46" s="180" t="s">
        <v>34</v>
      </c>
      <c r="B46" s="149" t="s">
        <v>346</v>
      </c>
      <c r="C46" s="150">
        <v>2018</v>
      </c>
      <c r="D46" s="151" t="s">
        <v>403</v>
      </c>
      <c r="E46" s="150" t="s">
        <v>139</v>
      </c>
      <c r="F46" s="149" t="s">
        <v>296</v>
      </c>
      <c r="G46" s="152" t="s">
        <v>36</v>
      </c>
      <c r="H46" s="109" t="s">
        <v>168</v>
      </c>
      <c r="I46" s="109" t="s">
        <v>153</v>
      </c>
      <c r="J46" s="219" t="s">
        <v>38</v>
      </c>
      <c r="K46" s="109" t="s">
        <v>154</v>
      </c>
      <c r="L46" s="180">
        <v>3</v>
      </c>
      <c r="N46" s="180">
        <v>1</v>
      </c>
      <c r="O46" s="180">
        <v>0.65</v>
      </c>
      <c r="P46" s="180">
        <v>0.55000000000000004</v>
      </c>
      <c r="Q46" s="217">
        <f t="shared" si="0"/>
        <v>0.60000000000000009</v>
      </c>
      <c r="R46" s="160">
        <v>16</v>
      </c>
      <c r="S46" s="160">
        <v>143</v>
      </c>
      <c r="T46" s="189">
        <f t="shared" si="1"/>
        <v>30</v>
      </c>
      <c r="U46" s="165">
        <v>168</v>
      </c>
      <c r="V46" s="189">
        <f t="shared" si="2"/>
        <v>5040</v>
      </c>
      <c r="W46" s="180">
        <v>10</v>
      </c>
      <c r="X46" s="158" t="s">
        <v>46</v>
      </c>
      <c r="Y46" s="170" t="s">
        <v>78</v>
      </c>
      <c r="Z46" s="170" t="s">
        <v>102</v>
      </c>
      <c r="AA46" s="170" t="s">
        <v>90</v>
      </c>
      <c r="AB46" s="53" t="s">
        <v>348</v>
      </c>
    </row>
    <row r="47" spans="1:28" x14ac:dyDescent="0.15">
      <c r="A47" s="180" t="s">
        <v>34</v>
      </c>
      <c r="B47" s="207" t="s">
        <v>346</v>
      </c>
      <c r="C47" s="180">
        <v>2018</v>
      </c>
      <c r="D47" s="171" t="s">
        <v>403</v>
      </c>
      <c r="E47" s="180" t="s">
        <v>133</v>
      </c>
      <c r="F47" s="149" t="s">
        <v>290</v>
      </c>
      <c r="G47" s="152" t="s">
        <v>36</v>
      </c>
      <c r="H47" s="109" t="s">
        <v>155</v>
      </c>
      <c r="I47" s="109" t="s">
        <v>153</v>
      </c>
      <c r="J47" s="219" t="s">
        <v>38</v>
      </c>
      <c r="K47" s="109" t="s">
        <v>154</v>
      </c>
      <c r="L47" s="180">
        <v>1</v>
      </c>
      <c r="N47" s="180">
        <v>1</v>
      </c>
      <c r="O47" s="180">
        <v>0.85</v>
      </c>
      <c r="P47" s="180">
        <v>0.9</v>
      </c>
      <c r="Q47" s="217">
        <f t="shared" si="0"/>
        <v>0.875</v>
      </c>
      <c r="R47" s="160">
        <v>14.2</v>
      </c>
      <c r="S47" s="160">
        <v>150</v>
      </c>
      <c r="T47" s="189">
        <f t="shared" si="1"/>
        <v>30</v>
      </c>
      <c r="U47" s="180">
        <v>105</v>
      </c>
      <c r="V47" s="189">
        <f t="shared" si="2"/>
        <v>3150</v>
      </c>
      <c r="W47" s="180">
        <v>20</v>
      </c>
      <c r="X47" s="158" t="s">
        <v>46</v>
      </c>
      <c r="Y47" s="180" t="s">
        <v>102</v>
      </c>
      <c r="Z47" s="180" t="s">
        <v>90</v>
      </c>
      <c r="AA47" s="180" t="s">
        <v>88</v>
      </c>
      <c r="AB47" s="53" t="s">
        <v>348</v>
      </c>
    </row>
    <row r="48" spans="1:28" x14ac:dyDescent="0.15">
      <c r="A48" s="180" t="s">
        <v>34</v>
      </c>
      <c r="B48" s="207" t="s">
        <v>346</v>
      </c>
      <c r="C48" s="180">
        <v>2018</v>
      </c>
      <c r="D48" s="171" t="s">
        <v>403</v>
      </c>
      <c r="E48" s="180" t="s">
        <v>133</v>
      </c>
      <c r="F48" s="149" t="s">
        <v>290</v>
      </c>
      <c r="G48" s="152" t="s">
        <v>36</v>
      </c>
      <c r="H48" s="109" t="s">
        <v>155</v>
      </c>
      <c r="I48" s="109" t="s">
        <v>153</v>
      </c>
      <c r="J48" s="219" t="s">
        <v>38</v>
      </c>
      <c r="K48" s="109" t="s">
        <v>154</v>
      </c>
      <c r="L48" s="180">
        <v>2</v>
      </c>
      <c r="N48" s="180">
        <v>1</v>
      </c>
      <c r="O48" s="180">
        <v>0.9</v>
      </c>
      <c r="P48" s="180">
        <v>0.75</v>
      </c>
      <c r="Q48" s="217">
        <f t="shared" si="0"/>
        <v>0.82499999999999996</v>
      </c>
      <c r="R48" s="160">
        <v>14.4</v>
      </c>
      <c r="S48" s="160">
        <v>165</v>
      </c>
      <c r="T48" s="189">
        <f t="shared" si="1"/>
        <v>30</v>
      </c>
      <c r="U48" s="180">
        <v>105</v>
      </c>
      <c r="V48" s="189">
        <f t="shared" si="2"/>
        <v>3150</v>
      </c>
      <c r="W48" s="180">
        <v>20</v>
      </c>
      <c r="X48" s="158" t="s">
        <v>46</v>
      </c>
      <c r="Y48" s="180" t="s">
        <v>102</v>
      </c>
      <c r="Z48" s="180" t="s">
        <v>90</v>
      </c>
      <c r="AA48" s="180" t="s">
        <v>88</v>
      </c>
      <c r="AB48" s="53" t="s">
        <v>348</v>
      </c>
    </row>
    <row r="49" spans="1:28" x14ac:dyDescent="0.15">
      <c r="A49" s="180" t="s">
        <v>34</v>
      </c>
      <c r="B49" s="207" t="s">
        <v>346</v>
      </c>
      <c r="C49" s="180">
        <v>2018</v>
      </c>
      <c r="D49" s="171" t="s">
        <v>403</v>
      </c>
      <c r="E49" s="180" t="s">
        <v>133</v>
      </c>
      <c r="F49" s="149" t="s">
        <v>290</v>
      </c>
      <c r="G49" s="152" t="s">
        <v>36</v>
      </c>
      <c r="H49" s="109" t="s">
        <v>155</v>
      </c>
      <c r="I49" s="109" t="s">
        <v>153</v>
      </c>
      <c r="J49" s="219" t="s">
        <v>38</v>
      </c>
      <c r="K49" s="109" t="s">
        <v>154</v>
      </c>
      <c r="L49" s="180">
        <v>3</v>
      </c>
      <c r="N49" s="180">
        <v>1</v>
      </c>
      <c r="O49" s="180">
        <v>0.8</v>
      </c>
      <c r="P49" s="180">
        <v>0.85</v>
      </c>
      <c r="Q49" s="217">
        <f t="shared" si="0"/>
        <v>0.82499999999999996</v>
      </c>
      <c r="R49" s="160">
        <v>14.5</v>
      </c>
      <c r="S49" s="160">
        <v>149</v>
      </c>
      <c r="T49" s="189">
        <f t="shared" si="1"/>
        <v>30</v>
      </c>
      <c r="U49" s="180">
        <v>105</v>
      </c>
      <c r="V49" s="189">
        <f t="shared" si="2"/>
        <v>3150</v>
      </c>
      <c r="W49" s="180">
        <v>20</v>
      </c>
      <c r="X49" s="158" t="s">
        <v>46</v>
      </c>
      <c r="Y49" s="180" t="s">
        <v>102</v>
      </c>
      <c r="Z49" s="180" t="s">
        <v>90</v>
      </c>
      <c r="AA49" s="180" t="s">
        <v>88</v>
      </c>
      <c r="AB49" s="53" t="s">
        <v>348</v>
      </c>
    </row>
    <row r="50" spans="1:28" x14ac:dyDescent="0.15">
      <c r="A50" s="180" t="s">
        <v>34</v>
      </c>
      <c r="B50" s="180" t="s">
        <v>346</v>
      </c>
      <c r="C50" s="180">
        <v>2018</v>
      </c>
      <c r="D50" s="171" t="s">
        <v>403</v>
      </c>
      <c r="E50" s="180" t="s">
        <v>133</v>
      </c>
      <c r="F50" s="149" t="s">
        <v>290</v>
      </c>
      <c r="G50" s="152" t="s">
        <v>36</v>
      </c>
      <c r="H50" s="219" t="s">
        <v>168</v>
      </c>
      <c r="I50" s="219" t="s">
        <v>153</v>
      </c>
      <c r="J50" s="219" t="s">
        <v>38</v>
      </c>
      <c r="K50" s="109" t="s">
        <v>154</v>
      </c>
      <c r="L50" s="180">
        <v>1</v>
      </c>
      <c r="N50" s="180">
        <v>1</v>
      </c>
      <c r="O50" s="180">
        <v>0.65</v>
      </c>
      <c r="P50" s="180">
        <v>0.6</v>
      </c>
      <c r="Q50" s="217">
        <f t="shared" si="0"/>
        <v>0.625</v>
      </c>
      <c r="R50" s="180">
        <v>15.8</v>
      </c>
      <c r="S50" s="180">
        <v>162</v>
      </c>
      <c r="T50" s="189">
        <f t="shared" si="1"/>
        <v>30</v>
      </c>
      <c r="U50" s="180">
        <v>149</v>
      </c>
      <c r="V50" s="189">
        <f t="shared" si="2"/>
        <v>4470</v>
      </c>
      <c r="W50" s="180">
        <v>20</v>
      </c>
      <c r="X50" s="158" t="s">
        <v>46</v>
      </c>
      <c r="Y50" s="180" t="s">
        <v>102</v>
      </c>
      <c r="Z50" s="180" t="s">
        <v>90</v>
      </c>
      <c r="AA50" s="180" t="s">
        <v>88</v>
      </c>
      <c r="AB50" s="180" t="s">
        <v>348</v>
      </c>
    </row>
    <row r="51" spans="1:28" x14ac:dyDescent="0.15">
      <c r="A51" s="180" t="s">
        <v>34</v>
      </c>
      <c r="B51" s="180" t="s">
        <v>346</v>
      </c>
      <c r="C51" s="180">
        <v>2018</v>
      </c>
      <c r="D51" s="171" t="s">
        <v>403</v>
      </c>
      <c r="E51" s="180" t="s">
        <v>133</v>
      </c>
      <c r="F51" s="149" t="s">
        <v>290</v>
      </c>
      <c r="G51" s="152" t="s">
        <v>36</v>
      </c>
      <c r="H51" s="219" t="s">
        <v>168</v>
      </c>
      <c r="I51" s="219" t="s">
        <v>153</v>
      </c>
      <c r="J51" s="219" t="s">
        <v>38</v>
      </c>
      <c r="K51" s="109" t="s">
        <v>154</v>
      </c>
      <c r="L51" s="180">
        <v>2</v>
      </c>
      <c r="N51" s="180">
        <v>1</v>
      </c>
      <c r="O51" s="180">
        <v>0.7</v>
      </c>
      <c r="P51" s="180">
        <v>0.75</v>
      </c>
      <c r="Q51" s="217">
        <f t="shared" si="0"/>
        <v>0.72499999999999998</v>
      </c>
      <c r="R51" s="180">
        <v>15.5</v>
      </c>
      <c r="S51" s="180">
        <v>175</v>
      </c>
      <c r="T51" s="189">
        <f t="shared" si="1"/>
        <v>30</v>
      </c>
      <c r="U51" s="180">
        <v>149</v>
      </c>
      <c r="V51" s="189">
        <f t="shared" si="2"/>
        <v>4470</v>
      </c>
      <c r="W51" s="180">
        <v>20</v>
      </c>
      <c r="X51" s="158" t="s">
        <v>46</v>
      </c>
      <c r="Y51" s="180" t="s">
        <v>102</v>
      </c>
      <c r="Z51" s="180" t="s">
        <v>90</v>
      </c>
      <c r="AA51" s="180" t="s">
        <v>88</v>
      </c>
      <c r="AB51" s="180" t="s">
        <v>348</v>
      </c>
    </row>
    <row r="52" spans="1:28" x14ac:dyDescent="0.15">
      <c r="A52" s="180" t="s">
        <v>34</v>
      </c>
      <c r="B52" s="180" t="s">
        <v>346</v>
      </c>
      <c r="C52" s="180">
        <v>2018</v>
      </c>
      <c r="D52" s="171" t="s">
        <v>403</v>
      </c>
      <c r="E52" s="180" t="s">
        <v>133</v>
      </c>
      <c r="F52" s="149" t="s">
        <v>290</v>
      </c>
      <c r="G52" s="152" t="s">
        <v>36</v>
      </c>
      <c r="H52" s="219" t="s">
        <v>168</v>
      </c>
      <c r="I52" s="219" t="s">
        <v>153</v>
      </c>
      <c r="J52" s="219" t="s">
        <v>38</v>
      </c>
      <c r="K52" s="109" t="s">
        <v>154</v>
      </c>
      <c r="L52" s="180">
        <v>3</v>
      </c>
      <c r="N52" s="180">
        <v>1</v>
      </c>
      <c r="O52" s="180">
        <v>0.65</v>
      </c>
      <c r="P52" s="180">
        <v>0.65</v>
      </c>
      <c r="Q52" s="217">
        <f t="shared" si="0"/>
        <v>0.65</v>
      </c>
      <c r="R52" s="180">
        <v>15.8</v>
      </c>
      <c r="S52" s="180">
        <v>148</v>
      </c>
      <c r="T52" s="189">
        <f t="shared" si="1"/>
        <v>30</v>
      </c>
      <c r="U52" s="180">
        <v>149</v>
      </c>
      <c r="V52" s="189">
        <f t="shared" si="2"/>
        <v>4470</v>
      </c>
      <c r="W52" s="180">
        <v>20</v>
      </c>
      <c r="X52" s="158" t="s">
        <v>46</v>
      </c>
      <c r="Y52" s="180" t="s">
        <v>102</v>
      </c>
      <c r="Z52" s="180" t="s">
        <v>90</v>
      </c>
      <c r="AA52" s="180" t="s">
        <v>88</v>
      </c>
      <c r="AB52" s="180" t="s">
        <v>348</v>
      </c>
    </row>
    <row r="53" spans="1:28" x14ac:dyDescent="0.15">
      <c r="A53" s="180" t="s">
        <v>34</v>
      </c>
      <c r="B53" s="180" t="s">
        <v>346</v>
      </c>
      <c r="C53" s="180">
        <v>2018</v>
      </c>
      <c r="D53" s="171" t="s">
        <v>403</v>
      </c>
      <c r="E53" s="180" t="s">
        <v>219</v>
      </c>
      <c r="F53" s="149" t="s">
        <v>293</v>
      </c>
      <c r="G53" s="152" t="s">
        <v>36</v>
      </c>
      <c r="H53" s="219" t="s">
        <v>155</v>
      </c>
      <c r="I53" s="219" t="s">
        <v>153</v>
      </c>
      <c r="J53" s="219" t="s">
        <v>38</v>
      </c>
      <c r="K53" s="109" t="s">
        <v>154</v>
      </c>
      <c r="L53" s="180">
        <v>1</v>
      </c>
      <c r="N53" s="180">
        <v>1</v>
      </c>
      <c r="O53" s="180">
        <v>0.8</v>
      </c>
      <c r="P53" s="180">
        <v>0.8</v>
      </c>
      <c r="Q53" s="217">
        <f t="shared" si="0"/>
        <v>0.8</v>
      </c>
      <c r="R53" s="180">
        <v>14.3</v>
      </c>
      <c r="S53" s="180">
        <v>138</v>
      </c>
      <c r="T53" s="189">
        <f t="shared" si="1"/>
        <v>30</v>
      </c>
      <c r="U53" s="180">
        <v>138</v>
      </c>
      <c r="V53" s="189">
        <f t="shared" si="2"/>
        <v>4140</v>
      </c>
      <c r="W53" s="180">
        <v>6</v>
      </c>
      <c r="X53" s="158" t="s">
        <v>46</v>
      </c>
      <c r="Y53" s="180" t="s">
        <v>78</v>
      </c>
      <c r="Z53" s="180" t="s">
        <v>90</v>
      </c>
      <c r="AA53" s="180" t="s">
        <v>102</v>
      </c>
      <c r="AB53" s="180" t="s">
        <v>348</v>
      </c>
    </row>
    <row r="54" spans="1:28" x14ac:dyDescent="0.15">
      <c r="A54" s="180" t="s">
        <v>34</v>
      </c>
      <c r="B54" s="180" t="s">
        <v>346</v>
      </c>
      <c r="C54" s="180">
        <v>2018</v>
      </c>
      <c r="D54" s="171" t="s">
        <v>403</v>
      </c>
      <c r="E54" s="180" t="s">
        <v>219</v>
      </c>
      <c r="F54" s="149" t="s">
        <v>293</v>
      </c>
      <c r="G54" s="152" t="s">
        <v>36</v>
      </c>
      <c r="H54" s="219" t="s">
        <v>155</v>
      </c>
      <c r="I54" s="219" t="s">
        <v>153</v>
      </c>
      <c r="J54" s="219" t="s">
        <v>38</v>
      </c>
      <c r="K54" s="109" t="s">
        <v>154</v>
      </c>
      <c r="L54" s="180">
        <v>2</v>
      </c>
      <c r="N54" s="180">
        <v>1</v>
      </c>
      <c r="O54" s="180">
        <v>0.75</v>
      </c>
      <c r="P54" s="180">
        <v>0.7</v>
      </c>
      <c r="Q54" s="217">
        <f t="shared" si="0"/>
        <v>0.72499999999999998</v>
      </c>
      <c r="R54" s="180">
        <v>15.2</v>
      </c>
      <c r="S54" s="180">
        <v>144</v>
      </c>
      <c r="T54" s="189">
        <f t="shared" si="1"/>
        <v>30</v>
      </c>
      <c r="U54" s="180">
        <v>138</v>
      </c>
      <c r="V54" s="189">
        <f t="shared" si="2"/>
        <v>4140</v>
      </c>
      <c r="W54" s="180">
        <v>6</v>
      </c>
      <c r="X54" s="158" t="s">
        <v>46</v>
      </c>
      <c r="Y54" s="180" t="s">
        <v>78</v>
      </c>
      <c r="Z54" s="180" t="s">
        <v>90</v>
      </c>
      <c r="AA54" s="180" t="s">
        <v>102</v>
      </c>
      <c r="AB54" s="180" t="s">
        <v>348</v>
      </c>
    </row>
    <row r="55" spans="1:28" x14ac:dyDescent="0.15">
      <c r="A55" s="180" t="s">
        <v>34</v>
      </c>
      <c r="B55" s="180" t="s">
        <v>346</v>
      </c>
      <c r="C55" s="180">
        <v>2018</v>
      </c>
      <c r="D55" s="171" t="s">
        <v>403</v>
      </c>
      <c r="E55" s="180" t="s">
        <v>219</v>
      </c>
      <c r="F55" s="149" t="s">
        <v>293</v>
      </c>
      <c r="G55" s="152" t="s">
        <v>36</v>
      </c>
      <c r="H55" s="219" t="s">
        <v>155</v>
      </c>
      <c r="I55" s="219" t="s">
        <v>153</v>
      </c>
      <c r="J55" s="219" t="s">
        <v>38</v>
      </c>
      <c r="K55" s="109" t="s">
        <v>154</v>
      </c>
      <c r="L55" s="180">
        <v>3</v>
      </c>
      <c r="N55" s="180">
        <v>1</v>
      </c>
      <c r="O55" s="180">
        <v>0.8</v>
      </c>
      <c r="P55" s="180">
        <v>0.85</v>
      </c>
      <c r="Q55" s="217">
        <f t="shared" si="0"/>
        <v>0.82499999999999996</v>
      </c>
      <c r="R55" s="180">
        <v>14.1</v>
      </c>
      <c r="S55" s="180">
        <v>146</v>
      </c>
      <c r="T55" s="189">
        <f t="shared" si="1"/>
        <v>30</v>
      </c>
      <c r="U55" s="180">
        <v>138</v>
      </c>
      <c r="V55" s="189">
        <f t="shared" si="2"/>
        <v>4140</v>
      </c>
      <c r="W55" s="180">
        <v>6</v>
      </c>
      <c r="X55" s="158" t="s">
        <v>46</v>
      </c>
      <c r="Y55" s="180" t="s">
        <v>78</v>
      </c>
      <c r="Z55" s="180" t="s">
        <v>90</v>
      </c>
      <c r="AA55" s="180" t="s">
        <v>102</v>
      </c>
      <c r="AB55" s="180" t="s">
        <v>348</v>
      </c>
    </row>
    <row r="56" spans="1:28" x14ac:dyDescent="0.15">
      <c r="A56" s="180" t="s">
        <v>34</v>
      </c>
      <c r="B56" s="180" t="s">
        <v>346</v>
      </c>
      <c r="C56" s="180">
        <v>2018</v>
      </c>
      <c r="D56" s="171" t="s">
        <v>403</v>
      </c>
      <c r="E56" s="180" t="s">
        <v>219</v>
      </c>
      <c r="F56" s="149" t="s">
        <v>293</v>
      </c>
      <c r="G56" s="152" t="s">
        <v>36</v>
      </c>
      <c r="H56" s="219" t="s">
        <v>168</v>
      </c>
      <c r="I56" s="219" t="s">
        <v>153</v>
      </c>
      <c r="J56" s="219" t="s">
        <v>38</v>
      </c>
      <c r="K56" s="109" t="s">
        <v>154</v>
      </c>
      <c r="L56" s="180">
        <v>1</v>
      </c>
      <c r="N56" s="180">
        <v>1</v>
      </c>
      <c r="O56" s="180">
        <v>0.75</v>
      </c>
      <c r="P56" s="180">
        <v>0.6</v>
      </c>
      <c r="Q56" s="217">
        <f t="shared" si="0"/>
        <v>0.67500000000000004</v>
      </c>
      <c r="R56" s="180">
        <v>15.8</v>
      </c>
      <c r="S56" s="180">
        <v>139</v>
      </c>
      <c r="T56" s="189">
        <f t="shared" si="1"/>
        <v>30</v>
      </c>
      <c r="U56" s="180">
        <v>138</v>
      </c>
      <c r="V56" s="189">
        <f t="shared" si="2"/>
        <v>4140</v>
      </c>
      <c r="W56" s="180">
        <v>6</v>
      </c>
      <c r="X56" s="158" t="s">
        <v>46</v>
      </c>
      <c r="Y56" s="180" t="s">
        <v>78</v>
      </c>
      <c r="Z56" s="180" t="s">
        <v>90</v>
      </c>
      <c r="AA56" s="180" t="s">
        <v>102</v>
      </c>
      <c r="AB56" s="180" t="s">
        <v>348</v>
      </c>
    </row>
    <row r="57" spans="1:28" x14ac:dyDescent="0.15">
      <c r="A57" s="180" t="s">
        <v>34</v>
      </c>
      <c r="B57" s="180" t="s">
        <v>346</v>
      </c>
      <c r="C57" s="180">
        <v>2018</v>
      </c>
      <c r="D57" s="171" t="s">
        <v>403</v>
      </c>
      <c r="E57" s="180" t="s">
        <v>219</v>
      </c>
      <c r="F57" s="149" t="s">
        <v>293</v>
      </c>
      <c r="G57" s="152" t="s">
        <v>36</v>
      </c>
      <c r="H57" s="219" t="s">
        <v>168</v>
      </c>
      <c r="I57" s="219" t="s">
        <v>153</v>
      </c>
      <c r="J57" s="219" t="s">
        <v>38</v>
      </c>
      <c r="K57" s="109" t="s">
        <v>154</v>
      </c>
      <c r="L57" s="180">
        <v>2</v>
      </c>
      <c r="N57" s="180">
        <v>1</v>
      </c>
      <c r="O57" s="180">
        <v>0.6</v>
      </c>
      <c r="P57" s="180">
        <v>0.55000000000000004</v>
      </c>
      <c r="Q57" s="217">
        <f t="shared" si="0"/>
        <v>0.57499999999999996</v>
      </c>
      <c r="R57" s="180">
        <v>15.5</v>
      </c>
      <c r="S57" s="180">
        <v>141</v>
      </c>
      <c r="T57" s="189">
        <f t="shared" si="1"/>
        <v>30</v>
      </c>
      <c r="U57" s="180">
        <v>138</v>
      </c>
      <c r="V57" s="189">
        <f t="shared" si="2"/>
        <v>4140</v>
      </c>
      <c r="W57" s="180">
        <v>6</v>
      </c>
      <c r="X57" s="158" t="s">
        <v>46</v>
      </c>
      <c r="Y57" s="180" t="s">
        <v>78</v>
      </c>
      <c r="Z57" s="180" t="s">
        <v>90</v>
      </c>
      <c r="AA57" s="180" t="s">
        <v>102</v>
      </c>
      <c r="AB57" s="180" t="s">
        <v>348</v>
      </c>
    </row>
    <row r="58" spans="1:28" x14ac:dyDescent="0.15">
      <c r="A58" s="180" t="s">
        <v>34</v>
      </c>
      <c r="B58" s="180" t="s">
        <v>346</v>
      </c>
      <c r="C58" s="180">
        <v>2018</v>
      </c>
      <c r="D58" s="171" t="s">
        <v>403</v>
      </c>
      <c r="E58" s="180" t="s">
        <v>219</v>
      </c>
      <c r="F58" s="149" t="s">
        <v>293</v>
      </c>
      <c r="G58" s="152" t="s">
        <v>36</v>
      </c>
      <c r="H58" s="219" t="s">
        <v>168</v>
      </c>
      <c r="I58" s="219" t="s">
        <v>153</v>
      </c>
      <c r="J58" s="219" t="s">
        <v>38</v>
      </c>
      <c r="K58" s="109" t="s">
        <v>154</v>
      </c>
      <c r="L58" s="180">
        <v>3</v>
      </c>
      <c r="N58" s="180">
        <v>1</v>
      </c>
      <c r="O58" s="180">
        <v>0.75</v>
      </c>
      <c r="P58" s="180">
        <v>0.8</v>
      </c>
      <c r="Q58" s="217">
        <f t="shared" si="0"/>
        <v>0.77500000000000002</v>
      </c>
      <c r="R58" s="180">
        <v>15.6</v>
      </c>
      <c r="S58" s="180">
        <v>138</v>
      </c>
      <c r="T58" s="189">
        <f t="shared" si="1"/>
        <v>30</v>
      </c>
      <c r="U58" s="180">
        <v>138</v>
      </c>
      <c r="V58" s="189">
        <f t="shared" si="2"/>
        <v>4140</v>
      </c>
      <c r="W58" s="180">
        <v>6</v>
      </c>
      <c r="X58" s="158" t="s">
        <v>46</v>
      </c>
      <c r="Y58" s="180" t="s">
        <v>78</v>
      </c>
      <c r="Z58" s="180" t="s">
        <v>90</v>
      </c>
      <c r="AA58" s="180" t="s">
        <v>102</v>
      </c>
      <c r="AB58" s="180" t="s">
        <v>348</v>
      </c>
    </row>
    <row r="59" spans="1:28" x14ac:dyDescent="0.15">
      <c r="D59" s="171"/>
      <c r="F59" s="149"/>
      <c r="G59" s="152"/>
      <c r="H59" s="219"/>
      <c r="I59" s="219"/>
      <c r="J59" s="219"/>
      <c r="K59" s="109"/>
      <c r="Q59" s="217" t="str">
        <f t="shared" si="0"/>
        <v/>
      </c>
      <c r="T59" s="189" t="str">
        <f t="shared" si="1"/>
        <v/>
      </c>
      <c r="V59" s="189" t="str">
        <f t="shared" si="2"/>
        <v/>
      </c>
      <c r="X59" s="158"/>
    </row>
    <row r="60" spans="1:28" x14ac:dyDescent="0.15">
      <c r="D60" s="171"/>
      <c r="F60" s="149"/>
      <c r="G60" s="152"/>
      <c r="H60" s="219"/>
      <c r="I60" s="219"/>
      <c r="J60" s="219"/>
      <c r="K60" s="109"/>
      <c r="Q60" s="217" t="str">
        <f t="shared" si="0"/>
        <v/>
      </c>
      <c r="T60" s="189" t="str">
        <f t="shared" si="1"/>
        <v/>
      </c>
      <c r="V60" s="189" t="str">
        <f t="shared" si="2"/>
        <v/>
      </c>
      <c r="X60" s="158"/>
    </row>
    <row r="61" spans="1:28" x14ac:dyDescent="0.15">
      <c r="D61" s="171"/>
      <c r="F61" s="149"/>
      <c r="G61" s="152"/>
      <c r="H61" s="219"/>
      <c r="I61" s="219"/>
      <c r="J61" s="219"/>
      <c r="K61" s="109"/>
      <c r="Q61" s="217" t="str">
        <f t="shared" si="0"/>
        <v/>
      </c>
      <c r="T61" s="189" t="str">
        <f t="shared" si="1"/>
        <v/>
      </c>
      <c r="V61" s="189" t="str">
        <f t="shared" si="2"/>
        <v/>
      </c>
      <c r="X61" s="158"/>
    </row>
    <row r="62" spans="1:28" x14ac:dyDescent="0.15">
      <c r="D62" s="171"/>
      <c r="F62" s="149"/>
      <c r="G62" s="152"/>
      <c r="H62" s="219"/>
      <c r="I62" s="219"/>
      <c r="J62" s="219"/>
      <c r="K62" s="109"/>
      <c r="Q62" s="217" t="str">
        <f t="shared" si="0"/>
        <v/>
      </c>
      <c r="T62" s="189" t="str">
        <f t="shared" si="1"/>
        <v/>
      </c>
      <c r="V62" s="189" t="str">
        <f t="shared" si="2"/>
        <v/>
      </c>
      <c r="X62" s="158"/>
    </row>
    <row r="63" spans="1:28" x14ac:dyDescent="0.15">
      <c r="D63" s="171"/>
      <c r="F63" s="149"/>
      <c r="G63" s="152"/>
      <c r="H63" s="219"/>
      <c r="I63" s="219"/>
      <c r="J63" s="219"/>
      <c r="K63" s="109"/>
      <c r="Q63" s="217" t="str">
        <f t="shared" si="0"/>
        <v/>
      </c>
      <c r="T63" s="189" t="str">
        <f t="shared" si="1"/>
        <v/>
      </c>
      <c r="V63" s="189" t="str">
        <f t="shared" si="2"/>
        <v/>
      </c>
      <c r="X63" s="158"/>
    </row>
    <row r="64" spans="1:28" x14ac:dyDescent="0.15">
      <c r="D64" s="171"/>
      <c r="F64" s="149"/>
      <c r="G64" s="152"/>
      <c r="H64" s="219"/>
      <c r="I64" s="219"/>
      <c r="J64" s="219"/>
      <c r="K64" s="109"/>
      <c r="Q64" s="217" t="str">
        <f t="shared" si="0"/>
        <v/>
      </c>
      <c r="T64" s="189" t="str">
        <f t="shared" si="1"/>
        <v/>
      </c>
      <c r="V64" s="189" t="str">
        <f t="shared" si="2"/>
        <v/>
      </c>
      <c r="X64" s="158"/>
    </row>
    <row r="65" spans="4:24" x14ac:dyDescent="0.15">
      <c r="D65" s="171"/>
      <c r="F65" s="149"/>
      <c r="G65" s="152"/>
      <c r="H65" s="219"/>
      <c r="I65" s="219"/>
      <c r="J65" s="219"/>
      <c r="K65" s="109"/>
      <c r="Q65" s="217" t="str">
        <f t="shared" si="0"/>
        <v/>
      </c>
      <c r="T65" s="189" t="str">
        <f t="shared" si="1"/>
        <v/>
      </c>
      <c r="V65" s="189" t="str">
        <f t="shared" si="2"/>
        <v/>
      </c>
      <c r="X65" s="158"/>
    </row>
    <row r="66" spans="4:24" x14ac:dyDescent="0.15">
      <c r="D66" s="171"/>
      <c r="F66" s="149"/>
      <c r="G66" s="152"/>
      <c r="H66" s="219"/>
      <c r="I66" s="219"/>
      <c r="J66" s="219"/>
      <c r="K66" s="109"/>
      <c r="Q66" s="217" t="str">
        <f t="shared" ref="Q66:Q91" si="3">IF(OR(O66="",P66=""),"",AVERAGE(O66,P66))</f>
        <v/>
      </c>
      <c r="T66" s="189" t="str">
        <f t="shared" ref="T66:T91" si="4">IF(H66="","",IF(OR(H66="GREEN",H66="GK"),IF(S66&gt;=$AX$2,VLOOKUP(S66,$AX$2:$AY$7,2,1),""),IF(S66&gt;=$AZ$2,VLOOKUP(S66,$AZ$2:$BA$7,2,1),"")))</f>
        <v/>
      </c>
      <c r="V66" s="189" t="str">
        <f t="shared" ref="V66:V91" si="5">IF(OR(N66="",U66="",T66=""),"",U66/N66*T66)</f>
        <v/>
      </c>
      <c r="X66" s="158"/>
    </row>
    <row r="67" spans="4:24" x14ac:dyDescent="0.15">
      <c r="D67" s="171"/>
      <c r="F67" s="149"/>
      <c r="G67" s="152"/>
      <c r="H67" s="219"/>
      <c r="I67" s="219"/>
      <c r="J67" s="219"/>
      <c r="K67" s="109"/>
      <c r="Q67" s="217" t="str">
        <f t="shared" si="3"/>
        <v/>
      </c>
      <c r="T67" s="189" t="str">
        <f t="shared" si="4"/>
        <v/>
      </c>
      <c r="V67" s="189" t="str">
        <f t="shared" si="5"/>
        <v/>
      </c>
      <c r="X67" s="158"/>
    </row>
    <row r="68" spans="4:24" x14ac:dyDescent="0.15">
      <c r="D68" s="171"/>
      <c r="F68" s="149"/>
      <c r="G68" s="152"/>
      <c r="H68" s="219"/>
      <c r="I68" s="219"/>
      <c r="J68" s="219"/>
      <c r="K68" s="109"/>
      <c r="Q68" s="217" t="str">
        <f t="shared" si="3"/>
        <v/>
      </c>
      <c r="T68" s="189" t="str">
        <f t="shared" si="4"/>
        <v/>
      </c>
      <c r="V68" s="189" t="str">
        <f t="shared" si="5"/>
        <v/>
      </c>
      <c r="X68" s="158"/>
    </row>
    <row r="69" spans="4:24" x14ac:dyDescent="0.15">
      <c r="D69" s="171"/>
      <c r="F69" s="149"/>
      <c r="G69" s="152"/>
      <c r="H69" s="219"/>
      <c r="I69" s="219"/>
      <c r="J69" s="219"/>
      <c r="K69" s="109"/>
      <c r="Q69" s="217" t="str">
        <f t="shared" si="3"/>
        <v/>
      </c>
      <c r="T69" s="189" t="str">
        <f t="shared" si="4"/>
        <v/>
      </c>
      <c r="V69" s="189" t="str">
        <f t="shared" si="5"/>
        <v/>
      </c>
      <c r="X69" s="158"/>
    </row>
    <row r="70" spans="4:24" x14ac:dyDescent="0.15">
      <c r="D70" s="171"/>
      <c r="F70" s="149"/>
      <c r="G70" s="152"/>
      <c r="H70" s="219"/>
      <c r="I70" s="219"/>
      <c r="J70" s="219"/>
      <c r="K70" s="109"/>
      <c r="Q70" s="217" t="str">
        <f t="shared" si="3"/>
        <v/>
      </c>
      <c r="T70" s="189" t="str">
        <f t="shared" si="4"/>
        <v/>
      </c>
      <c r="V70" s="189" t="str">
        <f t="shared" si="5"/>
        <v/>
      </c>
      <c r="X70" s="158"/>
    </row>
    <row r="71" spans="4:24" x14ac:dyDescent="0.15">
      <c r="D71" s="171"/>
      <c r="F71" s="149"/>
      <c r="G71" s="152"/>
      <c r="H71" s="219"/>
      <c r="I71" s="219"/>
      <c r="J71" s="219"/>
      <c r="K71" s="109"/>
      <c r="Q71" s="217" t="str">
        <f t="shared" si="3"/>
        <v/>
      </c>
      <c r="T71" s="189" t="str">
        <f t="shared" si="4"/>
        <v/>
      </c>
      <c r="V71" s="189" t="str">
        <f t="shared" si="5"/>
        <v/>
      </c>
      <c r="X71" s="158"/>
    </row>
    <row r="72" spans="4:24" x14ac:dyDescent="0.15">
      <c r="D72" s="171"/>
      <c r="F72" s="149"/>
      <c r="G72" s="152"/>
      <c r="H72" s="219"/>
      <c r="I72" s="219"/>
      <c r="J72" s="219"/>
      <c r="K72" s="109"/>
      <c r="Q72" s="217" t="str">
        <f t="shared" si="3"/>
        <v/>
      </c>
      <c r="T72" s="189" t="str">
        <f t="shared" si="4"/>
        <v/>
      </c>
      <c r="V72" s="189" t="str">
        <f t="shared" si="5"/>
        <v/>
      </c>
      <c r="X72" s="158"/>
    </row>
    <row r="73" spans="4:24" x14ac:dyDescent="0.15">
      <c r="D73" s="171"/>
      <c r="F73" s="149"/>
      <c r="G73" s="152"/>
      <c r="H73" s="219"/>
      <c r="I73" s="219"/>
      <c r="J73" s="219"/>
      <c r="K73" s="109"/>
      <c r="Q73" s="217" t="str">
        <f t="shared" si="3"/>
        <v/>
      </c>
      <c r="T73" s="189" t="str">
        <f t="shared" si="4"/>
        <v/>
      </c>
      <c r="V73" s="189" t="str">
        <f t="shared" si="5"/>
        <v/>
      </c>
      <c r="X73" s="158"/>
    </row>
    <row r="74" spans="4:24" x14ac:dyDescent="0.15">
      <c r="D74" s="171"/>
      <c r="F74" s="149"/>
      <c r="G74" s="152"/>
      <c r="H74" s="219"/>
      <c r="I74" s="219"/>
      <c r="J74" s="219"/>
      <c r="K74" s="109"/>
      <c r="Q74" s="217" t="str">
        <f t="shared" si="3"/>
        <v/>
      </c>
      <c r="T74" s="189" t="str">
        <f t="shared" si="4"/>
        <v/>
      </c>
      <c r="V74" s="189" t="str">
        <f t="shared" si="5"/>
        <v/>
      </c>
      <c r="X74" s="158"/>
    </row>
    <row r="75" spans="4:24" x14ac:dyDescent="0.15">
      <c r="D75" s="171"/>
      <c r="F75" s="149"/>
      <c r="G75" s="152"/>
      <c r="H75" s="219"/>
      <c r="I75" s="219"/>
      <c r="J75" s="219"/>
      <c r="K75" s="109"/>
      <c r="Q75" s="217" t="str">
        <f t="shared" si="3"/>
        <v/>
      </c>
      <c r="T75" s="189" t="str">
        <f t="shared" si="4"/>
        <v/>
      </c>
      <c r="V75" s="189" t="str">
        <f t="shared" si="5"/>
        <v/>
      </c>
      <c r="X75" s="158"/>
    </row>
    <row r="76" spans="4:24" x14ac:dyDescent="0.15">
      <c r="D76" s="171"/>
      <c r="F76" s="149"/>
      <c r="G76" s="152"/>
      <c r="H76" s="219"/>
      <c r="I76" s="219"/>
      <c r="J76" s="219"/>
      <c r="K76" s="109"/>
      <c r="Q76" s="217" t="str">
        <f t="shared" si="3"/>
        <v/>
      </c>
      <c r="T76" s="189" t="str">
        <f t="shared" si="4"/>
        <v/>
      </c>
      <c r="V76" s="189" t="str">
        <f t="shared" si="5"/>
        <v/>
      </c>
      <c r="X76" s="158"/>
    </row>
    <row r="77" spans="4:24" x14ac:dyDescent="0.15">
      <c r="D77" s="171"/>
      <c r="F77" s="149"/>
      <c r="G77" s="152"/>
      <c r="H77" s="219"/>
      <c r="I77" s="219"/>
      <c r="J77" s="219"/>
      <c r="K77" s="109"/>
      <c r="Q77" s="217" t="str">
        <f t="shared" si="3"/>
        <v/>
      </c>
      <c r="T77" s="189" t="str">
        <f t="shared" si="4"/>
        <v/>
      </c>
      <c r="V77" s="189" t="str">
        <f t="shared" si="5"/>
        <v/>
      </c>
      <c r="X77" s="158"/>
    </row>
    <row r="78" spans="4:24" x14ac:dyDescent="0.15">
      <c r="D78" s="171"/>
      <c r="F78" s="149"/>
      <c r="G78" s="152"/>
      <c r="H78" s="219"/>
      <c r="I78" s="219"/>
      <c r="J78" s="219"/>
      <c r="K78" s="109"/>
      <c r="Q78" s="217" t="str">
        <f t="shared" si="3"/>
        <v/>
      </c>
      <c r="T78" s="189" t="str">
        <f t="shared" si="4"/>
        <v/>
      </c>
      <c r="V78" s="189" t="str">
        <f t="shared" si="5"/>
        <v/>
      </c>
      <c r="X78" s="158"/>
    </row>
    <row r="79" spans="4:24" x14ac:dyDescent="0.15">
      <c r="D79" s="171"/>
      <c r="F79" s="149"/>
      <c r="G79" s="152"/>
      <c r="H79" s="219"/>
      <c r="I79" s="219"/>
      <c r="J79" s="219"/>
      <c r="K79" s="109"/>
      <c r="Q79" s="217" t="str">
        <f t="shared" si="3"/>
        <v/>
      </c>
      <c r="T79" s="189" t="str">
        <f t="shared" si="4"/>
        <v/>
      </c>
      <c r="V79" s="189" t="str">
        <f t="shared" si="5"/>
        <v/>
      </c>
      <c r="X79" s="158"/>
    </row>
    <row r="80" spans="4:24" x14ac:dyDescent="0.15">
      <c r="H80" s="219"/>
      <c r="I80" s="219"/>
      <c r="J80" s="219"/>
      <c r="K80" s="109"/>
      <c r="Q80" s="217" t="str">
        <f t="shared" si="3"/>
        <v/>
      </c>
      <c r="T80" s="189" t="str">
        <f t="shared" si="4"/>
        <v/>
      </c>
      <c r="V80" s="189" t="str">
        <f t="shared" si="5"/>
        <v/>
      </c>
    </row>
    <row r="81" spans="8:22" x14ac:dyDescent="0.15">
      <c r="H81" s="219"/>
      <c r="I81" s="219"/>
      <c r="J81" s="219"/>
      <c r="K81" s="109"/>
      <c r="Q81" s="217" t="str">
        <f t="shared" si="3"/>
        <v/>
      </c>
      <c r="T81" s="189" t="str">
        <f t="shared" si="4"/>
        <v/>
      </c>
      <c r="V81" s="189" t="str">
        <f t="shared" si="5"/>
        <v/>
      </c>
    </row>
    <row r="82" spans="8:22" x14ac:dyDescent="0.15">
      <c r="H82" s="219"/>
      <c r="I82" s="219"/>
      <c r="J82" s="219"/>
      <c r="K82" s="109"/>
      <c r="Q82" s="217" t="str">
        <f t="shared" si="3"/>
        <v/>
      </c>
      <c r="T82" s="189" t="str">
        <f t="shared" si="4"/>
        <v/>
      </c>
      <c r="V82" s="189" t="str">
        <f t="shared" si="5"/>
        <v/>
      </c>
    </row>
    <row r="83" spans="8:22" x14ac:dyDescent="0.15">
      <c r="H83" s="219"/>
      <c r="I83" s="219"/>
      <c r="J83" s="219"/>
      <c r="K83" s="109"/>
      <c r="Q83" s="217" t="str">
        <f t="shared" si="3"/>
        <v/>
      </c>
      <c r="T83" s="189" t="str">
        <f t="shared" si="4"/>
        <v/>
      </c>
      <c r="V83" s="189" t="str">
        <f t="shared" si="5"/>
        <v/>
      </c>
    </row>
    <row r="84" spans="8:22" x14ac:dyDescent="0.15">
      <c r="H84" s="219"/>
      <c r="I84" s="219"/>
      <c r="J84" s="219"/>
      <c r="K84" s="109"/>
      <c r="Q84" s="217" t="str">
        <f t="shared" si="3"/>
        <v/>
      </c>
      <c r="T84" s="189" t="str">
        <f t="shared" si="4"/>
        <v/>
      </c>
      <c r="V84" s="189" t="str">
        <f t="shared" si="5"/>
        <v/>
      </c>
    </row>
    <row r="85" spans="8:22" x14ac:dyDescent="0.15">
      <c r="H85" s="219"/>
      <c r="I85" s="219"/>
      <c r="J85" s="219"/>
      <c r="K85" s="109"/>
      <c r="Q85" s="217" t="str">
        <f t="shared" si="3"/>
        <v/>
      </c>
      <c r="T85" s="189" t="str">
        <f t="shared" si="4"/>
        <v/>
      </c>
      <c r="V85" s="189" t="str">
        <f t="shared" si="5"/>
        <v/>
      </c>
    </row>
    <row r="86" spans="8:22" x14ac:dyDescent="0.15">
      <c r="H86" s="219"/>
      <c r="I86" s="219"/>
      <c r="J86" s="219"/>
      <c r="K86" s="109"/>
      <c r="Q86" s="217" t="str">
        <f t="shared" si="3"/>
        <v/>
      </c>
      <c r="T86" s="189" t="str">
        <f t="shared" si="4"/>
        <v/>
      </c>
      <c r="V86" s="189" t="str">
        <f t="shared" si="5"/>
        <v/>
      </c>
    </row>
    <row r="87" spans="8:22" x14ac:dyDescent="0.15">
      <c r="H87" s="219"/>
      <c r="I87" s="219"/>
      <c r="J87" s="219"/>
      <c r="K87" s="109"/>
      <c r="Q87" s="217" t="str">
        <f t="shared" si="3"/>
        <v/>
      </c>
      <c r="T87" s="189" t="str">
        <f t="shared" si="4"/>
        <v/>
      </c>
      <c r="V87" s="189" t="str">
        <f t="shared" si="5"/>
        <v/>
      </c>
    </row>
    <row r="88" spans="8:22" x14ac:dyDescent="0.15">
      <c r="H88" s="219"/>
      <c r="I88" s="219"/>
      <c r="J88" s="219"/>
      <c r="K88" s="109"/>
      <c r="Q88" s="217" t="str">
        <f t="shared" si="3"/>
        <v/>
      </c>
      <c r="T88" s="189" t="str">
        <f t="shared" si="4"/>
        <v/>
      </c>
      <c r="V88" s="189" t="str">
        <f t="shared" si="5"/>
        <v/>
      </c>
    </row>
    <row r="89" spans="8:22" x14ac:dyDescent="0.15">
      <c r="H89" s="219"/>
      <c r="I89" s="219"/>
      <c r="J89" s="219"/>
      <c r="K89" s="109"/>
      <c r="Q89" s="217" t="str">
        <f t="shared" si="3"/>
        <v/>
      </c>
      <c r="T89" s="189" t="str">
        <f t="shared" si="4"/>
        <v/>
      </c>
      <c r="V89" s="189" t="str">
        <f t="shared" si="5"/>
        <v/>
      </c>
    </row>
    <row r="90" spans="8:22" x14ac:dyDescent="0.15">
      <c r="H90" s="219"/>
      <c r="I90" s="219"/>
      <c r="J90" s="219"/>
      <c r="K90" s="109"/>
      <c r="Q90" s="217" t="str">
        <f t="shared" si="3"/>
        <v/>
      </c>
      <c r="T90" s="189" t="str">
        <f t="shared" si="4"/>
        <v/>
      </c>
      <c r="V90" s="189" t="str">
        <f t="shared" si="5"/>
        <v/>
      </c>
    </row>
    <row r="91" spans="8:22" x14ac:dyDescent="0.15">
      <c r="H91" s="219"/>
      <c r="I91" s="219"/>
      <c r="J91" s="219"/>
      <c r="K91" s="109"/>
      <c r="Q91" s="217" t="str">
        <f t="shared" si="3"/>
        <v/>
      </c>
      <c r="T91" s="189" t="str">
        <f t="shared" si="4"/>
        <v/>
      </c>
      <c r="V91" s="189" t="str">
        <f t="shared" si="5"/>
        <v/>
      </c>
    </row>
    <row r="92" spans="8:22" x14ac:dyDescent="0.15">
      <c r="H92" s="219"/>
      <c r="I92" s="219"/>
      <c r="J92" s="219"/>
      <c r="K92" s="109"/>
      <c r="Q92" s="217"/>
    </row>
    <row r="93" spans="8:22" x14ac:dyDescent="0.15">
      <c r="H93" s="219"/>
      <c r="I93" s="219"/>
      <c r="J93" s="219"/>
      <c r="K93" s="109"/>
      <c r="Q93" s="217"/>
    </row>
    <row r="94" spans="8:22" x14ac:dyDescent="0.15">
      <c r="H94" s="219"/>
      <c r="I94" s="219"/>
      <c r="J94" s="219"/>
      <c r="K94" s="109"/>
      <c r="Q94" s="217"/>
    </row>
    <row r="95" spans="8:22" x14ac:dyDescent="0.15">
      <c r="H95" s="219"/>
      <c r="I95" s="219"/>
      <c r="J95" s="219"/>
      <c r="K95" s="109"/>
      <c r="Q95" s="217"/>
    </row>
    <row r="96" spans="8:22" x14ac:dyDescent="0.15">
      <c r="H96" s="219"/>
      <c r="I96" s="219"/>
      <c r="J96" s="219"/>
      <c r="K96" s="109"/>
      <c r="Q96" s="217"/>
    </row>
    <row r="97" spans="8:17" x14ac:dyDescent="0.15">
      <c r="H97" s="219"/>
      <c r="I97" s="219"/>
      <c r="J97" s="219"/>
      <c r="K97" s="109"/>
      <c r="Q97" s="217"/>
    </row>
    <row r="98" spans="8:17" x14ac:dyDescent="0.15">
      <c r="H98" s="219"/>
      <c r="I98" s="219"/>
      <c r="J98" s="219"/>
      <c r="K98" s="109"/>
      <c r="Q98" s="217"/>
    </row>
    <row r="99" spans="8:17" x14ac:dyDescent="0.15">
      <c r="H99" s="219"/>
      <c r="I99" s="219"/>
      <c r="J99" s="219"/>
      <c r="K99" s="109"/>
      <c r="Q99" s="217"/>
    </row>
    <row r="100" spans="8:17" x14ac:dyDescent="0.15">
      <c r="H100" s="219"/>
      <c r="I100" s="219"/>
      <c r="J100" s="219"/>
      <c r="K100" s="109"/>
      <c r="Q100" s="217"/>
    </row>
    <row r="101" spans="8:17" x14ac:dyDescent="0.15">
      <c r="H101" s="219"/>
      <c r="I101" s="219"/>
      <c r="J101" s="219"/>
      <c r="K101" s="109"/>
      <c r="Q101" s="217"/>
    </row>
    <row r="102" spans="8:17" x14ac:dyDescent="0.15">
      <c r="H102" s="219"/>
      <c r="I102" s="219"/>
      <c r="J102" s="219"/>
      <c r="K102" s="109"/>
      <c r="Q102" s="217"/>
    </row>
    <row r="103" spans="8:17" x14ac:dyDescent="0.15">
      <c r="H103" s="219"/>
      <c r="I103" s="219"/>
      <c r="J103" s="219"/>
      <c r="K103" s="109"/>
      <c r="Q103" s="217"/>
    </row>
    <row r="104" spans="8:17" x14ac:dyDescent="0.15">
      <c r="H104" s="219"/>
      <c r="I104" s="219"/>
      <c r="J104" s="219"/>
      <c r="K104" s="109"/>
      <c r="Q104" s="217"/>
    </row>
    <row r="105" spans="8:17" x14ac:dyDescent="0.15">
      <c r="H105" s="219"/>
      <c r="I105" s="219"/>
      <c r="J105" s="219"/>
      <c r="K105" s="109"/>
      <c r="Q105" s="217"/>
    </row>
    <row r="106" spans="8:17" x14ac:dyDescent="0.15">
      <c r="H106" s="219"/>
      <c r="I106" s="219"/>
      <c r="J106" s="219"/>
      <c r="K106" s="109"/>
      <c r="Q106" s="217"/>
    </row>
    <row r="107" spans="8:17" x14ac:dyDescent="0.15">
      <c r="H107" s="219"/>
      <c r="I107" s="219"/>
      <c r="J107" s="219"/>
      <c r="K107" s="109"/>
      <c r="Q107" s="217"/>
    </row>
    <row r="108" spans="8:17" x14ac:dyDescent="0.15">
      <c r="H108" s="219"/>
      <c r="I108" s="219"/>
      <c r="J108" s="219"/>
      <c r="K108" s="109"/>
      <c r="Q108" s="217"/>
    </row>
    <row r="109" spans="8:17" x14ac:dyDescent="0.15">
      <c r="H109" s="219"/>
      <c r="I109" s="219"/>
      <c r="J109" s="219"/>
      <c r="K109" s="109"/>
      <c r="Q109" s="217"/>
    </row>
    <row r="110" spans="8:17" x14ac:dyDescent="0.15">
      <c r="H110" s="219"/>
      <c r="I110" s="219"/>
      <c r="J110" s="219"/>
      <c r="K110" s="109"/>
      <c r="Q110" s="217"/>
    </row>
    <row r="111" spans="8:17" x14ac:dyDescent="0.15">
      <c r="H111" s="219"/>
      <c r="I111" s="219"/>
      <c r="J111" s="219"/>
      <c r="K111" s="109"/>
      <c r="Q111" s="217"/>
    </row>
    <row r="112" spans="8:17" x14ac:dyDescent="0.15">
      <c r="H112" s="219"/>
      <c r="I112" s="219"/>
      <c r="J112" s="219"/>
      <c r="K112" s="109"/>
      <c r="Q112" s="217"/>
    </row>
    <row r="113" spans="8:17" x14ac:dyDescent="0.15">
      <c r="H113" s="219"/>
      <c r="I113" s="219"/>
      <c r="J113" s="219"/>
      <c r="K113" s="109"/>
      <c r="Q113" s="217"/>
    </row>
    <row r="114" spans="8:17" x14ac:dyDescent="0.15">
      <c r="H114" s="219"/>
      <c r="I114" s="219"/>
      <c r="J114" s="219"/>
      <c r="K114" s="109"/>
      <c r="Q114" s="217"/>
    </row>
    <row r="115" spans="8:17" x14ac:dyDescent="0.15">
      <c r="H115" s="219"/>
      <c r="I115" s="219"/>
      <c r="J115" s="219"/>
      <c r="K115" s="109"/>
      <c r="Q115" s="217"/>
    </row>
    <row r="116" spans="8:17" x14ac:dyDescent="0.15">
      <c r="H116" s="219"/>
      <c r="I116" s="219"/>
      <c r="J116" s="219"/>
      <c r="K116" s="109"/>
      <c r="Q116" s="217"/>
    </row>
    <row r="117" spans="8:17" x14ac:dyDescent="0.15">
      <c r="H117" s="219"/>
      <c r="I117" s="219"/>
      <c r="J117" s="219"/>
      <c r="K117" s="109"/>
      <c r="Q117" s="217"/>
    </row>
    <row r="118" spans="8:17" x14ac:dyDescent="0.15">
      <c r="H118" s="219"/>
      <c r="I118" s="219"/>
      <c r="J118" s="219"/>
      <c r="K118" s="109"/>
      <c r="Q118" s="217"/>
    </row>
    <row r="119" spans="8:17" x14ac:dyDescent="0.15">
      <c r="H119" s="219"/>
      <c r="I119" s="219"/>
      <c r="J119" s="219"/>
      <c r="K119" s="109"/>
      <c r="Q119" s="217"/>
    </row>
    <row r="120" spans="8:17" x14ac:dyDescent="0.15">
      <c r="H120" s="219"/>
      <c r="I120" s="219"/>
      <c r="J120" s="219"/>
      <c r="K120" s="109"/>
      <c r="Q120" s="217"/>
    </row>
    <row r="121" spans="8:17" x14ac:dyDescent="0.15">
      <c r="H121" s="219"/>
      <c r="I121" s="219"/>
      <c r="J121" s="219"/>
      <c r="K121" s="109"/>
      <c r="Q121" s="217"/>
    </row>
    <row r="122" spans="8:17" x14ac:dyDescent="0.15">
      <c r="H122" s="219"/>
      <c r="I122" s="219"/>
      <c r="J122" s="219"/>
      <c r="K122" s="109"/>
      <c r="Q122" s="217"/>
    </row>
    <row r="123" spans="8:17" x14ac:dyDescent="0.15">
      <c r="H123" s="219"/>
      <c r="I123" s="219"/>
      <c r="J123" s="219"/>
      <c r="K123" s="109"/>
      <c r="Q123" s="217"/>
    </row>
    <row r="124" spans="8:17" x14ac:dyDescent="0.15">
      <c r="H124" s="219"/>
      <c r="I124" s="219"/>
      <c r="J124" s="219"/>
      <c r="K124" s="109"/>
      <c r="Q124" s="217"/>
    </row>
    <row r="125" spans="8:17" x14ac:dyDescent="0.15">
      <c r="H125" s="219"/>
      <c r="I125" s="219"/>
      <c r="J125" s="219"/>
      <c r="K125" s="109"/>
      <c r="Q125" s="217"/>
    </row>
    <row r="126" spans="8:17" x14ac:dyDescent="0.15">
      <c r="H126" s="219"/>
      <c r="I126" s="219"/>
      <c r="J126" s="219"/>
      <c r="K126" s="109"/>
      <c r="Q126" s="217"/>
    </row>
    <row r="127" spans="8:17" x14ac:dyDescent="0.15">
      <c r="H127" s="219"/>
      <c r="I127" s="219"/>
      <c r="J127" s="219"/>
      <c r="K127" s="109"/>
      <c r="Q127" s="217"/>
    </row>
    <row r="128" spans="8:17" x14ac:dyDescent="0.15">
      <c r="H128" s="219"/>
      <c r="I128" s="219"/>
      <c r="J128" s="219"/>
      <c r="K128" s="109"/>
      <c r="Q128" s="217"/>
    </row>
    <row r="129" spans="8:17" x14ac:dyDescent="0.15">
      <c r="H129" s="219"/>
      <c r="I129" s="219"/>
      <c r="J129" s="219"/>
      <c r="K129" s="109"/>
      <c r="Q129" s="217"/>
    </row>
    <row r="130" spans="8:17" x14ac:dyDescent="0.15">
      <c r="H130" s="219"/>
      <c r="I130" s="219"/>
      <c r="J130" s="219"/>
      <c r="K130" s="109"/>
      <c r="Q130" s="217"/>
    </row>
    <row r="131" spans="8:17" x14ac:dyDescent="0.15">
      <c r="H131" s="219"/>
      <c r="I131" s="219"/>
      <c r="J131" s="219"/>
      <c r="K131" s="109"/>
      <c r="Q131" s="217"/>
    </row>
    <row r="132" spans="8:17" x14ac:dyDescent="0.15">
      <c r="H132" s="219"/>
      <c r="I132" s="219"/>
      <c r="J132" s="219"/>
      <c r="K132" s="109"/>
      <c r="Q132" s="217"/>
    </row>
    <row r="133" spans="8:17" x14ac:dyDescent="0.15">
      <c r="H133" s="219"/>
      <c r="I133" s="219"/>
      <c r="J133" s="219"/>
      <c r="K133" s="109"/>
      <c r="Q133" s="217"/>
    </row>
    <row r="134" spans="8:17" x14ac:dyDescent="0.15">
      <c r="H134" s="219"/>
      <c r="I134" s="219"/>
      <c r="J134" s="219"/>
      <c r="K134" s="109"/>
      <c r="Q134" s="217"/>
    </row>
    <row r="135" spans="8:17" x14ac:dyDescent="0.15">
      <c r="H135" s="219"/>
      <c r="I135" s="219"/>
      <c r="J135" s="219"/>
      <c r="K135" s="109"/>
      <c r="Q135" s="217"/>
    </row>
    <row r="136" spans="8:17" x14ac:dyDescent="0.15">
      <c r="H136" s="219"/>
      <c r="I136" s="219"/>
      <c r="J136" s="219"/>
      <c r="K136" s="109"/>
      <c r="Q136" s="217"/>
    </row>
    <row r="137" spans="8:17" x14ac:dyDescent="0.15">
      <c r="H137" s="219"/>
      <c r="I137" s="219"/>
      <c r="J137" s="219"/>
      <c r="K137" s="109"/>
      <c r="Q137" s="217"/>
    </row>
    <row r="138" spans="8:17" x14ac:dyDescent="0.15">
      <c r="H138" s="219"/>
      <c r="I138" s="219"/>
      <c r="J138" s="219"/>
      <c r="K138" s="109"/>
      <c r="Q138" s="217"/>
    </row>
    <row r="139" spans="8:17" x14ac:dyDescent="0.15">
      <c r="H139" s="219"/>
      <c r="I139" s="219"/>
      <c r="J139" s="219"/>
      <c r="K139" s="109"/>
      <c r="Q139" s="217"/>
    </row>
    <row r="140" spans="8:17" x14ac:dyDescent="0.15">
      <c r="H140" s="219"/>
      <c r="I140" s="219"/>
      <c r="J140" s="219"/>
      <c r="K140" s="109"/>
      <c r="Q140" s="217"/>
    </row>
    <row r="141" spans="8:17" x14ac:dyDescent="0.15">
      <c r="H141" s="219"/>
      <c r="I141" s="219"/>
      <c r="J141" s="219"/>
      <c r="K141" s="109"/>
      <c r="Q141" s="217"/>
    </row>
    <row r="142" spans="8:17" x14ac:dyDescent="0.15">
      <c r="K142" s="109"/>
      <c r="Q142" s="217"/>
    </row>
    <row r="143" spans="8:17" x14ac:dyDescent="0.15">
      <c r="K143" s="109"/>
      <c r="Q143" s="217"/>
    </row>
    <row r="144" spans="8:17" x14ac:dyDescent="0.15">
      <c r="K144" s="109"/>
      <c r="Q144" s="217"/>
    </row>
    <row r="145" spans="11:17" x14ac:dyDescent="0.15">
      <c r="K145" s="109"/>
      <c r="Q145" s="217"/>
    </row>
    <row r="146" spans="11:17" x14ac:dyDescent="0.15">
      <c r="K146" s="109"/>
      <c r="Q146" s="217"/>
    </row>
    <row r="147" spans="11:17" x14ac:dyDescent="0.15">
      <c r="K147" s="109"/>
      <c r="Q147" s="217"/>
    </row>
    <row r="148" spans="11:17" x14ac:dyDescent="0.15">
      <c r="K148" s="109"/>
      <c r="Q148" s="217"/>
    </row>
    <row r="149" spans="11:17" x14ac:dyDescent="0.15">
      <c r="K149" s="109"/>
      <c r="Q149" s="217"/>
    </row>
    <row r="150" spans="11:17" x14ac:dyDescent="0.15">
      <c r="K150" s="109"/>
      <c r="Q150" s="217"/>
    </row>
    <row r="151" spans="11:17" x14ac:dyDescent="0.15">
      <c r="K151" s="109"/>
      <c r="Q151" s="217"/>
    </row>
    <row r="152" spans="11:17" x14ac:dyDescent="0.15">
      <c r="K152" s="109"/>
      <c r="Q152" s="217"/>
    </row>
    <row r="153" spans="11:17" x14ac:dyDescent="0.15">
      <c r="K153" s="109"/>
      <c r="Q153" s="217"/>
    </row>
    <row r="154" spans="11:17" x14ac:dyDescent="0.15">
      <c r="K154" s="109"/>
      <c r="Q154" s="217"/>
    </row>
    <row r="155" spans="11:17" x14ac:dyDescent="0.15">
      <c r="K155" s="109"/>
      <c r="Q155" s="217"/>
    </row>
    <row r="156" spans="11:17" x14ac:dyDescent="0.15">
      <c r="K156" s="109"/>
      <c r="Q156" s="217"/>
    </row>
    <row r="157" spans="11:17" x14ac:dyDescent="0.15">
      <c r="K157" s="109"/>
      <c r="Q157" s="217"/>
    </row>
    <row r="158" spans="11:17" x14ac:dyDescent="0.15">
      <c r="K158" s="109"/>
      <c r="Q158" s="217"/>
    </row>
    <row r="159" spans="11:17" x14ac:dyDescent="0.15">
      <c r="K159" s="109"/>
      <c r="Q159" s="217"/>
    </row>
    <row r="160" spans="11:17" x14ac:dyDescent="0.15">
      <c r="K160" s="109"/>
      <c r="Q160" s="217"/>
    </row>
    <row r="161" spans="11:17" x14ac:dyDescent="0.15">
      <c r="K161" s="109"/>
      <c r="Q161" s="217"/>
    </row>
    <row r="162" spans="11:17" x14ac:dyDescent="0.15">
      <c r="K162" s="109"/>
      <c r="Q162" s="217"/>
    </row>
    <row r="163" spans="11:17" x14ac:dyDescent="0.15">
      <c r="K163" s="109"/>
      <c r="Q163" s="217"/>
    </row>
    <row r="164" spans="11:17" x14ac:dyDescent="0.15">
      <c r="K164" s="109"/>
      <c r="Q164" s="217"/>
    </row>
    <row r="165" spans="11:17" x14ac:dyDescent="0.15">
      <c r="K165" s="109"/>
      <c r="Q165" s="217"/>
    </row>
    <row r="166" spans="11:17" x14ac:dyDescent="0.15">
      <c r="K166" s="109"/>
      <c r="Q166" s="217"/>
    </row>
    <row r="167" spans="11:17" x14ac:dyDescent="0.15">
      <c r="K167" s="109"/>
      <c r="Q167" s="217"/>
    </row>
    <row r="168" spans="11:17" x14ac:dyDescent="0.15">
      <c r="K168" s="109"/>
      <c r="Q168" s="217"/>
    </row>
    <row r="169" spans="11:17" x14ac:dyDescent="0.15">
      <c r="K169" s="109"/>
      <c r="Q169" s="217"/>
    </row>
    <row r="170" spans="11:17" x14ac:dyDescent="0.15">
      <c r="K170" s="109"/>
      <c r="Q170" s="217"/>
    </row>
    <row r="171" spans="11:17" x14ac:dyDescent="0.15">
      <c r="K171" s="109"/>
      <c r="Q171" s="217"/>
    </row>
    <row r="172" spans="11:17" x14ac:dyDescent="0.15">
      <c r="K172" s="109"/>
      <c r="Q172" s="217"/>
    </row>
    <row r="173" spans="11:17" x14ac:dyDescent="0.15">
      <c r="K173" s="109"/>
      <c r="Q173" s="217"/>
    </row>
    <row r="174" spans="11:17" x14ac:dyDescent="0.15">
      <c r="K174" s="109"/>
      <c r="Q174" s="217"/>
    </row>
    <row r="175" spans="11:17" x14ac:dyDescent="0.15">
      <c r="K175" s="109"/>
      <c r="Q175" s="217"/>
    </row>
    <row r="176" spans="11:17" x14ac:dyDescent="0.15">
      <c r="K176" s="109"/>
      <c r="Q176" s="217"/>
    </row>
    <row r="177" spans="11:17" x14ac:dyDescent="0.15">
      <c r="K177" s="109"/>
      <c r="Q177" s="217"/>
    </row>
    <row r="178" spans="11:17" x14ac:dyDescent="0.15">
      <c r="K178" s="109"/>
      <c r="Q178" s="217"/>
    </row>
    <row r="179" spans="11:17" x14ac:dyDescent="0.15">
      <c r="K179" s="109"/>
      <c r="Q179" s="217"/>
    </row>
    <row r="180" spans="11:17" x14ac:dyDescent="0.15">
      <c r="K180" s="109"/>
      <c r="Q180" s="217"/>
    </row>
    <row r="181" spans="11:17" x14ac:dyDescent="0.15">
      <c r="K181" s="109"/>
      <c r="Q181" s="217"/>
    </row>
    <row r="182" spans="11:17" x14ac:dyDescent="0.15">
      <c r="K182" s="109"/>
      <c r="Q182" s="217"/>
    </row>
    <row r="183" spans="11:17" x14ac:dyDescent="0.15">
      <c r="K183" s="109"/>
      <c r="Q183" s="217"/>
    </row>
    <row r="184" spans="11:17" x14ac:dyDescent="0.15">
      <c r="K184" s="109"/>
      <c r="Q184" s="217"/>
    </row>
    <row r="185" spans="11:17" x14ac:dyDescent="0.15">
      <c r="K185" s="109"/>
      <c r="Q185" s="217"/>
    </row>
    <row r="186" spans="11:17" x14ac:dyDescent="0.15">
      <c r="K186" s="109"/>
      <c r="Q186" s="217"/>
    </row>
    <row r="187" spans="11:17" x14ac:dyDescent="0.15">
      <c r="K187" s="109"/>
      <c r="Q187" s="217"/>
    </row>
    <row r="188" spans="11:17" x14ac:dyDescent="0.15">
      <c r="K188" s="109"/>
      <c r="Q188" s="217"/>
    </row>
    <row r="189" spans="11:17" x14ac:dyDescent="0.15">
      <c r="K189" s="109"/>
      <c r="Q189" s="217"/>
    </row>
    <row r="190" spans="11:17" x14ac:dyDescent="0.15">
      <c r="K190" s="109"/>
      <c r="Q190" s="217"/>
    </row>
    <row r="191" spans="11:17" x14ac:dyDescent="0.15">
      <c r="K191" s="109"/>
      <c r="Q191" s="217"/>
    </row>
    <row r="192" spans="11:17" x14ac:dyDescent="0.15">
      <c r="K192" s="109"/>
      <c r="Q192" s="217"/>
    </row>
    <row r="193" spans="11:17" x14ac:dyDescent="0.15">
      <c r="K193" s="109"/>
      <c r="Q193" s="217"/>
    </row>
    <row r="194" spans="11:17" x14ac:dyDescent="0.15">
      <c r="K194" s="109"/>
      <c r="Q194" s="217"/>
    </row>
    <row r="195" spans="11:17" x14ac:dyDescent="0.15">
      <c r="K195" s="109"/>
      <c r="Q195" s="217"/>
    </row>
    <row r="196" spans="11:17" x14ac:dyDescent="0.15">
      <c r="K196" s="109"/>
      <c r="Q196" s="217"/>
    </row>
    <row r="197" spans="11:17" x14ac:dyDescent="0.15">
      <c r="K197" s="109"/>
      <c r="Q197" s="217"/>
    </row>
    <row r="198" spans="11:17" x14ac:dyDescent="0.15">
      <c r="K198" s="109"/>
      <c r="Q198" s="217"/>
    </row>
    <row r="199" spans="11:17" x14ac:dyDescent="0.15">
      <c r="K199" s="109"/>
      <c r="Q199" s="217"/>
    </row>
    <row r="200" spans="11:17" x14ac:dyDescent="0.15">
      <c r="K200" s="109"/>
      <c r="Q200" s="217"/>
    </row>
    <row r="201" spans="11:17" x14ac:dyDescent="0.15">
      <c r="K201" s="109"/>
      <c r="Q201" s="217"/>
    </row>
    <row r="202" spans="11:17" x14ac:dyDescent="0.15">
      <c r="K202" s="109"/>
      <c r="Q202" s="217"/>
    </row>
    <row r="203" spans="11:17" x14ac:dyDescent="0.15">
      <c r="K203" s="109"/>
      <c r="Q203" s="217"/>
    </row>
    <row r="204" spans="11:17" x14ac:dyDescent="0.15">
      <c r="K204" s="109"/>
      <c r="Q204" s="217"/>
    </row>
    <row r="205" spans="11:17" x14ac:dyDescent="0.15">
      <c r="K205" s="109"/>
      <c r="Q205" s="217"/>
    </row>
    <row r="206" spans="11:17" x14ac:dyDescent="0.15">
      <c r="K206" s="109"/>
      <c r="Q206" s="217"/>
    </row>
    <row r="207" spans="11:17" x14ac:dyDescent="0.15">
      <c r="K207" s="109"/>
      <c r="Q207" s="217"/>
    </row>
    <row r="208" spans="11:17" x14ac:dyDescent="0.15">
      <c r="K208" s="109"/>
      <c r="Q208" s="217"/>
    </row>
    <row r="209" spans="11:17" x14ac:dyDescent="0.15">
      <c r="K209" s="109"/>
      <c r="Q209" s="217"/>
    </row>
    <row r="210" spans="11:17" x14ac:dyDescent="0.15">
      <c r="K210" s="109"/>
      <c r="Q210" s="217"/>
    </row>
    <row r="211" spans="11:17" x14ac:dyDescent="0.15">
      <c r="K211" s="109"/>
      <c r="Q211" s="217"/>
    </row>
    <row r="212" spans="11:17" x14ac:dyDescent="0.15">
      <c r="K212" s="109"/>
      <c r="Q212" s="217"/>
    </row>
    <row r="213" spans="11:17" x14ac:dyDescent="0.15">
      <c r="K213" s="109"/>
      <c r="Q213" s="217"/>
    </row>
    <row r="214" spans="11:17" x14ac:dyDescent="0.15">
      <c r="K214" s="109"/>
      <c r="Q214" s="217"/>
    </row>
    <row r="215" spans="11:17" x14ac:dyDescent="0.15">
      <c r="K215" s="109"/>
      <c r="Q215" s="217"/>
    </row>
    <row r="216" spans="11:17" x14ac:dyDescent="0.15">
      <c r="K216" s="109"/>
      <c r="Q216" s="217"/>
    </row>
    <row r="217" spans="11:17" x14ac:dyDescent="0.15">
      <c r="K217" s="109"/>
      <c r="Q217" s="217"/>
    </row>
    <row r="218" spans="11:17" x14ac:dyDescent="0.15">
      <c r="K218" s="109"/>
      <c r="Q218" s="217"/>
    </row>
    <row r="219" spans="11:17" x14ac:dyDescent="0.15">
      <c r="K219" s="109"/>
      <c r="Q219" s="217"/>
    </row>
    <row r="220" spans="11:17" x14ac:dyDescent="0.15">
      <c r="K220" s="109"/>
      <c r="Q220" s="217"/>
    </row>
    <row r="221" spans="11:17" x14ac:dyDescent="0.15">
      <c r="K221" s="109"/>
      <c r="Q221" s="217"/>
    </row>
    <row r="222" spans="11:17" x14ac:dyDescent="0.15">
      <c r="K222" s="109"/>
      <c r="Q222" s="217"/>
    </row>
    <row r="223" spans="11:17" x14ac:dyDescent="0.15">
      <c r="K223" s="109"/>
      <c r="Q223" s="217"/>
    </row>
    <row r="224" spans="11:17" x14ac:dyDescent="0.15">
      <c r="K224" s="109"/>
      <c r="Q224" s="217"/>
    </row>
    <row r="225" spans="11:17" x14ac:dyDescent="0.15">
      <c r="K225" s="109"/>
      <c r="Q225" s="217"/>
    </row>
    <row r="226" spans="11:17" x14ac:dyDescent="0.15">
      <c r="K226" s="109"/>
      <c r="Q226" s="217"/>
    </row>
    <row r="227" spans="11:17" x14ac:dyDescent="0.15">
      <c r="K227" s="109"/>
      <c r="Q227" s="217"/>
    </row>
    <row r="228" spans="11:17" x14ac:dyDescent="0.15">
      <c r="K228" s="109"/>
      <c r="Q228" s="217"/>
    </row>
    <row r="229" spans="11:17" x14ac:dyDescent="0.15">
      <c r="K229" s="109"/>
      <c r="Q229" s="217"/>
    </row>
    <row r="230" spans="11:17" x14ac:dyDescent="0.15">
      <c r="K230" s="109"/>
      <c r="Q230" s="217"/>
    </row>
    <row r="231" spans="11:17" x14ac:dyDescent="0.15">
      <c r="K231" s="109"/>
      <c r="Q231" s="217"/>
    </row>
    <row r="232" spans="11:17" x14ac:dyDescent="0.15">
      <c r="K232" s="109"/>
      <c r="Q232" s="217"/>
    </row>
    <row r="233" spans="11:17" x14ac:dyDescent="0.15">
      <c r="K233" s="109"/>
      <c r="Q233" s="217"/>
    </row>
    <row r="234" spans="11:17" x14ac:dyDescent="0.15">
      <c r="K234" s="109"/>
      <c r="Q234" s="217"/>
    </row>
    <row r="235" spans="11:17" x14ac:dyDescent="0.15">
      <c r="K235" s="109"/>
      <c r="Q235" s="217"/>
    </row>
    <row r="236" spans="11:17" x14ac:dyDescent="0.15">
      <c r="K236" s="109"/>
      <c r="Q236" s="217"/>
    </row>
    <row r="237" spans="11:17" x14ac:dyDescent="0.15">
      <c r="K237" s="109"/>
      <c r="Q237" s="217"/>
    </row>
    <row r="238" spans="11:17" x14ac:dyDescent="0.15">
      <c r="K238" s="109"/>
      <c r="Q238" s="217"/>
    </row>
    <row r="239" spans="11:17" x14ac:dyDescent="0.15">
      <c r="K239" s="109"/>
      <c r="Q239" s="217"/>
    </row>
    <row r="240" spans="11:17" x14ac:dyDescent="0.15">
      <c r="K240" s="109"/>
      <c r="Q240" s="217"/>
    </row>
    <row r="241" spans="11:17" x14ac:dyDescent="0.15">
      <c r="K241" s="109"/>
      <c r="Q241" s="217"/>
    </row>
    <row r="242" spans="11:17" x14ac:dyDescent="0.15">
      <c r="K242" s="109"/>
      <c r="Q242" s="217"/>
    </row>
    <row r="243" spans="11:17" x14ac:dyDescent="0.15">
      <c r="K243" s="109"/>
      <c r="Q243" s="217"/>
    </row>
    <row r="244" spans="11:17" x14ac:dyDescent="0.15">
      <c r="K244" s="109"/>
      <c r="Q244" s="217"/>
    </row>
    <row r="245" spans="11:17" x14ac:dyDescent="0.15">
      <c r="K245" s="109"/>
      <c r="Q245" s="217"/>
    </row>
    <row r="246" spans="11:17" x14ac:dyDescent="0.15">
      <c r="K246" s="109"/>
      <c r="Q246" s="217"/>
    </row>
    <row r="247" spans="11:17" x14ac:dyDescent="0.15">
      <c r="K247" s="109"/>
      <c r="Q247" s="217"/>
    </row>
    <row r="248" spans="11:17" x14ac:dyDescent="0.15">
      <c r="K248" s="109"/>
      <c r="Q248" s="217"/>
    </row>
    <row r="249" spans="11:17" x14ac:dyDescent="0.15">
      <c r="K249" s="109"/>
      <c r="Q249" s="217"/>
    </row>
    <row r="250" spans="11:17" x14ac:dyDescent="0.15">
      <c r="K250" s="109"/>
      <c r="Q250" s="217"/>
    </row>
    <row r="251" spans="11:17" x14ac:dyDescent="0.15">
      <c r="K251" s="109"/>
      <c r="Q251" s="217"/>
    </row>
    <row r="252" spans="11:17" x14ac:dyDescent="0.15">
      <c r="K252" s="109"/>
      <c r="Q252" s="217"/>
    </row>
    <row r="253" spans="11:17" x14ac:dyDescent="0.15">
      <c r="K253" s="109"/>
      <c r="Q253" s="217"/>
    </row>
    <row r="254" spans="11:17" x14ac:dyDescent="0.15">
      <c r="K254" s="109"/>
      <c r="Q254" s="217"/>
    </row>
    <row r="255" spans="11:17" x14ac:dyDescent="0.15">
      <c r="K255" s="109"/>
      <c r="Q255" s="217"/>
    </row>
    <row r="256" spans="11:17" x14ac:dyDescent="0.15">
      <c r="K256" s="109"/>
      <c r="Q256" s="217"/>
    </row>
    <row r="257" spans="11:17" x14ac:dyDescent="0.15">
      <c r="K257" s="109"/>
      <c r="Q257" s="217"/>
    </row>
    <row r="258" spans="11:17" x14ac:dyDescent="0.15">
      <c r="K258" s="109"/>
      <c r="Q258" s="217"/>
    </row>
    <row r="259" spans="11:17" x14ac:dyDescent="0.15">
      <c r="K259" s="109"/>
      <c r="Q259" s="217"/>
    </row>
    <row r="260" spans="11:17" x14ac:dyDescent="0.15">
      <c r="K260" s="109"/>
      <c r="Q260" s="217"/>
    </row>
    <row r="261" spans="11:17" x14ac:dyDescent="0.15">
      <c r="K261" s="109"/>
      <c r="Q261" s="217"/>
    </row>
    <row r="262" spans="11:17" x14ac:dyDescent="0.15">
      <c r="K262" s="109"/>
      <c r="Q262" s="217"/>
    </row>
    <row r="263" spans="11:17" x14ac:dyDescent="0.15">
      <c r="K263" s="109"/>
      <c r="Q263" s="217"/>
    </row>
    <row r="264" spans="11:17" x14ac:dyDescent="0.15">
      <c r="K264" s="109"/>
      <c r="Q264" s="217"/>
    </row>
    <row r="265" spans="11:17" x14ac:dyDescent="0.15">
      <c r="K265" s="109"/>
      <c r="Q265" s="217"/>
    </row>
    <row r="266" spans="11:17" x14ac:dyDescent="0.15">
      <c r="K266" s="109"/>
      <c r="Q266" s="217"/>
    </row>
    <row r="267" spans="11:17" x14ac:dyDescent="0.15">
      <c r="K267" s="109"/>
      <c r="Q267" s="217"/>
    </row>
    <row r="268" spans="11:17" x14ac:dyDescent="0.15">
      <c r="K268" s="109"/>
      <c r="Q268" s="217"/>
    </row>
    <row r="269" spans="11:17" x14ac:dyDescent="0.15">
      <c r="K269" s="109"/>
      <c r="Q269" s="217"/>
    </row>
    <row r="270" spans="11:17" x14ac:dyDescent="0.15">
      <c r="K270" s="109"/>
      <c r="Q270" s="217"/>
    </row>
    <row r="271" spans="11:17" x14ac:dyDescent="0.15">
      <c r="K271" s="109"/>
      <c r="Q271" s="217"/>
    </row>
    <row r="272" spans="11:17" x14ac:dyDescent="0.15">
      <c r="K272" s="109"/>
      <c r="Q272" s="217"/>
    </row>
    <row r="273" spans="11:17" x14ac:dyDescent="0.15">
      <c r="K273" s="109"/>
      <c r="Q273" s="217"/>
    </row>
    <row r="274" spans="11:17" x14ac:dyDescent="0.15">
      <c r="K274" s="109"/>
      <c r="Q274" s="217"/>
    </row>
    <row r="275" spans="11:17" x14ac:dyDescent="0.15">
      <c r="K275" s="109"/>
      <c r="Q275" s="217"/>
    </row>
    <row r="276" spans="11:17" x14ac:dyDescent="0.15">
      <c r="K276" s="109"/>
      <c r="Q276" s="217"/>
    </row>
    <row r="277" spans="11:17" x14ac:dyDescent="0.15">
      <c r="K277" s="109"/>
      <c r="Q277" s="217"/>
    </row>
    <row r="278" spans="11:17" x14ac:dyDescent="0.15">
      <c r="K278" s="109"/>
      <c r="Q278" s="217"/>
    </row>
    <row r="279" spans="11:17" x14ac:dyDescent="0.15">
      <c r="K279" s="109"/>
      <c r="Q279" s="217"/>
    </row>
    <row r="280" spans="11:17" x14ac:dyDescent="0.15">
      <c r="K280" s="109"/>
      <c r="Q280" s="217"/>
    </row>
    <row r="281" spans="11:17" x14ac:dyDescent="0.15">
      <c r="K281" s="109"/>
      <c r="Q281" s="217"/>
    </row>
    <row r="282" spans="11:17" x14ac:dyDescent="0.15">
      <c r="K282" s="109"/>
      <c r="Q282" s="217"/>
    </row>
    <row r="283" spans="11:17" x14ac:dyDescent="0.15">
      <c r="K283" s="109"/>
      <c r="Q283" s="217"/>
    </row>
    <row r="284" spans="11:17" x14ac:dyDescent="0.15">
      <c r="K284" s="109"/>
      <c r="Q284" s="217"/>
    </row>
    <row r="285" spans="11:17" x14ac:dyDescent="0.15">
      <c r="K285" s="109"/>
      <c r="Q285" s="217"/>
    </row>
    <row r="286" spans="11:17" x14ac:dyDescent="0.15">
      <c r="K286" s="109"/>
      <c r="Q286" s="217"/>
    </row>
    <row r="287" spans="11:17" x14ac:dyDescent="0.15">
      <c r="K287" s="109"/>
      <c r="Q287" s="217"/>
    </row>
    <row r="288" spans="11:17" x14ac:dyDescent="0.15">
      <c r="K288" s="109"/>
      <c r="Q288" s="217"/>
    </row>
    <row r="289" spans="11:17" x14ac:dyDescent="0.15">
      <c r="K289" s="109"/>
      <c r="Q289" s="217"/>
    </row>
    <row r="290" spans="11:17" x14ac:dyDescent="0.15">
      <c r="K290" s="109"/>
      <c r="Q290" s="217"/>
    </row>
    <row r="291" spans="11:17" x14ac:dyDescent="0.15">
      <c r="K291" s="109"/>
      <c r="Q291" s="217"/>
    </row>
    <row r="292" spans="11:17" x14ac:dyDescent="0.15">
      <c r="K292" s="109"/>
    </row>
    <row r="293" spans="11:17" x14ac:dyDescent="0.15">
      <c r="K293" s="109"/>
    </row>
    <row r="294" spans="11:17" x14ac:dyDescent="0.15">
      <c r="K294" s="109"/>
    </row>
    <row r="295" spans="11:17" x14ac:dyDescent="0.15">
      <c r="K295" s="109"/>
    </row>
    <row r="296" spans="11:17" x14ac:dyDescent="0.15">
      <c r="K296" s="109"/>
    </row>
    <row r="297" spans="11:17" x14ac:dyDescent="0.15">
      <c r="K297" s="109"/>
    </row>
    <row r="298" spans="11:17" x14ac:dyDescent="0.15">
      <c r="K298" s="109"/>
    </row>
    <row r="299" spans="11:17" x14ac:dyDescent="0.15">
      <c r="K299" s="109"/>
    </row>
    <row r="300" spans="11:17" x14ac:dyDescent="0.15">
      <c r="K300" s="109"/>
    </row>
    <row r="301" spans="11:17" x14ac:dyDescent="0.15">
      <c r="K301" s="109"/>
    </row>
    <row r="302" spans="11:17" x14ac:dyDescent="0.15">
      <c r="K302" s="109"/>
    </row>
    <row r="303" spans="11:17" x14ac:dyDescent="0.15">
      <c r="K303" s="109"/>
    </row>
    <row r="304" spans="11:17" x14ac:dyDescent="0.15">
      <c r="K304" s="109"/>
    </row>
    <row r="305" spans="11:11" x14ac:dyDescent="0.15">
      <c r="K305" s="109"/>
    </row>
    <row r="306" spans="11:11" x14ac:dyDescent="0.15">
      <c r="K306" s="109"/>
    </row>
    <row r="307" spans="11:11" x14ac:dyDescent="0.15">
      <c r="K307" s="109"/>
    </row>
    <row r="308" spans="11:11" x14ac:dyDescent="0.15">
      <c r="K308" s="109"/>
    </row>
    <row r="309" spans="11:11" x14ac:dyDescent="0.15">
      <c r="K309" s="109"/>
    </row>
    <row r="310" spans="11:11" x14ac:dyDescent="0.15">
      <c r="K310" s="109"/>
    </row>
    <row r="311" spans="11:11" x14ac:dyDescent="0.15">
      <c r="K311" s="109"/>
    </row>
    <row r="312" spans="11:11" x14ac:dyDescent="0.15">
      <c r="K312" s="109"/>
    </row>
    <row r="313" spans="11:11" x14ac:dyDescent="0.15">
      <c r="K313" s="109"/>
    </row>
    <row r="314" spans="11:11" x14ac:dyDescent="0.15">
      <c r="K314" s="109"/>
    </row>
    <row r="315" spans="11:11" x14ac:dyDescent="0.15">
      <c r="K315" s="109"/>
    </row>
    <row r="316" spans="11:11" x14ac:dyDescent="0.15">
      <c r="K316" s="109"/>
    </row>
    <row r="317" spans="11:11" x14ac:dyDescent="0.15">
      <c r="K317" s="109"/>
    </row>
    <row r="318" spans="11:11" x14ac:dyDescent="0.15">
      <c r="K318" s="109"/>
    </row>
    <row r="319" spans="11:11" x14ac:dyDescent="0.15">
      <c r="K319" s="109"/>
    </row>
    <row r="320" spans="11:11" x14ac:dyDescent="0.15">
      <c r="K320" s="109"/>
    </row>
    <row r="321" spans="11:11" x14ac:dyDescent="0.15">
      <c r="K321" s="109"/>
    </row>
    <row r="322" spans="11:11" x14ac:dyDescent="0.15">
      <c r="K322" s="109"/>
    </row>
    <row r="323" spans="11:11" x14ac:dyDescent="0.15">
      <c r="K323" s="109"/>
    </row>
    <row r="324" spans="11:11" x14ac:dyDescent="0.15">
      <c r="K324" s="109"/>
    </row>
    <row r="325" spans="11:11" x14ac:dyDescent="0.15">
      <c r="K325" s="109"/>
    </row>
    <row r="326" spans="11:11" x14ac:dyDescent="0.15">
      <c r="K326" s="109"/>
    </row>
    <row r="327" spans="11:11" x14ac:dyDescent="0.15">
      <c r="K327" s="109"/>
    </row>
    <row r="328" spans="11:11" x14ac:dyDescent="0.15">
      <c r="K328" s="109"/>
    </row>
    <row r="329" spans="11:11" x14ac:dyDescent="0.15">
      <c r="K329" s="109"/>
    </row>
    <row r="330" spans="11:11" x14ac:dyDescent="0.15">
      <c r="K330" s="109"/>
    </row>
    <row r="331" spans="11:11" x14ac:dyDescent="0.15">
      <c r="K331" s="109"/>
    </row>
    <row r="332" spans="11:11" x14ac:dyDescent="0.15">
      <c r="K332" s="109"/>
    </row>
    <row r="333" spans="11:11" x14ac:dyDescent="0.15">
      <c r="K333" s="109"/>
    </row>
    <row r="334" spans="11:11" x14ac:dyDescent="0.15">
      <c r="K334" s="109"/>
    </row>
    <row r="335" spans="11:11" x14ac:dyDescent="0.15">
      <c r="K335" s="109"/>
    </row>
    <row r="336" spans="11:11" x14ac:dyDescent="0.15">
      <c r="K336" s="109"/>
    </row>
    <row r="337" spans="11:11" x14ac:dyDescent="0.15">
      <c r="K337" s="109"/>
    </row>
    <row r="338" spans="11:11" x14ac:dyDescent="0.15">
      <c r="K338" s="109"/>
    </row>
    <row r="339" spans="11:11" x14ac:dyDescent="0.15">
      <c r="K339" s="109"/>
    </row>
    <row r="340" spans="11:11" x14ac:dyDescent="0.15">
      <c r="K340" s="109"/>
    </row>
    <row r="341" spans="11:11" x14ac:dyDescent="0.15">
      <c r="K341" s="109"/>
    </row>
    <row r="342" spans="11:11" x14ac:dyDescent="0.15">
      <c r="K342" s="109"/>
    </row>
    <row r="343" spans="11:11" x14ac:dyDescent="0.15">
      <c r="K343" s="109"/>
    </row>
    <row r="344" spans="11:11" x14ac:dyDescent="0.15">
      <c r="K344" s="109"/>
    </row>
    <row r="345" spans="11:11" x14ac:dyDescent="0.15">
      <c r="K345" s="109"/>
    </row>
    <row r="346" spans="11:11" x14ac:dyDescent="0.15">
      <c r="K346" s="109"/>
    </row>
    <row r="347" spans="11:11" x14ac:dyDescent="0.15">
      <c r="K347" s="109"/>
    </row>
    <row r="348" spans="11:11" x14ac:dyDescent="0.15">
      <c r="K348" s="109"/>
    </row>
    <row r="349" spans="11:11" x14ac:dyDescent="0.15">
      <c r="K349" s="109"/>
    </row>
    <row r="350" spans="11:11" x14ac:dyDescent="0.15">
      <c r="K350" s="109"/>
    </row>
    <row r="351" spans="11:11" x14ac:dyDescent="0.15">
      <c r="K351" s="109"/>
    </row>
    <row r="352" spans="11:11" x14ac:dyDescent="0.15">
      <c r="K352" s="109"/>
    </row>
    <row r="353" spans="11:11" x14ac:dyDescent="0.15">
      <c r="K353" s="109"/>
    </row>
    <row r="354" spans="11:11" x14ac:dyDescent="0.15">
      <c r="K354" s="109"/>
    </row>
    <row r="355" spans="11:11" x14ac:dyDescent="0.15">
      <c r="K355" s="109"/>
    </row>
    <row r="356" spans="11:11" x14ac:dyDescent="0.15">
      <c r="K356" s="109"/>
    </row>
    <row r="357" spans="11:11" x14ac:dyDescent="0.15">
      <c r="K357" s="109"/>
    </row>
    <row r="358" spans="11:11" x14ac:dyDescent="0.15">
      <c r="K358" s="109"/>
    </row>
    <row r="359" spans="11:11" x14ac:dyDescent="0.15">
      <c r="K359" s="109"/>
    </row>
    <row r="360" spans="11:11" x14ac:dyDescent="0.15">
      <c r="K360" s="109"/>
    </row>
    <row r="361" spans="11:11" x14ac:dyDescent="0.15">
      <c r="K361" s="109"/>
    </row>
    <row r="362" spans="11:11" x14ac:dyDescent="0.15">
      <c r="K362" s="109"/>
    </row>
    <row r="363" spans="11:11" x14ac:dyDescent="0.15">
      <c r="K363" s="109"/>
    </row>
    <row r="364" spans="11:11" x14ac:dyDescent="0.15">
      <c r="K364" s="109"/>
    </row>
    <row r="365" spans="11:11" x14ac:dyDescent="0.15">
      <c r="K365" s="109"/>
    </row>
    <row r="366" spans="11:11" x14ac:dyDescent="0.15">
      <c r="K366" s="109"/>
    </row>
    <row r="367" spans="11:11" x14ac:dyDescent="0.15">
      <c r="K367" s="109"/>
    </row>
    <row r="368" spans="11:11" x14ac:dyDescent="0.15">
      <c r="K368" s="109"/>
    </row>
    <row r="369" spans="11:11" x14ac:dyDescent="0.15">
      <c r="K369" s="109"/>
    </row>
    <row r="370" spans="11:11" x14ac:dyDescent="0.15">
      <c r="K370" s="109"/>
    </row>
    <row r="371" spans="11:11" x14ac:dyDescent="0.15">
      <c r="K371" s="109"/>
    </row>
    <row r="372" spans="11:11" x14ac:dyDescent="0.15">
      <c r="K372" s="109"/>
    </row>
    <row r="373" spans="11:11" x14ac:dyDescent="0.15">
      <c r="K373" s="109"/>
    </row>
    <row r="374" spans="11:11" x14ac:dyDescent="0.15">
      <c r="K374" s="109"/>
    </row>
    <row r="375" spans="11:11" x14ac:dyDescent="0.15">
      <c r="K375" s="109"/>
    </row>
    <row r="376" spans="11:11" x14ac:dyDescent="0.15">
      <c r="K376" s="109"/>
    </row>
    <row r="377" spans="11:11" x14ac:dyDescent="0.15">
      <c r="K377" s="109"/>
    </row>
    <row r="378" spans="11:11" x14ac:dyDescent="0.15">
      <c r="K378" s="109"/>
    </row>
    <row r="379" spans="11:11" x14ac:dyDescent="0.15">
      <c r="K379" s="109"/>
    </row>
    <row r="380" spans="11:11" x14ac:dyDescent="0.15">
      <c r="K380" s="109"/>
    </row>
    <row r="381" spans="11:11" x14ac:dyDescent="0.15">
      <c r="K381" s="109"/>
    </row>
    <row r="382" spans="11:11" x14ac:dyDescent="0.15">
      <c r="K382" s="109"/>
    </row>
    <row r="383" spans="11:11" x14ac:dyDescent="0.15">
      <c r="K383" s="109"/>
    </row>
    <row r="384" spans="11:11" x14ac:dyDescent="0.15">
      <c r="K384" s="109"/>
    </row>
    <row r="385" spans="11:11" x14ac:dyDescent="0.15">
      <c r="K385" s="109"/>
    </row>
    <row r="386" spans="11:11" x14ac:dyDescent="0.15">
      <c r="K386" s="109"/>
    </row>
    <row r="387" spans="11:11" x14ac:dyDescent="0.15">
      <c r="K387" s="109"/>
    </row>
    <row r="388" spans="11:11" x14ac:dyDescent="0.15">
      <c r="K388" s="109"/>
    </row>
    <row r="389" spans="11:11" x14ac:dyDescent="0.15">
      <c r="K389" s="109"/>
    </row>
    <row r="390" spans="11:11" x14ac:dyDescent="0.15">
      <c r="K390" s="109"/>
    </row>
    <row r="391" spans="11:11" x14ac:dyDescent="0.15">
      <c r="K391" s="109"/>
    </row>
    <row r="392" spans="11:11" x14ac:dyDescent="0.15">
      <c r="K392" s="109"/>
    </row>
    <row r="393" spans="11:11" x14ac:dyDescent="0.15">
      <c r="K393" s="109"/>
    </row>
    <row r="394" spans="11:11" x14ac:dyDescent="0.15">
      <c r="K394" s="109"/>
    </row>
    <row r="395" spans="11:11" x14ac:dyDescent="0.15">
      <c r="K395" s="109"/>
    </row>
    <row r="396" spans="11:11" x14ac:dyDescent="0.15">
      <c r="K396" s="109"/>
    </row>
    <row r="397" spans="11:11" x14ac:dyDescent="0.15">
      <c r="K397" s="109"/>
    </row>
    <row r="398" spans="11:11" x14ac:dyDescent="0.15">
      <c r="K398" s="109"/>
    </row>
    <row r="399" spans="11:11" x14ac:dyDescent="0.15">
      <c r="K399" s="109"/>
    </row>
    <row r="400" spans="11:11" x14ac:dyDescent="0.15">
      <c r="K400" s="109"/>
    </row>
    <row r="401" spans="11:11" x14ac:dyDescent="0.15">
      <c r="K401" s="109"/>
    </row>
    <row r="402" spans="11:11" x14ac:dyDescent="0.15">
      <c r="K402" s="109"/>
    </row>
    <row r="403" spans="11:11" x14ac:dyDescent="0.15">
      <c r="K403" s="109"/>
    </row>
    <row r="404" spans="11:11" x14ac:dyDescent="0.15">
      <c r="K404" s="109"/>
    </row>
    <row r="405" spans="11:11" x14ac:dyDescent="0.15">
      <c r="K405" s="109"/>
    </row>
    <row r="406" spans="11:11" x14ac:dyDescent="0.15">
      <c r="K406" s="109"/>
    </row>
    <row r="407" spans="11:11" x14ac:dyDescent="0.15">
      <c r="K407" s="109"/>
    </row>
    <row r="408" spans="11:11" x14ac:dyDescent="0.15">
      <c r="K408" s="109"/>
    </row>
    <row r="409" spans="11:11" x14ac:dyDescent="0.15">
      <c r="K409" s="109"/>
    </row>
    <row r="410" spans="11:11" x14ac:dyDescent="0.15">
      <c r="K410" s="109"/>
    </row>
    <row r="411" spans="11:11" x14ac:dyDescent="0.15">
      <c r="K411" s="109"/>
    </row>
    <row r="412" spans="11:11" x14ac:dyDescent="0.15">
      <c r="K412" s="109"/>
    </row>
    <row r="413" spans="11:11" x14ac:dyDescent="0.15">
      <c r="K413" s="109"/>
    </row>
    <row r="414" spans="11:11" x14ac:dyDescent="0.15">
      <c r="K414" s="109"/>
    </row>
    <row r="415" spans="11:11" x14ac:dyDescent="0.15">
      <c r="K415" s="109"/>
    </row>
    <row r="416" spans="11:11" x14ac:dyDescent="0.15">
      <c r="K416" s="109"/>
    </row>
    <row r="417" spans="11:11" x14ac:dyDescent="0.15">
      <c r="K417" s="109"/>
    </row>
    <row r="418" spans="11:11" x14ac:dyDescent="0.15">
      <c r="K418" s="109"/>
    </row>
    <row r="419" spans="11:11" x14ac:dyDescent="0.15">
      <c r="K419" s="109"/>
    </row>
    <row r="420" spans="11:11" x14ac:dyDescent="0.15">
      <c r="K420" s="109"/>
    </row>
    <row r="421" spans="11:11" x14ac:dyDescent="0.15">
      <c r="K421" s="109"/>
    </row>
    <row r="422" spans="11:11" x14ac:dyDescent="0.15">
      <c r="K422" s="109"/>
    </row>
    <row r="423" spans="11:11" x14ac:dyDescent="0.15">
      <c r="K423" s="109"/>
    </row>
    <row r="424" spans="11:11" x14ac:dyDescent="0.15">
      <c r="K424" s="109"/>
    </row>
    <row r="425" spans="11:11" x14ac:dyDescent="0.15">
      <c r="K425" s="109"/>
    </row>
    <row r="426" spans="11:11" x14ac:dyDescent="0.15">
      <c r="K426" s="109"/>
    </row>
    <row r="427" spans="11:11" x14ac:dyDescent="0.15">
      <c r="K427" s="109"/>
    </row>
    <row r="428" spans="11:11" x14ac:dyDescent="0.15">
      <c r="K428" s="109"/>
    </row>
    <row r="429" spans="11:11" x14ac:dyDescent="0.15">
      <c r="K429" s="109"/>
    </row>
    <row r="430" spans="11:11" x14ac:dyDescent="0.15">
      <c r="K430" s="109"/>
    </row>
    <row r="431" spans="11:11" x14ac:dyDescent="0.15">
      <c r="K431" s="109"/>
    </row>
    <row r="432" spans="11:11" x14ac:dyDescent="0.15">
      <c r="K432" s="109"/>
    </row>
    <row r="433" spans="11:11" x14ac:dyDescent="0.15">
      <c r="K433" s="109"/>
    </row>
    <row r="434" spans="11:11" x14ac:dyDescent="0.15">
      <c r="K434" s="109"/>
    </row>
    <row r="435" spans="11:11" x14ac:dyDescent="0.15">
      <c r="K435" s="109"/>
    </row>
    <row r="436" spans="11:11" x14ac:dyDescent="0.15">
      <c r="K436" s="109"/>
    </row>
    <row r="437" spans="11:11" x14ac:dyDescent="0.15">
      <c r="K437" s="109"/>
    </row>
    <row r="438" spans="11:11" x14ac:dyDescent="0.15">
      <c r="K438" s="109"/>
    </row>
    <row r="439" spans="11:11" x14ac:dyDescent="0.15">
      <c r="K439" s="109"/>
    </row>
    <row r="440" spans="11:11" x14ac:dyDescent="0.15">
      <c r="K440" s="109"/>
    </row>
    <row r="441" spans="11:11" x14ac:dyDescent="0.15">
      <c r="K441" s="109"/>
    </row>
    <row r="442" spans="11:11" x14ac:dyDescent="0.15">
      <c r="K442" s="109"/>
    </row>
    <row r="443" spans="11:11" x14ac:dyDescent="0.15">
      <c r="K443" s="109"/>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6"/>
  <sheetViews>
    <sheetView topLeftCell="A49" zoomScale="85" zoomScaleNormal="85" workbookViewId="0">
      <selection activeCell="K94" sqref="K94"/>
    </sheetView>
  </sheetViews>
  <sheetFormatPr defaultRowHeight="13.5" x14ac:dyDescent="0.15"/>
  <cols>
    <col min="1" max="3" width="9" style="180"/>
    <col min="4" max="4" width="10.5" style="180" bestFit="1" customWidth="1"/>
    <col min="5" max="5" width="10.875" style="180" bestFit="1" customWidth="1"/>
    <col min="6" max="6" width="18.875" style="180" bestFit="1" customWidth="1"/>
    <col min="7" max="9" width="9" style="180"/>
    <col min="10" max="10" width="9.25" style="180" customWidth="1"/>
    <col min="11" max="16" width="9" style="180"/>
    <col min="17" max="17" width="9" style="189"/>
    <col min="18" max="19" width="9" style="180"/>
    <col min="20" max="20" width="9" style="189"/>
    <col min="21" max="21" width="9" style="180"/>
    <col min="22" max="22" width="14.25" style="189" customWidth="1"/>
    <col min="23" max="23" width="9" style="180"/>
    <col min="24" max="24" width="9.625" style="180" customWidth="1"/>
    <col min="25" max="26" width="9" style="180"/>
    <col min="27" max="27" width="12.125" style="180" customWidth="1"/>
    <col min="28" max="32" width="9" style="180"/>
    <col min="33" max="33" width="15.125" style="180" bestFit="1" customWidth="1"/>
    <col min="34" max="34" width="19.625" style="180" bestFit="1" customWidth="1"/>
    <col min="35" max="16384" width="9" style="180"/>
  </cols>
  <sheetData>
    <row r="1" spans="1:53" ht="45" x14ac:dyDescent="0.15">
      <c r="A1" s="212" t="s">
        <v>0</v>
      </c>
      <c r="B1" s="174" t="s">
        <v>1</v>
      </c>
      <c r="C1" s="174" t="s">
        <v>157</v>
      </c>
      <c r="D1" s="175" t="s">
        <v>3</v>
      </c>
      <c r="E1" s="213" t="s">
        <v>4</v>
      </c>
      <c r="F1" s="213" t="s">
        <v>5</v>
      </c>
      <c r="G1" s="213" t="s">
        <v>6</v>
      </c>
      <c r="H1" s="213" t="s">
        <v>7</v>
      </c>
      <c r="I1" s="213" t="s">
        <v>8</v>
      </c>
      <c r="J1" s="213" t="s">
        <v>9</v>
      </c>
      <c r="K1" s="213" t="s">
        <v>10</v>
      </c>
      <c r="L1" s="175" t="s">
        <v>158</v>
      </c>
      <c r="M1" s="175" t="s">
        <v>12</v>
      </c>
      <c r="N1" s="175" t="s">
        <v>13</v>
      </c>
      <c r="O1" s="175" t="s">
        <v>14</v>
      </c>
      <c r="P1" s="175" t="s">
        <v>159</v>
      </c>
      <c r="Q1" s="176" t="s">
        <v>16</v>
      </c>
      <c r="R1" s="175" t="s">
        <v>160</v>
      </c>
      <c r="S1" s="175" t="s">
        <v>161</v>
      </c>
      <c r="T1" s="176" t="s">
        <v>19</v>
      </c>
      <c r="U1" s="177" t="s">
        <v>271</v>
      </c>
      <c r="V1" s="178" t="s">
        <v>20</v>
      </c>
      <c r="W1" s="175" t="s">
        <v>21</v>
      </c>
      <c r="X1" s="213" t="s">
        <v>22</v>
      </c>
      <c r="Y1" s="213" t="s">
        <v>23</v>
      </c>
      <c r="Z1" s="213" t="s">
        <v>328</v>
      </c>
      <c r="AA1" s="214" t="s">
        <v>25</v>
      </c>
      <c r="AB1" s="179" t="s">
        <v>162</v>
      </c>
      <c r="AE1" s="181" t="s">
        <v>0</v>
      </c>
      <c r="AF1" s="182"/>
      <c r="AG1" s="22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163</v>
      </c>
      <c r="AY1" s="186" t="s">
        <v>164</v>
      </c>
      <c r="AZ1" s="186" t="s">
        <v>165</v>
      </c>
      <c r="BA1" s="187" t="s">
        <v>166</v>
      </c>
    </row>
    <row r="2" spans="1:53" s="188" customFormat="1" x14ac:dyDescent="0.15">
      <c r="A2" s="188" t="s">
        <v>34</v>
      </c>
      <c r="B2" s="180" t="s">
        <v>346</v>
      </c>
      <c r="C2" s="180">
        <v>2018</v>
      </c>
      <c r="D2" s="222" t="s">
        <v>509</v>
      </c>
      <c r="E2" s="209" t="s">
        <v>219</v>
      </c>
      <c r="F2" s="209" t="s">
        <v>338</v>
      </c>
      <c r="G2" s="188" t="s">
        <v>36</v>
      </c>
      <c r="H2" s="180" t="s">
        <v>155</v>
      </c>
      <c r="I2" s="188" t="s">
        <v>153</v>
      </c>
      <c r="J2" s="188" t="s">
        <v>38</v>
      </c>
      <c r="K2" s="188" t="s">
        <v>154</v>
      </c>
      <c r="L2" s="188">
        <v>1</v>
      </c>
      <c r="N2" s="188">
        <v>1</v>
      </c>
      <c r="O2" s="188">
        <v>0.6</v>
      </c>
      <c r="P2" s="188">
        <v>0.75</v>
      </c>
      <c r="Q2" s="217">
        <f t="shared" ref="Q2:Q82" si="0">IF(OR(O2="",P2=""),"",AVERAGE(O2,P2))</f>
        <v>0.67500000000000004</v>
      </c>
      <c r="R2" s="188">
        <v>14.7</v>
      </c>
      <c r="S2" s="188">
        <v>141</v>
      </c>
      <c r="T2" s="189">
        <f t="shared" ref="T2:T91" si="1">IF(H2="","",IF(OR(H2="GREEN",H2="GK"),IF(S2&gt;=$AX$2,VLOOKUP(S2,$AX$2:$AY$9,2,1),""),IF(S2&gt;=$AZ$2,VLOOKUP(S2,$AZ$2:$BA$9,2,1),"")))</f>
        <v>30</v>
      </c>
      <c r="U2" s="188">
        <v>113</v>
      </c>
      <c r="V2" s="189">
        <f t="shared" ref="V2:V91" si="2">IF(OR(N2="",U2="",T2=""),"",U2/N2*T2)</f>
        <v>3390</v>
      </c>
      <c r="W2" s="188">
        <v>5</v>
      </c>
      <c r="X2" s="188" t="s">
        <v>39</v>
      </c>
      <c r="Y2" s="188" t="s">
        <v>102</v>
      </c>
      <c r="Z2" s="188" t="s">
        <v>78</v>
      </c>
      <c r="AA2" s="188" t="s">
        <v>55</v>
      </c>
      <c r="AB2" s="188" t="s">
        <v>348</v>
      </c>
      <c r="AE2" s="190" t="s">
        <v>35</v>
      </c>
      <c r="AG2" s="223" t="s">
        <v>294</v>
      </c>
      <c r="AH2" s="215" t="s">
        <v>329</v>
      </c>
      <c r="AJ2" s="191" t="s">
        <v>36</v>
      </c>
      <c r="AL2" s="191" t="s">
        <v>127</v>
      </c>
      <c r="AN2" s="191" t="s">
        <v>37</v>
      </c>
      <c r="AP2" s="191" t="s">
        <v>38</v>
      </c>
      <c r="AR2" s="191" t="s">
        <v>120</v>
      </c>
      <c r="AT2" s="191" t="s">
        <v>39</v>
      </c>
      <c r="AV2" s="220" t="s">
        <v>40</v>
      </c>
      <c r="AX2" s="192">
        <v>1</v>
      </c>
      <c r="AY2" s="193">
        <v>50</v>
      </c>
      <c r="AZ2" s="193">
        <v>1</v>
      </c>
      <c r="BA2" s="194">
        <v>50</v>
      </c>
    </row>
    <row r="3" spans="1:53" x14ac:dyDescent="0.15">
      <c r="A3" s="188" t="s">
        <v>34</v>
      </c>
      <c r="B3" s="180" t="s">
        <v>346</v>
      </c>
      <c r="C3" s="180">
        <v>2018</v>
      </c>
      <c r="D3" s="222" t="s">
        <v>509</v>
      </c>
      <c r="E3" s="209" t="s">
        <v>219</v>
      </c>
      <c r="F3" s="209" t="s">
        <v>338</v>
      </c>
      <c r="G3" s="188" t="s">
        <v>36</v>
      </c>
      <c r="H3" s="180" t="s">
        <v>155</v>
      </c>
      <c r="I3" s="188" t="s">
        <v>153</v>
      </c>
      <c r="J3" s="188" t="s">
        <v>38</v>
      </c>
      <c r="K3" s="188" t="s">
        <v>154</v>
      </c>
      <c r="L3" s="180">
        <v>2</v>
      </c>
      <c r="N3" s="180">
        <v>1</v>
      </c>
      <c r="O3" s="180">
        <v>0.65</v>
      </c>
      <c r="P3" s="180">
        <v>0.75</v>
      </c>
      <c r="Q3" s="217">
        <f t="shared" si="0"/>
        <v>0.7</v>
      </c>
      <c r="R3" s="180">
        <v>14.5</v>
      </c>
      <c r="S3" s="180">
        <v>143</v>
      </c>
      <c r="T3" s="189">
        <f t="shared" si="1"/>
        <v>30</v>
      </c>
      <c r="U3" s="180">
        <v>113</v>
      </c>
      <c r="V3" s="189">
        <f t="shared" si="2"/>
        <v>3390</v>
      </c>
      <c r="W3" s="188">
        <v>5</v>
      </c>
      <c r="X3" s="188" t="s">
        <v>39</v>
      </c>
      <c r="Y3" s="188" t="s">
        <v>102</v>
      </c>
      <c r="Z3" s="188" t="s">
        <v>78</v>
      </c>
      <c r="AA3" s="188" t="s">
        <v>55</v>
      </c>
      <c r="AB3" s="188" t="s">
        <v>348</v>
      </c>
      <c r="AC3" s="188"/>
      <c r="AE3" s="195" t="s">
        <v>41</v>
      </c>
      <c r="AG3" s="224" t="s">
        <v>330</v>
      </c>
      <c r="AH3" s="215" t="s">
        <v>331</v>
      </c>
      <c r="AJ3" s="196" t="s">
        <v>42</v>
      </c>
      <c r="AL3" s="196" t="s">
        <v>128</v>
      </c>
      <c r="AN3" s="196" t="s">
        <v>43</v>
      </c>
      <c r="AP3" s="196" t="s">
        <v>44</v>
      </c>
      <c r="AR3" s="210" t="s">
        <v>45</v>
      </c>
      <c r="AT3" s="196" t="s">
        <v>46</v>
      </c>
      <c r="AV3" s="196" t="s">
        <v>47</v>
      </c>
      <c r="AX3" s="197">
        <v>72</v>
      </c>
      <c r="AY3" s="198">
        <v>46</v>
      </c>
      <c r="AZ3" s="198">
        <v>71</v>
      </c>
      <c r="BA3" s="199">
        <v>42</v>
      </c>
    </row>
    <row r="4" spans="1:53" x14ac:dyDescent="0.15">
      <c r="A4" s="188" t="s">
        <v>34</v>
      </c>
      <c r="B4" s="180" t="s">
        <v>346</v>
      </c>
      <c r="C4" s="180">
        <v>2018</v>
      </c>
      <c r="D4" s="222" t="s">
        <v>509</v>
      </c>
      <c r="E4" s="209" t="s">
        <v>219</v>
      </c>
      <c r="F4" s="209" t="s">
        <v>338</v>
      </c>
      <c r="G4" s="188" t="s">
        <v>36</v>
      </c>
      <c r="H4" s="180" t="s">
        <v>155</v>
      </c>
      <c r="I4" s="188" t="s">
        <v>153</v>
      </c>
      <c r="J4" s="188" t="s">
        <v>38</v>
      </c>
      <c r="K4" s="188" t="s">
        <v>154</v>
      </c>
      <c r="L4" s="180">
        <v>3</v>
      </c>
      <c r="N4" s="180">
        <v>1</v>
      </c>
      <c r="O4" s="180">
        <v>0.55000000000000004</v>
      </c>
      <c r="P4" s="180">
        <v>0.75</v>
      </c>
      <c r="Q4" s="217">
        <f t="shared" si="0"/>
        <v>0.65</v>
      </c>
      <c r="R4" s="180">
        <v>14.9</v>
      </c>
      <c r="S4" s="180">
        <v>146</v>
      </c>
      <c r="T4" s="189">
        <f t="shared" si="1"/>
        <v>30</v>
      </c>
      <c r="U4" s="180">
        <v>113</v>
      </c>
      <c r="V4" s="189">
        <f t="shared" si="2"/>
        <v>3390</v>
      </c>
      <c r="W4" s="180">
        <v>5</v>
      </c>
      <c r="X4" s="188" t="s">
        <v>39</v>
      </c>
      <c r="Y4" s="188" t="s">
        <v>102</v>
      </c>
      <c r="Z4" s="188" t="s">
        <v>78</v>
      </c>
      <c r="AA4" s="188" t="s">
        <v>55</v>
      </c>
      <c r="AB4" s="188" t="s">
        <v>348</v>
      </c>
      <c r="AC4" s="188"/>
      <c r="AE4" s="195" t="s">
        <v>34</v>
      </c>
      <c r="AG4" s="224" t="s">
        <v>332</v>
      </c>
      <c r="AH4" s="215" t="s">
        <v>333</v>
      </c>
      <c r="AJ4" s="200" t="s">
        <v>48</v>
      </c>
      <c r="AL4" s="200" t="s">
        <v>129</v>
      </c>
      <c r="AN4" s="201" t="s">
        <v>49</v>
      </c>
      <c r="AP4" s="196" t="s">
        <v>167</v>
      </c>
      <c r="AR4" s="210" t="s">
        <v>121</v>
      </c>
      <c r="AT4" s="201"/>
      <c r="AV4" s="196" t="s">
        <v>50</v>
      </c>
      <c r="AX4" s="197">
        <v>75</v>
      </c>
      <c r="AY4" s="198">
        <v>42</v>
      </c>
      <c r="AZ4" s="198">
        <v>76</v>
      </c>
      <c r="BA4" s="199">
        <v>39</v>
      </c>
    </row>
    <row r="5" spans="1:53" x14ac:dyDescent="0.15">
      <c r="A5" s="188" t="s">
        <v>34</v>
      </c>
      <c r="B5" s="180" t="s">
        <v>346</v>
      </c>
      <c r="C5" s="180">
        <v>2018</v>
      </c>
      <c r="D5" s="222" t="s">
        <v>509</v>
      </c>
      <c r="E5" s="209" t="s">
        <v>219</v>
      </c>
      <c r="F5" s="209" t="s">
        <v>338</v>
      </c>
      <c r="G5" s="188" t="s">
        <v>36</v>
      </c>
      <c r="H5" s="180" t="s">
        <v>155</v>
      </c>
      <c r="I5" s="188" t="s">
        <v>153</v>
      </c>
      <c r="J5" s="188" t="s">
        <v>38</v>
      </c>
      <c r="K5" s="188" t="s">
        <v>154</v>
      </c>
      <c r="L5" s="188">
        <v>1</v>
      </c>
      <c r="N5" s="180">
        <v>5</v>
      </c>
      <c r="O5" s="180">
        <v>0.65</v>
      </c>
      <c r="P5" s="180">
        <v>0.7</v>
      </c>
      <c r="Q5" s="217">
        <f t="shared" si="0"/>
        <v>0.67500000000000004</v>
      </c>
      <c r="R5" s="180">
        <v>14.4</v>
      </c>
      <c r="S5" s="180">
        <v>90</v>
      </c>
      <c r="T5" s="189">
        <f t="shared" si="1"/>
        <v>36</v>
      </c>
      <c r="U5" s="180">
        <v>302</v>
      </c>
      <c r="V5" s="189">
        <f t="shared" si="2"/>
        <v>2174.4</v>
      </c>
      <c r="W5" s="180">
        <v>5</v>
      </c>
      <c r="X5" s="188" t="s">
        <v>39</v>
      </c>
      <c r="Y5" s="188" t="s">
        <v>102</v>
      </c>
      <c r="Z5" s="188" t="s">
        <v>78</v>
      </c>
      <c r="AA5" s="188" t="s">
        <v>55</v>
      </c>
      <c r="AB5" s="188" t="s">
        <v>348</v>
      </c>
      <c r="AE5" s="195" t="s">
        <v>51</v>
      </c>
      <c r="AG5" s="224" t="s">
        <v>334</v>
      </c>
      <c r="AH5" s="215" t="s">
        <v>335</v>
      </c>
      <c r="AJ5" s="201"/>
      <c r="AL5" s="202" t="s">
        <v>170</v>
      </c>
      <c r="AN5" s="202" t="s">
        <v>171</v>
      </c>
      <c r="AP5" s="196" t="s">
        <v>172</v>
      </c>
      <c r="AR5" s="210" t="s">
        <v>54</v>
      </c>
      <c r="AV5" s="196" t="s">
        <v>55</v>
      </c>
      <c r="AX5" s="197">
        <v>84</v>
      </c>
      <c r="AY5" s="198">
        <v>39</v>
      </c>
      <c r="AZ5" s="198">
        <v>84</v>
      </c>
      <c r="BA5" s="199">
        <v>36</v>
      </c>
    </row>
    <row r="6" spans="1:53" x14ac:dyDescent="0.15">
      <c r="A6" s="188" t="s">
        <v>34</v>
      </c>
      <c r="B6" s="180" t="s">
        <v>346</v>
      </c>
      <c r="C6" s="180">
        <v>2018</v>
      </c>
      <c r="D6" s="222" t="s">
        <v>509</v>
      </c>
      <c r="E6" s="209" t="s">
        <v>219</v>
      </c>
      <c r="F6" s="209" t="s">
        <v>338</v>
      </c>
      <c r="G6" s="188" t="s">
        <v>36</v>
      </c>
      <c r="H6" s="180" t="s">
        <v>155</v>
      </c>
      <c r="I6" s="188" t="s">
        <v>153</v>
      </c>
      <c r="J6" s="188" t="s">
        <v>38</v>
      </c>
      <c r="K6" s="188" t="s">
        <v>154</v>
      </c>
      <c r="L6" s="180">
        <v>2</v>
      </c>
      <c r="N6" s="180">
        <v>5</v>
      </c>
      <c r="O6" s="180">
        <v>0.6</v>
      </c>
      <c r="P6" s="180">
        <v>0.7</v>
      </c>
      <c r="Q6" s="217">
        <f t="shared" si="0"/>
        <v>0.64999999999999991</v>
      </c>
      <c r="R6" s="180">
        <v>14.3</v>
      </c>
      <c r="S6" s="180">
        <v>93</v>
      </c>
      <c r="T6" s="189">
        <f t="shared" si="1"/>
        <v>36</v>
      </c>
      <c r="U6" s="180">
        <v>302</v>
      </c>
      <c r="V6" s="189">
        <f t="shared" si="2"/>
        <v>2174.4</v>
      </c>
      <c r="W6" s="180">
        <v>5</v>
      </c>
      <c r="X6" s="188" t="s">
        <v>39</v>
      </c>
      <c r="Y6" s="188" t="s">
        <v>102</v>
      </c>
      <c r="Z6" s="188" t="s">
        <v>78</v>
      </c>
      <c r="AA6" s="188" t="s">
        <v>55</v>
      </c>
      <c r="AB6" s="188" t="s">
        <v>348</v>
      </c>
      <c r="AE6" s="195" t="s">
        <v>56</v>
      </c>
      <c r="AG6" s="224" t="s">
        <v>336</v>
      </c>
      <c r="AH6" s="215" t="s">
        <v>337</v>
      </c>
      <c r="AL6" s="202" t="s">
        <v>173</v>
      </c>
      <c r="AN6" s="202" t="s">
        <v>174</v>
      </c>
      <c r="AP6" s="196" t="s">
        <v>53</v>
      </c>
      <c r="AR6" s="210" t="s">
        <v>59</v>
      </c>
      <c r="AV6" s="196" t="s">
        <v>60</v>
      </c>
      <c r="AX6" s="197">
        <v>97</v>
      </c>
      <c r="AY6" s="198">
        <v>36</v>
      </c>
      <c r="AZ6" s="198">
        <v>99</v>
      </c>
      <c r="BA6" s="199">
        <v>33</v>
      </c>
    </row>
    <row r="7" spans="1:53" x14ac:dyDescent="0.15">
      <c r="A7" s="188" t="s">
        <v>34</v>
      </c>
      <c r="B7" s="180" t="s">
        <v>346</v>
      </c>
      <c r="C7" s="180">
        <v>2018</v>
      </c>
      <c r="D7" s="222" t="s">
        <v>509</v>
      </c>
      <c r="E7" s="209" t="s">
        <v>219</v>
      </c>
      <c r="F7" s="209" t="s">
        <v>338</v>
      </c>
      <c r="G7" s="188" t="s">
        <v>36</v>
      </c>
      <c r="H7" s="180" t="s">
        <v>155</v>
      </c>
      <c r="I7" s="188" t="s">
        <v>153</v>
      </c>
      <c r="J7" s="188" t="s">
        <v>38</v>
      </c>
      <c r="K7" s="188" t="s">
        <v>154</v>
      </c>
      <c r="L7" s="180">
        <v>3</v>
      </c>
      <c r="N7" s="180">
        <v>5</v>
      </c>
      <c r="O7" s="180">
        <v>0.75</v>
      </c>
      <c r="P7" s="180">
        <v>0.65</v>
      </c>
      <c r="Q7" s="217">
        <f t="shared" si="0"/>
        <v>0.7</v>
      </c>
      <c r="R7" s="180">
        <v>14.4</v>
      </c>
      <c r="S7" s="180">
        <v>86</v>
      </c>
      <c r="T7" s="189">
        <f t="shared" si="1"/>
        <v>36</v>
      </c>
      <c r="U7" s="180">
        <v>302</v>
      </c>
      <c r="V7" s="189">
        <f t="shared" si="2"/>
        <v>2174.4</v>
      </c>
      <c r="W7" s="180">
        <v>5</v>
      </c>
      <c r="X7" s="188" t="s">
        <v>39</v>
      </c>
      <c r="Y7" s="188" t="s">
        <v>102</v>
      </c>
      <c r="Z7" s="188" t="s">
        <v>78</v>
      </c>
      <c r="AA7" s="188" t="s">
        <v>55</v>
      </c>
      <c r="AB7" s="188" t="s">
        <v>348</v>
      </c>
      <c r="AE7" s="195" t="s">
        <v>61</v>
      </c>
      <c r="AG7" s="224" t="s">
        <v>219</v>
      </c>
      <c r="AH7" s="215" t="s">
        <v>338</v>
      </c>
      <c r="AL7" s="207" t="s">
        <v>175</v>
      </c>
      <c r="AP7" s="196" t="s">
        <v>58</v>
      </c>
      <c r="AR7" s="203" t="s">
        <v>122</v>
      </c>
      <c r="AV7" s="196" t="s">
        <v>64</v>
      </c>
      <c r="AX7" s="197">
        <v>109</v>
      </c>
      <c r="AY7" s="198">
        <v>33</v>
      </c>
      <c r="AZ7" s="198">
        <v>113</v>
      </c>
      <c r="BA7" s="199">
        <v>30</v>
      </c>
    </row>
    <row r="8" spans="1:53" x14ac:dyDescent="0.15">
      <c r="A8" s="188" t="s">
        <v>34</v>
      </c>
      <c r="B8" s="180" t="s">
        <v>346</v>
      </c>
      <c r="C8" s="180">
        <v>2018</v>
      </c>
      <c r="D8" s="222" t="s">
        <v>510</v>
      </c>
      <c r="E8" s="209" t="s">
        <v>219</v>
      </c>
      <c r="F8" s="209" t="s">
        <v>338</v>
      </c>
      <c r="G8" s="188" t="s">
        <v>36</v>
      </c>
      <c r="H8" s="180" t="s">
        <v>168</v>
      </c>
      <c r="I8" s="188" t="s">
        <v>153</v>
      </c>
      <c r="J8" s="188" t="s">
        <v>38</v>
      </c>
      <c r="K8" s="188" t="s">
        <v>154</v>
      </c>
      <c r="L8" s="188">
        <v>1</v>
      </c>
      <c r="N8" s="180">
        <v>1</v>
      </c>
      <c r="O8" s="180">
        <v>0.65</v>
      </c>
      <c r="P8" s="180">
        <v>0.9</v>
      </c>
      <c r="Q8" s="217">
        <f t="shared" si="0"/>
        <v>0.77500000000000002</v>
      </c>
      <c r="R8" s="180">
        <v>14.5</v>
      </c>
      <c r="S8" s="180">
        <v>143</v>
      </c>
      <c r="T8" s="189">
        <f t="shared" si="1"/>
        <v>30</v>
      </c>
      <c r="U8" s="180">
        <v>138</v>
      </c>
      <c r="V8" s="189">
        <f t="shared" si="2"/>
        <v>4140</v>
      </c>
      <c r="W8" s="180">
        <v>5</v>
      </c>
      <c r="X8" s="188" t="s">
        <v>39</v>
      </c>
      <c r="Y8" s="188" t="s">
        <v>102</v>
      </c>
      <c r="Z8" s="188" t="s">
        <v>78</v>
      </c>
      <c r="AA8" s="188" t="s">
        <v>55</v>
      </c>
      <c r="AB8" s="188" t="s">
        <v>348</v>
      </c>
      <c r="AE8" s="195" t="s">
        <v>59</v>
      </c>
      <c r="AG8" s="224" t="s">
        <v>339</v>
      </c>
      <c r="AH8" s="215" t="s">
        <v>340</v>
      </c>
      <c r="AL8" s="207" t="s">
        <v>368</v>
      </c>
      <c r="AP8" s="196" t="s">
        <v>62</v>
      </c>
      <c r="AR8" s="210" t="s">
        <v>81</v>
      </c>
      <c r="AV8" s="196" t="s">
        <v>97</v>
      </c>
      <c r="AX8" s="197">
        <v>151</v>
      </c>
      <c r="AY8" s="198">
        <v>22</v>
      </c>
      <c r="AZ8" s="198">
        <v>152</v>
      </c>
      <c r="BA8" s="199">
        <v>18</v>
      </c>
    </row>
    <row r="9" spans="1:53" x14ac:dyDescent="0.15">
      <c r="A9" s="188" t="s">
        <v>34</v>
      </c>
      <c r="B9" s="180" t="s">
        <v>346</v>
      </c>
      <c r="C9" s="180">
        <v>2018</v>
      </c>
      <c r="D9" s="222" t="s">
        <v>510</v>
      </c>
      <c r="E9" s="209" t="s">
        <v>219</v>
      </c>
      <c r="F9" s="209" t="s">
        <v>338</v>
      </c>
      <c r="G9" s="188" t="s">
        <v>36</v>
      </c>
      <c r="H9" s="180" t="s">
        <v>168</v>
      </c>
      <c r="I9" s="188" t="s">
        <v>153</v>
      </c>
      <c r="J9" s="188" t="s">
        <v>38</v>
      </c>
      <c r="K9" s="188" t="s">
        <v>154</v>
      </c>
      <c r="L9" s="180">
        <v>2</v>
      </c>
      <c r="N9" s="180">
        <v>1</v>
      </c>
      <c r="O9" s="180">
        <v>0.65</v>
      </c>
      <c r="P9" s="180">
        <v>0.6</v>
      </c>
      <c r="Q9" s="217">
        <f t="shared" si="0"/>
        <v>0.625</v>
      </c>
      <c r="R9" s="180">
        <v>16.399999999999999</v>
      </c>
      <c r="S9" s="180">
        <v>136</v>
      </c>
      <c r="T9" s="189">
        <f t="shared" si="1"/>
        <v>30</v>
      </c>
      <c r="U9" s="180">
        <v>138</v>
      </c>
      <c r="V9" s="189">
        <f t="shared" si="2"/>
        <v>4140</v>
      </c>
      <c r="W9" s="180">
        <v>5</v>
      </c>
      <c r="X9" s="188" t="s">
        <v>39</v>
      </c>
      <c r="Y9" s="188" t="s">
        <v>102</v>
      </c>
      <c r="Z9" s="188" t="s">
        <v>78</v>
      </c>
      <c r="AA9" s="188" t="s">
        <v>55</v>
      </c>
      <c r="AB9" s="188" t="s">
        <v>348</v>
      </c>
      <c r="AE9" s="195" t="s">
        <v>98</v>
      </c>
      <c r="AG9" s="224" t="s">
        <v>297</v>
      </c>
      <c r="AH9" s="215" t="s">
        <v>341</v>
      </c>
      <c r="AL9" s="202"/>
      <c r="AP9" s="196" t="s">
        <v>95</v>
      </c>
      <c r="AR9" s="203" t="s">
        <v>89</v>
      </c>
      <c r="AV9" s="196" t="s">
        <v>102</v>
      </c>
      <c r="AX9" s="204">
        <v>180</v>
      </c>
      <c r="AY9" s="205">
        <v>18</v>
      </c>
      <c r="AZ9" s="205">
        <v>181</v>
      </c>
      <c r="BA9" s="206">
        <v>16</v>
      </c>
    </row>
    <row r="10" spans="1:53" x14ac:dyDescent="0.15">
      <c r="A10" s="188" t="s">
        <v>34</v>
      </c>
      <c r="B10" s="180" t="s">
        <v>346</v>
      </c>
      <c r="C10" s="180">
        <v>2018</v>
      </c>
      <c r="D10" s="222" t="s">
        <v>511</v>
      </c>
      <c r="E10" s="209" t="s">
        <v>219</v>
      </c>
      <c r="F10" s="209" t="s">
        <v>338</v>
      </c>
      <c r="G10" s="188" t="s">
        <v>36</v>
      </c>
      <c r="H10" s="180" t="s">
        <v>168</v>
      </c>
      <c r="I10" s="188" t="s">
        <v>153</v>
      </c>
      <c r="J10" s="188" t="s">
        <v>38</v>
      </c>
      <c r="K10" s="188" t="s">
        <v>154</v>
      </c>
      <c r="L10" s="180">
        <v>3</v>
      </c>
      <c r="N10" s="180">
        <v>1</v>
      </c>
      <c r="O10" s="180">
        <v>0.6</v>
      </c>
      <c r="P10" s="180">
        <v>0.6</v>
      </c>
      <c r="Q10" s="217">
        <f t="shared" si="0"/>
        <v>0.6</v>
      </c>
      <c r="R10" s="180">
        <v>14.5</v>
      </c>
      <c r="S10" s="180">
        <v>132</v>
      </c>
      <c r="T10" s="189">
        <f t="shared" si="1"/>
        <v>30</v>
      </c>
      <c r="U10" s="180">
        <v>138</v>
      </c>
      <c r="V10" s="189">
        <f t="shared" si="2"/>
        <v>4140</v>
      </c>
      <c r="W10" s="180">
        <v>5</v>
      </c>
      <c r="X10" s="188" t="s">
        <v>39</v>
      </c>
      <c r="Y10" s="188" t="s">
        <v>102</v>
      </c>
      <c r="Z10" s="188" t="s">
        <v>78</v>
      </c>
      <c r="AA10" s="188" t="s">
        <v>55</v>
      </c>
      <c r="AB10" s="188" t="s">
        <v>348</v>
      </c>
      <c r="AE10" s="195" t="s">
        <v>103</v>
      </c>
      <c r="AG10" s="224" t="s">
        <v>342</v>
      </c>
      <c r="AH10" s="215" t="s">
        <v>343</v>
      </c>
      <c r="AL10" s="207"/>
      <c r="AP10" s="196" t="s">
        <v>100</v>
      </c>
      <c r="AR10" s="203" t="s">
        <v>123</v>
      </c>
      <c r="AV10" s="196" t="s">
        <v>106</v>
      </c>
    </row>
    <row r="11" spans="1:53" x14ac:dyDescent="0.15">
      <c r="A11" s="188" t="s">
        <v>34</v>
      </c>
      <c r="B11" s="180" t="s">
        <v>346</v>
      </c>
      <c r="C11" s="180">
        <v>2018</v>
      </c>
      <c r="D11" s="222" t="s">
        <v>511</v>
      </c>
      <c r="E11" s="209" t="s">
        <v>297</v>
      </c>
      <c r="F11" s="209" t="s">
        <v>341</v>
      </c>
      <c r="G11" s="188" t="s">
        <v>36</v>
      </c>
      <c r="H11" s="180" t="s">
        <v>155</v>
      </c>
      <c r="I11" s="188" t="s">
        <v>153</v>
      </c>
      <c r="J11" s="188" t="s">
        <v>38</v>
      </c>
      <c r="K11" s="188" t="s">
        <v>154</v>
      </c>
      <c r="L11" s="188">
        <v>1</v>
      </c>
      <c r="N11" s="180">
        <v>1</v>
      </c>
      <c r="O11" s="180">
        <v>0.2</v>
      </c>
      <c r="P11" s="180">
        <v>0.45</v>
      </c>
      <c r="Q11" s="217">
        <f t="shared" si="0"/>
        <v>0.32500000000000001</v>
      </c>
      <c r="R11" s="180">
        <v>14.5</v>
      </c>
      <c r="S11" s="180">
        <v>115</v>
      </c>
      <c r="T11" s="189">
        <f t="shared" si="1"/>
        <v>30</v>
      </c>
      <c r="U11" s="180">
        <v>95</v>
      </c>
      <c r="V11" s="189">
        <f t="shared" si="2"/>
        <v>2850</v>
      </c>
      <c r="W11" s="180">
        <v>4</v>
      </c>
      <c r="X11" s="188" t="s">
        <v>46</v>
      </c>
      <c r="Y11" s="188" t="s">
        <v>78</v>
      </c>
      <c r="Z11" s="188" t="s">
        <v>102</v>
      </c>
      <c r="AA11" s="188" t="s">
        <v>90</v>
      </c>
      <c r="AB11" s="188" t="s">
        <v>348</v>
      </c>
      <c r="AE11" s="195" t="s">
        <v>65</v>
      </c>
      <c r="AG11" s="224" t="s">
        <v>177</v>
      </c>
      <c r="AH11" s="215" t="s">
        <v>344</v>
      </c>
      <c r="AL11" s="207"/>
      <c r="AP11" s="196" t="s">
        <v>104</v>
      </c>
      <c r="AR11" s="203" t="s">
        <v>87</v>
      </c>
      <c r="AV11" s="196" t="s">
        <v>69</v>
      </c>
    </row>
    <row r="12" spans="1:53" x14ac:dyDescent="0.15">
      <c r="A12" s="188" t="s">
        <v>34</v>
      </c>
      <c r="B12" s="180" t="s">
        <v>346</v>
      </c>
      <c r="C12" s="180">
        <v>2018</v>
      </c>
      <c r="D12" s="222" t="s">
        <v>512</v>
      </c>
      <c r="E12" s="209" t="s">
        <v>297</v>
      </c>
      <c r="F12" s="209" t="s">
        <v>341</v>
      </c>
      <c r="G12" s="188" t="s">
        <v>36</v>
      </c>
      <c r="H12" s="180" t="s">
        <v>155</v>
      </c>
      <c r="I12" s="188" t="s">
        <v>153</v>
      </c>
      <c r="J12" s="188" t="s">
        <v>38</v>
      </c>
      <c r="K12" s="188" t="s">
        <v>154</v>
      </c>
      <c r="L12" s="180">
        <v>2</v>
      </c>
      <c r="N12" s="180">
        <v>1</v>
      </c>
      <c r="O12" s="180">
        <v>0.6</v>
      </c>
      <c r="P12" s="180">
        <v>0.6</v>
      </c>
      <c r="Q12" s="217">
        <f t="shared" si="0"/>
        <v>0.6</v>
      </c>
      <c r="R12" s="180">
        <v>15.7</v>
      </c>
      <c r="S12" s="180">
        <v>114</v>
      </c>
      <c r="T12" s="189">
        <f t="shared" si="1"/>
        <v>30</v>
      </c>
      <c r="U12" s="180">
        <v>95</v>
      </c>
      <c r="V12" s="189">
        <f t="shared" si="2"/>
        <v>2850</v>
      </c>
      <c r="W12" s="180">
        <v>4</v>
      </c>
      <c r="X12" s="188" t="s">
        <v>46</v>
      </c>
      <c r="Y12" s="188" t="s">
        <v>78</v>
      </c>
      <c r="Z12" s="188" t="s">
        <v>102</v>
      </c>
      <c r="AA12" s="188" t="s">
        <v>90</v>
      </c>
      <c r="AB12" s="188" t="s">
        <v>348</v>
      </c>
      <c r="AE12" s="195" t="s">
        <v>70</v>
      </c>
      <c r="AG12" s="216"/>
      <c r="AH12" s="196"/>
      <c r="AL12" s="207"/>
      <c r="AP12" s="196" t="s">
        <v>67</v>
      </c>
      <c r="AR12" s="203" t="s">
        <v>124</v>
      </c>
      <c r="AV12" s="196" t="s">
        <v>72</v>
      </c>
    </row>
    <row r="13" spans="1:53" x14ac:dyDescent="0.15">
      <c r="A13" s="188" t="s">
        <v>34</v>
      </c>
      <c r="B13" s="180" t="s">
        <v>346</v>
      </c>
      <c r="C13" s="180">
        <v>2018</v>
      </c>
      <c r="D13" s="222" t="s">
        <v>513</v>
      </c>
      <c r="E13" s="209" t="s">
        <v>297</v>
      </c>
      <c r="F13" s="209" t="s">
        <v>341</v>
      </c>
      <c r="G13" s="188" t="s">
        <v>36</v>
      </c>
      <c r="H13" s="180" t="s">
        <v>155</v>
      </c>
      <c r="I13" s="188" t="s">
        <v>153</v>
      </c>
      <c r="J13" s="188" t="s">
        <v>38</v>
      </c>
      <c r="K13" s="188" t="s">
        <v>154</v>
      </c>
      <c r="L13" s="180">
        <v>3</v>
      </c>
      <c r="N13" s="180">
        <v>1</v>
      </c>
      <c r="O13" s="180">
        <v>0.6</v>
      </c>
      <c r="P13" s="180">
        <v>0.55000000000000004</v>
      </c>
      <c r="Q13" s="217">
        <f t="shared" si="0"/>
        <v>0.57499999999999996</v>
      </c>
      <c r="R13" s="180">
        <v>14.5</v>
      </c>
      <c r="S13" s="180">
        <v>112</v>
      </c>
      <c r="T13" s="189">
        <f t="shared" si="1"/>
        <v>33</v>
      </c>
      <c r="U13" s="180">
        <v>95</v>
      </c>
      <c r="V13" s="189">
        <f t="shared" si="2"/>
        <v>3135</v>
      </c>
      <c r="W13" s="180">
        <v>4</v>
      </c>
      <c r="X13" s="188" t="s">
        <v>46</v>
      </c>
      <c r="Y13" s="188" t="s">
        <v>78</v>
      </c>
      <c r="Z13" s="188" t="s">
        <v>102</v>
      </c>
      <c r="AA13" s="188" t="s">
        <v>90</v>
      </c>
      <c r="AB13" s="188" t="s">
        <v>348</v>
      </c>
      <c r="AE13" s="195" t="s">
        <v>73</v>
      </c>
      <c r="AG13" s="225"/>
      <c r="AH13" s="201"/>
      <c r="AP13" s="196" t="s">
        <v>71</v>
      </c>
      <c r="AR13" s="203" t="s">
        <v>103</v>
      </c>
      <c r="AV13" s="196" t="s">
        <v>75</v>
      </c>
    </row>
    <row r="14" spans="1:53" x14ac:dyDescent="0.15">
      <c r="A14" s="188" t="s">
        <v>34</v>
      </c>
      <c r="B14" s="180" t="s">
        <v>346</v>
      </c>
      <c r="C14" s="180">
        <v>2018</v>
      </c>
      <c r="D14" s="222" t="s">
        <v>514</v>
      </c>
      <c r="E14" s="209" t="s">
        <v>342</v>
      </c>
      <c r="F14" s="209" t="s">
        <v>343</v>
      </c>
      <c r="G14" s="188" t="s">
        <v>36</v>
      </c>
      <c r="H14" s="180" t="s">
        <v>155</v>
      </c>
      <c r="I14" s="188" t="s">
        <v>153</v>
      </c>
      <c r="J14" s="188" t="s">
        <v>38</v>
      </c>
      <c r="K14" s="188" t="s">
        <v>154</v>
      </c>
      <c r="L14" s="188">
        <v>1</v>
      </c>
      <c r="N14" s="180">
        <v>1</v>
      </c>
      <c r="O14" s="180">
        <v>0.55000000000000004</v>
      </c>
      <c r="P14" s="180">
        <v>0.55000000000000004</v>
      </c>
      <c r="Q14" s="217">
        <f t="shared" si="0"/>
        <v>0.55000000000000004</v>
      </c>
      <c r="R14" s="180">
        <v>15.4</v>
      </c>
      <c r="S14" s="180">
        <v>133</v>
      </c>
      <c r="T14" s="189">
        <f t="shared" si="1"/>
        <v>30</v>
      </c>
      <c r="U14" s="180">
        <v>136</v>
      </c>
      <c r="V14" s="189">
        <f t="shared" si="2"/>
        <v>4080</v>
      </c>
      <c r="W14" s="180">
        <v>2</v>
      </c>
      <c r="X14" s="188" t="s">
        <v>46</v>
      </c>
      <c r="Y14" s="188" t="s">
        <v>69</v>
      </c>
      <c r="Z14" s="188" t="s">
        <v>90</v>
      </c>
      <c r="AA14" s="188" t="s">
        <v>47</v>
      </c>
      <c r="AB14" s="188" t="s">
        <v>348</v>
      </c>
      <c r="AE14" s="195" t="s">
        <v>76</v>
      </c>
      <c r="AG14" s="226"/>
      <c r="AL14" s="219"/>
      <c r="AP14" s="196" t="s">
        <v>74</v>
      </c>
      <c r="AR14" s="203" t="s">
        <v>125</v>
      </c>
      <c r="AV14" s="196" t="s">
        <v>78</v>
      </c>
    </row>
    <row r="15" spans="1:53" x14ac:dyDescent="0.15">
      <c r="A15" s="188" t="s">
        <v>34</v>
      </c>
      <c r="B15" s="180" t="s">
        <v>346</v>
      </c>
      <c r="C15" s="180">
        <v>2018</v>
      </c>
      <c r="D15" s="222" t="s">
        <v>514</v>
      </c>
      <c r="E15" s="209" t="s">
        <v>342</v>
      </c>
      <c r="F15" s="209" t="s">
        <v>343</v>
      </c>
      <c r="G15" s="188" t="s">
        <v>36</v>
      </c>
      <c r="H15" s="180" t="s">
        <v>155</v>
      </c>
      <c r="I15" s="188" t="s">
        <v>153</v>
      </c>
      <c r="J15" s="188" t="s">
        <v>38</v>
      </c>
      <c r="K15" s="188" t="s">
        <v>154</v>
      </c>
      <c r="L15" s="180">
        <v>2</v>
      </c>
      <c r="N15" s="180">
        <v>1</v>
      </c>
      <c r="O15" s="180">
        <v>0.65</v>
      </c>
      <c r="P15" s="180">
        <v>0.75</v>
      </c>
      <c r="Q15" s="217">
        <f t="shared" si="0"/>
        <v>0.7</v>
      </c>
      <c r="R15" s="180">
        <v>14.1</v>
      </c>
      <c r="S15" s="180">
        <v>137</v>
      </c>
      <c r="T15" s="189">
        <f t="shared" si="1"/>
        <v>30</v>
      </c>
      <c r="U15" s="180">
        <v>136</v>
      </c>
      <c r="V15" s="189">
        <f t="shared" si="2"/>
        <v>4080</v>
      </c>
      <c r="W15" s="180">
        <v>2</v>
      </c>
      <c r="X15" s="188" t="s">
        <v>46</v>
      </c>
      <c r="Y15" s="188" t="s">
        <v>69</v>
      </c>
      <c r="Z15" s="188" t="s">
        <v>90</v>
      </c>
      <c r="AA15" s="188" t="s">
        <v>47</v>
      </c>
      <c r="AB15" s="188" t="s">
        <v>348</v>
      </c>
      <c r="AE15" s="195" t="s">
        <v>79</v>
      </c>
      <c r="AL15" s="227"/>
      <c r="AP15" s="196" t="s">
        <v>77</v>
      </c>
      <c r="AR15" s="203" t="s">
        <v>94</v>
      </c>
      <c r="AV15" s="196" t="s">
        <v>107</v>
      </c>
    </row>
    <row r="16" spans="1:53" x14ac:dyDescent="0.15">
      <c r="A16" s="188" t="s">
        <v>34</v>
      </c>
      <c r="B16" s="180" t="s">
        <v>346</v>
      </c>
      <c r="C16" s="180">
        <v>2018</v>
      </c>
      <c r="D16" s="222" t="s">
        <v>515</v>
      </c>
      <c r="E16" s="209" t="s">
        <v>342</v>
      </c>
      <c r="F16" s="209" t="s">
        <v>343</v>
      </c>
      <c r="G16" s="188" t="s">
        <v>36</v>
      </c>
      <c r="H16" s="180" t="s">
        <v>155</v>
      </c>
      <c r="I16" s="188" t="s">
        <v>153</v>
      </c>
      <c r="J16" s="188" t="s">
        <v>38</v>
      </c>
      <c r="K16" s="188" t="s">
        <v>154</v>
      </c>
      <c r="L16" s="180">
        <v>3</v>
      </c>
      <c r="N16" s="180">
        <v>1</v>
      </c>
      <c r="O16" s="180">
        <v>0.55000000000000004</v>
      </c>
      <c r="P16" s="180">
        <v>0.6</v>
      </c>
      <c r="Q16" s="217">
        <f t="shared" si="0"/>
        <v>0.57499999999999996</v>
      </c>
      <c r="R16" s="180">
        <v>15.2</v>
      </c>
      <c r="S16" s="180">
        <v>136</v>
      </c>
      <c r="T16" s="189">
        <f t="shared" si="1"/>
        <v>30</v>
      </c>
      <c r="U16" s="180">
        <v>136</v>
      </c>
      <c r="V16" s="189">
        <f t="shared" si="2"/>
        <v>4080</v>
      </c>
      <c r="W16" s="180">
        <v>2</v>
      </c>
      <c r="X16" s="188" t="s">
        <v>46</v>
      </c>
      <c r="Y16" s="188" t="s">
        <v>69</v>
      </c>
      <c r="Z16" s="188" t="s">
        <v>90</v>
      </c>
      <c r="AA16" s="188" t="s">
        <v>47</v>
      </c>
      <c r="AB16" s="188" t="s">
        <v>348</v>
      </c>
      <c r="AE16" s="195" t="s">
        <v>82</v>
      </c>
      <c r="AL16" s="227"/>
      <c r="AP16" s="196" t="s">
        <v>80</v>
      </c>
      <c r="AR16" s="210" t="s">
        <v>63</v>
      </c>
      <c r="AV16" s="196" t="s">
        <v>84</v>
      </c>
    </row>
    <row r="17" spans="1:48" x14ac:dyDescent="0.15">
      <c r="A17" s="188" t="s">
        <v>34</v>
      </c>
      <c r="B17" s="180" t="s">
        <v>346</v>
      </c>
      <c r="C17" s="180">
        <v>2018</v>
      </c>
      <c r="D17" s="222" t="s">
        <v>515</v>
      </c>
      <c r="E17" s="209" t="s">
        <v>342</v>
      </c>
      <c r="F17" s="209" t="s">
        <v>343</v>
      </c>
      <c r="G17" s="188" t="s">
        <v>36</v>
      </c>
      <c r="H17" s="180" t="s">
        <v>155</v>
      </c>
      <c r="I17" s="188" t="s">
        <v>153</v>
      </c>
      <c r="J17" s="188" t="s">
        <v>38</v>
      </c>
      <c r="K17" s="188" t="s">
        <v>154</v>
      </c>
      <c r="L17" s="188">
        <v>1</v>
      </c>
      <c r="N17" s="180">
        <v>5</v>
      </c>
      <c r="O17" s="180">
        <v>0.45</v>
      </c>
      <c r="P17" s="180">
        <v>0.55000000000000004</v>
      </c>
      <c r="Q17" s="217">
        <f t="shared" si="0"/>
        <v>0.5</v>
      </c>
      <c r="R17" s="180">
        <v>14.3</v>
      </c>
      <c r="S17" s="180">
        <v>79</v>
      </c>
      <c r="T17" s="189">
        <f t="shared" si="1"/>
        <v>39</v>
      </c>
      <c r="U17" s="180">
        <v>322</v>
      </c>
      <c r="V17" s="189">
        <f t="shared" si="2"/>
        <v>2511.6000000000004</v>
      </c>
      <c r="W17" s="180">
        <v>2</v>
      </c>
      <c r="X17" s="188" t="s">
        <v>46</v>
      </c>
      <c r="Y17" s="188" t="s">
        <v>69</v>
      </c>
      <c r="Z17" s="188" t="s">
        <v>90</v>
      </c>
      <c r="AA17" s="188" t="s">
        <v>47</v>
      </c>
      <c r="AB17" s="188" t="s">
        <v>348</v>
      </c>
      <c r="AE17" s="195" t="s">
        <v>85</v>
      </c>
      <c r="AL17" s="227"/>
      <c r="AP17" s="211" t="s">
        <v>110</v>
      </c>
      <c r="AR17" s="210" t="s">
        <v>96</v>
      </c>
      <c r="AV17" s="196" t="s">
        <v>86</v>
      </c>
    </row>
    <row r="18" spans="1:48" x14ac:dyDescent="0.15">
      <c r="A18" s="188" t="s">
        <v>34</v>
      </c>
      <c r="B18" s="180" t="s">
        <v>346</v>
      </c>
      <c r="C18" s="180">
        <v>2018</v>
      </c>
      <c r="D18" s="222" t="s">
        <v>515</v>
      </c>
      <c r="E18" s="209" t="s">
        <v>342</v>
      </c>
      <c r="F18" s="209" t="s">
        <v>343</v>
      </c>
      <c r="G18" s="188" t="s">
        <v>36</v>
      </c>
      <c r="H18" s="180" t="s">
        <v>155</v>
      </c>
      <c r="I18" s="188" t="s">
        <v>153</v>
      </c>
      <c r="J18" s="188" t="s">
        <v>38</v>
      </c>
      <c r="K18" s="188" t="s">
        <v>154</v>
      </c>
      <c r="L18" s="180">
        <v>2</v>
      </c>
      <c r="N18" s="180">
        <v>5</v>
      </c>
      <c r="O18" s="180">
        <v>0.2</v>
      </c>
      <c r="P18" s="180">
        <v>0.2</v>
      </c>
      <c r="Q18" s="217">
        <f t="shared" si="0"/>
        <v>0.2</v>
      </c>
      <c r="R18" s="180">
        <v>14.2</v>
      </c>
      <c r="S18" s="180">
        <v>82</v>
      </c>
      <c r="T18" s="189">
        <f t="shared" si="1"/>
        <v>39</v>
      </c>
      <c r="U18" s="180">
        <v>322</v>
      </c>
      <c r="V18" s="189">
        <f t="shared" si="2"/>
        <v>2511.6000000000004</v>
      </c>
      <c r="W18" s="180">
        <v>2</v>
      </c>
      <c r="X18" s="188" t="s">
        <v>46</v>
      </c>
      <c r="Y18" s="188" t="s">
        <v>69</v>
      </c>
      <c r="Z18" s="188" t="s">
        <v>90</v>
      </c>
      <c r="AA18" s="188" t="s">
        <v>47</v>
      </c>
      <c r="AB18" s="188" t="s">
        <v>348</v>
      </c>
      <c r="AE18" s="195" t="s">
        <v>87</v>
      </c>
      <c r="AL18" s="188"/>
      <c r="AP18" s="211" t="s">
        <v>111</v>
      </c>
      <c r="AR18" s="210" t="s">
        <v>101</v>
      </c>
      <c r="AV18" s="196" t="s">
        <v>88</v>
      </c>
    </row>
    <row r="19" spans="1:48" x14ac:dyDescent="0.15">
      <c r="A19" s="188" t="s">
        <v>34</v>
      </c>
      <c r="B19" s="180" t="s">
        <v>346</v>
      </c>
      <c r="C19" s="180">
        <v>2018</v>
      </c>
      <c r="D19" s="222" t="s">
        <v>512</v>
      </c>
      <c r="E19" s="209" t="s">
        <v>342</v>
      </c>
      <c r="F19" s="209" t="s">
        <v>343</v>
      </c>
      <c r="G19" s="188" t="s">
        <v>36</v>
      </c>
      <c r="H19" s="180" t="s">
        <v>155</v>
      </c>
      <c r="I19" s="188" t="s">
        <v>153</v>
      </c>
      <c r="J19" s="188" t="s">
        <v>38</v>
      </c>
      <c r="K19" s="188" t="s">
        <v>154</v>
      </c>
      <c r="L19" s="180">
        <v>3</v>
      </c>
      <c r="N19" s="180">
        <v>5</v>
      </c>
      <c r="O19" s="180">
        <v>0.2</v>
      </c>
      <c r="P19" s="180">
        <v>0.5</v>
      </c>
      <c r="Q19" s="217">
        <f t="shared" si="0"/>
        <v>0.35</v>
      </c>
      <c r="R19" s="180">
        <v>14.5</v>
      </c>
      <c r="S19" s="180">
        <v>80</v>
      </c>
      <c r="T19" s="189">
        <f t="shared" si="1"/>
        <v>39</v>
      </c>
      <c r="U19" s="180">
        <v>322</v>
      </c>
      <c r="V19" s="189">
        <f t="shared" si="2"/>
        <v>2511.6000000000004</v>
      </c>
      <c r="W19" s="180">
        <v>2</v>
      </c>
      <c r="X19" s="188" t="s">
        <v>46</v>
      </c>
      <c r="Y19" s="188" t="s">
        <v>69</v>
      </c>
      <c r="Z19" s="188" t="s">
        <v>90</v>
      </c>
      <c r="AA19" s="188" t="s">
        <v>47</v>
      </c>
      <c r="AB19" s="188" t="s">
        <v>348</v>
      </c>
      <c r="AE19" s="208" t="s">
        <v>89</v>
      </c>
      <c r="AP19" s="211" t="s">
        <v>112</v>
      </c>
      <c r="AR19" s="203" t="s">
        <v>126</v>
      </c>
      <c r="AV19" s="196" t="s">
        <v>90</v>
      </c>
    </row>
    <row r="20" spans="1:48" x14ac:dyDescent="0.15">
      <c r="A20" s="188" t="s">
        <v>34</v>
      </c>
      <c r="B20" s="180" t="s">
        <v>346</v>
      </c>
      <c r="C20" s="180">
        <v>2018</v>
      </c>
      <c r="D20" s="222" t="s">
        <v>512</v>
      </c>
      <c r="E20" s="209" t="s">
        <v>342</v>
      </c>
      <c r="F20" s="209" t="s">
        <v>343</v>
      </c>
      <c r="G20" s="188" t="s">
        <v>36</v>
      </c>
      <c r="H20" s="180" t="s">
        <v>168</v>
      </c>
      <c r="I20" s="188" t="s">
        <v>153</v>
      </c>
      <c r="J20" s="188" t="s">
        <v>38</v>
      </c>
      <c r="K20" s="188" t="s">
        <v>154</v>
      </c>
      <c r="L20" s="188">
        <v>1</v>
      </c>
      <c r="N20" s="180">
        <v>1</v>
      </c>
      <c r="O20" s="180">
        <v>0.2</v>
      </c>
      <c r="P20" s="180">
        <v>0.2</v>
      </c>
      <c r="Q20" s="217">
        <f t="shared" si="0"/>
        <v>0.2</v>
      </c>
      <c r="R20" s="180">
        <v>15.5</v>
      </c>
      <c r="S20" s="180">
        <v>145</v>
      </c>
      <c r="T20" s="189">
        <f t="shared" si="1"/>
        <v>30</v>
      </c>
      <c r="U20" s="180">
        <v>136</v>
      </c>
      <c r="V20" s="189">
        <f t="shared" si="2"/>
        <v>4080</v>
      </c>
      <c r="W20" s="180">
        <v>1</v>
      </c>
      <c r="X20" s="188" t="s">
        <v>46</v>
      </c>
      <c r="Y20" s="188" t="s">
        <v>69</v>
      </c>
      <c r="Z20" s="188" t="s">
        <v>90</v>
      </c>
      <c r="AA20" s="188" t="s">
        <v>47</v>
      </c>
      <c r="AB20" s="188" t="s">
        <v>348</v>
      </c>
      <c r="AP20" s="211" t="s">
        <v>113</v>
      </c>
      <c r="AR20" s="210" t="s">
        <v>105</v>
      </c>
      <c r="AV20" s="200" t="s">
        <v>369</v>
      </c>
    </row>
    <row r="21" spans="1:48" x14ac:dyDescent="0.15">
      <c r="A21" s="188" t="s">
        <v>34</v>
      </c>
      <c r="B21" s="180" t="s">
        <v>346</v>
      </c>
      <c r="C21" s="180">
        <v>2018</v>
      </c>
      <c r="D21" s="222" t="s">
        <v>512</v>
      </c>
      <c r="E21" s="209" t="s">
        <v>342</v>
      </c>
      <c r="F21" s="209" t="s">
        <v>343</v>
      </c>
      <c r="G21" s="188" t="s">
        <v>36</v>
      </c>
      <c r="H21" s="180" t="s">
        <v>168</v>
      </c>
      <c r="I21" s="188" t="s">
        <v>153</v>
      </c>
      <c r="J21" s="188" t="s">
        <v>38</v>
      </c>
      <c r="K21" s="188" t="s">
        <v>154</v>
      </c>
      <c r="L21" s="180">
        <v>2</v>
      </c>
      <c r="N21" s="180">
        <v>1</v>
      </c>
      <c r="O21" s="180">
        <v>0.2</v>
      </c>
      <c r="P21" s="180">
        <v>0.2</v>
      </c>
      <c r="Q21" s="217">
        <f t="shared" si="0"/>
        <v>0.2</v>
      </c>
      <c r="R21" s="180">
        <v>15.2</v>
      </c>
      <c r="S21" s="180">
        <v>123</v>
      </c>
      <c r="T21" s="189">
        <f t="shared" si="1"/>
        <v>30</v>
      </c>
      <c r="U21" s="180">
        <v>136</v>
      </c>
      <c r="V21" s="189">
        <f t="shared" si="2"/>
        <v>4080</v>
      </c>
      <c r="W21" s="180">
        <v>1</v>
      </c>
      <c r="X21" s="188" t="s">
        <v>46</v>
      </c>
      <c r="Y21" s="188" t="s">
        <v>69</v>
      </c>
      <c r="Z21" s="188" t="s">
        <v>90</v>
      </c>
      <c r="AA21" s="188" t="s">
        <v>47</v>
      </c>
      <c r="AB21" s="188" t="s">
        <v>348</v>
      </c>
      <c r="AP21" s="211" t="s">
        <v>114</v>
      </c>
      <c r="AR21" s="210" t="s">
        <v>68</v>
      </c>
      <c r="AV21" s="200" t="s">
        <v>370</v>
      </c>
    </row>
    <row r="22" spans="1:48" x14ac:dyDescent="0.15">
      <c r="A22" s="188" t="s">
        <v>34</v>
      </c>
      <c r="B22" s="180" t="s">
        <v>346</v>
      </c>
      <c r="C22" s="180">
        <v>2018</v>
      </c>
      <c r="D22" s="222" t="s">
        <v>512</v>
      </c>
      <c r="E22" s="209" t="s">
        <v>342</v>
      </c>
      <c r="F22" s="209" t="s">
        <v>343</v>
      </c>
      <c r="G22" s="188" t="s">
        <v>36</v>
      </c>
      <c r="H22" s="180" t="s">
        <v>168</v>
      </c>
      <c r="I22" s="188" t="s">
        <v>153</v>
      </c>
      <c r="J22" s="188" t="s">
        <v>38</v>
      </c>
      <c r="K22" s="188" t="s">
        <v>154</v>
      </c>
      <c r="L22" s="180">
        <v>3</v>
      </c>
      <c r="N22" s="180">
        <v>1</v>
      </c>
      <c r="O22" s="180">
        <v>0.45</v>
      </c>
      <c r="P22" s="180">
        <v>0.2</v>
      </c>
      <c r="Q22" s="217">
        <f t="shared" si="0"/>
        <v>0.32500000000000001</v>
      </c>
      <c r="R22" s="180">
        <v>15.2</v>
      </c>
      <c r="S22" s="180">
        <v>134</v>
      </c>
      <c r="T22" s="189">
        <f t="shared" si="1"/>
        <v>30</v>
      </c>
      <c r="U22" s="180">
        <v>136</v>
      </c>
      <c r="V22" s="189">
        <f t="shared" si="2"/>
        <v>4080</v>
      </c>
      <c r="W22" s="180">
        <v>1</v>
      </c>
      <c r="X22" s="188" t="s">
        <v>46</v>
      </c>
      <c r="Y22" s="188" t="s">
        <v>69</v>
      </c>
      <c r="Z22" s="188" t="s">
        <v>90</v>
      </c>
      <c r="AA22" s="188" t="s">
        <v>47</v>
      </c>
      <c r="AB22" s="188" t="s">
        <v>348</v>
      </c>
      <c r="AP22" s="211" t="s">
        <v>115</v>
      </c>
      <c r="AR22" s="210" t="s">
        <v>83</v>
      </c>
      <c r="AV22" s="200"/>
    </row>
    <row r="23" spans="1:48" x14ac:dyDescent="0.15">
      <c r="A23" s="188" t="s">
        <v>34</v>
      </c>
      <c r="B23" s="180" t="s">
        <v>346</v>
      </c>
      <c r="C23" s="180">
        <v>2018</v>
      </c>
      <c r="D23" s="222" t="s">
        <v>512</v>
      </c>
      <c r="E23" s="209" t="s">
        <v>339</v>
      </c>
      <c r="F23" s="209" t="s">
        <v>340</v>
      </c>
      <c r="G23" s="188" t="s">
        <v>36</v>
      </c>
      <c r="H23" s="180" t="s">
        <v>155</v>
      </c>
      <c r="I23" s="188" t="s">
        <v>153</v>
      </c>
      <c r="J23" s="188" t="s">
        <v>38</v>
      </c>
      <c r="K23" s="188" t="s">
        <v>154</v>
      </c>
      <c r="L23" s="188">
        <v>1</v>
      </c>
      <c r="N23" s="180">
        <v>1</v>
      </c>
      <c r="O23" s="180">
        <v>0.8</v>
      </c>
      <c r="P23" s="180">
        <v>0.85</v>
      </c>
      <c r="Q23" s="217">
        <f t="shared" si="0"/>
        <v>0.82499999999999996</v>
      </c>
      <c r="R23" s="180">
        <v>14.6</v>
      </c>
      <c r="S23" s="180">
        <v>138</v>
      </c>
      <c r="T23" s="189">
        <f t="shared" si="1"/>
        <v>30</v>
      </c>
      <c r="U23" s="180">
        <v>105</v>
      </c>
      <c r="V23" s="189">
        <f t="shared" si="2"/>
        <v>3150</v>
      </c>
      <c r="W23" s="180">
        <v>2</v>
      </c>
      <c r="X23" s="188" t="s">
        <v>46</v>
      </c>
      <c r="Y23" s="188" t="s">
        <v>78</v>
      </c>
      <c r="Z23" s="188" t="s">
        <v>69</v>
      </c>
      <c r="AA23" s="188" t="s">
        <v>102</v>
      </c>
      <c r="AB23" s="188" t="s">
        <v>348</v>
      </c>
      <c r="AP23" s="211" t="s">
        <v>117</v>
      </c>
      <c r="AR23" s="210" t="s">
        <v>298</v>
      </c>
    </row>
    <row r="24" spans="1:48" x14ac:dyDescent="0.15">
      <c r="A24" s="188" t="s">
        <v>34</v>
      </c>
      <c r="B24" s="180" t="s">
        <v>346</v>
      </c>
      <c r="C24" s="180">
        <v>2018</v>
      </c>
      <c r="D24" s="222" t="s">
        <v>512</v>
      </c>
      <c r="E24" s="209" t="s">
        <v>339</v>
      </c>
      <c r="F24" s="209" t="s">
        <v>340</v>
      </c>
      <c r="G24" s="188" t="s">
        <v>36</v>
      </c>
      <c r="H24" s="180" t="s">
        <v>155</v>
      </c>
      <c r="I24" s="188" t="s">
        <v>153</v>
      </c>
      <c r="J24" s="188" t="s">
        <v>38</v>
      </c>
      <c r="K24" s="188" t="s">
        <v>154</v>
      </c>
      <c r="L24" s="180">
        <v>2</v>
      </c>
      <c r="N24" s="180">
        <v>1</v>
      </c>
      <c r="O24" s="180">
        <v>0.95</v>
      </c>
      <c r="P24" s="180">
        <v>1</v>
      </c>
      <c r="Q24" s="217">
        <f t="shared" si="0"/>
        <v>0.97499999999999998</v>
      </c>
      <c r="R24" s="180">
        <v>14.8</v>
      </c>
      <c r="S24" s="180">
        <v>140</v>
      </c>
      <c r="T24" s="189">
        <f t="shared" si="1"/>
        <v>30</v>
      </c>
      <c r="U24" s="180">
        <v>105</v>
      </c>
      <c r="V24" s="189">
        <f t="shared" si="2"/>
        <v>3150</v>
      </c>
      <c r="W24" s="180">
        <v>2</v>
      </c>
      <c r="X24" s="188" t="s">
        <v>46</v>
      </c>
      <c r="Y24" s="188" t="s">
        <v>78</v>
      </c>
      <c r="Z24" s="188" t="s">
        <v>69</v>
      </c>
      <c r="AA24" s="188" t="s">
        <v>102</v>
      </c>
      <c r="AB24" s="188" t="s">
        <v>348</v>
      </c>
      <c r="AP24" s="211" t="s">
        <v>118</v>
      </c>
    </row>
    <row r="25" spans="1:48" x14ac:dyDescent="0.15">
      <c r="A25" s="188" t="s">
        <v>34</v>
      </c>
      <c r="B25" s="180" t="s">
        <v>346</v>
      </c>
      <c r="C25" s="180">
        <v>2018</v>
      </c>
      <c r="D25" s="222" t="s">
        <v>512</v>
      </c>
      <c r="E25" s="209" t="s">
        <v>339</v>
      </c>
      <c r="F25" s="209" t="s">
        <v>340</v>
      </c>
      <c r="G25" s="188" t="s">
        <v>36</v>
      </c>
      <c r="H25" s="180" t="s">
        <v>155</v>
      </c>
      <c r="I25" s="188" t="s">
        <v>153</v>
      </c>
      <c r="J25" s="188" t="s">
        <v>38</v>
      </c>
      <c r="K25" s="188" t="s">
        <v>154</v>
      </c>
      <c r="L25" s="180">
        <v>3</v>
      </c>
      <c r="N25" s="180">
        <v>1</v>
      </c>
      <c r="O25" s="180">
        <v>0.8</v>
      </c>
      <c r="P25" s="180">
        <v>0.75</v>
      </c>
      <c r="Q25" s="217">
        <f t="shared" si="0"/>
        <v>0.77500000000000002</v>
      </c>
      <c r="R25" s="180">
        <v>13.7</v>
      </c>
      <c r="S25" s="180">
        <v>148</v>
      </c>
      <c r="T25" s="189">
        <f t="shared" si="1"/>
        <v>30</v>
      </c>
      <c r="U25" s="180">
        <v>105</v>
      </c>
      <c r="V25" s="189">
        <f t="shared" si="2"/>
        <v>3150</v>
      </c>
      <c r="W25" s="180">
        <v>2</v>
      </c>
      <c r="X25" s="188" t="s">
        <v>46</v>
      </c>
      <c r="Y25" s="188" t="s">
        <v>78</v>
      </c>
      <c r="Z25" s="188" t="s">
        <v>69</v>
      </c>
      <c r="AA25" s="188" t="s">
        <v>102</v>
      </c>
      <c r="AB25" s="188" t="s">
        <v>348</v>
      </c>
    </row>
    <row r="26" spans="1:48" x14ac:dyDescent="0.15">
      <c r="A26" s="188" t="s">
        <v>34</v>
      </c>
      <c r="B26" s="180" t="s">
        <v>346</v>
      </c>
      <c r="C26" s="180">
        <v>2018</v>
      </c>
      <c r="D26" s="222" t="s">
        <v>512</v>
      </c>
      <c r="E26" s="209" t="s">
        <v>339</v>
      </c>
      <c r="F26" s="209" t="s">
        <v>340</v>
      </c>
      <c r="G26" s="188" t="s">
        <v>36</v>
      </c>
      <c r="H26" s="180" t="s">
        <v>168</v>
      </c>
      <c r="I26" s="188" t="s">
        <v>153</v>
      </c>
      <c r="J26" s="188" t="s">
        <v>38</v>
      </c>
      <c r="K26" s="188" t="s">
        <v>154</v>
      </c>
      <c r="L26" s="188">
        <v>1</v>
      </c>
      <c r="N26" s="180">
        <v>1</v>
      </c>
      <c r="O26" s="180">
        <v>0.6</v>
      </c>
      <c r="P26" s="180">
        <v>0.6</v>
      </c>
      <c r="Q26" s="217">
        <f t="shared" si="0"/>
        <v>0.6</v>
      </c>
      <c r="R26" s="180">
        <v>14.7</v>
      </c>
      <c r="S26" s="180">
        <v>140</v>
      </c>
      <c r="T26" s="189">
        <f t="shared" si="1"/>
        <v>30</v>
      </c>
      <c r="U26" s="180">
        <v>105</v>
      </c>
      <c r="V26" s="189">
        <f t="shared" si="2"/>
        <v>3150</v>
      </c>
      <c r="W26" s="180">
        <v>2</v>
      </c>
      <c r="X26" s="188" t="s">
        <v>46</v>
      </c>
      <c r="Y26" s="188" t="s">
        <v>78</v>
      </c>
      <c r="Z26" s="188" t="s">
        <v>69</v>
      </c>
      <c r="AA26" s="188" t="s">
        <v>102</v>
      </c>
      <c r="AB26" s="188" t="s">
        <v>348</v>
      </c>
    </row>
    <row r="27" spans="1:48" x14ac:dyDescent="0.15">
      <c r="A27" s="188" t="s">
        <v>34</v>
      </c>
      <c r="B27" s="180" t="s">
        <v>346</v>
      </c>
      <c r="C27" s="180">
        <v>2018</v>
      </c>
      <c r="D27" s="222" t="s">
        <v>512</v>
      </c>
      <c r="E27" s="209" t="s">
        <v>339</v>
      </c>
      <c r="F27" s="209" t="s">
        <v>340</v>
      </c>
      <c r="G27" s="188" t="s">
        <v>36</v>
      </c>
      <c r="H27" s="180" t="s">
        <v>168</v>
      </c>
      <c r="I27" s="188" t="s">
        <v>153</v>
      </c>
      <c r="J27" s="188" t="s">
        <v>38</v>
      </c>
      <c r="K27" s="188" t="s">
        <v>154</v>
      </c>
      <c r="L27" s="180">
        <v>2</v>
      </c>
      <c r="N27" s="180">
        <v>1</v>
      </c>
      <c r="O27" s="180">
        <v>0.6</v>
      </c>
      <c r="P27" s="180">
        <v>0.75</v>
      </c>
      <c r="Q27" s="217">
        <f t="shared" si="0"/>
        <v>0.67500000000000004</v>
      </c>
      <c r="R27" s="180">
        <v>15.6</v>
      </c>
      <c r="S27" s="180">
        <v>139</v>
      </c>
      <c r="T27" s="189">
        <f t="shared" si="1"/>
        <v>30</v>
      </c>
      <c r="U27" s="180">
        <v>105</v>
      </c>
      <c r="V27" s="189">
        <f t="shared" si="2"/>
        <v>3150</v>
      </c>
      <c r="W27" s="180">
        <v>2</v>
      </c>
      <c r="X27" s="188" t="s">
        <v>46</v>
      </c>
      <c r="Y27" s="188" t="s">
        <v>78</v>
      </c>
      <c r="Z27" s="188" t="s">
        <v>69</v>
      </c>
      <c r="AA27" s="188" t="s">
        <v>102</v>
      </c>
      <c r="AB27" s="188" t="s">
        <v>348</v>
      </c>
    </row>
    <row r="28" spans="1:48" x14ac:dyDescent="0.15">
      <c r="A28" s="188" t="s">
        <v>34</v>
      </c>
      <c r="B28" s="180" t="s">
        <v>346</v>
      </c>
      <c r="C28" s="180">
        <v>2018</v>
      </c>
      <c r="D28" s="222" t="s">
        <v>512</v>
      </c>
      <c r="E28" s="209" t="s">
        <v>339</v>
      </c>
      <c r="F28" s="209" t="s">
        <v>340</v>
      </c>
      <c r="G28" s="188" t="s">
        <v>36</v>
      </c>
      <c r="H28" s="180" t="s">
        <v>168</v>
      </c>
      <c r="I28" s="188" t="s">
        <v>153</v>
      </c>
      <c r="J28" s="188" t="s">
        <v>38</v>
      </c>
      <c r="K28" s="188" t="s">
        <v>154</v>
      </c>
      <c r="L28" s="180">
        <v>3</v>
      </c>
      <c r="N28" s="180">
        <v>1</v>
      </c>
      <c r="O28" s="180">
        <v>0.65</v>
      </c>
      <c r="P28" s="180">
        <v>0.65</v>
      </c>
      <c r="Q28" s="217">
        <f t="shared" si="0"/>
        <v>0.65</v>
      </c>
      <c r="R28" s="180">
        <v>15.2</v>
      </c>
      <c r="S28" s="180">
        <v>141</v>
      </c>
      <c r="T28" s="189">
        <f t="shared" si="1"/>
        <v>30</v>
      </c>
      <c r="U28" s="180">
        <v>105</v>
      </c>
      <c r="V28" s="189">
        <f t="shared" si="2"/>
        <v>3150</v>
      </c>
      <c r="W28" s="180">
        <v>2</v>
      </c>
      <c r="X28" s="188" t="s">
        <v>46</v>
      </c>
      <c r="Y28" s="188" t="s">
        <v>78</v>
      </c>
      <c r="Z28" s="188" t="s">
        <v>69</v>
      </c>
      <c r="AA28" s="188" t="s">
        <v>102</v>
      </c>
      <c r="AB28" s="188" t="s">
        <v>348</v>
      </c>
    </row>
    <row r="29" spans="1:48" x14ac:dyDescent="0.15">
      <c r="A29" s="188" t="s">
        <v>34</v>
      </c>
      <c r="B29" s="180" t="s">
        <v>346</v>
      </c>
      <c r="C29" s="180">
        <v>2018</v>
      </c>
      <c r="D29" s="222" t="s">
        <v>512</v>
      </c>
      <c r="E29" s="209" t="s">
        <v>177</v>
      </c>
      <c r="F29" s="209" t="s">
        <v>344</v>
      </c>
      <c r="G29" s="188" t="s">
        <v>36</v>
      </c>
      <c r="H29" s="180" t="s">
        <v>155</v>
      </c>
      <c r="I29" s="188" t="s">
        <v>153</v>
      </c>
      <c r="J29" s="188" t="s">
        <v>38</v>
      </c>
      <c r="K29" s="188" t="s">
        <v>154</v>
      </c>
      <c r="L29" s="188">
        <v>1</v>
      </c>
      <c r="N29" s="180">
        <v>1</v>
      </c>
      <c r="O29" s="180">
        <v>0.2</v>
      </c>
      <c r="P29" s="180">
        <v>0.2</v>
      </c>
      <c r="Q29" s="217">
        <f t="shared" si="0"/>
        <v>0.2</v>
      </c>
      <c r="R29" s="180">
        <v>14</v>
      </c>
      <c r="S29" s="180">
        <v>142</v>
      </c>
      <c r="T29" s="189">
        <f t="shared" si="1"/>
        <v>30</v>
      </c>
      <c r="U29" s="180">
        <v>137</v>
      </c>
      <c r="V29" s="189">
        <f t="shared" si="2"/>
        <v>4110</v>
      </c>
      <c r="W29" s="180">
        <v>3</v>
      </c>
      <c r="X29" s="188" t="s">
        <v>46</v>
      </c>
      <c r="Y29" s="188" t="s">
        <v>78</v>
      </c>
      <c r="Z29" s="188" t="s">
        <v>69</v>
      </c>
      <c r="AA29" s="188" t="s">
        <v>55</v>
      </c>
      <c r="AB29" s="188" t="s">
        <v>348</v>
      </c>
    </row>
    <row r="30" spans="1:48" x14ac:dyDescent="0.15">
      <c r="A30" s="188" t="s">
        <v>34</v>
      </c>
      <c r="B30" s="180" t="s">
        <v>346</v>
      </c>
      <c r="C30" s="180">
        <v>2018</v>
      </c>
      <c r="D30" s="222" t="s">
        <v>512</v>
      </c>
      <c r="E30" s="209" t="s">
        <v>177</v>
      </c>
      <c r="F30" s="209" t="s">
        <v>344</v>
      </c>
      <c r="G30" s="188" t="s">
        <v>36</v>
      </c>
      <c r="H30" s="180" t="s">
        <v>155</v>
      </c>
      <c r="I30" s="188" t="s">
        <v>153</v>
      </c>
      <c r="J30" s="188" t="s">
        <v>38</v>
      </c>
      <c r="K30" s="188" t="s">
        <v>154</v>
      </c>
      <c r="L30" s="180">
        <v>2</v>
      </c>
      <c r="N30" s="180">
        <v>1</v>
      </c>
      <c r="O30" s="180">
        <v>0.2</v>
      </c>
      <c r="P30" s="180">
        <v>0.2</v>
      </c>
      <c r="Q30" s="217">
        <f t="shared" si="0"/>
        <v>0.2</v>
      </c>
      <c r="R30" s="180">
        <v>13.6</v>
      </c>
      <c r="S30" s="180">
        <v>142</v>
      </c>
      <c r="T30" s="189">
        <f t="shared" si="1"/>
        <v>30</v>
      </c>
      <c r="U30" s="180">
        <v>137</v>
      </c>
      <c r="V30" s="189">
        <f t="shared" si="2"/>
        <v>4110</v>
      </c>
      <c r="W30" s="180">
        <v>3</v>
      </c>
      <c r="X30" s="188" t="s">
        <v>46</v>
      </c>
      <c r="Y30" s="188" t="s">
        <v>78</v>
      </c>
      <c r="Z30" s="188" t="s">
        <v>69</v>
      </c>
      <c r="AA30" s="188" t="s">
        <v>55</v>
      </c>
      <c r="AB30" s="188" t="s">
        <v>348</v>
      </c>
    </row>
    <row r="31" spans="1:48" x14ac:dyDescent="0.15">
      <c r="A31" s="188" t="s">
        <v>34</v>
      </c>
      <c r="B31" s="180" t="s">
        <v>346</v>
      </c>
      <c r="C31" s="180">
        <v>2018</v>
      </c>
      <c r="D31" s="222" t="s">
        <v>512</v>
      </c>
      <c r="E31" s="209" t="s">
        <v>177</v>
      </c>
      <c r="F31" s="209" t="s">
        <v>344</v>
      </c>
      <c r="G31" s="188" t="s">
        <v>36</v>
      </c>
      <c r="H31" s="180" t="s">
        <v>155</v>
      </c>
      <c r="I31" s="188" t="s">
        <v>153</v>
      </c>
      <c r="J31" s="188" t="s">
        <v>38</v>
      </c>
      <c r="K31" s="188" t="s">
        <v>154</v>
      </c>
      <c r="L31" s="180">
        <v>3</v>
      </c>
      <c r="N31" s="180">
        <v>1</v>
      </c>
      <c r="O31" s="180">
        <v>0.2</v>
      </c>
      <c r="P31" s="180">
        <v>0.2</v>
      </c>
      <c r="Q31" s="217">
        <f t="shared" si="0"/>
        <v>0.2</v>
      </c>
      <c r="R31" s="180">
        <v>14.5</v>
      </c>
      <c r="S31" s="180">
        <v>133</v>
      </c>
      <c r="T31" s="189">
        <f t="shared" si="1"/>
        <v>30</v>
      </c>
      <c r="U31" s="180">
        <v>137</v>
      </c>
      <c r="V31" s="189">
        <f t="shared" si="2"/>
        <v>4110</v>
      </c>
      <c r="W31" s="180">
        <v>3</v>
      </c>
      <c r="X31" s="188" t="s">
        <v>46</v>
      </c>
      <c r="Y31" s="188" t="s">
        <v>78</v>
      </c>
      <c r="Z31" s="188" t="s">
        <v>69</v>
      </c>
      <c r="AA31" s="188" t="s">
        <v>55</v>
      </c>
      <c r="AB31" s="188" t="s">
        <v>348</v>
      </c>
    </row>
    <row r="32" spans="1:48" x14ac:dyDescent="0.15">
      <c r="A32" s="188" t="s">
        <v>34</v>
      </c>
      <c r="B32" s="180" t="s">
        <v>346</v>
      </c>
      <c r="C32" s="180">
        <v>2018</v>
      </c>
      <c r="D32" s="222" t="s">
        <v>512</v>
      </c>
      <c r="E32" s="209" t="s">
        <v>177</v>
      </c>
      <c r="F32" s="209" t="s">
        <v>344</v>
      </c>
      <c r="G32" s="188" t="s">
        <v>36</v>
      </c>
      <c r="H32" s="180" t="s">
        <v>155</v>
      </c>
      <c r="I32" s="188" t="s">
        <v>153</v>
      </c>
      <c r="J32" s="188" t="s">
        <v>38</v>
      </c>
      <c r="K32" s="188" t="s">
        <v>154</v>
      </c>
      <c r="L32" s="188">
        <v>1</v>
      </c>
      <c r="N32" s="180">
        <v>4</v>
      </c>
      <c r="O32" s="180">
        <v>0.55000000000000004</v>
      </c>
      <c r="P32" s="180">
        <v>0.5</v>
      </c>
      <c r="Q32" s="217">
        <f t="shared" si="0"/>
        <v>0.52500000000000002</v>
      </c>
      <c r="R32" s="180">
        <v>15.5</v>
      </c>
      <c r="S32" s="180">
        <v>133</v>
      </c>
      <c r="T32" s="189">
        <f t="shared" si="1"/>
        <v>30</v>
      </c>
      <c r="U32" s="180">
        <v>515</v>
      </c>
      <c r="V32" s="189">
        <f t="shared" si="2"/>
        <v>3862.5</v>
      </c>
      <c r="W32" s="180">
        <v>3</v>
      </c>
      <c r="X32" s="188" t="s">
        <v>46</v>
      </c>
      <c r="Y32" s="188" t="s">
        <v>78</v>
      </c>
      <c r="Z32" s="188" t="s">
        <v>69</v>
      </c>
      <c r="AA32" s="188" t="s">
        <v>55</v>
      </c>
      <c r="AB32" s="188" t="s">
        <v>348</v>
      </c>
    </row>
    <row r="33" spans="1:28" x14ac:dyDescent="0.15">
      <c r="A33" s="188" t="s">
        <v>34</v>
      </c>
      <c r="B33" s="180" t="s">
        <v>346</v>
      </c>
      <c r="C33" s="180">
        <v>2018</v>
      </c>
      <c r="D33" s="222" t="s">
        <v>512</v>
      </c>
      <c r="E33" s="209" t="s">
        <v>177</v>
      </c>
      <c r="F33" s="209" t="s">
        <v>344</v>
      </c>
      <c r="G33" s="188" t="s">
        <v>36</v>
      </c>
      <c r="H33" s="180" t="s">
        <v>155</v>
      </c>
      <c r="I33" s="188" t="s">
        <v>153</v>
      </c>
      <c r="J33" s="188" t="s">
        <v>38</v>
      </c>
      <c r="K33" s="188" t="s">
        <v>154</v>
      </c>
      <c r="L33" s="180">
        <v>2</v>
      </c>
      <c r="N33" s="180">
        <v>4</v>
      </c>
      <c r="O33" s="180">
        <v>0.55000000000000004</v>
      </c>
      <c r="P33" s="180">
        <v>0.7</v>
      </c>
      <c r="Q33" s="217">
        <f t="shared" si="0"/>
        <v>0.625</v>
      </c>
      <c r="R33" s="180">
        <v>13</v>
      </c>
      <c r="S33" s="180">
        <v>130</v>
      </c>
      <c r="T33" s="189">
        <f t="shared" si="1"/>
        <v>30</v>
      </c>
      <c r="U33" s="180">
        <v>515</v>
      </c>
      <c r="V33" s="189">
        <f t="shared" si="2"/>
        <v>3862.5</v>
      </c>
      <c r="W33" s="180">
        <v>3</v>
      </c>
      <c r="X33" s="188" t="s">
        <v>46</v>
      </c>
      <c r="Y33" s="188" t="s">
        <v>78</v>
      </c>
      <c r="Z33" s="188" t="s">
        <v>69</v>
      </c>
      <c r="AA33" s="188" t="s">
        <v>55</v>
      </c>
      <c r="AB33" s="188" t="s">
        <v>348</v>
      </c>
    </row>
    <row r="34" spans="1:28" x14ac:dyDescent="0.15">
      <c r="A34" s="188" t="s">
        <v>34</v>
      </c>
      <c r="B34" s="180" t="s">
        <v>346</v>
      </c>
      <c r="C34" s="180">
        <v>2018</v>
      </c>
      <c r="D34" s="222" t="s">
        <v>512</v>
      </c>
      <c r="E34" s="209" t="s">
        <v>177</v>
      </c>
      <c r="F34" s="209" t="s">
        <v>344</v>
      </c>
      <c r="G34" s="188" t="s">
        <v>36</v>
      </c>
      <c r="H34" s="180" t="s">
        <v>155</v>
      </c>
      <c r="I34" s="188" t="s">
        <v>153</v>
      </c>
      <c r="J34" s="188" t="s">
        <v>38</v>
      </c>
      <c r="K34" s="188" t="s">
        <v>154</v>
      </c>
      <c r="L34" s="180">
        <v>3</v>
      </c>
      <c r="N34" s="180">
        <v>4</v>
      </c>
      <c r="O34" s="180">
        <v>0.45</v>
      </c>
      <c r="P34" s="180">
        <v>0.6</v>
      </c>
      <c r="Q34" s="217">
        <f>IF(OR(O34="",P34=""),"",AVERAGE(O34,P34))</f>
        <v>0.52500000000000002</v>
      </c>
      <c r="R34" s="180">
        <v>11.7</v>
      </c>
      <c r="S34" s="180">
        <v>131</v>
      </c>
      <c r="T34" s="189">
        <f t="shared" si="1"/>
        <v>30</v>
      </c>
      <c r="U34" s="180">
        <v>515</v>
      </c>
      <c r="V34" s="189">
        <f t="shared" si="2"/>
        <v>3862.5</v>
      </c>
      <c r="W34" s="180">
        <v>3</v>
      </c>
      <c r="X34" s="188" t="s">
        <v>46</v>
      </c>
      <c r="Y34" s="188" t="s">
        <v>78</v>
      </c>
      <c r="Z34" s="188" t="s">
        <v>69</v>
      </c>
      <c r="AA34" s="188" t="s">
        <v>55</v>
      </c>
      <c r="AB34" s="188" t="s">
        <v>348</v>
      </c>
    </row>
    <row r="35" spans="1:28" x14ac:dyDescent="0.15">
      <c r="A35" s="188" t="s">
        <v>34</v>
      </c>
      <c r="B35" s="180" t="s">
        <v>346</v>
      </c>
      <c r="C35" s="180">
        <v>2018</v>
      </c>
      <c r="D35" s="222" t="s">
        <v>512</v>
      </c>
      <c r="E35" s="209" t="s">
        <v>177</v>
      </c>
      <c r="F35" s="209" t="s">
        <v>344</v>
      </c>
      <c r="G35" s="188" t="s">
        <v>36</v>
      </c>
      <c r="H35" s="180" t="s">
        <v>168</v>
      </c>
      <c r="I35" s="188" t="s">
        <v>153</v>
      </c>
      <c r="J35" s="188" t="s">
        <v>38</v>
      </c>
      <c r="K35" s="188" t="s">
        <v>154</v>
      </c>
      <c r="L35" s="188">
        <v>1</v>
      </c>
      <c r="N35" s="180">
        <v>1</v>
      </c>
      <c r="O35" s="180">
        <v>0.55000000000000004</v>
      </c>
      <c r="P35" s="180">
        <v>0.55000000000000004</v>
      </c>
      <c r="Q35" s="217">
        <f t="shared" ref="Q35:Q36" si="3">IF(OR(O35="",P35=""),"",AVERAGE(O35,P35))</f>
        <v>0.55000000000000004</v>
      </c>
      <c r="R35" s="180">
        <v>14.3</v>
      </c>
      <c r="S35" s="180">
        <v>154</v>
      </c>
      <c r="T35" s="189">
        <f t="shared" si="1"/>
        <v>18</v>
      </c>
      <c r="U35" s="180">
        <v>137</v>
      </c>
      <c r="V35" s="189">
        <f t="shared" si="2"/>
        <v>2466</v>
      </c>
      <c r="W35" s="180">
        <v>3</v>
      </c>
      <c r="X35" s="188" t="s">
        <v>46</v>
      </c>
      <c r="Y35" s="188" t="s">
        <v>78</v>
      </c>
      <c r="Z35" s="188" t="s">
        <v>69</v>
      </c>
      <c r="AA35" s="188" t="s">
        <v>55</v>
      </c>
      <c r="AB35" s="188" t="s">
        <v>348</v>
      </c>
    </row>
    <row r="36" spans="1:28" x14ac:dyDescent="0.15">
      <c r="A36" s="188" t="s">
        <v>34</v>
      </c>
      <c r="B36" s="180" t="s">
        <v>346</v>
      </c>
      <c r="C36" s="180">
        <v>2018</v>
      </c>
      <c r="D36" s="222" t="s">
        <v>512</v>
      </c>
      <c r="E36" s="209" t="s">
        <v>177</v>
      </c>
      <c r="F36" s="209" t="s">
        <v>344</v>
      </c>
      <c r="G36" s="188" t="s">
        <v>36</v>
      </c>
      <c r="H36" s="180" t="s">
        <v>168</v>
      </c>
      <c r="I36" s="188" t="s">
        <v>153</v>
      </c>
      <c r="J36" s="188" t="s">
        <v>38</v>
      </c>
      <c r="K36" s="188" t="s">
        <v>154</v>
      </c>
      <c r="L36" s="180">
        <v>2</v>
      </c>
      <c r="N36" s="180">
        <v>1</v>
      </c>
      <c r="O36" s="180">
        <v>0.7</v>
      </c>
      <c r="P36" s="180">
        <v>0.8</v>
      </c>
      <c r="Q36" s="217">
        <f t="shared" si="3"/>
        <v>0.75</v>
      </c>
      <c r="R36" s="180">
        <v>16.5</v>
      </c>
      <c r="S36" s="180">
        <v>156</v>
      </c>
      <c r="T36" s="189">
        <f t="shared" si="1"/>
        <v>18</v>
      </c>
      <c r="U36" s="180">
        <v>137</v>
      </c>
      <c r="V36" s="189">
        <f t="shared" si="2"/>
        <v>2466</v>
      </c>
      <c r="W36" s="180">
        <v>3</v>
      </c>
      <c r="X36" s="188" t="s">
        <v>46</v>
      </c>
      <c r="Y36" s="188" t="s">
        <v>78</v>
      </c>
      <c r="Z36" s="188" t="s">
        <v>69</v>
      </c>
      <c r="AA36" s="188" t="s">
        <v>55</v>
      </c>
      <c r="AB36" s="188" t="s">
        <v>348</v>
      </c>
    </row>
    <row r="37" spans="1:28" x14ac:dyDescent="0.15">
      <c r="A37" s="188" t="s">
        <v>34</v>
      </c>
      <c r="B37" s="180" t="s">
        <v>346</v>
      </c>
      <c r="C37" s="180">
        <v>2018</v>
      </c>
      <c r="D37" s="222" t="s">
        <v>512</v>
      </c>
      <c r="E37" s="209" t="s">
        <v>177</v>
      </c>
      <c r="F37" s="209" t="s">
        <v>344</v>
      </c>
      <c r="G37" s="188" t="s">
        <v>36</v>
      </c>
      <c r="H37" s="180" t="s">
        <v>168</v>
      </c>
      <c r="I37" s="188" t="s">
        <v>153</v>
      </c>
      <c r="J37" s="188" t="s">
        <v>38</v>
      </c>
      <c r="K37" s="188" t="s">
        <v>154</v>
      </c>
      <c r="L37" s="180">
        <v>3</v>
      </c>
      <c r="N37" s="180">
        <v>1</v>
      </c>
      <c r="O37" s="180">
        <v>0.65</v>
      </c>
      <c r="P37" s="180">
        <v>0.55000000000000004</v>
      </c>
      <c r="Q37" s="217">
        <f>IF(OR(O37="",P37=""),"",AVERAGE(O37,P37))</f>
        <v>0.60000000000000009</v>
      </c>
      <c r="R37" s="180">
        <v>16.100000000000001</v>
      </c>
      <c r="S37" s="180">
        <v>154</v>
      </c>
      <c r="T37" s="189">
        <f t="shared" si="1"/>
        <v>18</v>
      </c>
      <c r="U37" s="180">
        <v>137</v>
      </c>
      <c r="V37" s="189">
        <f t="shared" si="2"/>
        <v>2466</v>
      </c>
      <c r="W37" s="180">
        <v>3</v>
      </c>
      <c r="X37" s="188" t="s">
        <v>46</v>
      </c>
      <c r="Y37" s="188" t="s">
        <v>78</v>
      </c>
      <c r="Z37" s="188" t="s">
        <v>69</v>
      </c>
      <c r="AA37" s="188" t="s">
        <v>55</v>
      </c>
      <c r="AB37" s="188" t="s">
        <v>348</v>
      </c>
    </row>
    <row r="38" spans="1:28" x14ac:dyDescent="0.15">
      <c r="A38" s="188" t="s">
        <v>34</v>
      </c>
      <c r="B38" s="180" t="s">
        <v>346</v>
      </c>
      <c r="C38" s="180">
        <v>2018</v>
      </c>
      <c r="D38" s="222" t="s">
        <v>512</v>
      </c>
      <c r="E38" s="209" t="s">
        <v>177</v>
      </c>
      <c r="F38" s="209" t="s">
        <v>344</v>
      </c>
      <c r="G38" s="188" t="s">
        <v>36</v>
      </c>
      <c r="H38" s="180" t="s">
        <v>168</v>
      </c>
      <c r="I38" s="188" t="s">
        <v>153</v>
      </c>
      <c r="J38" s="188" t="s">
        <v>38</v>
      </c>
      <c r="K38" s="188" t="s">
        <v>154</v>
      </c>
      <c r="L38" s="188">
        <v>1</v>
      </c>
      <c r="N38" s="180">
        <v>4</v>
      </c>
      <c r="O38" s="180">
        <v>0.55000000000000004</v>
      </c>
      <c r="P38" s="180">
        <v>0.6</v>
      </c>
      <c r="Q38" s="217">
        <f t="shared" ref="Q38:Q39" si="4">IF(OR(O38="",P38=""),"",AVERAGE(O38,P38))</f>
        <v>0.57499999999999996</v>
      </c>
      <c r="R38" s="180">
        <v>15.7</v>
      </c>
      <c r="S38" s="180">
        <v>143</v>
      </c>
      <c r="T38" s="189">
        <f t="shared" si="1"/>
        <v>30</v>
      </c>
      <c r="U38" s="180">
        <v>515</v>
      </c>
      <c r="V38" s="189">
        <f t="shared" si="2"/>
        <v>3862.5</v>
      </c>
      <c r="W38" s="180">
        <v>3</v>
      </c>
      <c r="X38" s="188" t="s">
        <v>46</v>
      </c>
      <c r="Y38" s="188" t="s">
        <v>78</v>
      </c>
      <c r="Z38" s="188" t="s">
        <v>69</v>
      </c>
      <c r="AA38" s="188" t="s">
        <v>55</v>
      </c>
      <c r="AB38" s="188" t="s">
        <v>348</v>
      </c>
    </row>
    <row r="39" spans="1:28" x14ac:dyDescent="0.15">
      <c r="A39" s="188" t="s">
        <v>34</v>
      </c>
      <c r="B39" s="180" t="s">
        <v>346</v>
      </c>
      <c r="C39" s="180">
        <v>2018</v>
      </c>
      <c r="D39" s="222" t="s">
        <v>512</v>
      </c>
      <c r="E39" s="209" t="s">
        <v>177</v>
      </c>
      <c r="F39" s="209" t="s">
        <v>344</v>
      </c>
      <c r="G39" s="188" t="s">
        <v>36</v>
      </c>
      <c r="H39" s="180" t="s">
        <v>168</v>
      </c>
      <c r="I39" s="188" t="s">
        <v>153</v>
      </c>
      <c r="J39" s="188" t="s">
        <v>38</v>
      </c>
      <c r="K39" s="188" t="s">
        <v>154</v>
      </c>
      <c r="L39" s="180">
        <v>2</v>
      </c>
      <c r="N39" s="180">
        <v>4</v>
      </c>
      <c r="O39" s="180">
        <v>0.55000000000000004</v>
      </c>
      <c r="P39" s="180">
        <v>0.6</v>
      </c>
      <c r="Q39" s="217">
        <f t="shared" si="4"/>
        <v>0.57499999999999996</v>
      </c>
      <c r="R39" s="180">
        <v>14.2</v>
      </c>
      <c r="S39" s="180">
        <v>139</v>
      </c>
      <c r="T39" s="189">
        <f t="shared" si="1"/>
        <v>30</v>
      </c>
      <c r="U39" s="180">
        <v>515</v>
      </c>
      <c r="V39" s="189">
        <f t="shared" si="2"/>
        <v>3862.5</v>
      </c>
      <c r="W39" s="180">
        <v>3</v>
      </c>
      <c r="X39" s="188" t="s">
        <v>46</v>
      </c>
      <c r="Y39" s="188" t="s">
        <v>78</v>
      </c>
      <c r="Z39" s="188" t="s">
        <v>69</v>
      </c>
      <c r="AA39" s="188" t="s">
        <v>55</v>
      </c>
      <c r="AB39" s="188" t="s">
        <v>348</v>
      </c>
    </row>
    <row r="40" spans="1:28" x14ac:dyDescent="0.15">
      <c r="A40" s="188" t="s">
        <v>34</v>
      </c>
      <c r="B40" s="180" t="s">
        <v>346</v>
      </c>
      <c r="C40" s="180">
        <v>2018</v>
      </c>
      <c r="D40" s="222" t="s">
        <v>512</v>
      </c>
      <c r="E40" s="209" t="s">
        <v>177</v>
      </c>
      <c r="F40" s="209" t="s">
        <v>344</v>
      </c>
      <c r="G40" s="188" t="s">
        <v>36</v>
      </c>
      <c r="H40" s="180" t="s">
        <v>168</v>
      </c>
      <c r="I40" s="188" t="s">
        <v>153</v>
      </c>
      <c r="J40" s="188" t="s">
        <v>38</v>
      </c>
      <c r="K40" s="188" t="s">
        <v>154</v>
      </c>
      <c r="L40" s="180">
        <v>3</v>
      </c>
      <c r="N40" s="180">
        <v>4</v>
      </c>
      <c r="O40" s="180">
        <v>0.45</v>
      </c>
      <c r="P40" s="180">
        <v>0.6</v>
      </c>
      <c r="Q40" s="217">
        <f>IF(OR(O40="",P40=""),"",AVERAGE(O40,P40))</f>
        <v>0.52500000000000002</v>
      </c>
      <c r="R40" s="180">
        <v>14.6</v>
      </c>
      <c r="S40" s="180">
        <v>139</v>
      </c>
      <c r="T40" s="189">
        <f t="shared" si="1"/>
        <v>30</v>
      </c>
      <c r="U40" s="180">
        <v>515</v>
      </c>
      <c r="V40" s="189">
        <f t="shared" si="2"/>
        <v>3862.5</v>
      </c>
      <c r="W40" s="180">
        <v>3</v>
      </c>
      <c r="X40" s="188" t="s">
        <v>46</v>
      </c>
      <c r="Y40" s="188" t="s">
        <v>78</v>
      </c>
      <c r="Z40" s="188" t="s">
        <v>69</v>
      </c>
      <c r="AA40" s="188" t="s">
        <v>55</v>
      </c>
      <c r="AB40" s="188" t="s">
        <v>348</v>
      </c>
    </row>
    <row r="41" spans="1:28" x14ac:dyDescent="0.15">
      <c r="A41" s="188" t="s">
        <v>34</v>
      </c>
      <c r="B41" s="180" t="s">
        <v>346</v>
      </c>
      <c r="C41" s="180">
        <v>2018</v>
      </c>
      <c r="D41" s="222" t="s">
        <v>512</v>
      </c>
      <c r="E41" s="209" t="s">
        <v>294</v>
      </c>
      <c r="F41" s="209" t="s">
        <v>329</v>
      </c>
      <c r="G41" s="188" t="s">
        <v>36</v>
      </c>
      <c r="H41" s="180" t="s">
        <v>155</v>
      </c>
      <c r="I41" s="188" t="s">
        <v>153</v>
      </c>
      <c r="J41" s="188" t="s">
        <v>38</v>
      </c>
      <c r="K41" s="188" t="s">
        <v>154</v>
      </c>
      <c r="L41" s="188">
        <v>1</v>
      </c>
      <c r="N41" s="180">
        <v>1</v>
      </c>
      <c r="O41" s="180">
        <v>0.5</v>
      </c>
      <c r="P41" s="180">
        <v>0.5</v>
      </c>
      <c r="Q41" s="217">
        <f t="shared" si="0"/>
        <v>0.5</v>
      </c>
      <c r="R41" s="180">
        <v>13.8</v>
      </c>
      <c r="S41" s="180">
        <v>164</v>
      </c>
      <c r="T41" s="189">
        <f t="shared" si="1"/>
        <v>18</v>
      </c>
      <c r="U41" s="180">
        <v>138</v>
      </c>
      <c r="V41" s="189">
        <f t="shared" si="2"/>
        <v>2484</v>
      </c>
      <c r="W41" s="180">
        <v>1</v>
      </c>
      <c r="X41" s="188" t="s">
        <v>46</v>
      </c>
      <c r="Y41" s="188" t="s">
        <v>78</v>
      </c>
      <c r="Z41" s="188" t="s">
        <v>69</v>
      </c>
      <c r="AA41" s="188" t="s">
        <v>102</v>
      </c>
      <c r="AB41" s="188" t="s">
        <v>348</v>
      </c>
    </row>
    <row r="42" spans="1:28" x14ac:dyDescent="0.15">
      <c r="A42" s="188" t="s">
        <v>34</v>
      </c>
      <c r="B42" s="180" t="s">
        <v>346</v>
      </c>
      <c r="C42" s="180">
        <v>2018</v>
      </c>
      <c r="D42" s="222" t="s">
        <v>512</v>
      </c>
      <c r="E42" s="209" t="s">
        <v>294</v>
      </c>
      <c r="F42" s="209" t="s">
        <v>329</v>
      </c>
      <c r="G42" s="188" t="s">
        <v>36</v>
      </c>
      <c r="H42" s="180" t="s">
        <v>155</v>
      </c>
      <c r="I42" s="188" t="s">
        <v>153</v>
      </c>
      <c r="J42" s="188" t="s">
        <v>38</v>
      </c>
      <c r="K42" s="188" t="s">
        <v>154</v>
      </c>
      <c r="L42" s="180">
        <v>2</v>
      </c>
      <c r="N42" s="180">
        <v>1</v>
      </c>
      <c r="O42" s="180">
        <v>0.45</v>
      </c>
      <c r="P42" s="180">
        <v>0.45</v>
      </c>
      <c r="Q42" s="217">
        <f t="shared" si="0"/>
        <v>0.45</v>
      </c>
      <c r="R42" s="180">
        <v>13.8</v>
      </c>
      <c r="S42" s="180">
        <v>158</v>
      </c>
      <c r="T42" s="189">
        <f t="shared" si="1"/>
        <v>18</v>
      </c>
      <c r="U42" s="180">
        <v>138</v>
      </c>
      <c r="V42" s="189">
        <f t="shared" si="2"/>
        <v>2484</v>
      </c>
      <c r="W42" s="180">
        <v>1</v>
      </c>
      <c r="X42" s="188" t="s">
        <v>46</v>
      </c>
      <c r="Y42" s="188" t="s">
        <v>78</v>
      </c>
      <c r="Z42" s="188" t="s">
        <v>69</v>
      </c>
      <c r="AA42" s="188" t="s">
        <v>102</v>
      </c>
      <c r="AB42" s="188" t="s">
        <v>348</v>
      </c>
    </row>
    <row r="43" spans="1:28" x14ac:dyDescent="0.15">
      <c r="A43" s="188" t="s">
        <v>34</v>
      </c>
      <c r="B43" s="180" t="s">
        <v>346</v>
      </c>
      <c r="C43" s="180">
        <v>2018</v>
      </c>
      <c r="D43" s="222" t="s">
        <v>512</v>
      </c>
      <c r="E43" s="209" t="s">
        <v>294</v>
      </c>
      <c r="F43" s="209" t="s">
        <v>329</v>
      </c>
      <c r="G43" s="188" t="s">
        <v>36</v>
      </c>
      <c r="H43" s="180" t="s">
        <v>155</v>
      </c>
      <c r="I43" s="188" t="s">
        <v>153</v>
      </c>
      <c r="J43" s="188" t="s">
        <v>38</v>
      </c>
      <c r="K43" s="188" t="s">
        <v>154</v>
      </c>
      <c r="L43" s="180">
        <v>3</v>
      </c>
      <c r="N43" s="180">
        <v>1</v>
      </c>
      <c r="O43" s="180">
        <v>0.55000000000000004</v>
      </c>
      <c r="P43" s="180">
        <v>0.65</v>
      </c>
      <c r="Q43" s="217">
        <f t="shared" si="0"/>
        <v>0.60000000000000009</v>
      </c>
      <c r="R43" s="180">
        <v>14.6</v>
      </c>
      <c r="S43" s="180">
        <v>165</v>
      </c>
      <c r="T43" s="189">
        <f t="shared" si="1"/>
        <v>18</v>
      </c>
      <c r="U43" s="180">
        <v>138</v>
      </c>
      <c r="V43" s="189">
        <f t="shared" si="2"/>
        <v>2484</v>
      </c>
      <c r="W43" s="180">
        <v>1</v>
      </c>
      <c r="X43" s="188" t="s">
        <v>46</v>
      </c>
      <c r="Y43" s="188" t="s">
        <v>78</v>
      </c>
      <c r="Z43" s="188" t="s">
        <v>69</v>
      </c>
      <c r="AA43" s="188" t="s">
        <v>102</v>
      </c>
      <c r="AB43" s="188" t="s">
        <v>348</v>
      </c>
    </row>
    <row r="44" spans="1:28" x14ac:dyDescent="0.15">
      <c r="A44" s="188" t="s">
        <v>34</v>
      </c>
      <c r="B44" s="180" t="s">
        <v>346</v>
      </c>
      <c r="C44" s="180">
        <v>2018</v>
      </c>
      <c r="D44" s="222" t="s">
        <v>512</v>
      </c>
      <c r="E44" s="209" t="s">
        <v>294</v>
      </c>
      <c r="F44" s="209" t="s">
        <v>329</v>
      </c>
      <c r="G44" s="188" t="s">
        <v>36</v>
      </c>
      <c r="H44" s="180" t="s">
        <v>168</v>
      </c>
      <c r="I44" s="188" t="s">
        <v>153</v>
      </c>
      <c r="J44" s="188" t="s">
        <v>38</v>
      </c>
      <c r="K44" s="188" t="s">
        <v>154</v>
      </c>
      <c r="L44" s="188">
        <v>1</v>
      </c>
      <c r="N44" s="180">
        <v>1</v>
      </c>
      <c r="O44" s="180">
        <v>0.55000000000000004</v>
      </c>
      <c r="P44" s="180">
        <v>0.5</v>
      </c>
      <c r="Q44" s="217">
        <f t="shared" si="0"/>
        <v>0.52500000000000002</v>
      </c>
      <c r="R44" s="180">
        <v>15</v>
      </c>
      <c r="S44" s="180">
        <v>151</v>
      </c>
      <c r="T44" s="189">
        <f t="shared" si="1"/>
        <v>30</v>
      </c>
      <c r="U44" s="180">
        <v>138</v>
      </c>
      <c r="V44" s="189">
        <f t="shared" si="2"/>
        <v>4140</v>
      </c>
      <c r="W44" s="180">
        <v>4</v>
      </c>
      <c r="X44" s="188" t="s">
        <v>46</v>
      </c>
      <c r="Y44" s="188" t="s">
        <v>78</v>
      </c>
      <c r="Z44" s="188" t="s">
        <v>69</v>
      </c>
      <c r="AA44" s="188" t="s">
        <v>102</v>
      </c>
      <c r="AB44" s="188" t="s">
        <v>348</v>
      </c>
    </row>
    <row r="45" spans="1:28" x14ac:dyDescent="0.15">
      <c r="A45" s="188" t="s">
        <v>34</v>
      </c>
      <c r="B45" s="180" t="s">
        <v>346</v>
      </c>
      <c r="C45" s="180">
        <v>2018</v>
      </c>
      <c r="D45" s="222" t="s">
        <v>512</v>
      </c>
      <c r="E45" s="209" t="s">
        <v>294</v>
      </c>
      <c r="F45" s="209" t="s">
        <v>329</v>
      </c>
      <c r="G45" s="188" t="s">
        <v>36</v>
      </c>
      <c r="H45" s="180" t="s">
        <v>168</v>
      </c>
      <c r="I45" s="188" t="s">
        <v>153</v>
      </c>
      <c r="J45" s="188" t="s">
        <v>38</v>
      </c>
      <c r="K45" s="188" t="s">
        <v>154</v>
      </c>
      <c r="L45" s="180">
        <v>2</v>
      </c>
      <c r="N45" s="180">
        <v>1</v>
      </c>
      <c r="O45" s="180">
        <v>0.65</v>
      </c>
      <c r="P45" s="180">
        <v>0.5</v>
      </c>
      <c r="Q45" s="217">
        <f t="shared" si="0"/>
        <v>0.57499999999999996</v>
      </c>
      <c r="R45" s="180">
        <v>14.7</v>
      </c>
      <c r="S45" s="180">
        <v>155</v>
      </c>
      <c r="T45" s="189">
        <f t="shared" si="1"/>
        <v>18</v>
      </c>
      <c r="U45" s="180">
        <v>138</v>
      </c>
      <c r="V45" s="189">
        <f t="shared" si="2"/>
        <v>2484</v>
      </c>
      <c r="W45" s="180">
        <v>4</v>
      </c>
      <c r="X45" s="188" t="s">
        <v>46</v>
      </c>
      <c r="Y45" s="188" t="s">
        <v>78</v>
      </c>
      <c r="Z45" s="188" t="s">
        <v>69</v>
      </c>
      <c r="AA45" s="188" t="s">
        <v>102</v>
      </c>
      <c r="AB45" s="188" t="s">
        <v>348</v>
      </c>
    </row>
    <row r="46" spans="1:28" x14ac:dyDescent="0.15">
      <c r="A46" s="188" t="s">
        <v>34</v>
      </c>
      <c r="B46" s="180" t="s">
        <v>346</v>
      </c>
      <c r="C46" s="180">
        <v>2018</v>
      </c>
      <c r="D46" s="222" t="s">
        <v>512</v>
      </c>
      <c r="E46" s="209" t="s">
        <v>294</v>
      </c>
      <c r="F46" s="209" t="s">
        <v>329</v>
      </c>
      <c r="G46" s="188" t="s">
        <v>36</v>
      </c>
      <c r="H46" s="180" t="s">
        <v>168</v>
      </c>
      <c r="I46" s="188" t="s">
        <v>153</v>
      </c>
      <c r="J46" s="188" t="s">
        <v>38</v>
      </c>
      <c r="K46" s="188" t="s">
        <v>154</v>
      </c>
      <c r="L46" s="180">
        <v>3</v>
      </c>
      <c r="N46" s="180">
        <v>1</v>
      </c>
      <c r="O46" s="180">
        <v>0.6</v>
      </c>
      <c r="P46" s="180">
        <v>0.5</v>
      </c>
      <c r="Q46" s="217">
        <f t="shared" si="0"/>
        <v>0.55000000000000004</v>
      </c>
      <c r="R46" s="180">
        <v>15.5</v>
      </c>
      <c r="S46" s="180">
        <v>155</v>
      </c>
      <c r="T46" s="189">
        <f t="shared" si="1"/>
        <v>18</v>
      </c>
      <c r="U46" s="180">
        <v>138</v>
      </c>
      <c r="V46" s="189">
        <f t="shared" si="2"/>
        <v>2484</v>
      </c>
      <c r="W46" s="180">
        <v>4</v>
      </c>
      <c r="X46" s="188" t="s">
        <v>46</v>
      </c>
      <c r="Y46" s="188" t="s">
        <v>78</v>
      </c>
      <c r="Z46" s="188" t="s">
        <v>69</v>
      </c>
      <c r="AA46" s="188" t="s">
        <v>102</v>
      </c>
      <c r="AB46" s="188" t="s">
        <v>348</v>
      </c>
    </row>
    <row r="47" spans="1:28" x14ac:dyDescent="0.15">
      <c r="A47" s="188" t="s">
        <v>34</v>
      </c>
      <c r="B47" s="180" t="s">
        <v>346</v>
      </c>
      <c r="C47" s="180">
        <v>2018</v>
      </c>
      <c r="D47" s="222" t="s">
        <v>512</v>
      </c>
      <c r="E47" s="209" t="s">
        <v>330</v>
      </c>
      <c r="F47" s="209" t="s">
        <v>331</v>
      </c>
      <c r="G47" s="188" t="s">
        <v>36</v>
      </c>
      <c r="H47" s="180" t="s">
        <v>155</v>
      </c>
      <c r="I47" s="188" t="s">
        <v>153</v>
      </c>
      <c r="J47" s="188" t="s">
        <v>38</v>
      </c>
      <c r="K47" s="188" t="s">
        <v>154</v>
      </c>
      <c r="L47" s="188">
        <v>1</v>
      </c>
      <c r="N47" s="180">
        <v>1</v>
      </c>
      <c r="O47" s="180">
        <v>0.75</v>
      </c>
      <c r="P47" s="180">
        <v>0.9</v>
      </c>
      <c r="Q47" s="217">
        <f t="shared" si="0"/>
        <v>0.82499999999999996</v>
      </c>
      <c r="R47" s="180">
        <v>12.2</v>
      </c>
      <c r="S47" s="180">
        <v>111</v>
      </c>
      <c r="T47" s="189">
        <f t="shared" si="1"/>
        <v>33</v>
      </c>
      <c r="U47" s="180">
        <v>138</v>
      </c>
      <c r="V47" s="189">
        <f t="shared" si="2"/>
        <v>4554</v>
      </c>
      <c r="W47" s="180">
        <v>3</v>
      </c>
      <c r="X47" s="188" t="s">
        <v>39</v>
      </c>
      <c r="Y47" s="188" t="s">
        <v>78</v>
      </c>
      <c r="Z47" s="188" t="s">
        <v>102</v>
      </c>
      <c r="AA47" s="188" t="s">
        <v>69</v>
      </c>
      <c r="AB47" s="188" t="s">
        <v>348</v>
      </c>
    </row>
    <row r="48" spans="1:28" x14ac:dyDescent="0.15">
      <c r="A48" s="188" t="s">
        <v>34</v>
      </c>
      <c r="B48" s="180" t="s">
        <v>346</v>
      </c>
      <c r="C48" s="180">
        <v>2018</v>
      </c>
      <c r="D48" s="222" t="s">
        <v>512</v>
      </c>
      <c r="E48" s="209" t="s">
        <v>330</v>
      </c>
      <c r="F48" s="209" t="s">
        <v>331</v>
      </c>
      <c r="G48" s="188" t="s">
        <v>36</v>
      </c>
      <c r="H48" s="180" t="s">
        <v>155</v>
      </c>
      <c r="I48" s="188" t="s">
        <v>153</v>
      </c>
      <c r="J48" s="188" t="s">
        <v>38</v>
      </c>
      <c r="K48" s="188" t="s">
        <v>154</v>
      </c>
      <c r="L48" s="180">
        <v>2</v>
      </c>
      <c r="N48" s="180">
        <v>1</v>
      </c>
      <c r="O48" s="180">
        <v>0.6</v>
      </c>
      <c r="P48" s="180">
        <v>0.55000000000000004</v>
      </c>
      <c r="Q48" s="217">
        <f t="shared" si="0"/>
        <v>0.57499999999999996</v>
      </c>
      <c r="R48" s="180">
        <v>9.5</v>
      </c>
      <c r="S48" s="180">
        <v>112</v>
      </c>
      <c r="T48" s="189">
        <f t="shared" si="1"/>
        <v>33</v>
      </c>
      <c r="U48" s="180">
        <v>138</v>
      </c>
      <c r="V48" s="189">
        <f t="shared" si="2"/>
        <v>4554</v>
      </c>
      <c r="W48" s="180">
        <v>3</v>
      </c>
      <c r="X48" s="188" t="s">
        <v>39</v>
      </c>
      <c r="Y48" s="188" t="s">
        <v>78</v>
      </c>
      <c r="Z48" s="188" t="s">
        <v>102</v>
      </c>
      <c r="AA48" s="188" t="s">
        <v>69</v>
      </c>
      <c r="AB48" s="188" t="s">
        <v>348</v>
      </c>
    </row>
    <row r="49" spans="1:28" x14ac:dyDescent="0.15">
      <c r="A49" s="188" t="s">
        <v>34</v>
      </c>
      <c r="B49" s="180" t="s">
        <v>346</v>
      </c>
      <c r="C49" s="180">
        <v>2018</v>
      </c>
      <c r="D49" s="222" t="s">
        <v>512</v>
      </c>
      <c r="E49" s="209" t="s">
        <v>330</v>
      </c>
      <c r="F49" s="209" t="s">
        <v>331</v>
      </c>
      <c r="G49" s="188" t="s">
        <v>36</v>
      </c>
      <c r="H49" s="180" t="s">
        <v>155</v>
      </c>
      <c r="I49" s="188" t="s">
        <v>153</v>
      </c>
      <c r="J49" s="188" t="s">
        <v>38</v>
      </c>
      <c r="K49" s="188" t="s">
        <v>154</v>
      </c>
      <c r="L49" s="180">
        <v>3</v>
      </c>
      <c r="N49" s="180">
        <v>1</v>
      </c>
      <c r="O49" s="180">
        <v>0.2</v>
      </c>
      <c r="P49" s="180">
        <v>0.55000000000000004</v>
      </c>
      <c r="Q49" s="217">
        <f t="shared" si="0"/>
        <v>0.375</v>
      </c>
      <c r="R49" s="180">
        <v>11.7</v>
      </c>
      <c r="S49" s="180">
        <v>116</v>
      </c>
      <c r="T49" s="189">
        <f t="shared" si="1"/>
        <v>30</v>
      </c>
      <c r="U49" s="180">
        <v>138</v>
      </c>
      <c r="V49" s="189">
        <f t="shared" si="2"/>
        <v>4140</v>
      </c>
      <c r="W49" s="180">
        <v>3</v>
      </c>
      <c r="X49" s="188" t="s">
        <v>39</v>
      </c>
      <c r="Y49" s="188" t="s">
        <v>78</v>
      </c>
      <c r="Z49" s="188" t="s">
        <v>102</v>
      </c>
      <c r="AA49" s="188" t="s">
        <v>69</v>
      </c>
      <c r="AB49" s="188" t="s">
        <v>348</v>
      </c>
    </row>
    <row r="50" spans="1:28" x14ac:dyDescent="0.15">
      <c r="A50" s="188" t="s">
        <v>34</v>
      </c>
      <c r="B50" s="180" t="s">
        <v>346</v>
      </c>
      <c r="C50" s="180">
        <v>2018</v>
      </c>
      <c r="D50" s="222" t="s">
        <v>512</v>
      </c>
      <c r="E50" s="209" t="s">
        <v>330</v>
      </c>
      <c r="F50" s="209" t="s">
        <v>331</v>
      </c>
      <c r="G50" s="188" t="s">
        <v>36</v>
      </c>
      <c r="H50" s="180" t="s">
        <v>155</v>
      </c>
      <c r="I50" s="188" t="s">
        <v>153</v>
      </c>
      <c r="J50" s="188" t="s">
        <v>38</v>
      </c>
      <c r="K50" s="188" t="s">
        <v>154</v>
      </c>
      <c r="L50" s="188">
        <v>1</v>
      </c>
      <c r="N50" s="180">
        <v>5</v>
      </c>
      <c r="O50" s="180">
        <v>0.7</v>
      </c>
      <c r="P50" s="180">
        <v>0.45</v>
      </c>
      <c r="Q50" s="217">
        <f t="shared" si="0"/>
        <v>0.57499999999999996</v>
      </c>
      <c r="R50" s="180">
        <v>14</v>
      </c>
      <c r="S50" s="180">
        <v>92</v>
      </c>
      <c r="T50" s="189">
        <f t="shared" si="1"/>
        <v>36</v>
      </c>
      <c r="U50" s="180">
        <v>430</v>
      </c>
      <c r="V50" s="189">
        <f t="shared" si="2"/>
        <v>3096</v>
      </c>
      <c r="W50" s="180">
        <v>3</v>
      </c>
      <c r="X50" s="188" t="s">
        <v>39</v>
      </c>
      <c r="Y50" s="188" t="s">
        <v>78</v>
      </c>
      <c r="Z50" s="188" t="s">
        <v>102</v>
      </c>
      <c r="AA50" s="188" t="s">
        <v>69</v>
      </c>
      <c r="AB50" s="188" t="s">
        <v>348</v>
      </c>
    </row>
    <row r="51" spans="1:28" x14ac:dyDescent="0.15">
      <c r="A51" s="188" t="s">
        <v>34</v>
      </c>
      <c r="B51" s="180" t="s">
        <v>346</v>
      </c>
      <c r="C51" s="180">
        <v>2018</v>
      </c>
      <c r="D51" s="222" t="s">
        <v>512</v>
      </c>
      <c r="E51" s="209" t="s">
        <v>330</v>
      </c>
      <c r="F51" s="209" t="s">
        <v>331</v>
      </c>
      <c r="G51" s="188" t="s">
        <v>36</v>
      </c>
      <c r="H51" s="180" t="s">
        <v>155</v>
      </c>
      <c r="I51" s="188" t="s">
        <v>153</v>
      </c>
      <c r="J51" s="188" t="s">
        <v>38</v>
      </c>
      <c r="K51" s="188" t="s">
        <v>154</v>
      </c>
      <c r="L51" s="180">
        <v>2</v>
      </c>
      <c r="N51" s="180">
        <v>5</v>
      </c>
      <c r="O51" s="180">
        <v>0.6</v>
      </c>
      <c r="P51" s="180">
        <v>0.75</v>
      </c>
      <c r="Q51" s="217">
        <f t="shared" si="0"/>
        <v>0.67500000000000004</v>
      </c>
      <c r="R51" s="180">
        <v>14.4</v>
      </c>
      <c r="S51" s="180">
        <v>88</v>
      </c>
      <c r="T51" s="189">
        <f t="shared" si="1"/>
        <v>36</v>
      </c>
      <c r="U51" s="180">
        <v>430</v>
      </c>
      <c r="V51" s="189">
        <f t="shared" si="2"/>
        <v>3096</v>
      </c>
      <c r="W51" s="180">
        <v>3</v>
      </c>
      <c r="X51" s="188" t="s">
        <v>39</v>
      </c>
      <c r="Y51" s="188" t="s">
        <v>78</v>
      </c>
      <c r="Z51" s="188" t="s">
        <v>102</v>
      </c>
      <c r="AA51" s="188" t="s">
        <v>69</v>
      </c>
      <c r="AB51" s="188" t="s">
        <v>348</v>
      </c>
    </row>
    <row r="52" spans="1:28" x14ac:dyDescent="0.15">
      <c r="A52" s="188" t="s">
        <v>34</v>
      </c>
      <c r="B52" s="180" t="s">
        <v>346</v>
      </c>
      <c r="C52" s="180">
        <v>2018</v>
      </c>
      <c r="D52" s="222" t="s">
        <v>512</v>
      </c>
      <c r="E52" s="209" t="s">
        <v>330</v>
      </c>
      <c r="F52" s="209" t="s">
        <v>331</v>
      </c>
      <c r="G52" s="188" t="s">
        <v>36</v>
      </c>
      <c r="H52" s="180" t="s">
        <v>155</v>
      </c>
      <c r="I52" s="188" t="s">
        <v>153</v>
      </c>
      <c r="J52" s="188" t="s">
        <v>38</v>
      </c>
      <c r="K52" s="188" t="s">
        <v>154</v>
      </c>
      <c r="L52" s="180">
        <v>3</v>
      </c>
      <c r="N52" s="180">
        <v>5</v>
      </c>
      <c r="O52" s="180">
        <v>0.6</v>
      </c>
      <c r="P52" s="180">
        <v>0.5</v>
      </c>
      <c r="Q52" s="217">
        <f t="shared" si="0"/>
        <v>0.55000000000000004</v>
      </c>
      <c r="R52" s="180">
        <v>13.8</v>
      </c>
      <c r="S52" s="180">
        <v>84</v>
      </c>
      <c r="T52" s="189">
        <f t="shared" si="1"/>
        <v>36</v>
      </c>
      <c r="U52" s="180">
        <v>430</v>
      </c>
      <c r="V52" s="189">
        <f t="shared" si="2"/>
        <v>3096</v>
      </c>
      <c r="W52" s="180">
        <v>3</v>
      </c>
      <c r="X52" s="188" t="s">
        <v>39</v>
      </c>
      <c r="Y52" s="188" t="s">
        <v>78</v>
      </c>
      <c r="Z52" s="188" t="s">
        <v>102</v>
      </c>
      <c r="AA52" s="188" t="s">
        <v>69</v>
      </c>
      <c r="AB52" s="188" t="s">
        <v>348</v>
      </c>
    </row>
    <row r="53" spans="1:28" x14ac:dyDescent="0.15">
      <c r="A53" s="188" t="s">
        <v>34</v>
      </c>
      <c r="B53" s="180" t="s">
        <v>346</v>
      </c>
      <c r="C53" s="180">
        <v>2018</v>
      </c>
      <c r="D53" s="222" t="s">
        <v>512</v>
      </c>
      <c r="E53" s="209" t="s">
        <v>330</v>
      </c>
      <c r="F53" s="209" t="s">
        <v>331</v>
      </c>
      <c r="G53" s="188" t="s">
        <v>36</v>
      </c>
      <c r="H53" s="180" t="s">
        <v>168</v>
      </c>
      <c r="I53" s="188" t="s">
        <v>153</v>
      </c>
      <c r="J53" s="188" t="s">
        <v>38</v>
      </c>
      <c r="K53" s="188" t="s">
        <v>154</v>
      </c>
      <c r="L53" s="188">
        <v>1</v>
      </c>
      <c r="N53" s="180">
        <v>1</v>
      </c>
      <c r="O53" s="180">
        <v>0.2</v>
      </c>
      <c r="P53" s="180">
        <v>0.2</v>
      </c>
      <c r="Q53" s="217">
        <f t="shared" si="0"/>
        <v>0.2</v>
      </c>
      <c r="R53" s="180">
        <v>17.8</v>
      </c>
      <c r="S53" s="180">
        <v>163</v>
      </c>
      <c r="T53" s="189">
        <f t="shared" si="1"/>
        <v>18</v>
      </c>
      <c r="U53" s="180">
        <v>171</v>
      </c>
      <c r="V53" s="189">
        <f t="shared" si="2"/>
        <v>3078</v>
      </c>
      <c r="W53" s="180">
        <v>3</v>
      </c>
      <c r="X53" s="188" t="s">
        <v>39</v>
      </c>
      <c r="Y53" s="188" t="s">
        <v>78</v>
      </c>
      <c r="Z53" s="188" t="s">
        <v>102</v>
      </c>
      <c r="AA53" s="188" t="s">
        <v>69</v>
      </c>
      <c r="AB53" s="188" t="s">
        <v>348</v>
      </c>
    </row>
    <row r="54" spans="1:28" x14ac:dyDescent="0.15">
      <c r="A54" s="188" t="s">
        <v>34</v>
      </c>
      <c r="B54" s="180" t="s">
        <v>346</v>
      </c>
      <c r="C54" s="180">
        <v>2018</v>
      </c>
      <c r="D54" s="222" t="s">
        <v>512</v>
      </c>
      <c r="E54" s="209" t="s">
        <v>330</v>
      </c>
      <c r="F54" s="209" t="s">
        <v>331</v>
      </c>
      <c r="G54" s="188" t="s">
        <v>36</v>
      </c>
      <c r="H54" s="180" t="s">
        <v>168</v>
      </c>
      <c r="I54" s="188" t="s">
        <v>153</v>
      </c>
      <c r="J54" s="188" t="s">
        <v>38</v>
      </c>
      <c r="K54" s="188" t="s">
        <v>154</v>
      </c>
      <c r="L54" s="180">
        <v>2</v>
      </c>
      <c r="N54" s="180">
        <v>1</v>
      </c>
      <c r="O54" s="180">
        <v>0.45</v>
      </c>
      <c r="P54" s="180">
        <v>0.5</v>
      </c>
      <c r="Q54" s="217">
        <f t="shared" si="0"/>
        <v>0.47499999999999998</v>
      </c>
      <c r="R54" s="180">
        <v>15.6</v>
      </c>
      <c r="S54" s="180">
        <v>151</v>
      </c>
      <c r="T54" s="189">
        <f t="shared" si="1"/>
        <v>30</v>
      </c>
      <c r="U54" s="180">
        <v>171</v>
      </c>
      <c r="V54" s="189">
        <f t="shared" si="2"/>
        <v>5130</v>
      </c>
      <c r="W54" s="180">
        <v>3</v>
      </c>
      <c r="X54" s="188" t="s">
        <v>39</v>
      </c>
      <c r="Y54" s="188" t="s">
        <v>78</v>
      </c>
      <c r="Z54" s="188" t="s">
        <v>102</v>
      </c>
      <c r="AA54" s="188" t="s">
        <v>69</v>
      </c>
      <c r="AB54" s="188" t="s">
        <v>348</v>
      </c>
    </row>
    <row r="55" spans="1:28" x14ac:dyDescent="0.15">
      <c r="A55" s="188" t="s">
        <v>34</v>
      </c>
      <c r="B55" s="180" t="s">
        <v>346</v>
      </c>
      <c r="C55" s="180">
        <v>2018</v>
      </c>
      <c r="D55" s="222" t="s">
        <v>512</v>
      </c>
      <c r="E55" s="209" t="s">
        <v>330</v>
      </c>
      <c r="F55" s="209" t="s">
        <v>331</v>
      </c>
      <c r="G55" s="188" t="s">
        <v>36</v>
      </c>
      <c r="H55" s="180" t="s">
        <v>168</v>
      </c>
      <c r="I55" s="188" t="s">
        <v>153</v>
      </c>
      <c r="J55" s="188" t="s">
        <v>38</v>
      </c>
      <c r="K55" s="188" t="s">
        <v>154</v>
      </c>
      <c r="L55" s="180">
        <v>3</v>
      </c>
      <c r="N55" s="180">
        <v>1</v>
      </c>
      <c r="O55" s="180">
        <v>0.2</v>
      </c>
      <c r="P55" s="180">
        <v>0.2</v>
      </c>
      <c r="Q55" s="217">
        <f t="shared" si="0"/>
        <v>0.2</v>
      </c>
      <c r="R55" s="180">
        <v>15.6</v>
      </c>
      <c r="S55" s="180">
        <v>135</v>
      </c>
      <c r="T55" s="189">
        <f t="shared" si="1"/>
        <v>30</v>
      </c>
      <c r="U55" s="180">
        <v>171</v>
      </c>
      <c r="V55" s="189">
        <f t="shared" si="2"/>
        <v>5130</v>
      </c>
      <c r="W55" s="180">
        <v>3</v>
      </c>
      <c r="X55" s="188" t="s">
        <v>39</v>
      </c>
      <c r="Y55" s="188" t="s">
        <v>78</v>
      </c>
      <c r="Z55" s="188" t="s">
        <v>102</v>
      </c>
      <c r="AA55" s="188" t="s">
        <v>69</v>
      </c>
      <c r="AB55" s="188" t="s">
        <v>348</v>
      </c>
    </row>
    <row r="56" spans="1:28" x14ac:dyDescent="0.15">
      <c r="A56" s="188" t="s">
        <v>34</v>
      </c>
      <c r="B56" s="180" t="s">
        <v>346</v>
      </c>
      <c r="C56" s="180">
        <v>2018</v>
      </c>
      <c r="D56" s="222" t="s">
        <v>512</v>
      </c>
      <c r="E56" s="209" t="s">
        <v>330</v>
      </c>
      <c r="F56" s="209" t="s">
        <v>331</v>
      </c>
      <c r="G56" s="188" t="s">
        <v>36</v>
      </c>
      <c r="H56" s="180" t="s">
        <v>168</v>
      </c>
      <c r="I56" s="188" t="s">
        <v>153</v>
      </c>
      <c r="J56" s="188" t="s">
        <v>38</v>
      </c>
      <c r="K56" s="188" t="s">
        <v>154</v>
      </c>
      <c r="L56" s="188">
        <v>1</v>
      </c>
      <c r="N56" s="180">
        <v>4</v>
      </c>
      <c r="O56" s="180">
        <v>0.5</v>
      </c>
      <c r="P56" s="180">
        <v>0.6</v>
      </c>
      <c r="Q56" s="217">
        <f t="shared" si="0"/>
        <v>0.55000000000000004</v>
      </c>
      <c r="R56" s="180">
        <v>16.2</v>
      </c>
      <c r="S56" s="180">
        <v>140</v>
      </c>
      <c r="T56" s="189">
        <f t="shared" si="1"/>
        <v>30</v>
      </c>
      <c r="U56" s="180">
        <v>626</v>
      </c>
      <c r="V56" s="189">
        <f t="shared" si="2"/>
        <v>4695</v>
      </c>
      <c r="W56" s="180">
        <v>3</v>
      </c>
      <c r="X56" s="188" t="s">
        <v>39</v>
      </c>
      <c r="Y56" s="188" t="s">
        <v>78</v>
      </c>
      <c r="Z56" s="188" t="s">
        <v>102</v>
      </c>
      <c r="AA56" s="188" t="s">
        <v>69</v>
      </c>
      <c r="AB56" s="188" t="s">
        <v>348</v>
      </c>
    </row>
    <row r="57" spans="1:28" x14ac:dyDescent="0.15">
      <c r="A57" s="188" t="s">
        <v>34</v>
      </c>
      <c r="B57" s="180" t="s">
        <v>346</v>
      </c>
      <c r="C57" s="180">
        <v>2018</v>
      </c>
      <c r="D57" s="222" t="s">
        <v>512</v>
      </c>
      <c r="E57" s="209" t="s">
        <v>330</v>
      </c>
      <c r="F57" s="209" t="s">
        <v>331</v>
      </c>
      <c r="G57" s="188" t="s">
        <v>36</v>
      </c>
      <c r="H57" s="180" t="s">
        <v>168</v>
      </c>
      <c r="I57" s="188" t="s">
        <v>153</v>
      </c>
      <c r="J57" s="188" t="s">
        <v>38</v>
      </c>
      <c r="K57" s="188" t="s">
        <v>154</v>
      </c>
      <c r="L57" s="180">
        <v>2</v>
      </c>
      <c r="N57" s="180">
        <v>4</v>
      </c>
      <c r="O57" s="180">
        <v>0.5</v>
      </c>
      <c r="P57" s="180">
        <v>0.6</v>
      </c>
      <c r="Q57" s="217">
        <f t="shared" si="0"/>
        <v>0.55000000000000004</v>
      </c>
      <c r="R57" s="180">
        <v>15.8</v>
      </c>
      <c r="S57" s="180">
        <v>137</v>
      </c>
      <c r="T57" s="189">
        <f t="shared" si="1"/>
        <v>30</v>
      </c>
      <c r="U57" s="180">
        <v>626</v>
      </c>
      <c r="V57" s="189">
        <f t="shared" si="2"/>
        <v>4695</v>
      </c>
      <c r="W57" s="180">
        <v>3</v>
      </c>
      <c r="X57" s="188" t="s">
        <v>39</v>
      </c>
      <c r="Y57" s="188" t="s">
        <v>78</v>
      </c>
      <c r="Z57" s="188" t="s">
        <v>102</v>
      </c>
      <c r="AA57" s="188" t="s">
        <v>69</v>
      </c>
      <c r="AB57" s="188" t="s">
        <v>348</v>
      </c>
    </row>
    <row r="58" spans="1:28" x14ac:dyDescent="0.15">
      <c r="A58" s="188" t="s">
        <v>34</v>
      </c>
      <c r="B58" s="180" t="s">
        <v>346</v>
      </c>
      <c r="C58" s="180">
        <v>2018</v>
      </c>
      <c r="D58" s="222" t="s">
        <v>512</v>
      </c>
      <c r="E58" s="209" t="s">
        <v>330</v>
      </c>
      <c r="F58" s="209" t="s">
        <v>331</v>
      </c>
      <c r="G58" s="188" t="s">
        <v>36</v>
      </c>
      <c r="H58" s="180" t="s">
        <v>168</v>
      </c>
      <c r="I58" s="188" t="s">
        <v>153</v>
      </c>
      <c r="J58" s="188" t="s">
        <v>38</v>
      </c>
      <c r="K58" s="188" t="s">
        <v>154</v>
      </c>
      <c r="L58" s="180">
        <v>3</v>
      </c>
      <c r="N58" s="180">
        <v>4</v>
      </c>
      <c r="O58" s="180">
        <v>0.2</v>
      </c>
      <c r="P58" s="180">
        <v>0.2</v>
      </c>
      <c r="Q58" s="217">
        <f t="shared" si="0"/>
        <v>0.2</v>
      </c>
      <c r="R58" s="180">
        <v>18.3</v>
      </c>
      <c r="S58" s="180">
        <v>133</v>
      </c>
      <c r="T58" s="189">
        <f t="shared" si="1"/>
        <v>30</v>
      </c>
      <c r="U58" s="180">
        <v>626</v>
      </c>
      <c r="V58" s="189">
        <f t="shared" si="2"/>
        <v>4695</v>
      </c>
      <c r="W58" s="180">
        <v>3</v>
      </c>
      <c r="X58" s="188" t="s">
        <v>39</v>
      </c>
      <c r="Y58" s="188" t="s">
        <v>78</v>
      </c>
      <c r="Z58" s="188" t="s">
        <v>102</v>
      </c>
      <c r="AA58" s="188" t="s">
        <v>69</v>
      </c>
      <c r="AB58" s="188" t="s">
        <v>348</v>
      </c>
    </row>
    <row r="59" spans="1:28" x14ac:dyDescent="0.15">
      <c r="A59" s="188" t="s">
        <v>34</v>
      </c>
      <c r="B59" s="180" t="s">
        <v>346</v>
      </c>
      <c r="C59" s="180">
        <v>2018</v>
      </c>
      <c r="D59" s="222" t="s">
        <v>512</v>
      </c>
      <c r="E59" s="209" t="s">
        <v>332</v>
      </c>
      <c r="F59" s="209" t="s">
        <v>333</v>
      </c>
      <c r="G59" s="188" t="s">
        <v>36</v>
      </c>
      <c r="H59" s="180" t="s">
        <v>155</v>
      </c>
      <c r="I59" s="188" t="s">
        <v>153</v>
      </c>
      <c r="J59" s="188" t="s">
        <v>38</v>
      </c>
      <c r="K59" s="188" t="s">
        <v>154</v>
      </c>
      <c r="L59" s="188">
        <v>1</v>
      </c>
      <c r="N59" s="180">
        <v>1</v>
      </c>
      <c r="O59" s="180">
        <v>0.5</v>
      </c>
      <c r="P59" s="180">
        <v>0.55000000000000004</v>
      </c>
      <c r="Q59" s="217">
        <f t="shared" si="0"/>
        <v>0.52500000000000002</v>
      </c>
      <c r="R59" s="180">
        <v>15.3</v>
      </c>
      <c r="S59" s="180">
        <v>146</v>
      </c>
      <c r="T59" s="189">
        <f t="shared" si="1"/>
        <v>30</v>
      </c>
      <c r="U59" s="180">
        <v>138</v>
      </c>
      <c r="V59" s="189">
        <f t="shared" si="2"/>
        <v>4140</v>
      </c>
      <c r="W59" s="180">
        <v>3</v>
      </c>
      <c r="X59" s="188" t="s">
        <v>46</v>
      </c>
      <c r="Y59" s="188" t="s">
        <v>102</v>
      </c>
      <c r="Z59" s="188" t="s">
        <v>78</v>
      </c>
      <c r="AA59" s="188" t="s">
        <v>90</v>
      </c>
      <c r="AB59" s="188" t="s">
        <v>348</v>
      </c>
    </row>
    <row r="60" spans="1:28" x14ac:dyDescent="0.15">
      <c r="A60" s="188" t="s">
        <v>34</v>
      </c>
      <c r="B60" s="180" t="s">
        <v>346</v>
      </c>
      <c r="C60" s="180">
        <v>2018</v>
      </c>
      <c r="D60" s="222" t="s">
        <v>512</v>
      </c>
      <c r="E60" s="209" t="s">
        <v>332</v>
      </c>
      <c r="F60" s="209" t="s">
        <v>333</v>
      </c>
      <c r="G60" s="188" t="s">
        <v>36</v>
      </c>
      <c r="H60" s="180" t="s">
        <v>155</v>
      </c>
      <c r="I60" s="188" t="s">
        <v>153</v>
      </c>
      <c r="J60" s="188" t="s">
        <v>38</v>
      </c>
      <c r="K60" s="188" t="s">
        <v>154</v>
      </c>
      <c r="L60" s="180">
        <v>2</v>
      </c>
      <c r="N60" s="180">
        <v>1</v>
      </c>
      <c r="O60" s="180">
        <v>0.8</v>
      </c>
      <c r="P60" s="180">
        <v>0.9</v>
      </c>
      <c r="Q60" s="217">
        <f t="shared" si="0"/>
        <v>0.85000000000000009</v>
      </c>
      <c r="R60" s="180">
        <v>15</v>
      </c>
      <c r="S60" s="180">
        <v>153</v>
      </c>
      <c r="T60" s="189">
        <f t="shared" si="1"/>
        <v>18</v>
      </c>
      <c r="U60" s="180">
        <v>138</v>
      </c>
      <c r="V60" s="189">
        <f t="shared" si="2"/>
        <v>2484</v>
      </c>
      <c r="W60" s="180">
        <v>3</v>
      </c>
      <c r="X60" s="188" t="s">
        <v>46</v>
      </c>
      <c r="Y60" s="188" t="s">
        <v>102</v>
      </c>
      <c r="Z60" s="188" t="s">
        <v>78</v>
      </c>
      <c r="AA60" s="188" t="s">
        <v>90</v>
      </c>
      <c r="AB60" s="188" t="s">
        <v>348</v>
      </c>
    </row>
    <row r="61" spans="1:28" x14ac:dyDescent="0.15">
      <c r="A61" s="188" t="s">
        <v>34</v>
      </c>
      <c r="B61" s="180" t="s">
        <v>346</v>
      </c>
      <c r="C61" s="180">
        <v>2018</v>
      </c>
      <c r="D61" s="222" t="s">
        <v>512</v>
      </c>
      <c r="E61" s="209" t="s">
        <v>332</v>
      </c>
      <c r="F61" s="209" t="s">
        <v>333</v>
      </c>
      <c r="G61" s="188" t="s">
        <v>36</v>
      </c>
      <c r="H61" s="180" t="s">
        <v>155</v>
      </c>
      <c r="I61" s="188" t="s">
        <v>153</v>
      </c>
      <c r="J61" s="188" t="s">
        <v>38</v>
      </c>
      <c r="K61" s="188" t="s">
        <v>154</v>
      </c>
      <c r="L61" s="180">
        <v>3</v>
      </c>
      <c r="N61" s="180">
        <v>1</v>
      </c>
      <c r="O61" s="180">
        <v>0.55000000000000004</v>
      </c>
      <c r="P61" s="180">
        <v>0.55000000000000004</v>
      </c>
      <c r="Q61" s="217">
        <f t="shared" si="0"/>
        <v>0.55000000000000004</v>
      </c>
      <c r="R61" s="180">
        <v>15.6</v>
      </c>
      <c r="S61" s="180">
        <v>148</v>
      </c>
      <c r="T61" s="189">
        <f t="shared" si="1"/>
        <v>30</v>
      </c>
      <c r="U61" s="180">
        <v>138</v>
      </c>
      <c r="V61" s="189">
        <f t="shared" si="2"/>
        <v>4140</v>
      </c>
      <c r="W61" s="180">
        <v>3</v>
      </c>
      <c r="X61" s="188" t="s">
        <v>46</v>
      </c>
      <c r="Y61" s="188" t="s">
        <v>102</v>
      </c>
      <c r="Z61" s="188" t="s">
        <v>78</v>
      </c>
      <c r="AA61" s="188" t="s">
        <v>90</v>
      </c>
      <c r="AB61" s="188" t="s">
        <v>348</v>
      </c>
    </row>
    <row r="62" spans="1:28" x14ac:dyDescent="0.15">
      <c r="A62" s="188" t="s">
        <v>34</v>
      </c>
      <c r="B62" s="180" t="s">
        <v>346</v>
      </c>
      <c r="C62" s="180">
        <v>2018</v>
      </c>
      <c r="D62" s="222" t="s">
        <v>512</v>
      </c>
      <c r="E62" s="209" t="s">
        <v>332</v>
      </c>
      <c r="F62" s="209" t="s">
        <v>333</v>
      </c>
      <c r="G62" s="188" t="s">
        <v>36</v>
      </c>
      <c r="H62" s="180" t="s">
        <v>155</v>
      </c>
      <c r="I62" s="188" t="s">
        <v>153</v>
      </c>
      <c r="J62" s="188" t="s">
        <v>38</v>
      </c>
      <c r="K62" s="188" t="s">
        <v>154</v>
      </c>
      <c r="L62" s="188">
        <v>1</v>
      </c>
      <c r="N62" s="180">
        <v>4</v>
      </c>
      <c r="O62" s="180">
        <v>0.8</v>
      </c>
      <c r="P62" s="180">
        <v>0.75</v>
      </c>
      <c r="Q62" s="217">
        <f t="shared" si="0"/>
        <v>0.77500000000000002</v>
      </c>
      <c r="R62" s="180">
        <v>15</v>
      </c>
      <c r="S62" s="180">
        <v>87</v>
      </c>
      <c r="T62" s="189">
        <f t="shared" si="1"/>
        <v>36</v>
      </c>
      <c r="U62" s="180">
        <v>321</v>
      </c>
      <c r="V62" s="189">
        <f t="shared" si="2"/>
        <v>2889</v>
      </c>
      <c r="W62" s="180">
        <v>3</v>
      </c>
      <c r="X62" s="188" t="s">
        <v>46</v>
      </c>
      <c r="Y62" s="188" t="s">
        <v>102</v>
      </c>
      <c r="Z62" s="188" t="s">
        <v>78</v>
      </c>
      <c r="AA62" s="188" t="s">
        <v>90</v>
      </c>
      <c r="AB62" s="188" t="s">
        <v>348</v>
      </c>
    </row>
    <row r="63" spans="1:28" x14ac:dyDescent="0.15">
      <c r="A63" s="188" t="s">
        <v>34</v>
      </c>
      <c r="B63" s="180" t="s">
        <v>346</v>
      </c>
      <c r="C63" s="180">
        <v>2018</v>
      </c>
      <c r="D63" s="222" t="s">
        <v>512</v>
      </c>
      <c r="E63" s="209" t="s">
        <v>332</v>
      </c>
      <c r="F63" s="209" t="s">
        <v>333</v>
      </c>
      <c r="G63" s="188" t="s">
        <v>36</v>
      </c>
      <c r="H63" s="180" t="s">
        <v>155</v>
      </c>
      <c r="I63" s="188" t="s">
        <v>153</v>
      </c>
      <c r="J63" s="188" t="s">
        <v>38</v>
      </c>
      <c r="K63" s="188" t="s">
        <v>154</v>
      </c>
      <c r="L63" s="180">
        <v>2</v>
      </c>
      <c r="N63" s="180">
        <v>4</v>
      </c>
      <c r="O63" s="180">
        <v>0.9</v>
      </c>
      <c r="P63" s="180">
        <v>0.85</v>
      </c>
      <c r="Q63" s="217">
        <f t="shared" si="0"/>
        <v>0.875</v>
      </c>
      <c r="R63" s="180">
        <v>13.8</v>
      </c>
      <c r="S63" s="180">
        <v>94</v>
      </c>
      <c r="T63" s="189">
        <f t="shared" si="1"/>
        <v>36</v>
      </c>
      <c r="U63" s="180">
        <v>321</v>
      </c>
      <c r="V63" s="189">
        <f t="shared" si="2"/>
        <v>2889</v>
      </c>
      <c r="W63" s="180">
        <v>3</v>
      </c>
      <c r="X63" s="188" t="s">
        <v>46</v>
      </c>
      <c r="Y63" s="188" t="s">
        <v>102</v>
      </c>
      <c r="Z63" s="188" t="s">
        <v>78</v>
      </c>
      <c r="AA63" s="188" t="s">
        <v>90</v>
      </c>
      <c r="AB63" s="188" t="s">
        <v>348</v>
      </c>
    </row>
    <row r="64" spans="1:28" x14ac:dyDescent="0.15">
      <c r="A64" s="188" t="s">
        <v>34</v>
      </c>
      <c r="B64" s="180" t="s">
        <v>346</v>
      </c>
      <c r="C64" s="180">
        <v>2018</v>
      </c>
      <c r="D64" s="222" t="s">
        <v>512</v>
      </c>
      <c r="E64" s="209" t="s">
        <v>332</v>
      </c>
      <c r="F64" s="209" t="s">
        <v>333</v>
      </c>
      <c r="G64" s="188" t="s">
        <v>36</v>
      </c>
      <c r="H64" s="180" t="s">
        <v>155</v>
      </c>
      <c r="I64" s="188" t="s">
        <v>153</v>
      </c>
      <c r="J64" s="188" t="s">
        <v>38</v>
      </c>
      <c r="K64" s="188" t="s">
        <v>154</v>
      </c>
      <c r="L64" s="180">
        <v>3</v>
      </c>
      <c r="N64" s="180">
        <v>4</v>
      </c>
      <c r="O64" s="180">
        <v>0.7</v>
      </c>
      <c r="P64" s="180">
        <v>0.7</v>
      </c>
      <c r="Q64" s="217">
        <f t="shared" si="0"/>
        <v>0.7</v>
      </c>
      <c r="R64" s="180">
        <v>14.5</v>
      </c>
      <c r="S64" s="180">
        <v>98</v>
      </c>
      <c r="T64" s="189">
        <f t="shared" si="1"/>
        <v>36</v>
      </c>
      <c r="U64" s="180">
        <v>321</v>
      </c>
      <c r="V64" s="189">
        <f t="shared" si="2"/>
        <v>2889</v>
      </c>
      <c r="W64" s="180">
        <v>3</v>
      </c>
      <c r="X64" s="188" t="s">
        <v>46</v>
      </c>
      <c r="Y64" s="188" t="s">
        <v>102</v>
      </c>
      <c r="Z64" s="188" t="s">
        <v>78</v>
      </c>
      <c r="AA64" s="188" t="s">
        <v>90</v>
      </c>
      <c r="AB64" s="188" t="s">
        <v>348</v>
      </c>
    </row>
    <row r="65" spans="1:28" x14ac:dyDescent="0.15">
      <c r="A65" s="188" t="s">
        <v>34</v>
      </c>
      <c r="B65" s="180" t="s">
        <v>346</v>
      </c>
      <c r="C65" s="180">
        <v>2018</v>
      </c>
      <c r="D65" s="222" t="s">
        <v>512</v>
      </c>
      <c r="E65" s="209" t="s">
        <v>332</v>
      </c>
      <c r="F65" s="209" t="s">
        <v>333</v>
      </c>
      <c r="G65" s="188" t="s">
        <v>36</v>
      </c>
      <c r="H65" s="180" t="s">
        <v>168</v>
      </c>
      <c r="I65" s="188" t="s">
        <v>153</v>
      </c>
      <c r="J65" s="188" t="s">
        <v>38</v>
      </c>
      <c r="K65" s="188" t="s">
        <v>154</v>
      </c>
      <c r="L65" s="188">
        <v>1</v>
      </c>
      <c r="N65" s="180">
        <v>1</v>
      </c>
      <c r="O65" s="180">
        <v>0.5</v>
      </c>
      <c r="P65" s="180">
        <v>0.5</v>
      </c>
      <c r="Q65" s="217">
        <f t="shared" si="0"/>
        <v>0.5</v>
      </c>
      <c r="R65" s="180">
        <v>16.5</v>
      </c>
      <c r="S65" s="180">
        <v>146</v>
      </c>
      <c r="T65" s="189">
        <f t="shared" si="1"/>
        <v>30</v>
      </c>
      <c r="U65" s="180">
        <v>138</v>
      </c>
      <c r="V65" s="189">
        <f t="shared" si="2"/>
        <v>4140</v>
      </c>
      <c r="W65" s="180">
        <v>3</v>
      </c>
      <c r="X65" s="188" t="s">
        <v>46</v>
      </c>
      <c r="Y65" s="188" t="s">
        <v>102</v>
      </c>
      <c r="Z65" s="188" t="s">
        <v>78</v>
      </c>
      <c r="AA65" s="188" t="s">
        <v>90</v>
      </c>
      <c r="AB65" s="188" t="s">
        <v>348</v>
      </c>
    </row>
    <row r="66" spans="1:28" x14ac:dyDescent="0.15">
      <c r="A66" s="188" t="s">
        <v>34</v>
      </c>
      <c r="B66" s="180" t="s">
        <v>346</v>
      </c>
      <c r="C66" s="180">
        <v>2018</v>
      </c>
      <c r="D66" s="222" t="s">
        <v>512</v>
      </c>
      <c r="E66" s="209" t="s">
        <v>332</v>
      </c>
      <c r="F66" s="209" t="s">
        <v>333</v>
      </c>
      <c r="G66" s="188" t="s">
        <v>36</v>
      </c>
      <c r="H66" s="180" t="s">
        <v>168</v>
      </c>
      <c r="I66" s="188" t="s">
        <v>153</v>
      </c>
      <c r="J66" s="188" t="s">
        <v>38</v>
      </c>
      <c r="K66" s="188" t="s">
        <v>154</v>
      </c>
      <c r="L66" s="180">
        <v>2</v>
      </c>
      <c r="N66" s="180">
        <v>1</v>
      </c>
      <c r="O66" s="180">
        <v>0.75</v>
      </c>
      <c r="P66" s="180">
        <v>0.8</v>
      </c>
      <c r="Q66" s="217">
        <f t="shared" si="0"/>
        <v>0.77500000000000002</v>
      </c>
      <c r="R66" s="180">
        <v>13.2</v>
      </c>
      <c r="S66" s="180">
        <v>143</v>
      </c>
      <c r="T66" s="189">
        <f t="shared" si="1"/>
        <v>30</v>
      </c>
      <c r="U66" s="180">
        <v>138</v>
      </c>
      <c r="V66" s="189">
        <f t="shared" si="2"/>
        <v>4140</v>
      </c>
      <c r="W66" s="180">
        <v>3</v>
      </c>
      <c r="X66" s="188" t="s">
        <v>46</v>
      </c>
      <c r="Y66" s="188" t="s">
        <v>102</v>
      </c>
      <c r="Z66" s="188" t="s">
        <v>78</v>
      </c>
      <c r="AA66" s="188" t="s">
        <v>90</v>
      </c>
      <c r="AB66" s="188" t="s">
        <v>348</v>
      </c>
    </row>
    <row r="67" spans="1:28" x14ac:dyDescent="0.15">
      <c r="A67" s="188" t="s">
        <v>34</v>
      </c>
      <c r="B67" s="180" t="s">
        <v>346</v>
      </c>
      <c r="C67" s="180">
        <v>2018</v>
      </c>
      <c r="D67" s="222" t="s">
        <v>512</v>
      </c>
      <c r="E67" s="209" t="s">
        <v>332</v>
      </c>
      <c r="F67" s="209" t="s">
        <v>333</v>
      </c>
      <c r="G67" s="188" t="s">
        <v>36</v>
      </c>
      <c r="H67" s="180" t="s">
        <v>168</v>
      </c>
      <c r="I67" s="188" t="s">
        <v>153</v>
      </c>
      <c r="J67" s="188" t="s">
        <v>38</v>
      </c>
      <c r="K67" s="188" t="s">
        <v>154</v>
      </c>
      <c r="L67" s="180">
        <v>3</v>
      </c>
      <c r="N67" s="180">
        <v>1</v>
      </c>
      <c r="O67" s="180">
        <v>0.65</v>
      </c>
      <c r="P67" s="180">
        <v>0.6</v>
      </c>
      <c r="Q67" s="217">
        <f t="shared" si="0"/>
        <v>0.625</v>
      </c>
      <c r="R67" s="180">
        <v>14.7</v>
      </c>
      <c r="S67" s="180">
        <v>144</v>
      </c>
      <c r="T67" s="189">
        <f t="shared" si="1"/>
        <v>30</v>
      </c>
      <c r="U67" s="180">
        <v>138</v>
      </c>
      <c r="V67" s="189">
        <f t="shared" si="2"/>
        <v>4140</v>
      </c>
      <c r="W67" s="180">
        <v>3</v>
      </c>
      <c r="X67" s="188" t="s">
        <v>46</v>
      </c>
      <c r="Y67" s="188" t="s">
        <v>102</v>
      </c>
      <c r="Z67" s="188" t="s">
        <v>78</v>
      </c>
      <c r="AA67" s="188" t="s">
        <v>90</v>
      </c>
      <c r="AB67" s="188" t="s">
        <v>348</v>
      </c>
    </row>
    <row r="68" spans="1:28" x14ac:dyDescent="0.15">
      <c r="A68" s="188" t="s">
        <v>34</v>
      </c>
      <c r="B68" s="180" t="s">
        <v>346</v>
      </c>
      <c r="C68" s="180">
        <v>2018</v>
      </c>
      <c r="D68" s="222" t="s">
        <v>512</v>
      </c>
      <c r="E68" s="209" t="s">
        <v>332</v>
      </c>
      <c r="F68" s="209" t="s">
        <v>333</v>
      </c>
      <c r="G68" s="188" t="s">
        <v>36</v>
      </c>
      <c r="H68" s="180" t="s">
        <v>168</v>
      </c>
      <c r="I68" s="188" t="s">
        <v>153</v>
      </c>
      <c r="J68" s="188" t="s">
        <v>38</v>
      </c>
      <c r="K68" s="188" t="s">
        <v>154</v>
      </c>
      <c r="L68" s="188">
        <v>1</v>
      </c>
      <c r="N68" s="180">
        <v>4</v>
      </c>
      <c r="O68" s="180">
        <v>0.2</v>
      </c>
      <c r="P68" s="180">
        <v>0.2</v>
      </c>
      <c r="Q68" s="217">
        <f t="shared" si="0"/>
        <v>0.2</v>
      </c>
      <c r="R68" s="180">
        <v>14.4</v>
      </c>
      <c r="S68" s="180">
        <v>109</v>
      </c>
      <c r="T68" s="189">
        <f t="shared" si="1"/>
        <v>33</v>
      </c>
      <c r="U68" s="180">
        <v>429</v>
      </c>
      <c r="V68" s="189">
        <f t="shared" si="2"/>
        <v>3539.25</v>
      </c>
      <c r="W68" s="180">
        <v>3</v>
      </c>
      <c r="X68" s="188" t="s">
        <v>46</v>
      </c>
      <c r="Y68" s="188" t="s">
        <v>102</v>
      </c>
      <c r="Z68" s="188" t="s">
        <v>78</v>
      </c>
      <c r="AA68" s="188" t="s">
        <v>90</v>
      </c>
      <c r="AB68" s="188" t="s">
        <v>348</v>
      </c>
    </row>
    <row r="69" spans="1:28" x14ac:dyDescent="0.15">
      <c r="A69" s="188" t="s">
        <v>34</v>
      </c>
      <c r="B69" s="180" t="s">
        <v>346</v>
      </c>
      <c r="C69" s="180">
        <v>2018</v>
      </c>
      <c r="D69" s="222" t="s">
        <v>512</v>
      </c>
      <c r="E69" s="209" t="s">
        <v>332</v>
      </c>
      <c r="F69" s="209" t="s">
        <v>333</v>
      </c>
      <c r="G69" s="188" t="s">
        <v>36</v>
      </c>
      <c r="H69" s="180" t="s">
        <v>168</v>
      </c>
      <c r="I69" s="188" t="s">
        <v>153</v>
      </c>
      <c r="J69" s="188" t="s">
        <v>38</v>
      </c>
      <c r="K69" s="188" t="s">
        <v>154</v>
      </c>
      <c r="L69" s="180">
        <v>2</v>
      </c>
      <c r="N69" s="180">
        <v>4</v>
      </c>
      <c r="O69" s="180">
        <v>0.45</v>
      </c>
      <c r="P69" s="180">
        <v>0.55000000000000004</v>
      </c>
      <c r="Q69" s="217">
        <f t="shared" si="0"/>
        <v>0.5</v>
      </c>
      <c r="R69" s="180">
        <v>16.100000000000001</v>
      </c>
      <c r="S69" s="180">
        <v>116</v>
      </c>
      <c r="T69" s="189">
        <f t="shared" si="1"/>
        <v>30</v>
      </c>
      <c r="U69" s="180">
        <v>429</v>
      </c>
      <c r="V69" s="189">
        <f t="shared" si="2"/>
        <v>3217.5</v>
      </c>
      <c r="W69" s="180">
        <v>3</v>
      </c>
      <c r="X69" s="188" t="s">
        <v>46</v>
      </c>
      <c r="Y69" s="188" t="s">
        <v>102</v>
      </c>
      <c r="Z69" s="188" t="s">
        <v>78</v>
      </c>
      <c r="AA69" s="188" t="s">
        <v>90</v>
      </c>
      <c r="AB69" s="188" t="s">
        <v>348</v>
      </c>
    </row>
    <row r="70" spans="1:28" x14ac:dyDescent="0.15">
      <c r="A70" s="188" t="s">
        <v>34</v>
      </c>
      <c r="B70" s="180" t="s">
        <v>346</v>
      </c>
      <c r="C70" s="180">
        <v>2018</v>
      </c>
      <c r="D70" s="222" t="s">
        <v>512</v>
      </c>
      <c r="E70" s="209" t="s">
        <v>332</v>
      </c>
      <c r="F70" s="209" t="s">
        <v>333</v>
      </c>
      <c r="G70" s="188" t="s">
        <v>36</v>
      </c>
      <c r="H70" s="180" t="s">
        <v>168</v>
      </c>
      <c r="I70" s="188" t="s">
        <v>153</v>
      </c>
      <c r="J70" s="188" t="s">
        <v>38</v>
      </c>
      <c r="K70" s="188" t="s">
        <v>154</v>
      </c>
      <c r="L70" s="180">
        <v>3</v>
      </c>
      <c r="N70" s="180">
        <v>4</v>
      </c>
      <c r="O70" s="180">
        <v>0.7</v>
      </c>
      <c r="P70" s="180">
        <v>0.2</v>
      </c>
      <c r="Q70" s="217">
        <f t="shared" si="0"/>
        <v>0.44999999999999996</v>
      </c>
      <c r="R70" s="180">
        <v>16.399999999999999</v>
      </c>
      <c r="S70" s="180">
        <v>110</v>
      </c>
      <c r="T70" s="189">
        <f t="shared" si="1"/>
        <v>33</v>
      </c>
      <c r="U70" s="180">
        <v>429</v>
      </c>
      <c r="V70" s="189">
        <f t="shared" si="2"/>
        <v>3539.25</v>
      </c>
      <c r="W70" s="180">
        <v>3</v>
      </c>
      <c r="X70" s="188" t="s">
        <v>46</v>
      </c>
      <c r="Y70" s="188" t="s">
        <v>102</v>
      </c>
      <c r="Z70" s="188" t="s">
        <v>78</v>
      </c>
      <c r="AA70" s="188" t="s">
        <v>90</v>
      </c>
      <c r="AB70" s="188" t="s">
        <v>348</v>
      </c>
    </row>
    <row r="71" spans="1:28" x14ac:dyDescent="0.15">
      <c r="A71" s="188" t="s">
        <v>34</v>
      </c>
      <c r="B71" s="180" t="s">
        <v>346</v>
      </c>
      <c r="C71" s="180">
        <v>2018</v>
      </c>
      <c r="D71" s="222" t="s">
        <v>512</v>
      </c>
      <c r="E71" s="209" t="s">
        <v>334</v>
      </c>
      <c r="F71" s="209" t="s">
        <v>335</v>
      </c>
      <c r="G71" s="188" t="s">
        <v>36</v>
      </c>
      <c r="H71" s="180" t="s">
        <v>155</v>
      </c>
      <c r="I71" s="188" t="s">
        <v>153</v>
      </c>
      <c r="J71" s="188" t="s">
        <v>38</v>
      </c>
      <c r="K71" s="188" t="s">
        <v>154</v>
      </c>
      <c r="L71" s="188">
        <v>1</v>
      </c>
      <c r="N71" s="180">
        <v>1</v>
      </c>
      <c r="O71" s="180">
        <v>0.85</v>
      </c>
      <c r="P71" s="180">
        <v>1.2</v>
      </c>
      <c r="Q71" s="217">
        <f t="shared" si="0"/>
        <v>1.0249999999999999</v>
      </c>
      <c r="R71" s="180">
        <v>13.7</v>
      </c>
      <c r="S71" s="180">
        <v>142</v>
      </c>
      <c r="T71" s="189">
        <f t="shared" si="1"/>
        <v>30</v>
      </c>
      <c r="U71" s="180">
        <v>108</v>
      </c>
      <c r="V71" s="189">
        <f t="shared" si="2"/>
        <v>3240</v>
      </c>
      <c r="W71" s="180">
        <v>2</v>
      </c>
      <c r="X71" s="188" t="s">
        <v>46</v>
      </c>
      <c r="Y71" s="188" t="s">
        <v>78</v>
      </c>
      <c r="Z71" s="188" t="s">
        <v>69</v>
      </c>
      <c r="AA71" s="188" t="s">
        <v>102</v>
      </c>
      <c r="AB71" s="188" t="s">
        <v>348</v>
      </c>
    </row>
    <row r="72" spans="1:28" x14ac:dyDescent="0.15">
      <c r="A72" s="188" t="s">
        <v>34</v>
      </c>
      <c r="B72" s="180" t="s">
        <v>346</v>
      </c>
      <c r="C72" s="180">
        <v>2018</v>
      </c>
      <c r="D72" s="222" t="s">
        <v>512</v>
      </c>
      <c r="E72" s="209" t="s">
        <v>334</v>
      </c>
      <c r="F72" s="209" t="s">
        <v>335</v>
      </c>
      <c r="G72" s="188" t="s">
        <v>36</v>
      </c>
      <c r="H72" s="180" t="s">
        <v>155</v>
      </c>
      <c r="I72" s="188" t="s">
        <v>153</v>
      </c>
      <c r="J72" s="188" t="s">
        <v>38</v>
      </c>
      <c r="K72" s="188" t="s">
        <v>154</v>
      </c>
      <c r="L72" s="180">
        <v>2</v>
      </c>
      <c r="N72" s="180">
        <v>1</v>
      </c>
      <c r="O72" s="180">
        <v>1.1000000000000001</v>
      </c>
      <c r="P72" s="180">
        <v>1.1000000000000001</v>
      </c>
      <c r="Q72" s="217">
        <f t="shared" si="0"/>
        <v>1.1000000000000001</v>
      </c>
      <c r="R72" s="180">
        <v>10.7</v>
      </c>
      <c r="S72" s="180">
        <v>151</v>
      </c>
      <c r="T72" s="189">
        <f t="shared" si="1"/>
        <v>30</v>
      </c>
      <c r="U72" s="180">
        <v>108</v>
      </c>
      <c r="V72" s="189">
        <f t="shared" si="2"/>
        <v>3240</v>
      </c>
      <c r="W72" s="180">
        <v>2</v>
      </c>
      <c r="X72" s="188" t="s">
        <v>46</v>
      </c>
      <c r="Y72" s="188" t="s">
        <v>78</v>
      </c>
      <c r="Z72" s="188" t="s">
        <v>69</v>
      </c>
      <c r="AA72" s="188" t="s">
        <v>102</v>
      </c>
      <c r="AB72" s="188" t="s">
        <v>348</v>
      </c>
    </row>
    <row r="73" spans="1:28" x14ac:dyDescent="0.15">
      <c r="A73" s="188" t="s">
        <v>34</v>
      </c>
      <c r="B73" s="180" t="s">
        <v>346</v>
      </c>
      <c r="C73" s="180">
        <v>2018</v>
      </c>
      <c r="D73" s="222" t="s">
        <v>512</v>
      </c>
      <c r="E73" s="209" t="s">
        <v>334</v>
      </c>
      <c r="F73" s="209" t="s">
        <v>335</v>
      </c>
      <c r="G73" s="188" t="s">
        <v>36</v>
      </c>
      <c r="H73" s="180" t="s">
        <v>155</v>
      </c>
      <c r="I73" s="188" t="s">
        <v>153</v>
      </c>
      <c r="J73" s="188" t="s">
        <v>38</v>
      </c>
      <c r="K73" s="188" t="s">
        <v>154</v>
      </c>
      <c r="L73" s="180">
        <v>3</v>
      </c>
      <c r="N73" s="180">
        <v>1</v>
      </c>
      <c r="O73" s="180">
        <v>0.95</v>
      </c>
      <c r="P73" s="180">
        <v>0.75</v>
      </c>
      <c r="Q73" s="217">
        <f t="shared" si="0"/>
        <v>0.85</v>
      </c>
      <c r="R73" s="180">
        <v>13.7</v>
      </c>
      <c r="S73" s="180">
        <v>137</v>
      </c>
      <c r="T73" s="189">
        <f t="shared" si="1"/>
        <v>30</v>
      </c>
      <c r="U73" s="180">
        <v>108</v>
      </c>
      <c r="V73" s="189">
        <f t="shared" si="2"/>
        <v>3240</v>
      </c>
      <c r="W73" s="180">
        <v>2</v>
      </c>
      <c r="X73" s="188" t="s">
        <v>46</v>
      </c>
      <c r="Y73" s="188" t="s">
        <v>78</v>
      </c>
      <c r="Z73" s="188" t="s">
        <v>69</v>
      </c>
      <c r="AA73" s="188" t="s">
        <v>102</v>
      </c>
      <c r="AB73" s="188" t="s">
        <v>348</v>
      </c>
    </row>
    <row r="74" spans="1:28" x14ac:dyDescent="0.15">
      <c r="A74" s="188" t="s">
        <v>34</v>
      </c>
      <c r="B74" s="180" t="s">
        <v>346</v>
      </c>
      <c r="C74" s="180">
        <v>2018</v>
      </c>
      <c r="D74" s="222" t="s">
        <v>512</v>
      </c>
      <c r="E74" s="209" t="s">
        <v>334</v>
      </c>
      <c r="F74" s="209" t="s">
        <v>335</v>
      </c>
      <c r="G74" s="188" t="s">
        <v>36</v>
      </c>
      <c r="H74" s="180" t="s">
        <v>168</v>
      </c>
      <c r="I74" s="188" t="s">
        <v>153</v>
      </c>
      <c r="J74" s="188" t="s">
        <v>38</v>
      </c>
      <c r="K74" s="188" t="s">
        <v>154</v>
      </c>
      <c r="L74" s="188">
        <v>1</v>
      </c>
      <c r="N74" s="180">
        <v>1</v>
      </c>
      <c r="O74" s="180">
        <v>0.55000000000000004</v>
      </c>
      <c r="P74" s="180">
        <v>0.6</v>
      </c>
      <c r="Q74" s="217">
        <f t="shared" si="0"/>
        <v>0.57499999999999996</v>
      </c>
      <c r="R74" s="180">
        <v>14.6</v>
      </c>
      <c r="S74" s="180">
        <v>148</v>
      </c>
      <c r="T74" s="189">
        <f t="shared" si="1"/>
        <v>30</v>
      </c>
      <c r="U74" s="180">
        <v>139</v>
      </c>
      <c r="V74" s="189">
        <f t="shared" si="2"/>
        <v>4170</v>
      </c>
      <c r="W74" s="180">
        <v>4</v>
      </c>
      <c r="X74" s="188" t="s">
        <v>46</v>
      </c>
      <c r="Y74" s="188" t="s">
        <v>78</v>
      </c>
      <c r="Z74" s="188" t="s">
        <v>69</v>
      </c>
      <c r="AA74" s="188" t="s">
        <v>102</v>
      </c>
      <c r="AB74" s="188" t="s">
        <v>348</v>
      </c>
    </row>
    <row r="75" spans="1:28" x14ac:dyDescent="0.15">
      <c r="A75" s="188" t="s">
        <v>34</v>
      </c>
      <c r="B75" s="180" t="s">
        <v>346</v>
      </c>
      <c r="C75" s="180">
        <v>2018</v>
      </c>
      <c r="D75" s="222" t="s">
        <v>512</v>
      </c>
      <c r="E75" s="209" t="s">
        <v>334</v>
      </c>
      <c r="F75" s="209" t="s">
        <v>335</v>
      </c>
      <c r="G75" s="188" t="s">
        <v>36</v>
      </c>
      <c r="H75" s="180" t="s">
        <v>168</v>
      </c>
      <c r="I75" s="188" t="s">
        <v>153</v>
      </c>
      <c r="J75" s="188" t="s">
        <v>38</v>
      </c>
      <c r="K75" s="188" t="s">
        <v>154</v>
      </c>
      <c r="L75" s="180">
        <v>2</v>
      </c>
      <c r="N75" s="180">
        <v>1</v>
      </c>
      <c r="O75" s="180">
        <v>0.65</v>
      </c>
      <c r="P75" s="180">
        <v>0.7</v>
      </c>
      <c r="Q75" s="217">
        <f t="shared" si="0"/>
        <v>0.67500000000000004</v>
      </c>
      <c r="R75" s="180">
        <v>14.6</v>
      </c>
      <c r="S75" s="180">
        <v>148</v>
      </c>
      <c r="T75" s="189">
        <f t="shared" si="1"/>
        <v>30</v>
      </c>
      <c r="U75" s="180">
        <v>139</v>
      </c>
      <c r="V75" s="189">
        <f t="shared" si="2"/>
        <v>4170</v>
      </c>
      <c r="W75" s="180">
        <v>4</v>
      </c>
      <c r="X75" s="188" t="s">
        <v>46</v>
      </c>
      <c r="Y75" s="188" t="s">
        <v>78</v>
      </c>
      <c r="Z75" s="188" t="s">
        <v>69</v>
      </c>
      <c r="AA75" s="188" t="s">
        <v>102</v>
      </c>
      <c r="AB75" s="188" t="s">
        <v>348</v>
      </c>
    </row>
    <row r="76" spans="1:28" x14ac:dyDescent="0.15">
      <c r="A76" s="188" t="s">
        <v>34</v>
      </c>
      <c r="B76" s="180" t="s">
        <v>346</v>
      </c>
      <c r="C76" s="180">
        <v>2018</v>
      </c>
      <c r="D76" s="222" t="s">
        <v>512</v>
      </c>
      <c r="E76" s="209" t="s">
        <v>334</v>
      </c>
      <c r="F76" s="209" t="s">
        <v>335</v>
      </c>
      <c r="G76" s="188" t="s">
        <v>36</v>
      </c>
      <c r="H76" s="180" t="s">
        <v>168</v>
      </c>
      <c r="I76" s="188" t="s">
        <v>153</v>
      </c>
      <c r="J76" s="188" t="s">
        <v>38</v>
      </c>
      <c r="K76" s="188" t="s">
        <v>154</v>
      </c>
      <c r="L76" s="180">
        <v>3</v>
      </c>
      <c r="N76" s="180">
        <v>1</v>
      </c>
      <c r="O76" s="180">
        <v>0.55000000000000004</v>
      </c>
      <c r="P76" s="180">
        <v>0.55000000000000004</v>
      </c>
      <c r="Q76" s="217">
        <f t="shared" si="0"/>
        <v>0.55000000000000004</v>
      </c>
      <c r="R76" s="180">
        <v>14.8</v>
      </c>
      <c r="S76" s="180">
        <v>146</v>
      </c>
      <c r="T76" s="189">
        <f t="shared" si="1"/>
        <v>30</v>
      </c>
      <c r="U76" s="180">
        <v>139</v>
      </c>
      <c r="V76" s="189">
        <f t="shared" si="2"/>
        <v>4170</v>
      </c>
      <c r="W76" s="180">
        <v>4</v>
      </c>
      <c r="X76" s="188" t="s">
        <v>46</v>
      </c>
      <c r="Y76" s="188" t="s">
        <v>78</v>
      </c>
      <c r="Z76" s="188" t="s">
        <v>69</v>
      </c>
      <c r="AA76" s="188" t="s">
        <v>102</v>
      </c>
      <c r="AB76" s="188" t="s">
        <v>348</v>
      </c>
    </row>
    <row r="77" spans="1:28" x14ac:dyDescent="0.15">
      <c r="A77" s="188" t="s">
        <v>34</v>
      </c>
      <c r="B77" s="180" t="s">
        <v>346</v>
      </c>
      <c r="C77" s="180">
        <v>2018</v>
      </c>
      <c r="D77" s="222" t="s">
        <v>512</v>
      </c>
      <c r="E77" s="209" t="s">
        <v>336</v>
      </c>
      <c r="F77" s="209" t="s">
        <v>337</v>
      </c>
      <c r="G77" s="188" t="s">
        <v>36</v>
      </c>
      <c r="H77" s="180" t="s">
        <v>155</v>
      </c>
      <c r="I77" s="188" t="s">
        <v>153</v>
      </c>
      <c r="J77" s="188" t="s">
        <v>38</v>
      </c>
      <c r="K77" s="188" t="s">
        <v>154</v>
      </c>
      <c r="L77" s="188">
        <v>1</v>
      </c>
      <c r="N77" s="180">
        <v>1</v>
      </c>
      <c r="O77" s="180">
        <v>0.8</v>
      </c>
      <c r="P77" s="180">
        <v>0.85</v>
      </c>
      <c r="Q77" s="217">
        <f t="shared" si="0"/>
        <v>0.82499999999999996</v>
      </c>
      <c r="R77" s="180">
        <v>14.3</v>
      </c>
      <c r="S77" s="180">
        <v>150</v>
      </c>
      <c r="T77" s="189">
        <f t="shared" si="1"/>
        <v>30</v>
      </c>
      <c r="U77" s="180">
        <v>105</v>
      </c>
      <c r="V77" s="189">
        <f t="shared" si="2"/>
        <v>3150</v>
      </c>
      <c r="W77" s="180">
        <v>6</v>
      </c>
      <c r="X77" s="188" t="s">
        <v>46</v>
      </c>
      <c r="Y77" s="188" t="s">
        <v>78</v>
      </c>
      <c r="Z77" s="188" t="s">
        <v>69</v>
      </c>
      <c r="AA77" s="180" t="s">
        <v>55</v>
      </c>
      <c r="AB77" s="188" t="s">
        <v>348</v>
      </c>
    </row>
    <row r="78" spans="1:28" x14ac:dyDescent="0.15">
      <c r="A78" s="188" t="s">
        <v>34</v>
      </c>
      <c r="B78" s="180" t="s">
        <v>346</v>
      </c>
      <c r="C78" s="180">
        <v>2018</v>
      </c>
      <c r="D78" s="222" t="s">
        <v>512</v>
      </c>
      <c r="E78" s="209" t="s">
        <v>336</v>
      </c>
      <c r="F78" s="209" t="s">
        <v>337</v>
      </c>
      <c r="G78" s="188" t="s">
        <v>36</v>
      </c>
      <c r="H78" s="180" t="s">
        <v>155</v>
      </c>
      <c r="I78" s="188" t="s">
        <v>153</v>
      </c>
      <c r="J78" s="188" t="s">
        <v>38</v>
      </c>
      <c r="K78" s="188" t="s">
        <v>154</v>
      </c>
      <c r="L78" s="180">
        <v>2</v>
      </c>
      <c r="N78" s="180">
        <v>1</v>
      </c>
      <c r="O78" s="180">
        <v>0.9</v>
      </c>
      <c r="P78" s="180">
        <v>0.85</v>
      </c>
      <c r="Q78" s="217">
        <f t="shared" si="0"/>
        <v>0.875</v>
      </c>
      <c r="R78" s="180">
        <v>13.1</v>
      </c>
      <c r="S78" s="180">
        <v>145</v>
      </c>
      <c r="T78" s="189">
        <f t="shared" si="1"/>
        <v>30</v>
      </c>
      <c r="U78" s="180">
        <v>105</v>
      </c>
      <c r="V78" s="189">
        <f t="shared" si="2"/>
        <v>3150</v>
      </c>
      <c r="W78" s="180">
        <v>6</v>
      </c>
      <c r="X78" s="188" t="s">
        <v>46</v>
      </c>
      <c r="Y78" s="188" t="s">
        <v>78</v>
      </c>
      <c r="Z78" s="188" t="s">
        <v>69</v>
      </c>
      <c r="AA78" s="180" t="s">
        <v>55</v>
      </c>
      <c r="AB78" s="188" t="s">
        <v>348</v>
      </c>
    </row>
    <row r="79" spans="1:28" x14ac:dyDescent="0.15">
      <c r="A79" s="188" t="s">
        <v>34</v>
      </c>
      <c r="B79" s="180" t="s">
        <v>346</v>
      </c>
      <c r="C79" s="180">
        <v>2018</v>
      </c>
      <c r="D79" s="222" t="s">
        <v>512</v>
      </c>
      <c r="E79" s="209" t="s">
        <v>336</v>
      </c>
      <c r="F79" s="209" t="s">
        <v>337</v>
      </c>
      <c r="G79" s="188" t="s">
        <v>36</v>
      </c>
      <c r="H79" s="180" t="s">
        <v>155</v>
      </c>
      <c r="I79" s="188" t="s">
        <v>153</v>
      </c>
      <c r="J79" s="188" t="s">
        <v>38</v>
      </c>
      <c r="K79" s="188" t="s">
        <v>154</v>
      </c>
      <c r="L79" s="180">
        <v>3</v>
      </c>
      <c r="N79" s="180">
        <v>1</v>
      </c>
      <c r="O79" s="180">
        <v>1.1000000000000001</v>
      </c>
      <c r="P79" s="180">
        <v>1.1000000000000001</v>
      </c>
      <c r="Q79" s="217">
        <f t="shared" si="0"/>
        <v>1.1000000000000001</v>
      </c>
      <c r="R79" s="180">
        <v>12.6</v>
      </c>
      <c r="S79" s="180">
        <v>138</v>
      </c>
      <c r="T79" s="189">
        <f t="shared" si="1"/>
        <v>30</v>
      </c>
      <c r="U79" s="180">
        <v>105</v>
      </c>
      <c r="V79" s="189">
        <f t="shared" si="2"/>
        <v>3150</v>
      </c>
      <c r="W79" s="180">
        <v>6</v>
      </c>
      <c r="X79" s="188" t="s">
        <v>46</v>
      </c>
      <c r="Y79" s="188" t="s">
        <v>78</v>
      </c>
      <c r="Z79" s="188" t="s">
        <v>69</v>
      </c>
      <c r="AA79" s="180" t="s">
        <v>55</v>
      </c>
      <c r="AB79" s="188" t="s">
        <v>348</v>
      </c>
    </row>
    <row r="80" spans="1:28" x14ac:dyDescent="0.15">
      <c r="A80" s="188" t="s">
        <v>34</v>
      </c>
      <c r="B80" s="180" t="s">
        <v>346</v>
      </c>
      <c r="C80" s="180">
        <v>2018</v>
      </c>
      <c r="D80" s="222" t="s">
        <v>512</v>
      </c>
      <c r="E80" s="209" t="s">
        <v>336</v>
      </c>
      <c r="F80" s="209" t="s">
        <v>337</v>
      </c>
      <c r="G80" s="188" t="s">
        <v>36</v>
      </c>
      <c r="H80" s="180" t="s">
        <v>155</v>
      </c>
      <c r="I80" s="188" t="s">
        <v>153</v>
      </c>
      <c r="J80" s="188" t="s">
        <v>38</v>
      </c>
      <c r="K80" s="188" t="s">
        <v>154</v>
      </c>
      <c r="L80" s="188">
        <v>1</v>
      </c>
      <c r="N80" s="180">
        <v>4</v>
      </c>
      <c r="O80" s="180">
        <v>0.5</v>
      </c>
      <c r="P80" s="180">
        <v>0.5</v>
      </c>
      <c r="Q80" s="217">
        <f t="shared" si="0"/>
        <v>0.5</v>
      </c>
      <c r="R80" s="180">
        <v>14.5</v>
      </c>
      <c r="S80" s="180">
        <v>112</v>
      </c>
      <c r="T80" s="189">
        <f t="shared" si="1"/>
        <v>33</v>
      </c>
      <c r="U80" s="180">
        <v>410</v>
      </c>
      <c r="V80" s="189">
        <f t="shared" si="2"/>
        <v>3382.5</v>
      </c>
      <c r="W80" s="180">
        <v>6</v>
      </c>
      <c r="X80" s="188" t="s">
        <v>46</v>
      </c>
      <c r="Y80" s="188" t="s">
        <v>78</v>
      </c>
      <c r="Z80" s="188" t="s">
        <v>69</v>
      </c>
      <c r="AA80" s="180" t="s">
        <v>55</v>
      </c>
      <c r="AB80" s="188" t="s">
        <v>348</v>
      </c>
    </row>
    <row r="81" spans="1:28" x14ac:dyDescent="0.15">
      <c r="A81" s="188" t="s">
        <v>34</v>
      </c>
      <c r="B81" s="180" t="s">
        <v>346</v>
      </c>
      <c r="C81" s="180">
        <v>2018</v>
      </c>
      <c r="D81" s="222" t="s">
        <v>512</v>
      </c>
      <c r="E81" s="209" t="s">
        <v>336</v>
      </c>
      <c r="F81" s="209" t="s">
        <v>337</v>
      </c>
      <c r="G81" s="188" t="s">
        <v>36</v>
      </c>
      <c r="H81" s="180" t="s">
        <v>155</v>
      </c>
      <c r="I81" s="188" t="s">
        <v>153</v>
      </c>
      <c r="J81" s="188" t="s">
        <v>38</v>
      </c>
      <c r="K81" s="188" t="s">
        <v>154</v>
      </c>
      <c r="L81" s="180">
        <v>2</v>
      </c>
      <c r="N81" s="180">
        <v>4</v>
      </c>
      <c r="O81" s="180">
        <v>0.55000000000000004</v>
      </c>
      <c r="P81" s="180">
        <v>0.6</v>
      </c>
      <c r="Q81" s="217">
        <f t="shared" si="0"/>
        <v>0.57499999999999996</v>
      </c>
      <c r="R81" s="180">
        <v>12.7</v>
      </c>
      <c r="S81" s="180">
        <v>114</v>
      </c>
      <c r="T81" s="189">
        <f t="shared" si="1"/>
        <v>30</v>
      </c>
      <c r="U81" s="180">
        <v>410</v>
      </c>
      <c r="V81" s="189">
        <f t="shared" si="2"/>
        <v>3075</v>
      </c>
      <c r="W81" s="180">
        <v>6</v>
      </c>
      <c r="X81" s="188" t="s">
        <v>46</v>
      </c>
      <c r="Y81" s="188" t="s">
        <v>78</v>
      </c>
      <c r="Z81" s="188" t="s">
        <v>69</v>
      </c>
      <c r="AA81" s="180" t="s">
        <v>55</v>
      </c>
      <c r="AB81" s="188" t="s">
        <v>348</v>
      </c>
    </row>
    <row r="82" spans="1:28" x14ac:dyDescent="0.15">
      <c r="A82" s="188" t="s">
        <v>34</v>
      </c>
      <c r="B82" s="180" t="s">
        <v>346</v>
      </c>
      <c r="C82" s="180">
        <v>2018</v>
      </c>
      <c r="D82" s="222" t="s">
        <v>512</v>
      </c>
      <c r="E82" s="209" t="s">
        <v>336</v>
      </c>
      <c r="F82" s="209" t="s">
        <v>337</v>
      </c>
      <c r="G82" s="188" t="s">
        <v>36</v>
      </c>
      <c r="H82" s="180" t="s">
        <v>155</v>
      </c>
      <c r="I82" s="188" t="s">
        <v>153</v>
      </c>
      <c r="J82" s="188" t="s">
        <v>38</v>
      </c>
      <c r="K82" s="188" t="s">
        <v>154</v>
      </c>
      <c r="L82" s="180">
        <v>3</v>
      </c>
      <c r="N82" s="180">
        <v>4</v>
      </c>
      <c r="O82" s="180">
        <v>0.65</v>
      </c>
      <c r="P82" s="180">
        <v>0.6</v>
      </c>
      <c r="Q82" s="217">
        <f t="shared" si="0"/>
        <v>0.625</v>
      </c>
      <c r="R82" s="180">
        <v>13.8</v>
      </c>
      <c r="S82" s="180">
        <v>109</v>
      </c>
      <c r="T82" s="189">
        <f t="shared" si="1"/>
        <v>33</v>
      </c>
      <c r="U82" s="180">
        <v>410</v>
      </c>
      <c r="V82" s="189">
        <f t="shared" si="2"/>
        <v>3382.5</v>
      </c>
      <c r="W82" s="180">
        <v>6</v>
      </c>
      <c r="X82" s="188" t="s">
        <v>46</v>
      </c>
      <c r="Y82" s="188" t="s">
        <v>78</v>
      </c>
      <c r="Z82" s="188" t="s">
        <v>69</v>
      </c>
      <c r="AA82" s="180" t="s">
        <v>55</v>
      </c>
      <c r="AB82" s="188" t="s">
        <v>348</v>
      </c>
    </row>
    <row r="83" spans="1:28" x14ac:dyDescent="0.15">
      <c r="A83" s="188" t="s">
        <v>34</v>
      </c>
      <c r="B83" s="180" t="s">
        <v>346</v>
      </c>
      <c r="C83" s="180">
        <v>2018</v>
      </c>
      <c r="D83" s="222" t="s">
        <v>512</v>
      </c>
      <c r="E83" s="209" t="s">
        <v>336</v>
      </c>
      <c r="F83" s="209" t="s">
        <v>337</v>
      </c>
      <c r="G83" s="188" t="s">
        <v>36</v>
      </c>
      <c r="H83" s="180" t="s">
        <v>155</v>
      </c>
      <c r="I83" s="188" t="s">
        <v>156</v>
      </c>
      <c r="J83" s="188" t="s">
        <v>38</v>
      </c>
      <c r="K83" s="188" t="s">
        <v>154</v>
      </c>
      <c r="L83" s="188">
        <v>1</v>
      </c>
      <c r="N83" s="180">
        <v>4</v>
      </c>
      <c r="O83" s="180">
        <v>0.85</v>
      </c>
      <c r="P83" s="180">
        <v>0.95</v>
      </c>
      <c r="Q83" s="217">
        <f t="shared" ref="Q83:Q91" si="5">IF(OR(O83="",P83=""),"",AVERAGE(O83,P83))</f>
        <v>0.89999999999999991</v>
      </c>
      <c r="R83" s="180">
        <v>11.7</v>
      </c>
      <c r="S83" s="180">
        <v>117</v>
      </c>
      <c r="T83" s="189">
        <f t="shared" si="1"/>
        <v>30</v>
      </c>
      <c r="U83" s="180">
        <v>429</v>
      </c>
      <c r="V83" s="189">
        <f t="shared" si="2"/>
        <v>3217.5</v>
      </c>
      <c r="W83" s="180">
        <v>6</v>
      </c>
      <c r="X83" s="188" t="s">
        <v>46</v>
      </c>
      <c r="Y83" s="188" t="s">
        <v>78</v>
      </c>
      <c r="Z83" s="188" t="s">
        <v>69</v>
      </c>
      <c r="AA83" s="180" t="s">
        <v>55</v>
      </c>
      <c r="AB83" s="188" t="s">
        <v>348</v>
      </c>
    </row>
    <row r="84" spans="1:28" x14ac:dyDescent="0.15">
      <c r="A84" s="188" t="s">
        <v>34</v>
      </c>
      <c r="B84" s="180" t="s">
        <v>346</v>
      </c>
      <c r="C84" s="180">
        <v>2018</v>
      </c>
      <c r="D84" s="222" t="s">
        <v>512</v>
      </c>
      <c r="E84" s="209" t="s">
        <v>336</v>
      </c>
      <c r="F84" s="209" t="s">
        <v>337</v>
      </c>
      <c r="G84" s="188" t="s">
        <v>36</v>
      </c>
      <c r="H84" s="180" t="s">
        <v>155</v>
      </c>
      <c r="I84" s="188" t="s">
        <v>156</v>
      </c>
      <c r="J84" s="188" t="s">
        <v>38</v>
      </c>
      <c r="K84" s="188" t="s">
        <v>154</v>
      </c>
      <c r="L84" s="180">
        <v>2</v>
      </c>
      <c r="N84" s="180">
        <v>4</v>
      </c>
      <c r="O84" s="180">
        <v>0.75</v>
      </c>
      <c r="P84" s="180">
        <v>0.95</v>
      </c>
      <c r="Q84" s="217">
        <f t="shared" si="5"/>
        <v>0.85</v>
      </c>
      <c r="R84" s="180">
        <v>13.1</v>
      </c>
      <c r="S84" s="180">
        <v>116</v>
      </c>
      <c r="T84" s="189">
        <f t="shared" si="1"/>
        <v>30</v>
      </c>
      <c r="U84" s="180">
        <v>429</v>
      </c>
      <c r="V84" s="189">
        <f t="shared" si="2"/>
        <v>3217.5</v>
      </c>
      <c r="W84" s="180">
        <v>6</v>
      </c>
      <c r="X84" s="188" t="s">
        <v>46</v>
      </c>
      <c r="Y84" s="188" t="s">
        <v>78</v>
      </c>
      <c r="Z84" s="188" t="s">
        <v>69</v>
      </c>
      <c r="AA84" s="180" t="s">
        <v>55</v>
      </c>
      <c r="AB84" s="188" t="s">
        <v>348</v>
      </c>
    </row>
    <row r="85" spans="1:28" x14ac:dyDescent="0.15">
      <c r="A85" s="188" t="s">
        <v>34</v>
      </c>
      <c r="B85" s="180" t="s">
        <v>346</v>
      </c>
      <c r="C85" s="180">
        <v>2018</v>
      </c>
      <c r="D85" s="222" t="s">
        <v>512</v>
      </c>
      <c r="E85" s="209" t="s">
        <v>336</v>
      </c>
      <c r="F85" s="209" t="s">
        <v>337</v>
      </c>
      <c r="G85" s="188" t="s">
        <v>36</v>
      </c>
      <c r="H85" s="180" t="s">
        <v>155</v>
      </c>
      <c r="I85" s="188" t="s">
        <v>156</v>
      </c>
      <c r="J85" s="188" t="s">
        <v>38</v>
      </c>
      <c r="K85" s="188" t="s">
        <v>154</v>
      </c>
      <c r="L85" s="180">
        <v>3</v>
      </c>
      <c r="N85" s="180">
        <v>4</v>
      </c>
      <c r="O85" s="180">
        <v>0.9</v>
      </c>
      <c r="P85" s="180">
        <v>0.95</v>
      </c>
      <c r="Q85" s="189">
        <f t="shared" si="5"/>
        <v>0.92500000000000004</v>
      </c>
      <c r="R85" s="180">
        <v>11.7</v>
      </c>
      <c r="S85" s="180">
        <v>112</v>
      </c>
      <c r="T85" s="189">
        <f t="shared" si="1"/>
        <v>33</v>
      </c>
      <c r="U85" s="180">
        <v>429</v>
      </c>
      <c r="V85" s="189">
        <f t="shared" si="2"/>
        <v>3539.25</v>
      </c>
      <c r="W85" s="180">
        <v>6</v>
      </c>
      <c r="X85" s="188" t="s">
        <v>46</v>
      </c>
      <c r="Y85" s="188" t="s">
        <v>78</v>
      </c>
      <c r="Z85" s="188" t="s">
        <v>69</v>
      </c>
      <c r="AA85" s="180" t="s">
        <v>55</v>
      </c>
      <c r="AB85" s="188" t="s">
        <v>348</v>
      </c>
    </row>
    <row r="86" spans="1:28" x14ac:dyDescent="0.15">
      <c r="A86" s="188" t="s">
        <v>34</v>
      </c>
      <c r="B86" s="180" t="s">
        <v>346</v>
      </c>
      <c r="C86" s="180">
        <v>2018</v>
      </c>
      <c r="D86" s="222" t="s">
        <v>512</v>
      </c>
      <c r="E86" s="209" t="s">
        <v>336</v>
      </c>
      <c r="F86" s="209" t="s">
        <v>337</v>
      </c>
      <c r="G86" s="188" t="s">
        <v>36</v>
      </c>
      <c r="H86" s="180" t="s">
        <v>168</v>
      </c>
      <c r="I86" s="188" t="s">
        <v>153</v>
      </c>
      <c r="J86" s="188" t="s">
        <v>38</v>
      </c>
      <c r="K86" s="188" t="s">
        <v>154</v>
      </c>
      <c r="L86" s="188">
        <v>1</v>
      </c>
      <c r="N86" s="180">
        <v>1</v>
      </c>
      <c r="O86" s="180">
        <v>0.2</v>
      </c>
      <c r="P86" s="180">
        <v>0.6</v>
      </c>
      <c r="Q86" s="189">
        <f t="shared" si="5"/>
        <v>0.4</v>
      </c>
      <c r="R86" s="180">
        <v>14.8</v>
      </c>
      <c r="S86" s="180">
        <v>120</v>
      </c>
      <c r="T86" s="189">
        <f t="shared" si="1"/>
        <v>30</v>
      </c>
      <c r="U86" s="180">
        <v>105</v>
      </c>
      <c r="V86" s="189">
        <f t="shared" si="2"/>
        <v>3150</v>
      </c>
      <c r="W86" s="180">
        <v>4</v>
      </c>
      <c r="X86" s="188" t="s">
        <v>46</v>
      </c>
      <c r="Y86" s="188" t="s">
        <v>78</v>
      </c>
      <c r="Z86" s="188" t="s">
        <v>69</v>
      </c>
      <c r="AA86" s="180" t="s">
        <v>55</v>
      </c>
      <c r="AB86" s="188" t="s">
        <v>348</v>
      </c>
    </row>
    <row r="87" spans="1:28" x14ac:dyDescent="0.15">
      <c r="A87" s="188" t="s">
        <v>34</v>
      </c>
      <c r="B87" s="180" t="s">
        <v>346</v>
      </c>
      <c r="C87" s="180">
        <v>2018</v>
      </c>
      <c r="D87" s="222" t="s">
        <v>512</v>
      </c>
      <c r="E87" s="209" t="s">
        <v>336</v>
      </c>
      <c r="F87" s="209" t="s">
        <v>337</v>
      </c>
      <c r="G87" s="188" t="s">
        <v>36</v>
      </c>
      <c r="H87" s="180" t="s">
        <v>168</v>
      </c>
      <c r="I87" s="188" t="s">
        <v>153</v>
      </c>
      <c r="J87" s="188" t="s">
        <v>38</v>
      </c>
      <c r="K87" s="188" t="s">
        <v>154</v>
      </c>
      <c r="L87" s="180">
        <v>2</v>
      </c>
      <c r="N87" s="180">
        <v>1</v>
      </c>
      <c r="O87" s="180">
        <v>0.75</v>
      </c>
      <c r="P87" s="180">
        <v>0.75</v>
      </c>
      <c r="Q87" s="189">
        <f t="shared" si="5"/>
        <v>0.75</v>
      </c>
      <c r="R87" s="180">
        <v>14</v>
      </c>
      <c r="S87" s="180">
        <v>122</v>
      </c>
      <c r="T87" s="189">
        <f t="shared" si="1"/>
        <v>30</v>
      </c>
      <c r="U87" s="180">
        <v>105</v>
      </c>
      <c r="V87" s="189">
        <f t="shared" si="2"/>
        <v>3150</v>
      </c>
      <c r="W87" s="180">
        <v>4</v>
      </c>
      <c r="X87" s="188" t="s">
        <v>46</v>
      </c>
      <c r="Y87" s="188" t="s">
        <v>78</v>
      </c>
      <c r="Z87" s="188" t="s">
        <v>69</v>
      </c>
      <c r="AA87" s="180" t="s">
        <v>55</v>
      </c>
      <c r="AB87" s="188" t="s">
        <v>348</v>
      </c>
    </row>
    <row r="88" spans="1:28" x14ac:dyDescent="0.15">
      <c r="A88" s="188" t="s">
        <v>34</v>
      </c>
      <c r="B88" s="180" t="s">
        <v>346</v>
      </c>
      <c r="C88" s="180">
        <v>2018</v>
      </c>
      <c r="D88" s="222" t="s">
        <v>512</v>
      </c>
      <c r="E88" s="209" t="s">
        <v>336</v>
      </c>
      <c r="F88" s="209" t="s">
        <v>337</v>
      </c>
      <c r="G88" s="188" t="s">
        <v>36</v>
      </c>
      <c r="H88" s="180" t="s">
        <v>168</v>
      </c>
      <c r="I88" s="188" t="s">
        <v>153</v>
      </c>
      <c r="J88" s="188" t="s">
        <v>38</v>
      </c>
      <c r="K88" s="188" t="s">
        <v>154</v>
      </c>
      <c r="L88" s="180">
        <v>3</v>
      </c>
      <c r="N88" s="180">
        <v>1</v>
      </c>
      <c r="O88" s="180">
        <v>0.65</v>
      </c>
      <c r="P88" s="180">
        <v>0.6</v>
      </c>
      <c r="Q88" s="189">
        <f t="shared" si="5"/>
        <v>0.625</v>
      </c>
      <c r="R88" s="180">
        <v>13.7</v>
      </c>
      <c r="S88" s="180">
        <v>121</v>
      </c>
      <c r="T88" s="189">
        <f t="shared" si="1"/>
        <v>30</v>
      </c>
      <c r="U88" s="180">
        <v>105</v>
      </c>
      <c r="V88" s="189">
        <f t="shared" si="2"/>
        <v>3150</v>
      </c>
      <c r="W88" s="180">
        <v>4</v>
      </c>
      <c r="X88" s="188" t="s">
        <v>46</v>
      </c>
      <c r="Y88" s="188" t="s">
        <v>78</v>
      </c>
      <c r="Z88" s="188" t="s">
        <v>69</v>
      </c>
      <c r="AA88" s="180" t="s">
        <v>55</v>
      </c>
      <c r="AB88" s="188" t="s">
        <v>348</v>
      </c>
    </row>
    <row r="89" spans="1:28" x14ac:dyDescent="0.15">
      <c r="A89" s="188" t="s">
        <v>34</v>
      </c>
      <c r="B89" s="180" t="s">
        <v>346</v>
      </c>
      <c r="C89" s="180">
        <v>2018</v>
      </c>
      <c r="D89" s="222" t="s">
        <v>512</v>
      </c>
      <c r="E89" s="209" t="s">
        <v>336</v>
      </c>
      <c r="F89" s="209" t="s">
        <v>337</v>
      </c>
      <c r="G89" s="188" t="s">
        <v>36</v>
      </c>
      <c r="H89" s="180" t="s">
        <v>168</v>
      </c>
      <c r="I89" s="188" t="s">
        <v>153</v>
      </c>
      <c r="J89" s="188" t="s">
        <v>38</v>
      </c>
      <c r="K89" s="188" t="s">
        <v>154</v>
      </c>
      <c r="L89" s="188">
        <v>1</v>
      </c>
      <c r="N89" s="180">
        <v>4</v>
      </c>
      <c r="O89" s="180">
        <v>0.8</v>
      </c>
      <c r="P89" s="180">
        <v>0.8</v>
      </c>
      <c r="Q89" s="189">
        <f t="shared" si="5"/>
        <v>0.8</v>
      </c>
      <c r="R89" s="180">
        <v>14.3</v>
      </c>
      <c r="S89" s="180">
        <v>118</v>
      </c>
      <c r="T89" s="189">
        <f t="shared" si="1"/>
        <v>30</v>
      </c>
      <c r="U89" s="180">
        <v>380</v>
      </c>
      <c r="V89" s="189">
        <f t="shared" si="2"/>
        <v>2850</v>
      </c>
      <c r="W89" s="180">
        <v>4</v>
      </c>
      <c r="X89" s="188" t="s">
        <v>46</v>
      </c>
      <c r="Y89" s="188" t="s">
        <v>78</v>
      </c>
      <c r="Z89" s="188" t="s">
        <v>69</v>
      </c>
      <c r="AA89" s="180" t="s">
        <v>55</v>
      </c>
      <c r="AB89" s="188" t="s">
        <v>348</v>
      </c>
    </row>
    <row r="90" spans="1:28" x14ac:dyDescent="0.15">
      <c r="A90" s="188" t="s">
        <v>34</v>
      </c>
      <c r="B90" s="180" t="s">
        <v>346</v>
      </c>
      <c r="C90" s="180">
        <v>2018</v>
      </c>
      <c r="D90" s="222" t="s">
        <v>512</v>
      </c>
      <c r="E90" s="209" t="s">
        <v>336</v>
      </c>
      <c r="F90" s="209" t="s">
        <v>337</v>
      </c>
      <c r="G90" s="188" t="s">
        <v>36</v>
      </c>
      <c r="H90" s="180" t="s">
        <v>168</v>
      </c>
      <c r="I90" s="188" t="s">
        <v>153</v>
      </c>
      <c r="J90" s="188" t="s">
        <v>38</v>
      </c>
      <c r="K90" s="188" t="s">
        <v>154</v>
      </c>
      <c r="L90" s="180">
        <v>2</v>
      </c>
      <c r="N90" s="180">
        <v>4</v>
      </c>
      <c r="O90" s="180">
        <v>0.8</v>
      </c>
      <c r="P90" s="180">
        <v>0.8</v>
      </c>
      <c r="Q90" s="189">
        <f t="shared" si="5"/>
        <v>0.8</v>
      </c>
      <c r="R90" s="180">
        <v>15.2</v>
      </c>
      <c r="S90" s="180">
        <v>125</v>
      </c>
      <c r="T90" s="189">
        <f t="shared" si="1"/>
        <v>30</v>
      </c>
      <c r="U90" s="180">
        <v>380</v>
      </c>
      <c r="V90" s="189">
        <f t="shared" si="2"/>
        <v>2850</v>
      </c>
      <c r="W90" s="180">
        <v>4</v>
      </c>
      <c r="X90" s="188" t="s">
        <v>46</v>
      </c>
      <c r="Y90" s="188" t="s">
        <v>78</v>
      </c>
      <c r="Z90" s="188" t="s">
        <v>69</v>
      </c>
      <c r="AA90" s="180" t="s">
        <v>55</v>
      </c>
      <c r="AB90" s="188" t="s">
        <v>348</v>
      </c>
    </row>
    <row r="91" spans="1:28" x14ac:dyDescent="0.15">
      <c r="A91" s="188" t="s">
        <v>34</v>
      </c>
      <c r="B91" s="180" t="s">
        <v>346</v>
      </c>
      <c r="C91" s="180">
        <v>2018</v>
      </c>
      <c r="D91" s="222" t="s">
        <v>512</v>
      </c>
      <c r="E91" s="209" t="s">
        <v>336</v>
      </c>
      <c r="F91" s="209" t="s">
        <v>337</v>
      </c>
      <c r="G91" s="188" t="s">
        <v>36</v>
      </c>
      <c r="H91" s="180" t="s">
        <v>168</v>
      </c>
      <c r="I91" s="188" t="s">
        <v>153</v>
      </c>
      <c r="J91" s="188" t="s">
        <v>38</v>
      </c>
      <c r="K91" s="188" t="s">
        <v>154</v>
      </c>
      <c r="L91" s="180">
        <v>3</v>
      </c>
      <c r="N91" s="180">
        <v>4</v>
      </c>
      <c r="O91" s="180">
        <v>0.7</v>
      </c>
      <c r="P91" s="180">
        <v>0.65</v>
      </c>
      <c r="Q91" s="189">
        <f t="shared" si="5"/>
        <v>0.67500000000000004</v>
      </c>
      <c r="R91" s="180">
        <v>14.3</v>
      </c>
      <c r="S91" s="180">
        <v>120</v>
      </c>
      <c r="T91" s="189">
        <f t="shared" si="1"/>
        <v>30</v>
      </c>
      <c r="U91" s="180">
        <v>380</v>
      </c>
      <c r="V91" s="189">
        <f t="shared" si="2"/>
        <v>2850</v>
      </c>
      <c r="W91" s="180">
        <v>4</v>
      </c>
      <c r="X91" s="188" t="s">
        <v>46</v>
      </c>
      <c r="Y91" s="188" t="s">
        <v>78</v>
      </c>
      <c r="Z91" s="188" t="s">
        <v>69</v>
      </c>
      <c r="AA91" s="180" t="s">
        <v>55</v>
      </c>
      <c r="AB91" s="188" t="s">
        <v>348</v>
      </c>
    </row>
    <row r="92" spans="1:28" x14ac:dyDescent="0.15">
      <c r="K92" s="188"/>
    </row>
    <row r="93" spans="1:28" x14ac:dyDescent="0.15">
      <c r="K93" s="188"/>
    </row>
    <row r="94" spans="1:28" x14ac:dyDescent="0.15">
      <c r="K94" s="188"/>
    </row>
    <row r="95" spans="1:28" x14ac:dyDescent="0.15">
      <c r="K95" s="188"/>
    </row>
    <row r="96" spans="1:28" x14ac:dyDescent="0.15">
      <c r="K96" s="188"/>
    </row>
    <row r="97" spans="11:11" x14ac:dyDescent="0.15">
      <c r="K97" s="188"/>
    </row>
    <row r="98" spans="11:11" x14ac:dyDescent="0.15">
      <c r="K98" s="188"/>
    </row>
    <row r="99" spans="11:11" x14ac:dyDescent="0.15">
      <c r="K99" s="188"/>
    </row>
    <row r="100" spans="11:11" x14ac:dyDescent="0.15">
      <c r="K100" s="188"/>
    </row>
    <row r="101" spans="11:11" x14ac:dyDescent="0.15">
      <c r="K101" s="188"/>
    </row>
    <row r="102" spans="11:11" x14ac:dyDescent="0.15">
      <c r="K102" s="188"/>
    </row>
    <row r="103" spans="11:11" x14ac:dyDescent="0.15">
      <c r="K103" s="188"/>
    </row>
    <row r="104" spans="11:11" x14ac:dyDescent="0.15">
      <c r="K104" s="188"/>
    </row>
    <row r="105" spans="11:11" x14ac:dyDescent="0.15">
      <c r="K105" s="188"/>
    </row>
    <row r="106" spans="11:11" x14ac:dyDescent="0.15">
      <c r="K106" s="188"/>
    </row>
    <row r="107" spans="11:11" x14ac:dyDescent="0.15">
      <c r="K107" s="188"/>
    </row>
    <row r="108" spans="11:11" x14ac:dyDescent="0.15">
      <c r="K108" s="188"/>
    </row>
    <row r="109" spans="11:11" x14ac:dyDescent="0.15">
      <c r="K109" s="188"/>
    </row>
    <row r="110" spans="11:11" x14ac:dyDescent="0.15">
      <c r="K110" s="188"/>
    </row>
    <row r="111" spans="11:11" x14ac:dyDescent="0.15">
      <c r="K111" s="188"/>
    </row>
    <row r="112" spans="11:11" x14ac:dyDescent="0.15">
      <c r="K112" s="188"/>
    </row>
    <row r="113" spans="11:11" x14ac:dyDescent="0.15">
      <c r="K113" s="188"/>
    </row>
    <row r="114" spans="11:11" x14ac:dyDescent="0.15">
      <c r="K114" s="188"/>
    </row>
    <row r="115" spans="11:11" x14ac:dyDescent="0.15">
      <c r="K115" s="188"/>
    </row>
    <row r="116" spans="11:11" x14ac:dyDescent="0.15">
      <c r="K116" s="188"/>
    </row>
    <row r="117" spans="11:11" x14ac:dyDescent="0.15">
      <c r="K117" s="188"/>
    </row>
    <row r="118" spans="11:11" x14ac:dyDescent="0.15">
      <c r="K118" s="188"/>
    </row>
    <row r="119" spans="11:11" x14ac:dyDescent="0.15">
      <c r="K119" s="188"/>
    </row>
    <row r="120" spans="11:11" x14ac:dyDescent="0.15">
      <c r="K120" s="188"/>
    </row>
    <row r="121" spans="11:11" x14ac:dyDescent="0.15">
      <c r="K121" s="188"/>
    </row>
    <row r="122" spans="11:11" x14ac:dyDescent="0.15">
      <c r="K122" s="188"/>
    </row>
    <row r="123" spans="11:11" x14ac:dyDescent="0.15">
      <c r="K123" s="188"/>
    </row>
    <row r="124" spans="11:11" x14ac:dyDescent="0.15">
      <c r="K124" s="188"/>
    </row>
    <row r="125" spans="11:11" x14ac:dyDescent="0.15">
      <c r="K125" s="188"/>
    </row>
    <row r="126" spans="11:11" x14ac:dyDescent="0.15">
      <c r="K126" s="188"/>
    </row>
    <row r="127" spans="11:11" x14ac:dyDescent="0.15">
      <c r="K127" s="188"/>
    </row>
    <row r="128" spans="11:11" x14ac:dyDescent="0.15">
      <c r="K128" s="188"/>
    </row>
    <row r="129" spans="11:11" x14ac:dyDescent="0.15">
      <c r="K129" s="188"/>
    </row>
    <row r="130" spans="11:11" x14ac:dyDescent="0.15">
      <c r="K130" s="188"/>
    </row>
    <row r="131" spans="11:11" x14ac:dyDescent="0.15">
      <c r="K131" s="188"/>
    </row>
    <row r="132" spans="11:11" x14ac:dyDescent="0.15">
      <c r="K132" s="188"/>
    </row>
    <row r="133" spans="11:11" x14ac:dyDescent="0.15">
      <c r="K133" s="188"/>
    </row>
    <row r="134" spans="11:11" x14ac:dyDescent="0.15">
      <c r="K134" s="188"/>
    </row>
    <row r="135" spans="11:11" x14ac:dyDescent="0.15">
      <c r="K135" s="188"/>
    </row>
    <row r="136" spans="11:11" x14ac:dyDescent="0.15">
      <c r="K136" s="188"/>
    </row>
    <row r="137" spans="11:11" x14ac:dyDescent="0.15">
      <c r="K137" s="188"/>
    </row>
    <row r="138" spans="11:11" x14ac:dyDescent="0.15">
      <c r="K138" s="188"/>
    </row>
    <row r="139" spans="11:11" x14ac:dyDescent="0.15">
      <c r="K139" s="188"/>
    </row>
    <row r="140" spans="11:11" x14ac:dyDescent="0.15">
      <c r="K140" s="188"/>
    </row>
    <row r="141" spans="11:11" x14ac:dyDescent="0.15">
      <c r="K141" s="188"/>
    </row>
    <row r="142" spans="11:11" x14ac:dyDescent="0.15">
      <c r="K142" s="188"/>
    </row>
    <row r="143" spans="11:11" x14ac:dyDescent="0.15">
      <c r="K143" s="188"/>
    </row>
    <row r="144" spans="11:11" x14ac:dyDescent="0.15">
      <c r="K144" s="188"/>
    </row>
    <row r="145" spans="11:11" x14ac:dyDescent="0.15">
      <c r="K145" s="188"/>
    </row>
    <row r="146" spans="11:11" x14ac:dyDescent="0.15">
      <c r="K146" s="188"/>
    </row>
    <row r="147" spans="11:11" x14ac:dyDescent="0.15">
      <c r="K147" s="188"/>
    </row>
    <row r="148" spans="11:11" x14ac:dyDescent="0.15">
      <c r="K148" s="188"/>
    </row>
    <row r="149" spans="11:11" x14ac:dyDescent="0.15">
      <c r="K149" s="188"/>
    </row>
    <row r="150" spans="11:11" x14ac:dyDescent="0.15">
      <c r="K150" s="188"/>
    </row>
    <row r="151" spans="11:11" x14ac:dyDescent="0.15">
      <c r="K151" s="188"/>
    </row>
    <row r="152" spans="11:11" x14ac:dyDescent="0.15">
      <c r="K152" s="188"/>
    </row>
    <row r="153" spans="11:11" x14ac:dyDescent="0.15">
      <c r="K153" s="188"/>
    </row>
    <row r="154" spans="11:11" x14ac:dyDescent="0.15">
      <c r="K154" s="188"/>
    </row>
    <row r="155" spans="11:11" x14ac:dyDescent="0.15">
      <c r="K155" s="188"/>
    </row>
    <row r="156" spans="11:11" x14ac:dyDescent="0.15">
      <c r="K156" s="188"/>
    </row>
    <row r="157" spans="11:11" x14ac:dyDescent="0.15">
      <c r="K157" s="188"/>
    </row>
    <row r="158" spans="11:11" x14ac:dyDescent="0.15">
      <c r="K158" s="188"/>
    </row>
    <row r="159" spans="11:11" x14ac:dyDescent="0.15">
      <c r="K159" s="188"/>
    </row>
    <row r="160" spans="11:11" x14ac:dyDescent="0.15">
      <c r="K160" s="188"/>
    </row>
    <row r="161" spans="11:11" x14ac:dyDescent="0.15">
      <c r="K161" s="188"/>
    </row>
    <row r="162" spans="11:11" x14ac:dyDescent="0.15">
      <c r="K162" s="188"/>
    </row>
    <row r="163" spans="11:11" x14ac:dyDescent="0.15">
      <c r="K163" s="188"/>
    </row>
    <row r="164" spans="11:11" x14ac:dyDescent="0.15">
      <c r="K164" s="188"/>
    </row>
    <row r="165" spans="11:11" x14ac:dyDescent="0.15">
      <c r="K165" s="188"/>
    </row>
    <row r="166" spans="11:11" x14ac:dyDescent="0.15">
      <c r="K166" s="188"/>
    </row>
    <row r="167" spans="11:11" x14ac:dyDescent="0.15">
      <c r="K167" s="188"/>
    </row>
    <row r="168" spans="11:11" x14ac:dyDescent="0.15">
      <c r="K168" s="188"/>
    </row>
    <row r="169" spans="11:11" x14ac:dyDescent="0.15">
      <c r="K169" s="188"/>
    </row>
    <row r="170" spans="11:11" x14ac:dyDescent="0.15">
      <c r="K170" s="188"/>
    </row>
    <row r="171" spans="11:11" x14ac:dyDescent="0.15">
      <c r="K171" s="188"/>
    </row>
    <row r="172" spans="11:11" x14ac:dyDescent="0.15">
      <c r="K172" s="188"/>
    </row>
    <row r="173" spans="11:11" x14ac:dyDescent="0.15">
      <c r="K173" s="188"/>
    </row>
    <row r="174" spans="11:11" x14ac:dyDescent="0.15">
      <c r="K174" s="188"/>
    </row>
    <row r="175" spans="11:11" x14ac:dyDescent="0.15">
      <c r="K175" s="188"/>
    </row>
    <row r="176" spans="11:11" x14ac:dyDescent="0.15">
      <c r="K176" s="188"/>
    </row>
    <row r="177" spans="11:11" x14ac:dyDescent="0.15">
      <c r="K177" s="188"/>
    </row>
    <row r="178" spans="11:11" x14ac:dyDescent="0.15">
      <c r="K178" s="188"/>
    </row>
    <row r="179" spans="11:11" x14ac:dyDescent="0.15">
      <c r="K179" s="188"/>
    </row>
    <row r="180" spans="11:11" x14ac:dyDescent="0.15">
      <c r="K180" s="188"/>
    </row>
    <row r="181" spans="11:11" x14ac:dyDescent="0.15">
      <c r="K181" s="188"/>
    </row>
    <row r="182" spans="11:11" x14ac:dyDescent="0.15">
      <c r="K182" s="188"/>
    </row>
    <row r="183" spans="11:11" x14ac:dyDescent="0.15">
      <c r="K183" s="188"/>
    </row>
    <row r="184" spans="11:11" x14ac:dyDescent="0.15">
      <c r="K184" s="188"/>
    </row>
    <row r="185" spans="11:11" x14ac:dyDescent="0.15">
      <c r="K185" s="188"/>
    </row>
    <row r="186" spans="11:11" x14ac:dyDescent="0.15">
      <c r="K186" s="188"/>
    </row>
    <row r="187" spans="11:11" x14ac:dyDescent="0.15">
      <c r="K187" s="188"/>
    </row>
    <row r="188" spans="11:11" x14ac:dyDescent="0.15">
      <c r="K188" s="188"/>
    </row>
    <row r="189" spans="11:11" x14ac:dyDescent="0.15">
      <c r="K189" s="188"/>
    </row>
    <row r="190" spans="11:11" x14ac:dyDescent="0.15">
      <c r="K190" s="188"/>
    </row>
    <row r="191" spans="11:11" x14ac:dyDescent="0.15">
      <c r="K191" s="188"/>
    </row>
    <row r="192" spans="11:11" x14ac:dyDescent="0.15">
      <c r="K192" s="188"/>
    </row>
    <row r="193" spans="11:11" x14ac:dyDescent="0.15">
      <c r="K193" s="188"/>
    </row>
    <row r="194" spans="11:11" x14ac:dyDescent="0.15">
      <c r="K194" s="188"/>
    </row>
    <row r="195" spans="11:11" x14ac:dyDescent="0.15">
      <c r="K195" s="188"/>
    </row>
    <row r="196" spans="11:11" x14ac:dyDescent="0.15">
      <c r="K196" s="188"/>
    </row>
    <row r="197" spans="11:11" x14ac:dyDescent="0.15">
      <c r="K197" s="188"/>
    </row>
    <row r="198" spans="11:11" x14ac:dyDescent="0.15">
      <c r="K198" s="188"/>
    </row>
    <row r="199" spans="11:11" x14ac:dyDescent="0.15">
      <c r="K199" s="188"/>
    </row>
    <row r="200" spans="11:11" x14ac:dyDescent="0.15">
      <c r="K200" s="188"/>
    </row>
    <row r="201" spans="11:11" x14ac:dyDescent="0.15">
      <c r="K201" s="188"/>
    </row>
    <row r="202" spans="11:11" x14ac:dyDescent="0.15">
      <c r="K202" s="188"/>
    </row>
    <row r="203" spans="11:11" x14ac:dyDescent="0.15">
      <c r="K203" s="188"/>
    </row>
    <row r="204" spans="11:11" x14ac:dyDescent="0.15">
      <c r="K204" s="188"/>
    </row>
    <row r="205" spans="11:11" x14ac:dyDescent="0.15">
      <c r="K205" s="188"/>
    </row>
    <row r="206" spans="11:11" x14ac:dyDescent="0.15">
      <c r="K206" s="188"/>
    </row>
    <row r="207" spans="11:11" x14ac:dyDescent="0.15">
      <c r="K207" s="188"/>
    </row>
    <row r="208" spans="11:11" x14ac:dyDescent="0.15">
      <c r="K208" s="188"/>
    </row>
    <row r="209" spans="11:11" x14ac:dyDescent="0.15">
      <c r="K209" s="188"/>
    </row>
    <row r="210" spans="11:11" x14ac:dyDescent="0.15">
      <c r="K210" s="188"/>
    </row>
    <row r="211" spans="11:11" x14ac:dyDescent="0.15">
      <c r="K211" s="188"/>
    </row>
    <row r="212" spans="11:11" x14ac:dyDescent="0.15">
      <c r="K212" s="188"/>
    </row>
    <row r="213" spans="11:11" x14ac:dyDescent="0.15">
      <c r="K213" s="188"/>
    </row>
    <row r="214" spans="11:11" x14ac:dyDescent="0.15">
      <c r="K214" s="188"/>
    </row>
    <row r="215" spans="11:11" x14ac:dyDescent="0.15">
      <c r="K215" s="188"/>
    </row>
    <row r="216" spans="11:11" x14ac:dyDescent="0.15">
      <c r="K216" s="188"/>
    </row>
    <row r="217" spans="11:11" x14ac:dyDescent="0.15">
      <c r="K217" s="188"/>
    </row>
    <row r="218" spans="11:11" x14ac:dyDescent="0.15">
      <c r="K218" s="188"/>
    </row>
    <row r="219" spans="11:11" x14ac:dyDescent="0.15">
      <c r="K219" s="188"/>
    </row>
    <row r="220" spans="11:11" x14ac:dyDescent="0.15">
      <c r="K220" s="188"/>
    </row>
    <row r="221" spans="11:11" x14ac:dyDescent="0.15">
      <c r="K221" s="188"/>
    </row>
    <row r="222" spans="11:11" x14ac:dyDescent="0.15">
      <c r="K222" s="188"/>
    </row>
    <row r="223" spans="11:11" x14ac:dyDescent="0.15">
      <c r="K223" s="188"/>
    </row>
    <row r="224" spans="11:11" x14ac:dyDescent="0.15">
      <c r="K224" s="188"/>
    </row>
    <row r="225" spans="11:11" x14ac:dyDescent="0.15">
      <c r="K225" s="188"/>
    </row>
    <row r="226" spans="11:11" x14ac:dyDescent="0.15">
      <c r="K226" s="188"/>
    </row>
    <row r="227" spans="11:11" x14ac:dyDescent="0.15">
      <c r="K227" s="188"/>
    </row>
    <row r="228" spans="11:11" x14ac:dyDescent="0.15">
      <c r="K228" s="188"/>
    </row>
    <row r="229" spans="11:11" x14ac:dyDescent="0.15">
      <c r="K229" s="188"/>
    </row>
    <row r="230" spans="11:11" x14ac:dyDescent="0.15">
      <c r="K230" s="188"/>
    </row>
    <row r="231" spans="11:11" x14ac:dyDescent="0.15">
      <c r="K231" s="188"/>
    </row>
    <row r="232" spans="11:11" x14ac:dyDescent="0.15">
      <c r="K232" s="188"/>
    </row>
    <row r="233" spans="11:11" x14ac:dyDescent="0.15">
      <c r="K233" s="188"/>
    </row>
    <row r="234" spans="11:11" x14ac:dyDescent="0.15">
      <c r="K234" s="188"/>
    </row>
    <row r="235" spans="11:11" x14ac:dyDescent="0.15">
      <c r="K235" s="188"/>
    </row>
    <row r="236" spans="11:11" x14ac:dyDescent="0.15">
      <c r="K236" s="188"/>
    </row>
    <row r="237" spans="11:11" x14ac:dyDescent="0.15">
      <c r="K237" s="188"/>
    </row>
    <row r="238" spans="11:11" x14ac:dyDescent="0.15">
      <c r="K238" s="188"/>
    </row>
    <row r="239" spans="11:11" x14ac:dyDescent="0.15">
      <c r="K239" s="188"/>
    </row>
    <row r="240" spans="11:11" x14ac:dyDescent="0.15">
      <c r="K240" s="188"/>
    </row>
    <row r="241" spans="11:11" x14ac:dyDescent="0.15">
      <c r="K241" s="188"/>
    </row>
    <row r="242" spans="11:11" x14ac:dyDescent="0.15">
      <c r="K242" s="188"/>
    </row>
    <row r="243" spans="11:11" x14ac:dyDescent="0.15">
      <c r="K243" s="188"/>
    </row>
    <row r="244" spans="11:11" x14ac:dyDescent="0.15">
      <c r="K244" s="188"/>
    </row>
    <row r="245" spans="11:11" x14ac:dyDescent="0.15">
      <c r="K245" s="188"/>
    </row>
    <row r="246" spans="11:11" x14ac:dyDescent="0.15">
      <c r="K246" s="188"/>
    </row>
    <row r="247" spans="11:11" x14ac:dyDescent="0.15">
      <c r="K247" s="188"/>
    </row>
    <row r="248" spans="11:11" x14ac:dyDescent="0.15">
      <c r="K248" s="188"/>
    </row>
    <row r="249" spans="11:11" x14ac:dyDescent="0.15">
      <c r="K249" s="188"/>
    </row>
    <row r="250" spans="11:11" x14ac:dyDescent="0.15">
      <c r="K250" s="188"/>
    </row>
    <row r="251" spans="11:11" x14ac:dyDescent="0.15">
      <c r="K251" s="188"/>
    </row>
    <row r="252" spans="11:11" x14ac:dyDescent="0.15">
      <c r="K252" s="188"/>
    </row>
    <row r="253" spans="11:11" x14ac:dyDescent="0.15">
      <c r="K253" s="188"/>
    </row>
    <row r="254" spans="11:11" x14ac:dyDescent="0.15">
      <c r="K254" s="188"/>
    </row>
    <row r="255" spans="11:11" x14ac:dyDescent="0.15">
      <c r="K255" s="188"/>
    </row>
    <row r="256" spans="11:11" x14ac:dyDescent="0.15">
      <c r="K256" s="188"/>
    </row>
    <row r="257" spans="11:11" x14ac:dyDescent="0.15">
      <c r="K257" s="188"/>
    </row>
    <row r="258" spans="11:11" x14ac:dyDescent="0.15">
      <c r="K258" s="188"/>
    </row>
    <row r="259" spans="11:11" x14ac:dyDescent="0.15">
      <c r="K259" s="188"/>
    </row>
    <row r="260" spans="11:11" x14ac:dyDescent="0.15">
      <c r="K260" s="188"/>
    </row>
    <row r="261" spans="11:11" x14ac:dyDescent="0.15">
      <c r="K261" s="188"/>
    </row>
    <row r="262" spans="11:11" x14ac:dyDescent="0.15">
      <c r="K262" s="188"/>
    </row>
    <row r="263" spans="11:11" x14ac:dyDescent="0.15">
      <c r="K263" s="188"/>
    </row>
    <row r="264" spans="11:11" x14ac:dyDescent="0.15">
      <c r="K264" s="188"/>
    </row>
    <row r="265" spans="11:11" x14ac:dyDescent="0.15">
      <c r="K265" s="188"/>
    </row>
    <row r="266" spans="11:11" x14ac:dyDescent="0.15">
      <c r="K266" s="188"/>
    </row>
    <row r="267" spans="11:11" x14ac:dyDescent="0.15">
      <c r="K267" s="188"/>
    </row>
    <row r="268" spans="11:11" x14ac:dyDescent="0.15">
      <c r="K268" s="188"/>
    </row>
    <row r="269" spans="11:11" x14ac:dyDescent="0.15">
      <c r="K269" s="188"/>
    </row>
    <row r="270" spans="11:11" x14ac:dyDescent="0.15">
      <c r="K270" s="188"/>
    </row>
    <row r="271" spans="11:11" x14ac:dyDescent="0.15">
      <c r="K271" s="188"/>
    </row>
    <row r="272" spans="11:11" x14ac:dyDescent="0.15">
      <c r="K272" s="188"/>
    </row>
    <row r="273" spans="11:11" x14ac:dyDescent="0.15">
      <c r="K273" s="188"/>
    </row>
    <row r="274" spans="11:11" x14ac:dyDescent="0.15">
      <c r="K274" s="188"/>
    </row>
    <row r="275" spans="11:11" x14ac:dyDescent="0.15">
      <c r="K275" s="188"/>
    </row>
    <row r="276" spans="11:11" x14ac:dyDescent="0.15">
      <c r="K276" s="188"/>
    </row>
    <row r="277" spans="11:11" x14ac:dyDescent="0.15">
      <c r="K277" s="188"/>
    </row>
    <row r="278" spans="11:11" x14ac:dyDescent="0.15">
      <c r="K278" s="188"/>
    </row>
    <row r="279" spans="11:11" x14ac:dyDescent="0.15">
      <c r="K279" s="188"/>
    </row>
    <row r="280" spans="11:11" x14ac:dyDescent="0.15">
      <c r="K280" s="188"/>
    </row>
    <row r="281" spans="11:11" x14ac:dyDescent="0.15">
      <c r="K281" s="188"/>
    </row>
    <row r="282" spans="11:11" x14ac:dyDescent="0.15">
      <c r="K282" s="188"/>
    </row>
    <row r="283" spans="11:11" x14ac:dyDescent="0.15">
      <c r="K283" s="188"/>
    </row>
    <row r="284" spans="11:11" x14ac:dyDescent="0.15">
      <c r="K284" s="188"/>
    </row>
    <row r="285" spans="11:11" x14ac:dyDescent="0.15">
      <c r="K285" s="188"/>
    </row>
    <row r="286" spans="11:11" x14ac:dyDescent="0.15">
      <c r="K286" s="188"/>
    </row>
    <row r="287" spans="11:11" x14ac:dyDescent="0.15">
      <c r="K287" s="188"/>
    </row>
    <row r="288" spans="11:11" x14ac:dyDescent="0.15">
      <c r="K288" s="188"/>
    </row>
    <row r="289" spans="11:11" x14ac:dyDescent="0.15">
      <c r="K289" s="188"/>
    </row>
    <row r="290" spans="11:11" x14ac:dyDescent="0.15">
      <c r="K290" s="188"/>
    </row>
    <row r="291" spans="11:11" x14ac:dyDescent="0.15">
      <c r="K291" s="188"/>
    </row>
    <row r="292" spans="11:11" x14ac:dyDescent="0.15">
      <c r="K292" s="188"/>
    </row>
    <row r="293" spans="11:11" x14ac:dyDescent="0.15">
      <c r="K293" s="188"/>
    </row>
    <row r="294" spans="11:11" x14ac:dyDescent="0.15">
      <c r="K294" s="188"/>
    </row>
    <row r="295" spans="11:11" x14ac:dyDescent="0.15">
      <c r="K295" s="188"/>
    </row>
    <row r="296" spans="11:11" x14ac:dyDescent="0.15">
      <c r="K296" s="188"/>
    </row>
    <row r="297" spans="11:11" x14ac:dyDescent="0.15">
      <c r="K297" s="188"/>
    </row>
    <row r="298" spans="11:11" x14ac:dyDescent="0.15">
      <c r="K298" s="188"/>
    </row>
    <row r="299" spans="11:11" x14ac:dyDescent="0.15">
      <c r="K299" s="188"/>
    </row>
    <row r="300" spans="11:11" x14ac:dyDescent="0.15">
      <c r="K300" s="188"/>
    </row>
    <row r="301" spans="11:11" x14ac:dyDescent="0.15">
      <c r="K301" s="188"/>
    </row>
    <row r="302" spans="11:11" x14ac:dyDescent="0.15">
      <c r="K302" s="188"/>
    </row>
    <row r="303" spans="11:11" x14ac:dyDescent="0.15">
      <c r="K303" s="188"/>
    </row>
    <row r="304" spans="11:11" x14ac:dyDescent="0.15">
      <c r="K304" s="188"/>
    </row>
    <row r="305" spans="11:11" x14ac:dyDescent="0.15">
      <c r="K305" s="188"/>
    </row>
    <row r="306" spans="11:11" x14ac:dyDescent="0.15">
      <c r="K306" s="188"/>
    </row>
    <row r="307" spans="11:11" x14ac:dyDescent="0.15">
      <c r="K307" s="188"/>
    </row>
    <row r="308" spans="11:11" x14ac:dyDescent="0.15">
      <c r="K308" s="188"/>
    </row>
    <row r="309" spans="11:11" x14ac:dyDescent="0.15">
      <c r="K309" s="188"/>
    </row>
    <row r="310" spans="11:11" x14ac:dyDescent="0.15">
      <c r="K310" s="188"/>
    </row>
    <row r="311" spans="11:11" x14ac:dyDescent="0.15">
      <c r="K311" s="188"/>
    </row>
    <row r="312" spans="11:11" x14ac:dyDescent="0.15">
      <c r="K312" s="188"/>
    </row>
    <row r="313" spans="11:11" x14ac:dyDescent="0.15">
      <c r="K313" s="188"/>
    </row>
    <row r="314" spans="11:11" x14ac:dyDescent="0.15">
      <c r="K314" s="188"/>
    </row>
    <row r="315" spans="11:11" x14ac:dyDescent="0.15">
      <c r="K315" s="188"/>
    </row>
    <row r="316" spans="11:11" x14ac:dyDescent="0.15">
      <c r="K316" s="188"/>
    </row>
    <row r="317" spans="11:11" x14ac:dyDescent="0.15">
      <c r="K317" s="188"/>
    </row>
    <row r="318" spans="11:11" x14ac:dyDescent="0.15">
      <c r="K318" s="188"/>
    </row>
    <row r="319" spans="11:11" x14ac:dyDescent="0.15">
      <c r="K319" s="188"/>
    </row>
    <row r="320" spans="11:11" x14ac:dyDescent="0.15">
      <c r="K320" s="188"/>
    </row>
    <row r="321" spans="11:11" x14ac:dyDescent="0.15">
      <c r="K321" s="188"/>
    </row>
    <row r="322" spans="11:11" x14ac:dyDescent="0.15">
      <c r="K322" s="188"/>
    </row>
    <row r="323" spans="11:11" x14ac:dyDescent="0.15">
      <c r="K323" s="188"/>
    </row>
    <row r="324" spans="11:11" x14ac:dyDescent="0.15">
      <c r="K324" s="188"/>
    </row>
    <row r="325" spans="11:11" x14ac:dyDescent="0.15">
      <c r="K325" s="188"/>
    </row>
    <row r="326" spans="11:11" x14ac:dyDescent="0.15">
      <c r="K326" s="188"/>
    </row>
    <row r="327" spans="11:11" x14ac:dyDescent="0.15">
      <c r="K327" s="188"/>
    </row>
    <row r="328" spans="11:11" x14ac:dyDescent="0.15">
      <c r="K328" s="188"/>
    </row>
    <row r="329" spans="11:11" x14ac:dyDescent="0.15">
      <c r="K329" s="188"/>
    </row>
    <row r="330" spans="11:11" x14ac:dyDescent="0.15">
      <c r="K330" s="188"/>
    </row>
    <row r="331" spans="11:11" x14ac:dyDescent="0.15">
      <c r="K331" s="188"/>
    </row>
    <row r="332" spans="11:11" x14ac:dyDescent="0.15">
      <c r="K332" s="188"/>
    </row>
    <row r="333" spans="11:11" x14ac:dyDescent="0.15">
      <c r="K333" s="188"/>
    </row>
    <row r="334" spans="11:11" x14ac:dyDescent="0.15">
      <c r="K334" s="188"/>
    </row>
    <row r="335" spans="11:11" x14ac:dyDescent="0.15">
      <c r="K335" s="188"/>
    </row>
    <row r="336" spans="11:11" x14ac:dyDescent="0.15">
      <c r="K336" s="188"/>
    </row>
    <row r="337" spans="11:11" x14ac:dyDescent="0.15">
      <c r="K337" s="188"/>
    </row>
    <row r="338" spans="11:11" x14ac:dyDescent="0.15">
      <c r="K338" s="188"/>
    </row>
    <row r="339" spans="11:11" x14ac:dyDescent="0.15">
      <c r="K339" s="188"/>
    </row>
    <row r="340" spans="11:11" x14ac:dyDescent="0.15">
      <c r="K340" s="188"/>
    </row>
    <row r="341" spans="11:11" x14ac:dyDescent="0.15">
      <c r="K341" s="188"/>
    </row>
    <row r="342" spans="11:11" x14ac:dyDescent="0.15">
      <c r="K342" s="188"/>
    </row>
    <row r="343" spans="11:11" x14ac:dyDescent="0.15">
      <c r="K343" s="188"/>
    </row>
    <row r="344" spans="11:11" x14ac:dyDescent="0.15">
      <c r="K344" s="188"/>
    </row>
    <row r="345" spans="11:11" x14ac:dyDescent="0.15">
      <c r="K345" s="188"/>
    </row>
    <row r="346" spans="11:11" x14ac:dyDescent="0.15">
      <c r="K346" s="188"/>
    </row>
    <row r="347" spans="11:11" x14ac:dyDescent="0.15">
      <c r="K347" s="188"/>
    </row>
    <row r="348" spans="11:11" x14ac:dyDescent="0.15">
      <c r="K348" s="188"/>
    </row>
    <row r="349" spans="11:11" x14ac:dyDescent="0.15">
      <c r="K349" s="188"/>
    </row>
    <row r="350" spans="11:11" x14ac:dyDescent="0.15">
      <c r="K350" s="188"/>
    </row>
    <row r="351" spans="11:11" x14ac:dyDescent="0.15">
      <c r="K351" s="188"/>
    </row>
    <row r="352" spans="11:11" x14ac:dyDescent="0.15">
      <c r="K352" s="188"/>
    </row>
    <row r="353" spans="11:11" x14ac:dyDescent="0.15">
      <c r="K353" s="188"/>
    </row>
    <row r="354" spans="11:11" x14ac:dyDescent="0.15">
      <c r="K354" s="188"/>
    </row>
    <row r="355" spans="11:11" x14ac:dyDescent="0.15">
      <c r="K355" s="188"/>
    </row>
    <row r="356" spans="11:11" x14ac:dyDescent="0.15">
      <c r="K356" s="188"/>
    </row>
    <row r="357" spans="11:11" x14ac:dyDescent="0.15">
      <c r="K357" s="188"/>
    </row>
    <row r="358" spans="11:11" x14ac:dyDescent="0.15">
      <c r="K358" s="188"/>
    </row>
    <row r="359" spans="11:11" x14ac:dyDescent="0.15">
      <c r="K359" s="188"/>
    </row>
    <row r="360" spans="11:11" x14ac:dyDescent="0.15">
      <c r="K360" s="188"/>
    </row>
    <row r="361" spans="11:11" x14ac:dyDescent="0.15">
      <c r="K361" s="188"/>
    </row>
    <row r="362" spans="11:11" x14ac:dyDescent="0.15">
      <c r="K362" s="188"/>
    </row>
    <row r="363" spans="11:11" x14ac:dyDescent="0.15">
      <c r="K363" s="188"/>
    </row>
    <row r="364" spans="11:11" x14ac:dyDescent="0.15">
      <c r="K364" s="188"/>
    </row>
    <row r="365" spans="11:11" x14ac:dyDescent="0.15">
      <c r="K365" s="188"/>
    </row>
    <row r="366" spans="11:11" x14ac:dyDescent="0.15">
      <c r="K366" s="188"/>
    </row>
    <row r="367" spans="11:11" x14ac:dyDescent="0.15">
      <c r="K367" s="188"/>
    </row>
    <row r="368" spans="11:11" x14ac:dyDescent="0.15">
      <c r="K368" s="188"/>
    </row>
    <row r="369" spans="11:11" x14ac:dyDescent="0.15">
      <c r="K369" s="188"/>
    </row>
    <row r="370" spans="11:11" x14ac:dyDescent="0.15">
      <c r="K370" s="188"/>
    </row>
    <row r="371" spans="11:11" x14ac:dyDescent="0.15">
      <c r="K371" s="188"/>
    </row>
    <row r="372" spans="11:11" x14ac:dyDescent="0.15">
      <c r="K372" s="188"/>
    </row>
    <row r="373" spans="11:11" x14ac:dyDescent="0.15">
      <c r="K373" s="188"/>
    </row>
    <row r="374" spans="11:11" x14ac:dyDescent="0.15">
      <c r="K374" s="188"/>
    </row>
    <row r="375" spans="11:11" x14ac:dyDescent="0.15">
      <c r="K375" s="188"/>
    </row>
    <row r="376" spans="11:11" x14ac:dyDescent="0.15">
      <c r="K376" s="188"/>
    </row>
    <row r="377" spans="11:11" x14ac:dyDescent="0.15">
      <c r="K377" s="188"/>
    </row>
    <row r="378" spans="11:11" x14ac:dyDescent="0.15">
      <c r="K378" s="188"/>
    </row>
    <row r="379" spans="11:11" x14ac:dyDescent="0.15">
      <c r="K379" s="188"/>
    </row>
    <row r="380" spans="11:11" x14ac:dyDescent="0.15">
      <c r="K380" s="188"/>
    </row>
    <row r="381" spans="11:11" x14ac:dyDescent="0.15">
      <c r="K381" s="188"/>
    </row>
    <row r="382" spans="11:11" x14ac:dyDescent="0.15">
      <c r="K382" s="188"/>
    </row>
    <row r="383" spans="11:11" x14ac:dyDescent="0.15">
      <c r="K383" s="188"/>
    </row>
    <row r="384" spans="11:11" x14ac:dyDescent="0.15">
      <c r="K384" s="188"/>
    </row>
    <row r="385" spans="11:11" x14ac:dyDescent="0.15">
      <c r="K385" s="188"/>
    </row>
    <row r="386" spans="11:11" x14ac:dyDescent="0.15">
      <c r="K386" s="188"/>
    </row>
    <row r="387" spans="11:11" x14ac:dyDescent="0.15">
      <c r="K387" s="188"/>
    </row>
    <row r="388" spans="11:11" x14ac:dyDescent="0.15">
      <c r="K388" s="188"/>
    </row>
    <row r="389" spans="11:11" x14ac:dyDescent="0.15">
      <c r="K389" s="188"/>
    </row>
    <row r="390" spans="11:11" x14ac:dyDescent="0.15">
      <c r="K390" s="188"/>
    </row>
    <row r="391" spans="11:11" x14ac:dyDescent="0.15">
      <c r="K391" s="188"/>
    </row>
    <row r="392" spans="11:11" x14ac:dyDescent="0.15">
      <c r="K392" s="188"/>
    </row>
    <row r="393" spans="11:11" x14ac:dyDescent="0.15">
      <c r="K393" s="188"/>
    </row>
    <row r="394" spans="11:11" x14ac:dyDescent="0.15">
      <c r="K394" s="188"/>
    </row>
    <row r="395" spans="11:11" x14ac:dyDescent="0.15">
      <c r="K395" s="188"/>
    </row>
    <row r="396" spans="11:11" x14ac:dyDescent="0.15">
      <c r="K396" s="188"/>
    </row>
    <row r="397" spans="11:11" x14ac:dyDescent="0.15">
      <c r="K397" s="188"/>
    </row>
    <row r="398" spans="11:11" x14ac:dyDescent="0.15">
      <c r="K398" s="188"/>
    </row>
    <row r="399" spans="11:11" x14ac:dyDescent="0.15">
      <c r="K399" s="188"/>
    </row>
    <row r="400" spans="11:11" x14ac:dyDescent="0.15">
      <c r="K400" s="188"/>
    </row>
    <row r="401" spans="11:11" x14ac:dyDescent="0.15">
      <c r="K401" s="188"/>
    </row>
    <row r="402" spans="11:11" x14ac:dyDescent="0.15">
      <c r="K402" s="188"/>
    </row>
    <row r="403" spans="11:11" x14ac:dyDescent="0.15">
      <c r="K403" s="188"/>
    </row>
    <row r="404" spans="11:11" x14ac:dyDescent="0.15">
      <c r="K404" s="188"/>
    </row>
    <row r="405" spans="11:11" x14ac:dyDescent="0.15">
      <c r="K405" s="188"/>
    </row>
    <row r="406" spans="11:11" x14ac:dyDescent="0.15">
      <c r="K406" s="188"/>
    </row>
    <row r="407" spans="11:11" x14ac:dyDescent="0.15">
      <c r="K407" s="188"/>
    </row>
    <row r="408" spans="11:11" x14ac:dyDescent="0.15">
      <c r="K408" s="188"/>
    </row>
    <row r="409" spans="11:11" x14ac:dyDescent="0.15">
      <c r="K409" s="188"/>
    </row>
    <row r="410" spans="11:11" x14ac:dyDescent="0.15">
      <c r="K410" s="188"/>
    </row>
    <row r="411" spans="11:11" x14ac:dyDescent="0.15">
      <c r="K411" s="188"/>
    </row>
    <row r="412" spans="11:11" x14ac:dyDescent="0.15">
      <c r="K412" s="188"/>
    </row>
    <row r="413" spans="11:11" x14ac:dyDescent="0.15">
      <c r="K413" s="188"/>
    </row>
    <row r="414" spans="11:11" x14ac:dyDescent="0.15">
      <c r="K414" s="188"/>
    </row>
    <row r="415" spans="11:11" x14ac:dyDescent="0.15">
      <c r="K415" s="188"/>
    </row>
    <row r="416" spans="11:11" x14ac:dyDescent="0.15">
      <c r="K416" s="188"/>
    </row>
    <row r="417" spans="11:11" x14ac:dyDescent="0.15">
      <c r="K417" s="188"/>
    </row>
    <row r="418" spans="11:11" x14ac:dyDescent="0.15">
      <c r="K418" s="188"/>
    </row>
    <row r="419" spans="11:11" x14ac:dyDescent="0.15">
      <c r="K419" s="188"/>
    </row>
    <row r="420" spans="11:11" x14ac:dyDescent="0.15">
      <c r="K420" s="188"/>
    </row>
    <row r="421" spans="11:11" x14ac:dyDescent="0.15">
      <c r="K421" s="188"/>
    </row>
    <row r="422" spans="11:11" x14ac:dyDescent="0.15">
      <c r="K422" s="188"/>
    </row>
    <row r="423" spans="11:11" x14ac:dyDescent="0.15">
      <c r="K423" s="188"/>
    </row>
    <row r="424" spans="11:11" x14ac:dyDescent="0.15">
      <c r="K424" s="188"/>
    </row>
    <row r="425" spans="11:11" x14ac:dyDescent="0.15">
      <c r="K425" s="188"/>
    </row>
    <row r="426" spans="11:11" x14ac:dyDescent="0.15">
      <c r="K426" s="188"/>
    </row>
    <row r="427" spans="11:11" x14ac:dyDescent="0.15">
      <c r="K427" s="188"/>
    </row>
    <row r="428" spans="11:11" x14ac:dyDescent="0.15">
      <c r="K428" s="188"/>
    </row>
    <row r="429" spans="11:11" x14ac:dyDescent="0.15">
      <c r="K429" s="188"/>
    </row>
    <row r="430" spans="11:11" x14ac:dyDescent="0.15">
      <c r="K430" s="188"/>
    </row>
    <row r="431" spans="11:11" x14ac:dyDescent="0.15">
      <c r="K431" s="188"/>
    </row>
    <row r="432" spans="11:11" x14ac:dyDescent="0.15">
      <c r="K432" s="188"/>
    </row>
    <row r="433" spans="11:11" x14ac:dyDescent="0.15">
      <c r="K433" s="188"/>
    </row>
    <row r="434" spans="11:11" x14ac:dyDescent="0.15">
      <c r="K434" s="188"/>
    </row>
    <row r="435" spans="11:11" x14ac:dyDescent="0.15">
      <c r="K435" s="188"/>
    </row>
    <row r="436" spans="11:11" x14ac:dyDescent="0.15">
      <c r="K436" s="188"/>
    </row>
    <row r="437" spans="11:11" x14ac:dyDescent="0.15">
      <c r="K437" s="188"/>
    </row>
    <row r="438" spans="11:11" x14ac:dyDescent="0.15">
      <c r="K438" s="188"/>
    </row>
    <row r="439" spans="11:11" x14ac:dyDescent="0.15">
      <c r="K439" s="188"/>
    </row>
    <row r="440" spans="11:11" x14ac:dyDescent="0.15">
      <c r="K440" s="188"/>
    </row>
    <row r="441" spans="11:11" x14ac:dyDescent="0.15">
      <c r="K441" s="188"/>
    </row>
    <row r="442" spans="11:11" x14ac:dyDescent="0.15">
      <c r="K442" s="188"/>
    </row>
    <row r="443" spans="11:11" x14ac:dyDescent="0.15">
      <c r="K443" s="188"/>
    </row>
    <row r="444" spans="11:11" x14ac:dyDescent="0.15">
      <c r="K444" s="188"/>
    </row>
    <row r="445" spans="11:11" x14ac:dyDescent="0.15">
      <c r="K445" s="188"/>
    </row>
    <row r="446" spans="11:11" x14ac:dyDescent="0.15">
      <c r="K446" s="188"/>
    </row>
    <row r="447" spans="11:11" x14ac:dyDescent="0.15">
      <c r="K447" s="188"/>
    </row>
    <row r="448" spans="11:11" x14ac:dyDescent="0.15">
      <c r="K448" s="188"/>
    </row>
    <row r="449" spans="11:11" x14ac:dyDescent="0.15">
      <c r="K449" s="188"/>
    </row>
    <row r="450" spans="11:11" x14ac:dyDescent="0.15">
      <c r="K450" s="188"/>
    </row>
    <row r="451" spans="11:11" x14ac:dyDescent="0.15">
      <c r="K451" s="188"/>
    </row>
    <row r="452" spans="11:11" x14ac:dyDescent="0.15">
      <c r="K452" s="188"/>
    </row>
    <row r="453" spans="11:11" x14ac:dyDescent="0.15">
      <c r="K453" s="188"/>
    </row>
    <row r="454" spans="11:11" x14ac:dyDescent="0.15">
      <c r="K454" s="188"/>
    </row>
    <row r="455" spans="11:11" x14ac:dyDescent="0.15">
      <c r="K455" s="188"/>
    </row>
    <row r="456" spans="11:11" x14ac:dyDescent="0.15">
      <c r="K456" s="188"/>
    </row>
    <row r="457" spans="11:11" x14ac:dyDescent="0.15">
      <c r="K457" s="188"/>
    </row>
    <row r="458" spans="11:11" x14ac:dyDescent="0.15">
      <c r="K458" s="188"/>
    </row>
    <row r="459" spans="11:11" x14ac:dyDescent="0.15">
      <c r="K459" s="188"/>
    </row>
    <row r="460" spans="11:11" x14ac:dyDescent="0.15">
      <c r="K460" s="188"/>
    </row>
    <row r="461" spans="11:11" x14ac:dyDescent="0.15">
      <c r="K461" s="188"/>
    </row>
    <row r="462" spans="11:11" x14ac:dyDescent="0.15">
      <c r="K462" s="188"/>
    </row>
    <row r="463" spans="11:11" x14ac:dyDescent="0.15">
      <c r="K463" s="188"/>
    </row>
    <row r="464" spans="11:11" x14ac:dyDescent="0.15">
      <c r="K464" s="188"/>
    </row>
    <row r="465" spans="11:11" x14ac:dyDescent="0.15">
      <c r="K465" s="188"/>
    </row>
    <row r="466" spans="11:11" x14ac:dyDescent="0.15">
      <c r="K466" s="188"/>
    </row>
    <row r="467" spans="11:11" x14ac:dyDescent="0.15">
      <c r="K467" s="188"/>
    </row>
    <row r="468" spans="11:11" x14ac:dyDescent="0.15">
      <c r="K468" s="188"/>
    </row>
    <row r="469" spans="11:11" x14ac:dyDescent="0.15">
      <c r="K469" s="188"/>
    </row>
    <row r="470" spans="11:11" x14ac:dyDescent="0.15">
      <c r="K470" s="188"/>
    </row>
    <row r="471" spans="11:11" x14ac:dyDescent="0.15">
      <c r="K471" s="188"/>
    </row>
    <row r="472" spans="11:11" x14ac:dyDescent="0.15">
      <c r="K472" s="188"/>
    </row>
    <row r="473" spans="11:11" x14ac:dyDescent="0.15">
      <c r="K473" s="188"/>
    </row>
    <row r="474" spans="11:11" x14ac:dyDescent="0.15">
      <c r="K474" s="188"/>
    </row>
    <row r="475" spans="11:11" x14ac:dyDescent="0.15">
      <c r="K475" s="188"/>
    </row>
    <row r="476" spans="11:11" x14ac:dyDescent="0.15">
      <c r="K476" s="188"/>
    </row>
    <row r="477" spans="11:11" x14ac:dyDescent="0.15">
      <c r="K477" s="188"/>
    </row>
    <row r="478" spans="11:11" x14ac:dyDescent="0.15">
      <c r="K478" s="188"/>
    </row>
    <row r="479" spans="11:11" x14ac:dyDescent="0.15">
      <c r="K479" s="188"/>
    </row>
    <row r="480" spans="11:11" x14ac:dyDescent="0.15">
      <c r="K480" s="188"/>
    </row>
    <row r="481" spans="11:11" x14ac:dyDescent="0.15">
      <c r="K481" s="188"/>
    </row>
    <row r="482" spans="11:11" x14ac:dyDescent="0.15">
      <c r="K482" s="188"/>
    </row>
    <row r="483" spans="11:11" x14ac:dyDescent="0.15">
      <c r="K483" s="188"/>
    </row>
    <row r="484" spans="11:11" x14ac:dyDescent="0.15">
      <c r="K484" s="188"/>
    </row>
    <row r="485" spans="11:11" x14ac:dyDescent="0.15">
      <c r="K485" s="188"/>
    </row>
    <row r="486" spans="11:11" x14ac:dyDescent="0.15">
      <c r="K486" s="188"/>
    </row>
    <row r="487" spans="11:11" x14ac:dyDescent="0.15">
      <c r="K487" s="188"/>
    </row>
    <row r="488" spans="11:11" x14ac:dyDescent="0.15">
      <c r="K488" s="188"/>
    </row>
    <row r="489" spans="11:11" x14ac:dyDescent="0.15">
      <c r="K489" s="188"/>
    </row>
    <row r="490" spans="11:11" x14ac:dyDescent="0.15">
      <c r="K490" s="188"/>
    </row>
    <row r="491" spans="11:11" x14ac:dyDescent="0.15">
      <c r="K491" s="188"/>
    </row>
    <row r="492" spans="11:11" x14ac:dyDescent="0.15">
      <c r="K492" s="188"/>
    </row>
    <row r="493" spans="11:11" x14ac:dyDescent="0.15">
      <c r="K493" s="188"/>
    </row>
    <row r="494" spans="11:11" x14ac:dyDescent="0.15">
      <c r="K494" s="188"/>
    </row>
    <row r="495" spans="11:11" x14ac:dyDescent="0.15">
      <c r="K495" s="188"/>
    </row>
    <row r="496" spans="11:11" x14ac:dyDescent="0.15">
      <c r="K496" s="188"/>
    </row>
    <row r="497" spans="11:11" x14ac:dyDescent="0.15">
      <c r="K497" s="188"/>
    </row>
    <row r="498" spans="11:11" x14ac:dyDescent="0.15">
      <c r="K498" s="188"/>
    </row>
    <row r="499" spans="11:11" x14ac:dyDescent="0.15">
      <c r="K499" s="188"/>
    </row>
    <row r="500" spans="11:11" x14ac:dyDescent="0.15">
      <c r="K500" s="188"/>
    </row>
    <row r="501" spans="11:11" x14ac:dyDescent="0.15">
      <c r="K501" s="188"/>
    </row>
    <row r="502" spans="11:11" x14ac:dyDescent="0.15">
      <c r="K502" s="188"/>
    </row>
    <row r="503" spans="11:11" x14ac:dyDescent="0.15">
      <c r="K503" s="188"/>
    </row>
    <row r="504" spans="11:11" x14ac:dyDescent="0.15">
      <c r="K504" s="188"/>
    </row>
    <row r="505" spans="11:11" x14ac:dyDescent="0.15">
      <c r="K505" s="188"/>
    </row>
    <row r="506" spans="11:11" x14ac:dyDescent="0.15">
      <c r="K506" s="188"/>
    </row>
    <row r="507" spans="11:11" x14ac:dyDescent="0.15">
      <c r="K507" s="188"/>
    </row>
    <row r="508" spans="11:11" x14ac:dyDescent="0.15">
      <c r="K508" s="188"/>
    </row>
    <row r="509" spans="11:11" x14ac:dyDescent="0.15">
      <c r="K509" s="188"/>
    </row>
    <row r="510" spans="11:11" x14ac:dyDescent="0.15">
      <c r="K510" s="188"/>
    </row>
    <row r="511" spans="11:11" x14ac:dyDescent="0.15">
      <c r="K511" s="188"/>
    </row>
    <row r="512" spans="11:11" x14ac:dyDescent="0.15">
      <c r="K512" s="188"/>
    </row>
    <row r="513" spans="11:11" x14ac:dyDescent="0.15">
      <c r="K513" s="188"/>
    </row>
    <row r="514" spans="11:11" x14ac:dyDescent="0.15">
      <c r="K514" s="188"/>
    </row>
    <row r="515" spans="11:11" x14ac:dyDescent="0.15">
      <c r="K515" s="188"/>
    </row>
    <row r="516" spans="11:11" x14ac:dyDescent="0.15">
      <c r="K516" s="188"/>
    </row>
    <row r="517" spans="11:11" x14ac:dyDescent="0.15">
      <c r="K517" s="188"/>
    </row>
    <row r="518" spans="11:11" x14ac:dyDescent="0.15">
      <c r="K518" s="188"/>
    </row>
    <row r="519" spans="11:11" x14ac:dyDescent="0.15">
      <c r="K519" s="188"/>
    </row>
    <row r="520" spans="11:11" x14ac:dyDescent="0.15">
      <c r="K520" s="188"/>
    </row>
    <row r="521" spans="11:11" x14ac:dyDescent="0.15">
      <c r="K521" s="188"/>
    </row>
    <row r="522" spans="11:11" x14ac:dyDescent="0.15">
      <c r="K522" s="188"/>
    </row>
    <row r="523" spans="11:11" x14ac:dyDescent="0.15">
      <c r="K523" s="188"/>
    </row>
    <row r="524" spans="11:11" x14ac:dyDescent="0.15">
      <c r="K524" s="188"/>
    </row>
    <row r="525" spans="11:11" x14ac:dyDescent="0.15">
      <c r="K525" s="188"/>
    </row>
    <row r="526" spans="11:11" x14ac:dyDescent="0.15">
      <c r="K526" s="188"/>
    </row>
    <row r="527" spans="11:11" x14ac:dyDescent="0.15">
      <c r="K527" s="188"/>
    </row>
    <row r="528" spans="11:11" x14ac:dyDescent="0.15">
      <c r="K528" s="188"/>
    </row>
    <row r="529" spans="11:11" x14ac:dyDescent="0.15">
      <c r="K529" s="188"/>
    </row>
    <row r="530" spans="11:11" x14ac:dyDescent="0.15">
      <c r="K530" s="188"/>
    </row>
    <row r="531" spans="11:11" x14ac:dyDescent="0.15">
      <c r="K531" s="188"/>
    </row>
    <row r="532" spans="11:11" x14ac:dyDescent="0.15">
      <c r="K532" s="188"/>
    </row>
    <row r="533" spans="11:11" x14ac:dyDescent="0.15">
      <c r="K533" s="188"/>
    </row>
    <row r="534" spans="11:11" x14ac:dyDescent="0.15">
      <c r="K534" s="188"/>
    </row>
    <row r="535" spans="11:11" x14ac:dyDescent="0.15">
      <c r="K535" s="188"/>
    </row>
    <row r="536" spans="11:11" x14ac:dyDescent="0.15">
      <c r="K536" s="188"/>
    </row>
    <row r="537" spans="11:11" x14ac:dyDescent="0.15">
      <c r="K537" s="188"/>
    </row>
    <row r="538" spans="11:11" x14ac:dyDescent="0.15">
      <c r="K538" s="188"/>
    </row>
    <row r="539" spans="11:11" x14ac:dyDescent="0.15">
      <c r="K539" s="188"/>
    </row>
    <row r="540" spans="11:11" x14ac:dyDescent="0.15">
      <c r="K540" s="188"/>
    </row>
    <row r="541" spans="11:11" x14ac:dyDescent="0.15">
      <c r="K541" s="188"/>
    </row>
    <row r="542" spans="11:11" x14ac:dyDescent="0.15">
      <c r="K542" s="188"/>
    </row>
    <row r="543" spans="11:11" x14ac:dyDescent="0.15">
      <c r="K543" s="188"/>
    </row>
    <row r="544" spans="11:11" x14ac:dyDescent="0.15">
      <c r="K544" s="188"/>
    </row>
    <row r="545" spans="11:11" x14ac:dyDescent="0.15">
      <c r="K545" s="188"/>
    </row>
    <row r="546" spans="11:11" x14ac:dyDescent="0.15">
      <c r="K546" s="188"/>
    </row>
    <row r="547" spans="11:11" x14ac:dyDescent="0.15">
      <c r="K547" s="188"/>
    </row>
    <row r="548" spans="11:11" x14ac:dyDescent="0.15">
      <c r="K548" s="188"/>
    </row>
    <row r="549" spans="11:11" x14ac:dyDescent="0.15">
      <c r="K549" s="188"/>
    </row>
    <row r="550" spans="11:11" x14ac:dyDescent="0.15">
      <c r="K550" s="188"/>
    </row>
    <row r="551" spans="11:11" x14ac:dyDescent="0.15">
      <c r="K551" s="188"/>
    </row>
    <row r="552" spans="11:11" x14ac:dyDescent="0.15">
      <c r="K552" s="188"/>
    </row>
    <row r="553" spans="11:11" x14ac:dyDescent="0.15">
      <c r="K553" s="188"/>
    </row>
    <row r="554" spans="11:11" x14ac:dyDescent="0.15">
      <c r="K554" s="188"/>
    </row>
    <row r="555" spans="11:11" x14ac:dyDescent="0.15">
      <c r="K555" s="188"/>
    </row>
    <row r="556" spans="11:11" x14ac:dyDescent="0.15">
      <c r="K556" s="188"/>
    </row>
    <row r="557" spans="11:11" x14ac:dyDescent="0.15">
      <c r="K557" s="188"/>
    </row>
    <row r="558" spans="11:11" x14ac:dyDescent="0.15">
      <c r="K558" s="188"/>
    </row>
    <row r="559" spans="11:11" x14ac:dyDescent="0.15">
      <c r="K559" s="188"/>
    </row>
    <row r="560" spans="11:11" x14ac:dyDescent="0.15">
      <c r="K560" s="188"/>
    </row>
    <row r="561" spans="11:11" x14ac:dyDescent="0.15">
      <c r="K561" s="188"/>
    </row>
    <row r="562" spans="11:11" x14ac:dyDescent="0.15">
      <c r="K562" s="188"/>
    </row>
    <row r="563" spans="11:11" x14ac:dyDescent="0.15">
      <c r="K563" s="188"/>
    </row>
    <row r="564" spans="11:11" x14ac:dyDescent="0.15">
      <c r="K564" s="188"/>
    </row>
    <row r="565" spans="11:11" x14ac:dyDescent="0.15">
      <c r="K565" s="188"/>
    </row>
    <row r="566" spans="11:11" x14ac:dyDescent="0.15">
      <c r="K566" s="188"/>
    </row>
    <row r="567" spans="11:11" x14ac:dyDescent="0.15">
      <c r="K567" s="188"/>
    </row>
    <row r="568" spans="11:11" x14ac:dyDescent="0.15">
      <c r="K568" s="188"/>
    </row>
    <row r="569" spans="11:11" x14ac:dyDescent="0.15">
      <c r="K569" s="188"/>
    </row>
    <row r="570" spans="11:11" x14ac:dyDescent="0.15">
      <c r="K570" s="188"/>
    </row>
    <row r="571" spans="11:11" x14ac:dyDescent="0.15">
      <c r="K571" s="188"/>
    </row>
    <row r="572" spans="11:11" x14ac:dyDescent="0.15">
      <c r="K572" s="188"/>
    </row>
    <row r="573" spans="11:11" x14ac:dyDescent="0.15">
      <c r="K573" s="188"/>
    </row>
    <row r="574" spans="11:11" x14ac:dyDescent="0.15">
      <c r="K574" s="188"/>
    </row>
    <row r="575" spans="11:11" x14ac:dyDescent="0.15">
      <c r="K575" s="188"/>
    </row>
    <row r="576" spans="11:11" x14ac:dyDescent="0.15">
      <c r="K576" s="188"/>
    </row>
    <row r="577" spans="11:11" x14ac:dyDescent="0.15">
      <c r="K577" s="188"/>
    </row>
    <row r="578" spans="11:11" x14ac:dyDescent="0.15">
      <c r="K578" s="188"/>
    </row>
    <row r="579" spans="11:11" x14ac:dyDescent="0.15">
      <c r="K579" s="188"/>
    </row>
    <row r="580" spans="11:11" x14ac:dyDescent="0.15">
      <c r="K580" s="188"/>
    </row>
    <row r="581" spans="11:11" x14ac:dyDescent="0.15">
      <c r="K581" s="188"/>
    </row>
    <row r="582" spans="11:11" x14ac:dyDescent="0.15">
      <c r="K582" s="188"/>
    </row>
    <row r="583" spans="11:11" x14ac:dyDescent="0.15">
      <c r="K583" s="188"/>
    </row>
    <row r="584" spans="11:11" x14ac:dyDescent="0.15">
      <c r="K584" s="188"/>
    </row>
    <row r="585" spans="11:11" x14ac:dyDescent="0.15">
      <c r="K585" s="188"/>
    </row>
    <row r="586" spans="11:11" x14ac:dyDescent="0.15">
      <c r="K586" s="188"/>
    </row>
    <row r="587" spans="11:11" x14ac:dyDescent="0.15">
      <c r="K587" s="188"/>
    </row>
    <row r="588" spans="11:11" x14ac:dyDescent="0.15">
      <c r="K588" s="188"/>
    </row>
    <row r="589" spans="11:11" x14ac:dyDescent="0.15">
      <c r="K589" s="188"/>
    </row>
    <row r="590" spans="11:11" x14ac:dyDescent="0.15">
      <c r="K590" s="188"/>
    </row>
    <row r="591" spans="11:11" x14ac:dyDescent="0.15">
      <c r="K591" s="188"/>
    </row>
    <row r="592" spans="11:11" x14ac:dyDescent="0.15">
      <c r="K592" s="188"/>
    </row>
    <row r="593" spans="11:11" x14ac:dyDescent="0.15">
      <c r="K593" s="188"/>
    </row>
    <row r="594" spans="11:11" x14ac:dyDescent="0.15">
      <c r="K594" s="188"/>
    </row>
    <row r="595" spans="11:11" x14ac:dyDescent="0.15">
      <c r="K595" s="188"/>
    </row>
    <row r="596" spans="11:11" x14ac:dyDescent="0.15">
      <c r="K596" s="188"/>
    </row>
    <row r="597" spans="11:11" x14ac:dyDescent="0.15">
      <c r="K597" s="188"/>
    </row>
    <row r="598" spans="11:11" x14ac:dyDescent="0.15">
      <c r="K598" s="188"/>
    </row>
    <row r="599" spans="11:11" x14ac:dyDescent="0.15">
      <c r="K599" s="188"/>
    </row>
    <row r="600" spans="11:11" x14ac:dyDescent="0.15">
      <c r="K600" s="188"/>
    </row>
    <row r="601" spans="11:11" x14ac:dyDescent="0.15">
      <c r="K601" s="188"/>
    </row>
    <row r="602" spans="11:11" x14ac:dyDescent="0.15">
      <c r="K602" s="188"/>
    </row>
    <row r="603" spans="11:11" x14ac:dyDescent="0.15">
      <c r="K603" s="188"/>
    </row>
    <row r="604" spans="11:11" x14ac:dyDescent="0.15">
      <c r="K604" s="188"/>
    </row>
    <row r="605" spans="11:11" x14ac:dyDescent="0.15">
      <c r="K605" s="188"/>
    </row>
    <row r="606" spans="11:11" x14ac:dyDescent="0.15">
      <c r="K606" s="188"/>
    </row>
    <row r="607" spans="11:11" x14ac:dyDescent="0.15">
      <c r="K607" s="188"/>
    </row>
    <row r="608" spans="11:11" x14ac:dyDescent="0.15">
      <c r="K608" s="188"/>
    </row>
    <row r="609" spans="11:11" x14ac:dyDescent="0.15">
      <c r="K609" s="188"/>
    </row>
    <row r="610" spans="11:11" x14ac:dyDescent="0.15">
      <c r="K610" s="188"/>
    </row>
    <row r="611" spans="11:11" x14ac:dyDescent="0.15">
      <c r="K611" s="188"/>
    </row>
    <row r="612" spans="11:11" x14ac:dyDescent="0.15">
      <c r="K612" s="188"/>
    </row>
    <row r="613" spans="11:11" x14ac:dyDescent="0.15">
      <c r="K613" s="188"/>
    </row>
    <row r="614" spans="11:11" x14ac:dyDescent="0.15">
      <c r="K614" s="188"/>
    </row>
    <row r="615" spans="11:11" x14ac:dyDescent="0.15">
      <c r="K615" s="188"/>
    </row>
    <row r="616" spans="11:11" x14ac:dyDescent="0.15">
      <c r="K616" s="188"/>
    </row>
    <row r="617" spans="11:11" x14ac:dyDescent="0.15">
      <c r="K617" s="188"/>
    </row>
    <row r="618" spans="11:11" x14ac:dyDescent="0.15">
      <c r="K618" s="188"/>
    </row>
    <row r="619" spans="11:11" x14ac:dyDescent="0.15">
      <c r="K619" s="188"/>
    </row>
    <row r="620" spans="11:11" x14ac:dyDescent="0.15">
      <c r="K620" s="188"/>
    </row>
    <row r="621" spans="11:11" x14ac:dyDescent="0.15">
      <c r="K621" s="188"/>
    </row>
    <row r="622" spans="11:11" x14ac:dyDescent="0.15">
      <c r="K622" s="188"/>
    </row>
    <row r="623" spans="11:11" x14ac:dyDescent="0.15">
      <c r="K623" s="188"/>
    </row>
    <row r="624" spans="11:11" x14ac:dyDescent="0.15">
      <c r="K624" s="188"/>
    </row>
    <row r="625" spans="11:11" x14ac:dyDescent="0.15">
      <c r="K625" s="188"/>
    </row>
    <row r="626" spans="11:11" x14ac:dyDescent="0.15">
      <c r="K626" s="188"/>
    </row>
    <row r="627" spans="11:11" x14ac:dyDescent="0.15">
      <c r="K627" s="188"/>
    </row>
    <row r="628" spans="11:11" x14ac:dyDescent="0.15">
      <c r="K628" s="188"/>
    </row>
    <row r="629" spans="11:11" x14ac:dyDescent="0.15">
      <c r="K629" s="188"/>
    </row>
    <row r="630" spans="11:11" x14ac:dyDescent="0.15">
      <c r="K630" s="188"/>
    </row>
    <row r="631" spans="11:11" x14ac:dyDescent="0.15">
      <c r="K631" s="188"/>
    </row>
    <row r="632" spans="11:11" x14ac:dyDescent="0.15">
      <c r="K632" s="188"/>
    </row>
    <row r="633" spans="11:11" x14ac:dyDescent="0.15">
      <c r="K633" s="188"/>
    </row>
    <row r="634" spans="11:11" x14ac:dyDescent="0.15">
      <c r="K634" s="188"/>
    </row>
    <row r="635" spans="11:11" x14ac:dyDescent="0.15">
      <c r="K635" s="188"/>
    </row>
    <row r="636" spans="11:11" x14ac:dyDescent="0.15">
      <c r="K636" s="188"/>
    </row>
    <row r="637" spans="11:11" x14ac:dyDescent="0.15">
      <c r="K637" s="188"/>
    </row>
    <row r="638" spans="11:11" x14ac:dyDescent="0.15">
      <c r="K638" s="188"/>
    </row>
    <row r="639" spans="11:11" x14ac:dyDescent="0.15">
      <c r="K639" s="188"/>
    </row>
    <row r="640" spans="11:11" x14ac:dyDescent="0.15">
      <c r="K640" s="188"/>
    </row>
    <row r="641" spans="11:11" x14ac:dyDescent="0.15">
      <c r="K641" s="188"/>
    </row>
    <row r="642" spans="11:11" x14ac:dyDescent="0.15">
      <c r="K642" s="188"/>
    </row>
    <row r="643" spans="11:11" x14ac:dyDescent="0.15">
      <c r="K643" s="188"/>
    </row>
    <row r="644" spans="11:11" x14ac:dyDescent="0.15">
      <c r="K644" s="188"/>
    </row>
    <row r="645" spans="11:11" x14ac:dyDescent="0.15">
      <c r="K645" s="188"/>
    </row>
    <row r="646" spans="11:11" x14ac:dyDescent="0.15">
      <c r="K646" s="188"/>
    </row>
    <row r="647" spans="11:11" x14ac:dyDescent="0.15">
      <c r="K647" s="188"/>
    </row>
    <row r="648" spans="11:11" x14ac:dyDescent="0.15">
      <c r="K648" s="188"/>
    </row>
    <row r="649" spans="11:11" x14ac:dyDescent="0.15">
      <c r="K649" s="188"/>
    </row>
    <row r="650" spans="11:11" x14ac:dyDescent="0.15">
      <c r="K650" s="188"/>
    </row>
    <row r="651" spans="11:11" x14ac:dyDescent="0.15">
      <c r="K651" s="188"/>
    </row>
    <row r="652" spans="11:11" x14ac:dyDescent="0.15">
      <c r="K652" s="188"/>
    </row>
    <row r="653" spans="11:11" x14ac:dyDescent="0.15">
      <c r="K653" s="188"/>
    </row>
    <row r="654" spans="11:11" x14ac:dyDescent="0.15">
      <c r="K654" s="188"/>
    </row>
    <row r="655" spans="11:11" x14ac:dyDescent="0.15">
      <c r="K655" s="188"/>
    </row>
    <row r="656" spans="11:11" x14ac:dyDescent="0.15">
      <c r="K656" s="188"/>
    </row>
    <row r="657" spans="11:11" x14ac:dyDescent="0.15">
      <c r="K657" s="188"/>
    </row>
    <row r="658" spans="11:11" x14ac:dyDescent="0.15">
      <c r="K658" s="188"/>
    </row>
    <row r="659" spans="11:11" x14ac:dyDescent="0.15">
      <c r="K659" s="188"/>
    </row>
    <row r="660" spans="11:11" x14ac:dyDescent="0.15">
      <c r="K660" s="188"/>
    </row>
    <row r="661" spans="11:11" x14ac:dyDescent="0.15">
      <c r="K661" s="188"/>
    </row>
    <row r="662" spans="11:11" x14ac:dyDescent="0.15">
      <c r="K662" s="188"/>
    </row>
    <row r="663" spans="11:11" x14ac:dyDescent="0.15">
      <c r="K663" s="188"/>
    </row>
    <row r="664" spans="11:11" x14ac:dyDescent="0.15">
      <c r="K664" s="188"/>
    </row>
    <row r="665" spans="11:11" x14ac:dyDescent="0.15">
      <c r="K665" s="188"/>
    </row>
    <row r="666" spans="11:11" x14ac:dyDescent="0.15">
      <c r="K666" s="188"/>
    </row>
    <row r="667" spans="11:11" x14ac:dyDescent="0.15">
      <c r="K667" s="188"/>
    </row>
    <row r="668" spans="11:11" x14ac:dyDescent="0.15">
      <c r="K668" s="188"/>
    </row>
    <row r="669" spans="11:11" x14ac:dyDescent="0.15">
      <c r="K669" s="188"/>
    </row>
    <row r="670" spans="11:11" x14ac:dyDescent="0.15">
      <c r="K670" s="188"/>
    </row>
    <row r="671" spans="11:11" x14ac:dyDescent="0.15">
      <c r="K671" s="188"/>
    </row>
    <row r="672" spans="11:11" x14ac:dyDescent="0.15">
      <c r="K672" s="188"/>
    </row>
    <row r="673" spans="11:11" x14ac:dyDescent="0.15">
      <c r="K673" s="188"/>
    </row>
    <row r="674" spans="11:11" x14ac:dyDescent="0.15">
      <c r="K674" s="188"/>
    </row>
    <row r="675" spans="11:11" x14ac:dyDescent="0.15">
      <c r="K675" s="188"/>
    </row>
    <row r="676" spans="11:11" x14ac:dyDescent="0.15">
      <c r="K676" s="188"/>
    </row>
    <row r="677" spans="11:11" x14ac:dyDescent="0.15">
      <c r="K677" s="188"/>
    </row>
    <row r="678" spans="11:11" x14ac:dyDescent="0.15">
      <c r="K678" s="188"/>
    </row>
    <row r="679" spans="11:11" x14ac:dyDescent="0.15">
      <c r="K679" s="188"/>
    </row>
    <row r="680" spans="11:11" x14ac:dyDescent="0.15">
      <c r="K680" s="188"/>
    </row>
    <row r="681" spans="11:11" x14ac:dyDescent="0.15">
      <c r="K681" s="188"/>
    </row>
    <row r="682" spans="11:11" x14ac:dyDescent="0.15">
      <c r="K682" s="188"/>
    </row>
    <row r="683" spans="11:11" x14ac:dyDescent="0.15">
      <c r="K683" s="188"/>
    </row>
    <row r="684" spans="11:11" x14ac:dyDescent="0.15">
      <c r="K684" s="188"/>
    </row>
    <row r="685" spans="11:11" x14ac:dyDescent="0.15">
      <c r="K685" s="188"/>
    </row>
    <row r="686" spans="11:11" x14ac:dyDescent="0.15">
      <c r="K686" s="188"/>
    </row>
    <row r="687" spans="11:11" x14ac:dyDescent="0.15">
      <c r="K687" s="188"/>
    </row>
    <row r="688" spans="11:11" x14ac:dyDescent="0.15">
      <c r="K688" s="188"/>
    </row>
    <row r="689" spans="11:11" x14ac:dyDescent="0.15">
      <c r="K689" s="188"/>
    </row>
    <row r="690" spans="11:11" x14ac:dyDescent="0.15">
      <c r="K690" s="188"/>
    </row>
    <row r="691" spans="11:11" x14ac:dyDescent="0.15">
      <c r="K691" s="188"/>
    </row>
    <row r="692" spans="11:11" x14ac:dyDescent="0.15">
      <c r="K692" s="188"/>
    </row>
    <row r="693" spans="11:11" x14ac:dyDescent="0.15">
      <c r="K693" s="188"/>
    </row>
    <row r="694" spans="11:11" x14ac:dyDescent="0.15">
      <c r="K694" s="188"/>
    </row>
    <row r="695" spans="11:11" x14ac:dyDescent="0.15">
      <c r="K695" s="188"/>
    </row>
    <row r="696" spans="11:11" x14ac:dyDescent="0.15">
      <c r="K696" s="188"/>
    </row>
    <row r="697" spans="11:11" x14ac:dyDescent="0.15">
      <c r="K697" s="188"/>
    </row>
    <row r="698" spans="11:11" x14ac:dyDescent="0.15">
      <c r="K698" s="188"/>
    </row>
    <row r="699" spans="11:11" x14ac:dyDescent="0.15">
      <c r="K699" s="188"/>
    </row>
    <row r="700" spans="11:11" x14ac:dyDescent="0.15">
      <c r="K700" s="188"/>
    </row>
    <row r="701" spans="11:11" x14ac:dyDescent="0.15">
      <c r="K701" s="188"/>
    </row>
    <row r="702" spans="11:11" x14ac:dyDescent="0.15">
      <c r="K702" s="188"/>
    </row>
    <row r="703" spans="11:11" x14ac:dyDescent="0.15">
      <c r="K703" s="188"/>
    </row>
    <row r="704" spans="11:11" x14ac:dyDescent="0.15">
      <c r="K704" s="188"/>
    </row>
    <row r="705" spans="11:11" x14ac:dyDescent="0.15">
      <c r="K705" s="188"/>
    </row>
    <row r="706" spans="11:11" x14ac:dyDescent="0.15">
      <c r="K706" s="188"/>
    </row>
    <row r="707" spans="11:11" x14ac:dyDescent="0.15">
      <c r="K707" s="188"/>
    </row>
    <row r="708" spans="11:11" x14ac:dyDescent="0.15">
      <c r="K708" s="188"/>
    </row>
    <row r="709" spans="11:11" x14ac:dyDescent="0.15">
      <c r="K709" s="188"/>
    </row>
    <row r="710" spans="11:11" x14ac:dyDescent="0.15">
      <c r="K710" s="188"/>
    </row>
    <row r="711" spans="11:11" x14ac:dyDescent="0.15">
      <c r="K711" s="188"/>
    </row>
    <row r="712" spans="11:11" x14ac:dyDescent="0.15">
      <c r="K712" s="188"/>
    </row>
    <row r="713" spans="11:11" x14ac:dyDescent="0.15">
      <c r="K713" s="188"/>
    </row>
    <row r="714" spans="11:11" x14ac:dyDescent="0.15">
      <c r="K714" s="188"/>
    </row>
    <row r="715" spans="11:11" x14ac:dyDescent="0.15">
      <c r="K715" s="188"/>
    </row>
    <row r="716" spans="11:11" x14ac:dyDescent="0.15">
      <c r="K716" s="188"/>
    </row>
    <row r="717" spans="11:11" x14ac:dyDescent="0.15">
      <c r="K717" s="188"/>
    </row>
    <row r="718" spans="11:11" x14ac:dyDescent="0.15">
      <c r="K718" s="188"/>
    </row>
    <row r="719" spans="11:11" x14ac:dyDescent="0.15">
      <c r="K719" s="188"/>
    </row>
    <row r="720" spans="11:11" x14ac:dyDescent="0.15">
      <c r="K720" s="188"/>
    </row>
    <row r="721" spans="11:11" x14ac:dyDescent="0.15">
      <c r="K721" s="188"/>
    </row>
    <row r="722" spans="11:11" x14ac:dyDescent="0.15">
      <c r="K722" s="188"/>
    </row>
    <row r="723" spans="11:11" x14ac:dyDescent="0.15">
      <c r="K723" s="188"/>
    </row>
    <row r="724" spans="11:11" x14ac:dyDescent="0.15">
      <c r="K724" s="188"/>
    </row>
    <row r="725" spans="11:11" x14ac:dyDescent="0.15">
      <c r="K725" s="188"/>
    </row>
    <row r="726" spans="11:11" x14ac:dyDescent="0.15">
      <c r="K726" s="188"/>
    </row>
    <row r="727" spans="11:11" x14ac:dyDescent="0.15">
      <c r="K727" s="188"/>
    </row>
    <row r="728" spans="11:11" x14ac:dyDescent="0.15">
      <c r="K728" s="188"/>
    </row>
    <row r="729" spans="11:11" x14ac:dyDescent="0.15">
      <c r="K729" s="188"/>
    </row>
    <row r="730" spans="11:11" x14ac:dyDescent="0.15">
      <c r="K730" s="188"/>
    </row>
    <row r="731" spans="11:11" x14ac:dyDescent="0.15">
      <c r="K731" s="188"/>
    </row>
    <row r="732" spans="11:11" x14ac:dyDescent="0.15">
      <c r="K732" s="188"/>
    </row>
    <row r="733" spans="11:11" x14ac:dyDescent="0.15">
      <c r="K733" s="188"/>
    </row>
    <row r="734" spans="11:11" x14ac:dyDescent="0.15">
      <c r="K734" s="188"/>
    </row>
    <row r="735" spans="11:11" x14ac:dyDescent="0.15">
      <c r="K735" s="188"/>
    </row>
    <row r="736" spans="11:11" x14ac:dyDescent="0.15">
      <c r="K736" s="188"/>
    </row>
    <row r="737" spans="11:11" x14ac:dyDescent="0.15">
      <c r="K737" s="188"/>
    </row>
    <row r="738" spans="11:11" x14ac:dyDescent="0.15">
      <c r="K738" s="188"/>
    </row>
    <row r="739" spans="11:11" x14ac:dyDescent="0.15">
      <c r="K739" s="188"/>
    </row>
    <row r="740" spans="11:11" x14ac:dyDescent="0.15">
      <c r="K740" s="188"/>
    </row>
    <row r="741" spans="11:11" x14ac:dyDescent="0.15">
      <c r="K741" s="188"/>
    </row>
    <row r="742" spans="11:11" x14ac:dyDescent="0.15">
      <c r="K742" s="188"/>
    </row>
    <row r="743" spans="11:11" x14ac:dyDescent="0.15">
      <c r="K743" s="188"/>
    </row>
    <row r="744" spans="11:11" x14ac:dyDescent="0.15">
      <c r="K744" s="188"/>
    </row>
    <row r="745" spans="11:11" x14ac:dyDescent="0.15">
      <c r="K745" s="188"/>
    </row>
    <row r="746" spans="11:11" x14ac:dyDescent="0.15">
      <c r="K746" s="188"/>
    </row>
  </sheetData>
  <autoFilter ref="A1:BA84"/>
  <phoneticPr fontId="3"/>
  <dataValidations count="12">
    <dataValidation type="list" allowBlank="1" showInputMessage="1" showErrorMessage="1" sqref="K2:K746">
      <formula1>$AR$2:$AR$23</formula1>
    </dataValidation>
    <dataValidation type="list" allowBlank="1" showInputMessage="1" showErrorMessage="1" sqref="A2:A433">
      <formula1>$AE$2:$AE$19</formula1>
    </dataValidation>
    <dataValidation type="list" allowBlank="1" showInputMessage="1" showErrorMessage="1" sqref="Y2:AA434">
      <formula1>$AV$2:$AV$21</formula1>
    </dataValidation>
    <dataValidation type="list" allowBlank="1" showInputMessage="1" showErrorMessage="1" sqref="H2:H434">
      <formula1>$AL$2:$AL$8</formula1>
    </dataValidation>
    <dataValidation type="list" allowBlank="1" showInputMessage="1" showErrorMessage="1" sqref="X2:X434">
      <formula1>$AT$2:$AT$3</formula1>
    </dataValidation>
    <dataValidation type="list" allowBlank="1" showInputMessage="1" showErrorMessage="1" sqref="G2:G434">
      <formula1>$AJ$2:$AJ$4</formula1>
    </dataValidation>
    <dataValidation type="list" allowBlank="1" showInputMessage="1" showErrorMessage="1" sqref="I2:I434">
      <formula1>$AN$5:$AN$6</formula1>
    </dataValidation>
    <dataValidation type="list" allowBlank="1" showInputMessage="1" showErrorMessage="1" sqref="J2:J434">
      <formula1>$AP$2:$AP$24</formula1>
    </dataValidation>
    <dataValidation type="list" allowBlank="1" showInputMessage="1" showErrorMessage="1" sqref="F2:F434">
      <formula1>$AH$2:$AH$11</formula1>
    </dataValidation>
    <dataValidation type="list" allowBlank="1" showInputMessage="1" showErrorMessage="1" sqref="E2:E434">
      <formula1>$AG$2:$AG$11</formula1>
    </dataValidation>
    <dataValidation type="decimal" allowBlank="1" showInputMessage="1" showErrorMessage="1" error="硬度を正しく入力して下さい。" sqref="O2:P49 O59:P434">
      <formula1>0</formula1>
      <formula2>7</formula2>
    </dataValidation>
    <dataValidation operator="equal" allowBlank="1" showInputMessage="1" showErrorMessage="1" sqref="B2:B91"/>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607AAB-FE65-4930-8F14-DDF890080DD2}"/>
</file>

<file path=customXml/itemProps2.xml><?xml version="1.0" encoding="utf-8"?>
<ds:datastoreItem xmlns:ds="http://schemas.openxmlformats.org/officeDocument/2006/customXml" ds:itemID="{0D8FA484-5D48-48B5-88DB-3E60AA5D5250}"/>
</file>

<file path=customXml/itemProps3.xml><?xml version="1.0" encoding="utf-8"?>
<ds:datastoreItem xmlns:ds="http://schemas.openxmlformats.org/officeDocument/2006/customXml" ds:itemID="{82CEB34C-3FF7-4D18-959A-97A05FCAF1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2018-09-25T05:41:11Z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