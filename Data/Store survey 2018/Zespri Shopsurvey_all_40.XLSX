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7" r:id="rId2"/>
    <sheet name="nagoya" sheetId="26"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miyagi!$A$1:$BA$128</definedName>
    <definedName name="_xlnm._FilterDatabase" localSheetId="2" hidden="1">nagoya!$A$1:$BA$52</definedName>
    <definedName name="_xlnm._FilterDatabase" localSheetId="3" hidden="1">osaka!$A$1:$BA$64</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07" i="32" l="1"/>
  <c r="V106" i="32"/>
  <c r="V105" i="32"/>
  <c r="T104" i="32"/>
  <c r="V104" i="32" s="1"/>
  <c r="T103" i="32"/>
  <c r="V103" i="32" s="1"/>
  <c r="Q103" i="32"/>
  <c r="V102" i="32"/>
  <c r="T102" i="32"/>
  <c r="Q102" i="32"/>
  <c r="T101" i="32"/>
  <c r="V101" i="32" s="1"/>
  <c r="Q101" i="32"/>
  <c r="T100" i="32"/>
  <c r="V100" i="32" s="1"/>
  <c r="Q100" i="32"/>
  <c r="T99" i="32"/>
  <c r="V99" i="32" s="1"/>
  <c r="Q99" i="32"/>
  <c r="V98" i="32"/>
  <c r="T98" i="32"/>
  <c r="Q98" i="32"/>
  <c r="V97" i="32"/>
  <c r="T97" i="32"/>
  <c r="Q97" i="32"/>
  <c r="T96" i="32"/>
  <c r="V96" i="32" s="1"/>
  <c r="Q96" i="32"/>
  <c r="T95" i="32"/>
  <c r="V95" i="32" s="1"/>
  <c r="Q95" i="32"/>
  <c r="V94" i="32"/>
  <c r="T94" i="32"/>
  <c r="Q94" i="32"/>
  <c r="T93" i="32"/>
  <c r="V93" i="32" s="1"/>
  <c r="Q93" i="32"/>
  <c r="T92" i="32"/>
  <c r="V92" i="32" s="1"/>
  <c r="Q92" i="32"/>
  <c r="T91" i="32"/>
  <c r="V91" i="32" s="1"/>
  <c r="Q91" i="32"/>
  <c r="V90" i="32"/>
  <c r="T90" i="32"/>
  <c r="Q90" i="32"/>
  <c r="V89" i="32"/>
  <c r="T89" i="32"/>
  <c r="Q89" i="32"/>
  <c r="T88" i="32"/>
  <c r="V88" i="32" s="1"/>
  <c r="Q88" i="32"/>
  <c r="T87" i="32"/>
  <c r="V87" i="32" s="1"/>
  <c r="Q87" i="32"/>
  <c r="V86" i="32"/>
  <c r="T86" i="32"/>
  <c r="Q86" i="32"/>
  <c r="T85" i="32"/>
  <c r="V85" i="32" s="1"/>
  <c r="Q85" i="32"/>
  <c r="T84" i="32"/>
  <c r="V84" i="32" s="1"/>
  <c r="Q84" i="32"/>
  <c r="T83" i="32"/>
  <c r="V83" i="32" s="1"/>
  <c r="Q83" i="32"/>
  <c r="V82" i="32"/>
  <c r="T82" i="32"/>
  <c r="Q82" i="32"/>
  <c r="V81" i="32"/>
  <c r="T81" i="32"/>
  <c r="Q81" i="32"/>
  <c r="T80" i="32"/>
  <c r="V80" i="32" s="1"/>
  <c r="Q80" i="32"/>
  <c r="T79" i="32"/>
  <c r="V79" i="32" s="1"/>
  <c r="Q79" i="32"/>
  <c r="V78" i="32"/>
  <c r="T78" i="32"/>
  <c r="Q78" i="32"/>
  <c r="T77" i="32"/>
  <c r="V77" i="32" s="1"/>
  <c r="Q77" i="32"/>
  <c r="T76" i="32"/>
  <c r="V76" i="32" s="1"/>
  <c r="Q76" i="32"/>
  <c r="T75" i="32"/>
  <c r="V75" i="32" s="1"/>
  <c r="Q75" i="32"/>
  <c r="V74" i="32"/>
  <c r="T74" i="32"/>
  <c r="Q74" i="32"/>
  <c r="V73" i="32"/>
  <c r="T73" i="32"/>
  <c r="Q73" i="32"/>
  <c r="T72" i="32"/>
  <c r="V72" i="32" s="1"/>
  <c r="Q72" i="32"/>
  <c r="T71" i="32"/>
  <c r="V71" i="32" s="1"/>
  <c r="Q71" i="32"/>
  <c r="V70" i="32"/>
  <c r="T70" i="32"/>
  <c r="Q70" i="32"/>
  <c r="T69" i="32"/>
  <c r="V69" i="32" s="1"/>
  <c r="Q69" i="32"/>
  <c r="T68" i="32"/>
  <c r="V68" i="32" s="1"/>
  <c r="Q68" i="32"/>
  <c r="T67" i="32"/>
  <c r="V67" i="32" s="1"/>
  <c r="Q67" i="32"/>
  <c r="V66" i="32"/>
  <c r="T66" i="32"/>
  <c r="Q66" i="32"/>
  <c r="V65" i="32"/>
  <c r="T65" i="32"/>
  <c r="Q65" i="32"/>
  <c r="T64" i="32"/>
  <c r="V64" i="32" s="1"/>
  <c r="Q64" i="32"/>
  <c r="T63" i="32"/>
  <c r="V63" i="32" s="1"/>
  <c r="Q63" i="32"/>
  <c r="V62" i="32"/>
  <c r="T62" i="32"/>
  <c r="Q62" i="32"/>
  <c r="T61" i="32"/>
  <c r="V61" i="32" s="1"/>
  <c r="Q61" i="32"/>
  <c r="T60" i="32"/>
  <c r="V60" i="32" s="1"/>
  <c r="Q60" i="32"/>
  <c r="T59" i="32"/>
  <c r="V59" i="32" s="1"/>
  <c r="Q59" i="32"/>
  <c r="V58" i="32"/>
  <c r="T58" i="32"/>
  <c r="Q58" i="32"/>
  <c r="V57" i="32"/>
  <c r="T57" i="32"/>
  <c r="Q57" i="32"/>
  <c r="T56" i="32"/>
  <c r="V56" i="32" s="1"/>
  <c r="Q56" i="32"/>
  <c r="T55" i="32"/>
  <c r="V55" i="32" s="1"/>
  <c r="Q55" i="32"/>
  <c r="V54" i="32"/>
  <c r="T54" i="32"/>
  <c r="Q54" i="32"/>
  <c r="T53" i="32"/>
  <c r="V53" i="32" s="1"/>
  <c r="Q53" i="32"/>
  <c r="T52" i="32"/>
  <c r="V52" i="32" s="1"/>
  <c r="Q52" i="32"/>
  <c r="T51" i="32"/>
  <c r="V51" i="32" s="1"/>
  <c r="Q51" i="32"/>
  <c r="V50" i="32"/>
  <c r="T50" i="32"/>
  <c r="Q50" i="32"/>
  <c r="T49" i="32"/>
  <c r="V49" i="32" s="1"/>
  <c r="Q49" i="32"/>
  <c r="T48" i="32"/>
  <c r="V48" i="32" s="1"/>
  <c r="Q48" i="32"/>
  <c r="T47" i="32"/>
  <c r="V47" i="32" s="1"/>
  <c r="Q47" i="32"/>
  <c r="V46" i="32"/>
  <c r="T46" i="32"/>
  <c r="Q46" i="32"/>
  <c r="T45" i="32"/>
  <c r="V45" i="32" s="1"/>
  <c r="Q45" i="32"/>
  <c r="T44" i="32"/>
  <c r="V44" i="32" s="1"/>
  <c r="Q44" i="32"/>
  <c r="T43" i="32"/>
  <c r="V43" i="32" s="1"/>
  <c r="Q43" i="32"/>
  <c r="V42" i="32"/>
  <c r="T42" i="32"/>
  <c r="Q42" i="32"/>
  <c r="T41" i="32"/>
  <c r="V41" i="32" s="1"/>
  <c r="Q41" i="32"/>
  <c r="T40" i="32"/>
  <c r="V40" i="32" s="1"/>
  <c r="Q40" i="32"/>
  <c r="T39" i="32"/>
  <c r="V39" i="32" s="1"/>
  <c r="Q39" i="32"/>
  <c r="V38" i="32"/>
  <c r="T38" i="32"/>
  <c r="Q38" i="32"/>
  <c r="T37" i="32"/>
  <c r="V37" i="32" s="1"/>
  <c r="Q37" i="32"/>
  <c r="T36" i="32"/>
  <c r="V36" i="32" s="1"/>
  <c r="Q36" i="32"/>
  <c r="T35" i="32"/>
  <c r="V35" i="32" s="1"/>
  <c r="Q35" i="32"/>
  <c r="V34" i="32"/>
  <c r="T34" i="32"/>
  <c r="Q34" i="32"/>
  <c r="T33" i="32"/>
  <c r="V33" i="32" s="1"/>
  <c r="Q33" i="32"/>
  <c r="T32" i="32"/>
  <c r="V32" i="32" s="1"/>
  <c r="Q32" i="32"/>
  <c r="T31" i="32"/>
  <c r="V31" i="32" s="1"/>
  <c r="Q31" i="32"/>
  <c r="V30" i="32"/>
  <c r="T30" i="32"/>
  <c r="Q30" i="32"/>
  <c r="T29" i="32"/>
  <c r="V29" i="32" s="1"/>
  <c r="Q29" i="32"/>
  <c r="T28" i="32"/>
  <c r="V28" i="32" s="1"/>
  <c r="Q28" i="32"/>
  <c r="T27" i="32"/>
  <c r="V27" i="32" s="1"/>
  <c r="Q27" i="32"/>
  <c r="V26" i="32"/>
  <c r="T26" i="32"/>
  <c r="Q26" i="32"/>
  <c r="T25" i="32"/>
  <c r="V25" i="32" s="1"/>
  <c r="Q25" i="32"/>
  <c r="T24" i="32"/>
  <c r="V24" i="32" s="1"/>
  <c r="Q24" i="32"/>
  <c r="T23" i="32"/>
  <c r="V23" i="32" s="1"/>
  <c r="Q23" i="32"/>
  <c r="V22" i="32"/>
  <c r="T22" i="32"/>
  <c r="Q22" i="32"/>
  <c r="T21" i="32"/>
  <c r="V21" i="32" s="1"/>
  <c r="Q21" i="32"/>
  <c r="T20" i="32"/>
  <c r="V20" i="32" s="1"/>
  <c r="Q20" i="32"/>
  <c r="T19" i="32"/>
  <c r="V19" i="32" s="1"/>
  <c r="Q19" i="32"/>
  <c r="V18" i="32"/>
  <c r="T18" i="32"/>
  <c r="Q18" i="32"/>
  <c r="T17" i="32"/>
  <c r="V17" i="32" s="1"/>
  <c r="Q17" i="32"/>
  <c r="T16" i="32"/>
  <c r="V16" i="32" s="1"/>
  <c r="Q16" i="32"/>
  <c r="T15" i="32"/>
  <c r="V15" i="32" s="1"/>
  <c r="Q15" i="32"/>
  <c r="V14" i="32"/>
  <c r="T14" i="32"/>
  <c r="Q14" i="32"/>
  <c r="T13" i="32"/>
  <c r="V13" i="32" s="1"/>
  <c r="Q13" i="32"/>
  <c r="T12" i="32"/>
  <c r="V12" i="32" s="1"/>
  <c r="Q12" i="32"/>
  <c r="T11" i="32"/>
  <c r="V11" i="32" s="1"/>
  <c r="Q11" i="32"/>
  <c r="V10" i="32"/>
  <c r="T10" i="32"/>
  <c r="Q10" i="32"/>
  <c r="T9" i="32"/>
  <c r="V9" i="32" s="1"/>
  <c r="Q9" i="32"/>
  <c r="T8" i="32"/>
  <c r="V8" i="32" s="1"/>
  <c r="Q8" i="32"/>
  <c r="T7" i="32"/>
  <c r="V7" i="32" s="1"/>
  <c r="Q7" i="32"/>
  <c r="V6" i="32"/>
  <c r="T6" i="32"/>
  <c r="Q6" i="32"/>
  <c r="T5" i="32"/>
  <c r="V5" i="32" s="1"/>
  <c r="Q5" i="32"/>
  <c r="T4" i="32"/>
  <c r="V4" i="32" s="1"/>
  <c r="Q4" i="32"/>
  <c r="T3" i="32"/>
  <c r="V3" i="32" s="1"/>
  <c r="Q3" i="32"/>
  <c r="V2" i="32"/>
  <c r="T2" i="32"/>
  <c r="Q2" i="32"/>
  <c r="T91" i="31" l="1"/>
  <c r="V91" i="31" s="1"/>
  <c r="Q91" i="31"/>
  <c r="T90" i="31"/>
  <c r="V90" i="31" s="1"/>
  <c r="Q90" i="31"/>
  <c r="T89" i="31"/>
  <c r="V89" i="31" s="1"/>
  <c r="Q89" i="31"/>
  <c r="T88" i="31"/>
  <c r="V88" i="31" s="1"/>
  <c r="Q88" i="31"/>
  <c r="V87" i="31"/>
  <c r="T87" i="31"/>
  <c r="Q87" i="31"/>
  <c r="V86" i="31"/>
  <c r="T86" i="31"/>
  <c r="Q86" i="31"/>
  <c r="T85" i="31"/>
  <c r="V85" i="31" s="1"/>
  <c r="Q85" i="31"/>
  <c r="T84" i="31"/>
  <c r="V84" i="31" s="1"/>
  <c r="Q84" i="31"/>
  <c r="T83" i="31"/>
  <c r="V83" i="31" s="1"/>
  <c r="Q83" i="31"/>
  <c r="T82" i="31"/>
  <c r="V82" i="31" s="1"/>
  <c r="Q82" i="31"/>
  <c r="T81" i="31"/>
  <c r="V81" i="31" s="1"/>
  <c r="Q81" i="31"/>
  <c r="T80" i="31"/>
  <c r="V80" i="31" s="1"/>
  <c r="Q80" i="31"/>
  <c r="V79" i="31"/>
  <c r="T79" i="31"/>
  <c r="Q79" i="31"/>
  <c r="V78" i="31"/>
  <c r="T78" i="31"/>
  <c r="Q78" i="31"/>
  <c r="T77" i="31"/>
  <c r="V77" i="31" s="1"/>
  <c r="Q77" i="31"/>
  <c r="T76" i="31"/>
  <c r="V76" i="31" s="1"/>
  <c r="Q76" i="31"/>
  <c r="T75" i="31"/>
  <c r="V75" i="31" s="1"/>
  <c r="Q75" i="31"/>
  <c r="T74" i="31"/>
  <c r="V74" i="31" s="1"/>
  <c r="Q74" i="31"/>
  <c r="T73" i="31"/>
  <c r="V73" i="31" s="1"/>
  <c r="Q73" i="31"/>
  <c r="T72" i="31"/>
  <c r="V72" i="31" s="1"/>
  <c r="Q72" i="31"/>
  <c r="V71" i="31"/>
  <c r="T71" i="31"/>
  <c r="Q71" i="31"/>
  <c r="V70" i="31"/>
  <c r="T70" i="31"/>
  <c r="Q70" i="31"/>
  <c r="T69" i="31"/>
  <c r="V69" i="31" s="1"/>
  <c r="Q69" i="31"/>
  <c r="T68" i="31"/>
  <c r="V68" i="31" s="1"/>
  <c r="Q68" i="31"/>
  <c r="T67" i="31"/>
  <c r="V67" i="31" s="1"/>
  <c r="Q67" i="31"/>
  <c r="T66" i="31"/>
  <c r="V66" i="31" s="1"/>
  <c r="Q66" i="31"/>
  <c r="T65" i="31"/>
  <c r="V65" i="31" s="1"/>
  <c r="Q65" i="31"/>
  <c r="T64" i="31"/>
  <c r="V64" i="31" s="1"/>
  <c r="Q64" i="31"/>
  <c r="V63" i="31"/>
  <c r="T63" i="31"/>
  <c r="Q63" i="31"/>
  <c r="V62" i="31"/>
  <c r="T62" i="31"/>
  <c r="Q62" i="31"/>
  <c r="T61" i="31"/>
  <c r="V61" i="31" s="1"/>
  <c r="Q61" i="31"/>
  <c r="T60" i="31"/>
  <c r="V60" i="31" s="1"/>
  <c r="Q60" i="31"/>
  <c r="T59" i="31"/>
  <c r="V59" i="31" s="1"/>
  <c r="Q59" i="31"/>
  <c r="T58" i="31"/>
  <c r="V58" i="31" s="1"/>
  <c r="Q58" i="31"/>
  <c r="T57" i="31"/>
  <c r="V57" i="31" s="1"/>
  <c r="Q57" i="31"/>
  <c r="T56" i="31"/>
  <c r="V56" i="31" s="1"/>
  <c r="Q56" i="31"/>
  <c r="V55" i="31"/>
  <c r="T55" i="31"/>
  <c r="Q55" i="31"/>
  <c r="V54" i="31"/>
  <c r="T54" i="31"/>
  <c r="Q54" i="31"/>
  <c r="T53" i="31"/>
  <c r="V53" i="31" s="1"/>
  <c r="Q53" i="31"/>
  <c r="T52" i="31"/>
  <c r="V52" i="31" s="1"/>
  <c r="Q52" i="31"/>
  <c r="T51" i="31"/>
  <c r="V51" i="31" s="1"/>
  <c r="Q51" i="31"/>
  <c r="T50" i="31"/>
  <c r="V50" i="31" s="1"/>
  <c r="Q50" i="31"/>
  <c r="T49" i="31"/>
  <c r="V49" i="31" s="1"/>
  <c r="Q49" i="31"/>
  <c r="T48" i="31"/>
  <c r="V48" i="31" s="1"/>
  <c r="Q48" i="31"/>
  <c r="V47" i="31"/>
  <c r="T47" i="31"/>
  <c r="Q47" i="31"/>
  <c r="V46" i="31"/>
  <c r="T46" i="31"/>
  <c r="Q46" i="31"/>
  <c r="T45" i="31"/>
  <c r="V45" i="31" s="1"/>
  <c r="Q45" i="31"/>
  <c r="T44" i="31"/>
  <c r="V44" i="31" s="1"/>
  <c r="Q44" i="31"/>
  <c r="T43" i="31"/>
  <c r="V43" i="31" s="1"/>
  <c r="Q43" i="31"/>
  <c r="T42" i="31"/>
  <c r="V42" i="31" s="1"/>
  <c r="Q42" i="31"/>
  <c r="T41" i="31"/>
  <c r="V41" i="31" s="1"/>
  <c r="Q41" i="31"/>
  <c r="T40" i="31"/>
  <c r="V40" i="31" s="1"/>
  <c r="Q40" i="31"/>
  <c r="V39" i="31"/>
  <c r="T39" i="31"/>
  <c r="Q39" i="31"/>
  <c r="V38" i="31"/>
  <c r="T38" i="31"/>
  <c r="Q38" i="31"/>
  <c r="T37" i="31"/>
  <c r="V37" i="31" s="1"/>
  <c r="Q37" i="31"/>
  <c r="T36" i="31"/>
  <c r="V36" i="31" s="1"/>
  <c r="Q36" i="31"/>
  <c r="T35" i="31"/>
  <c r="V35" i="31" s="1"/>
  <c r="Q35" i="31"/>
  <c r="T34" i="31"/>
  <c r="V34" i="31" s="1"/>
  <c r="Q34" i="31"/>
  <c r="T33" i="31"/>
  <c r="V33" i="31" s="1"/>
  <c r="Q33" i="31"/>
  <c r="T32" i="31"/>
  <c r="V32" i="31" s="1"/>
  <c r="Q32" i="31"/>
  <c r="V31" i="31"/>
  <c r="T31" i="31"/>
  <c r="Q31" i="31"/>
  <c r="V30" i="31"/>
  <c r="T30" i="31"/>
  <c r="Q30" i="31"/>
  <c r="T29" i="31"/>
  <c r="V29" i="31" s="1"/>
  <c r="Q29" i="31"/>
  <c r="T28" i="31"/>
  <c r="V28" i="31" s="1"/>
  <c r="Q28" i="31"/>
  <c r="T27" i="31"/>
  <c r="V27" i="31" s="1"/>
  <c r="Q27" i="31"/>
  <c r="T26" i="31"/>
  <c r="V26" i="31" s="1"/>
  <c r="Q26" i="31"/>
  <c r="T25" i="31"/>
  <c r="V25" i="31" s="1"/>
  <c r="Q25" i="31"/>
  <c r="T24" i="31"/>
  <c r="V24" i="31" s="1"/>
  <c r="Q24" i="31"/>
  <c r="V23" i="31"/>
  <c r="T23" i="31"/>
  <c r="Q23" i="31"/>
  <c r="V22" i="31"/>
  <c r="T22" i="31"/>
  <c r="Q22" i="31"/>
  <c r="T21" i="31"/>
  <c r="V21" i="31" s="1"/>
  <c r="Q21" i="31"/>
  <c r="T20" i="31"/>
  <c r="V20" i="31" s="1"/>
  <c r="Q20" i="31"/>
  <c r="T19" i="31"/>
  <c r="V19" i="31" s="1"/>
  <c r="Q19" i="31"/>
  <c r="T18" i="31"/>
  <c r="V18" i="31" s="1"/>
  <c r="Q18" i="31"/>
  <c r="T17" i="31"/>
  <c r="V17" i="31" s="1"/>
  <c r="Q17" i="31"/>
  <c r="T16" i="31"/>
  <c r="V16" i="31" s="1"/>
  <c r="Q16" i="31"/>
  <c r="V15" i="31"/>
  <c r="T15" i="31"/>
  <c r="Q15" i="31"/>
  <c r="V14" i="31"/>
  <c r="T14" i="31"/>
  <c r="Q14" i="31"/>
  <c r="T13" i="31"/>
  <c r="V13" i="31" s="1"/>
  <c r="Q13" i="31"/>
  <c r="T12" i="31"/>
  <c r="V12" i="31" s="1"/>
  <c r="Q12" i="31"/>
  <c r="T11" i="31"/>
  <c r="V11" i="31" s="1"/>
  <c r="Q11" i="31"/>
  <c r="T10" i="31"/>
  <c r="V10" i="31" s="1"/>
  <c r="Q10" i="31"/>
  <c r="T9" i="31"/>
  <c r="V9" i="31" s="1"/>
  <c r="Q9" i="31"/>
  <c r="T8" i="31"/>
  <c r="V8" i="31" s="1"/>
  <c r="Q8" i="31"/>
  <c r="V7" i="31"/>
  <c r="T7" i="31"/>
  <c r="Q7" i="31"/>
  <c r="V6" i="31"/>
  <c r="T6" i="3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T78" i="29"/>
  <c r="V78" i="29" s="1"/>
  <c r="Q78" i="29"/>
  <c r="T77" i="29"/>
  <c r="V77" i="29" s="1"/>
  <c r="Q77" i="29"/>
  <c r="T76" i="29"/>
  <c r="V76" i="29" s="1"/>
  <c r="Q76" i="29"/>
  <c r="V75" i="29"/>
  <c r="T75" i="29"/>
  <c r="Q75" i="29"/>
  <c r="V74" i="29"/>
  <c r="T74" i="29"/>
  <c r="Q74" i="29"/>
  <c r="T73" i="29"/>
  <c r="V73" i="29" s="1"/>
  <c r="Q73" i="29"/>
  <c r="T72" i="29"/>
  <c r="V72" i="29" s="1"/>
  <c r="Q72" i="29"/>
  <c r="T71" i="29"/>
  <c r="V71" i="29" s="1"/>
  <c r="Q71" i="29"/>
  <c r="T70" i="29"/>
  <c r="V70" i="29" s="1"/>
  <c r="Q70" i="29"/>
  <c r="T69" i="29"/>
  <c r="V69" i="29" s="1"/>
  <c r="Q69" i="29"/>
  <c r="T68" i="29"/>
  <c r="V68" i="29" s="1"/>
  <c r="Q68" i="29"/>
  <c r="V67" i="29"/>
  <c r="T67" i="29"/>
  <c r="Q67" i="29"/>
  <c r="V66" i="29"/>
  <c r="T66" i="29"/>
  <c r="Q66" i="29"/>
  <c r="T65" i="29"/>
  <c r="V65" i="29" s="1"/>
  <c r="Q65" i="29"/>
  <c r="T64" i="29"/>
  <c r="V64" i="29" s="1"/>
  <c r="Q64" i="29"/>
  <c r="T63" i="29"/>
  <c r="V63" i="29" s="1"/>
  <c r="Q63" i="29"/>
  <c r="T62" i="29"/>
  <c r="V62" i="29" s="1"/>
  <c r="Q62" i="29"/>
  <c r="T61" i="29"/>
  <c r="V61" i="29" s="1"/>
  <c r="Q61" i="29"/>
  <c r="T60" i="29"/>
  <c r="V60" i="29" s="1"/>
  <c r="Q60" i="29"/>
  <c r="V59" i="29"/>
  <c r="T59" i="29"/>
  <c r="Q59" i="29"/>
  <c r="V58" i="29"/>
  <c r="T58" i="29"/>
  <c r="Q58" i="29"/>
  <c r="T57" i="29"/>
  <c r="V57" i="29" s="1"/>
  <c r="Q57" i="29"/>
  <c r="T56" i="29"/>
  <c r="V56" i="29" s="1"/>
  <c r="Q56" i="29"/>
  <c r="T55" i="29"/>
  <c r="V55" i="29" s="1"/>
  <c r="Q55" i="29"/>
  <c r="T54" i="29"/>
  <c r="V54" i="29" s="1"/>
  <c r="Q54" i="29"/>
  <c r="T53" i="29"/>
  <c r="V53" i="29" s="1"/>
  <c r="Q53" i="29"/>
  <c r="T52" i="29"/>
  <c r="V52" i="29" s="1"/>
  <c r="Q52" i="29"/>
  <c r="V51" i="29"/>
  <c r="T51" i="29"/>
  <c r="Q51" i="29"/>
  <c r="V50" i="29"/>
  <c r="T50" i="29"/>
  <c r="Q50" i="29"/>
  <c r="T49" i="29"/>
  <c r="V49" i="29" s="1"/>
  <c r="Q49" i="29"/>
  <c r="T48" i="29"/>
  <c r="V48" i="29" s="1"/>
  <c r="Q48" i="29"/>
  <c r="T47" i="29"/>
  <c r="V47" i="29" s="1"/>
  <c r="Q47" i="29"/>
  <c r="T46" i="29"/>
  <c r="V46" i="29" s="1"/>
  <c r="Q46" i="29"/>
  <c r="T45" i="29"/>
  <c r="V45" i="29" s="1"/>
  <c r="Q45" i="29"/>
  <c r="T44" i="29"/>
  <c r="V44" i="29" s="1"/>
  <c r="Q44" i="29"/>
  <c r="V43" i="29"/>
  <c r="T43" i="29"/>
  <c r="Q43" i="29"/>
  <c r="V42" i="29"/>
  <c r="T42" i="29"/>
  <c r="Q42" i="29"/>
  <c r="T41" i="29"/>
  <c r="V41" i="29" s="1"/>
  <c r="Q41" i="29"/>
  <c r="T40" i="29"/>
  <c r="V40" i="29" s="1"/>
  <c r="Q40" i="29"/>
  <c r="T39" i="29"/>
  <c r="V39" i="29" s="1"/>
  <c r="Q39" i="29"/>
  <c r="T38" i="29"/>
  <c r="V38" i="29" s="1"/>
  <c r="Q38" i="29"/>
  <c r="T37" i="29"/>
  <c r="V37" i="29" s="1"/>
  <c r="Q37" i="29"/>
  <c r="T36" i="29"/>
  <c r="V36" i="29" s="1"/>
  <c r="Q36" i="29"/>
  <c r="V35" i="29"/>
  <c r="T35" i="29"/>
  <c r="Q35" i="29"/>
  <c r="V34" i="29"/>
  <c r="T34" i="29"/>
  <c r="Q34" i="29"/>
  <c r="T33" i="29"/>
  <c r="V33" i="29" s="1"/>
  <c r="Q33" i="29"/>
  <c r="T32" i="29"/>
  <c r="V32" i="29" s="1"/>
  <c r="Q32" i="29"/>
  <c r="T31" i="29"/>
  <c r="V31" i="29" s="1"/>
  <c r="Q31" i="29"/>
  <c r="T30" i="29"/>
  <c r="V30" i="29" s="1"/>
  <c r="Q30" i="29"/>
  <c r="T29" i="29"/>
  <c r="V29" i="29" s="1"/>
  <c r="Q29" i="29"/>
  <c r="T28" i="29"/>
  <c r="V28" i="29" s="1"/>
  <c r="Q28" i="29"/>
  <c r="V27" i="29"/>
  <c r="T27" i="29"/>
  <c r="Q27" i="29"/>
  <c r="V26" i="29"/>
  <c r="T26" i="29"/>
  <c r="Q26" i="29"/>
  <c r="T25" i="29"/>
  <c r="V25" i="29" s="1"/>
  <c r="Q25" i="29"/>
  <c r="T24" i="29"/>
  <c r="V24" i="29" s="1"/>
  <c r="Q24" i="29"/>
  <c r="T23" i="29"/>
  <c r="V23" i="29" s="1"/>
  <c r="Q23" i="29"/>
  <c r="T22" i="29"/>
  <c r="V22" i="29" s="1"/>
  <c r="Q22" i="29"/>
  <c r="T21" i="29"/>
  <c r="V21" i="29" s="1"/>
  <c r="Q21" i="29"/>
  <c r="T20" i="29"/>
  <c r="V20" i="29" s="1"/>
  <c r="Q20" i="29"/>
  <c r="V19" i="29"/>
  <c r="T19" i="29"/>
  <c r="Q19" i="29"/>
  <c r="V18" i="29"/>
  <c r="T18" i="29"/>
  <c r="Q18" i="29"/>
  <c r="T17" i="29"/>
  <c r="V17" i="29" s="1"/>
  <c r="Q17" i="29"/>
  <c r="T16" i="29"/>
  <c r="V16" i="29" s="1"/>
  <c r="Q16" i="29"/>
  <c r="T15" i="29"/>
  <c r="V15" i="29" s="1"/>
  <c r="Q15" i="29"/>
  <c r="T14" i="29"/>
  <c r="V14" i="29" s="1"/>
  <c r="Q14" i="29"/>
  <c r="T13" i="29"/>
  <c r="V13" i="29" s="1"/>
  <c r="Q13" i="29"/>
  <c r="T12" i="29"/>
  <c r="V12" i="29" s="1"/>
  <c r="Q12" i="29"/>
  <c r="V11" i="29"/>
  <c r="T11" i="29"/>
  <c r="Q11" i="29"/>
  <c r="V10" i="29"/>
  <c r="T10" i="29"/>
  <c r="Q10" i="29"/>
  <c r="T9" i="29"/>
  <c r="V9" i="29" s="1"/>
  <c r="Q9" i="29"/>
  <c r="T8" i="29"/>
  <c r="V8" i="29" s="1"/>
  <c r="Q8" i="29"/>
  <c r="T7" i="29"/>
  <c r="V7" i="29" s="1"/>
  <c r="Q7" i="29"/>
  <c r="T6" i="29"/>
  <c r="V6" i="29" s="1"/>
  <c r="Q6" i="29"/>
  <c r="T5" i="29"/>
  <c r="V5" i="29" s="1"/>
  <c r="Q5" i="29"/>
  <c r="T4" i="29"/>
  <c r="V4" i="29" s="1"/>
  <c r="Q4" i="29"/>
  <c r="V3" i="29"/>
  <c r="T3" i="29"/>
  <c r="Q3" i="29"/>
  <c r="V2" i="29"/>
  <c r="T2" i="29"/>
  <c r="Q2" i="29"/>
  <c r="T64" i="28" l="1"/>
  <c r="V64" i="28" s="1"/>
  <c r="Q64" i="28"/>
  <c r="T63" i="28"/>
  <c r="V63" i="28" s="1"/>
  <c r="Q63" i="28"/>
  <c r="T62" i="28"/>
  <c r="V62" i="28" s="1"/>
  <c r="Q62" i="28"/>
  <c r="T61" i="28"/>
  <c r="V61" i="28" s="1"/>
  <c r="Q61" i="28"/>
  <c r="V60" i="28"/>
  <c r="T60" i="28"/>
  <c r="Q60" i="28"/>
  <c r="V59" i="28"/>
  <c r="T59" i="28"/>
  <c r="Q59" i="28"/>
  <c r="T58" i="28"/>
  <c r="V58" i="28" s="1"/>
  <c r="Q58" i="28"/>
  <c r="T57" i="28"/>
  <c r="V57" i="28" s="1"/>
  <c r="Q57" i="28"/>
  <c r="T56" i="28"/>
  <c r="V56" i="28" s="1"/>
  <c r="Q56" i="28"/>
  <c r="T55" i="28"/>
  <c r="V55" i="28" s="1"/>
  <c r="Q55" i="28"/>
  <c r="T54" i="28"/>
  <c r="V54" i="28" s="1"/>
  <c r="Q54" i="28"/>
  <c r="T53" i="28"/>
  <c r="V53" i="28" s="1"/>
  <c r="Q53" i="28"/>
  <c r="V52" i="28"/>
  <c r="T52" i="28"/>
  <c r="Q52" i="28"/>
  <c r="V51" i="28"/>
  <c r="T51" i="28"/>
  <c r="Q51" i="28"/>
  <c r="T50" i="28"/>
  <c r="V50" i="28" s="1"/>
  <c r="Q50" i="28"/>
  <c r="T49" i="28"/>
  <c r="V49" i="28" s="1"/>
  <c r="Q49" i="28"/>
  <c r="T48" i="28"/>
  <c r="V48" i="28" s="1"/>
  <c r="Q48" i="28"/>
  <c r="T47" i="28"/>
  <c r="V47" i="28" s="1"/>
  <c r="Q47" i="28"/>
  <c r="T46" i="28"/>
  <c r="V46" i="28" s="1"/>
  <c r="Q46" i="28"/>
  <c r="T45" i="28"/>
  <c r="V45" i="28" s="1"/>
  <c r="Q45" i="28"/>
  <c r="V44" i="28"/>
  <c r="T44" i="28"/>
  <c r="Q44" i="28"/>
  <c r="V43" i="28"/>
  <c r="T43" i="28"/>
  <c r="Q43" i="28"/>
  <c r="T42" i="28"/>
  <c r="V42" i="28" s="1"/>
  <c r="Q42" i="28"/>
  <c r="T41" i="28"/>
  <c r="V41" i="28" s="1"/>
  <c r="Q41" i="28"/>
  <c r="T40" i="28"/>
  <c r="V40" i="28" s="1"/>
  <c r="Q40" i="28"/>
  <c r="T39" i="28"/>
  <c r="V39" i="28" s="1"/>
  <c r="Q39" i="28"/>
  <c r="T38" i="28"/>
  <c r="V38" i="28" s="1"/>
  <c r="Q38" i="28"/>
  <c r="T37" i="28"/>
  <c r="V37" i="28" s="1"/>
  <c r="Q37" i="28"/>
  <c r="V36" i="28"/>
  <c r="T36" i="28"/>
  <c r="Q36" i="28"/>
  <c r="V35" i="28"/>
  <c r="T35" i="28"/>
  <c r="Q35" i="28"/>
  <c r="T34" i="28"/>
  <c r="V34" i="28" s="1"/>
  <c r="Q34" i="28"/>
  <c r="T33" i="28"/>
  <c r="V33" i="28" s="1"/>
  <c r="Q33" i="28"/>
  <c r="T32" i="28"/>
  <c r="V32" i="28" s="1"/>
  <c r="Q32" i="28"/>
  <c r="T31" i="28"/>
  <c r="V31" i="28" s="1"/>
  <c r="Q31" i="28"/>
  <c r="T30" i="28"/>
  <c r="V30" i="28" s="1"/>
  <c r="Q30" i="28"/>
  <c r="T29" i="28"/>
  <c r="V29" i="28" s="1"/>
  <c r="Q29" i="28"/>
  <c r="V28" i="28"/>
  <c r="T28" i="28"/>
  <c r="Q28" i="28"/>
  <c r="V27" i="28"/>
  <c r="T27" i="28"/>
  <c r="Q27" i="28"/>
  <c r="T26" i="28"/>
  <c r="V26" i="28" s="1"/>
  <c r="Q26" i="28"/>
  <c r="T25" i="28"/>
  <c r="V25" i="28" s="1"/>
  <c r="Q25" i="28"/>
  <c r="T24" i="28"/>
  <c r="V24" i="28" s="1"/>
  <c r="Q24" i="28"/>
  <c r="T23" i="28"/>
  <c r="V23" i="28" s="1"/>
  <c r="Q23" i="28"/>
  <c r="T22" i="28"/>
  <c r="V22" i="28" s="1"/>
  <c r="Q22" i="28"/>
  <c r="T21" i="28"/>
  <c r="V21" i="28" s="1"/>
  <c r="Q21" i="28"/>
  <c r="V20" i="28"/>
  <c r="T20" i="28"/>
  <c r="Q20" i="28"/>
  <c r="V19" i="28"/>
  <c r="T19" i="28"/>
  <c r="Q19" i="28"/>
  <c r="T18" i="28"/>
  <c r="V18" i="28" s="1"/>
  <c r="Q18" i="28"/>
  <c r="T17" i="28"/>
  <c r="V17" i="28" s="1"/>
  <c r="Q17" i="28"/>
  <c r="T16" i="28"/>
  <c r="V16" i="28" s="1"/>
  <c r="Q16" i="28"/>
  <c r="T15" i="28"/>
  <c r="V15" i="28" s="1"/>
  <c r="Q15" i="28"/>
  <c r="T14" i="28"/>
  <c r="V14" i="28" s="1"/>
  <c r="Q14" i="28"/>
  <c r="T13" i="28"/>
  <c r="V13" i="28" s="1"/>
  <c r="Q13" i="28"/>
  <c r="V12" i="28"/>
  <c r="T12" i="28"/>
  <c r="Q12" i="28"/>
  <c r="V11" i="28"/>
  <c r="T11" i="28"/>
  <c r="Q11" i="28"/>
  <c r="T10" i="28"/>
  <c r="V10" i="28" s="1"/>
  <c r="Q10" i="28"/>
  <c r="T9" i="28"/>
  <c r="V9" i="28" s="1"/>
  <c r="Q9" i="28"/>
  <c r="T8" i="28"/>
  <c r="V8" i="28" s="1"/>
  <c r="Q8" i="28"/>
  <c r="T7" i="28"/>
  <c r="V7" i="28" s="1"/>
  <c r="Q7" i="28"/>
  <c r="T6" i="28"/>
  <c r="V6" i="28" s="1"/>
  <c r="Q6" i="28"/>
  <c r="T5" i="28"/>
  <c r="V5" i="28" s="1"/>
  <c r="Q5" i="28"/>
  <c r="V4" i="28"/>
  <c r="T4" i="28"/>
  <c r="Q4" i="28"/>
  <c r="V3" i="28"/>
  <c r="T3" i="28"/>
  <c r="Q3" i="28"/>
  <c r="T2" i="28"/>
  <c r="V2" i="28" s="1"/>
  <c r="Q2" i="28"/>
  <c r="T127" i="27"/>
  <c r="V127" i="27" s="1"/>
  <c r="Q127" i="27"/>
  <c r="T126" i="27"/>
  <c r="V126" i="27" s="1"/>
  <c r="Q126" i="27"/>
  <c r="T125" i="27"/>
  <c r="V125" i="27" s="1"/>
  <c r="Q125" i="27"/>
  <c r="T124" i="27"/>
  <c r="V124" i="27" s="1"/>
  <c r="Q124" i="27"/>
  <c r="V123" i="27"/>
  <c r="T123" i="27"/>
  <c r="Q123" i="27"/>
  <c r="V122" i="27"/>
  <c r="T122" i="27"/>
  <c r="Q122" i="27"/>
  <c r="T121" i="27"/>
  <c r="V121" i="27" s="1"/>
  <c r="Q121" i="27"/>
  <c r="T120" i="27"/>
  <c r="V120" i="27" s="1"/>
  <c r="Q120" i="27"/>
  <c r="T119" i="27"/>
  <c r="V119" i="27" s="1"/>
  <c r="Q119" i="27"/>
  <c r="T118" i="27"/>
  <c r="V118" i="27" s="1"/>
  <c r="Q118" i="27"/>
  <c r="T117" i="27"/>
  <c r="V117" i="27" s="1"/>
  <c r="Q117" i="27"/>
  <c r="T116" i="27"/>
  <c r="V116" i="27" s="1"/>
  <c r="Q116" i="27"/>
  <c r="V115" i="27"/>
  <c r="T115" i="27"/>
  <c r="Q115" i="27"/>
  <c r="V114" i="27"/>
  <c r="T114" i="27"/>
  <c r="Q114" i="27"/>
  <c r="T113" i="27"/>
  <c r="V113" i="27" s="1"/>
  <c r="Q113" i="27"/>
  <c r="T112" i="27"/>
  <c r="V112" i="27" s="1"/>
  <c r="Q112" i="27"/>
  <c r="T111" i="27"/>
  <c r="V111" i="27" s="1"/>
  <c r="Q111" i="27"/>
  <c r="T110" i="27"/>
  <c r="V110" i="27" s="1"/>
  <c r="Q110" i="27"/>
  <c r="T109" i="27"/>
  <c r="V109" i="27" s="1"/>
  <c r="Q109" i="27"/>
  <c r="T108" i="27"/>
  <c r="V108" i="27" s="1"/>
  <c r="Q108" i="27"/>
  <c r="V107" i="27"/>
  <c r="T107" i="27"/>
  <c r="Q107" i="27"/>
  <c r="V106" i="27"/>
  <c r="T106" i="27"/>
  <c r="Q106" i="27"/>
  <c r="T105" i="27"/>
  <c r="V105" i="27" s="1"/>
  <c r="Q105" i="27"/>
  <c r="T104" i="27"/>
  <c r="V104" i="27" s="1"/>
  <c r="Q104" i="27"/>
  <c r="T103" i="27"/>
  <c r="V103" i="27" s="1"/>
  <c r="Q103" i="27"/>
  <c r="T102" i="27"/>
  <c r="V102" i="27" s="1"/>
  <c r="Q102" i="27"/>
  <c r="T101" i="27"/>
  <c r="V101" i="27" s="1"/>
  <c r="Q101" i="27"/>
  <c r="T100" i="27"/>
  <c r="V100" i="27" s="1"/>
  <c r="Q100" i="27"/>
  <c r="V99" i="27"/>
  <c r="T99" i="27"/>
  <c r="Q99" i="27"/>
  <c r="V98" i="27"/>
  <c r="T98" i="27"/>
  <c r="Q98" i="27"/>
  <c r="T97" i="27"/>
  <c r="V97" i="27" s="1"/>
  <c r="Q97" i="27"/>
  <c r="T96" i="27"/>
  <c r="V96" i="27" s="1"/>
  <c r="Q96" i="27"/>
  <c r="T95" i="27"/>
  <c r="V95" i="27" s="1"/>
  <c r="Q95" i="27"/>
  <c r="T94" i="27"/>
  <c r="V94" i="27" s="1"/>
  <c r="Q94" i="27"/>
  <c r="T93" i="27"/>
  <c r="V93" i="27" s="1"/>
  <c r="Q93" i="27"/>
  <c r="T92" i="27"/>
  <c r="V92" i="27" s="1"/>
  <c r="Q92" i="27"/>
  <c r="V91" i="27"/>
  <c r="T91" i="27"/>
  <c r="Q91" i="27"/>
  <c r="V90" i="27"/>
  <c r="T90" i="27"/>
  <c r="Q90" i="27"/>
  <c r="T89" i="27"/>
  <c r="V89" i="27" s="1"/>
  <c r="Q89" i="27"/>
  <c r="T88" i="27"/>
  <c r="V88" i="27" s="1"/>
  <c r="Q88" i="27"/>
  <c r="T87" i="27"/>
  <c r="V87" i="27" s="1"/>
  <c r="Q87" i="27"/>
  <c r="T86" i="27"/>
  <c r="V86" i="27" s="1"/>
  <c r="Q86" i="27"/>
  <c r="T85" i="27"/>
  <c r="V85" i="27" s="1"/>
  <c r="Q85" i="27"/>
  <c r="T84" i="27"/>
  <c r="V84" i="27" s="1"/>
  <c r="Q84" i="27"/>
  <c r="V83" i="27"/>
  <c r="T83" i="27"/>
  <c r="Q83" i="27"/>
  <c r="V82" i="27"/>
  <c r="T82" i="27"/>
  <c r="Q82" i="27"/>
  <c r="T81" i="27"/>
  <c r="V81" i="27" s="1"/>
  <c r="Q81" i="27"/>
  <c r="T80" i="27"/>
  <c r="V80" i="27" s="1"/>
  <c r="Q80" i="27"/>
  <c r="T79" i="27"/>
  <c r="V79" i="27" s="1"/>
  <c r="Q79" i="27"/>
  <c r="T78" i="27"/>
  <c r="V78" i="27" s="1"/>
  <c r="Q78" i="27"/>
  <c r="T77" i="27"/>
  <c r="V77" i="27" s="1"/>
  <c r="Q77" i="27"/>
  <c r="T76" i="27"/>
  <c r="V76" i="27" s="1"/>
  <c r="Q76" i="27"/>
  <c r="V75" i="27"/>
  <c r="T75" i="27"/>
  <c r="Q75" i="27"/>
  <c r="V74" i="27"/>
  <c r="T74" i="27"/>
  <c r="Q74" i="27"/>
  <c r="T73" i="27"/>
  <c r="V73" i="27" s="1"/>
  <c r="Q73" i="27"/>
  <c r="T72" i="27"/>
  <c r="V72" i="27" s="1"/>
  <c r="Q72" i="27"/>
  <c r="T71" i="27"/>
  <c r="V71" i="27" s="1"/>
  <c r="Q71" i="27"/>
  <c r="T70" i="27"/>
  <c r="V70" i="27" s="1"/>
  <c r="Q70" i="27"/>
  <c r="T69" i="27"/>
  <c r="V69" i="27" s="1"/>
  <c r="Q69" i="27"/>
  <c r="T68" i="27"/>
  <c r="V68" i="27" s="1"/>
  <c r="Q68" i="27"/>
  <c r="V67" i="27"/>
  <c r="T67" i="27"/>
  <c r="Q67" i="27"/>
  <c r="V66" i="27"/>
  <c r="T66" i="27"/>
  <c r="Q66" i="27"/>
  <c r="T65" i="27"/>
  <c r="V65" i="27" s="1"/>
  <c r="Q65" i="27"/>
  <c r="T64" i="27"/>
  <c r="V64" i="27" s="1"/>
  <c r="Q64" i="27"/>
  <c r="T63" i="27"/>
  <c r="V63" i="27" s="1"/>
  <c r="Q63" i="27"/>
  <c r="T62" i="27"/>
  <c r="V62" i="27" s="1"/>
  <c r="Q62" i="27"/>
  <c r="T61" i="27"/>
  <c r="V61" i="27" s="1"/>
  <c r="Q61" i="27"/>
  <c r="T60" i="27"/>
  <c r="V60" i="27" s="1"/>
  <c r="Q60" i="27"/>
  <c r="V59" i="27"/>
  <c r="T59" i="27"/>
  <c r="Q59" i="27"/>
  <c r="V58" i="27"/>
  <c r="T58" i="27"/>
  <c r="Q58" i="27"/>
  <c r="T57" i="27"/>
  <c r="V57" i="27" s="1"/>
  <c r="Q57" i="27"/>
  <c r="T56" i="27"/>
  <c r="V56" i="27" s="1"/>
  <c r="Q56" i="27"/>
  <c r="T55" i="27"/>
  <c r="V55" i="27" s="1"/>
  <c r="Q55" i="27"/>
  <c r="T54" i="27"/>
  <c r="V54" i="27" s="1"/>
  <c r="Q54" i="27"/>
  <c r="T53" i="27"/>
  <c r="V53" i="27" s="1"/>
  <c r="Q53" i="27"/>
  <c r="T52" i="27"/>
  <c r="V52" i="27" s="1"/>
  <c r="Q52" i="27"/>
  <c r="V51" i="27"/>
  <c r="T51" i="27"/>
  <c r="Q51" i="27"/>
  <c r="V50" i="27"/>
  <c r="T50" i="27"/>
  <c r="Q50" i="27"/>
  <c r="T49" i="27"/>
  <c r="V49" i="27" s="1"/>
  <c r="Q49" i="27"/>
  <c r="T48" i="27"/>
  <c r="V48" i="27" s="1"/>
  <c r="Q48" i="27"/>
  <c r="T47" i="27"/>
  <c r="V47" i="27" s="1"/>
  <c r="Q47" i="27"/>
  <c r="T46" i="27"/>
  <c r="V46" i="27" s="1"/>
  <c r="Q46" i="27"/>
  <c r="T45" i="27"/>
  <c r="V45" i="27" s="1"/>
  <c r="Q45" i="27"/>
  <c r="T44" i="27"/>
  <c r="V44" i="27" s="1"/>
  <c r="Q44" i="27"/>
  <c r="V43" i="27"/>
  <c r="T43" i="27"/>
  <c r="Q43" i="27"/>
  <c r="V42" i="27"/>
  <c r="T42" i="27"/>
  <c r="Q42" i="27"/>
  <c r="T41" i="27"/>
  <c r="V41" i="27" s="1"/>
  <c r="Q41" i="27"/>
  <c r="T40" i="27"/>
  <c r="V40" i="27" s="1"/>
  <c r="Q40" i="27"/>
  <c r="T39" i="27"/>
  <c r="V39" i="27" s="1"/>
  <c r="Q39" i="27"/>
  <c r="T38" i="27"/>
  <c r="V38" i="27" s="1"/>
  <c r="Q38" i="27"/>
  <c r="T37" i="27"/>
  <c r="V37" i="27" s="1"/>
  <c r="Q37" i="27"/>
  <c r="T36" i="27"/>
  <c r="V36" i="27" s="1"/>
  <c r="Q36" i="27"/>
  <c r="V35" i="27"/>
  <c r="T35" i="27"/>
  <c r="Q35" i="27"/>
  <c r="V34" i="27"/>
  <c r="T34" i="27"/>
  <c r="Q34" i="27"/>
  <c r="T33" i="27"/>
  <c r="V33" i="27" s="1"/>
  <c r="Q33" i="27"/>
  <c r="T32" i="27"/>
  <c r="V32" i="27" s="1"/>
  <c r="Q32" i="27"/>
  <c r="T31" i="27"/>
  <c r="V31" i="27" s="1"/>
  <c r="Q31" i="27"/>
  <c r="T30" i="27"/>
  <c r="V30" i="27" s="1"/>
  <c r="Q30" i="27"/>
  <c r="T29" i="27"/>
  <c r="V29" i="27" s="1"/>
  <c r="Q29" i="27"/>
  <c r="T28" i="27"/>
  <c r="V28" i="27" s="1"/>
  <c r="Q28" i="27"/>
  <c r="V27" i="27"/>
  <c r="T27" i="27"/>
  <c r="Q27" i="27"/>
  <c r="V26" i="27"/>
  <c r="T26" i="27"/>
  <c r="Q26" i="27"/>
  <c r="T25" i="27"/>
  <c r="V25" i="27" s="1"/>
  <c r="Q25" i="27"/>
  <c r="T24" i="27"/>
  <c r="V24" i="27" s="1"/>
  <c r="Q24" i="27"/>
  <c r="T23" i="27"/>
  <c r="V23" i="27" s="1"/>
  <c r="Q23" i="27"/>
  <c r="T22" i="27"/>
  <c r="V22" i="27" s="1"/>
  <c r="Q22" i="27"/>
  <c r="T21" i="27"/>
  <c r="V21" i="27" s="1"/>
  <c r="Q21" i="27"/>
  <c r="T20" i="27"/>
  <c r="V20" i="27" s="1"/>
  <c r="Q20" i="27"/>
  <c r="V19" i="27"/>
  <c r="T19" i="27"/>
  <c r="Q19" i="27"/>
  <c r="V18" i="27"/>
  <c r="T18" i="27"/>
  <c r="Q18" i="27"/>
  <c r="T17" i="27"/>
  <c r="V17" i="27" s="1"/>
  <c r="Q17" i="27"/>
  <c r="T16" i="27"/>
  <c r="V16" i="27" s="1"/>
  <c r="Q16" i="27"/>
  <c r="T15" i="27"/>
  <c r="V15" i="27" s="1"/>
  <c r="Q15" i="27"/>
  <c r="T14" i="27"/>
  <c r="V14" i="27" s="1"/>
  <c r="Q14" i="27"/>
  <c r="T13" i="27"/>
  <c r="V13" i="27" s="1"/>
  <c r="Q13" i="27"/>
  <c r="T12" i="27"/>
  <c r="V12" i="27" s="1"/>
  <c r="Q12" i="27"/>
  <c r="V11" i="27"/>
  <c r="T11" i="27"/>
  <c r="Q11" i="27"/>
  <c r="V10" i="27"/>
  <c r="T10" i="27"/>
  <c r="Q10" i="27"/>
  <c r="T9" i="27"/>
  <c r="V9" i="27" s="1"/>
  <c r="Q9" i="27"/>
  <c r="T8" i="27"/>
  <c r="V8" i="27" s="1"/>
  <c r="Q8" i="27"/>
  <c r="T7" i="27"/>
  <c r="V7" i="27" s="1"/>
  <c r="Q7" i="27"/>
  <c r="T6" i="27"/>
  <c r="V6" i="27" s="1"/>
  <c r="Q6" i="27"/>
  <c r="T5" i="27"/>
  <c r="V5" i="27" s="1"/>
  <c r="Q5" i="27"/>
  <c r="T4" i="27"/>
  <c r="V4" i="27" s="1"/>
  <c r="Q4" i="27"/>
  <c r="V3" i="27"/>
  <c r="T3" i="27"/>
  <c r="Q3" i="27"/>
  <c r="V2" i="27"/>
  <c r="T2" i="27"/>
  <c r="Q2" i="27"/>
  <c r="T52" i="26" l="1"/>
  <c r="V52" i="26" s="1"/>
  <c r="Q52" i="26"/>
  <c r="T51" i="26"/>
  <c r="V51" i="26" s="1"/>
  <c r="Q51" i="26"/>
  <c r="T50" i="26"/>
  <c r="V50" i="26" s="1"/>
  <c r="Q50" i="26"/>
  <c r="T49" i="26"/>
  <c r="V49" i="26" s="1"/>
  <c r="Q49" i="26"/>
  <c r="V48" i="26"/>
  <c r="T48" i="26"/>
  <c r="Q48" i="26"/>
  <c r="T47" i="26"/>
  <c r="V47" i="26" s="1"/>
  <c r="Q47" i="26"/>
  <c r="V46" i="26"/>
  <c r="T46" i="26"/>
  <c r="Q46" i="26"/>
  <c r="T45" i="26"/>
  <c r="V45" i="26" s="1"/>
  <c r="Q45" i="26"/>
  <c r="T44" i="26"/>
  <c r="V44" i="26" s="1"/>
  <c r="Q44" i="26"/>
  <c r="T43" i="26"/>
  <c r="V43" i="26" s="1"/>
  <c r="Q43" i="26"/>
  <c r="T42" i="26"/>
  <c r="V42" i="26" s="1"/>
  <c r="Q42" i="26"/>
  <c r="T41" i="26"/>
  <c r="V41" i="26" s="1"/>
  <c r="Q41" i="26"/>
  <c r="V40" i="26"/>
  <c r="T40" i="26"/>
  <c r="Q40" i="26"/>
  <c r="T39" i="26"/>
  <c r="V39" i="26" s="1"/>
  <c r="Q39" i="26"/>
  <c r="V38" i="26"/>
  <c r="T38" i="26"/>
  <c r="Q38" i="26"/>
  <c r="T37" i="26"/>
  <c r="V37" i="26" s="1"/>
  <c r="Q37" i="26"/>
  <c r="T36" i="26"/>
  <c r="V36" i="26" s="1"/>
  <c r="Q36" i="26"/>
  <c r="T35" i="26"/>
  <c r="V35" i="26" s="1"/>
  <c r="Q35" i="26"/>
  <c r="T34" i="26"/>
  <c r="V34" i="26" s="1"/>
  <c r="Q34" i="26"/>
  <c r="T33" i="26"/>
  <c r="V33" i="26" s="1"/>
  <c r="Q33" i="26"/>
  <c r="V32" i="26"/>
  <c r="T32" i="26"/>
  <c r="Q32" i="26"/>
  <c r="T31" i="26"/>
  <c r="V31" i="26" s="1"/>
  <c r="Q31" i="26"/>
  <c r="V30" i="26"/>
  <c r="T30" i="26"/>
  <c r="Q30" i="26"/>
  <c r="T29" i="26"/>
  <c r="V29" i="26" s="1"/>
  <c r="Q29" i="26"/>
  <c r="T28" i="26"/>
  <c r="V28" i="26" s="1"/>
  <c r="Q28" i="26"/>
  <c r="T27" i="26"/>
  <c r="V27" i="26" s="1"/>
  <c r="Q27" i="26"/>
  <c r="T26" i="26"/>
  <c r="V26" i="26" s="1"/>
  <c r="Q26" i="26"/>
  <c r="T25" i="26"/>
  <c r="V25" i="26" s="1"/>
  <c r="Q25" i="26"/>
  <c r="V24" i="26"/>
  <c r="T24" i="26"/>
  <c r="Q24" i="26"/>
  <c r="T23" i="26"/>
  <c r="V23" i="26" s="1"/>
  <c r="Q23" i="26"/>
  <c r="V22" i="26"/>
  <c r="T22" i="26"/>
  <c r="Q22" i="26"/>
  <c r="T21" i="26"/>
  <c r="V21" i="26" s="1"/>
  <c r="Q21" i="26"/>
  <c r="T20" i="26"/>
  <c r="V20" i="26" s="1"/>
  <c r="Q20" i="26"/>
  <c r="T19" i="26"/>
  <c r="V19" i="26" s="1"/>
  <c r="Q19" i="26"/>
  <c r="T18" i="26"/>
  <c r="V18" i="26" s="1"/>
  <c r="Q18" i="26"/>
  <c r="T17" i="26"/>
  <c r="V17" i="26" s="1"/>
  <c r="Q17" i="26"/>
  <c r="V16" i="26"/>
  <c r="T16" i="26"/>
  <c r="Q16" i="26"/>
  <c r="T15" i="26"/>
  <c r="V15" i="26" s="1"/>
  <c r="Q15" i="26"/>
  <c r="V14" i="26"/>
  <c r="T14" i="26"/>
  <c r="Q14" i="26"/>
  <c r="T13" i="26"/>
  <c r="V13" i="26" s="1"/>
  <c r="Q13" i="26"/>
  <c r="T12" i="26"/>
  <c r="V12" i="26" s="1"/>
  <c r="Q12" i="26"/>
  <c r="T11" i="26"/>
  <c r="V11" i="26" s="1"/>
  <c r="Q11" i="26"/>
  <c r="T10" i="26"/>
  <c r="V10" i="26" s="1"/>
  <c r="Q10" i="26"/>
  <c r="T9" i="26"/>
  <c r="V9" i="26" s="1"/>
  <c r="Q9" i="26"/>
  <c r="V8" i="26"/>
  <c r="T8" i="26"/>
  <c r="Q8" i="26"/>
  <c r="T7" i="26"/>
  <c r="V7" i="26" s="1"/>
  <c r="Q7" i="26"/>
  <c r="V6" i="26"/>
  <c r="T6" i="26"/>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<sst xmlns="http://schemas.openxmlformats.org/spreadsheetml/2006/main" count="10237" uniqueCount="502">
  <si>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</si>
  <si>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</si>
  <si>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</si>
  <si>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</si>
  <si>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</si>
  <si>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</si>
  <si>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</si>
  <si>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</si>
  <si>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</si>
  <si>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</si>
  <si>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</si>
  <si>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</si>
  <si>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</si>
  <si>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</si>
  <si>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</si>
  <si>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</si>
  <si>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</si>
  <si>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</si>
  <si>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</si>
  <si>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</si>
  <si>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</si>
  <si>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</si>
  <si>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</si>
  <si>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</si>
  <si>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</si>
  <si>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</si>
  <si>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</si>
  <si>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</si>
  <si>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</si>
  <si>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</si>
  <si>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</si>
  <si>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</si>
  <si>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</si>
  <si>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</si>
  <si>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</si>
  <si>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</si>
  <si>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</si>
  <si>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</si>
  <si>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</si>
  <si>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</si>
  <si>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</si>
  <si>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</si>
  <si>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</si>
  <si>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</si>
  <si>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</si>
  <si>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</si>
  <si>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</si>
  <si>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</si>
  <si>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</si>
  <si>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</si>
  <si>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</si>
  <si>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</si>
  <si>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</si>
  <si>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</si>
  <si>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</si>
  <si>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</si>
  <si>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</si>
  <si>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</si>
  <si>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</si>
  <si>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</si>
  <si>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</si>
  <si>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</si>
  <si>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</si>
  <si>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</si>
  <si>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</si>
  <si>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</si>
  <si>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</si>
  <si>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</si>
  <si>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</si>
  <si>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</si>
  <si>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</si>
  <si>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</si>
  <si>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</si>
  <si>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</si>
  <si>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</si>
  <si>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</si>
  <si>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</si>
  <si>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</si>
  <si>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</si>
  <si>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</si>
  <si>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</si>
  <si>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</si>
  <si>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</si>
  <si>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</si>
  <si>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</si>
  <si>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</si>
  <si>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</si>
  <si>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</si>
  <si>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</si>
  <si>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</si>
  <si>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</si>
  <si>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</si>
  <si>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</si>
  <si>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</si>
  <si>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</si>
  <si>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</si>
  <si>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</si>
  <si>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</si>
  <si>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</si>
  <si>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</si>
  <si>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</si>
  <si>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</si>
  <si>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</si>
  <si>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</si>
  <si>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</si>
  <si>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</si>
  <si>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</si>
  <si>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</si>
  <si>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</si>
  <si>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</si>
  <si>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</si>
  <si>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</si>
  <si>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</si>
  <si>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</si>
  <si>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</si>
  <si>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</si>
  <si>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</si>
  <si>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</si>
  <si>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</si>
  <si>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</si>
  <si>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</si>
  <si>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</si>
  <si>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</si>
  <si>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</si>
  <si>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</si>
  <si>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</si>
  <si>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</si>
  <si>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</si>
  <si>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</si>
  <si>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</si>
  <si>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</si>
  <si>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</si>
  <si>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</si>
  <si>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</si>
  <si>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</si>
  <si>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</si>
  <si>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</si>
  <si>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</si>
  <si>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</si>
  <si>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</si>
  <si>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</si>
  <si>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</si>
  <si>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</si>
  <si>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</si>
  <si>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</si>
  <si>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</si>
  <si>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</si>
  <si>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</si>
  <si>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</si>
  <si>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</si>
  <si>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</si>
  <si>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</si>
  <si>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</si>
  <si>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</si>
  <si>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</si>
  <si>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</si>
  <si>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</si>
  <si>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GA</t>
  </si>
  <si>
    <t>佐賀</t>
    <rPh sb="0" eb="2">
      <t>サガ</t>
    </rPh>
    <phoneticPr fontId="3"/>
  </si>
  <si>
    <t>西友</t>
  </si>
  <si>
    <t>日進岩藤店</t>
    <rPh sb="0" eb="2">
      <t>ニッシン</t>
    </rPh>
    <phoneticPr fontId="4"/>
  </si>
  <si>
    <t>日進店</t>
    <rPh sb="0" eb="2">
      <t>ニッシン</t>
    </rPh>
    <rPh sb="2" eb="3">
      <t>ミセ</t>
    </rPh>
    <phoneticPr fontId="4"/>
  </si>
  <si>
    <t>その他レッド</t>
    <rPh sb="2" eb="3">
      <t>タ</t>
    </rPh>
    <phoneticPr fontId="4"/>
  </si>
  <si>
    <t>D'lish</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</si>
  <si>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</si>
  <si>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</si>
  <si>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</si>
  <si>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</si>
  <si>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</si>
  <si>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</si>
  <si>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</si>
  <si>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</si>
  <si>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</si>
  <si>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</si>
  <si>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</si>
  <si>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</si>
  <si>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</si>
  <si>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</si>
  <si>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</si>
  <si>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</si>
  <si>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</si>
  <si>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</si>
  <si>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</si>
  <si>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</si>
  <si>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</si>
  <si>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</si>
  <si>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</si>
  <si>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</si>
  <si>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</si>
  <si>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</si>
  <si>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</si>
  <si>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</si>
  <si>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</si>
  <si>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</si>
  <si>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</si>
  <si>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</si>
  <si>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</si>
  <si>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</si>
  <si>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</si>
  <si>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</si>
  <si>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</si>
  <si>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</si>
  <si>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</si>
  <si>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</si>
  <si>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</si>
  <si>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</si>
  <si>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</si>
  <si>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</si>
  <si>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</si>
  <si>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</si>
  <si>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</si>
  <si>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</si>
  <si>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</si>
  <si>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</si>
  <si>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</si>
  <si>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</si>
  <si>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</si>
  <si>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</si>
  <si>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</si>
  <si>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</si>
  <si>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</si>
  <si>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</si>
  <si>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キラキラ</t>
  </si>
  <si>
    <t>グリーンアイ</t>
  </si>
  <si>
    <t>ＪＡ大阪</t>
  </si>
  <si>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</si>
  <si>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</si>
  <si>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</si>
  <si>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</si>
  <si>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</si>
  <si>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</si>
  <si>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</si>
  <si>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</si>
  <si>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</si>
  <si>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</si>
  <si>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</si>
  <si>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</si>
  <si>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GK</t>
    <phoneticPr fontId="4"/>
  </si>
  <si>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</si>
  <si>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</si>
  <si>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</si>
  <si>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</si>
  <si>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</si>
  <si>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</si>
  <si>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</si>
  <si>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</si>
  <si>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</si>
  <si>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硬度
２</t>
    <phoneticPr fontId="4"/>
  </si>
  <si>
    <t>U/P JPY</t>
    <phoneticPr fontId="4"/>
  </si>
  <si>
    <r>
      <t xml:space="preserve">Green
Other
</t>
    </r>
    <r>
      <rPr>
        <b/>
        <sz val="8"/>
        <rFont val="ＭＳ Ｐゴシック"/>
        <family val="3"/>
        <charset val="128"/>
      </rPr>
      <t>最低重量</t>
    </r>
    <phoneticPr fontId="4"/>
  </si>
  <si>
    <t>福岡</t>
    <rPh sb="0" eb="2">
      <t>フクオカ</t>
    </rPh>
    <phoneticPr fontId="4"/>
  </si>
  <si>
    <t>西鉄ストア</t>
    <rPh sb="0" eb="2">
      <t>ニシテツ</t>
    </rPh>
    <phoneticPr fontId="3"/>
  </si>
  <si>
    <t>CK</t>
    <phoneticPr fontId="4"/>
  </si>
  <si>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</si>
  <si>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</si>
  <si>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</si>
  <si>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</si>
  <si>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</si>
  <si>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</si>
  <si>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</si>
  <si>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</si>
  <si>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</si>
  <si>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</si>
  <si>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</si>
  <si>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</si>
  <si>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Green
Other
SIZE</t>
    <phoneticPr fontId="4"/>
  </si>
  <si>
    <t>Gold
SIZE</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</si>
  <si>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</si>
  <si>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</si>
  <si>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</si>
  <si>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</si>
  <si>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</si>
  <si>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</si>
  <si>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</si>
  <si>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</si>
  <si>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HE</t>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</si>
  <si>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</si>
  <si>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</si>
  <si>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</si>
  <si>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</si>
  <si>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</si>
  <si>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</si>
  <si>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</si>
  <si>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</si>
  <si>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</si>
  <si>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</si>
  <si>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</si>
  <si>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</si>
  <si>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</si>
  <si>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</si>
  <si>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</si>
  <si>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</si>
  <si>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</si>
  <si>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</si>
  <si>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</si>
  <si>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</si>
  <si>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</si>
  <si>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</si>
  <si>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</si>
  <si>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</si>
  <si>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</si>
  <si>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</si>
  <si>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</si>
  <si>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</si>
  <si>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</si>
  <si>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</si>
  <si>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</si>
  <si>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</si>
  <si>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</si>
  <si>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</si>
  <si>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</si>
  <si>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</si>
  <si>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</si>
  <si>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</si>
  <si>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</si>
  <si>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</si>
  <si>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</si>
  <si>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</si>
  <si>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</si>
  <si>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</si>
  <si>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</si>
  <si>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</si>
  <si>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</si>
  <si>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</si>
  <si>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</si>
  <si>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</si>
  <si>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</si>
  <si>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</si>
  <si>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</si>
  <si>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</si>
  <si>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</si>
  <si>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</si>
  <si>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</si>
  <si>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</si>
  <si>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02.10.2018</t>
  </si>
  <si>
    <t>02.10.2018</t>
    <phoneticPr fontId="3"/>
  </si>
  <si>
    <t>04.10.2018</t>
    <phoneticPr fontId="3"/>
  </si>
  <si>
    <t>アオキスーパー</t>
  </si>
  <si>
    <t>アオキスーパー</t>
    <phoneticPr fontId="4"/>
  </si>
  <si>
    <t>ピアゴ</t>
    <phoneticPr fontId="4"/>
  </si>
  <si>
    <t>長久手南店</t>
    <phoneticPr fontId="4"/>
  </si>
  <si>
    <t>カネスエ</t>
    <phoneticPr fontId="4"/>
  </si>
  <si>
    <t>長久手店</t>
    <phoneticPr fontId="4"/>
  </si>
  <si>
    <t>Del Monte</t>
    <phoneticPr fontId="4"/>
  </si>
  <si>
    <t>アピタ</t>
    <phoneticPr fontId="4"/>
  </si>
  <si>
    <t>マックスバリュ</t>
    <phoneticPr fontId="4"/>
  </si>
  <si>
    <t>HE</t>
    <phoneticPr fontId="4"/>
  </si>
  <si>
    <t>JP</t>
    <phoneticPr fontId="3"/>
  </si>
  <si>
    <t>04.10.2018</t>
    <phoneticPr fontId="3"/>
  </si>
  <si>
    <t>カネトク</t>
    <phoneticPr fontId="4"/>
  </si>
  <si>
    <t>GA</t>
    <phoneticPr fontId="4"/>
  </si>
  <si>
    <t>JP</t>
    <phoneticPr fontId="3"/>
  </si>
  <si>
    <t>04.10.2018</t>
    <phoneticPr fontId="3"/>
  </si>
  <si>
    <t>マックスバリュ</t>
    <phoneticPr fontId="4"/>
  </si>
  <si>
    <t>長久手店</t>
    <phoneticPr fontId="4"/>
  </si>
  <si>
    <t>ピアゴ</t>
  </si>
  <si>
    <t>長久手南店</t>
  </si>
  <si>
    <t>アピタ</t>
    <phoneticPr fontId="4"/>
  </si>
  <si>
    <t>JP</t>
    <phoneticPr fontId="3"/>
  </si>
  <si>
    <t>04.10.2018</t>
    <phoneticPr fontId="3"/>
  </si>
  <si>
    <t>アオキスーパー</t>
    <phoneticPr fontId="4"/>
  </si>
  <si>
    <t>長久手店</t>
    <phoneticPr fontId="4"/>
  </si>
  <si>
    <t>JP</t>
    <phoneticPr fontId="3"/>
  </si>
  <si>
    <t>04.10.2018</t>
    <phoneticPr fontId="3"/>
  </si>
  <si>
    <t>JP</t>
    <phoneticPr fontId="3"/>
  </si>
  <si>
    <t>04.10.2018</t>
    <phoneticPr fontId="3"/>
  </si>
  <si>
    <t>JP</t>
    <phoneticPr fontId="3"/>
  </si>
  <si>
    <t>04.10.2018</t>
    <phoneticPr fontId="3"/>
  </si>
  <si>
    <t>カネスエ</t>
  </si>
  <si>
    <t>長久手店</t>
  </si>
  <si>
    <t>いちじく</t>
    <phoneticPr fontId="4"/>
  </si>
  <si>
    <t>ラフランス</t>
    <phoneticPr fontId="4"/>
  </si>
  <si>
    <t>キラキラ</t>
    <phoneticPr fontId="4"/>
  </si>
  <si>
    <t>グリーンアイ</t>
    <phoneticPr fontId="4"/>
  </si>
  <si>
    <t>カネトク</t>
  </si>
  <si>
    <t>アピタ</t>
  </si>
  <si>
    <t>01.10.2018</t>
    <phoneticPr fontId="3"/>
  </si>
  <si>
    <t>01.10.2018</t>
  </si>
  <si>
    <t>大阪</t>
    <phoneticPr fontId="4"/>
  </si>
  <si>
    <t>HW</t>
    <phoneticPr fontId="4"/>
  </si>
  <si>
    <t>CK</t>
    <phoneticPr fontId="4"/>
  </si>
  <si>
    <t>Del Monte</t>
    <phoneticPr fontId="3"/>
  </si>
  <si>
    <t>GK</t>
    <phoneticPr fontId="4"/>
  </si>
  <si>
    <t>OB</t>
    <phoneticPr fontId="4"/>
  </si>
  <si>
    <t>HE</t>
    <phoneticPr fontId="4"/>
  </si>
  <si>
    <t>ラフランス</t>
    <phoneticPr fontId="3"/>
  </si>
  <si>
    <t>05.10.2018</t>
  </si>
  <si>
    <t>津久野店</t>
  </si>
  <si>
    <t>県名</t>
    <phoneticPr fontId="3"/>
  </si>
  <si>
    <t>05.10.2018</t>
    <phoneticPr fontId="3"/>
  </si>
  <si>
    <t>JPY</t>
    <phoneticPr fontId="3"/>
  </si>
  <si>
    <t>ﾆｭｰｼﾞｰﾗﾝﾄﾞ</t>
    <phoneticPr fontId="4"/>
  </si>
  <si>
    <t>JP</t>
    <phoneticPr fontId="3"/>
  </si>
  <si>
    <t>05.10.2018</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</si>
  <si>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</si>
  <si>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</si>
  <si>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</si>
  <si>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</si>
  <si>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</si>
  <si>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</si>
  <si>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</si>
  <si>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</si>
  <si>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05.10.2018</t>
    <phoneticPr fontId="3"/>
  </si>
  <si>
    <t>JPY</t>
    <phoneticPr fontId="3"/>
  </si>
  <si>
    <t>05.10.2018</t>
    <phoneticPr fontId="3"/>
  </si>
  <si>
    <t>JPY</t>
    <phoneticPr fontId="3"/>
  </si>
  <si>
    <t>バナナ</t>
    <phoneticPr fontId="4"/>
  </si>
  <si>
    <t>05.10.2018</t>
    <phoneticPr fontId="3"/>
  </si>
  <si>
    <t>JPY</t>
    <phoneticPr fontId="3"/>
  </si>
  <si>
    <t>パパイヤ</t>
    <phoneticPr fontId="4"/>
  </si>
  <si>
    <t>05.10.2018</t>
    <phoneticPr fontId="3"/>
  </si>
  <si>
    <t>JPY</t>
    <phoneticPr fontId="3"/>
  </si>
  <si>
    <t>びわ</t>
    <phoneticPr fontId="4"/>
  </si>
  <si>
    <t>05.10.2018</t>
    <phoneticPr fontId="3"/>
  </si>
  <si>
    <t>JPY</t>
    <phoneticPr fontId="3"/>
  </si>
  <si>
    <t>メロン</t>
    <phoneticPr fontId="4"/>
  </si>
  <si>
    <t>桃</t>
    <phoneticPr fontId="4"/>
  </si>
  <si>
    <t>05.10.2018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</si>
  <si>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</si>
  <si>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</si>
  <si>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</si>
  <si>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</si>
  <si>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</si>
  <si>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</si>
  <si>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</si>
  <si>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マルショク</t>
    <phoneticPr fontId="3"/>
  </si>
  <si>
    <t>JPY</t>
    <phoneticPr fontId="4"/>
  </si>
  <si>
    <t>一般栽培</t>
    <phoneticPr fontId="4"/>
  </si>
  <si>
    <t>ﾆｭｰｼﾞｰﾗﾝﾄﾞ</t>
    <phoneticPr fontId="4"/>
  </si>
  <si>
    <t>JP</t>
    <phoneticPr fontId="3"/>
  </si>
  <si>
    <t>04.10.2018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</si>
  <si>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</si>
  <si>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</si>
  <si>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</si>
  <si>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</si>
  <si>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</si>
  <si>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</si>
  <si>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</si>
  <si>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</si>
  <si>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</si>
  <si>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</si>
  <si>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</si>
  <si>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</si>
  <si>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</si>
  <si>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JPY</t>
    <phoneticPr fontId="4"/>
  </si>
  <si>
    <t>HE</t>
    <phoneticPr fontId="4"/>
  </si>
  <si>
    <t>JP</t>
    <phoneticPr fontId="3"/>
  </si>
  <si>
    <t>04.10.2018</t>
    <phoneticPr fontId="3"/>
  </si>
  <si>
    <t>マルショク</t>
    <phoneticPr fontId="3"/>
  </si>
  <si>
    <t>JPY</t>
    <phoneticPr fontId="4"/>
  </si>
  <si>
    <t>GA</t>
    <phoneticPr fontId="4"/>
  </si>
  <si>
    <t>マルショク</t>
    <phoneticPr fontId="3"/>
  </si>
  <si>
    <t>JPY</t>
    <phoneticPr fontId="4"/>
  </si>
  <si>
    <t>JPY</t>
    <phoneticPr fontId="4"/>
  </si>
  <si>
    <t>オレンジ</t>
    <phoneticPr fontId="3"/>
  </si>
  <si>
    <t>JP</t>
    <phoneticPr fontId="3"/>
  </si>
  <si>
    <t>04.10.2018</t>
    <phoneticPr fontId="3"/>
  </si>
  <si>
    <t>JP</t>
    <phoneticPr fontId="3"/>
  </si>
  <si>
    <t>04.10.2018</t>
    <phoneticPr fontId="3"/>
  </si>
  <si>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</si>
  <si>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</si>
  <si>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</si>
  <si>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</si>
  <si>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</si>
  <si>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</si>
  <si>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</si>
  <si>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</si>
  <si>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</si>
  <si>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</si>
  <si>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</si>
  <si>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</si>
  <si>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</si>
  <si>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</si>
  <si>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</si>
  <si>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</si>
  <si>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</si>
  <si>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</si>
  <si>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</si>
  <si>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05.10..2018</t>
    <phoneticPr fontId="3"/>
  </si>
  <si>
    <t>サミット</t>
  </si>
  <si>
    <t>JPY</t>
    <phoneticPr fontId="3"/>
  </si>
  <si>
    <t>カドヤ</t>
    <phoneticPr fontId="4"/>
  </si>
  <si>
    <t>ﾆｭｰｼﾞｰﾗﾝﾄﾞ</t>
    <phoneticPr fontId="4"/>
  </si>
  <si>
    <t>05.10..2018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</si>
  <si>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</si>
  <si>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</si>
  <si>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</si>
  <si>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</si>
  <si>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</si>
  <si>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</si>
  <si>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</si>
  <si>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</si>
  <si>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</si>
  <si>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</si>
  <si>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</si>
  <si>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</si>
  <si>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</si>
  <si>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</si>
  <si>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</si>
  <si>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</si>
  <si>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</si>
  <si>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ﾆｭｰｼﾞｰﾗﾝﾄﾞ</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</si>
</sst>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4" fillId="0" borderId="0" xfId="1" applyFont="1" applyFill="1"/>
    <xf numFmtId="178" fontId="1" fillId="3" borderId="0" xfId="1" applyNumberFormat="1" applyFont="1" applyFill="1"/>
    <xf numFmtId="0" fontId="10" fillId="0" borderId="0" xfId="1" applyFont="1" applyBorder="1"/>
    <xf numFmtId="0" fontId="1" fillId="0" borderId="0" xfId="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nagoya_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miyagi_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4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4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4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4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B11" sqref="AB11"/>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327</v>
      </c>
      <c r="B2" s="15" t="s">
        <v>329</v>
      </c>
      <c r="C2" s="15">
        <v>2018</v>
      </c>
      <c r="D2" s="50" t="s">
        <v>335</v>
      </c>
      <c r="E2" s="15" t="s">
        <v>141</v>
      </c>
      <c r="F2" s="15" t="s">
        <v>149</v>
      </c>
      <c r="G2" s="15" t="s">
        <v>36</v>
      </c>
      <c r="H2" s="15" t="s">
        <v>155</v>
      </c>
      <c r="I2" s="15" t="s">
        <v>153</v>
      </c>
      <c r="J2" s="15" t="s">
        <v>38</v>
      </c>
      <c r="K2" s="7" t="s">
        <v>154</v>
      </c>
      <c r="L2" s="7">
        <v>1</v>
      </c>
      <c r="N2" s="47">
        <v>1</v>
      </c>
      <c r="O2" s="15">
        <v>0.8</v>
      </c>
      <c r="P2" s="15">
        <v>0.85</v>
      </c>
      <c r="Q2" s="51">
        <f t="shared" ref="Q2:Q65" si="0">IF(OR(O2="",P2=""),"",AVERAGE(O2,P2))</f>
        <v>0.82499999999999996</v>
      </c>
      <c r="R2" s="15">
        <v>15.1</v>
      </c>
      <c r="S2" s="15">
        <v>117</v>
      </c>
      <c r="T2" s="38">
        <f t="shared" ref="T2:T59" si="1">IF(H2="","",IF(OR(H2="GREEN",H2="GK"),IF(S2&gt;=$AX$2,VLOOKUP(S2,$AX$2:$AY$12,2,1),""),IF(S2&gt;=$AZ$2,VLOOKUP(S2,$AZ$2:$BA$12,2,1),"")))</f>
        <v>30</v>
      </c>
      <c r="U2" s="15">
        <v>105</v>
      </c>
      <c r="V2" s="38">
        <f t="shared" ref="V2:V65" si="2">IF(OR(N2="",U2="",T2=""),"",U2/N2*T2)</f>
        <v>3150</v>
      </c>
      <c r="W2" s="15">
        <v>2</v>
      </c>
      <c r="X2" s="15" t="s">
        <v>39</v>
      </c>
      <c r="Y2" s="15" t="s">
        <v>50</v>
      </c>
      <c r="Z2" s="15" t="s">
        <v>78</v>
      </c>
      <c r="AA2" s="15" t="s">
        <v>90</v>
      </c>
      <c r="AB2" s="39" t="s">
        <v>331</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327</v>
      </c>
      <c r="B3" s="15" t="s">
        <v>328</v>
      </c>
      <c r="C3" s="15">
        <v>2018</v>
      </c>
      <c r="D3" s="37" t="s">
        <v>334</v>
      </c>
      <c r="E3" s="15" t="s">
        <v>141</v>
      </c>
      <c r="F3" s="7" t="s">
        <v>149</v>
      </c>
      <c r="G3" s="7" t="s">
        <v>36</v>
      </c>
      <c r="H3" s="15" t="s">
        <v>155</v>
      </c>
      <c r="I3" s="7" t="s">
        <v>153</v>
      </c>
      <c r="J3" s="15" t="s">
        <v>38</v>
      </c>
      <c r="K3" s="7" t="s">
        <v>154</v>
      </c>
      <c r="L3" s="7">
        <v>2</v>
      </c>
      <c r="N3" s="7">
        <v>1</v>
      </c>
      <c r="O3" s="34">
        <v>0.55000000000000004</v>
      </c>
      <c r="P3" s="7">
        <v>0.7</v>
      </c>
      <c r="Q3" s="52">
        <f t="shared" si="0"/>
        <v>0.625</v>
      </c>
      <c r="R3" s="7">
        <v>13.7</v>
      </c>
      <c r="S3" s="7">
        <v>120</v>
      </c>
      <c r="T3" s="16">
        <f t="shared" si="1"/>
        <v>30</v>
      </c>
      <c r="U3" s="15">
        <v>105</v>
      </c>
      <c r="V3" s="16">
        <f t="shared" si="2"/>
        <v>3150</v>
      </c>
      <c r="W3" s="15">
        <v>2</v>
      </c>
      <c r="X3" s="15" t="s">
        <v>39</v>
      </c>
      <c r="Y3" s="216" t="s">
        <v>50</v>
      </c>
      <c r="Z3" s="216" t="s">
        <v>78</v>
      </c>
      <c r="AA3" s="216" t="s">
        <v>90</v>
      </c>
      <c r="AB3" s="39" t="s">
        <v>330</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327</v>
      </c>
      <c r="B4" s="15" t="s">
        <v>328</v>
      </c>
      <c r="C4" s="15">
        <v>2018</v>
      </c>
      <c r="D4" s="37" t="s">
        <v>334</v>
      </c>
      <c r="E4" s="15" t="s">
        <v>141</v>
      </c>
      <c r="F4" s="7" t="s">
        <v>149</v>
      </c>
      <c r="G4" s="7" t="s">
        <v>36</v>
      </c>
      <c r="H4" s="15" t="s">
        <v>155</v>
      </c>
      <c r="I4" s="208" t="s">
        <v>153</v>
      </c>
      <c r="J4" s="15" t="s">
        <v>38</v>
      </c>
      <c r="K4" s="7" t="s">
        <v>154</v>
      </c>
      <c r="L4" s="7">
        <v>3</v>
      </c>
      <c r="N4" s="7">
        <v>1</v>
      </c>
      <c r="O4" s="7">
        <v>0.65</v>
      </c>
      <c r="P4" s="7">
        <v>0.65</v>
      </c>
      <c r="Q4" s="52">
        <f t="shared" si="0"/>
        <v>0.65</v>
      </c>
      <c r="R4" s="7">
        <v>15.8</v>
      </c>
      <c r="S4" s="7">
        <v>116</v>
      </c>
      <c r="T4" s="16">
        <f t="shared" si="1"/>
        <v>30</v>
      </c>
      <c r="U4" s="15">
        <v>105</v>
      </c>
      <c r="V4" s="16">
        <f t="shared" si="2"/>
        <v>3150</v>
      </c>
      <c r="W4" s="15">
        <v>2</v>
      </c>
      <c r="X4" s="216" t="s">
        <v>39</v>
      </c>
      <c r="Y4" s="216" t="s">
        <v>50</v>
      </c>
      <c r="Z4" s="216" t="s">
        <v>78</v>
      </c>
      <c r="AA4" s="216" t="s">
        <v>90</v>
      </c>
      <c r="AB4" s="39" t="s">
        <v>330</v>
      </c>
      <c r="AE4" s="22" t="s">
        <v>34</v>
      </c>
      <c r="AG4" s="49" t="s">
        <v>332</v>
      </c>
      <c r="AH4" s="49" t="s">
        <v>333</v>
      </c>
      <c r="AJ4" s="27" t="s">
        <v>48</v>
      </c>
      <c r="AL4" s="27" t="s">
        <v>129</v>
      </c>
      <c r="AN4" s="28" t="s">
        <v>49</v>
      </c>
      <c r="AP4" s="23" t="s">
        <v>93</v>
      </c>
      <c r="AR4" s="41" t="s">
        <v>121</v>
      </c>
      <c r="AT4" s="28"/>
      <c r="AV4" s="23" t="s">
        <v>50</v>
      </c>
      <c r="AX4" s="24">
        <v>75</v>
      </c>
      <c r="AY4" s="25">
        <v>42</v>
      </c>
      <c r="AZ4" s="25">
        <v>76</v>
      </c>
      <c r="BA4" s="26">
        <v>39</v>
      </c>
    </row>
    <row r="5" spans="1:53" x14ac:dyDescent="0.15">
      <c r="A5" s="15" t="s">
        <v>327</v>
      </c>
      <c r="B5" s="15" t="s">
        <v>328</v>
      </c>
      <c r="C5" s="15">
        <v>2018</v>
      </c>
      <c r="D5" s="37" t="s">
        <v>334</v>
      </c>
      <c r="E5" s="15" t="s">
        <v>141</v>
      </c>
      <c r="F5" s="15" t="s">
        <v>149</v>
      </c>
      <c r="G5" s="7" t="s">
        <v>36</v>
      </c>
      <c r="H5" s="15" t="s">
        <v>157</v>
      </c>
      <c r="I5" s="208" t="s">
        <v>153</v>
      </c>
      <c r="J5" s="15" t="s">
        <v>38</v>
      </c>
      <c r="K5" s="7" t="s">
        <v>154</v>
      </c>
      <c r="L5" s="7">
        <v>1</v>
      </c>
      <c r="N5" s="7">
        <v>1</v>
      </c>
      <c r="O5" s="7">
        <v>0.5</v>
      </c>
      <c r="P5" s="7">
        <v>0.5</v>
      </c>
      <c r="Q5" s="52">
        <f t="shared" si="0"/>
        <v>0.5</v>
      </c>
      <c r="R5" s="7">
        <v>14.3</v>
      </c>
      <c r="S5" s="7">
        <v>128</v>
      </c>
      <c r="T5" s="16">
        <f t="shared" si="1"/>
        <v>27</v>
      </c>
      <c r="U5" s="15">
        <v>145</v>
      </c>
      <c r="V5" s="16">
        <f t="shared" si="2"/>
        <v>3915</v>
      </c>
      <c r="W5" s="15">
        <v>3</v>
      </c>
      <c r="X5" s="216" t="s">
        <v>39</v>
      </c>
      <c r="Y5" s="216" t="s">
        <v>50</v>
      </c>
      <c r="Z5" s="216" t="s">
        <v>78</v>
      </c>
      <c r="AA5" s="216" t="s">
        <v>90</v>
      </c>
      <c r="AB5" s="39" t="s">
        <v>330</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327</v>
      </c>
      <c r="B6" s="15" t="s">
        <v>328</v>
      </c>
      <c r="C6" s="15">
        <v>2018</v>
      </c>
      <c r="D6" s="37" t="s">
        <v>334</v>
      </c>
      <c r="E6" s="15" t="s">
        <v>141</v>
      </c>
      <c r="F6" s="7" t="s">
        <v>149</v>
      </c>
      <c r="G6" s="7" t="s">
        <v>36</v>
      </c>
      <c r="H6" s="216" t="s">
        <v>157</v>
      </c>
      <c r="I6" s="208" t="s">
        <v>153</v>
      </c>
      <c r="J6" s="216" t="s">
        <v>38</v>
      </c>
      <c r="K6" s="208" t="s">
        <v>154</v>
      </c>
      <c r="L6" s="7">
        <v>2</v>
      </c>
      <c r="N6" s="7">
        <v>1</v>
      </c>
      <c r="O6" s="7">
        <v>0.55000000000000004</v>
      </c>
      <c r="P6" s="7">
        <v>0.5</v>
      </c>
      <c r="Q6" s="52">
        <f t="shared" si="0"/>
        <v>0.52500000000000002</v>
      </c>
      <c r="R6" s="7">
        <v>18.2</v>
      </c>
      <c r="S6" s="7">
        <v>125</v>
      </c>
      <c r="T6" s="16">
        <f t="shared" si="1"/>
        <v>27</v>
      </c>
      <c r="U6" s="216">
        <v>145</v>
      </c>
      <c r="V6" s="16">
        <f t="shared" si="2"/>
        <v>3915</v>
      </c>
      <c r="W6" s="15">
        <v>3</v>
      </c>
      <c r="X6" s="216" t="s">
        <v>39</v>
      </c>
      <c r="Y6" s="216" t="s">
        <v>50</v>
      </c>
      <c r="Z6" s="216" t="s">
        <v>78</v>
      </c>
      <c r="AA6" s="216" t="s">
        <v>90</v>
      </c>
      <c r="AB6" s="39" t="s">
        <v>330</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327</v>
      </c>
      <c r="B7" s="15" t="s">
        <v>328</v>
      </c>
      <c r="C7" s="15">
        <v>2018</v>
      </c>
      <c r="D7" s="37" t="s">
        <v>334</v>
      </c>
      <c r="E7" s="15" t="s">
        <v>141</v>
      </c>
      <c r="F7" s="7" t="s">
        <v>149</v>
      </c>
      <c r="G7" s="7" t="s">
        <v>36</v>
      </c>
      <c r="H7" s="216" t="s">
        <v>157</v>
      </c>
      <c r="I7" s="208" t="s">
        <v>153</v>
      </c>
      <c r="J7" s="216" t="s">
        <v>38</v>
      </c>
      <c r="K7" s="208" t="s">
        <v>154</v>
      </c>
      <c r="L7" s="7">
        <v>3</v>
      </c>
      <c r="N7" s="7">
        <v>1</v>
      </c>
      <c r="O7" s="7">
        <v>0.5</v>
      </c>
      <c r="P7" s="7">
        <v>0.5</v>
      </c>
      <c r="Q7" s="52">
        <f t="shared" si="0"/>
        <v>0.5</v>
      </c>
      <c r="R7" s="34">
        <v>17.3</v>
      </c>
      <c r="S7" s="7">
        <v>129</v>
      </c>
      <c r="T7" s="16">
        <f t="shared" si="1"/>
        <v>25</v>
      </c>
      <c r="U7" s="216">
        <v>145</v>
      </c>
      <c r="V7" s="16">
        <f t="shared" si="2"/>
        <v>3625</v>
      </c>
      <c r="W7" s="15">
        <v>3</v>
      </c>
      <c r="X7" s="216" t="s">
        <v>39</v>
      </c>
      <c r="Y7" s="216" t="s">
        <v>50</v>
      </c>
      <c r="Z7" s="216" t="s">
        <v>78</v>
      </c>
      <c r="AA7" s="216" t="s">
        <v>90</v>
      </c>
      <c r="AB7" s="39" t="s">
        <v>330</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327</v>
      </c>
      <c r="B8" s="15" t="s">
        <v>328</v>
      </c>
      <c r="C8" s="15">
        <v>2018</v>
      </c>
      <c r="D8" s="37" t="s">
        <v>334</v>
      </c>
      <c r="E8" s="15" t="s">
        <v>133</v>
      </c>
      <c r="F8" s="7" t="s">
        <v>150</v>
      </c>
      <c r="G8" s="7" t="s">
        <v>36</v>
      </c>
      <c r="H8" s="15" t="s">
        <v>155</v>
      </c>
      <c r="I8" s="208" t="s">
        <v>153</v>
      </c>
      <c r="J8" s="15" t="s">
        <v>38</v>
      </c>
      <c r="K8" s="7" t="s">
        <v>154</v>
      </c>
      <c r="L8" s="7">
        <v>1</v>
      </c>
      <c r="N8" s="208">
        <v>1</v>
      </c>
      <c r="O8" s="7">
        <v>0.5</v>
      </c>
      <c r="P8" s="7">
        <v>0.5</v>
      </c>
      <c r="Q8" s="52">
        <f t="shared" si="0"/>
        <v>0.5</v>
      </c>
      <c r="R8" s="34">
        <v>15.2</v>
      </c>
      <c r="S8" s="7">
        <v>140</v>
      </c>
      <c r="T8" s="16">
        <f t="shared" si="1"/>
        <v>22</v>
      </c>
      <c r="U8" s="15">
        <v>105</v>
      </c>
      <c r="V8" s="16">
        <f t="shared" si="2"/>
        <v>2310</v>
      </c>
      <c r="W8" s="15">
        <v>4</v>
      </c>
      <c r="X8" s="15" t="s">
        <v>46</v>
      </c>
      <c r="Y8" s="216" t="s">
        <v>102</v>
      </c>
      <c r="Z8" s="216" t="s">
        <v>78</v>
      </c>
      <c r="AA8" s="216" t="s">
        <v>90</v>
      </c>
      <c r="AB8" s="39" t="s">
        <v>330</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327</v>
      </c>
      <c r="B9" s="15" t="s">
        <v>328</v>
      </c>
      <c r="C9" s="15">
        <v>2018</v>
      </c>
      <c r="D9" s="37" t="s">
        <v>334</v>
      </c>
      <c r="E9" s="15" t="s">
        <v>133</v>
      </c>
      <c r="F9" s="7" t="s">
        <v>150</v>
      </c>
      <c r="G9" s="7" t="s">
        <v>36</v>
      </c>
      <c r="H9" s="216" t="s">
        <v>155</v>
      </c>
      <c r="I9" s="208" t="s">
        <v>153</v>
      </c>
      <c r="J9" s="216" t="s">
        <v>38</v>
      </c>
      <c r="K9" s="208" t="s">
        <v>154</v>
      </c>
      <c r="L9" s="7">
        <v>2</v>
      </c>
      <c r="N9" s="208">
        <v>1</v>
      </c>
      <c r="O9" s="7">
        <v>0.55000000000000004</v>
      </c>
      <c r="P9" s="7">
        <v>0.6</v>
      </c>
      <c r="Q9" s="52">
        <f t="shared" si="0"/>
        <v>0.57499999999999996</v>
      </c>
      <c r="R9" s="7">
        <v>16</v>
      </c>
      <c r="S9" s="7">
        <v>144</v>
      </c>
      <c r="T9" s="16">
        <f t="shared" si="1"/>
        <v>22</v>
      </c>
      <c r="U9" s="216">
        <v>105</v>
      </c>
      <c r="V9" s="16">
        <f t="shared" si="2"/>
        <v>2310</v>
      </c>
      <c r="W9" s="15">
        <v>4</v>
      </c>
      <c r="X9" s="15" t="s">
        <v>46</v>
      </c>
      <c r="Y9" s="216" t="s">
        <v>102</v>
      </c>
      <c r="Z9" s="216" t="s">
        <v>78</v>
      </c>
      <c r="AA9" s="216" t="s">
        <v>90</v>
      </c>
      <c r="AB9" s="39" t="s">
        <v>330</v>
      </c>
      <c r="AE9" s="22" t="s">
        <v>98</v>
      </c>
      <c r="AG9" s="49" t="s">
        <v>133</v>
      </c>
      <c r="AH9" s="49" t="s">
        <v>150</v>
      </c>
      <c r="AL9" s="34"/>
      <c r="AP9" s="23" t="s">
        <v>95</v>
      </c>
      <c r="AR9" s="30" t="s">
        <v>89</v>
      </c>
      <c r="AV9" s="23" t="s">
        <v>102</v>
      </c>
      <c r="AX9" s="24">
        <v>128</v>
      </c>
      <c r="AY9" s="25">
        <v>27</v>
      </c>
      <c r="AZ9" s="25">
        <v>129</v>
      </c>
      <c r="BA9" s="26">
        <v>25</v>
      </c>
    </row>
    <row r="10" spans="1:53" x14ac:dyDescent="0.15">
      <c r="A10" s="15" t="s">
        <v>327</v>
      </c>
      <c r="B10" s="15" t="s">
        <v>328</v>
      </c>
      <c r="C10" s="15">
        <v>2018</v>
      </c>
      <c r="D10" s="37" t="s">
        <v>334</v>
      </c>
      <c r="E10" s="15" t="s">
        <v>133</v>
      </c>
      <c r="F10" s="7" t="s">
        <v>150</v>
      </c>
      <c r="G10" s="7" t="s">
        <v>36</v>
      </c>
      <c r="H10" s="216" t="s">
        <v>155</v>
      </c>
      <c r="I10" s="208" t="s">
        <v>153</v>
      </c>
      <c r="J10" s="216" t="s">
        <v>38</v>
      </c>
      <c r="K10" s="208" t="s">
        <v>154</v>
      </c>
      <c r="L10" s="7">
        <v>3</v>
      </c>
      <c r="N10" s="208">
        <v>1</v>
      </c>
      <c r="O10" s="7">
        <v>0.5</v>
      </c>
      <c r="P10" s="7">
        <v>0.5</v>
      </c>
      <c r="Q10" s="52">
        <f t="shared" si="0"/>
        <v>0.5</v>
      </c>
      <c r="R10" s="7">
        <v>17.3</v>
      </c>
      <c r="S10" s="7">
        <v>138</v>
      </c>
      <c r="T10" s="16">
        <f t="shared" si="1"/>
        <v>22</v>
      </c>
      <c r="U10" s="216">
        <v>105</v>
      </c>
      <c r="V10" s="16">
        <f t="shared" si="2"/>
        <v>2310</v>
      </c>
      <c r="W10" s="15">
        <v>4</v>
      </c>
      <c r="X10" s="15" t="s">
        <v>46</v>
      </c>
      <c r="Y10" s="216" t="s">
        <v>102</v>
      </c>
      <c r="Z10" s="216" t="s">
        <v>78</v>
      </c>
      <c r="AA10" s="216" t="s">
        <v>90</v>
      </c>
      <c r="AB10" s="39" t="s">
        <v>330</v>
      </c>
      <c r="AE10" s="22" t="s">
        <v>103</v>
      </c>
      <c r="AG10" s="49" t="s">
        <v>142</v>
      </c>
      <c r="AH10" s="49" t="s">
        <v>151</v>
      </c>
      <c r="AP10" s="23" t="s">
        <v>100</v>
      </c>
      <c r="AR10" s="30" t="s">
        <v>123</v>
      </c>
      <c r="AV10" s="23" t="s">
        <v>106</v>
      </c>
      <c r="AX10" s="24">
        <v>138</v>
      </c>
      <c r="AY10" s="25">
        <v>25</v>
      </c>
      <c r="AZ10" s="25">
        <v>138</v>
      </c>
      <c r="BA10" s="26">
        <v>22</v>
      </c>
    </row>
    <row r="11" spans="1:53" x14ac:dyDescent="0.15">
      <c r="A11" s="15" t="s">
        <v>327</v>
      </c>
      <c r="B11" s="15" t="s">
        <v>328</v>
      </c>
      <c r="C11" s="15">
        <v>2018</v>
      </c>
      <c r="D11" s="37" t="s">
        <v>334</v>
      </c>
      <c r="E11" s="15" t="s">
        <v>133</v>
      </c>
      <c r="F11" s="7" t="s">
        <v>150</v>
      </c>
      <c r="G11" s="7" t="s">
        <v>36</v>
      </c>
      <c r="H11" s="216" t="s">
        <v>157</v>
      </c>
      <c r="I11" s="7" t="s">
        <v>153</v>
      </c>
      <c r="J11" s="15" t="s">
        <v>38</v>
      </c>
      <c r="K11" s="7" t="s">
        <v>154</v>
      </c>
      <c r="L11" s="7">
        <v>1</v>
      </c>
      <c r="N11" s="208">
        <v>1</v>
      </c>
      <c r="O11" s="7">
        <v>0.5</v>
      </c>
      <c r="P11" s="7">
        <v>0.55000000000000004</v>
      </c>
      <c r="Q11" s="52">
        <f t="shared" si="0"/>
        <v>0.52500000000000002</v>
      </c>
      <c r="R11" s="7">
        <v>16</v>
      </c>
      <c r="S11" s="7">
        <v>131</v>
      </c>
      <c r="T11" s="16">
        <f t="shared" si="1"/>
        <v>25</v>
      </c>
      <c r="U11" s="7">
        <v>105</v>
      </c>
      <c r="V11" s="16">
        <f t="shared" si="2"/>
        <v>2625</v>
      </c>
      <c r="W11" s="7">
        <v>6</v>
      </c>
      <c r="X11" s="15" t="s">
        <v>46</v>
      </c>
      <c r="Y11" s="216" t="s">
        <v>102</v>
      </c>
      <c r="Z11" s="216" t="s">
        <v>78</v>
      </c>
      <c r="AA11" s="216" t="s">
        <v>90</v>
      </c>
      <c r="AB11" s="39" t="s">
        <v>330</v>
      </c>
      <c r="AE11" s="22" t="s">
        <v>65</v>
      </c>
      <c r="AG11" s="49" t="s">
        <v>143</v>
      </c>
      <c r="AH11" s="49" t="s">
        <v>152</v>
      </c>
      <c r="AP11" s="23" t="s">
        <v>104</v>
      </c>
      <c r="AR11" s="30" t="s">
        <v>87</v>
      </c>
      <c r="AV11" s="23" t="s">
        <v>69</v>
      </c>
      <c r="AX11" s="24">
        <v>151</v>
      </c>
      <c r="AY11" s="25">
        <v>22</v>
      </c>
      <c r="AZ11" s="25">
        <v>152</v>
      </c>
      <c r="BA11" s="26">
        <v>18</v>
      </c>
    </row>
    <row r="12" spans="1:53" x14ac:dyDescent="0.15">
      <c r="A12" s="15" t="s">
        <v>327</v>
      </c>
      <c r="B12" s="15" t="s">
        <v>328</v>
      </c>
      <c r="C12" s="15">
        <v>2018</v>
      </c>
      <c r="D12" s="37" t="s">
        <v>334</v>
      </c>
      <c r="E12" s="15" t="s">
        <v>133</v>
      </c>
      <c r="F12" s="7" t="s">
        <v>150</v>
      </c>
      <c r="G12" s="7" t="s">
        <v>36</v>
      </c>
      <c r="H12" s="216" t="s">
        <v>157</v>
      </c>
      <c r="I12" s="208" t="s">
        <v>153</v>
      </c>
      <c r="J12" s="216" t="s">
        <v>38</v>
      </c>
      <c r="K12" s="208" t="s">
        <v>154</v>
      </c>
      <c r="L12" s="7">
        <v>2</v>
      </c>
      <c r="N12" s="7">
        <v>1</v>
      </c>
      <c r="O12" s="7">
        <v>0.5</v>
      </c>
      <c r="P12" s="7">
        <v>0.5</v>
      </c>
      <c r="Q12" s="52">
        <f t="shared" si="0"/>
        <v>0.5</v>
      </c>
      <c r="R12" s="34">
        <v>15.3</v>
      </c>
      <c r="S12" s="7">
        <v>130</v>
      </c>
      <c r="T12" s="16">
        <f t="shared" si="1"/>
        <v>25</v>
      </c>
      <c r="U12" s="208">
        <v>105</v>
      </c>
      <c r="V12" s="16">
        <f t="shared" si="2"/>
        <v>2625</v>
      </c>
      <c r="W12" s="7">
        <v>6</v>
      </c>
      <c r="X12" s="15" t="s">
        <v>46</v>
      </c>
      <c r="Y12" s="216" t="s">
        <v>102</v>
      </c>
      <c r="Z12" s="216" t="s">
        <v>78</v>
      </c>
      <c r="AA12" s="216" t="s">
        <v>90</v>
      </c>
      <c r="AB12" s="39" t="s">
        <v>330</v>
      </c>
      <c r="AE12" s="22" t="s">
        <v>70</v>
      </c>
      <c r="AG12" s="40"/>
      <c r="AH12" s="40"/>
      <c r="AP12" s="23" t="s">
        <v>67</v>
      </c>
      <c r="AR12" s="30" t="s">
        <v>124</v>
      </c>
      <c r="AV12" s="23" t="s">
        <v>72</v>
      </c>
      <c r="AX12" s="31">
        <v>180</v>
      </c>
      <c r="AY12" s="32">
        <v>18</v>
      </c>
      <c r="AZ12" s="32">
        <v>181</v>
      </c>
      <c r="BA12" s="33">
        <v>16</v>
      </c>
    </row>
    <row r="13" spans="1:53" x14ac:dyDescent="0.15">
      <c r="A13" s="15" t="s">
        <v>327</v>
      </c>
      <c r="B13" s="15" t="s">
        <v>328</v>
      </c>
      <c r="C13" s="15">
        <v>2018</v>
      </c>
      <c r="D13" s="37" t="s">
        <v>334</v>
      </c>
      <c r="E13" s="15" t="s">
        <v>133</v>
      </c>
      <c r="F13" s="7" t="s">
        <v>150</v>
      </c>
      <c r="G13" s="7" t="s">
        <v>36</v>
      </c>
      <c r="H13" s="216" t="s">
        <v>157</v>
      </c>
      <c r="I13" s="208" t="s">
        <v>153</v>
      </c>
      <c r="J13" s="216" t="s">
        <v>38</v>
      </c>
      <c r="K13" s="208" t="s">
        <v>154</v>
      </c>
      <c r="L13" s="7">
        <v>3</v>
      </c>
      <c r="N13" s="7">
        <v>1</v>
      </c>
      <c r="O13" s="7">
        <v>0.6</v>
      </c>
      <c r="P13" s="7">
        <v>0.55000000000000004</v>
      </c>
      <c r="Q13" s="52">
        <f t="shared" si="0"/>
        <v>0.57499999999999996</v>
      </c>
      <c r="R13" s="7">
        <v>17</v>
      </c>
      <c r="S13" s="7">
        <v>137</v>
      </c>
      <c r="T13" s="16">
        <f t="shared" si="1"/>
        <v>25</v>
      </c>
      <c r="U13" s="208">
        <v>105</v>
      </c>
      <c r="V13" s="16">
        <f t="shared" si="2"/>
        <v>2625</v>
      </c>
      <c r="W13" s="7">
        <v>6</v>
      </c>
      <c r="X13" s="15" t="s">
        <v>46</v>
      </c>
      <c r="Y13" s="216" t="s">
        <v>102</v>
      </c>
      <c r="Z13" s="216" t="s">
        <v>78</v>
      </c>
      <c r="AA13" s="216" t="s">
        <v>90</v>
      </c>
      <c r="AB13" s="39" t="s">
        <v>330</v>
      </c>
      <c r="AE13" s="22" t="s">
        <v>73</v>
      </c>
      <c r="AG13" s="23"/>
      <c r="AH13" s="23"/>
      <c r="AP13" s="23" t="s">
        <v>71</v>
      </c>
      <c r="AR13" s="30" t="s">
        <v>103</v>
      </c>
      <c r="AV13" s="23" t="s">
        <v>75</v>
      </c>
    </row>
    <row r="14" spans="1:53" x14ac:dyDescent="0.15">
      <c r="A14" s="15" t="s">
        <v>327</v>
      </c>
      <c r="B14" s="15" t="s">
        <v>328</v>
      </c>
      <c r="C14" s="15">
        <v>2018</v>
      </c>
      <c r="D14" s="37" t="s">
        <v>334</v>
      </c>
      <c r="E14" s="15" t="s">
        <v>142</v>
      </c>
      <c r="F14" s="7" t="s">
        <v>151</v>
      </c>
      <c r="G14" s="7" t="s">
        <v>36</v>
      </c>
      <c r="H14" s="15" t="s">
        <v>155</v>
      </c>
      <c r="I14" s="7" t="s">
        <v>153</v>
      </c>
      <c r="J14" s="15" t="s">
        <v>38</v>
      </c>
      <c r="K14" s="7" t="s">
        <v>154</v>
      </c>
      <c r="L14" s="7">
        <v>1</v>
      </c>
      <c r="N14" s="7">
        <v>1</v>
      </c>
      <c r="O14" s="7">
        <v>0.5</v>
      </c>
      <c r="P14" s="7">
        <v>0.55000000000000004</v>
      </c>
      <c r="Q14" s="52">
        <f t="shared" si="0"/>
        <v>0.52500000000000002</v>
      </c>
      <c r="R14" s="7">
        <v>16.8</v>
      </c>
      <c r="S14" s="7">
        <v>159</v>
      </c>
      <c r="T14" s="16">
        <f t="shared" si="1"/>
        <v>18</v>
      </c>
      <c r="U14" s="7">
        <v>149</v>
      </c>
      <c r="V14" s="16">
        <f t="shared" si="2"/>
        <v>2682</v>
      </c>
      <c r="W14" s="7">
        <v>3</v>
      </c>
      <c r="X14" s="15" t="s">
        <v>46</v>
      </c>
      <c r="Y14" s="216" t="s">
        <v>90</v>
      </c>
      <c r="Z14" s="216" t="s">
        <v>78</v>
      </c>
      <c r="AA14" s="216" t="s">
        <v>50</v>
      </c>
      <c r="AB14" s="39" t="s">
        <v>330</v>
      </c>
      <c r="AE14" s="22" t="s">
        <v>76</v>
      </c>
      <c r="AG14" s="23"/>
      <c r="AH14" s="23"/>
      <c r="AP14" s="23" t="s">
        <v>74</v>
      </c>
      <c r="AR14" s="30" t="s">
        <v>125</v>
      </c>
      <c r="AV14" s="23" t="s">
        <v>78</v>
      </c>
    </row>
    <row r="15" spans="1:53" x14ac:dyDescent="0.15">
      <c r="A15" s="15" t="s">
        <v>327</v>
      </c>
      <c r="B15" s="15" t="s">
        <v>328</v>
      </c>
      <c r="C15" s="15">
        <v>2018</v>
      </c>
      <c r="D15" s="37" t="s">
        <v>334</v>
      </c>
      <c r="E15" s="15" t="s">
        <v>142</v>
      </c>
      <c r="F15" s="7" t="s">
        <v>151</v>
      </c>
      <c r="G15" s="7" t="s">
        <v>36</v>
      </c>
      <c r="H15" s="216" t="s">
        <v>155</v>
      </c>
      <c r="I15" s="208" t="s">
        <v>153</v>
      </c>
      <c r="J15" s="216" t="s">
        <v>38</v>
      </c>
      <c r="K15" s="208" t="s">
        <v>154</v>
      </c>
      <c r="L15" s="7">
        <v>2</v>
      </c>
      <c r="N15" s="7">
        <v>1</v>
      </c>
      <c r="O15" s="7">
        <v>0.5</v>
      </c>
      <c r="P15" s="7">
        <v>0.5</v>
      </c>
      <c r="Q15" s="52">
        <f t="shared" si="0"/>
        <v>0.5</v>
      </c>
      <c r="R15" s="7">
        <v>16.3</v>
      </c>
      <c r="S15" s="7">
        <v>159</v>
      </c>
      <c r="T15" s="16">
        <f t="shared" si="1"/>
        <v>18</v>
      </c>
      <c r="U15" s="208">
        <v>149</v>
      </c>
      <c r="V15" s="16">
        <f t="shared" si="2"/>
        <v>2682</v>
      </c>
      <c r="W15" s="7">
        <v>3</v>
      </c>
      <c r="X15" s="216" t="s">
        <v>46</v>
      </c>
      <c r="Y15" s="216" t="s">
        <v>90</v>
      </c>
      <c r="Z15" s="216" t="s">
        <v>78</v>
      </c>
      <c r="AA15" s="216" t="s">
        <v>50</v>
      </c>
      <c r="AB15" s="39" t="s">
        <v>330</v>
      </c>
      <c r="AE15" s="22" t="s">
        <v>79</v>
      </c>
      <c r="AG15" s="23"/>
      <c r="AH15" s="23"/>
      <c r="AP15" s="23" t="s">
        <v>77</v>
      </c>
      <c r="AR15" s="30" t="s">
        <v>94</v>
      </c>
      <c r="AV15" s="23" t="s">
        <v>107</v>
      </c>
    </row>
    <row r="16" spans="1:53" x14ac:dyDescent="0.15">
      <c r="A16" s="15" t="s">
        <v>327</v>
      </c>
      <c r="B16" s="15" t="s">
        <v>328</v>
      </c>
      <c r="C16" s="15">
        <v>2018</v>
      </c>
      <c r="D16" s="37" t="s">
        <v>334</v>
      </c>
      <c r="E16" s="15" t="s">
        <v>142</v>
      </c>
      <c r="F16" s="7" t="s">
        <v>151</v>
      </c>
      <c r="G16" s="7" t="s">
        <v>36</v>
      </c>
      <c r="H16" s="216" t="s">
        <v>155</v>
      </c>
      <c r="I16" s="208" t="s">
        <v>153</v>
      </c>
      <c r="J16" s="216" t="s">
        <v>38</v>
      </c>
      <c r="K16" s="208" t="s">
        <v>154</v>
      </c>
      <c r="L16" s="7">
        <v>3</v>
      </c>
      <c r="N16" s="7">
        <v>1</v>
      </c>
      <c r="O16" s="7">
        <v>0.7</v>
      </c>
      <c r="P16" s="7">
        <v>0.7</v>
      </c>
      <c r="Q16" s="52">
        <f t="shared" si="0"/>
        <v>0.7</v>
      </c>
      <c r="R16" s="7">
        <v>13.6</v>
      </c>
      <c r="S16" s="7">
        <v>154</v>
      </c>
      <c r="T16" s="16">
        <f t="shared" si="1"/>
        <v>18</v>
      </c>
      <c r="U16" s="208">
        <v>149</v>
      </c>
      <c r="V16" s="16">
        <f t="shared" si="2"/>
        <v>2682</v>
      </c>
      <c r="W16" s="7">
        <v>3</v>
      </c>
      <c r="X16" s="216" t="s">
        <v>46</v>
      </c>
      <c r="Y16" s="216" t="s">
        <v>90</v>
      </c>
      <c r="Z16" s="216" t="s">
        <v>78</v>
      </c>
      <c r="AA16" s="216" t="s">
        <v>50</v>
      </c>
      <c r="AB16" s="39" t="s">
        <v>330</v>
      </c>
      <c r="AE16" s="22" t="s">
        <v>82</v>
      </c>
      <c r="AG16" s="28"/>
      <c r="AH16" s="28"/>
      <c r="AP16" s="23" t="s">
        <v>80</v>
      </c>
      <c r="AR16" s="41" t="s">
        <v>63</v>
      </c>
      <c r="AV16" s="23" t="s">
        <v>84</v>
      </c>
    </row>
    <row r="17" spans="1:48" x14ac:dyDescent="0.15">
      <c r="A17" s="15" t="s">
        <v>327</v>
      </c>
      <c r="B17" s="15" t="s">
        <v>328</v>
      </c>
      <c r="C17" s="15">
        <v>2018</v>
      </c>
      <c r="D17" s="37" t="s">
        <v>334</v>
      </c>
      <c r="E17" s="15" t="s">
        <v>142</v>
      </c>
      <c r="F17" s="7" t="s">
        <v>151</v>
      </c>
      <c r="G17" s="7" t="s">
        <v>36</v>
      </c>
      <c r="H17" s="15" t="s">
        <v>157</v>
      </c>
      <c r="I17" s="208" t="s">
        <v>153</v>
      </c>
      <c r="J17" s="216" t="s">
        <v>38</v>
      </c>
      <c r="K17" s="208" t="s">
        <v>154</v>
      </c>
      <c r="L17" s="7">
        <v>1</v>
      </c>
      <c r="N17" s="7">
        <v>1</v>
      </c>
      <c r="O17" s="7">
        <v>0.55000000000000004</v>
      </c>
      <c r="P17" s="7">
        <v>0.65</v>
      </c>
      <c r="Q17" s="52">
        <f t="shared" si="0"/>
        <v>0.60000000000000009</v>
      </c>
      <c r="R17" s="7">
        <v>16.8</v>
      </c>
      <c r="S17" s="7">
        <v>167</v>
      </c>
      <c r="T17" s="16">
        <f t="shared" si="1"/>
        <v>18</v>
      </c>
      <c r="U17" s="7">
        <v>170</v>
      </c>
      <c r="V17" s="16">
        <f t="shared" si="2"/>
        <v>3060</v>
      </c>
      <c r="W17" s="7">
        <v>2</v>
      </c>
      <c r="X17" s="216" t="s">
        <v>46</v>
      </c>
      <c r="Y17" s="216" t="s">
        <v>90</v>
      </c>
      <c r="Z17" s="216" t="s">
        <v>78</v>
      </c>
      <c r="AA17" s="216" t="s">
        <v>50</v>
      </c>
      <c r="AB17" s="39" t="s">
        <v>330</v>
      </c>
      <c r="AE17" s="22" t="s">
        <v>85</v>
      </c>
      <c r="AP17" s="43" t="s">
        <v>110</v>
      </c>
      <c r="AR17" s="41" t="s">
        <v>96</v>
      </c>
      <c r="AV17" s="23" t="s">
        <v>86</v>
      </c>
    </row>
    <row r="18" spans="1:48" x14ac:dyDescent="0.15">
      <c r="A18" s="15" t="s">
        <v>327</v>
      </c>
      <c r="B18" s="15" t="s">
        <v>328</v>
      </c>
      <c r="C18" s="15">
        <v>2018</v>
      </c>
      <c r="D18" s="37" t="s">
        <v>334</v>
      </c>
      <c r="E18" s="15" t="s">
        <v>142</v>
      </c>
      <c r="F18" s="7" t="s">
        <v>151</v>
      </c>
      <c r="G18" s="7" t="s">
        <v>36</v>
      </c>
      <c r="H18" s="216" t="s">
        <v>157</v>
      </c>
      <c r="I18" s="208" t="s">
        <v>153</v>
      </c>
      <c r="J18" s="216" t="s">
        <v>38</v>
      </c>
      <c r="K18" s="208" t="s">
        <v>154</v>
      </c>
      <c r="L18" s="7">
        <v>2</v>
      </c>
      <c r="N18" s="7">
        <v>1</v>
      </c>
      <c r="O18" s="7">
        <v>0.6</v>
      </c>
      <c r="P18" s="7">
        <v>0.55000000000000004</v>
      </c>
      <c r="Q18" s="52">
        <f t="shared" si="0"/>
        <v>0.57499999999999996</v>
      </c>
      <c r="R18" s="7">
        <v>17.899999999999999</v>
      </c>
      <c r="S18" s="7">
        <v>158</v>
      </c>
      <c r="T18" s="16">
        <f t="shared" si="1"/>
        <v>18</v>
      </c>
      <c r="U18" s="208">
        <v>170</v>
      </c>
      <c r="V18" s="16">
        <f t="shared" si="2"/>
        <v>3060</v>
      </c>
      <c r="W18" s="7">
        <v>2</v>
      </c>
      <c r="X18" s="216" t="s">
        <v>46</v>
      </c>
      <c r="Y18" s="216" t="s">
        <v>90</v>
      </c>
      <c r="Z18" s="216" t="s">
        <v>78</v>
      </c>
      <c r="AA18" s="216" t="s">
        <v>50</v>
      </c>
      <c r="AB18" s="39" t="s">
        <v>330</v>
      </c>
      <c r="AE18" s="22" t="s">
        <v>87</v>
      </c>
      <c r="AP18" s="43" t="s">
        <v>111</v>
      </c>
      <c r="AR18" s="41" t="s">
        <v>101</v>
      </c>
      <c r="AV18" s="23" t="s">
        <v>88</v>
      </c>
    </row>
    <row r="19" spans="1:48" x14ac:dyDescent="0.15">
      <c r="A19" s="15" t="s">
        <v>327</v>
      </c>
      <c r="B19" s="15" t="s">
        <v>328</v>
      </c>
      <c r="C19" s="15">
        <v>2018</v>
      </c>
      <c r="D19" s="37" t="s">
        <v>334</v>
      </c>
      <c r="E19" s="15" t="s">
        <v>142</v>
      </c>
      <c r="F19" s="7" t="s">
        <v>151</v>
      </c>
      <c r="G19" s="7" t="s">
        <v>36</v>
      </c>
      <c r="H19" s="216" t="s">
        <v>157</v>
      </c>
      <c r="I19" s="208" t="s">
        <v>153</v>
      </c>
      <c r="J19" s="216" t="s">
        <v>38</v>
      </c>
      <c r="K19" s="208" t="s">
        <v>154</v>
      </c>
      <c r="L19" s="7">
        <v>3</v>
      </c>
      <c r="N19" s="7">
        <v>1</v>
      </c>
      <c r="O19" s="7">
        <v>0.55000000000000004</v>
      </c>
      <c r="P19" s="7">
        <v>0.65</v>
      </c>
      <c r="Q19" s="52">
        <f t="shared" si="0"/>
        <v>0.60000000000000009</v>
      </c>
      <c r="R19" s="7">
        <v>17.2</v>
      </c>
      <c r="S19" s="7">
        <v>155</v>
      </c>
      <c r="T19" s="16">
        <f t="shared" si="1"/>
        <v>18</v>
      </c>
      <c r="U19" s="208">
        <v>170</v>
      </c>
      <c r="V19" s="16">
        <f t="shared" si="2"/>
        <v>3060</v>
      </c>
      <c r="W19" s="7">
        <v>2</v>
      </c>
      <c r="X19" s="216" t="s">
        <v>46</v>
      </c>
      <c r="Y19" s="216" t="s">
        <v>90</v>
      </c>
      <c r="Z19" s="216" t="s">
        <v>78</v>
      </c>
      <c r="AA19" s="216" t="s">
        <v>50</v>
      </c>
      <c r="AB19" s="39" t="s">
        <v>330</v>
      </c>
      <c r="AE19" s="35" t="s">
        <v>89</v>
      </c>
      <c r="AP19" s="43" t="s">
        <v>112</v>
      </c>
      <c r="AR19" s="30" t="s">
        <v>126</v>
      </c>
      <c r="AV19" s="23" t="s">
        <v>90</v>
      </c>
    </row>
    <row r="20" spans="1:48" x14ac:dyDescent="0.15">
      <c r="A20" s="15" t="s">
        <v>327</v>
      </c>
      <c r="B20" s="15" t="s">
        <v>328</v>
      </c>
      <c r="C20" s="15">
        <v>2018</v>
      </c>
      <c r="D20" s="37" t="s">
        <v>334</v>
      </c>
      <c r="E20" s="15" t="s">
        <v>143</v>
      </c>
      <c r="F20" s="7" t="s">
        <v>152</v>
      </c>
      <c r="G20" s="7" t="s">
        <v>36</v>
      </c>
      <c r="H20" s="15" t="s">
        <v>155</v>
      </c>
      <c r="I20" s="208" t="s">
        <v>153</v>
      </c>
      <c r="J20" s="15" t="s">
        <v>38</v>
      </c>
      <c r="K20" s="7" t="s">
        <v>154</v>
      </c>
      <c r="L20" s="7">
        <v>1</v>
      </c>
      <c r="N20" s="7">
        <v>1</v>
      </c>
      <c r="O20" s="7">
        <v>0.5</v>
      </c>
      <c r="P20" s="34">
        <v>0.5</v>
      </c>
      <c r="Q20" s="52">
        <f t="shared" si="0"/>
        <v>0.5</v>
      </c>
      <c r="R20" s="7">
        <v>13.5</v>
      </c>
      <c r="S20" s="7">
        <v>125</v>
      </c>
      <c r="T20" s="16">
        <f t="shared" si="1"/>
        <v>27</v>
      </c>
      <c r="U20" s="7">
        <v>105</v>
      </c>
      <c r="V20" s="16">
        <f t="shared" si="2"/>
        <v>2835</v>
      </c>
      <c r="W20" s="7">
        <v>3</v>
      </c>
      <c r="X20" s="216" t="s">
        <v>39</v>
      </c>
      <c r="Y20" s="216" t="s">
        <v>50</v>
      </c>
      <c r="Z20" s="216" t="s">
        <v>90</v>
      </c>
      <c r="AA20" s="216" t="s">
        <v>78</v>
      </c>
      <c r="AB20" s="39" t="s">
        <v>330</v>
      </c>
      <c r="AE20" s="22"/>
      <c r="AP20" s="43" t="s">
        <v>113</v>
      </c>
      <c r="AR20" s="41" t="s">
        <v>105</v>
      </c>
      <c r="AV20" s="27" t="s">
        <v>135</v>
      </c>
    </row>
    <row r="21" spans="1:48" x14ac:dyDescent="0.15">
      <c r="A21" s="15" t="s">
        <v>327</v>
      </c>
      <c r="B21" s="15" t="s">
        <v>328</v>
      </c>
      <c r="C21" s="15">
        <v>2018</v>
      </c>
      <c r="D21" s="37" t="s">
        <v>334</v>
      </c>
      <c r="E21" s="15" t="s">
        <v>143</v>
      </c>
      <c r="F21" s="7" t="s">
        <v>152</v>
      </c>
      <c r="G21" s="7" t="s">
        <v>36</v>
      </c>
      <c r="H21" s="216" t="s">
        <v>155</v>
      </c>
      <c r="I21" s="208" t="s">
        <v>153</v>
      </c>
      <c r="J21" s="216" t="s">
        <v>38</v>
      </c>
      <c r="K21" s="208" t="s">
        <v>154</v>
      </c>
      <c r="L21" s="7">
        <v>2</v>
      </c>
      <c r="N21" s="7">
        <v>1</v>
      </c>
      <c r="O21" s="7">
        <v>0.6</v>
      </c>
      <c r="P21" s="7">
        <v>0.75</v>
      </c>
      <c r="Q21" s="52">
        <f t="shared" si="0"/>
        <v>0.67500000000000004</v>
      </c>
      <c r="R21" s="7">
        <v>16.2</v>
      </c>
      <c r="S21" s="7">
        <v>122</v>
      </c>
      <c r="T21" s="16">
        <f t="shared" si="1"/>
        <v>27</v>
      </c>
      <c r="U21" s="208">
        <v>105</v>
      </c>
      <c r="V21" s="16">
        <f t="shared" si="2"/>
        <v>2835</v>
      </c>
      <c r="W21" s="7">
        <v>3</v>
      </c>
      <c r="X21" s="216" t="s">
        <v>39</v>
      </c>
      <c r="Y21" s="216" t="s">
        <v>50</v>
      </c>
      <c r="Z21" s="216" t="s">
        <v>90</v>
      </c>
      <c r="AA21" s="216" t="s">
        <v>78</v>
      </c>
      <c r="AB21" s="39" t="s">
        <v>330</v>
      </c>
      <c r="AE21" s="22"/>
      <c r="AP21" s="43" t="s">
        <v>114</v>
      </c>
      <c r="AR21" s="41" t="s">
        <v>68</v>
      </c>
      <c r="AV21" s="27" t="s">
        <v>136</v>
      </c>
    </row>
    <row r="22" spans="1:48" x14ac:dyDescent="0.15">
      <c r="A22" s="15" t="s">
        <v>327</v>
      </c>
      <c r="B22" s="15" t="s">
        <v>328</v>
      </c>
      <c r="C22" s="15">
        <v>2018</v>
      </c>
      <c r="D22" s="37" t="s">
        <v>334</v>
      </c>
      <c r="E22" s="15" t="s">
        <v>143</v>
      </c>
      <c r="F22" s="7" t="s">
        <v>152</v>
      </c>
      <c r="G22" s="7" t="s">
        <v>36</v>
      </c>
      <c r="H22" s="216" t="s">
        <v>155</v>
      </c>
      <c r="I22" s="208" t="s">
        <v>153</v>
      </c>
      <c r="J22" s="216" t="s">
        <v>38</v>
      </c>
      <c r="K22" s="208" t="s">
        <v>154</v>
      </c>
      <c r="L22" s="7">
        <v>3</v>
      </c>
      <c r="N22" s="7">
        <v>1</v>
      </c>
      <c r="O22" s="34">
        <v>0.5</v>
      </c>
      <c r="P22" s="7">
        <v>0.5</v>
      </c>
      <c r="Q22" s="52">
        <f t="shared" si="0"/>
        <v>0.5</v>
      </c>
      <c r="R22" s="7">
        <v>15.3</v>
      </c>
      <c r="S22" s="7">
        <v>124</v>
      </c>
      <c r="T22" s="16">
        <f t="shared" si="1"/>
        <v>27</v>
      </c>
      <c r="U22" s="208">
        <v>105</v>
      </c>
      <c r="V22" s="16">
        <f t="shared" si="2"/>
        <v>2835</v>
      </c>
      <c r="W22" s="7">
        <v>3</v>
      </c>
      <c r="X22" s="216" t="s">
        <v>39</v>
      </c>
      <c r="Y22" s="216" t="s">
        <v>50</v>
      </c>
      <c r="Z22" s="216" t="s">
        <v>90</v>
      </c>
      <c r="AA22" s="216" t="s">
        <v>78</v>
      </c>
      <c r="AB22" s="39" t="s">
        <v>330</v>
      </c>
      <c r="AE22" s="35"/>
      <c r="AP22" s="43" t="s">
        <v>115</v>
      </c>
      <c r="AR22" s="41" t="s">
        <v>83</v>
      </c>
      <c r="AV22" s="27"/>
    </row>
    <row r="23" spans="1:48" x14ac:dyDescent="0.15">
      <c r="A23" s="15" t="s">
        <v>327</v>
      </c>
      <c r="B23" s="15" t="s">
        <v>328</v>
      </c>
      <c r="C23" s="15">
        <v>2018</v>
      </c>
      <c r="D23" s="37" t="s">
        <v>334</v>
      </c>
      <c r="E23" s="7" t="s">
        <v>143</v>
      </c>
      <c r="F23" s="7" t="s">
        <v>152</v>
      </c>
      <c r="G23" s="7" t="s">
        <v>36</v>
      </c>
      <c r="H23" s="15" t="s">
        <v>157</v>
      </c>
      <c r="I23" s="208" t="s">
        <v>153</v>
      </c>
      <c r="J23" s="15" t="s">
        <v>38</v>
      </c>
      <c r="K23" s="7" t="s">
        <v>154</v>
      </c>
      <c r="L23" s="7">
        <v>1</v>
      </c>
      <c r="N23" s="7">
        <v>1</v>
      </c>
      <c r="O23" s="34">
        <v>0.6</v>
      </c>
      <c r="P23" s="7">
        <v>0.5</v>
      </c>
      <c r="Q23" s="52">
        <f t="shared" si="0"/>
        <v>0.55000000000000004</v>
      </c>
      <c r="R23" s="7">
        <v>15.4</v>
      </c>
      <c r="S23" s="7">
        <v>136</v>
      </c>
      <c r="T23" s="16">
        <f t="shared" si="1"/>
        <v>25</v>
      </c>
      <c r="U23" s="7">
        <v>149</v>
      </c>
      <c r="V23" s="16">
        <f t="shared" si="2"/>
        <v>3725</v>
      </c>
      <c r="W23" s="7">
        <v>2</v>
      </c>
      <c r="X23" s="216" t="s">
        <v>39</v>
      </c>
      <c r="Y23" s="216" t="s">
        <v>50</v>
      </c>
      <c r="Z23" s="216" t="s">
        <v>90</v>
      </c>
      <c r="AA23" s="216" t="s">
        <v>78</v>
      </c>
      <c r="AB23" s="39" t="s">
        <v>330</v>
      </c>
      <c r="AE23" s="22"/>
      <c r="AP23" s="43" t="s">
        <v>137</v>
      </c>
      <c r="AR23" s="41" t="s">
        <v>61</v>
      </c>
      <c r="AV23" s="27"/>
    </row>
    <row r="24" spans="1:48" x14ac:dyDescent="0.15">
      <c r="A24" s="15" t="s">
        <v>327</v>
      </c>
      <c r="B24" s="15" t="s">
        <v>328</v>
      </c>
      <c r="C24" s="15">
        <v>2018</v>
      </c>
      <c r="D24" s="37" t="s">
        <v>334</v>
      </c>
      <c r="E24" s="7" t="s">
        <v>143</v>
      </c>
      <c r="F24" s="7" t="s">
        <v>152</v>
      </c>
      <c r="G24" s="7" t="s">
        <v>36</v>
      </c>
      <c r="H24" s="216" t="s">
        <v>157</v>
      </c>
      <c r="I24" s="208" t="s">
        <v>153</v>
      </c>
      <c r="J24" s="15" t="s">
        <v>38</v>
      </c>
      <c r="K24" s="7" t="s">
        <v>154</v>
      </c>
      <c r="L24" s="7">
        <v>2</v>
      </c>
      <c r="N24" s="7">
        <v>1</v>
      </c>
      <c r="O24" s="7">
        <v>0.6</v>
      </c>
      <c r="P24" s="7">
        <v>0.55000000000000004</v>
      </c>
      <c r="Q24" s="52">
        <f t="shared" si="0"/>
        <v>0.57499999999999996</v>
      </c>
      <c r="R24" s="7">
        <v>15.5</v>
      </c>
      <c r="S24" s="7">
        <v>133</v>
      </c>
      <c r="T24" s="16">
        <f t="shared" si="1"/>
        <v>25</v>
      </c>
      <c r="U24" s="208">
        <v>149</v>
      </c>
      <c r="V24" s="16">
        <f t="shared" si="2"/>
        <v>3725</v>
      </c>
      <c r="W24" s="7">
        <v>2</v>
      </c>
      <c r="X24" s="216" t="s">
        <v>39</v>
      </c>
      <c r="Y24" s="216" t="s">
        <v>50</v>
      </c>
      <c r="Z24" s="216" t="s">
        <v>90</v>
      </c>
      <c r="AA24" s="216" t="s">
        <v>78</v>
      </c>
      <c r="AB24" s="39" t="s">
        <v>330</v>
      </c>
      <c r="AE24" s="22"/>
      <c r="AP24" s="43" t="s">
        <v>138</v>
      </c>
      <c r="AR24" s="41" t="s">
        <v>91</v>
      </c>
      <c r="AV24" s="27"/>
    </row>
    <row r="25" spans="1:48" x14ac:dyDescent="0.15">
      <c r="A25" s="15" t="s">
        <v>327</v>
      </c>
      <c r="B25" s="15" t="s">
        <v>328</v>
      </c>
      <c r="C25" s="15">
        <v>2018</v>
      </c>
      <c r="D25" s="37" t="s">
        <v>334</v>
      </c>
      <c r="E25" s="7" t="s">
        <v>143</v>
      </c>
      <c r="F25" s="7" t="s">
        <v>152</v>
      </c>
      <c r="G25" s="7" t="s">
        <v>36</v>
      </c>
      <c r="H25" s="216" t="s">
        <v>157</v>
      </c>
      <c r="I25" s="208" t="s">
        <v>153</v>
      </c>
      <c r="J25" s="15" t="s">
        <v>38</v>
      </c>
      <c r="K25" s="7" t="s">
        <v>154</v>
      </c>
      <c r="L25" s="7">
        <v>3</v>
      </c>
      <c r="N25" s="7">
        <v>1</v>
      </c>
      <c r="O25" s="7">
        <v>0.5</v>
      </c>
      <c r="P25" s="7">
        <v>0.55000000000000004</v>
      </c>
      <c r="Q25" s="52">
        <f t="shared" si="0"/>
        <v>0.52500000000000002</v>
      </c>
      <c r="R25" s="7">
        <v>15.4</v>
      </c>
      <c r="S25" s="7">
        <v>128</v>
      </c>
      <c r="T25" s="16">
        <f t="shared" si="1"/>
        <v>27</v>
      </c>
      <c r="U25" s="208">
        <v>149</v>
      </c>
      <c r="V25" s="16">
        <f t="shared" si="2"/>
        <v>4023</v>
      </c>
      <c r="W25" s="7">
        <v>2</v>
      </c>
      <c r="X25" s="216" t="s">
        <v>39</v>
      </c>
      <c r="Y25" s="216" t="s">
        <v>50</v>
      </c>
      <c r="Z25" s="216" t="s">
        <v>90</v>
      </c>
      <c r="AA25" s="216" t="s">
        <v>78</v>
      </c>
      <c r="AB25" s="39" t="s">
        <v>330</v>
      </c>
      <c r="AE25" s="35"/>
      <c r="AP25" s="43" t="s">
        <v>116</v>
      </c>
      <c r="AR25" s="42" t="s">
        <v>92</v>
      </c>
      <c r="AV25" s="27"/>
    </row>
    <row r="26" spans="1:48" x14ac:dyDescent="0.15">
      <c r="A26" s="15" t="s">
        <v>327</v>
      </c>
      <c r="B26" s="15" t="s">
        <v>328</v>
      </c>
      <c r="C26" s="15">
        <v>2018</v>
      </c>
      <c r="D26" s="37" t="s">
        <v>334</v>
      </c>
      <c r="E26" s="7" t="s">
        <v>131</v>
      </c>
      <c r="F26" s="7" t="s">
        <v>144</v>
      </c>
      <c r="G26" s="7" t="s">
        <v>36</v>
      </c>
      <c r="H26" s="15" t="s">
        <v>155</v>
      </c>
      <c r="I26" s="208" t="s">
        <v>153</v>
      </c>
      <c r="J26" s="15" t="s">
        <v>38</v>
      </c>
      <c r="K26" s="7" t="s">
        <v>154</v>
      </c>
      <c r="L26" s="7">
        <v>1</v>
      </c>
      <c r="N26" s="7">
        <v>1</v>
      </c>
      <c r="O26" s="7">
        <v>1.1000000000000001</v>
      </c>
      <c r="P26" s="7">
        <v>1.2</v>
      </c>
      <c r="Q26" s="52">
        <f t="shared" si="0"/>
        <v>1.1499999999999999</v>
      </c>
      <c r="R26" s="7">
        <v>13.5</v>
      </c>
      <c r="S26" s="7">
        <v>138</v>
      </c>
      <c r="T26" s="16">
        <f t="shared" si="1"/>
        <v>22</v>
      </c>
      <c r="U26" s="7">
        <v>138</v>
      </c>
      <c r="V26" s="16">
        <f t="shared" si="2"/>
        <v>3036</v>
      </c>
      <c r="W26" s="7">
        <v>3</v>
      </c>
      <c r="X26" s="15" t="s">
        <v>46</v>
      </c>
      <c r="Y26" s="216" t="s">
        <v>50</v>
      </c>
      <c r="Z26" s="216" t="s">
        <v>84</v>
      </c>
      <c r="AA26" s="216" t="s">
        <v>78</v>
      </c>
      <c r="AB26" s="39" t="s">
        <v>330</v>
      </c>
      <c r="AE26" s="35"/>
      <c r="AP26" s="43" t="s">
        <v>117</v>
      </c>
      <c r="AR26" s="23" t="s">
        <v>280</v>
      </c>
      <c r="AV26" s="28"/>
    </row>
    <row r="27" spans="1:48" x14ac:dyDescent="0.15">
      <c r="A27" s="15" t="s">
        <v>327</v>
      </c>
      <c r="B27" s="15" t="s">
        <v>328</v>
      </c>
      <c r="C27" s="15">
        <v>2018</v>
      </c>
      <c r="D27" s="37" t="s">
        <v>334</v>
      </c>
      <c r="E27" s="7" t="s">
        <v>131</v>
      </c>
      <c r="F27" s="7" t="s">
        <v>144</v>
      </c>
      <c r="G27" s="7" t="s">
        <v>36</v>
      </c>
      <c r="H27" s="216" t="s">
        <v>155</v>
      </c>
      <c r="I27" s="208" t="s">
        <v>153</v>
      </c>
      <c r="J27" s="15" t="s">
        <v>38</v>
      </c>
      <c r="K27" s="7" t="s">
        <v>154</v>
      </c>
      <c r="L27" s="7">
        <v>2</v>
      </c>
      <c r="N27" s="7">
        <v>1</v>
      </c>
      <c r="O27" s="7">
        <v>0.7</v>
      </c>
      <c r="P27" s="7">
        <v>0.8</v>
      </c>
      <c r="Q27" s="52">
        <f t="shared" si="0"/>
        <v>0.75</v>
      </c>
      <c r="R27" s="7">
        <v>13.5</v>
      </c>
      <c r="S27" s="7">
        <v>144</v>
      </c>
      <c r="T27" s="16">
        <f t="shared" si="1"/>
        <v>22</v>
      </c>
      <c r="U27" s="208">
        <v>138</v>
      </c>
      <c r="V27" s="16">
        <f t="shared" si="2"/>
        <v>3036</v>
      </c>
      <c r="W27" s="7">
        <v>3</v>
      </c>
      <c r="X27" s="15" t="s">
        <v>46</v>
      </c>
      <c r="Y27" s="216" t="s">
        <v>50</v>
      </c>
      <c r="Z27" s="216" t="s">
        <v>84</v>
      </c>
      <c r="AA27" s="216" t="s">
        <v>78</v>
      </c>
      <c r="AB27" s="39" t="s">
        <v>330</v>
      </c>
      <c r="AE27" s="28"/>
      <c r="AP27" s="43" t="s">
        <v>118</v>
      </c>
      <c r="AR27" s="23"/>
    </row>
    <row r="28" spans="1:48" x14ac:dyDescent="0.15">
      <c r="A28" s="15" t="s">
        <v>327</v>
      </c>
      <c r="B28" s="15" t="s">
        <v>328</v>
      </c>
      <c r="C28" s="15">
        <v>2018</v>
      </c>
      <c r="D28" s="37" t="s">
        <v>334</v>
      </c>
      <c r="E28" s="7" t="s">
        <v>131</v>
      </c>
      <c r="F28" s="7" t="s">
        <v>144</v>
      </c>
      <c r="G28" s="7" t="s">
        <v>36</v>
      </c>
      <c r="H28" s="216" t="s">
        <v>155</v>
      </c>
      <c r="I28" s="208" t="s">
        <v>153</v>
      </c>
      <c r="J28" s="15" t="s">
        <v>38</v>
      </c>
      <c r="K28" s="7" t="s">
        <v>154</v>
      </c>
      <c r="L28" s="7">
        <v>3</v>
      </c>
      <c r="N28" s="7">
        <v>1</v>
      </c>
      <c r="O28" s="7">
        <v>0.6</v>
      </c>
      <c r="P28" s="7">
        <v>0.7</v>
      </c>
      <c r="Q28" s="52">
        <f t="shared" si="0"/>
        <v>0.64999999999999991</v>
      </c>
      <c r="R28" s="7">
        <v>13.7</v>
      </c>
      <c r="S28" s="7">
        <v>136</v>
      </c>
      <c r="T28" s="16">
        <f t="shared" si="1"/>
        <v>25</v>
      </c>
      <c r="U28" s="208">
        <v>138</v>
      </c>
      <c r="V28" s="16">
        <f t="shared" si="2"/>
        <v>3450</v>
      </c>
      <c r="W28" s="7">
        <v>3</v>
      </c>
      <c r="X28" s="15" t="s">
        <v>46</v>
      </c>
      <c r="Y28" s="216" t="s">
        <v>50</v>
      </c>
      <c r="Z28" s="216" t="s">
        <v>84</v>
      </c>
      <c r="AA28" s="216" t="s">
        <v>78</v>
      </c>
      <c r="AB28" s="39" t="s">
        <v>330</v>
      </c>
      <c r="AP28" s="27"/>
      <c r="AR28" s="23"/>
    </row>
    <row r="29" spans="1:48" x14ac:dyDescent="0.15">
      <c r="A29" s="15" t="s">
        <v>327</v>
      </c>
      <c r="B29" s="15" t="s">
        <v>328</v>
      </c>
      <c r="C29" s="15">
        <v>2018</v>
      </c>
      <c r="D29" s="37" t="s">
        <v>334</v>
      </c>
      <c r="E29" s="7" t="s">
        <v>131</v>
      </c>
      <c r="F29" s="7" t="s">
        <v>144</v>
      </c>
      <c r="G29" s="7" t="s">
        <v>36</v>
      </c>
      <c r="H29" s="15" t="s">
        <v>155</v>
      </c>
      <c r="I29" s="208" t="s">
        <v>156</v>
      </c>
      <c r="J29" s="15" t="s">
        <v>38</v>
      </c>
      <c r="K29" s="7" t="s">
        <v>154</v>
      </c>
      <c r="L29" s="7">
        <v>1</v>
      </c>
      <c r="N29" s="7">
        <v>4</v>
      </c>
      <c r="O29" s="7">
        <v>0.5</v>
      </c>
      <c r="P29" s="7">
        <v>0.5</v>
      </c>
      <c r="Q29" s="52">
        <f t="shared" si="0"/>
        <v>0.5</v>
      </c>
      <c r="R29" s="7">
        <v>14.6</v>
      </c>
      <c r="S29" s="7">
        <v>91</v>
      </c>
      <c r="T29" s="16">
        <f t="shared" si="1"/>
        <v>36</v>
      </c>
      <c r="U29" s="7">
        <v>430</v>
      </c>
      <c r="V29" s="16">
        <f t="shared" si="2"/>
        <v>3870</v>
      </c>
      <c r="W29" s="7">
        <v>1</v>
      </c>
      <c r="X29" s="15" t="s">
        <v>46</v>
      </c>
      <c r="Y29" s="216" t="s">
        <v>50</v>
      </c>
      <c r="Z29" s="216" t="s">
        <v>84</v>
      </c>
      <c r="AA29" s="216" t="s">
        <v>78</v>
      </c>
      <c r="AB29" s="39" t="s">
        <v>330</v>
      </c>
      <c r="AP29" s="27"/>
      <c r="AR29" s="27"/>
      <c r="AV29" s="28"/>
    </row>
    <row r="30" spans="1:48" x14ac:dyDescent="0.15">
      <c r="A30" s="15" t="s">
        <v>327</v>
      </c>
      <c r="B30" s="15" t="s">
        <v>328</v>
      </c>
      <c r="C30" s="15">
        <v>2018</v>
      </c>
      <c r="D30" s="37" t="s">
        <v>334</v>
      </c>
      <c r="E30" s="7" t="s">
        <v>131</v>
      </c>
      <c r="F30" s="7" t="s">
        <v>144</v>
      </c>
      <c r="G30" s="7" t="s">
        <v>36</v>
      </c>
      <c r="H30" s="216" t="s">
        <v>155</v>
      </c>
      <c r="I30" s="208" t="s">
        <v>156</v>
      </c>
      <c r="J30" s="15" t="s">
        <v>38</v>
      </c>
      <c r="K30" s="7" t="s">
        <v>154</v>
      </c>
      <c r="L30" s="7">
        <v>2</v>
      </c>
      <c r="N30" s="7">
        <v>4</v>
      </c>
      <c r="O30" s="7">
        <v>0.5</v>
      </c>
      <c r="P30" s="7">
        <v>0.5</v>
      </c>
      <c r="Q30" s="52">
        <f t="shared" si="0"/>
        <v>0.5</v>
      </c>
      <c r="R30" s="7">
        <v>14.3</v>
      </c>
      <c r="S30" s="7">
        <v>86</v>
      </c>
      <c r="T30" s="16">
        <f t="shared" si="1"/>
        <v>36</v>
      </c>
      <c r="U30" s="208">
        <v>430</v>
      </c>
      <c r="V30" s="16">
        <f t="shared" si="2"/>
        <v>3870</v>
      </c>
      <c r="W30" s="7">
        <v>1</v>
      </c>
      <c r="X30" s="15" t="s">
        <v>46</v>
      </c>
      <c r="Y30" s="216" t="s">
        <v>50</v>
      </c>
      <c r="Z30" s="216" t="s">
        <v>84</v>
      </c>
      <c r="AA30" s="216" t="s">
        <v>78</v>
      </c>
      <c r="AB30" s="39" t="s">
        <v>330</v>
      </c>
      <c r="AP30" s="27"/>
      <c r="AR30" s="27"/>
    </row>
    <row r="31" spans="1:48" x14ac:dyDescent="0.15">
      <c r="A31" s="15" t="s">
        <v>327</v>
      </c>
      <c r="B31" s="15" t="s">
        <v>328</v>
      </c>
      <c r="C31" s="15">
        <v>2018</v>
      </c>
      <c r="D31" s="37" t="s">
        <v>334</v>
      </c>
      <c r="E31" s="7" t="s">
        <v>131</v>
      </c>
      <c r="F31" s="7" t="s">
        <v>144</v>
      </c>
      <c r="G31" s="7" t="s">
        <v>36</v>
      </c>
      <c r="H31" s="216" t="s">
        <v>155</v>
      </c>
      <c r="I31" s="208" t="s">
        <v>156</v>
      </c>
      <c r="J31" s="15" t="s">
        <v>38</v>
      </c>
      <c r="K31" s="7" t="s">
        <v>154</v>
      </c>
      <c r="L31" s="7">
        <v>3</v>
      </c>
      <c r="N31" s="7">
        <v>4</v>
      </c>
      <c r="O31" s="7">
        <v>0.5</v>
      </c>
      <c r="P31" s="7">
        <v>0.5</v>
      </c>
      <c r="Q31" s="52">
        <f t="shared" si="0"/>
        <v>0.5</v>
      </c>
      <c r="R31" s="7">
        <v>14.3</v>
      </c>
      <c r="S31" s="7">
        <v>87</v>
      </c>
      <c r="T31" s="16">
        <f t="shared" si="1"/>
        <v>36</v>
      </c>
      <c r="U31" s="208">
        <v>430</v>
      </c>
      <c r="V31" s="16">
        <f t="shared" si="2"/>
        <v>3870</v>
      </c>
      <c r="W31" s="7">
        <v>1</v>
      </c>
      <c r="X31" s="15" t="s">
        <v>46</v>
      </c>
      <c r="Y31" s="216" t="s">
        <v>50</v>
      </c>
      <c r="Z31" s="216" t="s">
        <v>84</v>
      </c>
      <c r="AA31" s="216" t="s">
        <v>78</v>
      </c>
      <c r="AB31" s="39" t="s">
        <v>330</v>
      </c>
      <c r="AP31" s="27"/>
      <c r="AR31" s="27"/>
    </row>
    <row r="32" spans="1:48" x14ac:dyDescent="0.15">
      <c r="A32" s="15" t="s">
        <v>327</v>
      </c>
      <c r="B32" s="15" t="s">
        <v>328</v>
      </c>
      <c r="C32" s="15">
        <v>2018</v>
      </c>
      <c r="D32" s="37" t="s">
        <v>334</v>
      </c>
      <c r="E32" s="7" t="s">
        <v>131</v>
      </c>
      <c r="F32" s="7" t="s">
        <v>144</v>
      </c>
      <c r="G32" s="7" t="s">
        <v>36</v>
      </c>
      <c r="H32" s="15" t="s">
        <v>157</v>
      </c>
      <c r="I32" s="208" t="s">
        <v>153</v>
      </c>
      <c r="J32" s="15" t="s">
        <v>38</v>
      </c>
      <c r="K32" s="7" t="s">
        <v>154</v>
      </c>
      <c r="L32" s="7">
        <v>1</v>
      </c>
      <c r="N32" s="7">
        <v>1</v>
      </c>
      <c r="O32" s="7">
        <v>0.55000000000000004</v>
      </c>
      <c r="P32" s="7">
        <v>0.5</v>
      </c>
      <c r="Q32" s="52">
        <f t="shared" si="0"/>
        <v>0.52500000000000002</v>
      </c>
      <c r="R32" s="7">
        <v>16.899999999999999</v>
      </c>
      <c r="S32" s="7">
        <v>148</v>
      </c>
      <c r="T32" s="16">
        <f t="shared" si="1"/>
        <v>22</v>
      </c>
      <c r="U32" s="7">
        <v>138</v>
      </c>
      <c r="V32" s="16">
        <f t="shared" si="2"/>
        <v>3036</v>
      </c>
      <c r="W32" s="7">
        <v>4</v>
      </c>
      <c r="X32" s="15" t="s">
        <v>46</v>
      </c>
      <c r="Y32" s="216" t="s">
        <v>50</v>
      </c>
      <c r="Z32" s="216" t="s">
        <v>84</v>
      </c>
      <c r="AA32" s="216" t="s">
        <v>78</v>
      </c>
      <c r="AB32" s="39" t="s">
        <v>330</v>
      </c>
      <c r="AP32" s="28"/>
      <c r="AR32" s="28"/>
    </row>
    <row r="33" spans="1:44" x14ac:dyDescent="0.15">
      <c r="A33" s="15" t="s">
        <v>327</v>
      </c>
      <c r="B33" s="15" t="s">
        <v>328</v>
      </c>
      <c r="C33" s="15">
        <v>2018</v>
      </c>
      <c r="D33" s="37" t="s">
        <v>334</v>
      </c>
      <c r="E33" s="7" t="s">
        <v>131</v>
      </c>
      <c r="F33" s="7" t="s">
        <v>144</v>
      </c>
      <c r="G33" s="7" t="s">
        <v>36</v>
      </c>
      <c r="H33" s="216" t="s">
        <v>157</v>
      </c>
      <c r="I33" s="208" t="s">
        <v>153</v>
      </c>
      <c r="J33" s="15" t="s">
        <v>38</v>
      </c>
      <c r="K33" s="7" t="s">
        <v>154</v>
      </c>
      <c r="L33" s="7">
        <v>2</v>
      </c>
      <c r="N33" s="7">
        <v>1</v>
      </c>
      <c r="O33" s="7">
        <v>0.55000000000000004</v>
      </c>
      <c r="P33" s="7">
        <v>0.6</v>
      </c>
      <c r="Q33" s="52">
        <f t="shared" si="0"/>
        <v>0.57499999999999996</v>
      </c>
      <c r="R33" s="7">
        <v>16.100000000000001</v>
      </c>
      <c r="S33" s="7">
        <v>148</v>
      </c>
      <c r="T33" s="16">
        <f t="shared" si="1"/>
        <v>22</v>
      </c>
      <c r="U33" s="208">
        <v>138</v>
      </c>
      <c r="V33" s="16">
        <f t="shared" si="2"/>
        <v>3036</v>
      </c>
      <c r="W33" s="7">
        <v>4</v>
      </c>
      <c r="X33" s="15" t="s">
        <v>46</v>
      </c>
      <c r="Y33" s="216" t="s">
        <v>50</v>
      </c>
      <c r="Z33" s="216" t="s">
        <v>84</v>
      </c>
      <c r="AA33" s="216" t="s">
        <v>78</v>
      </c>
      <c r="AB33" s="39" t="s">
        <v>330</v>
      </c>
    </row>
    <row r="34" spans="1:44" x14ac:dyDescent="0.15">
      <c r="A34" s="15" t="s">
        <v>327</v>
      </c>
      <c r="B34" s="15" t="s">
        <v>328</v>
      </c>
      <c r="C34" s="15">
        <v>2018</v>
      </c>
      <c r="D34" s="37" t="s">
        <v>334</v>
      </c>
      <c r="E34" s="7" t="s">
        <v>131</v>
      </c>
      <c r="F34" s="7" t="s">
        <v>144</v>
      </c>
      <c r="G34" s="7" t="s">
        <v>36</v>
      </c>
      <c r="H34" s="216" t="s">
        <v>157</v>
      </c>
      <c r="I34" s="208" t="s">
        <v>153</v>
      </c>
      <c r="J34" s="15" t="s">
        <v>38</v>
      </c>
      <c r="K34" s="7" t="s">
        <v>154</v>
      </c>
      <c r="L34" s="7">
        <v>3</v>
      </c>
      <c r="N34" s="7">
        <v>1</v>
      </c>
      <c r="O34" s="7">
        <v>0.5</v>
      </c>
      <c r="P34" s="7">
        <v>0.65</v>
      </c>
      <c r="Q34" s="52">
        <f t="shared" si="0"/>
        <v>0.57499999999999996</v>
      </c>
      <c r="R34" s="7">
        <v>18.600000000000001</v>
      </c>
      <c r="S34" s="7">
        <v>144</v>
      </c>
      <c r="T34" s="16">
        <f t="shared" si="1"/>
        <v>22</v>
      </c>
      <c r="U34" s="208">
        <v>138</v>
      </c>
      <c r="V34" s="16">
        <f t="shared" si="2"/>
        <v>3036</v>
      </c>
      <c r="W34" s="7">
        <v>4</v>
      </c>
      <c r="X34" s="15" t="s">
        <v>46</v>
      </c>
      <c r="Y34" s="216" t="s">
        <v>50</v>
      </c>
      <c r="Z34" s="216" t="s">
        <v>84</v>
      </c>
      <c r="AA34" s="216" t="s">
        <v>78</v>
      </c>
      <c r="AB34" s="39" t="s">
        <v>330</v>
      </c>
    </row>
    <row r="35" spans="1:44" x14ac:dyDescent="0.15">
      <c r="A35" s="15" t="s">
        <v>327</v>
      </c>
      <c r="B35" s="15" t="s">
        <v>328</v>
      </c>
      <c r="C35" s="15">
        <v>2018</v>
      </c>
      <c r="D35" s="37" t="s">
        <v>334</v>
      </c>
      <c r="E35" s="7" t="s">
        <v>139</v>
      </c>
      <c r="F35" s="7" t="s">
        <v>145</v>
      </c>
      <c r="G35" s="7" t="s">
        <v>36</v>
      </c>
      <c r="H35" s="216" t="s">
        <v>155</v>
      </c>
      <c r="I35" s="208" t="s">
        <v>153</v>
      </c>
      <c r="J35" s="15" t="s">
        <v>38</v>
      </c>
      <c r="K35" s="7" t="s">
        <v>154</v>
      </c>
      <c r="L35" s="7">
        <v>1</v>
      </c>
      <c r="N35" s="7">
        <v>1</v>
      </c>
      <c r="O35" s="7">
        <v>0.5</v>
      </c>
      <c r="P35" s="7">
        <v>0.5</v>
      </c>
      <c r="Q35" s="52">
        <f t="shared" si="0"/>
        <v>0.5</v>
      </c>
      <c r="R35" s="7">
        <v>13.9</v>
      </c>
      <c r="S35" s="7">
        <v>151</v>
      </c>
      <c r="T35" s="16">
        <f t="shared" si="1"/>
        <v>22</v>
      </c>
      <c r="U35" s="7">
        <v>100</v>
      </c>
      <c r="V35" s="16">
        <f t="shared" si="2"/>
        <v>2200</v>
      </c>
      <c r="W35" s="7">
        <v>4</v>
      </c>
      <c r="X35" s="15" t="s">
        <v>46</v>
      </c>
      <c r="Y35" s="216" t="s">
        <v>50</v>
      </c>
      <c r="Z35" s="216" t="s">
        <v>102</v>
      </c>
      <c r="AA35" s="216" t="s">
        <v>90</v>
      </c>
      <c r="AB35" s="39" t="s">
        <v>330</v>
      </c>
      <c r="AP35" s="28"/>
      <c r="AR35" s="28"/>
    </row>
    <row r="36" spans="1:44" x14ac:dyDescent="0.15">
      <c r="A36" s="15" t="s">
        <v>327</v>
      </c>
      <c r="B36" s="15" t="s">
        <v>328</v>
      </c>
      <c r="C36" s="15">
        <v>2018</v>
      </c>
      <c r="D36" s="37" t="s">
        <v>334</v>
      </c>
      <c r="E36" s="7" t="s">
        <v>139</v>
      </c>
      <c r="F36" s="7" t="s">
        <v>145</v>
      </c>
      <c r="G36" s="7" t="s">
        <v>36</v>
      </c>
      <c r="H36" s="216" t="s">
        <v>155</v>
      </c>
      <c r="I36" s="208" t="s">
        <v>153</v>
      </c>
      <c r="J36" s="15" t="s">
        <v>38</v>
      </c>
      <c r="K36" s="7" t="s">
        <v>154</v>
      </c>
      <c r="L36" s="7">
        <v>2</v>
      </c>
      <c r="N36" s="208">
        <v>1</v>
      </c>
      <c r="O36" s="7">
        <v>0.5</v>
      </c>
      <c r="P36" s="7">
        <v>0.55000000000000004</v>
      </c>
      <c r="Q36" s="52">
        <f t="shared" si="0"/>
        <v>0.52500000000000002</v>
      </c>
      <c r="R36" s="7">
        <v>16.100000000000001</v>
      </c>
      <c r="S36" s="7">
        <v>147</v>
      </c>
      <c r="T36" s="16">
        <f t="shared" si="1"/>
        <v>22</v>
      </c>
      <c r="U36" s="208">
        <v>100</v>
      </c>
      <c r="V36" s="16">
        <f t="shared" si="2"/>
        <v>2200</v>
      </c>
      <c r="W36" s="7">
        <v>4</v>
      </c>
      <c r="X36" s="15" t="s">
        <v>46</v>
      </c>
      <c r="Y36" s="216" t="s">
        <v>50</v>
      </c>
      <c r="Z36" s="216" t="s">
        <v>102</v>
      </c>
      <c r="AA36" s="216" t="s">
        <v>90</v>
      </c>
      <c r="AB36" s="39" t="s">
        <v>330</v>
      </c>
    </row>
    <row r="37" spans="1:44" x14ac:dyDescent="0.15">
      <c r="A37" s="15" t="s">
        <v>327</v>
      </c>
      <c r="B37" s="15" t="s">
        <v>328</v>
      </c>
      <c r="C37" s="15">
        <v>2018</v>
      </c>
      <c r="D37" s="37" t="s">
        <v>334</v>
      </c>
      <c r="E37" s="7" t="s">
        <v>139</v>
      </c>
      <c r="F37" s="7" t="s">
        <v>145</v>
      </c>
      <c r="G37" s="7" t="s">
        <v>36</v>
      </c>
      <c r="H37" s="216" t="s">
        <v>155</v>
      </c>
      <c r="I37" s="208" t="s">
        <v>153</v>
      </c>
      <c r="J37" s="15" t="s">
        <v>38</v>
      </c>
      <c r="K37" s="7" t="s">
        <v>154</v>
      </c>
      <c r="L37" s="7">
        <v>3</v>
      </c>
      <c r="N37" s="208">
        <v>1</v>
      </c>
      <c r="O37" s="34">
        <v>0.5</v>
      </c>
      <c r="P37" s="34">
        <v>0.5</v>
      </c>
      <c r="Q37" s="52">
        <f t="shared" si="0"/>
        <v>0.5</v>
      </c>
      <c r="R37" s="7">
        <v>16.399999999999999</v>
      </c>
      <c r="S37" s="7">
        <v>145</v>
      </c>
      <c r="T37" s="16">
        <f t="shared" si="1"/>
        <v>22</v>
      </c>
      <c r="U37" s="208">
        <v>100</v>
      </c>
      <c r="V37" s="16">
        <f t="shared" si="2"/>
        <v>2200</v>
      </c>
      <c r="W37" s="7">
        <v>4</v>
      </c>
      <c r="X37" s="15" t="s">
        <v>46</v>
      </c>
      <c r="Y37" s="216" t="s">
        <v>50</v>
      </c>
      <c r="Z37" s="216" t="s">
        <v>102</v>
      </c>
      <c r="AA37" s="216" t="s">
        <v>90</v>
      </c>
      <c r="AB37" s="39" t="s">
        <v>330</v>
      </c>
    </row>
    <row r="38" spans="1:44" x14ac:dyDescent="0.15">
      <c r="A38" s="15" t="s">
        <v>327</v>
      </c>
      <c r="B38" s="15" t="s">
        <v>328</v>
      </c>
      <c r="C38" s="15">
        <v>2018</v>
      </c>
      <c r="D38" s="37" t="s">
        <v>334</v>
      </c>
      <c r="E38" s="7" t="s">
        <v>139</v>
      </c>
      <c r="F38" s="7" t="s">
        <v>145</v>
      </c>
      <c r="G38" s="7" t="s">
        <v>36</v>
      </c>
      <c r="H38" s="216" t="s">
        <v>157</v>
      </c>
      <c r="I38" s="7" t="s">
        <v>153</v>
      </c>
      <c r="J38" s="216" t="s">
        <v>38</v>
      </c>
      <c r="K38" s="208" t="s">
        <v>154</v>
      </c>
      <c r="L38" s="7">
        <v>1</v>
      </c>
      <c r="N38" s="208">
        <v>1</v>
      </c>
      <c r="O38" s="34">
        <v>0.55000000000000004</v>
      </c>
      <c r="P38" s="34">
        <v>0.55000000000000004</v>
      </c>
      <c r="Q38" s="52">
        <f t="shared" si="0"/>
        <v>0.55000000000000004</v>
      </c>
      <c r="R38" s="7">
        <v>16.5</v>
      </c>
      <c r="S38" s="7">
        <v>145</v>
      </c>
      <c r="T38" s="16">
        <f t="shared" si="1"/>
        <v>22</v>
      </c>
      <c r="U38" s="7">
        <v>100</v>
      </c>
      <c r="V38" s="16">
        <f t="shared" si="2"/>
        <v>2200</v>
      </c>
      <c r="W38" s="7">
        <v>6</v>
      </c>
      <c r="X38" s="15" t="s">
        <v>46</v>
      </c>
      <c r="Y38" s="216" t="s">
        <v>50</v>
      </c>
      <c r="Z38" s="216" t="s">
        <v>102</v>
      </c>
      <c r="AA38" s="216" t="s">
        <v>90</v>
      </c>
      <c r="AB38" s="39" t="s">
        <v>330</v>
      </c>
    </row>
    <row r="39" spans="1:44" x14ac:dyDescent="0.15">
      <c r="A39" s="15" t="s">
        <v>327</v>
      </c>
      <c r="B39" s="15" t="s">
        <v>328</v>
      </c>
      <c r="C39" s="15">
        <v>2018</v>
      </c>
      <c r="D39" s="37" t="s">
        <v>334</v>
      </c>
      <c r="E39" s="7" t="s">
        <v>139</v>
      </c>
      <c r="F39" s="7" t="s">
        <v>145</v>
      </c>
      <c r="G39" s="7" t="s">
        <v>36</v>
      </c>
      <c r="H39" s="216" t="s">
        <v>157</v>
      </c>
      <c r="I39" s="208" t="s">
        <v>153</v>
      </c>
      <c r="J39" s="216" t="s">
        <v>38</v>
      </c>
      <c r="K39" s="208" t="s">
        <v>154</v>
      </c>
      <c r="L39" s="7">
        <v>2</v>
      </c>
      <c r="N39" s="208">
        <v>1</v>
      </c>
      <c r="O39" s="7">
        <v>0.5</v>
      </c>
      <c r="P39" s="7">
        <v>0.55000000000000004</v>
      </c>
      <c r="Q39" s="52">
        <f t="shared" si="0"/>
        <v>0.52500000000000002</v>
      </c>
      <c r="R39" s="34">
        <v>16.600000000000001</v>
      </c>
      <c r="S39" s="7">
        <v>146</v>
      </c>
      <c r="T39" s="16">
        <f t="shared" si="1"/>
        <v>22</v>
      </c>
      <c r="U39" s="208">
        <v>100</v>
      </c>
      <c r="V39" s="16">
        <f t="shared" si="2"/>
        <v>2200</v>
      </c>
      <c r="W39" s="7">
        <v>6</v>
      </c>
      <c r="X39" s="15" t="s">
        <v>46</v>
      </c>
      <c r="Y39" s="216" t="s">
        <v>50</v>
      </c>
      <c r="Z39" s="216" t="s">
        <v>102</v>
      </c>
      <c r="AA39" s="216" t="s">
        <v>90</v>
      </c>
      <c r="AB39" s="39" t="s">
        <v>330</v>
      </c>
    </row>
    <row r="40" spans="1:44" x14ac:dyDescent="0.15">
      <c r="A40" s="15" t="s">
        <v>327</v>
      </c>
      <c r="B40" s="15" t="s">
        <v>328</v>
      </c>
      <c r="C40" s="15">
        <v>2018</v>
      </c>
      <c r="D40" s="37" t="s">
        <v>334</v>
      </c>
      <c r="E40" s="7" t="s">
        <v>139</v>
      </c>
      <c r="F40" s="7" t="s">
        <v>145</v>
      </c>
      <c r="G40" s="7" t="s">
        <v>36</v>
      </c>
      <c r="H40" s="216" t="s">
        <v>157</v>
      </c>
      <c r="I40" s="208" t="s">
        <v>153</v>
      </c>
      <c r="J40" s="216" t="s">
        <v>38</v>
      </c>
      <c r="K40" s="208" t="s">
        <v>154</v>
      </c>
      <c r="L40" s="7">
        <v>3</v>
      </c>
      <c r="N40" s="208">
        <v>1</v>
      </c>
      <c r="O40" s="7">
        <v>0.5</v>
      </c>
      <c r="P40" s="7">
        <v>0.5</v>
      </c>
      <c r="Q40" s="52">
        <f t="shared" si="0"/>
        <v>0.5</v>
      </c>
      <c r="R40" s="7">
        <v>15.5</v>
      </c>
      <c r="S40" s="7">
        <v>138</v>
      </c>
      <c r="T40" s="16">
        <f t="shared" si="1"/>
        <v>22</v>
      </c>
      <c r="U40" s="208">
        <v>100</v>
      </c>
      <c r="V40" s="16">
        <f t="shared" si="2"/>
        <v>2200</v>
      </c>
      <c r="W40" s="7">
        <v>6</v>
      </c>
      <c r="X40" s="15" t="s">
        <v>46</v>
      </c>
      <c r="Y40" s="216" t="s">
        <v>50</v>
      </c>
      <c r="Z40" s="216" t="s">
        <v>102</v>
      </c>
      <c r="AA40" s="216" t="s">
        <v>90</v>
      </c>
      <c r="AB40" s="39" t="s">
        <v>330</v>
      </c>
    </row>
    <row r="41" spans="1:44" ht="12.75" customHeight="1" x14ac:dyDescent="0.15">
      <c r="A41" s="15" t="s">
        <v>327</v>
      </c>
      <c r="B41" s="15" t="s">
        <v>328</v>
      </c>
      <c r="C41" s="15">
        <v>2018</v>
      </c>
      <c r="D41" s="37" t="s">
        <v>334</v>
      </c>
      <c r="E41" s="7" t="s">
        <v>306</v>
      </c>
      <c r="F41" s="7" t="s">
        <v>333</v>
      </c>
      <c r="G41" s="7" t="s">
        <v>36</v>
      </c>
      <c r="H41" s="15" t="s">
        <v>155</v>
      </c>
      <c r="I41" s="7" t="s">
        <v>153</v>
      </c>
      <c r="J41" s="15" t="s">
        <v>38</v>
      </c>
      <c r="K41" s="7" t="s">
        <v>154</v>
      </c>
      <c r="L41" s="7">
        <v>1</v>
      </c>
      <c r="N41" s="208">
        <v>1</v>
      </c>
      <c r="O41" s="7">
        <v>0.7</v>
      </c>
      <c r="P41" s="7">
        <v>0.7</v>
      </c>
      <c r="Q41" s="52">
        <f t="shared" si="0"/>
        <v>0.7</v>
      </c>
      <c r="R41" s="7">
        <v>14.4</v>
      </c>
      <c r="S41" s="7">
        <v>119</v>
      </c>
      <c r="T41" s="16">
        <f t="shared" si="1"/>
        <v>30</v>
      </c>
      <c r="U41" s="7">
        <v>102</v>
      </c>
      <c r="V41" s="16">
        <f t="shared" si="2"/>
        <v>3060</v>
      </c>
      <c r="W41" s="7">
        <v>4</v>
      </c>
      <c r="X41" s="15" t="s">
        <v>46</v>
      </c>
      <c r="Y41" s="216" t="s">
        <v>50</v>
      </c>
      <c r="Z41" s="216" t="s">
        <v>84</v>
      </c>
      <c r="AA41" s="216" t="s">
        <v>90</v>
      </c>
      <c r="AB41" s="39" t="s">
        <v>330</v>
      </c>
    </row>
    <row r="42" spans="1:44" x14ac:dyDescent="0.15">
      <c r="A42" s="15" t="s">
        <v>327</v>
      </c>
      <c r="B42" s="15" t="s">
        <v>328</v>
      </c>
      <c r="C42" s="15">
        <v>2018</v>
      </c>
      <c r="D42" s="37" t="s">
        <v>334</v>
      </c>
      <c r="E42" s="7" t="s">
        <v>306</v>
      </c>
      <c r="F42" s="7" t="s">
        <v>333</v>
      </c>
      <c r="G42" s="7" t="s">
        <v>36</v>
      </c>
      <c r="H42" s="216" t="s">
        <v>155</v>
      </c>
      <c r="I42" s="208" t="s">
        <v>153</v>
      </c>
      <c r="J42" s="15" t="s">
        <v>38</v>
      </c>
      <c r="K42" s="7" t="s">
        <v>154</v>
      </c>
      <c r="L42" s="7">
        <v>2</v>
      </c>
      <c r="N42" s="208">
        <v>1</v>
      </c>
      <c r="O42" s="7">
        <v>0.65</v>
      </c>
      <c r="P42" s="7">
        <v>0.8</v>
      </c>
      <c r="Q42" s="52">
        <f t="shared" si="0"/>
        <v>0.72500000000000009</v>
      </c>
      <c r="R42" s="7">
        <v>13.6</v>
      </c>
      <c r="S42" s="7">
        <v>113</v>
      </c>
      <c r="T42" s="16">
        <f t="shared" si="1"/>
        <v>30</v>
      </c>
      <c r="U42" s="208">
        <v>102</v>
      </c>
      <c r="V42" s="16">
        <f t="shared" si="2"/>
        <v>3060</v>
      </c>
      <c r="W42" s="7">
        <v>4</v>
      </c>
      <c r="X42" s="15" t="s">
        <v>46</v>
      </c>
      <c r="Y42" s="216" t="s">
        <v>50</v>
      </c>
      <c r="Z42" s="216" t="s">
        <v>84</v>
      </c>
      <c r="AA42" s="216" t="s">
        <v>90</v>
      </c>
      <c r="AB42" s="39" t="s">
        <v>330</v>
      </c>
    </row>
    <row r="43" spans="1:44" x14ac:dyDescent="0.15">
      <c r="A43" s="15" t="s">
        <v>327</v>
      </c>
      <c r="B43" s="15" t="s">
        <v>328</v>
      </c>
      <c r="C43" s="15">
        <v>2018</v>
      </c>
      <c r="D43" s="37" t="s">
        <v>334</v>
      </c>
      <c r="E43" s="7" t="s">
        <v>306</v>
      </c>
      <c r="F43" s="7" t="s">
        <v>333</v>
      </c>
      <c r="G43" s="7" t="s">
        <v>36</v>
      </c>
      <c r="H43" s="216" t="s">
        <v>155</v>
      </c>
      <c r="I43" s="208" t="s">
        <v>153</v>
      </c>
      <c r="J43" s="15" t="s">
        <v>38</v>
      </c>
      <c r="K43" s="7" t="s">
        <v>154</v>
      </c>
      <c r="L43" s="7">
        <v>3</v>
      </c>
      <c r="N43" s="208">
        <v>1</v>
      </c>
      <c r="O43" s="7">
        <v>0.6</v>
      </c>
      <c r="P43" s="7">
        <v>0.6</v>
      </c>
      <c r="Q43" s="52">
        <f t="shared" si="0"/>
        <v>0.6</v>
      </c>
      <c r="R43" s="7">
        <v>13</v>
      </c>
      <c r="S43" s="7">
        <v>117</v>
      </c>
      <c r="T43" s="16">
        <f t="shared" si="1"/>
        <v>30</v>
      </c>
      <c r="U43" s="208">
        <v>102</v>
      </c>
      <c r="V43" s="16">
        <f t="shared" si="2"/>
        <v>3060</v>
      </c>
      <c r="W43" s="7">
        <v>4</v>
      </c>
      <c r="X43" s="15" t="s">
        <v>46</v>
      </c>
      <c r="Y43" s="216" t="s">
        <v>50</v>
      </c>
      <c r="Z43" s="216" t="s">
        <v>84</v>
      </c>
      <c r="AA43" s="216" t="s">
        <v>90</v>
      </c>
      <c r="AB43" s="39" t="s">
        <v>330</v>
      </c>
    </row>
    <row r="44" spans="1:44" x14ac:dyDescent="0.15">
      <c r="A44" s="15" t="s">
        <v>327</v>
      </c>
      <c r="B44" s="15" t="s">
        <v>328</v>
      </c>
      <c r="C44" s="15">
        <v>2018</v>
      </c>
      <c r="D44" s="37" t="s">
        <v>334</v>
      </c>
      <c r="E44" s="7" t="s">
        <v>306</v>
      </c>
      <c r="F44" s="7" t="s">
        <v>333</v>
      </c>
      <c r="G44" s="7" t="s">
        <v>36</v>
      </c>
      <c r="H44" s="15" t="s">
        <v>157</v>
      </c>
      <c r="I44" s="208" t="s">
        <v>153</v>
      </c>
      <c r="J44" s="15" t="s">
        <v>38</v>
      </c>
      <c r="K44" s="7" t="s">
        <v>154</v>
      </c>
      <c r="L44" s="7">
        <v>1</v>
      </c>
      <c r="N44" s="208">
        <v>1</v>
      </c>
      <c r="O44" s="7">
        <v>0.55000000000000004</v>
      </c>
      <c r="P44" s="7">
        <v>0.5</v>
      </c>
      <c r="Q44" s="52">
        <f t="shared" si="0"/>
        <v>0.52500000000000002</v>
      </c>
      <c r="R44" s="7">
        <v>16.2</v>
      </c>
      <c r="S44" s="7">
        <v>118</v>
      </c>
      <c r="T44" s="16">
        <f t="shared" si="1"/>
        <v>30</v>
      </c>
      <c r="U44" s="7">
        <v>102</v>
      </c>
      <c r="V44" s="16">
        <f t="shared" si="2"/>
        <v>3060</v>
      </c>
      <c r="W44" s="7">
        <v>5</v>
      </c>
      <c r="X44" s="15" t="s">
        <v>46</v>
      </c>
      <c r="Y44" s="216" t="s">
        <v>50</v>
      </c>
      <c r="Z44" s="216" t="s">
        <v>84</v>
      </c>
      <c r="AA44" s="216" t="s">
        <v>90</v>
      </c>
      <c r="AB44" s="39" t="s">
        <v>330</v>
      </c>
    </row>
    <row r="45" spans="1:44" x14ac:dyDescent="0.15">
      <c r="A45" s="15" t="s">
        <v>327</v>
      </c>
      <c r="B45" s="15" t="s">
        <v>328</v>
      </c>
      <c r="C45" s="15">
        <v>2018</v>
      </c>
      <c r="D45" s="37" t="s">
        <v>334</v>
      </c>
      <c r="E45" s="7" t="s">
        <v>306</v>
      </c>
      <c r="F45" s="7" t="s">
        <v>333</v>
      </c>
      <c r="G45" s="7" t="s">
        <v>36</v>
      </c>
      <c r="H45" s="216" t="s">
        <v>157</v>
      </c>
      <c r="I45" s="208" t="s">
        <v>153</v>
      </c>
      <c r="J45" s="15" t="s">
        <v>38</v>
      </c>
      <c r="K45" s="7" t="s">
        <v>154</v>
      </c>
      <c r="L45" s="7">
        <v>2</v>
      </c>
      <c r="N45" s="208">
        <v>1</v>
      </c>
      <c r="O45" s="7">
        <v>0.5</v>
      </c>
      <c r="P45" s="7">
        <v>0.5</v>
      </c>
      <c r="Q45" s="52">
        <f t="shared" si="0"/>
        <v>0.5</v>
      </c>
      <c r="R45" s="7">
        <v>15.1</v>
      </c>
      <c r="S45" s="7">
        <v>124</v>
      </c>
      <c r="T45" s="16">
        <f t="shared" si="1"/>
        <v>27</v>
      </c>
      <c r="U45" s="208">
        <v>102</v>
      </c>
      <c r="V45" s="16">
        <f t="shared" si="2"/>
        <v>2754</v>
      </c>
      <c r="W45" s="7">
        <v>5</v>
      </c>
      <c r="X45" s="15" t="s">
        <v>46</v>
      </c>
      <c r="Y45" s="216" t="s">
        <v>50</v>
      </c>
      <c r="Z45" s="216" t="s">
        <v>84</v>
      </c>
      <c r="AA45" s="216" t="s">
        <v>90</v>
      </c>
      <c r="AB45" s="39" t="s">
        <v>330</v>
      </c>
    </row>
    <row r="46" spans="1:44" x14ac:dyDescent="0.15">
      <c r="A46" s="15" t="s">
        <v>327</v>
      </c>
      <c r="B46" s="15" t="s">
        <v>328</v>
      </c>
      <c r="C46" s="15">
        <v>2018</v>
      </c>
      <c r="D46" s="37" t="s">
        <v>334</v>
      </c>
      <c r="E46" s="7" t="s">
        <v>306</v>
      </c>
      <c r="F46" s="7" t="s">
        <v>333</v>
      </c>
      <c r="G46" s="7" t="s">
        <v>36</v>
      </c>
      <c r="H46" s="216" t="s">
        <v>157</v>
      </c>
      <c r="I46" s="208" t="s">
        <v>153</v>
      </c>
      <c r="J46" s="15" t="s">
        <v>38</v>
      </c>
      <c r="K46" s="7" t="s">
        <v>154</v>
      </c>
      <c r="L46" s="7">
        <v>3</v>
      </c>
      <c r="N46" s="7">
        <v>1</v>
      </c>
      <c r="O46" s="7">
        <v>0.5</v>
      </c>
      <c r="P46" s="34">
        <v>0.5</v>
      </c>
      <c r="Q46" s="52">
        <f t="shared" si="0"/>
        <v>0.5</v>
      </c>
      <c r="R46" s="7">
        <v>15.2</v>
      </c>
      <c r="S46" s="7">
        <v>126</v>
      </c>
      <c r="T46" s="16">
        <f t="shared" si="1"/>
        <v>27</v>
      </c>
      <c r="U46" s="208">
        <v>102</v>
      </c>
      <c r="V46" s="16">
        <f t="shared" si="2"/>
        <v>2754</v>
      </c>
      <c r="W46" s="7">
        <v>5</v>
      </c>
      <c r="X46" s="15" t="s">
        <v>46</v>
      </c>
      <c r="Y46" s="216" t="s">
        <v>50</v>
      </c>
      <c r="Z46" s="216" t="s">
        <v>84</v>
      </c>
      <c r="AA46" s="216" t="s">
        <v>90</v>
      </c>
      <c r="AB46" s="39" t="s">
        <v>330</v>
      </c>
    </row>
    <row r="47" spans="1:44" x14ac:dyDescent="0.15">
      <c r="A47" s="15" t="s">
        <v>327</v>
      </c>
      <c r="B47" s="15" t="s">
        <v>328</v>
      </c>
      <c r="C47" s="15">
        <v>2018</v>
      </c>
      <c r="D47" s="37" t="s">
        <v>334</v>
      </c>
      <c r="E47" s="7" t="s">
        <v>130</v>
      </c>
      <c r="F47" s="7" t="s">
        <v>146</v>
      </c>
      <c r="G47" s="7" t="s">
        <v>36</v>
      </c>
      <c r="H47" s="15" t="s">
        <v>155</v>
      </c>
      <c r="I47" s="208" t="s">
        <v>153</v>
      </c>
      <c r="J47" s="15" t="s">
        <v>38</v>
      </c>
      <c r="K47" s="7" t="s">
        <v>154</v>
      </c>
      <c r="L47" s="7">
        <v>1</v>
      </c>
      <c r="N47" s="7">
        <v>1</v>
      </c>
      <c r="O47" s="7">
        <v>0.6</v>
      </c>
      <c r="P47" s="7">
        <v>0.5</v>
      </c>
      <c r="Q47" s="52">
        <f t="shared" si="0"/>
        <v>0.55000000000000004</v>
      </c>
      <c r="R47" s="7">
        <v>15.2</v>
      </c>
      <c r="S47" s="7">
        <v>119</v>
      </c>
      <c r="T47" s="16">
        <f t="shared" si="1"/>
        <v>30</v>
      </c>
      <c r="U47" s="7">
        <v>102</v>
      </c>
      <c r="V47" s="16">
        <f t="shared" si="2"/>
        <v>3060</v>
      </c>
      <c r="W47" s="7">
        <v>5</v>
      </c>
      <c r="X47" s="15" t="s">
        <v>46</v>
      </c>
      <c r="Y47" s="216" t="s">
        <v>50</v>
      </c>
      <c r="Z47" s="216" t="s">
        <v>78</v>
      </c>
      <c r="AA47" s="216" t="s">
        <v>90</v>
      </c>
      <c r="AB47" s="39" t="s">
        <v>330</v>
      </c>
    </row>
    <row r="48" spans="1:44" x14ac:dyDescent="0.15">
      <c r="A48" s="15" t="s">
        <v>327</v>
      </c>
      <c r="B48" s="15" t="s">
        <v>328</v>
      </c>
      <c r="C48" s="15">
        <v>2018</v>
      </c>
      <c r="D48" s="37" t="s">
        <v>334</v>
      </c>
      <c r="E48" s="7" t="s">
        <v>130</v>
      </c>
      <c r="F48" s="7" t="s">
        <v>146</v>
      </c>
      <c r="G48" s="7" t="s">
        <v>36</v>
      </c>
      <c r="H48" s="216" t="s">
        <v>155</v>
      </c>
      <c r="I48" s="208" t="s">
        <v>153</v>
      </c>
      <c r="J48" s="15" t="s">
        <v>38</v>
      </c>
      <c r="K48" s="7" t="s">
        <v>154</v>
      </c>
      <c r="L48" s="7">
        <v>2</v>
      </c>
      <c r="N48" s="7">
        <v>1</v>
      </c>
      <c r="O48" s="7">
        <v>0.6</v>
      </c>
      <c r="P48" s="7">
        <v>0.55000000000000004</v>
      </c>
      <c r="Q48" s="52">
        <f t="shared" si="0"/>
        <v>0.57499999999999996</v>
      </c>
      <c r="R48" s="7">
        <v>15.1</v>
      </c>
      <c r="S48" s="7">
        <v>123</v>
      </c>
      <c r="T48" s="16">
        <f t="shared" si="1"/>
        <v>27</v>
      </c>
      <c r="U48" s="208">
        <v>102</v>
      </c>
      <c r="V48" s="16">
        <f t="shared" si="2"/>
        <v>2754</v>
      </c>
      <c r="W48" s="7">
        <v>5</v>
      </c>
      <c r="X48" s="15" t="s">
        <v>46</v>
      </c>
      <c r="Y48" s="216" t="s">
        <v>50</v>
      </c>
      <c r="Z48" s="216" t="s">
        <v>78</v>
      </c>
      <c r="AA48" s="216" t="s">
        <v>90</v>
      </c>
      <c r="AB48" s="39" t="s">
        <v>330</v>
      </c>
    </row>
    <row r="49" spans="1:29" x14ac:dyDescent="0.15">
      <c r="A49" s="15" t="s">
        <v>327</v>
      </c>
      <c r="B49" s="15" t="s">
        <v>328</v>
      </c>
      <c r="C49" s="15">
        <v>2018</v>
      </c>
      <c r="D49" s="37" t="s">
        <v>334</v>
      </c>
      <c r="E49" s="7" t="s">
        <v>130</v>
      </c>
      <c r="F49" s="7" t="s">
        <v>146</v>
      </c>
      <c r="G49" s="7" t="s">
        <v>36</v>
      </c>
      <c r="H49" s="216" t="s">
        <v>155</v>
      </c>
      <c r="I49" s="208" t="s">
        <v>153</v>
      </c>
      <c r="J49" s="15" t="s">
        <v>38</v>
      </c>
      <c r="K49" s="7" t="s">
        <v>154</v>
      </c>
      <c r="L49" s="7">
        <v>3</v>
      </c>
      <c r="N49" s="7">
        <v>1</v>
      </c>
      <c r="O49" s="7">
        <v>0.7</v>
      </c>
      <c r="P49" s="34">
        <v>0.75</v>
      </c>
      <c r="Q49" s="52">
        <f t="shared" si="0"/>
        <v>0.72499999999999998</v>
      </c>
      <c r="R49" s="7">
        <v>12.9</v>
      </c>
      <c r="S49" s="7">
        <v>122</v>
      </c>
      <c r="T49" s="16">
        <f t="shared" si="1"/>
        <v>27</v>
      </c>
      <c r="U49" s="208">
        <v>102</v>
      </c>
      <c r="V49" s="16">
        <f t="shared" si="2"/>
        <v>2754</v>
      </c>
      <c r="W49" s="7">
        <v>5</v>
      </c>
      <c r="X49" s="15" t="s">
        <v>46</v>
      </c>
      <c r="Y49" s="216" t="s">
        <v>50</v>
      </c>
      <c r="Z49" s="216" t="s">
        <v>78</v>
      </c>
      <c r="AA49" s="216" t="s">
        <v>90</v>
      </c>
      <c r="AB49" s="39" t="s">
        <v>330</v>
      </c>
    </row>
    <row r="50" spans="1:29" x14ac:dyDescent="0.15">
      <c r="A50" s="15" t="s">
        <v>327</v>
      </c>
      <c r="B50" s="15" t="s">
        <v>328</v>
      </c>
      <c r="C50" s="15">
        <v>2018</v>
      </c>
      <c r="D50" s="37" t="s">
        <v>334</v>
      </c>
      <c r="E50" s="7" t="s">
        <v>130</v>
      </c>
      <c r="F50" s="7" t="s">
        <v>146</v>
      </c>
      <c r="G50" s="7" t="s">
        <v>36</v>
      </c>
      <c r="H50" s="15" t="s">
        <v>157</v>
      </c>
      <c r="I50" s="208" t="s">
        <v>153</v>
      </c>
      <c r="J50" s="15" t="s">
        <v>38</v>
      </c>
      <c r="K50" s="7" t="s">
        <v>154</v>
      </c>
      <c r="L50" s="7">
        <v>1</v>
      </c>
      <c r="N50" s="7">
        <v>1</v>
      </c>
      <c r="O50" s="7">
        <v>0.5</v>
      </c>
      <c r="P50" s="7">
        <v>0.5</v>
      </c>
      <c r="Q50" s="52">
        <f t="shared" si="0"/>
        <v>0.5</v>
      </c>
      <c r="R50" s="7">
        <v>17.5</v>
      </c>
      <c r="S50" s="7">
        <v>131</v>
      </c>
      <c r="T50" s="16">
        <f t="shared" si="1"/>
        <v>25</v>
      </c>
      <c r="U50" s="208">
        <v>145</v>
      </c>
      <c r="V50" s="16">
        <f t="shared" si="2"/>
        <v>3625</v>
      </c>
      <c r="W50" s="7">
        <v>7</v>
      </c>
      <c r="X50" s="15" t="s">
        <v>46</v>
      </c>
      <c r="Y50" s="216" t="s">
        <v>50</v>
      </c>
      <c r="Z50" s="216" t="s">
        <v>78</v>
      </c>
      <c r="AA50" s="216" t="s">
        <v>90</v>
      </c>
      <c r="AB50" s="39" t="s">
        <v>330</v>
      </c>
    </row>
    <row r="51" spans="1:29" x14ac:dyDescent="0.15">
      <c r="A51" s="15" t="s">
        <v>327</v>
      </c>
      <c r="B51" s="15" t="s">
        <v>328</v>
      </c>
      <c r="C51" s="15">
        <v>2018</v>
      </c>
      <c r="D51" s="37" t="s">
        <v>334</v>
      </c>
      <c r="E51" s="7" t="s">
        <v>130</v>
      </c>
      <c r="F51" s="7" t="s">
        <v>146</v>
      </c>
      <c r="G51" s="7" t="s">
        <v>36</v>
      </c>
      <c r="H51" s="216" t="s">
        <v>157</v>
      </c>
      <c r="I51" s="208" t="s">
        <v>153</v>
      </c>
      <c r="J51" s="15" t="s">
        <v>38</v>
      </c>
      <c r="K51" s="7" t="s">
        <v>154</v>
      </c>
      <c r="L51" s="7">
        <v>2</v>
      </c>
      <c r="N51" s="7">
        <v>1</v>
      </c>
      <c r="O51" s="7">
        <v>0.5</v>
      </c>
      <c r="P51" s="7">
        <v>0.5</v>
      </c>
      <c r="Q51" s="52">
        <f t="shared" si="0"/>
        <v>0.5</v>
      </c>
      <c r="R51" s="7">
        <v>15.8</v>
      </c>
      <c r="S51" s="7">
        <v>132</v>
      </c>
      <c r="T51" s="16">
        <f t="shared" si="1"/>
        <v>25</v>
      </c>
      <c r="U51" s="208">
        <v>145</v>
      </c>
      <c r="V51" s="16">
        <f t="shared" si="2"/>
        <v>3625</v>
      </c>
      <c r="W51" s="7">
        <v>7</v>
      </c>
      <c r="X51" s="15" t="s">
        <v>46</v>
      </c>
      <c r="Y51" s="216" t="s">
        <v>50</v>
      </c>
      <c r="Z51" s="216" t="s">
        <v>78</v>
      </c>
      <c r="AA51" s="216" t="s">
        <v>90</v>
      </c>
      <c r="AB51" s="39" t="s">
        <v>330</v>
      </c>
    </row>
    <row r="52" spans="1:29" x14ac:dyDescent="0.15">
      <c r="A52" s="15" t="s">
        <v>327</v>
      </c>
      <c r="B52" s="15" t="s">
        <v>328</v>
      </c>
      <c r="C52" s="15">
        <v>2018</v>
      </c>
      <c r="D52" s="37" t="s">
        <v>334</v>
      </c>
      <c r="E52" s="7" t="s">
        <v>130</v>
      </c>
      <c r="F52" s="7" t="s">
        <v>146</v>
      </c>
      <c r="G52" s="7" t="s">
        <v>36</v>
      </c>
      <c r="H52" s="216" t="s">
        <v>157</v>
      </c>
      <c r="I52" s="208" t="s">
        <v>153</v>
      </c>
      <c r="J52" s="15" t="s">
        <v>38</v>
      </c>
      <c r="K52" s="7" t="s">
        <v>154</v>
      </c>
      <c r="L52" s="7">
        <v>3</v>
      </c>
      <c r="N52" s="7">
        <v>1</v>
      </c>
      <c r="O52" s="7">
        <v>0.5</v>
      </c>
      <c r="P52" s="7">
        <v>0.5</v>
      </c>
      <c r="Q52" s="52">
        <f t="shared" si="0"/>
        <v>0.5</v>
      </c>
      <c r="R52" s="7">
        <v>16.2</v>
      </c>
      <c r="S52" s="7">
        <v>129</v>
      </c>
      <c r="T52" s="16">
        <f t="shared" si="1"/>
        <v>25</v>
      </c>
      <c r="U52" s="208">
        <v>145</v>
      </c>
      <c r="V52" s="16">
        <f t="shared" si="2"/>
        <v>3625</v>
      </c>
      <c r="W52" s="7">
        <v>7</v>
      </c>
      <c r="X52" s="15" t="s">
        <v>46</v>
      </c>
      <c r="Y52" s="216" t="s">
        <v>50</v>
      </c>
      <c r="Z52" s="216" t="s">
        <v>78</v>
      </c>
      <c r="AA52" s="216" t="s">
        <v>90</v>
      </c>
      <c r="AB52" s="39" t="s">
        <v>330</v>
      </c>
    </row>
    <row r="53" spans="1:29" x14ac:dyDescent="0.15">
      <c r="A53" s="15" t="s">
        <v>327</v>
      </c>
      <c r="B53" s="15" t="s">
        <v>328</v>
      </c>
      <c r="C53" s="15">
        <v>2018</v>
      </c>
      <c r="D53" s="37" t="s">
        <v>334</v>
      </c>
      <c r="E53" s="7" t="s">
        <v>132</v>
      </c>
      <c r="F53" s="7" t="s">
        <v>147</v>
      </c>
      <c r="G53" s="7" t="s">
        <v>36</v>
      </c>
      <c r="H53" s="15" t="s">
        <v>155</v>
      </c>
      <c r="I53" s="208" t="s">
        <v>153</v>
      </c>
      <c r="J53" s="15" t="s">
        <v>38</v>
      </c>
      <c r="K53" s="7" t="s">
        <v>154</v>
      </c>
      <c r="L53" s="7">
        <v>1</v>
      </c>
      <c r="N53" s="7">
        <v>1</v>
      </c>
      <c r="O53" s="7">
        <v>0.5</v>
      </c>
      <c r="P53" s="7">
        <v>0.5</v>
      </c>
      <c r="Q53" s="52">
        <f t="shared" si="0"/>
        <v>0.5</v>
      </c>
      <c r="R53" s="7">
        <v>14.6</v>
      </c>
      <c r="S53" s="7">
        <v>126</v>
      </c>
      <c r="T53" s="16">
        <f t="shared" si="1"/>
        <v>27</v>
      </c>
      <c r="U53" s="7">
        <v>105</v>
      </c>
      <c r="V53" s="16">
        <f t="shared" si="2"/>
        <v>2835</v>
      </c>
      <c r="W53" s="7">
        <v>6</v>
      </c>
      <c r="X53" s="15" t="s">
        <v>46</v>
      </c>
      <c r="Y53" s="216" t="s">
        <v>50</v>
      </c>
      <c r="Z53" s="216" t="s">
        <v>78</v>
      </c>
      <c r="AA53" s="216" t="s">
        <v>102</v>
      </c>
      <c r="AB53" s="39" t="s">
        <v>330</v>
      </c>
      <c r="AC53" s="36"/>
    </row>
    <row r="54" spans="1:29" x14ac:dyDescent="0.15">
      <c r="A54" s="15" t="s">
        <v>327</v>
      </c>
      <c r="B54" s="15" t="s">
        <v>328</v>
      </c>
      <c r="C54" s="15">
        <v>2018</v>
      </c>
      <c r="D54" s="37" t="s">
        <v>334</v>
      </c>
      <c r="E54" s="7" t="s">
        <v>132</v>
      </c>
      <c r="F54" s="7" t="s">
        <v>147</v>
      </c>
      <c r="G54" s="7" t="s">
        <v>36</v>
      </c>
      <c r="H54" s="216" t="s">
        <v>155</v>
      </c>
      <c r="I54" s="208" t="s">
        <v>153</v>
      </c>
      <c r="J54" s="216" t="s">
        <v>38</v>
      </c>
      <c r="K54" s="7" t="s">
        <v>154</v>
      </c>
      <c r="L54" s="7">
        <v>2</v>
      </c>
      <c r="N54" s="7">
        <v>1</v>
      </c>
      <c r="O54" s="7">
        <v>0.5</v>
      </c>
      <c r="P54" s="7">
        <v>0.55000000000000004</v>
      </c>
      <c r="Q54" s="52">
        <f t="shared" si="0"/>
        <v>0.52500000000000002</v>
      </c>
      <c r="R54" s="7">
        <v>12.8</v>
      </c>
      <c r="S54" s="7">
        <v>122</v>
      </c>
      <c r="T54" s="16">
        <f t="shared" si="1"/>
        <v>27</v>
      </c>
      <c r="U54" s="208">
        <v>105</v>
      </c>
      <c r="V54" s="16">
        <f t="shared" si="2"/>
        <v>2835</v>
      </c>
      <c r="W54" s="7">
        <v>6</v>
      </c>
      <c r="X54" s="15" t="s">
        <v>46</v>
      </c>
      <c r="Y54" s="216" t="s">
        <v>50</v>
      </c>
      <c r="Z54" s="216" t="s">
        <v>78</v>
      </c>
      <c r="AA54" s="216" t="s">
        <v>102</v>
      </c>
      <c r="AB54" s="39" t="s">
        <v>330</v>
      </c>
      <c r="AC54" s="36"/>
    </row>
    <row r="55" spans="1:29" x14ac:dyDescent="0.15">
      <c r="A55" s="15" t="s">
        <v>327</v>
      </c>
      <c r="B55" s="15" t="s">
        <v>328</v>
      </c>
      <c r="C55" s="15">
        <v>2018</v>
      </c>
      <c r="D55" s="37" t="s">
        <v>334</v>
      </c>
      <c r="E55" s="7" t="s">
        <v>132</v>
      </c>
      <c r="F55" s="7" t="s">
        <v>147</v>
      </c>
      <c r="G55" s="7" t="s">
        <v>36</v>
      </c>
      <c r="H55" s="216" t="s">
        <v>155</v>
      </c>
      <c r="I55" s="208" t="s">
        <v>153</v>
      </c>
      <c r="J55" s="216" t="s">
        <v>38</v>
      </c>
      <c r="K55" s="7" t="s">
        <v>154</v>
      </c>
      <c r="L55" s="7">
        <v>3</v>
      </c>
      <c r="N55" s="208">
        <v>1</v>
      </c>
      <c r="O55" s="7">
        <v>0.75</v>
      </c>
      <c r="P55" s="7">
        <v>0.65</v>
      </c>
      <c r="Q55" s="52">
        <f t="shared" si="0"/>
        <v>0.7</v>
      </c>
      <c r="R55" s="7">
        <v>12.7</v>
      </c>
      <c r="S55" s="7">
        <v>126</v>
      </c>
      <c r="T55" s="16">
        <f t="shared" si="1"/>
        <v>27</v>
      </c>
      <c r="U55" s="208">
        <v>105</v>
      </c>
      <c r="V55" s="16">
        <f t="shared" si="2"/>
        <v>2835</v>
      </c>
      <c r="W55" s="7">
        <v>6</v>
      </c>
      <c r="X55" s="15" t="s">
        <v>46</v>
      </c>
      <c r="Y55" s="216" t="s">
        <v>50</v>
      </c>
      <c r="Z55" s="216" t="s">
        <v>78</v>
      </c>
      <c r="AA55" s="216" t="s">
        <v>102</v>
      </c>
      <c r="AB55" s="39" t="s">
        <v>330</v>
      </c>
      <c r="AC55" s="36"/>
    </row>
    <row r="56" spans="1:29" x14ac:dyDescent="0.15">
      <c r="A56" s="15" t="s">
        <v>327</v>
      </c>
      <c r="B56" s="15" t="s">
        <v>328</v>
      </c>
      <c r="C56" s="15">
        <v>2018</v>
      </c>
      <c r="D56" s="37" t="s">
        <v>334</v>
      </c>
      <c r="E56" s="7" t="s">
        <v>132</v>
      </c>
      <c r="F56" s="7" t="s">
        <v>147</v>
      </c>
      <c r="G56" s="7" t="s">
        <v>36</v>
      </c>
      <c r="H56" s="15" t="s">
        <v>157</v>
      </c>
      <c r="I56" s="208" t="s">
        <v>153</v>
      </c>
      <c r="J56" s="15" t="s">
        <v>38</v>
      </c>
      <c r="K56" s="7" t="s">
        <v>154</v>
      </c>
      <c r="L56" s="7">
        <v>1</v>
      </c>
      <c r="N56" s="208">
        <v>1</v>
      </c>
      <c r="O56" s="7">
        <v>0.6</v>
      </c>
      <c r="P56" s="7">
        <v>0.6</v>
      </c>
      <c r="Q56" s="52">
        <f t="shared" si="0"/>
        <v>0.6</v>
      </c>
      <c r="R56" s="7">
        <v>19.399999999999999</v>
      </c>
      <c r="S56" s="7">
        <v>140</v>
      </c>
      <c r="T56" s="16">
        <f t="shared" si="1"/>
        <v>22</v>
      </c>
      <c r="U56" s="208">
        <v>138</v>
      </c>
      <c r="V56" s="16">
        <f t="shared" si="2"/>
        <v>3036</v>
      </c>
      <c r="W56" s="7">
        <v>9</v>
      </c>
      <c r="X56" s="15" t="s">
        <v>46</v>
      </c>
      <c r="Y56" s="216" t="s">
        <v>50</v>
      </c>
      <c r="Z56" s="216" t="s">
        <v>78</v>
      </c>
      <c r="AA56" s="216" t="s">
        <v>102</v>
      </c>
      <c r="AB56" s="39" t="s">
        <v>330</v>
      </c>
    </row>
    <row r="57" spans="1:29" x14ac:dyDescent="0.15">
      <c r="A57" s="15" t="s">
        <v>327</v>
      </c>
      <c r="B57" s="15" t="s">
        <v>328</v>
      </c>
      <c r="C57" s="15">
        <v>2018</v>
      </c>
      <c r="D57" s="37" t="s">
        <v>334</v>
      </c>
      <c r="E57" s="7" t="s">
        <v>132</v>
      </c>
      <c r="F57" s="7" t="s">
        <v>147</v>
      </c>
      <c r="G57" s="7" t="s">
        <v>36</v>
      </c>
      <c r="H57" s="216" t="s">
        <v>157</v>
      </c>
      <c r="I57" s="208" t="s">
        <v>153</v>
      </c>
      <c r="J57" s="15" t="s">
        <v>38</v>
      </c>
      <c r="K57" s="7" t="s">
        <v>154</v>
      </c>
      <c r="L57" s="7">
        <v>2</v>
      </c>
      <c r="N57" s="208">
        <v>1</v>
      </c>
      <c r="O57" s="7">
        <v>0.55000000000000004</v>
      </c>
      <c r="P57" s="7">
        <v>0.6</v>
      </c>
      <c r="Q57" s="52">
        <f t="shared" si="0"/>
        <v>0.57499999999999996</v>
      </c>
      <c r="R57" s="7">
        <v>15.6</v>
      </c>
      <c r="S57" s="7">
        <v>135</v>
      </c>
      <c r="T57" s="16">
        <f t="shared" si="1"/>
        <v>25</v>
      </c>
      <c r="U57" s="208">
        <v>138</v>
      </c>
      <c r="V57" s="16">
        <f t="shared" si="2"/>
        <v>3450</v>
      </c>
      <c r="W57" s="7">
        <v>9</v>
      </c>
      <c r="X57" s="15" t="s">
        <v>46</v>
      </c>
      <c r="Y57" s="216" t="s">
        <v>50</v>
      </c>
      <c r="Z57" s="216" t="s">
        <v>78</v>
      </c>
      <c r="AA57" s="216" t="s">
        <v>102</v>
      </c>
      <c r="AB57" s="39" t="s">
        <v>330</v>
      </c>
    </row>
    <row r="58" spans="1:29" x14ac:dyDescent="0.15">
      <c r="A58" s="15" t="s">
        <v>327</v>
      </c>
      <c r="B58" s="15" t="s">
        <v>328</v>
      </c>
      <c r="C58" s="15">
        <v>2018</v>
      </c>
      <c r="D58" s="37" t="s">
        <v>334</v>
      </c>
      <c r="E58" s="7" t="s">
        <v>132</v>
      </c>
      <c r="F58" s="7" t="s">
        <v>147</v>
      </c>
      <c r="G58" s="7" t="s">
        <v>36</v>
      </c>
      <c r="H58" s="216" t="s">
        <v>157</v>
      </c>
      <c r="I58" s="208" t="s">
        <v>153</v>
      </c>
      <c r="J58" s="15" t="s">
        <v>38</v>
      </c>
      <c r="K58" s="7" t="s">
        <v>154</v>
      </c>
      <c r="L58" s="7">
        <v>3</v>
      </c>
      <c r="N58" s="208">
        <v>1</v>
      </c>
      <c r="O58" s="7">
        <v>0.55000000000000004</v>
      </c>
      <c r="P58" s="7">
        <v>0.6</v>
      </c>
      <c r="Q58" s="52">
        <f t="shared" si="0"/>
        <v>0.57499999999999996</v>
      </c>
      <c r="R58" s="7">
        <v>17.2</v>
      </c>
      <c r="S58" s="7">
        <v>142</v>
      </c>
      <c r="T58" s="16">
        <f t="shared" si="1"/>
        <v>22</v>
      </c>
      <c r="U58" s="208">
        <v>138</v>
      </c>
      <c r="V58" s="16">
        <f t="shared" si="2"/>
        <v>3036</v>
      </c>
      <c r="W58" s="7">
        <v>9</v>
      </c>
      <c r="X58" s="15" t="s">
        <v>46</v>
      </c>
      <c r="Y58" s="216" t="s">
        <v>50</v>
      </c>
      <c r="Z58" s="216" t="s">
        <v>78</v>
      </c>
      <c r="AA58" s="216" t="s">
        <v>102</v>
      </c>
      <c r="AB58" s="39" t="s">
        <v>330</v>
      </c>
    </row>
    <row r="59" spans="1:29" x14ac:dyDescent="0.15">
      <c r="A59" s="15" t="s">
        <v>327</v>
      </c>
      <c r="B59" s="15" t="s">
        <v>328</v>
      </c>
      <c r="C59" s="15">
        <v>2018</v>
      </c>
      <c r="D59" s="37" t="s">
        <v>334</v>
      </c>
      <c r="E59" s="7" t="s">
        <v>140</v>
      </c>
      <c r="F59" s="7" t="s">
        <v>148</v>
      </c>
      <c r="G59" s="7" t="s">
        <v>36</v>
      </c>
      <c r="H59" s="15" t="s">
        <v>155</v>
      </c>
      <c r="I59" s="208" t="s">
        <v>153</v>
      </c>
      <c r="J59" s="15" t="s">
        <v>38</v>
      </c>
      <c r="K59" s="7" t="s">
        <v>154</v>
      </c>
      <c r="L59" s="7">
        <v>1</v>
      </c>
      <c r="N59" s="208">
        <v>1</v>
      </c>
      <c r="O59" s="7">
        <v>0.75</v>
      </c>
      <c r="P59" s="7">
        <v>0.65</v>
      </c>
      <c r="Q59" s="52">
        <f t="shared" si="0"/>
        <v>0.7</v>
      </c>
      <c r="R59" s="7">
        <v>15.1</v>
      </c>
      <c r="S59" s="7">
        <v>96</v>
      </c>
      <c r="T59" s="16">
        <f t="shared" si="1"/>
        <v>36</v>
      </c>
      <c r="U59" s="7">
        <v>95</v>
      </c>
      <c r="V59" s="16">
        <f t="shared" si="2"/>
        <v>3420</v>
      </c>
      <c r="W59" s="7">
        <v>5</v>
      </c>
      <c r="X59" s="15" t="s">
        <v>46</v>
      </c>
      <c r="Y59" s="216" t="s">
        <v>50</v>
      </c>
      <c r="Z59" s="216" t="s">
        <v>78</v>
      </c>
      <c r="AA59" s="216" t="s">
        <v>102</v>
      </c>
      <c r="AB59" s="39" t="s">
        <v>330</v>
      </c>
    </row>
    <row r="60" spans="1:29" x14ac:dyDescent="0.15">
      <c r="A60" s="15" t="s">
        <v>327</v>
      </c>
      <c r="B60" s="15" t="s">
        <v>328</v>
      </c>
      <c r="C60" s="15">
        <v>2018</v>
      </c>
      <c r="D60" s="37" t="s">
        <v>334</v>
      </c>
      <c r="E60" s="7" t="s">
        <v>140</v>
      </c>
      <c r="F60" s="7" t="s">
        <v>148</v>
      </c>
      <c r="G60" s="7" t="s">
        <v>36</v>
      </c>
      <c r="H60" s="216" t="s">
        <v>155</v>
      </c>
      <c r="I60" s="208" t="s">
        <v>153</v>
      </c>
      <c r="J60" s="15" t="s">
        <v>38</v>
      </c>
      <c r="K60" s="7" t="s">
        <v>154</v>
      </c>
      <c r="L60" s="7">
        <v>2</v>
      </c>
      <c r="N60" s="7">
        <v>1</v>
      </c>
      <c r="O60" s="7">
        <v>0.5</v>
      </c>
      <c r="P60" s="7">
        <v>0.55000000000000004</v>
      </c>
      <c r="Q60" s="52">
        <f t="shared" si="0"/>
        <v>0.52500000000000002</v>
      </c>
      <c r="R60" s="7">
        <v>11.5</v>
      </c>
      <c r="S60" s="7">
        <v>84</v>
      </c>
      <c r="T60" s="16">
        <f>IF(H60="","",IF(OR(H60="GREEN",H60="GK"),IF(S60&gt;=$AX$2,VLOOKUP(S60,$AX$2:$AY$12,2,1),""),IF(S60&gt;=$AZ$2,VLOOKUP(S60,$AZ$2:$BA$12,2,1),"")))</f>
        <v>36</v>
      </c>
      <c r="U60" s="208">
        <v>95</v>
      </c>
      <c r="V60" s="16">
        <f t="shared" si="2"/>
        <v>3420</v>
      </c>
      <c r="W60" s="7">
        <v>5</v>
      </c>
      <c r="X60" s="216" t="s">
        <v>46</v>
      </c>
      <c r="Y60" s="216" t="s">
        <v>50</v>
      </c>
      <c r="Z60" s="216" t="s">
        <v>78</v>
      </c>
      <c r="AA60" s="216" t="s">
        <v>102</v>
      </c>
      <c r="AB60" s="39" t="s">
        <v>330</v>
      </c>
    </row>
    <row r="61" spans="1:29" x14ac:dyDescent="0.15">
      <c r="A61" s="15" t="s">
        <v>327</v>
      </c>
      <c r="B61" s="15" t="s">
        <v>328</v>
      </c>
      <c r="C61" s="15">
        <v>2018</v>
      </c>
      <c r="D61" s="37" t="s">
        <v>334</v>
      </c>
      <c r="E61" s="7" t="s">
        <v>140</v>
      </c>
      <c r="F61" s="7" t="s">
        <v>148</v>
      </c>
      <c r="G61" s="7" t="s">
        <v>36</v>
      </c>
      <c r="H61" s="216" t="s">
        <v>155</v>
      </c>
      <c r="I61" s="208" t="s">
        <v>153</v>
      </c>
      <c r="J61" s="15" t="s">
        <v>38</v>
      </c>
      <c r="K61" s="7" t="s">
        <v>154</v>
      </c>
      <c r="L61" s="7">
        <v>3</v>
      </c>
      <c r="N61" s="7">
        <v>1</v>
      </c>
      <c r="O61" s="7">
        <v>0.55000000000000004</v>
      </c>
      <c r="P61" s="7">
        <v>0.5</v>
      </c>
      <c r="Q61" s="52">
        <f t="shared" si="0"/>
        <v>0.52500000000000002</v>
      </c>
      <c r="R61" s="7">
        <v>14.6</v>
      </c>
      <c r="S61" s="7">
        <v>94</v>
      </c>
      <c r="T61" s="16">
        <f>IF(H61="","",IF(OR(H61="GREEN",H61="GK"),IF(S61&gt;=$AX$2,VLOOKUP(S61,$AX$2:$AY$12,2,1),""),IF(S61&gt;=$AZ$2,VLOOKUP(S61,$AZ$2:$BA$12,2,1),"")))</f>
        <v>36</v>
      </c>
      <c r="U61" s="208">
        <v>95</v>
      </c>
      <c r="V61" s="16">
        <f t="shared" si="2"/>
        <v>3420</v>
      </c>
      <c r="W61" s="7">
        <v>5</v>
      </c>
      <c r="X61" s="216" t="s">
        <v>46</v>
      </c>
      <c r="Y61" s="216" t="s">
        <v>50</v>
      </c>
      <c r="Z61" s="216" t="s">
        <v>78</v>
      </c>
      <c r="AA61" s="216" t="s">
        <v>102</v>
      </c>
      <c r="AB61" s="39" t="s">
        <v>330</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0"/>
  <sheetViews>
    <sheetView zoomScale="70" zoomScaleNormal="70" workbookViewId="0">
      <selection activeCell="AD124" sqref="AD124"/>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2</v>
      </c>
      <c r="D1" s="203" t="s">
        <v>3</v>
      </c>
      <c r="E1" s="241" t="s">
        <v>4</v>
      </c>
      <c r="F1" s="241" t="s">
        <v>5</v>
      </c>
      <c r="G1" s="241" t="s">
        <v>6</v>
      </c>
      <c r="H1" s="241" t="s">
        <v>7</v>
      </c>
      <c r="I1" s="241" t="s">
        <v>8</v>
      </c>
      <c r="J1" s="241" t="s">
        <v>9</v>
      </c>
      <c r="K1" s="241" t="s">
        <v>10</v>
      </c>
      <c r="L1" s="203" t="s">
        <v>11</v>
      </c>
      <c r="M1" s="203" t="s">
        <v>12</v>
      </c>
      <c r="N1" s="203" t="s">
        <v>13</v>
      </c>
      <c r="O1" s="203" t="s">
        <v>14</v>
      </c>
      <c r="P1" s="203" t="s">
        <v>247</v>
      </c>
      <c r="Q1" s="53" t="s">
        <v>16</v>
      </c>
      <c r="R1" s="203" t="s">
        <v>17</v>
      </c>
      <c r="S1" s="203" t="s">
        <v>18</v>
      </c>
      <c r="T1" s="53" t="s">
        <v>19</v>
      </c>
      <c r="U1" s="205" t="s">
        <v>108</v>
      </c>
      <c r="V1" s="54" t="s">
        <v>20</v>
      </c>
      <c r="W1" s="203" t="s">
        <v>21</v>
      </c>
      <c r="X1" s="241" t="s">
        <v>22</v>
      </c>
      <c r="Y1" s="241" t="s">
        <v>23</v>
      </c>
      <c r="Z1" s="241" t="s">
        <v>24</v>
      </c>
      <c r="AA1" s="241" t="s">
        <v>25</v>
      </c>
      <c r="AB1" s="242"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249</v>
      </c>
      <c r="AY1" s="214" t="s">
        <v>265</v>
      </c>
      <c r="AZ1" s="214" t="s">
        <v>32</v>
      </c>
      <c r="BA1" s="215" t="s">
        <v>266</v>
      </c>
    </row>
    <row r="2" spans="1:53" s="55" customFormat="1" x14ac:dyDescent="0.15">
      <c r="A2" s="55" t="s">
        <v>41</v>
      </c>
      <c r="B2" s="237" t="s">
        <v>328</v>
      </c>
      <c r="C2" s="152">
        <v>2018</v>
      </c>
      <c r="D2" s="56" t="s">
        <v>376</v>
      </c>
      <c r="E2" s="237" t="s">
        <v>133</v>
      </c>
      <c r="F2" s="237" t="s">
        <v>286</v>
      </c>
      <c r="G2" s="55" t="s">
        <v>42</v>
      </c>
      <c r="H2" s="55" t="s">
        <v>155</v>
      </c>
      <c r="I2" s="55" t="s">
        <v>153</v>
      </c>
      <c r="J2" s="55" t="s">
        <v>38</v>
      </c>
      <c r="K2" s="55" t="s">
        <v>154</v>
      </c>
      <c r="L2" s="237">
        <v>1</v>
      </c>
      <c r="M2" s="237"/>
      <c r="N2" s="55">
        <v>1</v>
      </c>
      <c r="O2" s="55">
        <v>0.45</v>
      </c>
      <c r="P2" s="55">
        <v>0.5</v>
      </c>
      <c r="Q2" s="57">
        <f t="shared" ref="Q2:Q68" si="0">IF(OR(O2="",P2=""),"",AVERAGE(O2,P2))</f>
        <v>0.47499999999999998</v>
      </c>
      <c r="R2" s="55">
        <v>16.5</v>
      </c>
      <c r="S2" s="237">
        <v>138</v>
      </c>
      <c r="T2" s="57">
        <f t="shared" ref="T2:T10" si="1">IF(H2="","",IF(OR(H2="GREEN",H2="GK"),IF(S2&gt;=$AX$2,VLOOKUP(S2,$AX$2:$AY$10,2,1),""),IF(S2&gt;=$AZ$2,VLOOKUP(S2,$AZ$2:$BA$10,2,1),"")))</f>
        <v>22</v>
      </c>
      <c r="U2" s="237">
        <v>105</v>
      </c>
      <c r="V2" s="58">
        <f t="shared" ref="V2:V65" si="2">IF(OR(N2="",U2="",T2=""),"",U2/N2*T2)</f>
        <v>2310</v>
      </c>
      <c r="W2" s="237">
        <v>2</v>
      </c>
      <c r="X2" s="55" t="s">
        <v>46</v>
      </c>
      <c r="Y2" s="55" t="s">
        <v>55</v>
      </c>
      <c r="Z2" s="55" t="s">
        <v>78</v>
      </c>
      <c r="AA2" s="55" t="s">
        <v>102</v>
      </c>
      <c r="AB2" s="39" t="s">
        <v>330</v>
      </c>
      <c r="AE2" s="218" t="s">
        <v>35</v>
      </c>
      <c r="AG2" s="59" t="s">
        <v>133</v>
      </c>
      <c r="AH2" s="60" t="s">
        <v>286</v>
      </c>
      <c r="AJ2" s="243" t="s">
        <v>36</v>
      </c>
      <c r="AL2" s="243" t="s">
        <v>127</v>
      </c>
      <c r="AN2" s="243" t="s">
        <v>37</v>
      </c>
      <c r="AP2" s="243" t="s">
        <v>38</v>
      </c>
      <c r="AR2" s="243" t="s">
        <v>120</v>
      </c>
      <c r="AT2" s="243" t="s">
        <v>39</v>
      </c>
      <c r="AV2" s="243" t="s">
        <v>40</v>
      </c>
      <c r="AX2" s="61">
        <v>1</v>
      </c>
      <c r="AY2" s="62">
        <v>50</v>
      </c>
      <c r="AZ2" s="62">
        <v>1</v>
      </c>
      <c r="BA2" s="63">
        <v>50</v>
      </c>
    </row>
    <row r="3" spans="1:53" x14ac:dyDescent="0.15">
      <c r="A3" s="55" t="s">
        <v>41</v>
      </c>
      <c r="B3" s="237" t="s">
        <v>328</v>
      </c>
      <c r="C3" s="152">
        <v>2018</v>
      </c>
      <c r="D3" s="56" t="s">
        <v>376</v>
      </c>
      <c r="E3" s="237" t="s">
        <v>133</v>
      </c>
      <c r="F3" s="237" t="s">
        <v>286</v>
      </c>
      <c r="G3" s="55" t="s">
        <v>42</v>
      </c>
      <c r="H3" s="55" t="s">
        <v>155</v>
      </c>
      <c r="I3" s="55" t="s">
        <v>153</v>
      </c>
      <c r="J3" s="55" t="s">
        <v>38</v>
      </c>
      <c r="K3" s="55" t="s">
        <v>154</v>
      </c>
      <c r="L3" s="237">
        <v>2</v>
      </c>
      <c r="N3" s="55">
        <v>1</v>
      </c>
      <c r="O3" s="55">
        <v>0.6</v>
      </c>
      <c r="P3" s="55">
        <v>0.65</v>
      </c>
      <c r="Q3" s="57">
        <f t="shared" si="0"/>
        <v>0.625</v>
      </c>
      <c r="R3" s="55">
        <v>12.8</v>
      </c>
      <c r="S3" s="237">
        <v>141</v>
      </c>
      <c r="T3" s="57">
        <f t="shared" si="1"/>
        <v>22</v>
      </c>
      <c r="U3" s="237">
        <v>105</v>
      </c>
      <c r="V3" s="58">
        <f t="shared" si="2"/>
        <v>2310</v>
      </c>
      <c r="W3" s="237">
        <v>2</v>
      </c>
      <c r="X3" s="55" t="s">
        <v>46</v>
      </c>
      <c r="Y3" s="55" t="s">
        <v>55</v>
      </c>
      <c r="Z3" s="55" t="s">
        <v>78</v>
      </c>
      <c r="AA3" s="55" t="s">
        <v>102</v>
      </c>
      <c r="AB3" s="39" t="s">
        <v>330</v>
      </c>
      <c r="AE3" s="223" t="s">
        <v>41</v>
      </c>
      <c r="AG3" s="64" t="s">
        <v>281</v>
      </c>
      <c r="AH3" s="64" t="s">
        <v>286</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328</v>
      </c>
      <c r="C4" s="152">
        <v>2018</v>
      </c>
      <c r="D4" s="56" t="s">
        <v>377</v>
      </c>
      <c r="E4" s="237" t="s">
        <v>133</v>
      </c>
      <c r="F4" s="237" t="s">
        <v>286</v>
      </c>
      <c r="G4" s="55" t="s">
        <v>42</v>
      </c>
      <c r="H4" s="55" t="s">
        <v>155</v>
      </c>
      <c r="I4" s="55" t="s">
        <v>153</v>
      </c>
      <c r="J4" s="55" t="s">
        <v>38</v>
      </c>
      <c r="K4" s="55" t="s">
        <v>154</v>
      </c>
      <c r="L4" s="237">
        <v>3</v>
      </c>
      <c r="N4" s="55">
        <v>1</v>
      </c>
      <c r="O4" s="55">
        <v>0.8</v>
      </c>
      <c r="P4" s="55">
        <v>0.75</v>
      </c>
      <c r="Q4" s="57">
        <f t="shared" si="0"/>
        <v>0.77500000000000002</v>
      </c>
      <c r="R4" s="55">
        <v>14.7</v>
      </c>
      <c r="S4" s="237">
        <v>140</v>
      </c>
      <c r="T4" s="57">
        <f t="shared" si="1"/>
        <v>22</v>
      </c>
      <c r="U4" s="237">
        <v>105</v>
      </c>
      <c r="V4" s="58">
        <f t="shared" si="2"/>
        <v>2310</v>
      </c>
      <c r="W4" s="237">
        <v>2</v>
      </c>
      <c r="X4" s="55" t="s">
        <v>46</v>
      </c>
      <c r="Y4" s="55" t="s">
        <v>55</v>
      </c>
      <c r="Z4" s="55" t="s">
        <v>78</v>
      </c>
      <c r="AA4" s="55" t="s">
        <v>102</v>
      </c>
      <c r="AB4" s="39" t="s">
        <v>330</v>
      </c>
      <c r="AE4" s="223" t="s">
        <v>34</v>
      </c>
      <c r="AG4" s="64" t="s">
        <v>281</v>
      </c>
      <c r="AH4" s="64" t="s">
        <v>287</v>
      </c>
      <c r="AJ4" s="69" t="s">
        <v>48</v>
      </c>
      <c r="AL4" s="69" t="s">
        <v>129</v>
      </c>
      <c r="AN4" s="244" t="s">
        <v>49</v>
      </c>
      <c r="AP4" s="65" t="s">
        <v>163</v>
      </c>
      <c r="AR4" s="231" t="s">
        <v>121</v>
      </c>
      <c r="AT4" s="244"/>
      <c r="AV4" s="65" t="s">
        <v>50</v>
      </c>
      <c r="AX4" s="66">
        <v>75</v>
      </c>
      <c r="AY4" s="67">
        <v>42</v>
      </c>
      <c r="AZ4" s="67">
        <v>76</v>
      </c>
      <c r="BA4" s="68">
        <v>39</v>
      </c>
    </row>
    <row r="5" spans="1:53" s="55" customFormat="1" ht="13.5" customHeight="1" x14ac:dyDescent="0.15">
      <c r="A5" s="55" t="s">
        <v>41</v>
      </c>
      <c r="B5" s="237" t="s">
        <v>328</v>
      </c>
      <c r="C5" s="152">
        <v>2018</v>
      </c>
      <c r="D5" s="56" t="s">
        <v>377</v>
      </c>
      <c r="E5" s="237" t="s">
        <v>133</v>
      </c>
      <c r="F5" s="237" t="s">
        <v>286</v>
      </c>
      <c r="G5" s="55" t="s">
        <v>42</v>
      </c>
      <c r="H5" s="55" t="s">
        <v>155</v>
      </c>
      <c r="I5" s="55" t="s">
        <v>153</v>
      </c>
      <c r="J5" s="55" t="s">
        <v>38</v>
      </c>
      <c r="K5" s="55" t="s">
        <v>154</v>
      </c>
      <c r="L5" s="237">
        <v>1</v>
      </c>
      <c r="N5" s="55">
        <v>9</v>
      </c>
      <c r="O5" s="55">
        <v>0.75</v>
      </c>
      <c r="P5" s="55">
        <v>0.75</v>
      </c>
      <c r="Q5" s="57">
        <f t="shared" si="0"/>
        <v>0.75</v>
      </c>
      <c r="R5" s="55">
        <v>14</v>
      </c>
      <c r="S5" s="237">
        <v>145</v>
      </c>
      <c r="T5" s="77">
        <f t="shared" si="1"/>
        <v>22</v>
      </c>
      <c r="U5" s="55">
        <v>753</v>
      </c>
      <c r="V5" s="78">
        <f t="shared" si="2"/>
        <v>1840.6666666666667</v>
      </c>
      <c r="W5" s="55">
        <v>7</v>
      </c>
      <c r="X5" s="55" t="s">
        <v>46</v>
      </c>
      <c r="Y5" s="55" t="s">
        <v>55</v>
      </c>
      <c r="Z5" s="55" t="s">
        <v>78</v>
      </c>
      <c r="AA5" s="55" t="s">
        <v>102</v>
      </c>
      <c r="AB5" s="39" t="s">
        <v>330</v>
      </c>
      <c r="AC5" s="237"/>
      <c r="AD5" s="237"/>
      <c r="AE5" s="70" t="s">
        <v>378</v>
      </c>
      <c r="AG5" s="64" t="s">
        <v>282</v>
      </c>
      <c r="AH5" s="64" t="s">
        <v>286</v>
      </c>
      <c r="AJ5" s="71"/>
      <c r="AL5" s="72" t="s">
        <v>379</v>
      </c>
      <c r="AN5" s="72" t="s">
        <v>380</v>
      </c>
      <c r="AP5" s="231" t="s">
        <v>381</v>
      </c>
      <c r="AR5" s="231" t="s">
        <v>54</v>
      </c>
      <c r="AV5" s="231" t="s">
        <v>55</v>
      </c>
      <c r="AX5" s="73">
        <v>84</v>
      </c>
      <c r="AY5" s="74">
        <v>39</v>
      </c>
      <c r="AZ5" s="74">
        <v>84</v>
      </c>
      <c r="BA5" s="75">
        <v>36</v>
      </c>
    </row>
    <row r="6" spans="1:53" x14ac:dyDescent="0.15">
      <c r="A6" s="55" t="s">
        <v>41</v>
      </c>
      <c r="B6" s="237" t="s">
        <v>328</v>
      </c>
      <c r="C6" s="152">
        <v>2018</v>
      </c>
      <c r="D6" s="56" t="s">
        <v>377</v>
      </c>
      <c r="E6" s="237" t="s">
        <v>133</v>
      </c>
      <c r="F6" s="237" t="s">
        <v>286</v>
      </c>
      <c r="G6" s="55" t="s">
        <v>42</v>
      </c>
      <c r="H6" s="55" t="s">
        <v>155</v>
      </c>
      <c r="I6" s="55" t="s">
        <v>153</v>
      </c>
      <c r="J6" s="55" t="s">
        <v>38</v>
      </c>
      <c r="K6" s="55" t="s">
        <v>154</v>
      </c>
      <c r="L6" s="237">
        <v>2</v>
      </c>
      <c r="N6" s="55">
        <v>9</v>
      </c>
      <c r="O6" s="55">
        <v>0.4</v>
      </c>
      <c r="P6" s="55">
        <v>0.65</v>
      </c>
      <c r="Q6" s="57">
        <f t="shared" si="0"/>
        <v>0.52500000000000002</v>
      </c>
      <c r="R6" s="55">
        <v>12.8</v>
      </c>
      <c r="S6" s="237">
        <v>150</v>
      </c>
      <c r="T6" s="77">
        <f t="shared" si="1"/>
        <v>22</v>
      </c>
      <c r="U6" s="55">
        <v>753</v>
      </c>
      <c r="V6" s="78">
        <f t="shared" si="2"/>
        <v>1840.6666666666667</v>
      </c>
      <c r="W6" s="55">
        <v>7</v>
      </c>
      <c r="X6" s="55" t="s">
        <v>46</v>
      </c>
      <c r="Y6" s="55" t="s">
        <v>55</v>
      </c>
      <c r="Z6" s="55" t="s">
        <v>78</v>
      </c>
      <c r="AA6" s="55" t="s">
        <v>102</v>
      </c>
      <c r="AB6" s="39" t="s">
        <v>330</v>
      </c>
      <c r="AE6" s="223" t="s">
        <v>56</v>
      </c>
      <c r="AG6" s="64" t="s">
        <v>282</v>
      </c>
      <c r="AH6" s="64" t="s">
        <v>288</v>
      </c>
      <c r="AL6" s="72" t="s">
        <v>382</v>
      </c>
      <c r="AN6" s="72" t="s">
        <v>383</v>
      </c>
      <c r="AP6" s="65" t="s">
        <v>53</v>
      </c>
      <c r="AR6" s="231" t="s">
        <v>59</v>
      </c>
      <c r="AV6" s="65" t="s">
        <v>60</v>
      </c>
      <c r="AX6" s="66">
        <v>97</v>
      </c>
      <c r="AY6" s="67">
        <v>36</v>
      </c>
      <c r="AZ6" s="67">
        <v>99</v>
      </c>
      <c r="BA6" s="68">
        <v>33</v>
      </c>
    </row>
    <row r="7" spans="1:53" x14ac:dyDescent="0.15">
      <c r="A7" s="55" t="s">
        <v>41</v>
      </c>
      <c r="B7" s="237" t="s">
        <v>328</v>
      </c>
      <c r="C7" s="152">
        <v>2018</v>
      </c>
      <c r="D7" s="56" t="s">
        <v>377</v>
      </c>
      <c r="E7" s="237" t="s">
        <v>133</v>
      </c>
      <c r="F7" s="237" t="s">
        <v>286</v>
      </c>
      <c r="G7" s="55" t="s">
        <v>42</v>
      </c>
      <c r="H7" s="55" t="s">
        <v>155</v>
      </c>
      <c r="I7" s="55" t="s">
        <v>153</v>
      </c>
      <c r="J7" s="55" t="s">
        <v>38</v>
      </c>
      <c r="K7" s="55" t="s">
        <v>154</v>
      </c>
      <c r="L7" s="237">
        <v>3</v>
      </c>
      <c r="N7" s="55">
        <v>9</v>
      </c>
      <c r="O7" s="55">
        <v>0.65</v>
      </c>
      <c r="P7" s="55">
        <v>0.6</v>
      </c>
      <c r="Q7" s="57">
        <f t="shared" si="0"/>
        <v>0.625</v>
      </c>
      <c r="R7" s="55">
        <v>13.8</v>
      </c>
      <c r="S7" s="237">
        <v>147</v>
      </c>
      <c r="T7" s="77">
        <f t="shared" si="1"/>
        <v>22</v>
      </c>
      <c r="U7" s="55">
        <v>753</v>
      </c>
      <c r="V7" s="78">
        <f t="shared" si="2"/>
        <v>1840.6666666666667</v>
      </c>
      <c r="W7" s="237">
        <v>7</v>
      </c>
      <c r="X7" s="55" t="s">
        <v>46</v>
      </c>
      <c r="Y7" s="55" t="s">
        <v>55</v>
      </c>
      <c r="Z7" s="55" t="s">
        <v>78</v>
      </c>
      <c r="AA7" s="55" t="s">
        <v>102</v>
      </c>
      <c r="AB7" s="39" t="s">
        <v>330</v>
      </c>
      <c r="AE7" s="223" t="s">
        <v>61</v>
      </c>
      <c r="AG7" s="64" t="s">
        <v>283</v>
      </c>
      <c r="AH7" s="64" t="s">
        <v>288</v>
      </c>
      <c r="AL7" s="76" t="s">
        <v>384</v>
      </c>
      <c r="AP7" s="65" t="s">
        <v>58</v>
      </c>
      <c r="AR7" s="231" t="s">
        <v>122</v>
      </c>
      <c r="AV7" s="65" t="s">
        <v>64</v>
      </c>
      <c r="AX7" s="66">
        <v>109</v>
      </c>
      <c r="AY7" s="67">
        <v>33</v>
      </c>
      <c r="AZ7" s="67">
        <v>113</v>
      </c>
      <c r="BA7" s="68">
        <v>30</v>
      </c>
    </row>
    <row r="8" spans="1:53" x14ac:dyDescent="0.15">
      <c r="A8" s="55" t="s">
        <v>41</v>
      </c>
      <c r="B8" s="237" t="s">
        <v>328</v>
      </c>
      <c r="C8" s="152">
        <v>2018</v>
      </c>
      <c r="D8" s="56" t="s">
        <v>377</v>
      </c>
      <c r="E8" s="237" t="s">
        <v>133</v>
      </c>
      <c r="F8" s="237" t="s">
        <v>286</v>
      </c>
      <c r="G8" s="55" t="s">
        <v>42</v>
      </c>
      <c r="H8" s="55" t="s">
        <v>157</v>
      </c>
      <c r="I8" s="55" t="s">
        <v>153</v>
      </c>
      <c r="J8" s="55" t="s">
        <v>38</v>
      </c>
      <c r="K8" s="55" t="s">
        <v>154</v>
      </c>
      <c r="L8" s="237">
        <v>1</v>
      </c>
      <c r="M8" s="55"/>
      <c r="N8" s="55">
        <v>1</v>
      </c>
      <c r="O8" s="55">
        <v>0.25</v>
      </c>
      <c r="P8" s="55">
        <v>0.25</v>
      </c>
      <c r="Q8" s="57">
        <f t="shared" si="0"/>
        <v>0.25</v>
      </c>
      <c r="R8" s="237">
        <v>15.6</v>
      </c>
      <c r="S8" s="237">
        <v>135</v>
      </c>
      <c r="T8" s="77">
        <f t="shared" si="1"/>
        <v>25</v>
      </c>
      <c r="U8" s="55">
        <v>149</v>
      </c>
      <c r="V8" s="78">
        <f t="shared" si="2"/>
        <v>3725</v>
      </c>
      <c r="W8" s="55">
        <v>2</v>
      </c>
      <c r="X8" s="55" t="s">
        <v>46</v>
      </c>
      <c r="Y8" s="55" t="s">
        <v>55</v>
      </c>
      <c r="Z8" s="55" t="s">
        <v>78</v>
      </c>
      <c r="AA8" s="55" t="s">
        <v>102</v>
      </c>
      <c r="AB8" s="39" t="s">
        <v>330</v>
      </c>
      <c r="AC8" s="55"/>
      <c r="AD8" s="55"/>
      <c r="AE8" s="223" t="s">
        <v>59</v>
      </c>
      <c r="AG8" s="64" t="s">
        <v>284</v>
      </c>
      <c r="AH8" s="64" t="s">
        <v>289</v>
      </c>
      <c r="AL8" s="76" t="s">
        <v>350</v>
      </c>
      <c r="AP8" s="65" t="s">
        <v>62</v>
      </c>
      <c r="AR8" s="231" t="s">
        <v>81</v>
      </c>
      <c r="AV8" s="65" t="s">
        <v>97</v>
      </c>
      <c r="AX8" s="66">
        <v>119</v>
      </c>
      <c r="AY8" s="67">
        <v>30</v>
      </c>
      <c r="AZ8" s="67">
        <v>121</v>
      </c>
      <c r="BA8" s="68">
        <v>27</v>
      </c>
    </row>
    <row r="9" spans="1:53" x14ac:dyDescent="0.15">
      <c r="A9" s="55" t="s">
        <v>41</v>
      </c>
      <c r="B9" s="237" t="s">
        <v>328</v>
      </c>
      <c r="C9" s="152">
        <v>2018</v>
      </c>
      <c r="D9" s="56" t="s">
        <v>377</v>
      </c>
      <c r="E9" s="237" t="s">
        <v>133</v>
      </c>
      <c r="F9" s="237" t="s">
        <v>286</v>
      </c>
      <c r="G9" s="55" t="s">
        <v>42</v>
      </c>
      <c r="H9" s="55" t="s">
        <v>157</v>
      </c>
      <c r="I9" s="55" t="s">
        <v>153</v>
      </c>
      <c r="J9" s="55" t="s">
        <v>38</v>
      </c>
      <c r="K9" s="55" t="s">
        <v>154</v>
      </c>
      <c r="L9" s="237">
        <v>2</v>
      </c>
      <c r="N9" s="55">
        <v>1</v>
      </c>
      <c r="O9" s="55">
        <v>0.25</v>
      </c>
      <c r="P9" s="55">
        <v>0.25</v>
      </c>
      <c r="Q9" s="57">
        <f t="shared" si="0"/>
        <v>0.25</v>
      </c>
      <c r="R9" s="237">
        <v>15.8</v>
      </c>
      <c r="S9" s="237">
        <v>140</v>
      </c>
      <c r="T9" s="77">
        <f t="shared" si="1"/>
        <v>22</v>
      </c>
      <c r="U9" s="55">
        <v>149</v>
      </c>
      <c r="V9" s="58">
        <f t="shared" si="2"/>
        <v>3278</v>
      </c>
      <c r="W9" s="237">
        <v>2</v>
      </c>
      <c r="X9" s="55" t="s">
        <v>46</v>
      </c>
      <c r="Y9" s="55" t="s">
        <v>55</v>
      </c>
      <c r="Z9" s="55" t="s">
        <v>78</v>
      </c>
      <c r="AA9" s="55" t="s">
        <v>102</v>
      </c>
      <c r="AB9" s="39" t="s">
        <v>330</v>
      </c>
      <c r="AE9" s="223" t="s">
        <v>98</v>
      </c>
      <c r="AG9" s="64" t="s">
        <v>284</v>
      </c>
      <c r="AH9" s="64" t="s">
        <v>290</v>
      </c>
      <c r="AL9" s="72"/>
      <c r="AP9" s="65" t="s">
        <v>95</v>
      </c>
      <c r="AR9" s="231" t="s">
        <v>89</v>
      </c>
      <c r="AV9" s="65" t="s">
        <v>102</v>
      </c>
      <c r="AX9" s="66">
        <v>128</v>
      </c>
      <c r="AY9" s="67">
        <v>27</v>
      </c>
      <c r="AZ9" s="67">
        <v>129</v>
      </c>
      <c r="BA9" s="68">
        <v>25</v>
      </c>
    </row>
    <row r="10" spans="1:53" x14ac:dyDescent="0.15">
      <c r="A10" s="55" t="s">
        <v>41</v>
      </c>
      <c r="B10" s="237" t="s">
        <v>328</v>
      </c>
      <c r="C10" s="152">
        <v>2018</v>
      </c>
      <c r="D10" s="56" t="s">
        <v>377</v>
      </c>
      <c r="E10" s="237" t="s">
        <v>133</v>
      </c>
      <c r="F10" s="237" t="s">
        <v>286</v>
      </c>
      <c r="G10" s="55" t="s">
        <v>42</v>
      </c>
      <c r="H10" s="55" t="s">
        <v>157</v>
      </c>
      <c r="I10" s="55" t="s">
        <v>153</v>
      </c>
      <c r="J10" s="55" t="s">
        <v>38</v>
      </c>
      <c r="K10" s="55" t="s">
        <v>154</v>
      </c>
      <c r="L10" s="237">
        <v>3</v>
      </c>
      <c r="N10" s="55">
        <v>1</v>
      </c>
      <c r="O10" s="55">
        <v>0.25</v>
      </c>
      <c r="P10" s="55">
        <v>0.25</v>
      </c>
      <c r="Q10" s="57">
        <f t="shared" si="0"/>
        <v>0.25</v>
      </c>
      <c r="R10" s="237">
        <v>16.7</v>
      </c>
      <c r="S10" s="237">
        <v>138</v>
      </c>
      <c r="T10" s="77">
        <f t="shared" si="1"/>
        <v>22</v>
      </c>
      <c r="U10" s="55">
        <v>149</v>
      </c>
      <c r="V10" s="58">
        <f t="shared" si="2"/>
        <v>3278</v>
      </c>
      <c r="W10" s="237">
        <v>2</v>
      </c>
      <c r="X10" s="55" t="s">
        <v>46</v>
      </c>
      <c r="Y10" s="55" t="s">
        <v>55</v>
      </c>
      <c r="Z10" s="55" t="s">
        <v>78</v>
      </c>
      <c r="AA10" s="55" t="s">
        <v>102</v>
      </c>
      <c r="AB10" s="39" t="s">
        <v>330</v>
      </c>
      <c r="AE10" s="223" t="s">
        <v>103</v>
      </c>
      <c r="AG10" s="64" t="s">
        <v>285</v>
      </c>
      <c r="AH10" s="64" t="s">
        <v>291</v>
      </c>
      <c r="AL10" s="76"/>
      <c r="AP10" s="65" t="s">
        <v>100</v>
      </c>
      <c r="AR10" s="231" t="s">
        <v>123</v>
      </c>
      <c r="AV10" s="65" t="s">
        <v>106</v>
      </c>
      <c r="AX10" s="66">
        <v>138</v>
      </c>
      <c r="AY10" s="67">
        <v>25</v>
      </c>
      <c r="AZ10" s="67">
        <v>138</v>
      </c>
      <c r="BA10" s="68">
        <v>22</v>
      </c>
    </row>
    <row r="11" spans="1:53" x14ac:dyDescent="0.15">
      <c r="A11" s="55" t="s">
        <v>41</v>
      </c>
      <c r="B11" s="237" t="s">
        <v>328</v>
      </c>
      <c r="C11" s="152">
        <v>2018</v>
      </c>
      <c r="D11" s="56" t="s">
        <v>377</v>
      </c>
      <c r="E11" s="237" t="s">
        <v>133</v>
      </c>
      <c r="F11" s="55" t="s">
        <v>286</v>
      </c>
      <c r="G11" s="55" t="s">
        <v>42</v>
      </c>
      <c r="H11" s="55" t="s">
        <v>157</v>
      </c>
      <c r="I11" s="55" t="s">
        <v>153</v>
      </c>
      <c r="J11" s="55" t="s">
        <v>38</v>
      </c>
      <c r="K11" s="55" t="s">
        <v>154</v>
      </c>
      <c r="L11" s="237">
        <v>1</v>
      </c>
      <c r="N11" s="55">
        <v>8</v>
      </c>
      <c r="O11" s="55">
        <v>0.7</v>
      </c>
      <c r="P11" s="55">
        <v>0.85</v>
      </c>
      <c r="Q11" s="57">
        <f t="shared" si="0"/>
        <v>0.77499999999999991</v>
      </c>
      <c r="R11" s="237">
        <v>14.9</v>
      </c>
      <c r="S11" s="237">
        <v>144</v>
      </c>
      <c r="T11" s="77">
        <f t="shared" ref="T11:T22" si="3">IF(H11="","",IF(OR(H11="GREEN",H11="GK"),IF(S11&gt;=$AX$2,VLOOKUP(S11,$AX$2:$AY$12,2,1),""),IF(S11&gt;=$AZ$2,VLOOKUP(S11,$AZ$2:$BA$12,2,1),"")))</f>
        <v>22</v>
      </c>
      <c r="U11" s="55">
        <v>1080</v>
      </c>
      <c r="V11" s="58">
        <f t="shared" si="2"/>
        <v>2970</v>
      </c>
      <c r="W11" s="237">
        <v>8</v>
      </c>
      <c r="X11" s="55" t="s">
        <v>46</v>
      </c>
      <c r="Y11" s="55" t="s">
        <v>55</v>
      </c>
      <c r="Z11" s="55" t="s">
        <v>78</v>
      </c>
      <c r="AA11" s="55" t="s">
        <v>102</v>
      </c>
      <c r="AB11" s="39" t="s">
        <v>330</v>
      </c>
      <c r="AE11" s="223" t="s">
        <v>65</v>
      </c>
      <c r="AG11" s="64" t="s">
        <v>159</v>
      </c>
      <c r="AH11" s="64" t="s">
        <v>292</v>
      </c>
      <c r="AL11" s="76"/>
      <c r="AP11" s="65" t="s">
        <v>104</v>
      </c>
      <c r="AR11" s="231" t="s">
        <v>87</v>
      </c>
      <c r="AV11" s="65" t="s">
        <v>69</v>
      </c>
      <c r="AX11" s="66">
        <v>151</v>
      </c>
      <c r="AY11" s="67">
        <v>22</v>
      </c>
      <c r="AZ11" s="67">
        <v>152</v>
      </c>
      <c r="BA11" s="68">
        <v>18</v>
      </c>
    </row>
    <row r="12" spans="1:53" x14ac:dyDescent="0.15">
      <c r="A12" s="55" t="s">
        <v>41</v>
      </c>
      <c r="B12" s="237" t="s">
        <v>328</v>
      </c>
      <c r="C12" s="152">
        <v>2018</v>
      </c>
      <c r="D12" s="56" t="s">
        <v>377</v>
      </c>
      <c r="E12" s="237" t="s">
        <v>133</v>
      </c>
      <c r="F12" s="55" t="s">
        <v>286</v>
      </c>
      <c r="G12" s="55" t="s">
        <v>42</v>
      </c>
      <c r="H12" s="55" t="s">
        <v>157</v>
      </c>
      <c r="I12" s="55" t="s">
        <v>153</v>
      </c>
      <c r="J12" s="55" t="s">
        <v>38</v>
      </c>
      <c r="K12" s="55" t="s">
        <v>154</v>
      </c>
      <c r="L12" s="237">
        <v>2</v>
      </c>
      <c r="N12" s="55">
        <v>8</v>
      </c>
      <c r="O12" s="55">
        <v>0.65</v>
      </c>
      <c r="P12" s="55">
        <v>0.7</v>
      </c>
      <c r="Q12" s="57">
        <f t="shared" si="0"/>
        <v>0.67500000000000004</v>
      </c>
      <c r="R12" s="237">
        <v>15.1</v>
      </c>
      <c r="S12" s="237">
        <v>140</v>
      </c>
      <c r="T12" s="77">
        <f t="shared" si="3"/>
        <v>22</v>
      </c>
      <c r="U12" s="55">
        <v>1080</v>
      </c>
      <c r="V12" s="58">
        <f t="shared" si="2"/>
        <v>2970</v>
      </c>
      <c r="W12" s="237">
        <v>8</v>
      </c>
      <c r="X12" s="55" t="s">
        <v>46</v>
      </c>
      <c r="Y12" s="55" t="s">
        <v>55</v>
      </c>
      <c r="Z12" s="55" t="s">
        <v>78</v>
      </c>
      <c r="AA12" s="55" t="s">
        <v>102</v>
      </c>
      <c r="AB12" s="39" t="s">
        <v>330</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328</v>
      </c>
      <c r="C13" s="152">
        <v>2018</v>
      </c>
      <c r="D13" s="56" t="s">
        <v>377</v>
      </c>
      <c r="E13" s="237" t="s">
        <v>133</v>
      </c>
      <c r="F13" s="55" t="s">
        <v>286</v>
      </c>
      <c r="G13" s="55" t="s">
        <v>42</v>
      </c>
      <c r="H13" s="55" t="s">
        <v>157</v>
      </c>
      <c r="I13" s="55" t="s">
        <v>153</v>
      </c>
      <c r="J13" s="55" t="s">
        <v>38</v>
      </c>
      <c r="K13" s="55" t="s">
        <v>154</v>
      </c>
      <c r="L13" s="237">
        <v>3</v>
      </c>
      <c r="N13" s="55">
        <v>8</v>
      </c>
      <c r="O13" s="55">
        <v>0.7</v>
      </c>
      <c r="P13" s="55">
        <v>0.7</v>
      </c>
      <c r="Q13" s="57">
        <f t="shared" si="0"/>
        <v>0.7</v>
      </c>
      <c r="R13" s="237">
        <v>15.8</v>
      </c>
      <c r="S13" s="237">
        <v>142</v>
      </c>
      <c r="T13" s="77">
        <f t="shared" si="3"/>
        <v>22</v>
      </c>
      <c r="U13" s="55">
        <v>1080</v>
      </c>
      <c r="V13" s="58">
        <f t="shared" si="2"/>
        <v>2970</v>
      </c>
      <c r="W13" s="237">
        <v>8</v>
      </c>
      <c r="X13" s="55" t="s">
        <v>46</v>
      </c>
      <c r="Y13" s="55" t="s">
        <v>55</v>
      </c>
      <c r="Z13" s="55" t="s">
        <v>78</v>
      </c>
      <c r="AA13" s="55" t="s">
        <v>102</v>
      </c>
      <c r="AB13" s="39" t="s">
        <v>330</v>
      </c>
      <c r="AE13" s="223" t="s">
        <v>73</v>
      </c>
      <c r="AG13" s="231"/>
      <c r="AH13" s="231"/>
      <c r="AP13" s="65" t="s">
        <v>71</v>
      </c>
      <c r="AR13" s="231" t="s">
        <v>103</v>
      </c>
      <c r="AV13" s="65" t="s">
        <v>75</v>
      </c>
    </row>
    <row r="14" spans="1:53" x14ac:dyDescent="0.15">
      <c r="A14" s="55" t="s">
        <v>41</v>
      </c>
      <c r="B14" s="237" t="s">
        <v>328</v>
      </c>
      <c r="C14" s="152">
        <v>2018</v>
      </c>
      <c r="D14" s="56" t="s">
        <v>377</v>
      </c>
      <c r="E14" s="237" t="s">
        <v>133</v>
      </c>
      <c r="F14" s="55" t="s">
        <v>286</v>
      </c>
      <c r="G14" s="55" t="s">
        <v>42</v>
      </c>
      <c r="H14" s="55" t="s">
        <v>157</v>
      </c>
      <c r="I14" s="55" t="s">
        <v>153</v>
      </c>
      <c r="J14" s="55" t="s">
        <v>38</v>
      </c>
      <c r="K14" s="55" t="s">
        <v>154</v>
      </c>
      <c r="L14" s="237">
        <v>1</v>
      </c>
      <c r="N14" s="55">
        <v>8</v>
      </c>
      <c r="O14" s="237">
        <v>0.8</v>
      </c>
      <c r="P14" s="237">
        <v>0.75</v>
      </c>
      <c r="Q14" s="57">
        <f t="shared" si="0"/>
        <v>0.77500000000000002</v>
      </c>
      <c r="R14" s="237">
        <v>16.399999999999999</v>
      </c>
      <c r="S14" s="237">
        <v>110</v>
      </c>
      <c r="T14" s="77">
        <f t="shared" si="3"/>
        <v>33</v>
      </c>
      <c r="U14" s="55">
        <v>626</v>
      </c>
      <c r="V14" s="58">
        <f t="shared" si="2"/>
        <v>2582.25</v>
      </c>
      <c r="W14" s="237">
        <v>4</v>
      </c>
      <c r="X14" s="55" t="s">
        <v>39</v>
      </c>
      <c r="Y14" s="55" t="s">
        <v>55</v>
      </c>
      <c r="Z14" s="55" t="s">
        <v>78</v>
      </c>
      <c r="AA14" s="55" t="s">
        <v>102</v>
      </c>
      <c r="AB14" s="39" t="s">
        <v>330</v>
      </c>
      <c r="AE14" s="223" t="s">
        <v>76</v>
      </c>
      <c r="AG14" s="231"/>
      <c r="AH14" s="231"/>
      <c r="AP14" s="65" t="s">
        <v>74</v>
      </c>
      <c r="AR14" s="231" t="s">
        <v>125</v>
      </c>
      <c r="AV14" s="65" t="s">
        <v>78</v>
      </c>
    </row>
    <row r="15" spans="1:53" x14ac:dyDescent="0.15">
      <c r="A15" s="55" t="s">
        <v>41</v>
      </c>
      <c r="B15" s="237" t="s">
        <v>328</v>
      </c>
      <c r="C15" s="152">
        <v>2018</v>
      </c>
      <c r="D15" s="56" t="s">
        <v>377</v>
      </c>
      <c r="E15" s="237" t="s">
        <v>133</v>
      </c>
      <c r="F15" s="55" t="s">
        <v>286</v>
      </c>
      <c r="G15" s="55" t="s">
        <v>42</v>
      </c>
      <c r="H15" s="55" t="s">
        <v>157</v>
      </c>
      <c r="I15" s="55" t="s">
        <v>153</v>
      </c>
      <c r="J15" s="55" t="s">
        <v>38</v>
      </c>
      <c r="K15" s="55" t="s">
        <v>154</v>
      </c>
      <c r="L15" s="237">
        <v>2</v>
      </c>
      <c r="N15" s="55">
        <v>8</v>
      </c>
      <c r="O15" s="237">
        <v>0.45</v>
      </c>
      <c r="P15" s="237">
        <v>0.6</v>
      </c>
      <c r="Q15" s="57">
        <f t="shared" si="0"/>
        <v>0.52500000000000002</v>
      </c>
      <c r="R15" s="237">
        <v>16.8</v>
      </c>
      <c r="S15" s="237">
        <v>108</v>
      </c>
      <c r="T15" s="77">
        <f t="shared" si="3"/>
        <v>33</v>
      </c>
      <c r="U15" s="55">
        <v>626</v>
      </c>
      <c r="V15" s="58">
        <f t="shared" si="2"/>
        <v>2582.25</v>
      </c>
      <c r="W15" s="237">
        <v>4</v>
      </c>
      <c r="X15" s="55" t="s">
        <v>39</v>
      </c>
      <c r="Y15" s="55" t="s">
        <v>55</v>
      </c>
      <c r="Z15" s="55" t="s">
        <v>78</v>
      </c>
      <c r="AA15" s="55" t="s">
        <v>102</v>
      </c>
      <c r="AB15" s="39" t="s">
        <v>330</v>
      </c>
      <c r="AE15" s="223" t="s">
        <v>79</v>
      </c>
      <c r="AG15" s="231"/>
      <c r="AH15" s="231"/>
      <c r="AP15" s="65" t="s">
        <v>77</v>
      </c>
      <c r="AR15" s="231" t="s">
        <v>94</v>
      </c>
      <c r="AV15" s="65" t="s">
        <v>107</v>
      </c>
    </row>
    <row r="16" spans="1:53" x14ac:dyDescent="0.15">
      <c r="A16" s="55" t="s">
        <v>41</v>
      </c>
      <c r="B16" s="237" t="s">
        <v>328</v>
      </c>
      <c r="C16" s="152">
        <v>2018</v>
      </c>
      <c r="D16" s="56" t="s">
        <v>377</v>
      </c>
      <c r="E16" s="237" t="s">
        <v>133</v>
      </c>
      <c r="F16" s="55" t="s">
        <v>286</v>
      </c>
      <c r="G16" s="55" t="s">
        <v>42</v>
      </c>
      <c r="H16" s="55" t="s">
        <v>157</v>
      </c>
      <c r="I16" s="55" t="s">
        <v>153</v>
      </c>
      <c r="J16" s="55" t="s">
        <v>38</v>
      </c>
      <c r="K16" s="55" t="s">
        <v>154</v>
      </c>
      <c r="L16" s="237">
        <v>3</v>
      </c>
      <c r="N16" s="55">
        <v>8</v>
      </c>
      <c r="O16" s="237">
        <v>0.6</v>
      </c>
      <c r="P16" s="237">
        <v>0.55000000000000004</v>
      </c>
      <c r="Q16" s="57">
        <f t="shared" si="0"/>
        <v>0.57499999999999996</v>
      </c>
      <c r="R16" s="237">
        <v>14.7</v>
      </c>
      <c r="S16" s="237">
        <v>113</v>
      </c>
      <c r="T16" s="77">
        <f t="shared" si="3"/>
        <v>30</v>
      </c>
      <c r="U16" s="55">
        <v>626</v>
      </c>
      <c r="V16" s="58">
        <f t="shared" si="2"/>
        <v>2347.5</v>
      </c>
      <c r="W16" s="237">
        <v>4</v>
      </c>
      <c r="X16" s="55" t="s">
        <v>39</v>
      </c>
      <c r="Y16" s="55" t="s">
        <v>55</v>
      </c>
      <c r="Z16" s="55" t="s">
        <v>78</v>
      </c>
      <c r="AA16" s="55" t="s">
        <v>102</v>
      </c>
      <c r="AB16" s="39" t="s">
        <v>330</v>
      </c>
      <c r="AE16" s="223" t="s">
        <v>82</v>
      </c>
      <c r="AG16" s="71"/>
      <c r="AH16" s="71"/>
      <c r="AP16" s="65" t="s">
        <v>80</v>
      </c>
      <c r="AR16" s="231" t="s">
        <v>63</v>
      </c>
      <c r="AV16" s="65" t="s">
        <v>84</v>
      </c>
    </row>
    <row r="17" spans="1:49" x14ac:dyDescent="0.15">
      <c r="A17" s="55" t="s">
        <v>41</v>
      </c>
      <c r="B17" s="237" t="s">
        <v>328</v>
      </c>
      <c r="C17" s="152">
        <v>2018</v>
      </c>
      <c r="D17" s="56" t="s">
        <v>377</v>
      </c>
      <c r="E17" s="237" t="s">
        <v>281</v>
      </c>
      <c r="F17" s="55" t="s">
        <v>286</v>
      </c>
      <c r="G17" s="55" t="s">
        <v>42</v>
      </c>
      <c r="H17" s="55" t="s">
        <v>157</v>
      </c>
      <c r="I17" s="55" t="s">
        <v>153</v>
      </c>
      <c r="J17" s="55" t="s">
        <v>38</v>
      </c>
      <c r="K17" s="55" t="s">
        <v>154</v>
      </c>
      <c r="L17" s="237">
        <v>1</v>
      </c>
      <c r="N17" s="55">
        <v>3</v>
      </c>
      <c r="O17" s="55">
        <v>0.35</v>
      </c>
      <c r="P17" s="55">
        <v>0.4</v>
      </c>
      <c r="Q17" s="57">
        <f t="shared" si="0"/>
        <v>0.375</v>
      </c>
      <c r="R17" s="237">
        <v>16.399999999999999</v>
      </c>
      <c r="S17" s="237">
        <v>124</v>
      </c>
      <c r="T17" s="77">
        <f t="shared" si="3"/>
        <v>27</v>
      </c>
      <c r="U17" s="55">
        <v>429</v>
      </c>
      <c r="V17" s="58">
        <f t="shared" si="2"/>
        <v>3861</v>
      </c>
      <c r="W17" s="237">
        <v>1</v>
      </c>
      <c r="X17" s="55" t="s">
        <v>39</v>
      </c>
      <c r="Y17" s="55" t="s">
        <v>102</v>
      </c>
      <c r="Z17" s="55" t="s">
        <v>90</v>
      </c>
      <c r="AA17" s="55" t="s">
        <v>50</v>
      </c>
      <c r="AB17" s="39" t="s">
        <v>330</v>
      </c>
      <c r="AE17" s="223" t="s">
        <v>85</v>
      </c>
      <c r="AP17" s="239" t="s">
        <v>110</v>
      </c>
      <c r="AR17" s="231" t="s">
        <v>96</v>
      </c>
      <c r="AV17" s="65" t="s">
        <v>86</v>
      </c>
    </row>
    <row r="18" spans="1:49" x14ac:dyDescent="0.15">
      <c r="A18" s="55" t="s">
        <v>41</v>
      </c>
      <c r="B18" s="237" t="s">
        <v>328</v>
      </c>
      <c r="C18" s="152">
        <v>2018</v>
      </c>
      <c r="D18" s="56" t="s">
        <v>377</v>
      </c>
      <c r="E18" s="237" t="s">
        <v>281</v>
      </c>
      <c r="F18" s="55" t="s">
        <v>286</v>
      </c>
      <c r="G18" s="55" t="s">
        <v>42</v>
      </c>
      <c r="H18" s="55" t="s">
        <v>157</v>
      </c>
      <c r="I18" s="55" t="s">
        <v>153</v>
      </c>
      <c r="J18" s="55" t="s">
        <v>38</v>
      </c>
      <c r="K18" s="55" t="s">
        <v>154</v>
      </c>
      <c r="L18" s="237">
        <v>2</v>
      </c>
      <c r="N18" s="55">
        <v>3</v>
      </c>
      <c r="O18" s="55">
        <v>0.45</v>
      </c>
      <c r="P18" s="55">
        <v>0.55000000000000004</v>
      </c>
      <c r="Q18" s="57">
        <f t="shared" si="0"/>
        <v>0.5</v>
      </c>
      <c r="R18" s="237">
        <v>15.4</v>
      </c>
      <c r="S18" s="237">
        <v>129</v>
      </c>
      <c r="T18" s="77">
        <f t="shared" si="3"/>
        <v>25</v>
      </c>
      <c r="U18" s="55">
        <v>429</v>
      </c>
      <c r="V18" s="58">
        <f t="shared" si="2"/>
        <v>3575</v>
      </c>
      <c r="W18" s="237">
        <v>1</v>
      </c>
      <c r="X18" s="55" t="s">
        <v>39</v>
      </c>
      <c r="Y18" s="55" t="s">
        <v>102</v>
      </c>
      <c r="Z18" s="55" t="s">
        <v>90</v>
      </c>
      <c r="AA18" s="55" t="s">
        <v>50</v>
      </c>
      <c r="AB18" s="39" t="s">
        <v>330</v>
      </c>
      <c r="AE18" s="223" t="s">
        <v>87</v>
      </c>
      <c r="AP18" s="239" t="s">
        <v>111</v>
      </c>
      <c r="AR18" s="231" t="s">
        <v>101</v>
      </c>
      <c r="AV18" s="65" t="s">
        <v>88</v>
      </c>
    </row>
    <row r="19" spans="1:49" x14ac:dyDescent="0.15">
      <c r="A19" s="55" t="s">
        <v>41</v>
      </c>
      <c r="B19" s="237" t="s">
        <v>328</v>
      </c>
      <c r="C19" s="152">
        <v>2018</v>
      </c>
      <c r="D19" s="56" t="s">
        <v>377</v>
      </c>
      <c r="E19" s="237" t="s">
        <v>281</v>
      </c>
      <c r="F19" s="55" t="s">
        <v>286</v>
      </c>
      <c r="G19" s="55" t="s">
        <v>42</v>
      </c>
      <c r="H19" s="55" t="s">
        <v>157</v>
      </c>
      <c r="I19" s="55" t="s">
        <v>153</v>
      </c>
      <c r="J19" s="55" t="s">
        <v>38</v>
      </c>
      <c r="K19" s="55" t="s">
        <v>154</v>
      </c>
      <c r="L19" s="237">
        <v>3</v>
      </c>
      <c r="N19" s="55">
        <v>3</v>
      </c>
      <c r="O19" s="55">
        <v>0.6</v>
      </c>
      <c r="P19" s="55">
        <v>0.35</v>
      </c>
      <c r="Q19" s="57">
        <f t="shared" si="0"/>
        <v>0.47499999999999998</v>
      </c>
      <c r="R19" s="237">
        <v>14.5</v>
      </c>
      <c r="S19" s="237">
        <v>121</v>
      </c>
      <c r="T19" s="77">
        <f t="shared" si="3"/>
        <v>27</v>
      </c>
      <c r="U19" s="55">
        <v>429</v>
      </c>
      <c r="V19" s="58">
        <f t="shared" si="2"/>
        <v>3861</v>
      </c>
      <c r="W19" s="237">
        <v>1</v>
      </c>
      <c r="X19" s="55" t="s">
        <v>39</v>
      </c>
      <c r="Y19" s="55" t="s">
        <v>102</v>
      </c>
      <c r="Z19" s="55" t="s">
        <v>90</v>
      </c>
      <c r="AA19" s="55" t="s">
        <v>50</v>
      </c>
      <c r="AB19" s="39" t="s">
        <v>330</v>
      </c>
      <c r="AE19" s="236" t="s">
        <v>89</v>
      </c>
      <c r="AP19" s="239" t="s">
        <v>112</v>
      </c>
      <c r="AR19" s="231" t="s">
        <v>126</v>
      </c>
      <c r="AV19" s="65" t="s">
        <v>90</v>
      </c>
    </row>
    <row r="20" spans="1:49" x14ac:dyDescent="0.15">
      <c r="A20" s="55" t="s">
        <v>41</v>
      </c>
      <c r="B20" s="237" t="s">
        <v>328</v>
      </c>
      <c r="C20" s="152">
        <v>2018</v>
      </c>
      <c r="D20" s="56" t="s">
        <v>377</v>
      </c>
      <c r="E20" s="237" t="s">
        <v>281</v>
      </c>
      <c r="F20" s="237" t="s">
        <v>286</v>
      </c>
      <c r="G20" s="55" t="s">
        <v>42</v>
      </c>
      <c r="H20" s="55" t="s">
        <v>157</v>
      </c>
      <c r="I20" s="55" t="s">
        <v>153</v>
      </c>
      <c r="J20" s="55" t="s">
        <v>38</v>
      </c>
      <c r="K20" s="55" t="s">
        <v>154</v>
      </c>
      <c r="L20" s="237">
        <v>1</v>
      </c>
      <c r="M20" s="55"/>
      <c r="N20" s="55">
        <v>1</v>
      </c>
      <c r="O20" s="237">
        <v>0.25</v>
      </c>
      <c r="P20" s="237">
        <v>0.25</v>
      </c>
      <c r="Q20" s="57">
        <f t="shared" si="0"/>
        <v>0.25</v>
      </c>
      <c r="R20" s="237">
        <v>12.8</v>
      </c>
      <c r="S20" s="237">
        <v>128</v>
      </c>
      <c r="T20" s="77">
        <f t="shared" si="3"/>
        <v>27</v>
      </c>
      <c r="U20" s="55">
        <v>149</v>
      </c>
      <c r="V20" s="78">
        <f t="shared" si="2"/>
        <v>4023</v>
      </c>
      <c r="W20" s="55">
        <v>2</v>
      </c>
      <c r="X20" s="55" t="s">
        <v>39</v>
      </c>
      <c r="Y20" s="55" t="s">
        <v>102</v>
      </c>
      <c r="Z20" s="55" t="s">
        <v>90</v>
      </c>
      <c r="AA20" s="55" t="s">
        <v>50</v>
      </c>
      <c r="AB20" s="39" t="s">
        <v>330</v>
      </c>
      <c r="AE20" s="236"/>
      <c r="AP20" s="239" t="s">
        <v>113</v>
      </c>
      <c r="AR20" s="231" t="s">
        <v>105</v>
      </c>
      <c r="AV20" s="69" t="s">
        <v>370</v>
      </c>
    </row>
    <row r="21" spans="1:49" x14ac:dyDescent="0.15">
      <c r="A21" s="55" t="s">
        <v>41</v>
      </c>
      <c r="B21" s="237" t="s">
        <v>328</v>
      </c>
      <c r="C21" s="152">
        <v>2018</v>
      </c>
      <c r="D21" s="56" t="s">
        <v>377</v>
      </c>
      <c r="E21" s="237" t="s">
        <v>281</v>
      </c>
      <c r="F21" s="237" t="s">
        <v>286</v>
      </c>
      <c r="G21" s="55" t="s">
        <v>42</v>
      </c>
      <c r="H21" s="55" t="s">
        <v>157</v>
      </c>
      <c r="I21" s="55" t="s">
        <v>153</v>
      </c>
      <c r="J21" s="55" t="s">
        <v>38</v>
      </c>
      <c r="K21" s="55" t="s">
        <v>154</v>
      </c>
      <c r="L21" s="237">
        <v>2</v>
      </c>
      <c r="N21" s="55">
        <v>1</v>
      </c>
      <c r="O21" s="237">
        <v>0.3</v>
      </c>
      <c r="P21" s="237">
        <v>0.25</v>
      </c>
      <c r="Q21" s="57">
        <f t="shared" si="0"/>
        <v>0.27500000000000002</v>
      </c>
      <c r="R21" s="237">
        <v>14.8</v>
      </c>
      <c r="S21" s="237">
        <v>120</v>
      </c>
      <c r="T21" s="77">
        <f t="shared" si="3"/>
        <v>30</v>
      </c>
      <c r="U21" s="55">
        <v>149</v>
      </c>
      <c r="V21" s="58">
        <f t="shared" si="2"/>
        <v>4470</v>
      </c>
      <c r="W21" s="237">
        <v>2</v>
      </c>
      <c r="X21" s="55" t="s">
        <v>39</v>
      </c>
      <c r="Y21" s="55" t="s">
        <v>102</v>
      </c>
      <c r="Z21" s="55" t="s">
        <v>90</v>
      </c>
      <c r="AA21" s="55" t="s">
        <v>50</v>
      </c>
      <c r="AB21" s="39" t="s">
        <v>330</v>
      </c>
      <c r="AE21" s="244"/>
      <c r="AP21" s="239" t="s">
        <v>114</v>
      </c>
      <c r="AR21" s="231" t="s">
        <v>68</v>
      </c>
      <c r="AV21" s="69" t="s">
        <v>385</v>
      </c>
    </row>
    <row r="22" spans="1:49" x14ac:dyDescent="0.15">
      <c r="A22" s="55" t="s">
        <v>41</v>
      </c>
      <c r="B22" s="237" t="s">
        <v>328</v>
      </c>
      <c r="C22" s="152">
        <v>2018</v>
      </c>
      <c r="D22" s="56" t="s">
        <v>377</v>
      </c>
      <c r="E22" s="237" t="s">
        <v>281</v>
      </c>
      <c r="F22" s="237" t="s">
        <v>286</v>
      </c>
      <c r="G22" s="55" t="s">
        <v>42</v>
      </c>
      <c r="H22" s="55" t="s">
        <v>157</v>
      </c>
      <c r="I22" s="55" t="s">
        <v>153</v>
      </c>
      <c r="J22" s="55" t="s">
        <v>38</v>
      </c>
      <c r="K22" s="55" t="s">
        <v>154</v>
      </c>
      <c r="L22" s="237">
        <v>3</v>
      </c>
      <c r="N22" s="55">
        <v>1</v>
      </c>
      <c r="O22" s="237">
        <v>0.45</v>
      </c>
      <c r="P22" s="237">
        <v>0.4</v>
      </c>
      <c r="Q22" s="57">
        <f t="shared" si="0"/>
        <v>0.42500000000000004</v>
      </c>
      <c r="R22" s="237">
        <v>14</v>
      </c>
      <c r="S22" s="237">
        <v>127</v>
      </c>
      <c r="T22" s="77">
        <f t="shared" si="3"/>
        <v>27</v>
      </c>
      <c r="U22" s="55">
        <v>149</v>
      </c>
      <c r="V22" s="58">
        <f t="shared" si="2"/>
        <v>4023</v>
      </c>
      <c r="W22" s="237">
        <v>2</v>
      </c>
      <c r="X22" s="55" t="s">
        <v>39</v>
      </c>
      <c r="Y22" s="55" t="s">
        <v>102</v>
      </c>
      <c r="Z22" s="55" t="s">
        <v>90</v>
      </c>
      <c r="AA22" s="55" t="s">
        <v>50</v>
      </c>
      <c r="AB22" s="39" t="s">
        <v>330</v>
      </c>
      <c r="AP22" s="239" t="s">
        <v>115</v>
      </c>
      <c r="AR22" s="231" t="s">
        <v>83</v>
      </c>
      <c r="AV22" s="69"/>
    </row>
    <row r="23" spans="1:49" x14ac:dyDescent="0.15">
      <c r="A23" s="55" t="s">
        <v>41</v>
      </c>
      <c r="B23" s="237" t="s">
        <v>328</v>
      </c>
      <c r="C23" s="152">
        <v>2018</v>
      </c>
      <c r="D23" s="56" t="s">
        <v>377</v>
      </c>
      <c r="E23" s="237" t="s">
        <v>281</v>
      </c>
      <c r="F23" s="237" t="s">
        <v>286</v>
      </c>
      <c r="G23" s="55" t="s">
        <v>42</v>
      </c>
      <c r="H23" s="55" t="s">
        <v>155</v>
      </c>
      <c r="I23" s="55" t="s">
        <v>153</v>
      </c>
      <c r="J23" s="55" t="s">
        <v>38</v>
      </c>
      <c r="K23" s="55" t="s">
        <v>154</v>
      </c>
      <c r="L23" s="237">
        <v>1</v>
      </c>
      <c r="M23" s="55"/>
      <c r="N23" s="55">
        <v>3</v>
      </c>
      <c r="O23" s="55">
        <v>0.65</v>
      </c>
      <c r="P23" s="55">
        <v>0.7</v>
      </c>
      <c r="Q23" s="82">
        <f t="shared" si="0"/>
        <v>0.67500000000000004</v>
      </c>
      <c r="R23" s="55">
        <v>14.7</v>
      </c>
      <c r="S23" s="55">
        <v>124</v>
      </c>
      <c r="T23" s="77">
        <f t="shared" ref="T23:T86" si="4">IF(H23="","",IF(OR(H23="GREEN",H23="GK"),IF(S23&gt;=$AX$2,VLOOKUP(S23,$AX$2:$AY$10,2,1),""),IF(S23&gt;=$AZ$2,VLOOKUP(S23,$AZ$2:$BA$10,2,1),"")))</f>
        <v>27</v>
      </c>
      <c r="U23" s="55">
        <v>429</v>
      </c>
      <c r="V23" s="78">
        <f t="shared" si="2"/>
        <v>3861</v>
      </c>
      <c r="W23" s="55">
        <v>1</v>
      </c>
      <c r="X23" s="55" t="s">
        <v>39</v>
      </c>
      <c r="Y23" s="55" t="s">
        <v>102</v>
      </c>
      <c r="Z23" s="55" t="s">
        <v>90</v>
      </c>
      <c r="AA23" s="55" t="s">
        <v>50</v>
      </c>
      <c r="AB23" s="39" t="s">
        <v>330</v>
      </c>
      <c r="AP23" s="239" t="s">
        <v>117</v>
      </c>
      <c r="AR23" s="244" t="s">
        <v>280</v>
      </c>
      <c r="AV23" s="244"/>
    </row>
    <row r="24" spans="1:49" x14ac:dyDescent="0.15">
      <c r="A24" s="55" t="s">
        <v>41</v>
      </c>
      <c r="B24" s="237" t="s">
        <v>328</v>
      </c>
      <c r="C24" s="152">
        <v>2018</v>
      </c>
      <c r="D24" s="56" t="s">
        <v>377</v>
      </c>
      <c r="E24" s="237" t="s">
        <v>281</v>
      </c>
      <c r="F24" s="237" t="s">
        <v>286</v>
      </c>
      <c r="G24" s="55" t="s">
        <v>42</v>
      </c>
      <c r="H24" s="55" t="s">
        <v>155</v>
      </c>
      <c r="I24" s="55" t="s">
        <v>153</v>
      </c>
      <c r="J24" s="55" t="s">
        <v>38</v>
      </c>
      <c r="K24" s="55" t="s">
        <v>154</v>
      </c>
      <c r="L24" s="237">
        <v>2</v>
      </c>
      <c r="N24" s="55">
        <v>3</v>
      </c>
      <c r="O24" s="55">
        <v>0.65</v>
      </c>
      <c r="P24" s="55">
        <v>0.5</v>
      </c>
      <c r="Q24" s="82">
        <f t="shared" si="0"/>
        <v>0.57499999999999996</v>
      </c>
      <c r="R24" s="55">
        <v>15.8</v>
      </c>
      <c r="S24" s="55">
        <v>130</v>
      </c>
      <c r="T24" s="77">
        <f t="shared" si="4"/>
        <v>25</v>
      </c>
      <c r="U24" s="55">
        <v>429</v>
      </c>
      <c r="V24" s="58">
        <f t="shared" si="2"/>
        <v>3575</v>
      </c>
      <c r="W24" s="237">
        <v>1</v>
      </c>
      <c r="X24" s="55" t="s">
        <v>39</v>
      </c>
      <c r="Y24" s="55" t="s">
        <v>102</v>
      </c>
      <c r="Z24" s="55" t="s">
        <v>90</v>
      </c>
      <c r="AA24" s="55" t="s">
        <v>50</v>
      </c>
      <c r="AB24" s="39" t="s">
        <v>330</v>
      </c>
      <c r="AP24" s="239" t="s">
        <v>118</v>
      </c>
    </row>
    <row r="25" spans="1:49" x14ac:dyDescent="0.15">
      <c r="A25" s="55" t="s">
        <v>41</v>
      </c>
      <c r="B25" s="237" t="s">
        <v>328</v>
      </c>
      <c r="C25" s="152">
        <v>2018</v>
      </c>
      <c r="D25" s="56" t="s">
        <v>377</v>
      </c>
      <c r="E25" s="237" t="s">
        <v>281</v>
      </c>
      <c r="F25" s="237" t="s">
        <v>286</v>
      </c>
      <c r="G25" s="55" t="s">
        <v>42</v>
      </c>
      <c r="H25" s="55" t="s">
        <v>155</v>
      </c>
      <c r="I25" s="55" t="s">
        <v>153</v>
      </c>
      <c r="J25" s="55" t="s">
        <v>38</v>
      </c>
      <c r="K25" s="55" t="s">
        <v>154</v>
      </c>
      <c r="L25" s="237">
        <v>3</v>
      </c>
      <c r="N25" s="55">
        <v>3</v>
      </c>
      <c r="O25" s="55">
        <v>0.8</v>
      </c>
      <c r="P25" s="55">
        <v>0.7</v>
      </c>
      <c r="Q25" s="82">
        <f t="shared" si="0"/>
        <v>0.75</v>
      </c>
      <c r="R25" s="55">
        <v>15</v>
      </c>
      <c r="S25" s="55">
        <v>128</v>
      </c>
      <c r="T25" s="77">
        <f t="shared" si="4"/>
        <v>27</v>
      </c>
      <c r="U25" s="55">
        <v>429</v>
      </c>
      <c r="V25" s="58">
        <f t="shared" si="2"/>
        <v>3861</v>
      </c>
      <c r="W25" s="237">
        <v>1</v>
      </c>
      <c r="X25" s="55" t="s">
        <v>39</v>
      </c>
      <c r="Y25" s="55" t="s">
        <v>102</v>
      </c>
      <c r="Z25" s="55" t="s">
        <v>90</v>
      </c>
      <c r="AA25" s="55" t="s">
        <v>50</v>
      </c>
      <c r="AB25" s="39" t="s">
        <v>330</v>
      </c>
    </row>
    <row r="26" spans="1:49" x14ac:dyDescent="0.15">
      <c r="A26" s="55" t="s">
        <v>41</v>
      </c>
      <c r="B26" s="237" t="s">
        <v>328</v>
      </c>
      <c r="C26" s="152">
        <v>2018</v>
      </c>
      <c r="D26" s="56" t="s">
        <v>377</v>
      </c>
      <c r="E26" s="237" t="s">
        <v>281</v>
      </c>
      <c r="F26" s="237" t="s">
        <v>286</v>
      </c>
      <c r="G26" s="55" t="s">
        <v>42</v>
      </c>
      <c r="H26" s="55" t="s">
        <v>155</v>
      </c>
      <c r="I26" s="55" t="s">
        <v>153</v>
      </c>
      <c r="J26" s="55" t="s">
        <v>38</v>
      </c>
      <c r="K26" s="55" t="s">
        <v>154</v>
      </c>
      <c r="L26" s="237">
        <v>1</v>
      </c>
      <c r="M26" s="55"/>
      <c r="N26" s="55">
        <v>1</v>
      </c>
      <c r="O26" s="55">
        <v>0.25</v>
      </c>
      <c r="P26" s="55">
        <v>0.25</v>
      </c>
      <c r="Q26" s="57">
        <f t="shared" si="0"/>
        <v>0.25</v>
      </c>
      <c r="R26" s="237">
        <v>15.3</v>
      </c>
      <c r="S26" s="237">
        <v>130</v>
      </c>
      <c r="T26" s="77">
        <f t="shared" si="4"/>
        <v>25</v>
      </c>
      <c r="U26" s="55">
        <v>149</v>
      </c>
      <c r="V26" s="78">
        <f t="shared" si="2"/>
        <v>3725</v>
      </c>
      <c r="W26" s="55">
        <v>2</v>
      </c>
      <c r="X26" s="55" t="s">
        <v>39</v>
      </c>
      <c r="Y26" s="55" t="s">
        <v>102</v>
      </c>
      <c r="Z26" s="55" t="s">
        <v>90</v>
      </c>
      <c r="AA26" s="55" t="s">
        <v>50</v>
      </c>
      <c r="AB26" s="39" t="s">
        <v>330</v>
      </c>
    </row>
    <row r="27" spans="1:49" x14ac:dyDescent="0.15">
      <c r="A27" s="55" t="s">
        <v>41</v>
      </c>
      <c r="B27" s="237" t="s">
        <v>328</v>
      </c>
      <c r="C27" s="152">
        <v>2018</v>
      </c>
      <c r="D27" s="56" t="s">
        <v>377</v>
      </c>
      <c r="E27" s="237" t="s">
        <v>281</v>
      </c>
      <c r="F27" s="237" t="s">
        <v>286</v>
      </c>
      <c r="G27" s="55" t="s">
        <v>42</v>
      </c>
      <c r="H27" s="55" t="s">
        <v>155</v>
      </c>
      <c r="I27" s="55" t="s">
        <v>153</v>
      </c>
      <c r="J27" s="55" t="s">
        <v>38</v>
      </c>
      <c r="K27" s="55" t="s">
        <v>154</v>
      </c>
      <c r="L27" s="237">
        <v>2</v>
      </c>
      <c r="N27" s="55">
        <v>1</v>
      </c>
      <c r="O27" s="55">
        <v>0.3</v>
      </c>
      <c r="P27" s="55">
        <v>0.25</v>
      </c>
      <c r="Q27" s="57">
        <f t="shared" si="0"/>
        <v>0.27500000000000002</v>
      </c>
      <c r="R27" s="237">
        <v>14</v>
      </c>
      <c r="S27" s="237">
        <v>131</v>
      </c>
      <c r="T27" s="77">
        <f t="shared" si="4"/>
        <v>25</v>
      </c>
      <c r="U27" s="55">
        <v>149</v>
      </c>
      <c r="V27" s="78">
        <f t="shared" si="2"/>
        <v>3725</v>
      </c>
      <c r="W27" s="55">
        <v>2</v>
      </c>
      <c r="X27" s="55" t="s">
        <v>39</v>
      </c>
      <c r="Y27" s="55" t="s">
        <v>102</v>
      </c>
      <c r="Z27" s="55" t="s">
        <v>90</v>
      </c>
      <c r="AA27" s="55" t="s">
        <v>50</v>
      </c>
      <c r="AB27" s="39" t="s">
        <v>330</v>
      </c>
      <c r="AE27" s="253"/>
      <c r="AF27" s="253"/>
      <c r="AG27" s="253"/>
      <c r="AH27" s="253"/>
      <c r="AI27" s="253"/>
      <c r="AJ27" s="253"/>
      <c r="AK27" s="253"/>
      <c r="AL27" s="253"/>
      <c r="AM27" s="253"/>
      <c r="AN27" s="253"/>
      <c r="AO27" s="253"/>
      <c r="AP27" s="253"/>
      <c r="AQ27" s="253"/>
      <c r="AR27" s="253"/>
      <c r="AS27" s="253"/>
      <c r="AT27" s="253"/>
      <c r="AU27" s="253"/>
      <c r="AV27" s="253"/>
      <c r="AW27" s="253"/>
    </row>
    <row r="28" spans="1:49" x14ac:dyDescent="0.15">
      <c r="A28" s="55" t="s">
        <v>41</v>
      </c>
      <c r="B28" s="237" t="s">
        <v>328</v>
      </c>
      <c r="C28" s="152">
        <v>2018</v>
      </c>
      <c r="D28" s="56" t="s">
        <v>377</v>
      </c>
      <c r="E28" s="237" t="s">
        <v>281</v>
      </c>
      <c r="F28" s="237" t="s">
        <v>286</v>
      </c>
      <c r="G28" s="55" t="s">
        <v>42</v>
      </c>
      <c r="H28" s="55" t="s">
        <v>155</v>
      </c>
      <c r="I28" s="55" t="s">
        <v>153</v>
      </c>
      <c r="J28" s="55" t="s">
        <v>38</v>
      </c>
      <c r="K28" s="55" t="s">
        <v>154</v>
      </c>
      <c r="L28" s="237">
        <v>3</v>
      </c>
      <c r="N28" s="55">
        <v>1</v>
      </c>
      <c r="O28" s="55">
        <v>0.45</v>
      </c>
      <c r="P28" s="55">
        <v>0.4</v>
      </c>
      <c r="Q28" s="57">
        <f t="shared" si="0"/>
        <v>0.42500000000000004</v>
      </c>
      <c r="R28" s="237">
        <v>15.8</v>
      </c>
      <c r="S28" s="237">
        <v>133</v>
      </c>
      <c r="T28" s="77">
        <f t="shared" si="4"/>
        <v>25</v>
      </c>
      <c r="U28" s="55">
        <v>149</v>
      </c>
      <c r="V28" s="78">
        <f t="shared" si="2"/>
        <v>3725</v>
      </c>
      <c r="W28" s="237">
        <v>2</v>
      </c>
      <c r="X28" s="55" t="s">
        <v>39</v>
      </c>
      <c r="Y28" s="55" t="s">
        <v>102</v>
      </c>
      <c r="Z28" s="55" t="s">
        <v>90</v>
      </c>
      <c r="AA28" s="55" t="s">
        <v>50</v>
      </c>
      <c r="AB28" s="39" t="s">
        <v>330</v>
      </c>
      <c r="AE28" s="253"/>
      <c r="AF28" s="253"/>
      <c r="AG28" s="253"/>
      <c r="AH28" s="253"/>
      <c r="AI28" s="253"/>
      <c r="AJ28" s="253"/>
      <c r="AK28" s="253"/>
      <c r="AL28" s="253"/>
      <c r="AM28" s="253"/>
      <c r="AN28" s="253"/>
      <c r="AO28" s="253"/>
      <c r="AP28" s="253"/>
      <c r="AQ28" s="253"/>
      <c r="AR28" s="253"/>
      <c r="AS28" s="253"/>
      <c r="AT28" s="253"/>
      <c r="AU28" s="253"/>
      <c r="AV28" s="253"/>
      <c r="AW28" s="253"/>
    </row>
    <row r="29" spans="1:49" x14ac:dyDescent="0.15">
      <c r="A29" s="55" t="s">
        <v>41</v>
      </c>
      <c r="B29" s="237" t="s">
        <v>328</v>
      </c>
      <c r="C29" s="152">
        <v>2018</v>
      </c>
      <c r="D29" s="56" t="s">
        <v>377</v>
      </c>
      <c r="E29" s="237" t="s">
        <v>281</v>
      </c>
      <c r="F29" s="237" t="s">
        <v>286</v>
      </c>
      <c r="G29" s="55" t="s">
        <v>42</v>
      </c>
      <c r="H29" s="55" t="s">
        <v>157</v>
      </c>
      <c r="I29" s="55" t="s">
        <v>153</v>
      </c>
      <c r="J29" s="55" t="s">
        <v>38</v>
      </c>
      <c r="K29" s="55" t="s">
        <v>154</v>
      </c>
      <c r="L29" s="237">
        <v>1</v>
      </c>
      <c r="N29" s="55">
        <v>5</v>
      </c>
      <c r="O29" s="237">
        <v>0.5</v>
      </c>
      <c r="P29" s="237">
        <v>0.4</v>
      </c>
      <c r="Q29" s="57">
        <f t="shared" si="0"/>
        <v>0.45</v>
      </c>
      <c r="R29" s="237">
        <v>16.7</v>
      </c>
      <c r="S29" s="55">
        <v>120</v>
      </c>
      <c r="T29" s="77">
        <f t="shared" si="4"/>
        <v>30</v>
      </c>
      <c r="U29" s="55">
        <v>626</v>
      </c>
      <c r="V29" s="58">
        <f t="shared" si="2"/>
        <v>3756</v>
      </c>
      <c r="W29" s="237">
        <v>2</v>
      </c>
      <c r="X29" s="55" t="s">
        <v>46</v>
      </c>
      <c r="Y29" s="55" t="s">
        <v>102</v>
      </c>
      <c r="Z29" s="55" t="s">
        <v>90</v>
      </c>
      <c r="AA29" s="55" t="s">
        <v>50</v>
      </c>
      <c r="AB29" s="39" t="s">
        <v>330</v>
      </c>
    </row>
    <row r="30" spans="1:49" x14ac:dyDescent="0.15">
      <c r="A30" s="55" t="s">
        <v>41</v>
      </c>
      <c r="B30" s="237" t="s">
        <v>328</v>
      </c>
      <c r="C30" s="152">
        <v>2018</v>
      </c>
      <c r="D30" s="56" t="s">
        <v>377</v>
      </c>
      <c r="E30" s="237" t="s">
        <v>281</v>
      </c>
      <c r="F30" s="237" t="s">
        <v>286</v>
      </c>
      <c r="G30" s="55" t="s">
        <v>42</v>
      </c>
      <c r="H30" s="55" t="s">
        <v>157</v>
      </c>
      <c r="I30" s="55" t="s">
        <v>153</v>
      </c>
      <c r="J30" s="55" t="s">
        <v>38</v>
      </c>
      <c r="K30" s="55" t="s">
        <v>154</v>
      </c>
      <c r="L30" s="237">
        <v>2</v>
      </c>
      <c r="M30" s="55"/>
      <c r="N30" s="55">
        <v>5</v>
      </c>
      <c r="O30" s="237">
        <v>0.25</v>
      </c>
      <c r="P30" s="237">
        <v>0.25</v>
      </c>
      <c r="Q30" s="57">
        <f t="shared" si="0"/>
        <v>0.25</v>
      </c>
      <c r="R30" s="237">
        <v>17.399999999999999</v>
      </c>
      <c r="S30" s="55">
        <v>121</v>
      </c>
      <c r="T30" s="77">
        <f t="shared" si="4"/>
        <v>27</v>
      </c>
      <c r="U30" s="55">
        <v>626</v>
      </c>
      <c r="V30" s="78">
        <f t="shared" si="2"/>
        <v>3380.4</v>
      </c>
      <c r="W30" s="55">
        <v>2</v>
      </c>
      <c r="X30" s="55" t="s">
        <v>46</v>
      </c>
      <c r="Y30" s="55" t="s">
        <v>102</v>
      </c>
      <c r="Z30" s="55" t="s">
        <v>90</v>
      </c>
      <c r="AA30" s="55" t="s">
        <v>50</v>
      </c>
      <c r="AB30" s="39" t="s">
        <v>330</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328</v>
      </c>
      <c r="C31" s="152">
        <v>2018</v>
      </c>
      <c r="D31" s="56" t="s">
        <v>377</v>
      </c>
      <c r="E31" s="237" t="s">
        <v>281</v>
      </c>
      <c r="F31" s="237" t="s">
        <v>286</v>
      </c>
      <c r="G31" s="55" t="s">
        <v>42</v>
      </c>
      <c r="H31" s="55" t="s">
        <v>157</v>
      </c>
      <c r="I31" s="55" t="s">
        <v>153</v>
      </c>
      <c r="J31" s="55" t="s">
        <v>38</v>
      </c>
      <c r="K31" s="55" t="s">
        <v>154</v>
      </c>
      <c r="L31" s="237">
        <v>3</v>
      </c>
      <c r="N31" s="55">
        <v>5</v>
      </c>
      <c r="O31" s="237">
        <v>0.25</v>
      </c>
      <c r="P31" s="237">
        <v>0.25</v>
      </c>
      <c r="Q31" s="57">
        <f t="shared" si="0"/>
        <v>0.25</v>
      </c>
      <c r="R31" s="237">
        <v>15.4</v>
      </c>
      <c r="S31" s="55">
        <v>121</v>
      </c>
      <c r="T31" s="77">
        <f t="shared" si="4"/>
        <v>27</v>
      </c>
      <c r="U31" s="55">
        <v>626</v>
      </c>
      <c r="V31" s="58">
        <f t="shared" si="2"/>
        <v>3380.4</v>
      </c>
      <c r="W31" s="237">
        <v>2</v>
      </c>
      <c r="X31" s="55" t="s">
        <v>46</v>
      </c>
      <c r="Y31" s="55" t="s">
        <v>102</v>
      </c>
      <c r="Z31" s="55" t="s">
        <v>90</v>
      </c>
      <c r="AA31" s="55" t="s">
        <v>50</v>
      </c>
      <c r="AB31" s="39" t="s">
        <v>330</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328</v>
      </c>
      <c r="C32" s="152">
        <v>2018</v>
      </c>
      <c r="D32" s="56" t="s">
        <v>377</v>
      </c>
      <c r="E32" s="237" t="s">
        <v>281</v>
      </c>
      <c r="F32" s="237" t="s">
        <v>287</v>
      </c>
      <c r="G32" s="55" t="s">
        <v>42</v>
      </c>
      <c r="H32" s="55" t="s">
        <v>157</v>
      </c>
      <c r="I32" s="55" t="s">
        <v>153</v>
      </c>
      <c r="J32" s="55" t="s">
        <v>38</v>
      </c>
      <c r="K32" s="55" t="s">
        <v>154</v>
      </c>
      <c r="L32" s="237">
        <v>1</v>
      </c>
      <c r="N32" s="55">
        <v>5</v>
      </c>
      <c r="O32" s="237">
        <v>0.25</v>
      </c>
      <c r="P32" s="237">
        <v>0.25</v>
      </c>
      <c r="Q32" s="57">
        <f t="shared" si="0"/>
        <v>0.25</v>
      </c>
      <c r="R32" s="55">
        <v>16.5</v>
      </c>
      <c r="S32" s="55">
        <v>108</v>
      </c>
      <c r="T32" s="77">
        <f t="shared" si="4"/>
        <v>33</v>
      </c>
      <c r="U32" s="55">
        <v>540</v>
      </c>
      <c r="V32" s="58">
        <f t="shared" si="2"/>
        <v>3564</v>
      </c>
      <c r="W32" s="237">
        <v>2</v>
      </c>
      <c r="X32" s="55" t="s">
        <v>46</v>
      </c>
      <c r="Y32" s="55" t="s">
        <v>50</v>
      </c>
      <c r="Z32" s="55" t="s">
        <v>102</v>
      </c>
      <c r="AA32" s="55" t="s">
        <v>78</v>
      </c>
      <c r="AB32" s="39" t="s">
        <v>330</v>
      </c>
    </row>
    <row r="33" spans="1:49" x14ac:dyDescent="0.15">
      <c r="A33" s="55" t="s">
        <v>41</v>
      </c>
      <c r="B33" s="237" t="s">
        <v>328</v>
      </c>
      <c r="C33" s="152">
        <v>2018</v>
      </c>
      <c r="D33" s="56" t="s">
        <v>377</v>
      </c>
      <c r="E33" s="237" t="s">
        <v>281</v>
      </c>
      <c r="F33" s="237" t="s">
        <v>287</v>
      </c>
      <c r="G33" s="55" t="s">
        <v>42</v>
      </c>
      <c r="H33" s="55" t="s">
        <v>157</v>
      </c>
      <c r="I33" s="55" t="s">
        <v>153</v>
      </c>
      <c r="J33" s="55" t="s">
        <v>38</v>
      </c>
      <c r="K33" s="55" t="s">
        <v>154</v>
      </c>
      <c r="L33" s="237">
        <v>2</v>
      </c>
      <c r="M33" s="55"/>
      <c r="N33" s="55">
        <v>5</v>
      </c>
      <c r="O33" s="55">
        <v>0.35</v>
      </c>
      <c r="P33" s="55">
        <v>0.3</v>
      </c>
      <c r="Q33" s="57">
        <f t="shared" si="0"/>
        <v>0.32499999999999996</v>
      </c>
      <c r="R33" s="237">
        <v>14.8</v>
      </c>
      <c r="S33" s="237">
        <v>110</v>
      </c>
      <c r="T33" s="77">
        <f t="shared" si="4"/>
        <v>33</v>
      </c>
      <c r="U33" s="55">
        <v>540</v>
      </c>
      <c r="V33" s="78">
        <f t="shared" si="2"/>
        <v>3564</v>
      </c>
      <c r="W33" s="55">
        <v>2</v>
      </c>
      <c r="X33" s="55" t="s">
        <v>46</v>
      </c>
      <c r="Y33" s="55" t="s">
        <v>50</v>
      </c>
      <c r="Z33" s="55" t="s">
        <v>102</v>
      </c>
      <c r="AA33" s="55" t="s">
        <v>78</v>
      </c>
      <c r="AB33" s="39" t="s">
        <v>330</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328</v>
      </c>
      <c r="C34" s="152">
        <v>2018</v>
      </c>
      <c r="D34" s="56" t="s">
        <v>377</v>
      </c>
      <c r="E34" s="237" t="s">
        <v>281</v>
      </c>
      <c r="F34" s="237" t="s">
        <v>287</v>
      </c>
      <c r="G34" s="55" t="s">
        <v>42</v>
      </c>
      <c r="H34" s="55" t="s">
        <v>157</v>
      </c>
      <c r="I34" s="55" t="s">
        <v>153</v>
      </c>
      <c r="J34" s="55" t="s">
        <v>38</v>
      </c>
      <c r="K34" s="55" t="s">
        <v>154</v>
      </c>
      <c r="L34" s="237">
        <v>3</v>
      </c>
      <c r="N34" s="55">
        <v>5</v>
      </c>
      <c r="O34" s="55">
        <v>0.45</v>
      </c>
      <c r="P34" s="55">
        <v>0.3</v>
      </c>
      <c r="Q34" s="57">
        <f t="shared" si="0"/>
        <v>0.375</v>
      </c>
      <c r="R34" s="237">
        <v>13.7</v>
      </c>
      <c r="S34" s="237">
        <v>105</v>
      </c>
      <c r="T34" s="77">
        <f t="shared" si="4"/>
        <v>33</v>
      </c>
      <c r="U34" s="55">
        <v>540</v>
      </c>
      <c r="V34" s="58">
        <f t="shared" si="2"/>
        <v>3564</v>
      </c>
      <c r="W34" s="237">
        <v>2</v>
      </c>
      <c r="X34" s="55" t="s">
        <v>46</v>
      </c>
      <c r="Y34" s="55" t="s">
        <v>50</v>
      </c>
      <c r="Z34" s="55" t="s">
        <v>102</v>
      </c>
      <c r="AA34" s="55" t="s">
        <v>78</v>
      </c>
      <c r="AB34" s="39" t="s">
        <v>330</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328</v>
      </c>
      <c r="C35" s="152">
        <v>2018</v>
      </c>
      <c r="D35" s="56" t="s">
        <v>377</v>
      </c>
      <c r="E35" s="237" t="s">
        <v>281</v>
      </c>
      <c r="F35" s="237" t="s">
        <v>287</v>
      </c>
      <c r="G35" s="55" t="s">
        <v>42</v>
      </c>
      <c r="H35" s="55" t="s">
        <v>157</v>
      </c>
      <c r="I35" s="55" t="s">
        <v>153</v>
      </c>
      <c r="J35" s="55" t="s">
        <v>38</v>
      </c>
      <c r="K35" s="55" t="s">
        <v>154</v>
      </c>
      <c r="L35" s="237">
        <v>1</v>
      </c>
      <c r="M35" s="55"/>
      <c r="N35" s="55">
        <v>1</v>
      </c>
      <c r="O35" s="55">
        <v>0.65</v>
      </c>
      <c r="P35" s="55">
        <v>0.6</v>
      </c>
      <c r="Q35" s="57">
        <f t="shared" si="0"/>
        <v>0.625</v>
      </c>
      <c r="R35" s="237">
        <v>14.4</v>
      </c>
      <c r="S35" s="237">
        <v>123</v>
      </c>
      <c r="T35" s="77">
        <f t="shared" si="4"/>
        <v>27</v>
      </c>
      <c r="U35" s="55">
        <v>105</v>
      </c>
      <c r="V35" s="78">
        <f t="shared" si="2"/>
        <v>2835</v>
      </c>
      <c r="W35" s="55">
        <v>1</v>
      </c>
      <c r="X35" s="55" t="s">
        <v>39</v>
      </c>
      <c r="Y35" s="55" t="s">
        <v>50</v>
      </c>
      <c r="Z35" s="55" t="s">
        <v>102</v>
      </c>
      <c r="AA35" s="55" t="s">
        <v>78</v>
      </c>
      <c r="AB35" s="39" t="s">
        <v>330</v>
      </c>
    </row>
    <row r="36" spans="1:49" x14ac:dyDescent="0.15">
      <c r="A36" s="55" t="s">
        <v>41</v>
      </c>
      <c r="B36" s="237" t="s">
        <v>328</v>
      </c>
      <c r="C36" s="152">
        <v>2018</v>
      </c>
      <c r="D36" s="56" t="s">
        <v>377</v>
      </c>
      <c r="E36" s="237" t="s">
        <v>281</v>
      </c>
      <c r="F36" s="237" t="s">
        <v>287</v>
      </c>
      <c r="G36" s="55" t="s">
        <v>42</v>
      </c>
      <c r="H36" s="55" t="s">
        <v>157</v>
      </c>
      <c r="I36" s="55" t="s">
        <v>153</v>
      </c>
      <c r="J36" s="55" t="s">
        <v>38</v>
      </c>
      <c r="K36" s="55" t="s">
        <v>154</v>
      </c>
      <c r="L36" s="237">
        <v>2</v>
      </c>
      <c r="N36" s="55">
        <v>1</v>
      </c>
      <c r="O36" s="55">
        <v>1</v>
      </c>
      <c r="P36" s="55">
        <v>0.9</v>
      </c>
      <c r="Q36" s="57">
        <f t="shared" si="0"/>
        <v>0.95</v>
      </c>
      <c r="R36" s="237">
        <v>16.399999999999999</v>
      </c>
      <c r="S36" s="237">
        <v>125</v>
      </c>
      <c r="T36" s="77">
        <f t="shared" si="4"/>
        <v>27</v>
      </c>
      <c r="U36" s="55">
        <v>105</v>
      </c>
      <c r="V36" s="58">
        <f t="shared" si="2"/>
        <v>2835</v>
      </c>
      <c r="W36" s="237">
        <v>1</v>
      </c>
      <c r="X36" s="55" t="s">
        <v>39</v>
      </c>
      <c r="Y36" s="55" t="s">
        <v>50</v>
      </c>
      <c r="Z36" s="55" t="s">
        <v>102</v>
      </c>
      <c r="AA36" s="55" t="s">
        <v>78</v>
      </c>
      <c r="AB36" s="39" t="s">
        <v>330</v>
      </c>
      <c r="AE36" s="253"/>
      <c r="AF36" s="253"/>
      <c r="AG36" s="253"/>
      <c r="AH36" s="253"/>
      <c r="AI36" s="253"/>
      <c r="AJ36" s="253"/>
      <c r="AK36" s="253"/>
      <c r="AL36" s="253"/>
      <c r="AM36" s="253"/>
      <c r="AN36" s="253"/>
      <c r="AO36" s="253"/>
      <c r="AP36" s="253"/>
      <c r="AQ36" s="253"/>
      <c r="AR36" s="253"/>
      <c r="AS36" s="253"/>
      <c r="AT36" s="253"/>
      <c r="AU36" s="253"/>
      <c r="AV36" s="253"/>
      <c r="AW36" s="253"/>
    </row>
    <row r="37" spans="1:49" x14ac:dyDescent="0.15">
      <c r="A37" s="55" t="s">
        <v>41</v>
      </c>
      <c r="B37" s="237" t="s">
        <v>328</v>
      </c>
      <c r="C37" s="152">
        <v>2018</v>
      </c>
      <c r="D37" s="56" t="s">
        <v>377</v>
      </c>
      <c r="E37" s="237" t="s">
        <v>281</v>
      </c>
      <c r="F37" s="237" t="s">
        <v>287</v>
      </c>
      <c r="G37" s="55" t="s">
        <v>42</v>
      </c>
      <c r="H37" s="55" t="s">
        <v>157</v>
      </c>
      <c r="I37" s="55" t="s">
        <v>153</v>
      </c>
      <c r="J37" s="55" t="s">
        <v>38</v>
      </c>
      <c r="K37" s="55" t="s">
        <v>154</v>
      </c>
      <c r="L37" s="237">
        <v>3</v>
      </c>
      <c r="N37" s="55">
        <v>1</v>
      </c>
      <c r="O37" s="55">
        <v>0.85</v>
      </c>
      <c r="P37" s="55">
        <v>0.95</v>
      </c>
      <c r="Q37" s="57">
        <f t="shared" si="0"/>
        <v>0.89999999999999991</v>
      </c>
      <c r="R37" s="237">
        <v>15.1</v>
      </c>
      <c r="S37" s="237">
        <v>122</v>
      </c>
      <c r="T37" s="77">
        <f t="shared" si="4"/>
        <v>27</v>
      </c>
      <c r="U37" s="55">
        <v>105</v>
      </c>
      <c r="V37" s="58">
        <f t="shared" si="2"/>
        <v>2835</v>
      </c>
      <c r="W37" s="237">
        <v>1</v>
      </c>
      <c r="X37" s="55" t="s">
        <v>39</v>
      </c>
      <c r="Y37" s="55" t="s">
        <v>50</v>
      </c>
      <c r="Z37" s="55" t="s">
        <v>102</v>
      </c>
      <c r="AA37" s="55" t="s">
        <v>78</v>
      </c>
      <c r="AB37" s="39" t="s">
        <v>330</v>
      </c>
      <c r="AE37" s="253"/>
      <c r="AF37" s="253"/>
      <c r="AG37" s="253"/>
      <c r="AH37" s="253"/>
      <c r="AI37" s="253"/>
      <c r="AJ37" s="253"/>
      <c r="AK37" s="253"/>
      <c r="AL37" s="253"/>
      <c r="AM37" s="253"/>
      <c r="AN37" s="253"/>
      <c r="AO37" s="253"/>
      <c r="AP37" s="253"/>
      <c r="AQ37" s="253"/>
      <c r="AR37" s="253"/>
      <c r="AS37" s="253"/>
      <c r="AT37" s="253"/>
      <c r="AU37" s="253"/>
      <c r="AV37" s="253"/>
      <c r="AW37" s="253"/>
    </row>
    <row r="38" spans="1:49" x14ac:dyDescent="0.15">
      <c r="A38" s="55" t="s">
        <v>41</v>
      </c>
      <c r="B38" s="237" t="s">
        <v>328</v>
      </c>
      <c r="C38" s="152">
        <v>2018</v>
      </c>
      <c r="D38" s="56" t="s">
        <v>377</v>
      </c>
      <c r="E38" s="237" t="s">
        <v>281</v>
      </c>
      <c r="F38" s="237" t="s">
        <v>287</v>
      </c>
      <c r="G38" s="55" t="s">
        <v>42</v>
      </c>
      <c r="H38" s="55" t="s">
        <v>157</v>
      </c>
      <c r="I38" s="55" t="s">
        <v>153</v>
      </c>
      <c r="J38" s="55" t="s">
        <v>38</v>
      </c>
      <c r="K38" s="55" t="s">
        <v>154</v>
      </c>
      <c r="L38" s="237">
        <v>1</v>
      </c>
      <c r="M38" s="55"/>
      <c r="N38" s="55">
        <v>3</v>
      </c>
      <c r="O38" s="55">
        <v>0.85</v>
      </c>
      <c r="P38" s="256">
        <v>0.95</v>
      </c>
      <c r="Q38" s="257">
        <f t="shared" si="0"/>
        <v>0.89999999999999991</v>
      </c>
      <c r="R38" s="55">
        <v>15.9</v>
      </c>
      <c r="S38" s="55">
        <v>124</v>
      </c>
      <c r="T38" s="77">
        <f t="shared" si="4"/>
        <v>27</v>
      </c>
      <c r="U38" s="55">
        <v>429</v>
      </c>
      <c r="V38" s="78">
        <f t="shared" si="2"/>
        <v>3861</v>
      </c>
      <c r="W38" s="55">
        <v>1</v>
      </c>
      <c r="X38" s="55" t="s">
        <v>39</v>
      </c>
      <c r="Y38" s="55" t="s">
        <v>50</v>
      </c>
      <c r="Z38" s="55" t="s">
        <v>102</v>
      </c>
      <c r="AA38" s="55" t="s">
        <v>78</v>
      </c>
      <c r="AB38" s="39" t="s">
        <v>330</v>
      </c>
    </row>
    <row r="39" spans="1:49" x14ac:dyDescent="0.15">
      <c r="A39" s="55" t="s">
        <v>41</v>
      </c>
      <c r="B39" s="237" t="s">
        <v>328</v>
      </c>
      <c r="C39" s="152">
        <v>2018</v>
      </c>
      <c r="D39" s="56" t="s">
        <v>377</v>
      </c>
      <c r="E39" s="237" t="s">
        <v>281</v>
      </c>
      <c r="F39" s="237" t="s">
        <v>287</v>
      </c>
      <c r="G39" s="55" t="s">
        <v>42</v>
      </c>
      <c r="H39" s="55" t="s">
        <v>157</v>
      </c>
      <c r="I39" s="55" t="s">
        <v>153</v>
      </c>
      <c r="J39" s="55" t="s">
        <v>38</v>
      </c>
      <c r="K39" s="55" t="s">
        <v>154</v>
      </c>
      <c r="L39" s="237">
        <v>2</v>
      </c>
      <c r="N39" s="55">
        <v>3</v>
      </c>
      <c r="O39" s="55">
        <v>0.9</v>
      </c>
      <c r="P39" s="55">
        <v>0.85</v>
      </c>
      <c r="Q39" s="257">
        <f t="shared" si="0"/>
        <v>0.875</v>
      </c>
      <c r="R39" s="55">
        <v>13.1</v>
      </c>
      <c r="S39" s="55">
        <v>125</v>
      </c>
      <c r="T39" s="77">
        <f t="shared" si="4"/>
        <v>27</v>
      </c>
      <c r="U39" s="55">
        <v>429</v>
      </c>
      <c r="V39" s="58">
        <f t="shared" si="2"/>
        <v>3861</v>
      </c>
      <c r="W39" s="237">
        <v>1</v>
      </c>
      <c r="X39" s="55" t="s">
        <v>39</v>
      </c>
      <c r="Y39" s="55" t="s">
        <v>50</v>
      </c>
      <c r="Z39" s="55" t="s">
        <v>102</v>
      </c>
      <c r="AA39" s="55" t="s">
        <v>78</v>
      </c>
      <c r="AB39" s="39" t="s">
        <v>330</v>
      </c>
      <c r="AE39" s="253"/>
      <c r="AF39" s="253"/>
      <c r="AG39" s="253"/>
      <c r="AH39" s="253"/>
      <c r="AI39" s="253"/>
      <c r="AJ39" s="253"/>
      <c r="AK39" s="253"/>
      <c r="AL39" s="253"/>
      <c r="AM39" s="253"/>
      <c r="AN39" s="253"/>
      <c r="AO39" s="253"/>
      <c r="AP39" s="253"/>
      <c r="AQ39" s="253"/>
      <c r="AR39" s="253"/>
      <c r="AS39" s="253"/>
      <c r="AT39" s="253"/>
      <c r="AU39" s="253"/>
      <c r="AV39" s="253"/>
      <c r="AW39" s="253"/>
    </row>
    <row r="40" spans="1:49" x14ac:dyDescent="0.15">
      <c r="A40" s="55" t="s">
        <v>41</v>
      </c>
      <c r="B40" s="237" t="s">
        <v>328</v>
      </c>
      <c r="C40" s="152">
        <v>2018</v>
      </c>
      <c r="D40" s="56" t="s">
        <v>377</v>
      </c>
      <c r="E40" s="237" t="s">
        <v>281</v>
      </c>
      <c r="F40" s="237" t="s">
        <v>287</v>
      </c>
      <c r="G40" s="55" t="s">
        <v>42</v>
      </c>
      <c r="H40" s="55" t="s">
        <v>157</v>
      </c>
      <c r="I40" s="55" t="s">
        <v>153</v>
      </c>
      <c r="J40" s="55" t="s">
        <v>38</v>
      </c>
      <c r="K40" s="55" t="s">
        <v>154</v>
      </c>
      <c r="L40" s="237">
        <v>3</v>
      </c>
      <c r="N40" s="55">
        <v>3</v>
      </c>
      <c r="O40" s="55">
        <v>0.85</v>
      </c>
      <c r="P40" s="55">
        <v>0.7</v>
      </c>
      <c r="Q40" s="257">
        <f t="shared" si="0"/>
        <v>0.77499999999999991</v>
      </c>
      <c r="R40" s="55">
        <v>12.5</v>
      </c>
      <c r="S40" s="55">
        <v>121</v>
      </c>
      <c r="T40" s="77">
        <f t="shared" si="4"/>
        <v>27</v>
      </c>
      <c r="U40" s="55">
        <v>429</v>
      </c>
      <c r="V40" s="58">
        <f t="shared" si="2"/>
        <v>3861</v>
      </c>
      <c r="W40" s="237">
        <v>1</v>
      </c>
      <c r="X40" s="55" t="s">
        <v>39</v>
      </c>
      <c r="Y40" s="55" t="s">
        <v>50</v>
      </c>
      <c r="Z40" s="55" t="s">
        <v>102</v>
      </c>
      <c r="AA40" s="55" t="s">
        <v>78</v>
      </c>
      <c r="AB40" s="39" t="s">
        <v>330</v>
      </c>
      <c r="AE40" s="253"/>
      <c r="AF40" s="253"/>
      <c r="AG40" s="253"/>
      <c r="AH40" s="253"/>
      <c r="AI40" s="253"/>
      <c r="AJ40" s="253"/>
      <c r="AK40" s="253"/>
      <c r="AL40" s="253"/>
      <c r="AM40" s="253"/>
      <c r="AN40" s="253"/>
      <c r="AO40" s="253"/>
      <c r="AP40" s="253"/>
      <c r="AQ40" s="253"/>
      <c r="AR40" s="253"/>
      <c r="AS40" s="253"/>
      <c r="AT40" s="253"/>
      <c r="AU40" s="253"/>
      <c r="AV40" s="253"/>
      <c r="AW40" s="253"/>
    </row>
    <row r="41" spans="1:49" x14ac:dyDescent="0.15">
      <c r="A41" s="55" t="s">
        <v>41</v>
      </c>
      <c r="B41" s="237" t="s">
        <v>328</v>
      </c>
      <c r="C41" s="152">
        <v>2018</v>
      </c>
      <c r="D41" s="56" t="s">
        <v>377</v>
      </c>
      <c r="E41" s="237" t="s">
        <v>281</v>
      </c>
      <c r="F41" s="237" t="s">
        <v>287</v>
      </c>
      <c r="G41" s="55" t="s">
        <v>42</v>
      </c>
      <c r="H41" s="55" t="s">
        <v>155</v>
      </c>
      <c r="I41" s="55" t="s">
        <v>153</v>
      </c>
      <c r="J41" s="55" t="s">
        <v>38</v>
      </c>
      <c r="K41" s="55" t="s">
        <v>154</v>
      </c>
      <c r="L41" s="237">
        <v>1</v>
      </c>
      <c r="M41" s="55"/>
      <c r="N41" s="55">
        <v>1</v>
      </c>
      <c r="O41" s="55">
        <v>0.6</v>
      </c>
      <c r="P41" s="55">
        <v>0.7</v>
      </c>
      <c r="Q41" s="57">
        <f t="shared" si="0"/>
        <v>0.64999999999999991</v>
      </c>
      <c r="R41" s="237">
        <v>15.8</v>
      </c>
      <c r="S41" s="237">
        <v>126</v>
      </c>
      <c r="T41" s="77">
        <f t="shared" si="4"/>
        <v>27</v>
      </c>
      <c r="U41" s="55">
        <v>105</v>
      </c>
      <c r="V41" s="78">
        <f t="shared" si="2"/>
        <v>2835</v>
      </c>
      <c r="W41" s="55">
        <v>1</v>
      </c>
      <c r="X41" s="55" t="s">
        <v>39</v>
      </c>
      <c r="Y41" s="55" t="s">
        <v>50</v>
      </c>
      <c r="Z41" s="55" t="s">
        <v>102</v>
      </c>
      <c r="AA41" s="55" t="s">
        <v>78</v>
      </c>
      <c r="AB41" s="39" t="s">
        <v>330</v>
      </c>
      <c r="AE41" s="258"/>
      <c r="AF41" s="253"/>
      <c r="AG41" s="259"/>
      <c r="AH41" s="259"/>
      <c r="AI41" s="253"/>
      <c r="AJ41" s="253"/>
      <c r="AK41" s="253"/>
      <c r="AL41" s="253"/>
      <c r="AM41" s="253"/>
      <c r="AN41" s="253"/>
      <c r="AO41" s="253"/>
      <c r="AP41" s="253"/>
      <c r="AQ41" s="253"/>
      <c r="AR41" s="259"/>
      <c r="AS41" s="253"/>
      <c r="AT41" s="253"/>
      <c r="AU41" s="253"/>
      <c r="AV41" s="253"/>
      <c r="AW41" s="253"/>
    </row>
    <row r="42" spans="1:49" x14ac:dyDescent="0.15">
      <c r="A42" s="55" t="s">
        <v>41</v>
      </c>
      <c r="B42" s="237" t="s">
        <v>328</v>
      </c>
      <c r="C42" s="152">
        <v>2018</v>
      </c>
      <c r="D42" s="56" t="s">
        <v>377</v>
      </c>
      <c r="E42" s="237" t="s">
        <v>281</v>
      </c>
      <c r="F42" s="237" t="s">
        <v>287</v>
      </c>
      <c r="G42" s="55" t="s">
        <v>42</v>
      </c>
      <c r="H42" s="55" t="s">
        <v>155</v>
      </c>
      <c r="I42" s="55" t="s">
        <v>153</v>
      </c>
      <c r="J42" s="55" t="s">
        <v>38</v>
      </c>
      <c r="K42" s="55" t="s">
        <v>154</v>
      </c>
      <c r="L42" s="237">
        <v>2</v>
      </c>
      <c r="N42" s="55">
        <v>1</v>
      </c>
      <c r="O42" s="55">
        <v>0.65</v>
      </c>
      <c r="P42" s="55">
        <v>0.55000000000000004</v>
      </c>
      <c r="Q42" s="57">
        <f t="shared" si="0"/>
        <v>0.60000000000000009</v>
      </c>
      <c r="R42" s="237">
        <v>14</v>
      </c>
      <c r="S42" s="237">
        <v>124</v>
      </c>
      <c r="T42" s="77">
        <f t="shared" si="4"/>
        <v>27</v>
      </c>
      <c r="U42" s="55">
        <v>105</v>
      </c>
      <c r="V42" s="58">
        <f t="shared" si="2"/>
        <v>2835</v>
      </c>
      <c r="W42" s="237">
        <v>1</v>
      </c>
      <c r="X42" s="55" t="s">
        <v>39</v>
      </c>
      <c r="Y42" s="55" t="s">
        <v>50</v>
      </c>
      <c r="Z42" s="55" t="s">
        <v>102</v>
      </c>
      <c r="AA42" s="55" t="s">
        <v>78</v>
      </c>
      <c r="AB42" s="39" t="s">
        <v>330</v>
      </c>
      <c r="AE42" s="258"/>
      <c r="AF42" s="253"/>
      <c r="AG42" s="259"/>
      <c r="AH42" s="259"/>
      <c r="AI42" s="253"/>
      <c r="AJ42" s="253"/>
      <c r="AK42" s="253"/>
      <c r="AL42" s="253"/>
      <c r="AM42" s="253"/>
      <c r="AN42" s="253"/>
      <c r="AO42" s="253"/>
      <c r="AP42" s="253"/>
      <c r="AQ42" s="253"/>
      <c r="AR42" s="259"/>
      <c r="AS42" s="253"/>
      <c r="AT42" s="253"/>
      <c r="AU42" s="253"/>
      <c r="AV42" s="253"/>
      <c r="AW42" s="253"/>
    </row>
    <row r="43" spans="1:49" x14ac:dyDescent="0.15">
      <c r="A43" s="55" t="s">
        <v>41</v>
      </c>
      <c r="B43" s="237" t="s">
        <v>328</v>
      </c>
      <c r="C43" s="152">
        <v>2018</v>
      </c>
      <c r="D43" s="56" t="s">
        <v>377</v>
      </c>
      <c r="E43" s="237" t="s">
        <v>281</v>
      </c>
      <c r="F43" s="237" t="s">
        <v>287</v>
      </c>
      <c r="G43" s="55" t="s">
        <v>42</v>
      </c>
      <c r="H43" s="55" t="s">
        <v>155</v>
      </c>
      <c r="I43" s="55" t="s">
        <v>153</v>
      </c>
      <c r="J43" s="55" t="s">
        <v>38</v>
      </c>
      <c r="K43" s="55" t="s">
        <v>154</v>
      </c>
      <c r="L43" s="237">
        <v>3</v>
      </c>
      <c r="N43" s="55">
        <v>1</v>
      </c>
      <c r="O43" s="55">
        <v>0.8</v>
      </c>
      <c r="P43" s="55">
        <v>0.9</v>
      </c>
      <c r="Q43" s="57">
        <f t="shared" si="0"/>
        <v>0.85000000000000009</v>
      </c>
      <c r="R43" s="237">
        <v>12.8</v>
      </c>
      <c r="S43" s="237">
        <v>123</v>
      </c>
      <c r="T43" s="77">
        <f t="shared" si="4"/>
        <v>27</v>
      </c>
      <c r="U43" s="55">
        <v>105</v>
      </c>
      <c r="V43" s="58">
        <f t="shared" si="2"/>
        <v>2835</v>
      </c>
      <c r="W43" s="237">
        <v>1</v>
      </c>
      <c r="X43" s="55" t="s">
        <v>39</v>
      </c>
      <c r="Y43" s="55" t="s">
        <v>50</v>
      </c>
      <c r="Z43" s="55" t="s">
        <v>102</v>
      </c>
      <c r="AA43" s="55" t="s">
        <v>78</v>
      </c>
      <c r="AB43" s="39" t="s">
        <v>330</v>
      </c>
      <c r="AE43" s="258"/>
      <c r="AF43" s="253"/>
      <c r="AG43" s="259"/>
      <c r="AH43" s="259"/>
      <c r="AI43" s="253"/>
      <c r="AJ43" s="253"/>
      <c r="AK43" s="253"/>
      <c r="AL43" s="253"/>
      <c r="AM43" s="253"/>
      <c r="AN43" s="253"/>
      <c r="AO43" s="253"/>
      <c r="AP43" s="253"/>
      <c r="AQ43" s="253"/>
      <c r="AR43" s="259"/>
      <c r="AS43" s="253"/>
      <c r="AT43" s="253"/>
      <c r="AU43" s="253"/>
      <c r="AV43" s="253"/>
      <c r="AW43" s="253"/>
    </row>
    <row r="44" spans="1:49" x14ac:dyDescent="0.15">
      <c r="A44" s="55" t="s">
        <v>41</v>
      </c>
      <c r="B44" s="237" t="s">
        <v>328</v>
      </c>
      <c r="C44" s="152">
        <v>2018</v>
      </c>
      <c r="D44" s="56" t="s">
        <v>377</v>
      </c>
      <c r="E44" s="237" t="s">
        <v>281</v>
      </c>
      <c r="F44" s="237" t="s">
        <v>287</v>
      </c>
      <c r="G44" s="55" t="s">
        <v>42</v>
      </c>
      <c r="H44" s="55" t="s">
        <v>155</v>
      </c>
      <c r="I44" s="55" t="s">
        <v>153</v>
      </c>
      <c r="J44" s="55" t="s">
        <v>38</v>
      </c>
      <c r="K44" s="55" t="s">
        <v>154</v>
      </c>
      <c r="L44" s="237">
        <v>1</v>
      </c>
      <c r="M44" s="55"/>
      <c r="N44" s="55">
        <v>3</v>
      </c>
      <c r="O44" s="55">
        <v>0.5</v>
      </c>
      <c r="P44" s="55">
        <v>0.65</v>
      </c>
      <c r="Q44" s="57">
        <f t="shared" si="0"/>
        <v>0.57499999999999996</v>
      </c>
      <c r="R44" s="237">
        <v>13.8</v>
      </c>
      <c r="S44" s="55">
        <v>131</v>
      </c>
      <c r="T44" s="77">
        <f t="shared" si="4"/>
        <v>25</v>
      </c>
      <c r="U44" s="55">
        <v>429</v>
      </c>
      <c r="V44" s="78">
        <f t="shared" si="2"/>
        <v>3575</v>
      </c>
      <c r="W44" s="55">
        <v>1</v>
      </c>
      <c r="X44" s="55" t="s">
        <v>39</v>
      </c>
      <c r="Y44" s="55" t="s">
        <v>50</v>
      </c>
      <c r="Z44" s="55" t="s">
        <v>102</v>
      </c>
      <c r="AA44" s="55" t="s">
        <v>78</v>
      </c>
      <c r="AB44" s="39" t="s">
        <v>330</v>
      </c>
      <c r="AE44" s="258"/>
      <c r="AF44" s="253"/>
      <c r="AG44" s="259"/>
      <c r="AH44" s="259"/>
      <c r="AI44" s="253"/>
      <c r="AJ44" s="253"/>
      <c r="AK44" s="253"/>
      <c r="AL44" s="253"/>
      <c r="AM44" s="253"/>
      <c r="AN44" s="253"/>
      <c r="AO44" s="253"/>
      <c r="AP44" s="253"/>
      <c r="AQ44" s="253"/>
      <c r="AR44" s="259"/>
      <c r="AS44" s="253"/>
      <c r="AT44" s="253"/>
      <c r="AU44" s="253"/>
      <c r="AV44" s="253"/>
      <c r="AW44" s="253"/>
    </row>
    <row r="45" spans="1:49" x14ac:dyDescent="0.15">
      <c r="A45" s="55" t="s">
        <v>41</v>
      </c>
      <c r="B45" s="237" t="s">
        <v>328</v>
      </c>
      <c r="C45" s="152">
        <v>2018</v>
      </c>
      <c r="D45" s="56" t="s">
        <v>377</v>
      </c>
      <c r="E45" s="237" t="s">
        <v>281</v>
      </c>
      <c r="F45" s="237" t="s">
        <v>287</v>
      </c>
      <c r="G45" s="55" t="s">
        <v>42</v>
      </c>
      <c r="H45" s="55" t="s">
        <v>155</v>
      </c>
      <c r="I45" s="55" t="s">
        <v>153</v>
      </c>
      <c r="J45" s="55" t="s">
        <v>38</v>
      </c>
      <c r="K45" s="55" t="s">
        <v>154</v>
      </c>
      <c r="L45" s="237">
        <v>2</v>
      </c>
      <c r="N45" s="55">
        <v>3</v>
      </c>
      <c r="O45" s="55">
        <v>0.45</v>
      </c>
      <c r="P45" s="55">
        <v>0.5</v>
      </c>
      <c r="Q45" s="57">
        <f t="shared" si="0"/>
        <v>0.47499999999999998</v>
      </c>
      <c r="R45" s="237">
        <v>13</v>
      </c>
      <c r="S45" s="55">
        <v>129</v>
      </c>
      <c r="T45" s="77">
        <f t="shared" si="4"/>
        <v>25</v>
      </c>
      <c r="U45" s="55">
        <v>429</v>
      </c>
      <c r="V45" s="58">
        <f t="shared" si="2"/>
        <v>3575</v>
      </c>
      <c r="W45" s="237">
        <v>1</v>
      </c>
      <c r="X45" s="55" t="s">
        <v>39</v>
      </c>
      <c r="Y45" s="55" t="s">
        <v>50</v>
      </c>
      <c r="Z45" s="55" t="s">
        <v>102</v>
      </c>
      <c r="AA45" s="55" t="s">
        <v>78</v>
      </c>
      <c r="AB45" s="39" t="s">
        <v>330</v>
      </c>
      <c r="AE45" s="258"/>
      <c r="AF45" s="253"/>
      <c r="AG45" s="259"/>
      <c r="AH45" s="259"/>
      <c r="AI45" s="253"/>
      <c r="AJ45" s="253"/>
      <c r="AK45" s="253"/>
      <c r="AL45" s="253"/>
      <c r="AM45" s="253"/>
      <c r="AN45" s="253"/>
      <c r="AO45" s="253"/>
      <c r="AP45" s="253"/>
      <c r="AQ45" s="253"/>
      <c r="AR45" s="259"/>
      <c r="AS45" s="253"/>
      <c r="AT45" s="253"/>
      <c r="AU45" s="253"/>
      <c r="AV45" s="253"/>
      <c r="AW45" s="253"/>
    </row>
    <row r="46" spans="1:49" x14ac:dyDescent="0.15">
      <c r="A46" s="55" t="s">
        <v>41</v>
      </c>
      <c r="B46" s="237" t="s">
        <v>328</v>
      </c>
      <c r="C46" s="152">
        <v>2018</v>
      </c>
      <c r="D46" s="56" t="s">
        <v>377</v>
      </c>
      <c r="E46" s="237" t="s">
        <v>281</v>
      </c>
      <c r="F46" s="237" t="s">
        <v>287</v>
      </c>
      <c r="G46" s="55" t="s">
        <v>42</v>
      </c>
      <c r="H46" s="55" t="s">
        <v>155</v>
      </c>
      <c r="I46" s="55" t="s">
        <v>153</v>
      </c>
      <c r="J46" s="55" t="s">
        <v>38</v>
      </c>
      <c r="K46" s="55" t="s">
        <v>154</v>
      </c>
      <c r="L46" s="237">
        <v>3</v>
      </c>
      <c r="N46" s="55">
        <v>3</v>
      </c>
      <c r="O46" s="55">
        <v>0.55000000000000004</v>
      </c>
      <c r="P46" s="55">
        <v>0.5</v>
      </c>
      <c r="Q46" s="57">
        <f t="shared" si="0"/>
        <v>0.52500000000000002</v>
      </c>
      <c r="R46" s="237">
        <v>14.7</v>
      </c>
      <c r="S46" s="55">
        <v>130</v>
      </c>
      <c r="T46" s="77">
        <f t="shared" si="4"/>
        <v>25</v>
      </c>
      <c r="U46" s="55">
        <v>429</v>
      </c>
      <c r="V46" s="58">
        <f t="shared" si="2"/>
        <v>3575</v>
      </c>
      <c r="W46" s="237">
        <v>1</v>
      </c>
      <c r="X46" s="55" t="s">
        <v>39</v>
      </c>
      <c r="Y46" s="55" t="s">
        <v>50</v>
      </c>
      <c r="Z46" s="55" t="s">
        <v>102</v>
      </c>
      <c r="AA46" s="55" t="s">
        <v>78</v>
      </c>
      <c r="AB46" s="39" t="s">
        <v>330</v>
      </c>
      <c r="AE46" s="258"/>
      <c r="AF46" s="253"/>
      <c r="AG46" s="259"/>
      <c r="AH46" s="259"/>
      <c r="AI46" s="253"/>
      <c r="AJ46" s="253"/>
      <c r="AK46" s="253"/>
      <c r="AL46" s="253"/>
      <c r="AM46" s="253"/>
      <c r="AN46" s="253"/>
      <c r="AO46" s="253"/>
      <c r="AP46" s="253"/>
      <c r="AQ46" s="253"/>
      <c r="AR46" s="259"/>
      <c r="AS46" s="253"/>
      <c r="AT46" s="253"/>
      <c r="AU46" s="253"/>
      <c r="AV46" s="253"/>
      <c r="AW46" s="253"/>
    </row>
    <row r="47" spans="1:49" x14ac:dyDescent="0.15">
      <c r="A47" s="55" t="s">
        <v>41</v>
      </c>
      <c r="B47" s="237" t="s">
        <v>328</v>
      </c>
      <c r="C47" s="152">
        <v>2018</v>
      </c>
      <c r="D47" s="56" t="s">
        <v>377</v>
      </c>
      <c r="E47" s="237" t="s">
        <v>282</v>
      </c>
      <c r="F47" s="237" t="s">
        <v>286</v>
      </c>
      <c r="G47" s="55" t="s">
        <v>42</v>
      </c>
      <c r="H47" s="55" t="s">
        <v>155</v>
      </c>
      <c r="I47" s="55" t="s">
        <v>153</v>
      </c>
      <c r="J47" s="55" t="s">
        <v>38</v>
      </c>
      <c r="K47" s="55" t="s">
        <v>154</v>
      </c>
      <c r="L47" s="237">
        <v>1</v>
      </c>
      <c r="N47" s="55">
        <v>1</v>
      </c>
      <c r="O47" s="237">
        <v>0.8</v>
      </c>
      <c r="P47" s="237">
        <v>0.7</v>
      </c>
      <c r="Q47" s="57">
        <f t="shared" si="0"/>
        <v>0.75</v>
      </c>
      <c r="R47" s="237">
        <v>15.7</v>
      </c>
      <c r="S47" s="237">
        <v>105</v>
      </c>
      <c r="T47" s="57">
        <f t="shared" si="4"/>
        <v>33</v>
      </c>
      <c r="U47" s="237">
        <v>108</v>
      </c>
      <c r="V47" s="58">
        <f t="shared" si="2"/>
        <v>3564</v>
      </c>
      <c r="W47" s="237">
        <v>3</v>
      </c>
      <c r="X47" s="55" t="s">
        <v>46</v>
      </c>
      <c r="Y47" s="55" t="s">
        <v>50</v>
      </c>
      <c r="Z47" s="55" t="s">
        <v>102</v>
      </c>
      <c r="AA47" s="55" t="s">
        <v>78</v>
      </c>
      <c r="AB47" s="39" t="s">
        <v>330</v>
      </c>
    </row>
    <row r="48" spans="1:49" x14ac:dyDescent="0.15">
      <c r="A48" s="55" t="s">
        <v>41</v>
      </c>
      <c r="B48" s="237" t="s">
        <v>328</v>
      </c>
      <c r="C48" s="152">
        <v>2018</v>
      </c>
      <c r="D48" s="56" t="s">
        <v>377</v>
      </c>
      <c r="E48" s="237" t="s">
        <v>282</v>
      </c>
      <c r="F48" s="237" t="s">
        <v>286</v>
      </c>
      <c r="G48" s="55" t="s">
        <v>42</v>
      </c>
      <c r="H48" s="55" t="s">
        <v>155</v>
      </c>
      <c r="I48" s="55" t="s">
        <v>153</v>
      </c>
      <c r="J48" s="55" t="s">
        <v>38</v>
      </c>
      <c r="K48" s="55" t="s">
        <v>154</v>
      </c>
      <c r="L48" s="237">
        <v>2</v>
      </c>
      <c r="N48" s="55">
        <v>1</v>
      </c>
      <c r="O48" s="237">
        <v>0.85</v>
      </c>
      <c r="P48" s="237">
        <v>0.85</v>
      </c>
      <c r="Q48" s="57">
        <f t="shared" si="0"/>
        <v>0.85</v>
      </c>
      <c r="R48" s="237">
        <v>14</v>
      </c>
      <c r="S48" s="237">
        <v>104</v>
      </c>
      <c r="T48" s="57">
        <f t="shared" si="4"/>
        <v>33</v>
      </c>
      <c r="U48" s="237">
        <v>108</v>
      </c>
      <c r="V48" s="58">
        <f t="shared" si="2"/>
        <v>3564</v>
      </c>
      <c r="W48" s="237">
        <v>3</v>
      </c>
      <c r="X48" s="55" t="s">
        <v>46</v>
      </c>
      <c r="Y48" s="55" t="s">
        <v>50</v>
      </c>
      <c r="Z48" s="55" t="s">
        <v>102</v>
      </c>
      <c r="AA48" s="55" t="s">
        <v>78</v>
      </c>
      <c r="AB48" s="39" t="s">
        <v>330</v>
      </c>
    </row>
    <row r="49" spans="1:30" x14ac:dyDescent="0.15">
      <c r="A49" s="55" t="s">
        <v>41</v>
      </c>
      <c r="B49" s="237" t="s">
        <v>328</v>
      </c>
      <c r="C49" s="152">
        <v>2018</v>
      </c>
      <c r="D49" s="56" t="s">
        <v>377</v>
      </c>
      <c r="E49" s="237" t="s">
        <v>282</v>
      </c>
      <c r="F49" s="237" t="s">
        <v>286</v>
      </c>
      <c r="G49" s="55" t="s">
        <v>42</v>
      </c>
      <c r="H49" s="55" t="s">
        <v>155</v>
      </c>
      <c r="I49" s="55" t="s">
        <v>153</v>
      </c>
      <c r="J49" s="55" t="s">
        <v>38</v>
      </c>
      <c r="K49" s="55" t="s">
        <v>154</v>
      </c>
      <c r="L49" s="237">
        <v>3</v>
      </c>
      <c r="N49" s="55">
        <v>1</v>
      </c>
      <c r="O49" s="237">
        <v>0.9</v>
      </c>
      <c r="P49" s="237">
        <v>0.85</v>
      </c>
      <c r="Q49" s="57">
        <f t="shared" si="0"/>
        <v>0.875</v>
      </c>
      <c r="R49" s="237">
        <v>12.8</v>
      </c>
      <c r="S49" s="237">
        <v>110</v>
      </c>
      <c r="T49" s="57">
        <f t="shared" si="4"/>
        <v>33</v>
      </c>
      <c r="U49" s="237">
        <v>108</v>
      </c>
      <c r="V49" s="58">
        <f t="shared" si="2"/>
        <v>3564</v>
      </c>
      <c r="W49" s="237">
        <v>3</v>
      </c>
      <c r="X49" s="55" t="s">
        <v>46</v>
      </c>
      <c r="Y49" s="55" t="s">
        <v>50</v>
      </c>
      <c r="Z49" s="55" t="s">
        <v>102</v>
      </c>
      <c r="AA49" s="55" t="s">
        <v>78</v>
      </c>
      <c r="AB49" s="39" t="s">
        <v>330</v>
      </c>
    </row>
    <row r="50" spans="1:30" x14ac:dyDescent="0.15">
      <c r="A50" s="55" t="s">
        <v>41</v>
      </c>
      <c r="B50" s="237" t="s">
        <v>328</v>
      </c>
      <c r="C50" s="152">
        <v>2018</v>
      </c>
      <c r="D50" s="56" t="s">
        <v>377</v>
      </c>
      <c r="E50" s="237" t="s">
        <v>282</v>
      </c>
      <c r="F50" s="237" t="s">
        <v>286</v>
      </c>
      <c r="G50" s="55" t="s">
        <v>42</v>
      </c>
      <c r="H50" s="55" t="s">
        <v>157</v>
      </c>
      <c r="I50" s="55" t="s">
        <v>153</v>
      </c>
      <c r="J50" s="55" t="s">
        <v>38</v>
      </c>
      <c r="K50" s="55" t="s">
        <v>154</v>
      </c>
      <c r="L50" s="237">
        <v>1</v>
      </c>
      <c r="N50" s="55">
        <v>1</v>
      </c>
      <c r="O50" s="237">
        <v>0.9</v>
      </c>
      <c r="P50" s="237">
        <v>0.75</v>
      </c>
      <c r="Q50" s="57">
        <f t="shared" si="0"/>
        <v>0.82499999999999996</v>
      </c>
      <c r="R50" s="237">
        <v>13.4</v>
      </c>
      <c r="S50" s="237">
        <v>124</v>
      </c>
      <c r="T50" s="57">
        <f t="shared" si="4"/>
        <v>27</v>
      </c>
      <c r="U50" s="237">
        <v>170</v>
      </c>
      <c r="V50" s="58">
        <f t="shared" si="2"/>
        <v>4590</v>
      </c>
      <c r="W50" s="237">
        <v>1</v>
      </c>
      <c r="X50" s="55" t="s">
        <v>46</v>
      </c>
      <c r="Y50" s="55" t="s">
        <v>50</v>
      </c>
      <c r="Z50" s="55" t="s">
        <v>102</v>
      </c>
      <c r="AA50" s="55" t="s">
        <v>78</v>
      </c>
      <c r="AB50" s="39" t="s">
        <v>330</v>
      </c>
      <c r="AC50" s="55"/>
      <c r="AD50" s="55"/>
    </row>
    <row r="51" spans="1:30" x14ac:dyDescent="0.15">
      <c r="A51" s="55" t="s">
        <v>41</v>
      </c>
      <c r="B51" s="237" t="s">
        <v>328</v>
      </c>
      <c r="C51" s="152">
        <v>2018</v>
      </c>
      <c r="D51" s="56" t="s">
        <v>377</v>
      </c>
      <c r="E51" s="237" t="s">
        <v>282</v>
      </c>
      <c r="F51" s="237" t="s">
        <v>286</v>
      </c>
      <c r="G51" s="55" t="s">
        <v>42</v>
      </c>
      <c r="H51" s="55" t="s">
        <v>157</v>
      </c>
      <c r="I51" s="55" t="s">
        <v>153</v>
      </c>
      <c r="J51" s="55" t="s">
        <v>38</v>
      </c>
      <c r="K51" s="55" t="s">
        <v>154</v>
      </c>
      <c r="L51" s="237">
        <v>2</v>
      </c>
      <c r="N51" s="55">
        <v>1</v>
      </c>
      <c r="O51" s="237">
        <v>0.95</v>
      </c>
      <c r="P51" s="237">
        <v>0.8</v>
      </c>
      <c r="Q51" s="57">
        <f t="shared" si="0"/>
        <v>0.875</v>
      </c>
      <c r="R51" s="55">
        <v>13.4</v>
      </c>
      <c r="S51" s="237">
        <v>128</v>
      </c>
      <c r="T51" s="57">
        <f t="shared" si="4"/>
        <v>27</v>
      </c>
      <c r="U51" s="237">
        <v>170</v>
      </c>
      <c r="V51" s="58">
        <f t="shared" si="2"/>
        <v>4590</v>
      </c>
      <c r="W51" s="237">
        <v>1</v>
      </c>
      <c r="X51" s="55" t="s">
        <v>46</v>
      </c>
      <c r="Y51" s="55" t="s">
        <v>50</v>
      </c>
      <c r="Z51" s="55" t="s">
        <v>102</v>
      </c>
      <c r="AA51" s="55" t="s">
        <v>78</v>
      </c>
      <c r="AB51" s="39" t="s">
        <v>330</v>
      </c>
      <c r="AC51" s="55"/>
      <c r="AD51" s="55"/>
    </row>
    <row r="52" spans="1:30" x14ac:dyDescent="0.15">
      <c r="A52" s="55" t="s">
        <v>41</v>
      </c>
      <c r="B52" s="237" t="s">
        <v>328</v>
      </c>
      <c r="C52" s="152">
        <v>2018</v>
      </c>
      <c r="D52" s="56" t="s">
        <v>377</v>
      </c>
      <c r="E52" s="237" t="s">
        <v>282</v>
      </c>
      <c r="F52" s="237" t="s">
        <v>286</v>
      </c>
      <c r="G52" s="55" t="s">
        <v>42</v>
      </c>
      <c r="H52" s="55" t="s">
        <v>157</v>
      </c>
      <c r="I52" s="55" t="s">
        <v>153</v>
      </c>
      <c r="J52" s="55" t="s">
        <v>38</v>
      </c>
      <c r="K52" s="55" t="s">
        <v>154</v>
      </c>
      <c r="L52" s="237">
        <v>3</v>
      </c>
      <c r="N52" s="55">
        <v>1</v>
      </c>
      <c r="O52" s="237">
        <v>0.8</v>
      </c>
      <c r="P52" s="237">
        <v>0.85</v>
      </c>
      <c r="Q52" s="57">
        <f t="shared" si="0"/>
        <v>0.82499999999999996</v>
      </c>
      <c r="R52" s="237">
        <v>14.8</v>
      </c>
      <c r="S52" s="237">
        <v>121</v>
      </c>
      <c r="T52" s="57">
        <f t="shared" si="4"/>
        <v>27</v>
      </c>
      <c r="U52" s="237">
        <v>170</v>
      </c>
      <c r="V52" s="58">
        <f t="shared" si="2"/>
        <v>4590</v>
      </c>
      <c r="W52" s="237">
        <v>1</v>
      </c>
      <c r="X52" s="55" t="s">
        <v>46</v>
      </c>
      <c r="Y52" s="55" t="s">
        <v>50</v>
      </c>
      <c r="Z52" s="55" t="s">
        <v>102</v>
      </c>
      <c r="AA52" s="55" t="s">
        <v>78</v>
      </c>
      <c r="AB52" s="39" t="s">
        <v>330</v>
      </c>
      <c r="AC52" s="55"/>
      <c r="AD52" s="55"/>
    </row>
    <row r="53" spans="1:30" x14ac:dyDescent="0.15">
      <c r="A53" s="55" t="s">
        <v>41</v>
      </c>
      <c r="B53" s="237" t="s">
        <v>328</v>
      </c>
      <c r="C53" s="152">
        <v>2018</v>
      </c>
      <c r="D53" s="56" t="s">
        <v>377</v>
      </c>
      <c r="E53" s="237" t="s">
        <v>282</v>
      </c>
      <c r="F53" s="237" t="s">
        <v>286</v>
      </c>
      <c r="G53" s="55" t="s">
        <v>42</v>
      </c>
      <c r="H53" s="55" t="s">
        <v>157</v>
      </c>
      <c r="I53" s="55" t="s">
        <v>153</v>
      </c>
      <c r="J53" s="55" t="s">
        <v>38</v>
      </c>
      <c r="K53" s="55" t="s">
        <v>154</v>
      </c>
      <c r="L53" s="237">
        <v>1</v>
      </c>
      <c r="N53" s="55">
        <v>4</v>
      </c>
      <c r="O53" s="55">
        <v>0.65</v>
      </c>
      <c r="P53" s="55">
        <v>0.75</v>
      </c>
      <c r="Q53" s="82">
        <f t="shared" si="0"/>
        <v>0.7</v>
      </c>
      <c r="R53" s="55">
        <v>15.1</v>
      </c>
      <c r="S53" s="55">
        <v>120</v>
      </c>
      <c r="T53" s="57">
        <f t="shared" si="4"/>
        <v>30</v>
      </c>
      <c r="U53" s="237">
        <v>380</v>
      </c>
      <c r="V53" s="58">
        <f t="shared" si="2"/>
        <v>2850</v>
      </c>
      <c r="W53" s="237">
        <v>2</v>
      </c>
      <c r="X53" s="55" t="s">
        <v>46</v>
      </c>
      <c r="Y53" s="55" t="s">
        <v>50</v>
      </c>
      <c r="Z53" s="55" t="s">
        <v>102</v>
      </c>
      <c r="AA53" s="55" t="s">
        <v>78</v>
      </c>
      <c r="AB53" s="39" t="s">
        <v>330</v>
      </c>
    </row>
    <row r="54" spans="1:30" x14ac:dyDescent="0.15">
      <c r="A54" s="55" t="s">
        <v>41</v>
      </c>
      <c r="B54" s="237" t="s">
        <v>328</v>
      </c>
      <c r="C54" s="152">
        <v>2018</v>
      </c>
      <c r="D54" s="56" t="s">
        <v>377</v>
      </c>
      <c r="E54" s="237" t="s">
        <v>282</v>
      </c>
      <c r="F54" s="237" t="s">
        <v>286</v>
      </c>
      <c r="G54" s="55" t="s">
        <v>42</v>
      </c>
      <c r="H54" s="55" t="s">
        <v>157</v>
      </c>
      <c r="I54" s="55" t="s">
        <v>153</v>
      </c>
      <c r="J54" s="55" t="s">
        <v>38</v>
      </c>
      <c r="K54" s="55" t="s">
        <v>154</v>
      </c>
      <c r="L54" s="237">
        <v>2</v>
      </c>
      <c r="N54" s="55">
        <v>4</v>
      </c>
      <c r="O54" s="55">
        <v>0.8</v>
      </c>
      <c r="P54" s="55">
        <v>0.7</v>
      </c>
      <c r="Q54" s="82">
        <f t="shared" si="0"/>
        <v>0.75</v>
      </c>
      <c r="R54" s="55">
        <v>15.4</v>
      </c>
      <c r="S54" s="55">
        <v>119</v>
      </c>
      <c r="T54" s="57">
        <f t="shared" si="4"/>
        <v>30</v>
      </c>
      <c r="U54" s="237">
        <v>380</v>
      </c>
      <c r="V54" s="58">
        <f t="shared" si="2"/>
        <v>2850</v>
      </c>
      <c r="W54" s="237">
        <v>2</v>
      </c>
      <c r="X54" s="55" t="s">
        <v>46</v>
      </c>
      <c r="Y54" s="55" t="s">
        <v>50</v>
      </c>
      <c r="Z54" s="55" t="s">
        <v>102</v>
      </c>
      <c r="AA54" s="55" t="s">
        <v>78</v>
      </c>
      <c r="AB54" s="39" t="s">
        <v>330</v>
      </c>
    </row>
    <row r="55" spans="1:30" x14ac:dyDescent="0.15">
      <c r="A55" s="55" t="s">
        <v>41</v>
      </c>
      <c r="B55" s="237" t="s">
        <v>328</v>
      </c>
      <c r="C55" s="152">
        <v>2018</v>
      </c>
      <c r="D55" s="56" t="s">
        <v>377</v>
      </c>
      <c r="E55" s="237" t="s">
        <v>282</v>
      </c>
      <c r="F55" s="237" t="s">
        <v>286</v>
      </c>
      <c r="G55" s="55" t="s">
        <v>42</v>
      </c>
      <c r="H55" s="55" t="s">
        <v>157</v>
      </c>
      <c r="I55" s="55" t="s">
        <v>153</v>
      </c>
      <c r="J55" s="55" t="s">
        <v>38</v>
      </c>
      <c r="K55" s="55" t="s">
        <v>154</v>
      </c>
      <c r="L55" s="237">
        <v>3</v>
      </c>
      <c r="N55" s="55">
        <v>4</v>
      </c>
      <c r="O55" s="55">
        <v>0.75</v>
      </c>
      <c r="P55" s="55">
        <v>0.7</v>
      </c>
      <c r="Q55" s="82">
        <f t="shared" si="0"/>
        <v>0.72499999999999998</v>
      </c>
      <c r="R55" s="55">
        <v>16.100000000000001</v>
      </c>
      <c r="S55" s="55">
        <v>123</v>
      </c>
      <c r="T55" s="57">
        <f t="shared" si="4"/>
        <v>27</v>
      </c>
      <c r="U55" s="55">
        <v>380</v>
      </c>
      <c r="V55" s="58">
        <f t="shared" si="2"/>
        <v>2565</v>
      </c>
      <c r="W55" s="237">
        <v>2</v>
      </c>
      <c r="X55" s="55" t="s">
        <v>46</v>
      </c>
      <c r="Y55" s="55" t="s">
        <v>50</v>
      </c>
      <c r="Z55" s="55" t="s">
        <v>102</v>
      </c>
      <c r="AA55" s="55" t="s">
        <v>78</v>
      </c>
      <c r="AB55" s="39" t="s">
        <v>330</v>
      </c>
    </row>
    <row r="56" spans="1:30" x14ac:dyDescent="0.15">
      <c r="A56" s="55" t="s">
        <v>41</v>
      </c>
      <c r="B56" s="237" t="s">
        <v>328</v>
      </c>
      <c r="C56" s="152">
        <v>2018</v>
      </c>
      <c r="D56" s="56" t="s">
        <v>377</v>
      </c>
      <c r="E56" s="237" t="s">
        <v>282</v>
      </c>
      <c r="F56" s="237" t="s">
        <v>286</v>
      </c>
      <c r="G56" s="55" t="s">
        <v>42</v>
      </c>
      <c r="H56" s="55" t="s">
        <v>157</v>
      </c>
      <c r="I56" s="55" t="s">
        <v>153</v>
      </c>
      <c r="J56" s="55" t="s">
        <v>38</v>
      </c>
      <c r="K56" s="55" t="s">
        <v>154</v>
      </c>
      <c r="L56" s="237">
        <v>1</v>
      </c>
      <c r="N56" s="55">
        <v>10</v>
      </c>
      <c r="O56" s="55">
        <v>0.45</v>
      </c>
      <c r="P56" s="55">
        <v>0.55000000000000004</v>
      </c>
      <c r="Q56" s="82">
        <f t="shared" si="0"/>
        <v>0.5</v>
      </c>
      <c r="R56" s="55">
        <v>15</v>
      </c>
      <c r="S56" s="55">
        <v>125</v>
      </c>
      <c r="T56" s="57">
        <f t="shared" si="4"/>
        <v>27</v>
      </c>
      <c r="U56" s="237">
        <v>950</v>
      </c>
      <c r="V56" s="58">
        <f t="shared" si="2"/>
        <v>2565</v>
      </c>
      <c r="W56" s="237">
        <v>1</v>
      </c>
      <c r="X56" s="55" t="s">
        <v>46</v>
      </c>
      <c r="Y56" s="55" t="s">
        <v>50</v>
      </c>
      <c r="Z56" s="55" t="s">
        <v>102</v>
      </c>
      <c r="AA56" s="55" t="s">
        <v>78</v>
      </c>
      <c r="AB56" s="39" t="s">
        <v>330</v>
      </c>
    </row>
    <row r="57" spans="1:30" x14ac:dyDescent="0.15">
      <c r="A57" s="55" t="s">
        <v>41</v>
      </c>
      <c r="B57" s="237" t="s">
        <v>328</v>
      </c>
      <c r="C57" s="152">
        <v>2018</v>
      </c>
      <c r="D57" s="56" t="s">
        <v>377</v>
      </c>
      <c r="E57" s="237" t="s">
        <v>282</v>
      </c>
      <c r="F57" s="237" t="s">
        <v>286</v>
      </c>
      <c r="G57" s="55" t="s">
        <v>42</v>
      </c>
      <c r="H57" s="55" t="s">
        <v>157</v>
      </c>
      <c r="I57" s="55" t="s">
        <v>153</v>
      </c>
      <c r="J57" s="55" t="s">
        <v>38</v>
      </c>
      <c r="K57" s="55" t="s">
        <v>154</v>
      </c>
      <c r="L57" s="237">
        <v>2</v>
      </c>
      <c r="N57" s="55">
        <v>10</v>
      </c>
      <c r="O57" s="55">
        <v>0.4</v>
      </c>
      <c r="P57" s="55">
        <v>0.35</v>
      </c>
      <c r="Q57" s="82">
        <f t="shared" si="0"/>
        <v>0.375</v>
      </c>
      <c r="R57" s="55">
        <v>15.8</v>
      </c>
      <c r="S57" s="55">
        <v>121</v>
      </c>
      <c r="T57" s="57">
        <f t="shared" si="4"/>
        <v>27</v>
      </c>
      <c r="U57" s="237">
        <v>950</v>
      </c>
      <c r="V57" s="58">
        <f t="shared" si="2"/>
        <v>2565</v>
      </c>
      <c r="W57" s="237">
        <v>1</v>
      </c>
      <c r="X57" s="55" t="s">
        <v>46</v>
      </c>
      <c r="Y57" s="55" t="s">
        <v>50</v>
      </c>
      <c r="Z57" s="55" t="s">
        <v>102</v>
      </c>
      <c r="AA57" s="55" t="s">
        <v>78</v>
      </c>
      <c r="AB57" s="39" t="s">
        <v>330</v>
      </c>
    </row>
    <row r="58" spans="1:30" x14ac:dyDescent="0.15">
      <c r="A58" s="55" t="s">
        <v>41</v>
      </c>
      <c r="B58" s="237" t="s">
        <v>328</v>
      </c>
      <c r="C58" s="152">
        <v>2018</v>
      </c>
      <c r="D58" s="56" t="s">
        <v>377</v>
      </c>
      <c r="E58" s="237" t="s">
        <v>282</v>
      </c>
      <c r="F58" s="237" t="s">
        <v>286</v>
      </c>
      <c r="G58" s="55" t="s">
        <v>42</v>
      </c>
      <c r="H58" s="55" t="s">
        <v>157</v>
      </c>
      <c r="I58" s="55" t="s">
        <v>153</v>
      </c>
      <c r="J58" s="55" t="s">
        <v>38</v>
      </c>
      <c r="K58" s="55" t="s">
        <v>154</v>
      </c>
      <c r="L58" s="237">
        <v>3</v>
      </c>
      <c r="N58" s="55">
        <v>10</v>
      </c>
      <c r="O58" s="55">
        <v>0.35</v>
      </c>
      <c r="P58" s="55">
        <v>0.4</v>
      </c>
      <c r="Q58" s="82">
        <f t="shared" si="0"/>
        <v>0.375</v>
      </c>
      <c r="R58" s="55">
        <v>17</v>
      </c>
      <c r="S58" s="55">
        <v>123</v>
      </c>
      <c r="T58" s="57">
        <f t="shared" si="4"/>
        <v>27</v>
      </c>
      <c r="U58" s="55">
        <v>950</v>
      </c>
      <c r="V58" s="58">
        <f t="shared" si="2"/>
        <v>2565</v>
      </c>
      <c r="W58" s="237">
        <v>1</v>
      </c>
      <c r="X58" s="55" t="s">
        <v>46</v>
      </c>
      <c r="Y58" s="55" t="s">
        <v>50</v>
      </c>
      <c r="Z58" s="55" t="s">
        <v>102</v>
      </c>
      <c r="AA58" s="55" t="s">
        <v>78</v>
      </c>
      <c r="AB58" s="39" t="s">
        <v>330</v>
      </c>
    </row>
    <row r="59" spans="1:30" x14ac:dyDescent="0.15">
      <c r="A59" s="55" t="s">
        <v>41</v>
      </c>
      <c r="B59" s="237" t="s">
        <v>328</v>
      </c>
      <c r="C59" s="152">
        <v>2018</v>
      </c>
      <c r="D59" s="56" t="s">
        <v>377</v>
      </c>
      <c r="E59" s="237" t="s">
        <v>282</v>
      </c>
      <c r="F59" s="237" t="s">
        <v>286</v>
      </c>
      <c r="G59" s="55" t="s">
        <v>42</v>
      </c>
      <c r="H59" s="55" t="s">
        <v>155</v>
      </c>
      <c r="I59" s="55" t="s">
        <v>153</v>
      </c>
      <c r="J59" s="55" t="s">
        <v>38</v>
      </c>
      <c r="K59" s="55" t="s">
        <v>154</v>
      </c>
      <c r="L59" s="237">
        <v>1</v>
      </c>
      <c r="N59" s="237">
        <v>5</v>
      </c>
      <c r="O59" s="55">
        <v>0.45</v>
      </c>
      <c r="P59" s="55">
        <v>0.5</v>
      </c>
      <c r="Q59" s="82">
        <f t="shared" si="0"/>
        <v>0.47499999999999998</v>
      </c>
      <c r="R59" s="237">
        <v>13.5</v>
      </c>
      <c r="S59" s="55">
        <v>100</v>
      </c>
      <c r="T59" s="57">
        <f t="shared" si="4"/>
        <v>33</v>
      </c>
      <c r="U59" s="237">
        <v>429</v>
      </c>
      <c r="V59" s="58">
        <f t="shared" si="2"/>
        <v>2831.4</v>
      </c>
      <c r="W59" s="237">
        <v>2</v>
      </c>
      <c r="X59" s="55" t="s">
        <v>46</v>
      </c>
      <c r="Y59" s="55" t="s">
        <v>50</v>
      </c>
      <c r="Z59" s="55" t="s">
        <v>102</v>
      </c>
      <c r="AA59" s="55" t="s">
        <v>78</v>
      </c>
      <c r="AB59" s="39" t="s">
        <v>330</v>
      </c>
    </row>
    <row r="60" spans="1:30" x14ac:dyDescent="0.15">
      <c r="A60" s="55" t="s">
        <v>41</v>
      </c>
      <c r="B60" s="237" t="s">
        <v>328</v>
      </c>
      <c r="C60" s="152">
        <v>2018</v>
      </c>
      <c r="D60" s="56" t="s">
        <v>377</v>
      </c>
      <c r="E60" s="237" t="s">
        <v>282</v>
      </c>
      <c r="F60" s="237" t="s">
        <v>286</v>
      </c>
      <c r="G60" s="55" t="s">
        <v>42</v>
      </c>
      <c r="H60" s="55" t="s">
        <v>155</v>
      </c>
      <c r="I60" s="55" t="s">
        <v>153</v>
      </c>
      <c r="J60" s="55" t="s">
        <v>38</v>
      </c>
      <c r="K60" s="55" t="s">
        <v>154</v>
      </c>
      <c r="L60" s="237">
        <v>2</v>
      </c>
      <c r="N60" s="237">
        <v>5</v>
      </c>
      <c r="O60" s="55">
        <v>0.65</v>
      </c>
      <c r="P60" s="55">
        <v>0.75</v>
      </c>
      <c r="Q60" s="82">
        <f t="shared" si="0"/>
        <v>0.7</v>
      </c>
      <c r="R60" s="237">
        <v>16.100000000000001</v>
      </c>
      <c r="S60" s="55">
        <v>105</v>
      </c>
      <c r="T60" s="57">
        <f t="shared" si="4"/>
        <v>33</v>
      </c>
      <c r="U60" s="237">
        <v>429</v>
      </c>
      <c r="V60" s="58">
        <f t="shared" si="2"/>
        <v>2831.4</v>
      </c>
      <c r="W60" s="237">
        <v>2</v>
      </c>
      <c r="X60" s="55" t="s">
        <v>46</v>
      </c>
      <c r="Y60" s="55" t="s">
        <v>50</v>
      </c>
      <c r="Z60" s="55" t="s">
        <v>102</v>
      </c>
      <c r="AA60" s="55" t="s">
        <v>78</v>
      </c>
      <c r="AB60" s="39" t="s">
        <v>330</v>
      </c>
    </row>
    <row r="61" spans="1:30" x14ac:dyDescent="0.15">
      <c r="A61" s="55" t="s">
        <v>41</v>
      </c>
      <c r="B61" s="237" t="s">
        <v>328</v>
      </c>
      <c r="C61" s="152">
        <v>2018</v>
      </c>
      <c r="D61" s="56" t="s">
        <v>377</v>
      </c>
      <c r="E61" s="237" t="s">
        <v>282</v>
      </c>
      <c r="F61" s="237" t="s">
        <v>286</v>
      </c>
      <c r="G61" s="55" t="s">
        <v>42</v>
      </c>
      <c r="H61" s="55" t="s">
        <v>155</v>
      </c>
      <c r="I61" s="55" t="s">
        <v>153</v>
      </c>
      <c r="J61" s="55" t="s">
        <v>38</v>
      </c>
      <c r="K61" s="55" t="s">
        <v>154</v>
      </c>
      <c r="L61" s="237">
        <v>3</v>
      </c>
      <c r="N61" s="237">
        <v>5</v>
      </c>
      <c r="O61" s="55">
        <v>0.7</v>
      </c>
      <c r="P61" s="55">
        <v>0.85</v>
      </c>
      <c r="Q61" s="82">
        <f t="shared" si="0"/>
        <v>0.77499999999999991</v>
      </c>
      <c r="R61" s="237">
        <v>14.1</v>
      </c>
      <c r="S61" s="55">
        <v>101</v>
      </c>
      <c r="T61" s="57">
        <f t="shared" si="4"/>
        <v>33</v>
      </c>
      <c r="U61" s="237">
        <v>429</v>
      </c>
      <c r="V61" s="58">
        <f t="shared" si="2"/>
        <v>2831.4</v>
      </c>
      <c r="W61" s="237">
        <v>2</v>
      </c>
      <c r="X61" s="55" t="s">
        <v>46</v>
      </c>
      <c r="Y61" s="55" t="s">
        <v>50</v>
      </c>
      <c r="Z61" s="55" t="s">
        <v>102</v>
      </c>
      <c r="AA61" s="55" t="s">
        <v>78</v>
      </c>
      <c r="AB61" s="39" t="s">
        <v>330</v>
      </c>
    </row>
    <row r="62" spans="1:30" x14ac:dyDescent="0.15">
      <c r="A62" s="55" t="s">
        <v>41</v>
      </c>
      <c r="B62" s="237" t="s">
        <v>328</v>
      </c>
      <c r="C62" s="152">
        <v>2018</v>
      </c>
      <c r="D62" s="56" t="s">
        <v>377</v>
      </c>
      <c r="E62" s="237" t="s">
        <v>282</v>
      </c>
      <c r="F62" s="237" t="s">
        <v>288</v>
      </c>
      <c r="G62" s="55" t="s">
        <v>42</v>
      </c>
      <c r="H62" s="55" t="s">
        <v>155</v>
      </c>
      <c r="I62" s="55" t="s">
        <v>153</v>
      </c>
      <c r="J62" s="55" t="s">
        <v>38</v>
      </c>
      <c r="K62" s="55" t="s">
        <v>154</v>
      </c>
      <c r="L62" s="237">
        <v>1</v>
      </c>
      <c r="N62" s="55">
        <v>1</v>
      </c>
      <c r="O62" s="55">
        <v>0.85</v>
      </c>
      <c r="P62" s="55">
        <v>0.8</v>
      </c>
      <c r="Q62" s="82">
        <f t="shared" si="0"/>
        <v>0.82499999999999996</v>
      </c>
      <c r="R62" s="237">
        <v>12.8</v>
      </c>
      <c r="S62" s="55">
        <v>131</v>
      </c>
      <c r="T62" s="57">
        <f t="shared" si="4"/>
        <v>25</v>
      </c>
      <c r="U62" s="237">
        <v>96</v>
      </c>
      <c r="V62" s="58">
        <f t="shared" si="2"/>
        <v>2400</v>
      </c>
      <c r="W62" s="237">
        <v>1</v>
      </c>
      <c r="X62" s="55" t="s">
        <v>46</v>
      </c>
      <c r="Y62" s="55" t="s">
        <v>78</v>
      </c>
      <c r="Z62" s="55" t="s">
        <v>102</v>
      </c>
      <c r="AA62" s="55" t="s">
        <v>90</v>
      </c>
      <c r="AB62" s="39" t="s">
        <v>330</v>
      </c>
      <c r="AC62" s="55"/>
      <c r="AD62" s="55"/>
    </row>
    <row r="63" spans="1:30" x14ac:dyDescent="0.15">
      <c r="A63" s="55" t="s">
        <v>41</v>
      </c>
      <c r="B63" s="237" t="s">
        <v>328</v>
      </c>
      <c r="C63" s="152">
        <v>2018</v>
      </c>
      <c r="D63" s="56" t="s">
        <v>377</v>
      </c>
      <c r="E63" s="237" t="s">
        <v>282</v>
      </c>
      <c r="F63" s="237" t="s">
        <v>288</v>
      </c>
      <c r="G63" s="55" t="s">
        <v>42</v>
      </c>
      <c r="H63" s="55" t="s">
        <v>155</v>
      </c>
      <c r="I63" s="55" t="s">
        <v>153</v>
      </c>
      <c r="J63" s="55" t="s">
        <v>38</v>
      </c>
      <c r="K63" s="55" t="s">
        <v>154</v>
      </c>
      <c r="L63" s="237">
        <v>2</v>
      </c>
      <c r="N63" s="55">
        <v>1</v>
      </c>
      <c r="O63" s="55">
        <v>0.6</v>
      </c>
      <c r="P63" s="55">
        <v>0.75</v>
      </c>
      <c r="Q63" s="82">
        <f t="shared" si="0"/>
        <v>0.67500000000000004</v>
      </c>
      <c r="R63" s="237">
        <v>13.3</v>
      </c>
      <c r="S63" s="55">
        <v>128</v>
      </c>
      <c r="T63" s="57">
        <f t="shared" si="4"/>
        <v>27</v>
      </c>
      <c r="U63" s="237">
        <v>96</v>
      </c>
      <c r="V63" s="58">
        <f t="shared" si="2"/>
        <v>2592</v>
      </c>
      <c r="W63" s="237">
        <v>1</v>
      </c>
      <c r="X63" s="55" t="s">
        <v>46</v>
      </c>
      <c r="Y63" s="55" t="s">
        <v>78</v>
      </c>
      <c r="Z63" s="55" t="s">
        <v>102</v>
      </c>
      <c r="AA63" s="55" t="s">
        <v>90</v>
      </c>
      <c r="AB63" s="39" t="s">
        <v>330</v>
      </c>
      <c r="AC63" s="55"/>
      <c r="AD63" s="55"/>
    </row>
    <row r="64" spans="1:30" x14ac:dyDescent="0.15">
      <c r="A64" s="55" t="s">
        <v>41</v>
      </c>
      <c r="B64" s="237" t="s">
        <v>328</v>
      </c>
      <c r="C64" s="152">
        <v>2018</v>
      </c>
      <c r="D64" s="56" t="s">
        <v>377</v>
      </c>
      <c r="E64" s="237" t="s">
        <v>282</v>
      </c>
      <c r="F64" s="237" t="s">
        <v>288</v>
      </c>
      <c r="G64" s="55" t="s">
        <v>42</v>
      </c>
      <c r="H64" s="55" t="s">
        <v>155</v>
      </c>
      <c r="I64" s="55" t="s">
        <v>153</v>
      </c>
      <c r="J64" s="55" t="s">
        <v>38</v>
      </c>
      <c r="K64" s="55" t="s">
        <v>154</v>
      </c>
      <c r="L64" s="237">
        <v>3</v>
      </c>
      <c r="N64" s="55">
        <v>1</v>
      </c>
      <c r="O64" s="55">
        <v>0.55000000000000004</v>
      </c>
      <c r="P64" s="55">
        <v>0.5</v>
      </c>
      <c r="Q64" s="82">
        <f t="shared" si="0"/>
        <v>0.52500000000000002</v>
      </c>
      <c r="R64" s="237">
        <v>14.4</v>
      </c>
      <c r="S64" s="55">
        <v>125</v>
      </c>
      <c r="T64" s="57">
        <f t="shared" si="4"/>
        <v>27</v>
      </c>
      <c r="U64" s="55">
        <v>96</v>
      </c>
      <c r="V64" s="58">
        <f t="shared" si="2"/>
        <v>2592</v>
      </c>
      <c r="W64" s="237">
        <v>1</v>
      </c>
      <c r="X64" s="55" t="s">
        <v>46</v>
      </c>
      <c r="Y64" s="55" t="s">
        <v>78</v>
      </c>
      <c r="Z64" s="55" t="s">
        <v>102</v>
      </c>
      <c r="AA64" s="55" t="s">
        <v>90</v>
      </c>
      <c r="AB64" s="39" t="s">
        <v>330</v>
      </c>
      <c r="AC64" s="55"/>
      <c r="AD64" s="55"/>
    </row>
    <row r="65" spans="1:30" x14ac:dyDescent="0.15">
      <c r="A65" s="55" t="s">
        <v>41</v>
      </c>
      <c r="B65" s="237" t="s">
        <v>328</v>
      </c>
      <c r="C65" s="152">
        <v>2018</v>
      </c>
      <c r="D65" s="56" t="s">
        <v>377</v>
      </c>
      <c r="E65" s="237" t="s">
        <v>282</v>
      </c>
      <c r="F65" s="237" t="s">
        <v>288</v>
      </c>
      <c r="G65" s="55" t="s">
        <v>42</v>
      </c>
      <c r="H65" s="55" t="s">
        <v>155</v>
      </c>
      <c r="I65" s="55" t="s">
        <v>153</v>
      </c>
      <c r="J65" s="55" t="s">
        <v>38</v>
      </c>
      <c r="K65" s="55" t="s">
        <v>154</v>
      </c>
      <c r="L65" s="237">
        <v>1</v>
      </c>
      <c r="N65" s="55">
        <v>5</v>
      </c>
      <c r="O65" s="237">
        <v>1</v>
      </c>
      <c r="P65" s="237">
        <v>1</v>
      </c>
      <c r="Q65" s="57">
        <f t="shared" si="0"/>
        <v>1</v>
      </c>
      <c r="R65" s="237">
        <v>14.1</v>
      </c>
      <c r="S65" s="237">
        <v>100</v>
      </c>
      <c r="T65" s="57">
        <f t="shared" si="4"/>
        <v>33</v>
      </c>
      <c r="U65" s="237">
        <v>429</v>
      </c>
      <c r="V65" s="58">
        <f t="shared" si="2"/>
        <v>2831.4</v>
      </c>
      <c r="W65" s="237">
        <v>1</v>
      </c>
      <c r="X65" s="55" t="s">
        <v>46</v>
      </c>
      <c r="Y65" s="55" t="s">
        <v>78</v>
      </c>
      <c r="Z65" s="55" t="s">
        <v>102</v>
      </c>
      <c r="AA65" s="55" t="s">
        <v>90</v>
      </c>
      <c r="AB65" s="39" t="s">
        <v>330</v>
      </c>
      <c r="AC65" s="55"/>
      <c r="AD65" s="55"/>
    </row>
    <row r="66" spans="1:30" x14ac:dyDescent="0.15">
      <c r="A66" s="55" t="s">
        <v>41</v>
      </c>
      <c r="B66" s="237" t="s">
        <v>328</v>
      </c>
      <c r="C66" s="152">
        <v>2018</v>
      </c>
      <c r="D66" s="56" t="s">
        <v>377</v>
      </c>
      <c r="E66" s="237" t="s">
        <v>282</v>
      </c>
      <c r="F66" s="237" t="s">
        <v>288</v>
      </c>
      <c r="G66" s="55" t="s">
        <v>42</v>
      </c>
      <c r="H66" s="55" t="s">
        <v>155</v>
      </c>
      <c r="I66" s="55" t="s">
        <v>153</v>
      </c>
      <c r="J66" s="55" t="s">
        <v>38</v>
      </c>
      <c r="K66" s="55" t="s">
        <v>154</v>
      </c>
      <c r="L66" s="237">
        <v>2</v>
      </c>
      <c r="N66" s="55">
        <v>5</v>
      </c>
      <c r="O66" s="237">
        <v>1.1000000000000001</v>
      </c>
      <c r="P66" s="237">
        <v>1</v>
      </c>
      <c r="Q66" s="57">
        <f t="shared" si="0"/>
        <v>1.05</v>
      </c>
      <c r="R66" s="237">
        <v>13.7</v>
      </c>
      <c r="S66" s="237">
        <v>105</v>
      </c>
      <c r="T66" s="57">
        <f t="shared" si="4"/>
        <v>33</v>
      </c>
      <c r="U66" s="237">
        <v>429</v>
      </c>
      <c r="V66" s="58">
        <f t="shared" ref="V66:V127" si="5">IF(OR(N66="",U66="",T66=""),"",U66/N66*T66)</f>
        <v>2831.4</v>
      </c>
      <c r="W66" s="237">
        <v>1</v>
      </c>
      <c r="X66" s="55" t="s">
        <v>46</v>
      </c>
      <c r="Y66" s="55" t="s">
        <v>78</v>
      </c>
      <c r="Z66" s="55" t="s">
        <v>102</v>
      </c>
      <c r="AA66" s="55" t="s">
        <v>90</v>
      </c>
      <c r="AB66" s="39" t="s">
        <v>330</v>
      </c>
    </row>
    <row r="67" spans="1:30" x14ac:dyDescent="0.15">
      <c r="A67" s="55" t="s">
        <v>41</v>
      </c>
      <c r="B67" s="237" t="s">
        <v>328</v>
      </c>
      <c r="C67" s="152">
        <v>2018</v>
      </c>
      <c r="D67" s="56" t="s">
        <v>377</v>
      </c>
      <c r="E67" s="237" t="s">
        <v>282</v>
      </c>
      <c r="F67" s="237" t="s">
        <v>288</v>
      </c>
      <c r="G67" s="55" t="s">
        <v>42</v>
      </c>
      <c r="H67" s="55" t="s">
        <v>155</v>
      </c>
      <c r="I67" s="55" t="s">
        <v>153</v>
      </c>
      <c r="J67" s="55" t="s">
        <v>38</v>
      </c>
      <c r="K67" s="55" t="s">
        <v>154</v>
      </c>
      <c r="L67" s="237">
        <v>3</v>
      </c>
      <c r="N67" s="55">
        <v>5</v>
      </c>
      <c r="O67" s="237">
        <v>1.05</v>
      </c>
      <c r="P67" s="237">
        <v>1</v>
      </c>
      <c r="Q67" s="57">
        <f t="shared" si="0"/>
        <v>1.0249999999999999</v>
      </c>
      <c r="R67" s="237">
        <v>15.1</v>
      </c>
      <c r="S67" s="237">
        <v>105</v>
      </c>
      <c r="T67" s="57">
        <f t="shared" si="4"/>
        <v>33</v>
      </c>
      <c r="U67" s="55">
        <v>429</v>
      </c>
      <c r="V67" s="58">
        <f t="shared" si="5"/>
        <v>2831.4</v>
      </c>
      <c r="W67" s="237">
        <v>1</v>
      </c>
      <c r="X67" s="55" t="s">
        <v>46</v>
      </c>
      <c r="Y67" s="55" t="s">
        <v>78</v>
      </c>
      <c r="Z67" s="55" t="s">
        <v>102</v>
      </c>
      <c r="AA67" s="55" t="s">
        <v>90</v>
      </c>
      <c r="AB67" s="39" t="s">
        <v>330</v>
      </c>
    </row>
    <row r="68" spans="1:30" x14ac:dyDescent="0.15">
      <c r="A68" s="55" t="s">
        <v>41</v>
      </c>
      <c r="B68" s="237" t="s">
        <v>328</v>
      </c>
      <c r="C68" s="152">
        <v>2018</v>
      </c>
      <c r="D68" s="56" t="s">
        <v>377</v>
      </c>
      <c r="E68" s="237" t="s">
        <v>282</v>
      </c>
      <c r="F68" s="237" t="s">
        <v>288</v>
      </c>
      <c r="G68" s="55" t="s">
        <v>42</v>
      </c>
      <c r="H68" s="55" t="s">
        <v>157</v>
      </c>
      <c r="I68" s="55" t="s">
        <v>153</v>
      </c>
      <c r="J68" s="55" t="s">
        <v>38</v>
      </c>
      <c r="K68" s="55" t="s">
        <v>154</v>
      </c>
      <c r="L68" s="237">
        <v>1</v>
      </c>
      <c r="N68" s="237">
        <v>9</v>
      </c>
      <c r="O68" s="55">
        <v>0.85</v>
      </c>
      <c r="P68" s="55">
        <v>0.9</v>
      </c>
      <c r="Q68" s="82">
        <f t="shared" si="0"/>
        <v>0.875</v>
      </c>
      <c r="R68" s="55">
        <v>14.9</v>
      </c>
      <c r="S68" s="55">
        <v>121</v>
      </c>
      <c r="T68" s="57">
        <f t="shared" si="4"/>
        <v>27</v>
      </c>
      <c r="U68" s="237">
        <v>1058</v>
      </c>
      <c r="V68" s="58">
        <f t="shared" si="5"/>
        <v>3174</v>
      </c>
      <c r="W68" s="237">
        <v>1</v>
      </c>
      <c r="X68" s="55" t="s">
        <v>46</v>
      </c>
      <c r="Y68" s="55" t="s">
        <v>78</v>
      </c>
      <c r="Z68" s="55" t="s">
        <v>102</v>
      </c>
      <c r="AA68" s="55" t="s">
        <v>90</v>
      </c>
      <c r="AB68" s="39" t="s">
        <v>330</v>
      </c>
      <c r="AC68" s="55"/>
      <c r="AD68" s="55"/>
    </row>
    <row r="69" spans="1:30" x14ac:dyDescent="0.15">
      <c r="A69" s="55" t="s">
        <v>41</v>
      </c>
      <c r="B69" s="237" t="s">
        <v>328</v>
      </c>
      <c r="C69" s="152">
        <v>2018</v>
      </c>
      <c r="D69" s="56" t="s">
        <v>377</v>
      </c>
      <c r="E69" s="237" t="s">
        <v>282</v>
      </c>
      <c r="F69" s="237" t="s">
        <v>288</v>
      </c>
      <c r="G69" s="55" t="s">
        <v>42</v>
      </c>
      <c r="H69" s="55" t="s">
        <v>157</v>
      </c>
      <c r="I69" s="55" t="s">
        <v>153</v>
      </c>
      <c r="J69" s="55" t="s">
        <v>38</v>
      </c>
      <c r="K69" s="55" t="s">
        <v>154</v>
      </c>
      <c r="L69" s="237">
        <v>2</v>
      </c>
      <c r="N69" s="237">
        <v>9</v>
      </c>
      <c r="O69" s="55">
        <v>0.5</v>
      </c>
      <c r="P69" s="55">
        <v>0.7</v>
      </c>
      <c r="Q69" s="82">
        <f t="shared" ref="Q69:Q127" si="6">IF(OR(O69="",P69=""),"",AVERAGE(O69,P69))</f>
        <v>0.6</v>
      </c>
      <c r="R69" s="55">
        <v>14.1</v>
      </c>
      <c r="S69" s="55">
        <v>118</v>
      </c>
      <c r="T69" s="57">
        <f t="shared" si="4"/>
        <v>30</v>
      </c>
      <c r="U69" s="237">
        <v>1058</v>
      </c>
      <c r="V69" s="58">
        <f t="shared" si="5"/>
        <v>3526.6666666666665</v>
      </c>
      <c r="W69" s="237">
        <v>1</v>
      </c>
      <c r="X69" s="55" t="s">
        <v>46</v>
      </c>
      <c r="Y69" s="55" t="s">
        <v>78</v>
      </c>
      <c r="Z69" s="55" t="s">
        <v>102</v>
      </c>
      <c r="AA69" s="55" t="s">
        <v>90</v>
      </c>
      <c r="AB69" s="39" t="s">
        <v>330</v>
      </c>
    </row>
    <row r="70" spans="1:30" x14ac:dyDescent="0.15">
      <c r="A70" s="55" t="s">
        <v>41</v>
      </c>
      <c r="B70" s="237" t="s">
        <v>328</v>
      </c>
      <c r="C70" s="152">
        <v>2018</v>
      </c>
      <c r="D70" s="56" t="s">
        <v>377</v>
      </c>
      <c r="E70" s="237" t="s">
        <v>282</v>
      </c>
      <c r="F70" s="237" t="s">
        <v>288</v>
      </c>
      <c r="G70" s="55" t="s">
        <v>42</v>
      </c>
      <c r="H70" s="55" t="s">
        <v>157</v>
      </c>
      <c r="I70" s="55" t="s">
        <v>153</v>
      </c>
      <c r="J70" s="55" t="s">
        <v>38</v>
      </c>
      <c r="K70" s="55" t="s">
        <v>154</v>
      </c>
      <c r="L70" s="237">
        <v>3</v>
      </c>
      <c r="N70" s="237">
        <v>9</v>
      </c>
      <c r="O70" s="55">
        <v>0.65</v>
      </c>
      <c r="P70" s="55">
        <v>0.75</v>
      </c>
      <c r="Q70" s="82">
        <f t="shared" si="6"/>
        <v>0.7</v>
      </c>
      <c r="R70" s="55">
        <v>15.2</v>
      </c>
      <c r="S70" s="55">
        <v>118</v>
      </c>
      <c r="T70" s="57">
        <f t="shared" si="4"/>
        <v>30</v>
      </c>
      <c r="U70" s="237">
        <v>1058</v>
      </c>
      <c r="V70" s="58">
        <f t="shared" si="5"/>
        <v>3526.6666666666665</v>
      </c>
      <c r="W70" s="237">
        <v>1</v>
      </c>
      <c r="X70" s="55" t="s">
        <v>46</v>
      </c>
      <c r="Y70" s="55" t="s">
        <v>78</v>
      </c>
      <c r="Z70" s="55" t="s">
        <v>102</v>
      </c>
      <c r="AA70" s="55" t="s">
        <v>90</v>
      </c>
      <c r="AB70" s="39" t="s">
        <v>330</v>
      </c>
    </row>
    <row r="71" spans="1:30" x14ac:dyDescent="0.15">
      <c r="A71" s="55" t="s">
        <v>41</v>
      </c>
      <c r="B71" s="237" t="s">
        <v>328</v>
      </c>
      <c r="C71" s="152">
        <v>2018</v>
      </c>
      <c r="D71" s="56" t="s">
        <v>377</v>
      </c>
      <c r="E71" s="237" t="s">
        <v>282</v>
      </c>
      <c r="F71" s="237" t="s">
        <v>288</v>
      </c>
      <c r="G71" s="55" t="s">
        <v>42</v>
      </c>
      <c r="H71" s="55" t="s">
        <v>157</v>
      </c>
      <c r="I71" s="55" t="s">
        <v>153</v>
      </c>
      <c r="J71" s="55" t="s">
        <v>38</v>
      </c>
      <c r="K71" s="55" t="s">
        <v>154</v>
      </c>
      <c r="L71" s="237">
        <v>1</v>
      </c>
      <c r="N71" s="55">
        <v>1</v>
      </c>
      <c r="O71" s="237">
        <v>0.3</v>
      </c>
      <c r="P71" s="237">
        <v>0.25</v>
      </c>
      <c r="Q71" s="57">
        <f t="shared" si="6"/>
        <v>0.27500000000000002</v>
      </c>
      <c r="R71" s="237">
        <v>13.7</v>
      </c>
      <c r="S71" s="237">
        <v>120</v>
      </c>
      <c r="T71" s="57">
        <f t="shared" si="4"/>
        <v>30</v>
      </c>
      <c r="U71" s="237">
        <v>170</v>
      </c>
      <c r="V71" s="58">
        <f t="shared" si="5"/>
        <v>5100</v>
      </c>
      <c r="W71" s="237">
        <v>1</v>
      </c>
      <c r="X71" s="55" t="s">
        <v>46</v>
      </c>
      <c r="Y71" s="55" t="s">
        <v>78</v>
      </c>
      <c r="Z71" s="55" t="s">
        <v>102</v>
      </c>
      <c r="AA71" s="55" t="s">
        <v>90</v>
      </c>
      <c r="AB71" s="39" t="s">
        <v>330</v>
      </c>
    </row>
    <row r="72" spans="1:30" x14ac:dyDescent="0.15">
      <c r="A72" s="55" t="s">
        <v>41</v>
      </c>
      <c r="B72" s="237" t="s">
        <v>328</v>
      </c>
      <c r="C72" s="152">
        <v>2018</v>
      </c>
      <c r="D72" s="56" t="s">
        <v>377</v>
      </c>
      <c r="E72" s="237" t="s">
        <v>282</v>
      </c>
      <c r="F72" s="237" t="s">
        <v>288</v>
      </c>
      <c r="G72" s="55" t="s">
        <v>42</v>
      </c>
      <c r="H72" s="55" t="s">
        <v>157</v>
      </c>
      <c r="I72" s="55" t="s">
        <v>153</v>
      </c>
      <c r="J72" s="55" t="s">
        <v>38</v>
      </c>
      <c r="K72" s="55" t="s">
        <v>154</v>
      </c>
      <c r="L72" s="237">
        <v>2</v>
      </c>
      <c r="N72" s="55">
        <v>1</v>
      </c>
      <c r="O72" s="237">
        <v>0.25</v>
      </c>
      <c r="P72" s="237">
        <v>0.3</v>
      </c>
      <c r="Q72" s="57">
        <f t="shared" si="6"/>
        <v>0.27500000000000002</v>
      </c>
      <c r="R72" s="237">
        <v>15.6</v>
      </c>
      <c r="S72" s="237">
        <v>123</v>
      </c>
      <c r="T72" s="57">
        <f t="shared" si="4"/>
        <v>27</v>
      </c>
      <c r="U72" s="237">
        <v>170</v>
      </c>
      <c r="V72" s="58">
        <f t="shared" si="5"/>
        <v>4590</v>
      </c>
      <c r="W72" s="237">
        <v>1</v>
      </c>
      <c r="X72" s="55" t="s">
        <v>46</v>
      </c>
      <c r="Y72" s="55" t="s">
        <v>78</v>
      </c>
      <c r="Z72" s="55" t="s">
        <v>102</v>
      </c>
      <c r="AA72" s="55" t="s">
        <v>90</v>
      </c>
      <c r="AB72" s="39" t="s">
        <v>330</v>
      </c>
    </row>
    <row r="73" spans="1:30" x14ac:dyDescent="0.15">
      <c r="A73" s="55" t="s">
        <v>41</v>
      </c>
      <c r="B73" s="237" t="s">
        <v>328</v>
      </c>
      <c r="C73" s="152">
        <v>2018</v>
      </c>
      <c r="D73" s="56" t="s">
        <v>377</v>
      </c>
      <c r="E73" s="237" t="s">
        <v>282</v>
      </c>
      <c r="F73" s="237" t="s">
        <v>288</v>
      </c>
      <c r="G73" s="55" t="s">
        <v>42</v>
      </c>
      <c r="H73" s="55" t="s">
        <v>157</v>
      </c>
      <c r="I73" s="55" t="s">
        <v>153</v>
      </c>
      <c r="J73" s="55" t="s">
        <v>38</v>
      </c>
      <c r="K73" s="55" t="s">
        <v>154</v>
      </c>
      <c r="L73" s="237">
        <v>3</v>
      </c>
      <c r="N73" s="55">
        <v>1</v>
      </c>
      <c r="O73" s="237">
        <v>0.25</v>
      </c>
      <c r="P73" s="237">
        <v>0.25</v>
      </c>
      <c r="Q73" s="57">
        <f t="shared" si="6"/>
        <v>0.25</v>
      </c>
      <c r="R73" s="237">
        <v>13.8</v>
      </c>
      <c r="S73" s="237">
        <v>123</v>
      </c>
      <c r="T73" s="57">
        <f t="shared" si="4"/>
        <v>27</v>
      </c>
      <c r="U73" s="55">
        <v>170</v>
      </c>
      <c r="V73" s="58">
        <f t="shared" si="5"/>
        <v>4590</v>
      </c>
      <c r="W73" s="237">
        <v>1</v>
      </c>
      <c r="X73" s="55" t="s">
        <v>46</v>
      </c>
      <c r="Y73" s="55" t="s">
        <v>78</v>
      </c>
      <c r="Z73" s="55" t="s">
        <v>102</v>
      </c>
      <c r="AA73" s="55" t="s">
        <v>90</v>
      </c>
      <c r="AB73" s="39" t="s">
        <v>330</v>
      </c>
    </row>
    <row r="74" spans="1:30" x14ac:dyDescent="0.15">
      <c r="A74" s="55" t="s">
        <v>41</v>
      </c>
      <c r="B74" s="237" t="s">
        <v>328</v>
      </c>
      <c r="C74" s="152">
        <v>2018</v>
      </c>
      <c r="D74" s="56" t="s">
        <v>377</v>
      </c>
      <c r="E74" s="237" t="s">
        <v>282</v>
      </c>
      <c r="F74" s="237" t="s">
        <v>288</v>
      </c>
      <c r="G74" s="55" t="s">
        <v>42</v>
      </c>
      <c r="H74" s="55" t="s">
        <v>157</v>
      </c>
      <c r="I74" s="55" t="s">
        <v>153</v>
      </c>
      <c r="J74" s="55" t="s">
        <v>38</v>
      </c>
      <c r="K74" s="55" t="s">
        <v>154</v>
      </c>
      <c r="L74" s="237">
        <v>1</v>
      </c>
      <c r="N74" s="55">
        <v>4</v>
      </c>
      <c r="O74" s="55">
        <v>0.8</v>
      </c>
      <c r="P74" s="55">
        <v>0.95</v>
      </c>
      <c r="Q74" s="57">
        <f t="shared" si="6"/>
        <v>0.875</v>
      </c>
      <c r="R74" s="237">
        <v>14.4</v>
      </c>
      <c r="S74" s="55">
        <v>120</v>
      </c>
      <c r="T74" s="57">
        <f t="shared" si="4"/>
        <v>30</v>
      </c>
      <c r="U74" s="237">
        <v>626</v>
      </c>
      <c r="V74" s="58">
        <f t="shared" si="5"/>
        <v>4695</v>
      </c>
      <c r="W74" s="237">
        <v>2</v>
      </c>
      <c r="X74" s="55" t="s">
        <v>46</v>
      </c>
      <c r="Y74" s="55" t="s">
        <v>78</v>
      </c>
      <c r="Z74" s="55" t="s">
        <v>102</v>
      </c>
      <c r="AA74" s="55" t="s">
        <v>90</v>
      </c>
      <c r="AB74" s="39" t="s">
        <v>330</v>
      </c>
    </row>
    <row r="75" spans="1:30" x14ac:dyDescent="0.15">
      <c r="A75" s="55" t="s">
        <v>41</v>
      </c>
      <c r="B75" s="237" t="s">
        <v>328</v>
      </c>
      <c r="C75" s="152">
        <v>2018</v>
      </c>
      <c r="D75" s="56" t="s">
        <v>377</v>
      </c>
      <c r="E75" s="237" t="s">
        <v>282</v>
      </c>
      <c r="F75" s="237" t="s">
        <v>288</v>
      </c>
      <c r="G75" s="55" t="s">
        <v>42</v>
      </c>
      <c r="H75" s="55" t="s">
        <v>157</v>
      </c>
      <c r="I75" s="55" t="s">
        <v>153</v>
      </c>
      <c r="J75" s="55" t="s">
        <v>38</v>
      </c>
      <c r="K75" s="55" t="s">
        <v>154</v>
      </c>
      <c r="L75" s="237">
        <v>2</v>
      </c>
      <c r="N75" s="55">
        <v>4</v>
      </c>
      <c r="O75" s="55">
        <v>1.2</v>
      </c>
      <c r="P75" s="55">
        <v>1.05</v>
      </c>
      <c r="Q75" s="57">
        <f t="shared" si="6"/>
        <v>1.125</v>
      </c>
      <c r="R75" s="237">
        <v>15.5</v>
      </c>
      <c r="S75" s="55">
        <v>121</v>
      </c>
      <c r="T75" s="57">
        <f t="shared" si="4"/>
        <v>27</v>
      </c>
      <c r="U75" s="237">
        <v>626</v>
      </c>
      <c r="V75" s="58">
        <f t="shared" si="5"/>
        <v>4225.5</v>
      </c>
      <c r="W75" s="237">
        <v>2</v>
      </c>
      <c r="X75" s="55" t="s">
        <v>46</v>
      </c>
      <c r="Y75" s="55" t="s">
        <v>78</v>
      </c>
      <c r="Z75" s="55" t="s">
        <v>102</v>
      </c>
      <c r="AA75" s="55" t="s">
        <v>90</v>
      </c>
      <c r="AB75" s="39" t="s">
        <v>330</v>
      </c>
    </row>
    <row r="76" spans="1:30" x14ac:dyDescent="0.15">
      <c r="A76" s="55" t="s">
        <v>41</v>
      </c>
      <c r="B76" s="237" t="s">
        <v>328</v>
      </c>
      <c r="C76" s="152">
        <v>2018</v>
      </c>
      <c r="D76" s="56" t="s">
        <v>377</v>
      </c>
      <c r="E76" s="237" t="s">
        <v>282</v>
      </c>
      <c r="F76" s="237" t="s">
        <v>288</v>
      </c>
      <c r="G76" s="55" t="s">
        <v>42</v>
      </c>
      <c r="H76" s="55" t="s">
        <v>157</v>
      </c>
      <c r="I76" s="55" t="s">
        <v>153</v>
      </c>
      <c r="J76" s="55" t="s">
        <v>38</v>
      </c>
      <c r="K76" s="55" t="s">
        <v>154</v>
      </c>
      <c r="L76" s="237">
        <v>3</v>
      </c>
      <c r="N76" s="55">
        <v>4</v>
      </c>
      <c r="O76" s="55">
        <v>1</v>
      </c>
      <c r="P76" s="55">
        <v>1</v>
      </c>
      <c r="Q76" s="57">
        <f t="shared" si="6"/>
        <v>1</v>
      </c>
      <c r="R76" s="237">
        <v>15</v>
      </c>
      <c r="S76" s="55">
        <v>122</v>
      </c>
      <c r="T76" s="57">
        <f t="shared" si="4"/>
        <v>27</v>
      </c>
      <c r="U76" s="55">
        <v>626</v>
      </c>
      <c r="V76" s="58">
        <f t="shared" si="5"/>
        <v>4225.5</v>
      </c>
      <c r="W76" s="237">
        <v>2</v>
      </c>
      <c r="X76" s="55" t="s">
        <v>46</v>
      </c>
      <c r="Y76" s="55" t="s">
        <v>78</v>
      </c>
      <c r="Z76" s="55" t="s">
        <v>102</v>
      </c>
      <c r="AA76" s="55" t="s">
        <v>90</v>
      </c>
      <c r="AB76" s="39" t="s">
        <v>330</v>
      </c>
    </row>
    <row r="77" spans="1:30" x14ac:dyDescent="0.15">
      <c r="A77" s="55" t="s">
        <v>41</v>
      </c>
      <c r="B77" s="237" t="s">
        <v>328</v>
      </c>
      <c r="C77" s="152">
        <v>2018</v>
      </c>
      <c r="D77" s="56" t="s">
        <v>377</v>
      </c>
      <c r="E77" s="55" t="s">
        <v>284</v>
      </c>
      <c r="F77" s="237" t="s">
        <v>289</v>
      </c>
      <c r="G77" s="55" t="s">
        <v>42</v>
      </c>
      <c r="H77" s="55" t="s">
        <v>155</v>
      </c>
      <c r="I77" s="55" t="s">
        <v>153</v>
      </c>
      <c r="J77" s="55" t="s">
        <v>38</v>
      </c>
      <c r="K77" s="55" t="s">
        <v>154</v>
      </c>
      <c r="L77" s="237">
        <v>1</v>
      </c>
      <c r="N77" s="237">
        <v>1</v>
      </c>
      <c r="O77" s="55">
        <v>0.9</v>
      </c>
      <c r="P77" s="55">
        <v>0.9</v>
      </c>
      <c r="Q77" s="57">
        <f t="shared" si="6"/>
        <v>0.9</v>
      </c>
      <c r="R77" s="237">
        <v>13.3</v>
      </c>
      <c r="S77" s="237">
        <v>131</v>
      </c>
      <c r="T77" s="57">
        <f t="shared" si="4"/>
        <v>25</v>
      </c>
      <c r="U77" s="237">
        <v>105</v>
      </c>
      <c r="V77" s="58">
        <f t="shared" si="5"/>
        <v>2625</v>
      </c>
      <c r="W77" s="237">
        <v>4</v>
      </c>
      <c r="X77" s="55" t="s">
        <v>46</v>
      </c>
      <c r="Y77" s="55" t="s">
        <v>102</v>
      </c>
      <c r="Z77" s="55" t="s">
        <v>90</v>
      </c>
      <c r="AA77" s="55" t="s">
        <v>50</v>
      </c>
      <c r="AB77" s="39" t="s">
        <v>330</v>
      </c>
    </row>
    <row r="78" spans="1:30" x14ac:dyDescent="0.15">
      <c r="A78" s="55" t="s">
        <v>41</v>
      </c>
      <c r="B78" s="237" t="s">
        <v>328</v>
      </c>
      <c r="C78" s="152">
        <v>2018</v>
      </c>
      <c r="D78" s="56" t="s">
        <v>377</v>
      </c>
      <c r="E78" s="55" t="s">
        <v>284</v>
      </c>
      <c r="F78" s="237" t="s">
        <v>289</v>
      </c>
      <c r="G78" s="55" t="s">
        <v>42</v>
      </c>
      <c r="H78" s="55" t="s">
        <v>155</v>
      </c>
      <c r="I78" s="55" t="s">
        <v>153</v>
      </c>
      <c r="J78" s="55" t="s">
        <v>38</v>
      </c>
      <c r="K78" s="55" t="s">
        <v>154</v>
      </c>
      <c r="L78" s="237">
        <v>2</v>
      </c>
      <c r="N78" s="237">
        <v>1</v>
      </c>
      <c r="O78" s="55">
        <v>1</v>
      </c>
      <c r="P78" s="55">
        <v>0.95</v>
      </c>
      <c r="Q78" s="57">
        <f t="shared" si="6"/>
        <v>0.97499999999999998</v>
      </c>
      <c r="R78" s="237">
        <v>12.8</v>
      </c>
      <c r="S78" s="237">
        <v>135</v>
      </c>
      <c r="T78" s="57">
        <f t="shared" si="4"/>
        <v>25</v>
      </c>
      <c r="U78" s="237">
        <v>105</v>
      </c>
      <c r="V78" s="58">
        <f t="shared" si="5"/>
        <v>2625</v>
      </c>
      <c r="W78" s="237">
        <v>4</v>
      </c>
      <c r="X78" s="55" t="s">
        <v>46</v>
      </c>
      <c r="Y78" s="55" t="s">
        <v>102</v>
      </c>
      <c r="Z78" s="55" t="s">
        <v>90</v>
      </c>
      <c r="AA78" s="55" t="s">
        <v>50</v>
      </c>
      <c r="AB78" s="39" t="s">
        <v>330</v>
      </c>
    </row>
    <row r="79" spans="1:30" x14ac:dyDescent="0.15">
      <c r="A79" s="55" t="s">
        <v>41</v>
      </c>
      <c r="B79" s="237" t="s">
        <v>328</v>
      </c>
      <c r="C79" s="152">
        <v>2018</v>
      </c>
      <c r="D79" s="56" t="s">
        <v>377</v>
      </c>
      <c r="E79" s="55" t="s">
        <v>284</v>
      </c>
      <c r="F79" s="237" t="s">
        <v>289</v>
      </c>
      <c r="G79" s="55" t="s">
        <v>42</v>
      </c>
      <c r="H79" s="55" t="s">
        <v>155</v>
      </c>
      <c r="I79" s="55" t="s">
        <v>153</v>
      </c>
      <c r="J79" s="55" t="s">
        <v>38</v>
      </c>
      <c r="K79" s="55" t="s">
        <v>154</v>
      </c>
      <c r="L79" s="237">
        <v>3</v>
      </c>
      <c r="N79" s="237">
        <v>1</v>
      </c>
      <c r="O79" s="55">
        <v>1</v>
      </c>
      <c r="P79" s="55">
        <v>0.85</v>
      </c>
      <c r="Q79" s="57">
        <f t="shared" si="6"/>
        <v>0.92500000000000004</v>
      </c>
      <c r="R79" s="237">
        <v>13.8</v>
      </c>
      <c r="S79" s="237">
        <v>129</v>
      </c>
      <c r="T79" s="57">
        <f t="shared" si="4"/>
        <v>25</v>
      </c>
      <c r="U79" s="237">
        <v>105</v>
      </c>
      <c r="V79" s="58">
        <f t="shared" si="5"/>
        <v>2625</v>
      </c>
      <c r="W79" s="237">
        <v>4</v>
      </c>
      <c r="X79" s="55" t="s">
        <v>46</v>
      </c>
      <c r="Y79" s="55" t="s">
        <v>102</v>
      </c>
      <c r="Z79" s="55" t="s">
        <v>90</v>
      </c>
      <c r="AA79" s="55" t="s">
        <v>50</v>
      </c>
      <c r="AB79" s="39" t="s">
        <v>330</v>
      </c>
    </row>
    <row r="80" spans="1:30" x14ac:dyDescent="0.15">
      <c r="A80" s="55" t="s">
        <v>41</v>
      </c>
      <c r="B80" s="237" t="s">
        <v>328</v>
      </c>
      <c r="C80" s="152">
        <v>2018</v>
      </c>
      <c r="D80" s="56" t="s">
        <v>377</v>
      </c>
      <c r="E80" s="55" t="s">
        <v>284</v>
      </c>
      <c r="F80" s="237" t="s">
        <v>289</v>
      </c>
      <c r="G80" s="55" t="s">
        <v>42</v>
      </c>
      <c r="H80" s="55" t="s">
        <v>155</v>
      </c>
      <c r="I80" s="55" t="s">
        <v>153</v>
      </c>
      <c r="J80" s="55" t="s">
        <v>38</v>
      </c>
      <c r="K80" s="55" t="s">
        <v>154</v>
      </c>
      <c r="L80" s="237">
        <v>1</v>
      </c>
      <c r="N80" s="237">
        <v>3</v>
      </c>
      <c r="O80" s="55">
        <v>0.85</v>
      </c>
      <c r="P80" s="55">
        <v>0.9</v>
      </c>
      <c r="Q80" s="57">
        <f t="shared" si="6"/>
        <v>0.875</v>
      </c>
      <c r="R80" s="237">
        <v>14.7</v>
      </c>
      <c r="S80" s="237">
        <v>137</v>
      </c>
      <c r="T80" s="57">
        <f t="shared" si="4"/>
        <v>25</v>
      </c>
      <c r="U80" s="237">
        <v>410</v>
      </c>
      <c r="V80" s="58">
        <f t="shared" si="5"/>
        <v>3416.6666666666665</v>
      </c>
      <c r="W80" s="237">
        <v>1</v>
      </c>
      <c r="X80" s="55" t="s">
        <v>46</v>
      </c>
      <c r="Y80" s="55" t="s">
        <v>102</v>
      </c>
      <c r="Z80" s="55" t="s">
        <v>90</v>
      </c>
      <c r="AA80" s="55" t="s">
        <v>50</v>
      </c>
      <c r="AB80" s="39" t="s">
        <v>330</v>
      </c>
    </row>
    <row r="81" spans="1:28" x14ac:dyDescent="0.15">
      <c r="A81" s="55" t="s">
        <v>41</v>
      </c>
      <c r="B81" s="237" t="s">
        <v>328</v>
      </c>
      <c r="C81" s="152">
        <v>2018</v>
      </c>
      <c r="D81" s="56" t="s">
        <v>377</v>
      </c>
      <c r="E81" s="55" t="s">
        <v>284</v>
      </c>
      <c r="F81" s="237" t="s">
        <v>289</v>
      </c>
      <c r="G81" s="55" t="s">
        <v>42</v>
      </c>
      <c r="H81" s="55" t="s">
        <v>155</v>
      </c>
      <c r="I81" s="55" t="s">
        <v>153</v>
      </c>
      <c r="J81" s="55" t="s">
        <v>38</v>
      </c>
      <c r="K81" s="55" t="s">
        <v>154</v>
      </c>
      <c r="L81" s="237">
        <v>2</v>
      </c>
      <c r="N81" s="237">
        <v>3</v>
      </c>
      <c r="O81" s="55">
        <v>0.75</v>
      </c>
      <c r="P81" s="55">
        <v>1</v>
      </c>
      <c r="Q81" s="57">
        <f t="shared" si="6"/>
        <v>0.875</v>
      </c>
      <c r="R81" s="237">
        <v>14.2</v>
      </c>
      <c r="S81" s="237">
        <v>135</v>
      </c>
      <c r="T81" s="57">
        <f t="shared" si="4"/>
        <v>25</v>
      </c>
      <c r="U81" s="237">
        <v>410</v>
      </c>
      <c r="V81" s="58">
        <f t="shared" si="5"/>
        <v>3416.6666666666665</v>
      </c>
      <c r="W81" s="237">
        <v>1</v>
      </c>
      <c r="X81" s="55" t="s">
        <v>46</v>
      </c>
      <c r="Y81" s="55" t="s">
        <v>102</v>
      </c>
      <c r="Z81" s="55" t="s">
        <v>90</v>
      </c>
      <c r="AA81" s="55" t="s">
        <v>50</v>
      </c>
      <c r="AB81" s="39" t="s">
        <v>330</v>
      </c>
    </row>
    <row r="82" spans="1:28" x14ac:dyDescent="0.15">
      <c r="A82" s="55" t="s">
        <v>41</v>
      </c>
      <c r="B82" s="237" t="s">
        <v>328</v>
      </c>
      <c r="C82" s="152">
        <v>2018</v>
      </c>
      <c r="D82" s="56" t="s">
        <v>377</v>
      </c>
      <c r="E82" s="55" t="s">
        <v>284</v>
      </c>
      <c r="F82" s="237" t="s">
        <v>289</v>
      </c>
      <c r="G82" s="55" t="s">
        <v>42</v>
      </c>
      <c r="H82" s="55" t="s">
        <v>155</v>
      </c>
      <c r="I82" s="55" t="s">
        <v>153</v>
      </c>
      <c r="J82" s="55" t="s">
        <v>38</v>
      </c>
      <c r="K82" s="55" t="s">
        <v>154</v>
      </c>
      <c r="L82" s="237">
        <v>3</v>
      </c>
      <c r="N82" s="237">
        <v>3</v>
      </c>
      <c r="O82" s="55">
        <v>0.7</v>
      </c>
      <c r="P82" s="55">
        <v>0.95</v>
      </c>
      <c r="Q82" s="57">
        <f t="shared" si="6"/>
        <v>0.82499999999999996</v>
      </c>
      <c r="R82" s="237">
        <v>13.1</v>
      </c>
      <c r="S82" s="237">
        <v>135</v>
      </c>
      <c r="T82" s="57">
        <f t="shared" si="4"/>
        <v>25</v>
      </c>
      <c r="U82" s="237">
        <v>410</v>
      </c>
      <c r="V82" s="58">
        <f t="shared" si="5"/>
        <v>3416.6666666666665</v>
      </c>
      <c r="W82" s="237">
        <v>1</v>
      </c>
      <c r="X82" s="55" t="s">
        <v>46</v>
      </c>
      <c r="Y82" s="55" t="s">
        <v>102</v>
      </c>
      <c r="Z82" s="55" t="s">
        <v>90</v>
      </c>
      <c r="AA82" s="55" t="s">
        <v>50</v>
      </c>
      <c r="AB82" s="39" t="s">
        <v>330</v>
      </c>
    </row>
    <row r="83" spans="1:28" x14ac:dyDescent="0.15">
      <c r="A83" s="55" t="s">
        <v>41</v>
      </c>
      <c r="B83" s="237" t="s">
        <v>328</v>
      </c>
      <c r="C83" s="152">
        <v>2018</v>
      </c>
      <c r="D83" s="56" t="s">
        <v>377</v>
      </c>
      <c r="E83" s="55" t="s">
        <v>284</v>
      </c>
      <c r="F83" s="237" t="s">
        <v>289</v>
      </c>
      <c r="G83" s="55" t="s">
        <v>42</v>
      </c>
      <c r="H83" s="55" t="s">
        <v>157</v>
      </c>
      <c r="I83" s="55" t="s">
        <v>153</v>
      </c>
      <c r="J83" s="55" t="s">
        <v>38</v>
      </c>
      <c r="K83" s="55" t="s">
        <v>154</v>
      </c>
      <c r="L83" s="237">
        <v>1</v>
      </c>
      <c r="N83" s="55">
        <v>1</v>
      </c>
      <c r="O83" s="55">
        <v>0.2</v>
      </c>
      <c r="P83" s="55">
        <v>0.2</v>
      </c>
      <c r="Q83" s="82">
        <f t="shared" si="6"/>
        <v>0.2</v>
      </c>
      <c r="R83" s="55">
        <v>16.2</v>
      </c>
      <c r="S83" s="237">
        <v>128</v>
      </c>
      <c r="T83" s="57">
        <f t="shared" si="4"/>
        <v>27</v>
      </c>
      <c r="U83" s="237">
        <v>138</v>
      </c>
      <c r="V83" s="58">
        <f t="shared" si="5"/>
        <v>3726</v>
      </c>
      <c r="W83" s="237">
        <v>1</v>
      </c>
      <c r="X83" s="55" t="s">
        <v>46</v>
      </c>
      <c r="Y83" s="55" t="s">
        <v>102</v>
      </c>
      <c r="Z83" s="55" t="s">
        <v>90</v>
      </c>
      <c r="AA83" s="55" t="s">
        <v>50</v>
      </c>
      <c r="AB83" s="39" t="s">
        <v>330</v>
      </c>
    </row>
    <row r="84" spans="1:28" x14ac:dyDescent="0.15">
      <c r="A84" s="55" t="s">
        <v>41</v>
      </c>
      <c r="B84" s="237" t="s">
        <v>328</v>
      </c>
      <c r="C84" s="152">
        <v>2018</v>
      </c>
      <c r="D84" s="56" t="s">
        <v>377</v>
      </c>
      <c r="E84" s="55" t="s">
        <v>284</v>
      </c>
      <c r="F84" s="237" t="s">
        <v>289</v>
      </c>
      <c r="G84" s="55" t="s">
        <v>42</v>
      </c>
      <c r="H84" s="55" t="s">
        <v>157</v>
      </c>
      <c r="I84" s="55" t="s">
        <v>153</v>
      </c>
      <c r="J84" s="55" t="s">
        <v>38</v>
      </c>
      <c r="K84" s="55" t="s">
        <v>154</v>
      </c>
      <c r="L84" s="237">
        <v>2</v>
      </c>
      <c r="N84" s="55">
        <v>1</v>
      </c>
      <c r="O84" s="55">
        <v>0.15</v>
      </c>
      <c r="P84" s="55">
        <v>0.2</v>
      </c>
      <c r="Q84" s="82">
        <f t="shared" si="6"/>
        <v>0.17499999999999999</v>
      </c>
      <c r="R84" s="55">
        <v>15.2</v>
      </c>
      <c r="S84" s="237">
        <v>129</v>
      </c>
      <c r="T84" s="57">
        <f t="shared" si="4"/>
        <v>25</v>
      </c>
      <c r="U84" s="237">
        <v>138</v>
      </c>
      <c r="V84" s="58">
        <f t="shared" si="5"/>
        <v>3450</v>
      </c>
      <c r="W84" s="237">
        <v>1</v>
      </c>
      <c r="X84" s="55" t="s">
        <v>46</v>
      </c>
      <c r="Y84" s="55" t="s">
        <v>102</v>
      </c>
      <c r="Z84" s="55" t="s">
        <v>90</v>
      </c>
      <c r="AA84" s="55" t="s">
        <v>50</v>
      </c>
      <c r="AB84" s="39" t="s">
        <v>330</v>
      </c>
    </row>
    <row r="85" spans="1:28" x14ac:dyDescent="0.15">
      <c r="A85" s="55" t="s">
        <v>41</v>
      </c>
      <c r="B85" s="237" t="s">
        <v>328</v>
      </c>
      <c r="C85" s="152">
        <v>2018</v>
      </c>
      <c r="D85" s="56" t="s">
        <v>377</v>
      </c>
      <c r="E85" s="55" t="s">
        <v>284</v>
      </c>
      <c r="F85" s="237" t="s">
        <v>289</v>
      </c>
      <c r="G85" s="55" t="s">
        <v>42</v>
      </c>
      <c r="H85" s="55" t="s">
        <v>157</v>
      </c>
      <c r="I85" s="55" t="s">
        <v>153</v>
      </c>
      <c r="J85" s="55" t="s">
        <v>38</v>
      </c>
      <c r="K85" s="55" t="s">
        <v>154</v>
      </c>
      <c r="L85" s="237">
        <v>3</v>
      </c>
      <c r="N85" s="237">
        <v>1</v>
      </c>
      <c r="O85" s="55">
        <v>0.2</v>
      </c>
      <c r="P85" s="55">
        <v>0.15</v>
      </c>
      <c r="Q85" s="82">
        <f t="shared" si="6"/>
        <v>0.17499999999999999</v>
      </c>
      <c r="R85" s="55">
        <v>14.8</v>
      </c>
      <c r="S85" s="237">
        <v>132</v>
      </c>
      <c r="T85" s="57">
        <f t="shared" si="4"/>
        <v>25</v>
      </c>
      <c r="U85" s="237">
        <v>138</v>
      </c>
      <c r="V85" s="58">
        <f t="shared" si="5"/>
        <v>3450</v>
      </c>
      <c r="W85" s="237">
        <v>1</v>
      </c>
      <c r="X85" s="55" t="s">
        <v>46</v>
      </c>
      <c r="Y85" s="55" t="s">
        <v>102</v>
      </c>
      <c r="Z85" s="55" t="s">
        <v>90</v>
      </c>
      <c r="AA85" s="55" t="s">
        <v>50</v>
      </c>
      <c r="AB85" s="39" t="s">
        <v>330</v>
      </c>
    </row>
    <row r="86" spans="1:28" x14ac:dyDescent="0.15">
      <c r="A86" s="55" t="s">
        <v>41</v>
      </c>
      <c r="B86" s="237" t="s">
        <v>328</v>
      </c>
      <c r="C86" s="152">
        <v>2018</v>
      </c>
      <c r="D86" s="56" t="s">
        <v>377</v>
      </c>
      <c r="E86" s="55" t="s">
        <v>284</v>
      </c>
      <c r="F86" s="237" t="s">
        <v>290</v>
      </c>
      <c r="G86" s="55" t="s">
        <v>42</v>
      </c>
      <c r="H86" s="55" t="s">
        <v>155</v>
      </c>
      <c r="I86" s="55" t="s">
        <v>153</v>
      </c>
      <c r="J86" s="55" t="s">
        <v>38</v>
      </c>
      <c r="K86" s="55" t="s">
        <v>154</v>
      </c>
      <c r="L86" s="237">
        <v>1</v>
      </c>
      <c r="N86" s="237">
        <v>1</v>
      </c>
      <c r="O86" s="55">
        <v>0.35</v>
      </c>
      <c r="P86" s="55">
        <v>0.3</v>
      </c>
      <c r="Q86" s="82">
        <f t="shared" si="6"/>
        <v>0.32499999999999996</v>
      </c>
      <c r="R86" s="55">
        <v>15.1</v>
      </c>
      <c r="S86" s="237">
        <v>118</v>
      </c>
      <c r="T86" s="57">
        <f t="shared" si="4"/>
        <v>30</v>
      </c>
      <c r="U86" s="237">
        <v>84</v>
      </c>
      <c r="V86" s="58">
        <f t="shared" si="5"/>
        <v>2520</v>
      </c>
      <c r="W86" s="237">
        <v>3</v>
      </c>
      <c r="X86" s="55" t="s">
        <v>46</v>
      </c>
      <c r="Y86" s="55" t="s">
        <v>50</v>
      </c>
      <c r="Z86" s="55" t="s">
        <v>102</v>
      </c>
      <c r="AA86" s="55" t="s">
        <v>90</v>
      </c>
      <c r="AB86" s="39" t="s">
        <v>330</v>
      </c>
    </row>
    <row r="87" spans="1:28" x14ac:dyDescent="0.15">
      <c r="A87" s="55" t="s">
        <v>41</v>
      </c>
      <c r="B87" s="237" t="s">
        <v>328</v>
      </c>
      <c r="C87" s="152">
        <v>2018</v>
      </c>
      <c r="D87" s="56" t="s">
        <v>377</v>
      </c>
      <c r="E87" s="55" t="s">
        <v>284</v>
      </c>
      <c r="F87" s="237" t="s">
        <v>290</v>
      </c>
      <c r="G87" s="55" t="s">
        <v>42</v>
      </c>
      <c r="H87" s="55" t="s">
        <v>155</v>
      </c>
      <c r="I87" s="55" t="s">
        <v>153</v>
      </c>
      <c r="J87" s="55" t="s">
        <v>38</v>
      </c>
      <c r="K87" s="55" t="s">
        <v>154</v>
      </c>
      <c r="L87" s="237">
        <v>2</v>
      </c>
      <c r="N87" s="237">
        <v>1</v>
      </c>
      <c r="O87" s="55">
        <v>0.25</v>
      </c>
      <c r="P87" s="55">
        <v>0.3</v>
      </c>
      <c r="Q87" s="82">
        <f t="shared" si="6"/>
        <v>0.27500000000000002</v>
      </c>
      <c r="R87" s="55">
        <v>12.8</v>
      </c>
      <c r="S87" s="237">
        <v>122</v>
      </c>
      <c r="T87" s="57">
        <f t="shared" ref="T87:T145" si="7">IF(H87="","",IF(OR(H87="GREEN",H87="GK"),IF(S87&gt;=$AX$2,VLOOKUP(S87,$AX$2:$AY$10,2,1),""),IF(S87&gt;=$AZ$2,VLOOKUP(S87,$AZ$2:$BA$10,2,1),"")))</f>
        <v>27</v>
      </c>
      <c r="U87" s="237">
        <v>84</v>
      </c>
      <c r="V87" s="58">
        <f t="shared" si="5"/>
        <v>2268</v>
      </c>
      <c r="W87" s="237">
        <v>3</v>
      </c>
      <c r="X87" s="55" t="s">
        <v>46</v>
      </c>
      <c r="Y87" s="55" t="s">
        <v>50</v>
      </c>
      <c r="Z87" s="55" t="s">
        <v>102</v>
      </c>
      <c r="AA87" s="55" t="s">
        <v>90</v>
      </c>
      <c r="AB87" s="39" t="s">
        <v>330</v>
      </c>
    </row>
    <row r="88" spans="1:28" x14ac:dyDescent="0.15">
      <c r="A88" s="55" t="s">
        <v>41</v>
      </c>
      <c r="B88" s="237" t="s">
        <v>328</v>
      </c>
      <c r="C88" s="152">
        <v>2018</v>
      </c>
      <c r="D88" s="56" t="s">
        <v>377</v>
      </c>
      <c r="E88" s="55" t="s">
        <v>284</v>
      </c>
      <c r="F88" s="237" t="s">
        <v>290</v>
      </c>
      <c r="G88" s="55" t="s">
        <v>42</v>
      </c>
      <c r="H88" s="55" t="s">
        <v>155</v>
      </c>
      <c r="I88" s="55" t="s">
        <v>153</v>
      </c>
      <c r="J88" s="55" t="s">
        <v>38</v>
      </c>
      <c r="K88" s="55" t="s">
        <v>154</v>
      </c>
      <c r="L88" s="237">
        <v>3</v>
      </c>
      <c r="N88" s="237">
        <v>1</v>
      </c>
      <c r="O88" s="55">
        <v>0.25</v>
      </c>
      <c r="P88" s="55">
        <v>0.3</v>
      </c>
      <c r="Q88" s="82">
        <f t="shared" si="6"/>
        <v>0.27500000000000002</v>
      </c>
      <c r="R88" s="55">
        <v>16</v>
      </c>
      <c r="S88" s="237">
        <v>124</v>
      </c>
      <c r="T88" s="57">
        <f t="shared" si="7"/>
        <v>27</v>
      </c>
      <c r="U88" s="237">
        <v>84</v>
      </c>
      <c r="V88" s="58">
        <f t="shared" si="5"/>
        <v>2268</v>
      </c>
      <c r="W88" s="237">
        <v>3</v>
      </c>
      <c r="X88" s="55" t="s">
        <v>46</v>
      </c>
      <c r="Y88" s="55" t="s">
        <v>50</v>
      </c>
      <c r="Z88" s="55" t="s">
        <v>102</v>
      </c>
      <c r="AA88" s="55" t="s">
        <v>90</v>
      </c>
      <c r="AB88" s="39" t="s">
        <v>330</v>
      </c>
    </row>
    <row r="89" spans="1:28" x14ac:dyDescent="0.15">
      <c r="A89" s="55" t="s">
        <v>41</v>
      </c>
      <c r="B89" s="237" t="s">
        <v>328</v>
      </c>
      <c r="C89" s="152">
        <v>2018</v>
      </c>
      <c r="D89" s="56" t="s">
        <v>377</v>
      </c>
      <c r="E89" s="55" t="s">
        <v>284</v>
      </c>
      <c r="F89" s="237" t="s">
        <v>290</v>
      </c>
      <c r="G89" s="55" t="s">
        <v>42</v>
      </c>
      <c r="H89" s="55" t="s">
        <v>155</v>
      </c>
      <c r="I89" s="55" t="s">
        <v>153</v>
      </c>
      <c r="J89" s="55" t="s">
        <v>38</v>
      </c>
      <c r="K89" s="55" t="s">
        <v>154</v>
      </c>
      <c r="L89" s="237">
        <v>1</v>
      </c>
      <c r="N89" s="237">
        <v>3</v>
      </c>
      <c r="O89" s="55">
        <v>0.45</v>
      </c>
      <c r="P89" s="55">
        <v>0.5</v>
      </c>
      <c r="Q89" s="82">
        <f t="shared" si="6"/>
        <v>0.47499999999999998</v>
      </c>
      <c r="R89" s="55">
        <v>13.4</v>
      </c>
      <c r="S89" s="55">
        <v>124</v>
      </c>
      <c r="T89" s="57">
        <f t="shared" si="7"/>
        <v>27</v>
      </c>
      <c r="U89" s="237">
        <v>429</v>
      </c>
      <c r="V89" s="58">
        <f t="shared" si="5"/>
        <v>3861</v>
      </c>
      <c r="W89" s="237">
        <v>1</v>
      </c>
      <c r="X89" s="55" t="s">
        <v>46</v>
      </c>
      <c r="Y89" s="55" t="s">
        <v>50</v>
      </c>
      <c r="Z89" s="55" t="s">
        <v>102</v>
      </c>
      <c r="AA89" s="55" t="s">
        <v>90</v>
      </c>
      <c r="AB89" s="39" t="s">
        <v>330</v>
      </c>
    </row>
    <row r="90" spans="1:28" x14ac:dyDescent="0.15">
      <c r="A90" s="55" t="s">
        <v>41</v>
      </c>
      <c r="B90" s="237" t="s">
        <v>328</v>
      </c>
      <c r="C90" s="152">
        <v>2018</v>
      </c>
      <c r="D90" s="56" t="s">
        <v>377</v>
      </c>
      <c r="E90" s="55" t="s">
        <v>284</v>
      </c>
      <c r="F90" s="237" t="s">
        <v>290</v>
      </c>
      <c r="G90" s="55" t="s">
        <v>42</v>
      </c>
      <c r="H90" s="55" t="s">
        <v>155</v>
      </c>
      <c r="I90" s="55" t="s">
        <v>153</v>
      </c>
      <c r="J90" s="55" t="s">
        <v>38</v>
      </c>
      <c r="K90" s="55" t="s">
        <v>154</v>
      </c>
      <c r="L90" s="237">
        <v>2</v>
      </c>
      <c r="N90" s="237">
        <v>3</v>
      </c>
      <c r="O90" s="55">
        <v>0.85</v>
      </c>
      <c r="P90" s="55">
        <v>0.8</v>
      </c>
      <c r="Q90" s="82">
        <f t="shared" si="6"/>
        <v>0.82499999999999996</v>
      </c>
      <c r="R90" s="55">
        <v>14.4</v>
      </c>
      <c r="S90" s="55">
        <v>128</v>
      </c>
      <c r="T90" s="57">
        <f t="shared" si="7"/>
        <v>27</v>
      </c>
      <c r="U90" s="237">
        <v>429</v>
      </c>
      <c r="V90" s="58">
        <f t="shared" si="5"/>
        <v>3861</v>
      </c>
      <c r="W90" s="237">
        <v>1</v>
      </c>
      <c r="X90" s="55" t="s">
        <v>46</v>
      </c>
      <c r="Y90" s="55" t="s">
        <v>50</v>
      </c>
      <c r="Z90" s="55" t="s">
        <v>102</v>
      </c>
      <c r="AA90" s="55" t="s">
        <v>90</v>
      </c>
      <c r="AB90" s="39" t="s">
        <v>330</v>
      </c>
    </row>
    <row r="91" spans="1:28" x14ac:dyDescent="0.15">
      <c r="A91" s="55" t="s">
        <v>41</v>
      </c>
      <c r="B91" s="237" t="s">
        <v>328</v>
      </c>
      <c r="C91" s="152">
        <v>2018</v>
      </c>
      <c r="D91" s="56" t="s">
        <v>377</v>
      </c>
      <c r="E91" s="55" t="s">
        <v>284</v>
      </c>
      <c r="F91" s="237" t="s">
        <v>290</v>
      </c>
      <c r="G91" s="55" t="s">
        <v>42</v>
      </c>
      <c r="H91" s="55" t="s">
        <v>155</v>
      </c>
      <c r="I91" s="55" t="s">
        <v>153</v>
      </c>
      <c r="J91" s="55" t="s">
        <v>38</v>
      </c>
      <c r="K91" s="55" t="s">
        <v>154</v>
      </c>
      <c r="L91" s="237">
        <v>3</v>
      </c>
      <c r="N91" s="237">
        <v>3</v>
      </c>
      <c r="O91" s="55">
        <v>0.75</v>
      </c>
      <c r="P91" s="55">
        <v>0.65</v>
      </c>
      <c r="Q91" s="82">
        <f t="shared" si="6"/>
        <v>0.7</v>
      </c>
      <c r="R91" s="55">
        <v>14.1</v>
      </c>
      <c r="S91" s="55">
        <v>129</v>
      </c>
      <c r="T91" s="57">
        <f t="shared" si="7"/>
        <v>25</v>
      </c>
      <c r="U91" s="237">
        <v>429</v>
      </c>
      <c r="V91" s="58">
        <f t="shared" si="5"/>
        <v>3575</v>
      </c>
      <c r="W91" s="237">
        <v>1</v>
      </c>
      <c r="X91" s="55" t="s">
        <v>46</v>
      </c>
      <c r="Y91" s="55" t="s">
        <v>50</v>
      </c>
      <c r="Z91" s="55" t="s">
        <v>102</v>
      </c>
      <c r="AA91" s="55" t="s">
        <v>90</v>
      </c>
      <c r="AB91" s="39" t="s">
        <v>330</v>
      </c>
    </row>
    <row r="92" spans="1:28" x14ac:dyDescent="0.15">
      <c r="A92" s="55" t="s">
        <v>41</v>
      </c>
      <c r="B92" s="237" t="s">
        <v>328</v>
      </c>
      <c r="C92" s="152">
        <v>2018</v>
      </c>
      <c r="D92" s="56" t="s">
        <v>377</v>
      </c>
      <c r="E92" s="55" t="s">
        <v>284</v>
      </c>
      <c r="F92" s="237" t="s">
        <v>290</v>
      </c>
      <c r="G92" s="55" t="s">
        <v>42</v>
      </c>
      <c r="H92" s="55" t="s">
        <v>157</v>
      </c>
      <c r="I92" s="55" t="s">
        <v>153</v>
      </c>
      <c r="J92" s="55" t="s">
        <v>38</v>
      </c>
      <c r="K92" s="55" t="s">
        <v>154</v>
      </c>
      <c r="L92" s="237">
        <v>1</v>
      </c>
      <c r="N92" s="237">
        <v>1</v>
      </c>
      <c r="O92" s="237">
        <v>0.7</v>
      </c>
      <c r="P92" s="237">
        <v>0.75</v>
      </c>
      <c r="Q92" s="57">
        <f t="shared" si="6"/>
        <v>0.72499999999999998</v>
      </c>
      <c r="R92" s="237">
        <v>15.8</v>
      </c>
      <c r="S92" s="237">
        <v>115</v>
      </c>
      <c r="T92" s="57">
        <f t="shared" si="7"/>
        <v>30</v>
      </c>
      <c r="U92" s="237">
        <v>138</v>
      </c>
      <c r="V92" s="58">
        <f t="shared" si="5"/>
        <v>4140</v>
      </c>
      <c r="W92" s="237">
        <v>1</v>
      </c>
      <c r="X92" s="55" t="s">
        <v>46</v>
      </c>
      <c r="Y92" s="55" t="s">
        <v>50</v>
      </c>
      <c r="Z92" s="55" t="s">
        <v>102</v>
      </c>
      <c r="AA92" s="55" t="s">
        <v>90</v>
      </c>
      <c r="AB92" s="39" t="s">
        <v>330</v>
      </c>
    </row>
    <row r="93" spans="1:28" x14ac:dyDescent="0.15">
      <c r="A93" s="55" t="s">
        <v>41</v>
      </c>
      <c r="B93" s="237" t="s">
        <v>328</v>
      </c>
      <c r="C93" s="152">
        <v>2018</v>
      </c>
      <c r="D93" s="56" t="s">
        <v>377</v>
      </c>
      <c r="E93" s="55" t="s">
        <v>284</v>
      </c>
      <c r="F93" s="237" t="s">
        <v>290</v>
      </c>
      <c r="G93" s="55" t="s">
        <v>42</v>
      </c>
      <c r="H93" s="55" t="s">
        <v>157</v>
      </c>
      <c r="I93" s="55" t="s">
        <v>153</v>
      </c>
      <c r="J93" s="55" t="s">
        <v>38</v>
      </c>
      <c r="K93" s="55" t="s">
        <v>154</v>
      </c>
      <c r="L93" s="237">
        <v>2</v>
      </c>
      <c r="N93" s="237">
        <v>1</v>
      </c>
      <c r="O93" s="237">
        <v>0.8</v>
      </c>
      <c r="P93" s="237">
        <v>0.65</v>
      </c>
      <c r="Q93" s="57">
        <f t="shared" si="6"/>
        <v>0.72500000000000009</v>
      </c>
      <c r="R93" s="237">
        <v>16.100000000000001</v>
      </c>
      <c r="S93" s="237">
        <v>118</v>
      </c>
      <c r="T93" s="57">
        <f t="shared" si="7"/>
        <v>30</v>
      </c>
      <c r="U93" s="237">
        <v>138</v>
      </c>
      <c r="V93" s="58">
        <f t="shared" si="5"/>
        <v>4140</v>
      </c>
      <c r="W93" s="237">
        <v>1</v>
      </c>
      <c r="X93" s="55" t="s">
        <v>46</v>
      </c>
      <c r="Y93" s="55" t="s">
        <v>50</v>
      </c>
      <c r="Z93" s="55" t="s">
        <v>102</v>
      </c>
      <c r="AA93" s="55" t="s">
        <v>90</v>
      </c>
      <c r="AB93" s="39" t="s">
        <v>330</v>
      </c>
    </row>
    <row r="94" spans="1:28" x14ac:dyDescent="0.15">
      <c r="A94" s="55" t="s">
        <v>41</v>
      </c>
      <c r="B94" s="237" t="s">
        <v>328</v>
      </c>
      <c r="C94" s="152">
        <v>2018</v>
      </c>
      <c r="D94" s="56" t="s">
        <v>377</v>
      </c>
      <c r="E94" s="55" t="s">
        <v>284</v>
      </c>
      <c r="F94" s="237" t="s">
        <v>290</v>
      </c>
      <c r="G94" s="55" t="s">
        <v>42</v>
      </c>
      <c r="H94" s="55" t="s">
        <v>157</v>
      </c>
      <c r="I94" s="55" t="s">
        <v>153</v>
      </c>
      <c r="J94" s="55" t="s">
        <v>38</v>
      </c>
      <c r="K94" s="55" t="s">
        <v>154</v>
      </c>
      <c r="L94" s="237">
        <v>3</v>
      </c>
      <c r="N94" s="237">
        <v>1</v>
      </c>
      <c r="O94" s="237">
        <v>0.6</v>
      </c>
      <c r="P94" s="237">
        <v>0.5</v>
      </c>
      <c r="Q94" s="57">
        <f t="shared" si="6"/>
        <v>0.55000000000000004</v>
      </c>
      <c r="R94" s="237">
        <v>15.7</v>
      </c>
      <c r="S94" s="237">
        <v>120</v>
      </c>
      <c r="T94" s="57">
        <f t="shared" si="7"/>
        <v>30</v>
      </c>
      <c r="U94" s="237">
        <v>138</v>
      </c>
      <c r="V94" s="58">
        <f t="shared" si="5"/>
        <v>4140</v>
      </c>
      <c r="W94" s="237">
        <v>1</v>
      </c>
      <c r="X94" s="55" t="s">
        <v>46</v>
      </c>
      <c r="Y94" s="55" t="s">
        <v>50</v>
      </c>
      <c r="Z94" s="55" t="s">
        <v>102</v>
      </c>
      <c r="AA94" s="55" t="s">
        <v>90</v>
      </c>
      <c r="AB94" s="39" t="s">
        <v>330</v>
      </c>
    </row>
    <row r="95" spans="1:28" x14ac:dyDescent="0.15">
      <c r="A95" s="55" t="s">
        <v>41</v>
      </c>
      <c r="B95" s="237" t="s">
        <v>328</v>
      </c>
      <c r="C95" s="152">
        <v>2018</v>
      </c>
      <c r="D95" s="56" t="s">
        <v>377</v>
      </c>
      <c r="E95" s="55" t="s">
        <v>284</v>
      </c>
      <c r="F95" s="237" t="s">
        <v>290</v>
      </c>
      <c r="G95" s="55" t="s">
        <v>42</v>
      </c>
      <c r="H95" s="55" t="s">
        <v>157</v>
      </c>
      <c r="I95" s="55" t="s">
        <v>153</v>
      </c>
      <c r="J95" s="55" t="s">
        <v>38</v>
      </c>
      <c r="K95" s="55" t="s">
        <v>154</v>
      </c>
      <c r="L95" s="237">
        <v>1</v>
      </c>
      <c r="N95" s="237">
        <v>3</v>
      </c>
      <c r="O95" s="55">
        <v>0.7</v>
      </c>
      <c r="P95" s="55">
        <v>0.8</v>
      </c>
      <c r="Q95" s="57">
        <f t="shared" si="6"/>
        <v>0.75</v>
      </c>
      <c r="R95" s="237">
        <v>14.7</v>
      </c>
      <c r="S95" s="55">
        <v>130</v>
      </c>
      <c r="T95" s="57">
        <f t="shared" si="7"/>
        <v>25</v>
      </c>
      <c r="U95" s="237">
        <v>537</v>
      </c>
      <c r="V95" s="58">
        <f t="shared" si="5"/>
        <v>4475</v>
      </c>
      <c r="W95" s="237">
        <v>1</v>
      </c>
      <c r="X95" s="55" t="s">
        <v>46</v>
      </c>
      <c r="Y95" s="55" t="s">
        <v>50</v>
      </c>
      <c r="Z95" s="55" t="s">
        <v>102</v>
      </c>
      <c r="AA95" s="55" t="s">
        <v>90</v>
      </c>
      <c r="AB95" s="39" t="s">
        <v>330</v>
      </c>
    </row>
    <row r="96" spans="1:28" x14ac:dyDescent="0.15">
      <c r="A96" s="55" t="s">
        <v>41</v>
      </c>
      <c r="B96" s="237" t="s">
        <v>328</v>
      </c>
      <c r="C96" s="152">
        <v>2018</v>
      </c>
      <c r="D96" s="56" t="s">
        <v>377</v>
      </c>
      <c r="E96" s="55" t="s">
        <v>284</v>
      </c>
      <c r="F96" s="237" t="s">
        <v>290</v>
      </c>
      <c r="G96" s="55" t="s">
        <v>42</v>
      </c>
      <c r="H96" s="55" t="s">
        <v>157</v>
      </c>
      <c r="I96" s="55" t="s">
        <v>153</v>
      </c>
      <c r="J96" s="55" t="s">
        <v>38</v>
      </c>
      <c r="K96" s="55" t="s">
        <v>154</v>
      </c>
      <c r="L96" s="237">
        <v>2</v>
      </c>
      <c r="N96" s="237">
        <v>3</v>
      </c>
      <c r="O96" s="55">
        <v>0.55000000000000004</v>
      </c>
      <c r="P96" s="55">
        <v>0.65</v>
      </c>
      <c r="Q96" s="57">
        <f t="shared" si="6"/>
        <v>0.60000000000000009</v>
      </c>
      <c r="R96" s="237">
        <v>14.6</v>
      </c>
      <c r="S96" s="55">
        <v>128</v>
      </c>
      <c r="T96" s="57">
        <f t="shared" si="7"/>
        <v>27</v>
      </c>
      <c r="U96" s="237">
        <v>537</v>
      </c>
      <c r="V96" s="58">
        <f t="shared" si="5"/>
        <v>4833</v>
      </c>
      <c r="W96" s="237">
        <v>1</v>
      </c>
      <c r="X96" s="55" t="s">
        <v>46</v>
      </c>
      <c r="Y96" s="55" t="s">
        <v>50</v>
      </c>
      <c r="Z96" s="55" t="s">
        <v>102</v>
      </c>
      <c r="AA96" s="55" t="s">
        <v>90</v>
      </c>
      <c r="AB96" s="39" t="s">
        <v>330</v>
      </c>
    </row>
    <row r="97" spans="1:28" x14ac:dyDescent="0.15">
      <c r="A97" s="55" t="s">
        <v>41</v>
      </c>
      <c r="B97" s="237" t="s">
        <v>328</v>
      </c>
      <c r="C97" s="152">
        <v>2018</v>
      </c>
      <c r="D97" s="56" t="s">
        <v>377</v>
      </c>
      <c r="E97" s="55" t="s">
        <v>284</v>
      </c>
      <c r="F97" s="237" t="s">
        <v>290</v>
      </c>
      <c r="G97" s="55" t="s">
        <v>42</v>
      </c>
      <c r="H97" s="55" t="s">
        <v>157</v>
      </c>
      <c r="I97" s="55" t="s">
        <v>153</v>
      </c>
      <c r="J97" s="55" t="s">
        <v>38</v>
      </c>
      <c r="K97" s="55" t="s">
        <v>154</v>
      </c>
      <c r="L97" s="237">
        <v>3</v>
      </c>
      <c r="N97" s="237">
        <v>3</v>
      </c>
      <c r="O97" s="55">
        <v>0.65</v>
      </c>
      <c r="P97" s="55">
        <v>0.6</v>
      </c>
      <c r="Q97" s="57">
        <f t="shared" si="6"/>
        <v>0.625</v>
      </c>
      <c r="R97" s="237">
        <v>14.3</v>
      </c>
      <c r="S97" s="55">
        <v>125</v>
      </c>
      <c r="T97" s="57">
        <f t="shared" si="7"/>
        <v>27</v>
      </c>
      <c r="U97" s="237">
        <v>537</v>
      </c>
      <c r="V97" s="58">
        <f t="shared" si="5"/>
        <v>4833</v>
      </c>
      <c r="W97" s="237">
        <v>1</v>
      </c>
      <c r="X97" s="55" t="s">
        <v>46</v>
      </c>
      <c r="Y97" s="55" t="s">
        <v>50</v>
      </c>
      <c r="Z97" s="55" t="s">
        <v>102</v>
      </c>
      <c r="AA97" s="55" t="s">
        <v>90</v>
      </c>
      <c r="AB97" s="39" t="s">
        <v>330</v>
      </c>
    </row>
    <row r="98" spans="1:28" x14ac:dyDescent="0.15">
      <c r="A98" s="55" t="s">
        <v>41</v>
      </c>
      <c r="B98" s="237" t="s">
        <v>328</v>
      </c>
      <c r="C98" s="152">
        <v>2018</v>
      </c>
      <c r="D98" s="56" t="s">
        <v>377</v>
      </c>
      <c r="E98" s="237" t="s">
        <v>285</v>
      </c>
      <c r="F98" s="237" t="s">
        <v>291</v>
      </c>
      <c r="G98" s="55" t="s">
        <v>42</v>
      </c>
      <c r="H98" s="55" t="s">
        <v>157</v>
      </c>
      <c r="I98" s="55" t="s">
        <v>153</v>
      </c>
      <c r="J98" s="55" t="s">
        <v>38</v>
      </c>
      <c r="K98" s="55" t="s">
        <v>154</v>
      </c>
      <c r="L98" s="237">
        <v>1</v>
      </c>
      <c r="N98" s="237">
        <v>1</v>
      </c>
      <c r="O98" s="55">
        <v>0.5</v>
      </c>
      <c r="P98" s="55">
        <v>0.55000000000000004</v>
      </c>
      <c r="Q98" s="57">
        <f t="shared" si="6"/>
        <v>0.52500000000000002</v>
      </c>
      <c r="R98" s="237">
        <v>13.6</v>
      </c>
      <c r="S98" s="55">
        <v>131</v>
      </c>
      <c r="T98" s="57">
        <f t="shared" si="7"/>
        <v>25</v>
      </c>
      <c r="U98" s="237">
        <v>105</v>
      </c>
      <c r="V98" s="58">
        <f t="shared" si="5"/>
        <v>2625</v>
      </c>
      <c r="W98" s="237">
        <v>1</v>
      </c>
      <c r="X98" s="55" t="s">
        <v>46</v>
      </c>
      <c r="Y98" s="55" t="s">
        <v>50</v>
      </c>
      <c r="Z98" s="55" t="s">
        <v>102</v>
      </c>
      <c r="AA98" s="55" t="s">
        <v>78</v>
      </c>
      <c r="AB98" s="39" t="s">
        <v>330</v>
      </c>
    </row>
    <row r="99" spans="1:28" x14ac:dyDescent="0.15">
      <c r="A99" s="55" t="s">
        <v>41</v>
      </c>
      <c r="B99" s="237" t="s">
        <v>328</v>
      </c>
      <c r="C99" s="152">
        <v>2018</v>
      </c>
      <c r="D99" s="56" t="s">
        <v>377</v>
      </c>
      <c r="E99" s="237" t="s">
        <v>285</v>
      </c>
      <c r="F99" s="237" t="s">
        <v>291</v>
      </c>
      <c r="G99" s="55" t="s">
        <v>42</v>
      </c>
      <c r="H99" s="55" t="s">
        <v>157</v>
      </c>
      <c r="I99" s="55" t="s">
        <v>153</v>
      </c>
      <c r="J99" s="55" t="s">
        <v>38</v>
      </c>
      <c r="K99" s="55" t="s">
        <v>154</v>
      </c>
      <c r="L99" s="237">
        <v>2</v>
      </c>
      <c r="N99" s="237">
        <v>1</v>
      </c>
      <c r="O99" s="55">
        <v>0.4</v>
      </c>
      <c r="P99" s="55">
        <v>0.35</v>
      </c>
      <c r="Q99" s="57">
        <f t="shared" si="6"/>
        <v>0.375</v>
      </c>
      <c r="R99" s="237">
        <v>15.1</v>
      </c>
      <c r="S99" s="55">
        <v>130</v>
      </c>
      <c r="T99" s="57">
        <f t="shared" si="7"/>
        <v>25</v>
      </c>
      <c r="U99" s="237">
        <v>105</v>
      </c>
      <c r="V99" s="58">
        <f t="shared" si="5"/>
        <v>2625</v>
      </c>
      <c r="W99" s="237">
        <v>1</v>
      </c>
      <c r="X99" s="55" t="s">
        <v>46</v>
      </c>
      <c r="Y99" s="55" t="s">
        <v>50</v>
      </c>
      <c r="Z99" s="55" t="s">
        <v>102</v>
      </c>
      <c r="AA99" s="55" t="s">
        <v>78</v>
      </c>
      <c r="AB99" s="39" t="s">
        <v>330</v>
      </c>
    </row>
    <row r="100" spans="1:28" x14ac:dyDescent="0.15">
      <c r="A100" s="55" t="s">
        <v>41</v>
      </c>
      <c r="B100" s="237" t="s">
        <v>328</v>
      </c>
      <c r="C100" s="152">
        <v>2018</v>
      </c>
      <c r="D100" s="56" t="s">
        <v>377</v>
      </c>
      <c r="E100" s="237" t="s">
        <v>285</v>
      </c>
      <c r="F100" s="237" t="s">
        <v>291</v>
      </c>
      <c r="G100" s="55" t="s">
        <v>42</v>
      </c>
      <c r="H100" s="55" t="s">
        <v>157</v>
      </c>
      <c r="I100" s="55" t="s">
        <v>153</v>
      </c>
      <c r="J100" s="55" t="s">
        <v>38</v>
      </c>
      <c r="K100" s="55" t="s">
        <v>154</v>
      </c>
      <c r="L100" s="237">
        <v>3</v>
      </c>
      <c r="N100" s="237">
        <v>1</v>
      </c>
      <c r="O100" s="55">
        <v>0.6</v>
      </c>
      <c r="P100" s="55">
        <v>0.55000000000000004</v>
      </c>
      <c r="Q100" s="57">
        <f t="shared" si="6"/>
        <v>0.57499999999999996</v>
      </c>
      <c r="R100" s="237">
        <v>15</v>
      </c>
      <c r="S100" s="55">
        <v>128</v>
      </c>
      <c r="T100" s="57">
        <f t="shared" si="7"/>
        <v>27</v>
      </c>
      <c r="U100" s="237">
        <v>105</v>
      </c>
      <c r="V100" s="58">
        <f t="shared" si="5"/>
        <v>2835</v>
      </c>
      <c r="W100" s="237">
        <v>1</v>
      </c>
      <c r="X100" s="55" t="s">
        <v>46</v>
      </c>
      <c r="Y100" s="55" t="s">
        <v>50</v>
      </c>
      <c r="Z100" s="55" t="s">
        <v>102</v>
      </c>
      <c r="AA100" s="55" t="s">
        <v>78</v>
      </c>
      <c r="AB100" s="39" t="s">
        <v>330</v>
      </c>
    </row>
    <row r="101" spans="1:28" x14ac:dyDescent="0.15">
      <c r="A101" s="55" t="s">
        <v>41</v>
      </c>
      <c r="B101" s="237" t="s">
        <v>328</v>
      </c>
      <c r="C101" s="152">
        <v>2018</v>
      </c>
      <c r="D101" s="56" t="s">
        <v>377</v>
      </c>
      <c r="E101" s="237" t="s">
        <v>285</v>
      </c>
      <c r="F101" s="237" t="s">
        <v>291</v>
      </c>
      <c r="G101" s="55" t="s">
        <v>42</v>
      </c>
      <c r="H101" s="55" t="s">
        <v>157</v>
      </c>
      <c r="I101" s="55" t="s">
        <v>153</v>
      </c>
      <c r="J101" s="55" t="s">
        <v>38</v>
      </c>
      <c r="K101" s="55" t="s">
        <v>154</v>
      </c>
      <c r="L101" s="237">
        <v>1</v>
      </c>
      <c r="N101" s="237">
        <v>4</v>
      </c>
      <c r="O101" s="55">
        <v>0.5</v>
      </c>
      <c r="P101" s="55">
        <v>0.35</v>
      </c>
      <c r="Q101" s="57">
        <f t="shared" si="6"/>
        <v>0.42499999999999999</v>
      </c>
      <c r="R101" s="237">
        <v>14.2</v>
      </c>
      <c r="S101" s="55">
        <v>126</v>
      </c>
      <c r="T101" s="57">
        <f t="shared" si="7"/>
        <v>27</v>
      </c>
      <c r="U101" s="237">
        <v>537</v>
      </c>
      <c r="V101" s="58">
        <f t="shared" si="5"/>
        <v>3624.75</v>
      </c>
      <c r="W101" s="237">
        <v>1</v>
      </c>
      <c r="X101" s="55" t="s">
        <v>46</v>
      </c>
      <c r="Y101" s="55" t="s">
        <v>50</v>
      </c>
      <c r="Z101" s="55" t="s">
        <v>102</v>
      </c>
      <c r="AA101" s="55" t="s">
        <v>78</v>
      </c>
      <c r="AB101" s="39" t="s">
        <v>330</v>
      </c>
    </row>
    <row r="102" spans="1:28" x14ac:dyDescent="0.15">
      <c r="A102" s="55" t="s">
        <v>41</v>
      </c>
      <c r="B102" s="237" t="s">
        <v>328</v>
      </c>
      <c r="C102" s="152">
        <v>2018</v>
      </c>
      <c r="D102" s="56" t="s">
        <v>377</v>
      </c>
      <c r="E102" s="237" t="s">
        <v>285</v>
      </c>
      <c r="F102" s="237" t="s">
        <v>291</v>
      </c>
      <c r="G102" s="55" t="s">
        <v>42</v>
      </c>
      <c r="H102" s="55" t="s">
        <v>157</v>
      </c>
      <c r="I102" s="55" t="s">
        <v>153</v>
      </c>
      <c r="J102" s="55" t="s">
        <v>38</v>
      </c>
      <c r="K102" s="55" t="s">
        <v>154</v>
      </c>
      <c r="L102" s="237">
        <v>2</v>
      </c>
      <c r="N102" s="237">
        <v>4</v>
      </c>
      <c r="O102" s="55">
        <v>0.35</v>
      </c>
      <c r="P102" s="55">
        <v>0.35</v>
      </c>
      <c r="Q102" s="57">
        <f t="shared" si="6"/>
        <v>0.35</v>
      </c>
      <c r="R102" s="237">
        <v>16.399999999999999</v>
      </c>
      <c r="S102" s="55">
        <v>124</v>
      </c>
      <c r="T102" s="57">
        <f t="shared" si="7"/>
        <v>27</v>
      </c>
      <c r="U102" s="237">
        <v>537</v>
      </c>
      <c r="V102" s="58">
        <f t="shared" si="5"/>
        <v>3624.75</v>
      </c>
      <c r="W102" s="237">
        <v>1</v>
      </c>
      <c r="X102" s="55" t="s">
        <v>46</v>
      </c>
      <c r="Y102" s="55" t="s">
        <v>50</v>
      </c>
      <c r="Z102" s="55" t="s">
        <v>102</v>
      </c>
      <c r="AA102" s="55" t="s">
        <v>78</v>
      </c>
      <c r="AB102" s="39" t="s">
        <v>330</v>
      </c>
    </row>
    <row r="103" spans="1:28" x14ac:dyDescent="0.15">
      <c r="A103" s="55" t="s">
        <v>41</v>
      </c>
      <c r="B103" s="237" t="s">
        <v>328</v>
      </c>
      <c r="C103" s="152">
        <v>2018</v>
      </c>
      <c r="D103" s="56" t="s">
        <v>377</v>
      </c>
      <c r="E103" s="237" t="s">
        <v>285</v>
      </c>
      <c r="F103" s="237" t="s">
        <v>291</v>
      </c>
      <c r="G103" s="55" t="s">
        <v>42</v>
      </c>
      <c r="H103" s="55" t="s">
        <v>157</v>
      </c>
      <c r="I103" s="55" t="s">
        <v>153</v>
      </c>
      <c r="J103" s="55" t="s">
        <v>38</v>
      </c>
      <c r="K103" s="55" t="s">
        <v>154</v>
      </c>
      <c r="L103" s="237">
        <v>3</v>
      </c>
      <c r="N103" s="237">
        <v>4</v>
      </c>
      <c r="O103" s="55">
        <v>0.55000000000000004</v>
      </c>
      <c r="P103" s="55">
        <v>0.4</v>
      </c>
      <c r="Q103" s="57">
        <f t="shared" si="6"/>
        <v>0.47500000000000003</v>
      </c>
      <c r="R103" s="237">
        <v>13.7</v>
      </c>
      <c r="S103" s="55">
        <v>123</v>
      </c>
      <c r="T103" s="57">
        <f t="shared" si="7"/>
        <v>27</v>
      </c>
      <c r="U103" s="237">
        <v>537</v>
      </c>
      <c r="V103" s="58">
        <f t="shared" si="5"/>
        <v>3624.75</v>
      </c>
      <c r="W103" s="237">
        <v>1</v>
      </c>
      <c r="X103" s="55" t="s">
        <v>46</v>
      </c>
      <c r="Y103" s="55" t="s">
        <v>50</v>
      </c>
      <c r="Z103" s="55" t="s">
        <v>102</v>
      </c>
      <c r="AA103" s="55" t="s">
        <v>78</v>
      </c>
      <c r="AB103" s="39" t="s">
        <v>330</v>
      </c>
    </row>
    <row r="104" spans="1:28" x14ac:dyDescent="0.15">
      <c r="A104" s="55" t="s">
        <v>41</v>
      </c>
      <c r="B104" s="237" t="s">
        <v>328</v>
      </c>
      <c r="C104" s="152">
        <v>2018</v>
      </c>
      <c r="D104" s="56" t="s">
        <v>377</v>
      </c>
      <c r="E104" s="237" t="s">
        <v>285</v>
      </c>
      <c r="F104" s="237" t="s">
        <v>291</v>
      </c>
      <c r="G104" s="55" t="s">
        <v>42</v>
      </c>
      <c r="H104" s="55" t="s">
        <v>155</v>
      </c>
      <c r="I104" s="55" t="s">
        <v>153</v>
      </c>
      <c r="J104" s="55" t="s">
        <v>38</v>
      </c>
      <c r="K104" s="55" t="s">
        <v>154</v>
      </c>
      <c r="L104" s="237">
        <v>1</v>
      </c>
      <c r="N104" s="237">
        <v>1</v>
      </c>
      <c r="O104" s="237">
        <v>0.25</v>
      </c>
      <c r="P104" s="237">
        <v>0.3</v>
      </c>
      <c r="Q104" s="57">
        <f t="shared" si="6"/>
        <v>0.27500000000000002</v>
      </c>
      <c r="R104" s="237">
        <v>15.8</v>
      </c>
      <c r="S104" s="237">
        <v>134</v>
      </c>
      <c r="T104" s="57">
        <f t="shared" si="7"/>
        <v>25</v>
      </c>
      <c r="U104" s="237">
        <v>105</v>
      </c>
      <c r="V104" s="58">
        <f t="shared" si="5"/>
        <v>2625</v>
      </c>
      <c r="W104" s="237">
        <v>1</v>
      </c>
      <c r="X104" s="55" t="s">
        <v>46</v>
      </c>
      <c r="Y104" s="55" t="s">
        <v>50</v>
      </c>
      <c r="Z104" s="55" t="s">
        <v>102</v>
      </c>
      <c r="AA104" s="55" t="s">
        <v>78</v>
      </c>
      <c r="AB104" s="39" t="s">
        <v>330</v>
      </c>
    </row>
    <row r="105" spans="1:28" x14ac:dyDescent="0.15">
      <c r="A105" s="55" t="s">
        <v>41</v>
      </c>
      <c r="B105" s="237" t="s">
        <v>328</v>
      </c>
      <c r="C105" s="152">
        <v>2018</v>
      </c>
      <c r="D105" s="56" t="s">
        <v>377</v>
      </c>
      <c r="E105" s="237" t="s">
        <v>285</v>
      </c>
      <c r="F105" s="237" t="s">
        <v>291</v>
      </c>
      <c r="G105" s="55" t="s">
        <v>42</v>
      </c>
      <c r="H105" s="55" t="s">
        <v>155</v>
      </c>
      <c r="I105" s="55" t="s">
        <v>153</v>
      </c>
      <c r="J105" s="55" t="s">
        <v>38</v>
      </c>
      <c r="K105" s="55" t="s">
        <v>154</v>
      </c>
      <c r="L105" s="237">
        <v>2</v>
      </c>
      <c r="N105" s="237">
        <v>1</v>
      </c>
      <c r="O105" s="237">
        <v>0.25</v>
      </c>
      <c r="P105" s="237">
        <v>0.25</v>
      </c>
      <c r="Q105" s="57">
        <f t="shared" si="6"/>
        <v>0.25</v>
      </c>
      <c r="R105" s="237">
        <v>16.600000000000001</v>
      </c>
      <c r="S105" s="237">
        <v>130</v>
      </c>
      <c r="T105" s="57">
        <f t="shared" si="7"/>
        <v>25</v>
      </c>
      <c r="U105" s="237">
        <v>105</v>
      </c>
      <c r="V105" s="58">
        <f t="shared" si="5"/>
        <v>2625</v>
      </c>
      <c r="W105" s="237">
        <v>1</v>
      </c>
      <c r="X105" s="55" t="s">
        <v>46</v>
      </c>
      <c r="Y105" s="55" t="s">
        <v>50</v>
      </c>
      <c r="Z105" s="55" t="s">
        <v>102</v>
      </c>
      <c r="AA105" s="55" t="s">
        <v>78</v>
      </c>
      <c r="AB105" s="39" t="s">
        <v>330</v>
      </c>
    </row>
    <row r="106" spans="1:28" x14ac:dyDescent="0.15">
      <c r="A106" s="55" t="s">
        <v>41</v>
      </c>
      <c r="B106" s="237" t="s">
        <v>328</v>
      </c>
      <c r="C106" s="152">
        <v>2018</v>
      </c>
      <c r="D106" s="56" t="s">
        <v>377</v>
      </c>
      <c r="E106" s="237" t="s">
        <v>285</v>
      </c>
      <c r="F106" s="237" t="s">
        <v>291</v>
      </c>
      <c r="G106" s="55" t="s">
        <v>42</v>
      </c>
      <c r="H106" s="55" t="s">
        <v>155</v>
      </c>
      <c r="I106" s="55" t="s">
        <v>153</v>
      </c>
      <c r="J106" s="55" t="s">
        <v>38</v>
      </c>
      <c r="K106" s="55" t="s">
        <v>154</v>
      </c>
      <c r="L106" s="237">
        <v>3</v>
      </c>
      <c r="N106" s="237">
        <v>1</v>
      </c>
      <c r="O106" s="237">
        <v>0.25</v>
      </c>
      <c r="P106" s="237">
        <v>0.25</v>
      </c>
      <c r="Q106" s="57">
        <f t="shared" si="6"/>
        <v>0.25</v>
      </c>
      <c r="R106" s="237">
        <v>13.5</v>
      </c>
      <c r="S106" s="237">
        <v>132</v>
      </c>
      <c r="T106" s="57">
        <f t="shared" si="7"/>
        <v>25</v>
      </c>
      <c r="U106" s="237">
        <v>105</v>
      </c>
      <c r="V106" s="58">
        <f t="shared" si="5"/>
        <v>2625</v>
      </c>
      <c r="W106" s="237">
        <v>1</v>
      </c>
      <c r="X106" s="55" t="s">
        <v>46</v>
      </c>
      <c r="Y106" s="55" t="s">
        <v>50</v>
      </c>
      <c r="Z106" s="55" t="s">
        <v>102</v>
      </c>
      <c r="AA106" s="55" t="s">
        <v>78</v>
      </c>
      <c r="AB106" s="39" t="s">
        <v>330</v>
      </c>
    </row>
    <row r="107" spans="1:28" x14ac:dyDescent="0.15">
      <c r="A107" s="55" t="s">
        <v>41</v>
      </c>
      <c r="B107" s="237" t="s">
        <v>328</v>
      </c>
      <c r="C107" s="152">
        <v>2018</v>
      </c>
      <c r="D107" s="56" t="s">
        <v>377</v>
      </c>
      <c r="E107" s="237" t="s">
        <v>285</v>
      </c>
      <c r="F107" s="237" t="s">
        <v>291</v>
      </c>
      <c r="G107" s="55" t="s">
        <v>42</v>
      </c>
      <c r="H107" s="55" t="s">
        <v>155</v>
      </c>
      <c r="I107" s="55" t="s">
        <v>153</v>
      </c>
      <c r="J107" s="55" t="s">
        <v>38</v>
      </c>
      <c r="K107" s="55" t="s">
        <v>154</v>
      </c>
      <c r="L107" s="237">
        <v>1</v>
      </c>
      <c r="N107" s="237">
        <v>8</v>
      </c>
      <c r="O107" s="237">
        <v>1</v>
      </c>
      <c r="P107" s="237">
        <v>0.9</v>
      </c>
      <c r="Q107" s="57">
        <f t="shared" si="6"/>
        <v>0.95</v>
      </c>
      <c r="R107" s="237">
        <v>13.7</v>
      </c>
      <c r="S107" s="237">
        <v>102</v>
      </c>
      <c r="T107" s="57">
        <f t="shared" si="7"/>
        <v>33</v>
      </c>
      <c r="U107" s="237">
        <v>429</v>
      </c>
      <c r="V107" s="58">
        <f t="shared" si="5"/>
        <v>1769.625</v>
      </c>
      <c r="W107" s="237">
        <v>2</v>
      </c>
      <c r="X107" s="55" t="s">
        <v>46</v>
      </c>
      <c r="Y107" s="55" t="s">
        <v>50</v>
      </c>
      <c r="Z107" s="55" t="s">
        <v>102</v>
      </c>
      <c r="AA107" s="55" t="s">
        <v>78</v>
      </c>
      <c r="AB107" s="39" t="s">
        <v>330</v>
      </c>
    </row>
    <row r="108" spans="1:28" x14ac:dyDescent="0.15">
      <c r="A108" s="55" t="s">
        <v>41</v>
      </c>
      <c r="B108" s="237" t="s">
        <v>328</v>
      </c>
      <c r="C108" s="152">
        <v>2018</v>
      </c>
      <c r="D108" s="56" t="s">
        <v>377</v>
      </c>
      <c r="E108" s="237" t="s">
        <v>285</v>
      </c>
      <c r="F108" s="237" t="s">
        <v>291</v>
      </c>
      <c r="G108" s="55" t="s">
        <v>42</v>
      </c>
      <c r="H108" s="55" t="s">
        <v>155</v>
      </c>
      <c r="I108" s="55" t="s">
        <v>153</v>
      </c>
      <c r="J108" s="55" t="s">
        <v>38</v>
      </c>
      <c r="K108" s="55" t="s">
        <v>154</v>
      </c>
      <c r="L108" s="237">
        <v>2</v>
      </c>
      <c r="N108" s="237">
        <v>8</v>
      </c>
      <c r="O108" s="237">
        <v>0.85</v>
      </c>
      <c r="P108" s="237">
        <v>0.75</v>
      </c>
      <c r="Q108" s="57">
        <f t="shared" si="6"/>
        <v>0.8</v>
      </c>
      <c r="R108" s="237">
        <v>15.5</v>
      </c>
      <c r="S108" s="237">
        <v>105</v>
      </c>
      <c r="T108" s="57">
        <f t="shared" si="7"/>
        <v>33</v>
      </c>
      <c r="U108" s="237">
        <v>429</v>
      </c>
      <c r="V108" s="58">
        <f t="shared" si="5"/>
        <v>1769.625</v>
      </c>
      <c r="W108" s="237">
        <v>2</v>
      </c>
      <c r="X108" s="55" t="s">
        <v>46</v>
      </c>
      <c r="Y108" s="55" t="s">
        <v>50</v>
      </c>
      <c r="Z108" s="55" t="s">
        <v>102</v>
      </c>
      <c r="AA108" s="55" t="s">
        <v>78</v>
      </c>
      <c r="AB108" s="39" t="s">
        <v>330</v>
      </c>
    </row>
    <row r="109" spans="1:28" x14ac:dyDescent="0.15">
      <c r="A109" s="55" t="s">
        <v>41</v>
      </c>
      <c r="B109" s="237" t="s">
        <v>328</v>
      </c>
      <c r="C109" s="152">
        <v>2018</v>
      </c>
      <c r="D109" s="56" t="s">
        <v>377</v>
      </c>
      <c r="E109" s="237" t="s">
        <v>285</v>
      </c>
      <c r="F109" s="237" t="s">
        <v>291</v>
      </c>
      <c r="G109" s="55" t="s">
        <v>42</v>
      </c>
      <c r="H109" s="55" t="s">
        <v>155</v>
      </c>
      <c r="I109" s="55" t="s">
        <v>153</v>
      </c>
      <c r="J109" s="55" t="s">
        <v>38</v>
      </c>
      <c r="K109" s="55" t="s">
        <v>154</v>
      </c>
      <c r="L109" s="237">
        <v>3</v>
      </c>
      <c r="N109" s="237">
        <v>8</v>
      </c>
      <c r="O109" s="237">
        <v>0.85</v>
      </c>
      <c r="P109" s="237">
        <v>0.9</v>
      </c>
      <c r="Q109" s="57">
        <f t="shared" si="6"/>
        <v>0.875</v>
      </c>
      <c r="R109" s="237">
        <v>14.1</v>
      </c>
      <c r="S109" s="237">
        <v>104</v>
      </c>
      <c r="T109" s="57">
        <f t="shared" si="7"/>
        <v>33</v>
      </c>
      <c r="U109" s="237">
        <v>429</v>
      </c>
      <c r="V109" s="58">
        <f t="shared" si="5"/>
        <v>1769.625</v>
      </c>
      <c r="W109" s="237">
        <v>2</v>
      </c>
      <c r="X109" s="55" t="s">
        <v>46</v>
      </c>
      <c r="Y109" s="55" t="s">
        <v>50</v>
      </c>
      <c r="Z109" s="55" t="s">
        <v>102</v>
      </c>
      <c r="AA109" s="55" t="s">
        <v>78</v>
      </c>
      <c r="AB109" s="39" t="s">
        <v>330</v>
      </c>
    </row>
    <row r="110" spans="1:28" x14ac:dyDescent="0.15">
      <c r="A110" s="55" t="s">
        <v>41</v>
      </c>
      <c r="B110" s="237" t="s">
        <v>328</v>
      </c>
      <c r="C110" s="152">
        <v>2018</v>
      </c>
      <c r="D110" s="56" t="s">
        <v>377</v>
      </c>
      <c r="E110" s="237" t="s">
        <v>159</v>
      </c>
      <c r="F110" s="237" t="s">
        <v>292</v>
      </c>
      <c r="G110" s="55" t="s">
        <v>42</v>
      </c>
      <c r="H110" s="55" t="s">
        <v>157</v>
      </c>
      <c r="I110" s="55" t="s">
        <v>153</v>
      </c>
      <c r="J110" s="55" t="s">
        <v>38</v>
      </c>
      <c r="K110" s="55" t="s">
        <v>154</v>
      </c>
      <c r="L110" s="237">
        <v>1</v>
      </c>
      <c r="N110" s="237">
        <v>1</v>
      </c>
      <c r="O110" s="55">
        <v>0.85</v>
      </c>
      <c r="P110" s="55">
        <v>0.9</v>
      </c>
      <c r="Q110" s="57">
        <f t="shared" si="6"/>
        <v>0.875</v>
      </c>
      <c r="R110" s="237">
        <v>15.2</v>
      </c>
      <c r="S110" s="55">
        <v>130</v>
      </c>
      <c r="T110" s="57">
        <f t="shared" si="7"/>
        <v>25</v>
      </c>
      <c r="U110" s="237">
        <v>137</v>
      </c>
      <c r="V110" s="58">
        <f t="shared" si="5"/>
        <v>3425</v>
      </c>
      <c r="W110" s="237">
        <v>1</v>
      </c>
      <c r="X110" s="55" t="s">
        <v>39</v>
      </c>
      <c r="Y110" s="55" t="s">
        <v>50</v>
      </c>
      <c r="Z110" s="55" t="s">
        <v>78</v>
      </c>
      <c r="AA110" s="55" t="s">
        <v>102</v>
      </c>
      <c r="AB110" s="39" t="s">
        <v>330</v>
      </c>
    </row>
    <row r="111" spans="1:28" x14ac:dyDescent="0.15">
      <c r="A111" s="55" t="s">
        <v>41</v>
      </c>
      <c r="B111" s="237" t="s">
        <v>328</v>
      </c>
      <c r="C111" s="152">
        <v>2018</v>
      </c>
      <c r="D111" s="56" t="s">
        <v>377</v>
      </c>
      <c r="E111" s="237" t="s">
        <v>159</v>
      </c>
      <c r="F111" s="237" t="s">
        <v>292</v>
      </c>
      <c r="G111" s="55" t="s">
        <v>42</v>
      </c>
      <c r="H111" s="55" t="s">
        <v>157</v>
      </c>
      <c r="I111" s="55" t="s">
        <v>153</v>
      </c>
      <c r="J111" s="55" t="s">
        <v>38</v>
      </c>
      <c r="K111" s="55" t="s">
        <v>154</v>
      </c>
      <c r="L111" s="237">
        <v>2</v>
      </c>
      <c r="N111" s="237">
        <v>1</v>
      </c>
      <c r="O111" s="55">
        <v>0.9</v>
      </c>
      <c r="P111" s="55">
        <v>0.9</v>
      </c>
      <c r="Q111" s="57">
        <f t="shared" si="6"/>
        <v>0.9</v>
      </c>
      <c r="R111" s="237">
        <v>14.5</v>
      </c>
      <c r="S111" s="55">
        <v>135</v>
      </c>
      <c r="T111" s="57">
        <f t="shared" si="7"/>
        <v>25</v>
      </c>
      <c r="U111" s="237">
        <v>137</v>
      </c>
      <c r="V111" s="58">
        <f t="shared" si="5"/>
        <v>3425</v>
      </c>
      <c r="W111" s="237">
        <v>1</v>
      </c>
      <c r="X111" s="55" t="s">
        <v>39</v>
      </c>
      <c r="Y111" s="55" t="s">
        <v>50</v>
      </c>
      <c r="Z111" s="55" t="s">
        <v>78</v>
      </c>
      <c r="AA111" s="55" t="s">
        <v>102</v>
      </c>
      <c r="AB111" s="39" t="s">
        <v>330</v>
      </c>
    </row>
    <row r="112" spans="1:28" x14ac:dyDescent="0.15">
      <c r="A112" s="55" t="s">
        <v>41</v>
      </c>
      <c r="B112" s="237" t="s">
        <v>328</v>
      </c>
      <c r="C112" s="152">
        <v>2018</v>
      </c>
      <c r="D112" s="56" t="s">
        <v>377</v>
      </c>
      <c r="E112" s="237" t="s">
        <v>159</v>
      </c>
      <c r="F112" s="237" t="s">
        <v>292</v>
      </c>
      <c r="G112" s="55" t="s">
        <v>42</v>
      </c>
      <c r="H112" s="55" t="s">
        <v>157</v>
      </c>
      <c r="I112" s="55" t="s">
        <v>153</v>
      </c>
      <c r="J112" s="55" t="s">
        <v>38</v>
      </c>
      <c r="K112" s="55" t="s">
        <v>154</v>
      </c>
      <c r="L112" s="237">
        <v>3</v>
      </c>
      <c r="N112" s="237">
        <v>1</v>
      </c>
      <c r="O112" s="55">
        <v>0.85</v>
      </c>
      <c r="P112" s="55">
        <v>0.95</v>
      </c>
      <c r="Q112" s="57">
        <f t="shared" si="6"/>
        <v>0.89999999999999991</v>
      </c>
      <c r="R112" s="237">
        <v>16.7</v>
      </c>
      <c r="S112" s="55">
        <v>140</v>
      </c>
      <c r="T112" s="57">
        <f t="shared" si="7"/>
        <v>22</v>
      </c>
      <c r="U112" s="237">
        <v>137</v>
      </c>
      <c r="V112" s="58">
        <f t="shared" si="5"/>
        <v>3014</v>
      </c>
      <c r="W112" s="237">
        <v>1</v>
      </c>
      <c r="X112" s="55" t="s">
        <v>39</v>
      </c>
      <c r="Y112" s="55" t="s">
        <v>50</v>
      </c>
      <c r="Z112" s="55" t="s">
        <v>78</v>
      </c>
      <c r="AA112" s="55" t="s">
        <v>102</v>
      </c>
      <c r="AB112" s="39" t="s">
        <v>330</v>
      </c>
    </row>
    <row r="113" spans="1:28" x14ac:dyDescent="0.15">
      <c r="A113" s="55" t="s">
        <v>41</v>
      </c>
      <c r="B113" s="237" t="s">
        <v>328</v>
      </c>
      <c r="C113" s="152">
        <v>2018</v>
      </c>
      <c r="D113" s="56" t="s">
        <v>377</v>
      </c>
      <c r="E113" s="237" t="s">
        <v>159</v>
      </c>
      <c r="F113" s="237" t="s">
        <v>292</v>
      </c>
      <c r="G113" s="55" t="s">
        <v>42</v>
      </c>
      <c r="H113" s="55" t="s">
        <v>157</v>
      </c>
      <c r="I113" s="55" t="s">
        <v>153</v>
      </c>
      <c r="J113" s="55" t="s">
        <v>38</v>
      </c>
      <c r="K113" s="55" t="s">
        <v>154</v>
      </c>
      <c r="L113" s="237">
        <v>1</v>
      </c>
      <c r="N113" s="237">
        <v>4</v>
      </c>
      <c r="O113" s="55">
        <v>0.25</v>
      </c>
      <c r="P113" s="55">
        <v>0.3</v>
      </c>
      <c r="Q113" s="57">
        <f t="shared" si="6"/>
        <v>0.27500000000000002</v>
      </c>
      <c r="R113" s="237">
        <v>15.1</v>
      </c>
      <c r="S113" s="55">
        <v>125</v>
      </c>
      <c r="T113" s="57">
        <f t="shared" si="7"/>
        <v>27</v>
      </c>
      <c r="U113" s="237">
        <v>515</v>
      </c>
      <c r="V113" s="58">
        <f t="shared" si="5"/>
        <v>3476.25</v>
      </c>
      <c r="W113" s="237">
        <v>1</v>
      </c>
      <c r="X113" s="55" t="s">
        <v>39</v>
      </c>
      <c r="Y113" s="55" t="s">
        <v>50</v>
      </c>
      <c r="Z113" s="55" t="s">
        <v>78</v>
      </c>
      <c r="AA113" s="55" t="s">
        <v>102</v>
      </c>
      <c r="AB113" s="39" t="s">
        <v>330</v>
      </c>
    </row>
    <row r="114" spans="1:28" x14ac:dyDescent="0.15">
      <c r="A114" s="55" t="s">
        <v>41</v>
      </c>
      <c r="B114" s="237" t="s">
        <v>328</v>
      </c>
      <c r="C114" s="152">
        <v>2018</v>
      </c>
      <c r="D114" s="56" t="s">
        <v>377</v>
      </c>
      <c r="E114" s="237" t="s">
        <v>159</v>
      </c>
      <c r="F114" s="237" t="s">
        <v>292</v>
      </c>
      <c r="G114" s="55" t="s">
        <v>42</v>
      </c>
      <c r="H114" s="55" t="s">
        <v>157</v>
      </c>
      <c r="I114" s="55" t="s">
        <v>153</v>
      </c>
      <c r="J114" s="55" t="s">
        <v>38</v>
      </c>
      <c r="K114" s="55" t="s">
        <v>154</v>
      </c>
      <c r="L114" s="237">
        <v>2</v>
      </c>
      <c r="N114" s="237">
        <v>4</v>
      </c>
      <c r="O114" s="55">
        <v>0.4</v>
      </c>
      <c r="P114" s="55">
        <v>0.3</v>
      </c>
      <c r="Q114" s="57">
        <f t="shared" si="6"/>
        <v>0.35</v>
      </c>
      <c r="R114" s="237">
        <v>15.5</v>
      </c>
      <c r="S114" s="55">
        <v>124</v>
      </c>
      <c r="T114" s="57">
        <f t="shared" si="7"/>
        <v>27</v>
      </c>
      <c r="U114" s="237">
        <v>515</v>
      </c>
      <c r="V114" s="58">
        <f t="shared" si="5"/>
        <v>3476.25</v>
      </c>
      <c r="W114" s="237">
        <v>1</v>
      </c>
      <c r="X114" s="55" t="s">
        <v>39</v>
      </c>
      <c r="Y114" s="55" t="s">
        <v>50</v>
      </c>
      <c r="Z114" s="55" t="s">
        <v>78</v>
      </c>
      <c r="AA114" s="55" t="s">
        <v>102</v>
      </c>
      <c r="AB114" s="39" t="s">
        <v>330</v>
      </c>
    </row>
    <row r="115" spans="1:28" x14ac:dyDescent="0.15">
      <c r="A115" s="55" t="s">
        <v>41</v>
      </c>
      <c r="B115" s="237" t="s">
        <v>328</v>
      </c>
      <c r="C115" s="152">
        <v>2018</v>
      </c>
      <c r="D115" s="56" t="s">
        <v>377</v>
      </c>
      <c r="E115" s="237" t="s">
        <v>159</v>
      </c>
      <c r="F115" s="237" t="s">
        <v>292</v>
      </c>
      <c r="G115" s="55" t="s">
        <v>42</v>
      </c>
      <c r="H115" s="55" t="s">
        <v>157</v>
      </c>
      <c r="I115" s="55" t="s">
        <v>153</v>
      </c>
      <c r="J115" s="55" t="s">
        <v>38</v>
      </c>
      <c r="K115" s="55" t="s">
        <v>154</v>
      </c>
      <c r="L115" s="237">
        <v>3</v>
      </c>
      <c r="N115" s="237">
        <v>4</v>
      </c>
      <c r="O115" s="55">
        <v>0.35</v>
      </c>
      <c r="P115" s="55">
        <v>0.4</v>
      </c>
      <c r="Q115" s="57">
        <f t="shared" si="6"/>
        <v>0.375</v>
      </c>
      <c r="R115" s="237">
        <v>14</v>
      </c>
      <c r="S115" s="55">
        <v>122</v>
      </c>
      <c r="T115" s="57">
        <f t="shared" si="7"/>
        <v>27</v>
      </c>
      <c r="U115" s="237">
        <v>515</v>
      </c>
      <c r="V115" s="58">
        <f t="shared" si="5"/>
        <v>3476.25</v>
      </c>
      <c r="W115" s="237">
        <v>1</v>
      </c>
      <c r="X115" s="55" t="s">
        <v>39</v>
      </c>
      <c r="Y115" s="55" t="s">
        <v>50</v>
      </c>
      <c r="Z115" s="55" t="s">
        <v>78</v>
      </c>
      <c r="AA115" s="55" t="s">
        <v>102</v>
      </c>
      <c r="AB115" s="39" t="s">
        <v>330</v>
      </c>
    </row>
    <row r="116" spans="1:28" x14ac:dyDescent="0.15">
      <c r="A116" s="55" t="s">
        <v>41</v>
      </c>
      <c r="B116" s="237" t="s">
        <v>328</v>
      </c>
      <c r="C116" s="152">
        <v>2018</v>
      </c>
      <c r="D116" s="56" t="s">
        <v>377</v>
      </c>
      <c r="E116" s="237" t="s">
        <v>159</v>
      </c>
      <c r="F116" s="237" t="s">
        <v>292</v>
      </c>
      <c r="G116" s="55" t="s">
        <v>42</v>
      </c>
      <c r="H116" s="55" t="s">
        <v>155</v>
      </c>
      <c r="I116" s="55" t="s">
        <v>153</v>
      </c>
      <c r="J116" s="55" t="s">
        <v>38</v>
      </c>
      <c r="K116" s="55" t="s">
        <v>154</v>
      </c>
      <c r="L116" s="237">
        <v>1</v>
      </c>
      <c r="N116" s="237">
        <v>1</v>
      </c>
      <c r="O116" s="55">
        <v>1.05</v>
      </c>
      <c r="P116" s="55">
        <v>1</v>
      </c>
      <c r="Q116" s="57">
        <f t="shared" si="6"/>
        <v>1.0249999999999999</v>
      </c>
      <c r="R116" s="237">
        <v>13.7</v>
      </c>
      <c r="S116" s="55">
        <v>130</v>
      </c>
      <c r="T116" s="57">
        <f t="shared" si="7"/>
        <v>25</v>
      </c>
      <c r="U116" s="237">
        <v>137</v>
      </c>
      <c r="V116" s="58">
        <f t="shared" si="5"/>
        <v>3425</v>
      </c>
      <c r="W116" s="237">
        <v>1</v>
      </c>
      <c r="X116" s="55" t="s">
        <v>39</v>
      </c>
      <c r="Y116" s="55" t="s">
        <v>50</v>
      </c>
      <c r="Z116" s="55" t="s">
        <v>78</v>
      </c>
      <c r="AA116" s="55" t="s">
        <v>102</v>
      </c>
      <c r="AB116" s="39" t="s">
        <v>330</v>
      </c>
    </row>
    <row r="117" spans="1:28" x14ac:dyDescent="0.15">
      <c r="A117" s="55" t="s">
        <v>41</v>
      </c>
      <c r="B117" s="237" t="s">
        <v>328</v>
      </c>
      <c r="C117" s="152">
        <v>2018</v>
      </c>
      <c r="D117" s="56" t="s">
        <v>377</v>
      </c>
      <c r="E117" s="237" t="s">
        <v>159</v>
      </c>
      <c r="F117" s="237" t="s">
        <v>292</v>
      </c>
      <c r="G117" s="55" t="s">
        <v>42</v>
      </c>
      <c r="H117" s="55" t="s">
        <v>155</v>
      </c>
      <c r="I117" s="55" t="s">
        <v>153</v>
      </c>
      <c r="J117" s="55" t="s">
        <v>38</v>
      </c>
      <c r="K117" s="55" t="s">
        <v>154</v>
      </c>
      <c r="L117" s="237">
        <v>2</v>
      </c>
      <c r="N117" s="237">
        <v>1</v>
      </c>
      <c r="O117" s="55">
        <v>1</v>
      </c>
      <c r="P117" s="55">
        <v>1.1000000000000001</v>
      </c>
      <c r="Q117" s="57">
        <f t="shared" si="6"/>
        <v>1.05</v>
      </c>
      <c r="R117" s="237">
        <v>13.8</v>
      </c>
      <c r="S117" s="55">
        <v>129</v>
      </c>
      <c r="T117" s="57">
        <f t="shared" si="7"/>
        <v>25</v>
      </c>
      <c r="U117" s="237">
        <v>137</v>
      </c>
      <c r="V117" s="58">
        <f t="shared" si="5"/>
        <v>3425</v>
      </c>
      <c r="W117" s="237">
        <v>1</v>
      </c>
      <c r="X117" s="55" t="s">
        <v>39</v>
      </c>
      <c r="Y117" s="55" t="s">
        <v>50</v>
      </c>
      <c r="Z117" s="55" t="s">
        <v>78</v>
      </c>
      <c r="AA117" s="55" t="s">
        <v>102</v>
      </c>
      <c r="AB117" s="39" t="s">
        <v>330</v>
      </c>
    </row>
    <row r="118" spans="1:28" x14ac:dyDescent="0.15">
      <c r="A118" s="55" t="s">
        <v>41</v>
      </c>
      <c r="B118" s="237" t="s">
        <v>328</v>
      </c>
      <c r="C118" s="152">
        <v>2018</v>
      </c>
      <c r="D118" s="56" t="s">
        <v>377</v>
      </c>
      <c r="E118" s="237" t="s">
        <v>159</v>
      </c>
      <c r="F118" s="237" t="s">
        <v>292</v>
      </c>
      <c r="G118" s="55" t="s">
        <v>42</v>
      </c>
      <c r="H118" s="55" t="s">
        <v>155</v>
      </c>
      <c r="I118" s="55" t="s">
        <v>153</v>
      </c>
      <c r="J118" s="55" t="s">
        <v>38</v>
      </c>
      <c r="K118" s="55" t="s">
        <v>154</v>
      </c>
      <c r="L118" s="237">
        <v>3</v>
      </c>
      <c r="N118" s="237">
        <v>1</v>
      </c>
      <c r="O118" s="55">
        <v>1.2</v>
      </c>
      <c r="P118" s="55">
        <v>1.25</v>
      </c>
      <c r="Q118" s="57">
        <f t="shared" si="6"/>
        <v>1.2250000000000001</v>
      </c>
      <c r="R118" s="237">
        <v>14.5</v>
      </c>
      <c r="S118" s="55">
        <v>129</v>
      </c>
      <c r="T118" s="57">
        <f t="shared" si="7"/>
        <v>25</v>
      </c>
      <c r="U118" s="237">
        <v>137</v>
      </c>
      <c r="V118" s="58">
        <f t="shared" si="5"/>
        <v>3425</v>
      </c>
      <c r="W118" s="237">
        <v>1</v>
      </c>
      <c r="X118" s="55" t="s">
        <v>39</v>
      </c>
      <c r="Y118" s="55" t="s">
        <v>50</v>
      </c>
      <c r="Z118" s="55" t="s">
        <v>78</v>
      </c>
      <c r="AA118" s="55" t="s">
        <v>102</v>
      </c>
      <c r="AB118" s="39" t="s">
        <v>330</v>
      </c>
    </row>
    <row r="119" spans="1:28" x14ac:dyDescent="0.15">
      <c r="A119" s="55" t="s">
        <v>41</v>
      </c>
      <c r="B119" s="237" t="s">
        <v>328</v>
      </c>
      <c r="C119" s="152">
        <v>2018</v>
      </c>
      <c r="D119" s="56" t="s">
        <v>377</v>
      </c>
      <c r="E119" s="237" t="s">
        <v>159</v>
      </c>
      <c r="F119" s="237" t="s">
        <v>292</v>
      </c>
      <c r="G119" s="55" t="s">
        <v>42</v>
      </c>
      <c r="H119" s="55" t="s">
        <v>155</v>
      </c>
      <c r="I119" s="55" t="s">
        <v>153</v>
      </c>
      <c r="J119" s="55" t="s">
        <v>38</v>
      </c>
      <c r="K119" s="55" t="s">
        <v>154</v>
      </c>
      <c r="L119" s="237">
        <v>1</v>
      </c>
      <c r="N119" s="237">
        <v>4</v>
      </c>
      <c r="O119" s="55">
        <v>0.85</v>
      </c>
      <c r="P119" s="55">
        <v>0.9</v>
      </c>
      <c r="Q119" s="57">
        <f t="shared" si="6"/>
        <v>0.875</v>
      </c>
      <c r="R119" s="237">
        <v>14</v>
      </c>
      <c r="S119" s="55">
        <v>125</v>
      </c>
      <c r="T119" s="57">
        <f t="shared" si="7"/>
        <v>27</v>
      </c>
      <c r="U119" s="237">
        <v>515</v>
      </c>
      <c r="V119" s="58">
        <f t="shared" si="5"/>
        <v>3476.25</v>
      </c>
      <c r="W119" s="237">
        <v>1</v>
      </c>
      <c r="X119" s="55" t="s">
        <v>39</v>
      </c>
      <c r="Y119" s="55" t="s">
        <v>50</v>
      </c>
      <c r="Z119" s="55" t="s">
        <v>78</v>
      </c>
      <c r="AA119" s="55" t="s">
        <v>102</v>
      </c>
      <c r="AB119" s="39" t="s">
        <v>330</v>
      </c>
    </row>
    <row r="120" spans="1:28" x14ac:dyDescent="0.15">
      <c r="A120" s="55" t="s">
        <v>41</v>
      </c>
      <c r="B120" s="237" t="s">
        <v>328</v>
      </c>
      <c r="C120" s="152">
        <v>2018</v>
      </c>
      <c r="D120" s="56" t="s">
        <v>377</v>
      </c>
      <c r="E120" s="237" t="s">
        <v>159</v>
      </c>
      <c r="F120" s="237" t="s">
        <v>292</v>
      </c>
      <c r="G120" s="55" t="s">
        <v>42</v>
      </c>
      <c r="H120" s="55" t="s">
        <v>155</v>
      </c>
      <c r="I120" s="55" t="s">
        <v>153</v>
      </c>
      <c r="J120" s="55" t="s">
        <v>38</v>
      </c>
      <c r="K120" s="55" t="s">
        <v>154</v>
      </c>
      <c r="L120" s="237">
        <v>2</v>
      </c>
      <c r="N120" s="237">
        <v>4</v>
      </c>
      <c r="O120" s="55">
        <v>0.9</v>
      </c>
      <c r="P120" s="55">
        <v>0.9</v>
      </c>
      <c r="Q120" s="57">
        <f t="shared" si="6"/>
        <v>0.9</v>
      </c>
      <c r="R120" s="237">
        <v>12.8</v>
      </c>
      <c r="S120" s="55">
        <v>124</v>
      </c>
      <c r="T120" s="57">
        <f t="shared" si="7"/>
        <v>27</v>
      </c>
      <c r="U120" s="237">
        <v>515</v>
      </c>
      <c r="V120" s="58">
        <f t="shared" si="5"/>
        <v>3476.25</v>
      </c>
      <c r="W120" s="237">
        <v>1</v>
      </c>
      <c r="X120" s="55" t="s">
        <v>39</v>
      </c>
      <c r="Y120" s="55" t="s">
        <v>50</v>
      </c>
      <c r="Z120" s="55" t="s">
        <v>78</v>
      </c>
      <c r="AA120" s="55" t="s">
        <v>102</v>
      </c>
      <c r="AB120" s="39" t="s">
        <v>330</v>
      </c>
    </row>
    <row r="121" spans="1:28" x14ac:dyDescent="0.15">
      <c r="A121" s="55" t="s">
        <v>41</v>
      </c>
      <c r="B121" s="237" t="s">
        <v>328</v>
      </c>
      <c r="C121" s="152">
        <v>2018</v>
      </c>
      <c r="D121" s="56" t="s">
        <v>377</v>
      </c>
      <c r="E121" s="237" t="s">
        <v>159</v>
      </c>
      <c r="F121" s="237" t="s">
        <v>292</v>
      </c>
      <c r="G121" s="55" t="s">
        <v>42</v>
      </c>
      <c r="H121" s="55" t="s">
        <v>155</v>
      </c>
      <c r="I121" s="55" t="s">
        <v>153</v>
      </c>
      <c r="J121" s="55" t="s">
        <v>38</v>
      </c>
      <c r="K121" s="55" t="s">
        <v>154</v>
      </c>
      <c r="L121" s="237">
        <v>3</v>
      </c>
      <c r="N121" s="237">
        <v>4</v>
      </c>
      <c r="O121" s="55">
        <v>0.9</v>
      </c>
      <c r="P121" s="55">
        <v>0.95</v>
      </c>
      <c r="Q121" s="57">
        <f t="shared" si="6"/>
        <v>0.92500000000000004</v>
      </c>
      <c r="R121" s="237">
        <v>13.4</v>
      </c>
      <c r="S121" s="55">
        <v>122</v>
      </c>
      <c r="T121" s="57">
        <f t="shared" si="7"/>
        <v>27</v>
      </c>
      <c r="U121" s="237">
        <v>515</v>
      </c>
      <c r="V121" s="58">
        <f t="shared" si="5"/>
        <v>3476.25</v>
      </c>
      <c r="W121" s="237">
        <v>1</v>
      </c>
      <c r="X121" s="55" t="s">
        <v>39</v>
      </c>
      <c r="Y121" s="55" t="s">
        <v>50</v>
      </c>
      <c r="Z121" s="55" t="s">
        <v>78</v>
      </c>
      <c r="AA121" s="55" t="s">
        <v>102</v>
      </c>
      <c r="AB121" s="39" t="s">
        <v>330</v>
      </c>
    </row>
    <row r="122" spans="1:28" x14ac:dyDescent="0.15">
      <c r="A122" s="55" t="s">
        <v>41</v>
      </c>
      <c r="B122" s="237" t="s">
        <v>328</v>
      </c>
      <c r="C122" s="152">
        <v>2018</v>
      </c>
      <c r="D122" s="56" t="s">
        <v>377</v>
      </c>
      <c r="E122" s="237" t="s">
        <v>283</v>
      </c>
      <c r="F122" s="237" t="s">
        <v>288</v>
      </c>
      <c r="G122" s="55" t="s">
        <v>42</v>
      </c>
      <c r="H122" s="55" t="s">
        <v>157</v>
      </c>
      <c r="I122" s="55" t="s">
        <v>153</v>
      </c>
      <c r="J122" s="55" t="s">
        <v>38</v>
      </c>
      <c r="K122" s="55" t="s">
        <v>154</v>
      </c>
      <c r="L122" s="237">
        <v>1</v>
      </c>
      <c r="N122" s="237">
        <v>1</v>
      </c>
      <c r="O122" s="55">
        <v>0.6</v>
      </c>
      <c r="P122" s="55">
        <v>0.65</v>
      </c>
      <c r="Q122" s="57">
        <f t="shared" si="6"/>
        <v>0.625</v>
      </c>
      <c r="R122" s="237">
        <v>12.8</v>
      </c>
      <c r="S122" s="55">
        <v>115</v>
      </c>
      <c r="T122" s="57">
        <f t="shared" si="7"/>
        <v>30</v>
      </c>
      <c r="U122" s="237">
        <v>104</v>
      </c>
      <c r="V122" s="58">
        <f t="shared" si="5"/>
        <v>3120</v>
      </c>
      <c r="W122" s="237">
        <v>4</v>
      </c>
      <c r="X122" s="55" t="s">
        <v>46</v>
      </c>
      <c r="Y122" s="55" t="s">
        <v>78</v>
      </c>
      <c r="Z122" s="55" t="s">
        <v>90</v>
      </c>
      <c r="AA122" s="55" t="s">
        <v>50</v>
      </c>
      <c r="AB122" s="39" t="s">
        <v>330</v>
      </c>
    </row>
    <row r="123" spans="1:28" x14ac:dyDescent="0.15">
      <c r="A123" s="55" t="s">
        <v>41</v>
      </c>
      <c r="B123" s="237" t="s">
        <v>328</v>
      </c>
      <c r="C123" s="152">
        <v>2018</v>
      </c>
      <c r="D123" s="56" t="s">
        <v>377</v>
      </c>
      <c r="E123" s="237" t="s">
        <v>283</v>
      </c>
      <c r="F123" s="237" t="s">
        <v>288</v>
      </c>
      <c r="G123" s="55" t="s">
        <v>42</v>
      </c>
      <c r="H123" s="55" t="s">
        <v>157</v>
      </c>
      <c r="I123" s="55" t="s">
        <v>153</v>
      </c>
      <c r="J123" s="55" t="s">
        <v>38</v>
      </c>
      <c r="K123" s="55" t="s">
        <v>154</v>
      </c>
      <c r="L123" s="237">
        <v>2</v>
      </c>
      <c r="N123" s="237">
        <v>1</v>
      </c>
      <c r="O123" s="55">
        <v>0.65</v>
      </c>
      <c r="P123" s="55">
        <v>0.7</v>
      </c>
      <c r="Q123" s="57">
        <f t="shared" si="6"/>
        <v>0.67500000000000004</v>
      </c>
      <c r="R123" s="237">
        <v>16.399999999999999</v>
      </c>
      <c r="S123" s="55">
        <v>113</v>
      </c>
      <c r="T123" s="57">
        <f t="shared" si="7"/>
        <v>30</v>
      </c>
      <c r="U123" s="237">
        <v>104</v>
      </c>
      <c r="V123" s="58">
        <f t="shared" si="5"/>
        <v>3120</v>
      </c>
      <c r="W123" s="237">
        <v>4</v>
      </c>
      <c r="X123" s="55" t="s">
        <v>46</v>
      </c>
      <c r="Y123" s="55" t="s">
        <v>78</v>
      </c>
      <c r="Z123" s="55" t="s">
        <v>90</v>
      </c>
      <c r="AA123" s="55" t="s">
        <v>50</v>
      </c>
      <c r="AB123" s="39" t="s">
        <v>330</v>
      </c>
    </row>
    <row r="124" spans="1:28" x14ac:dyDescent="0.15">
      <c r="A124" s="55" t="s">
        <v>41</v>
      </c>
      <c r="B124" s="237" t="s">
        <v>328</v>
      </c>
      <c r="C124" s="152">
        <v>2018</v>
      </c>
      <c r="D124" s="56" t="s">
        <v>377</v>
      </c>
      <c r="E124" s="237" t="s">
        <v>283</v>
      </c>
      <c r="F124" s="237" t="s">
        <v>288</v>
      </c>
      <c r="G124" s="55" t="s">
        <v>42</v>
      </c>
      <c r="H124" s="55" t="s">
        <v>157</v>
      </c>
      <c r="I124" s="55" t="s">
        <v>153</v>
      </c>
      <c r="J124" s="55" t="s">
        <v>38</v>
      </c>
      <c r="K124" s="55" t="s">
        <v>154</v>
      </c>
      <c r="L124" s="237">
        <v>3</v>
      </c>
      <c r="N124" s="237">
        <v>1</v>
      </c>
      <c r="O124" s="55">
        <v>0.15</v>
      </c>
      <c r="P124" s="55">
        <v>0.2</v>
      </c>
      <c r="Q124" s="57">
        <f t="shared" si="6"/>
        <v>0.17499999999999999</v>
      </c>
      <c r="R124" s="237">
        <v>14.7</v>
      </c>
      <c r="S124" s="55">
        <v>117</v>
      </c>
      <c r="T124" s="57">
        <f t="shared" si="7"/>
        <v>30</v>
      </c>
      <c r="U124" s="237">
        <v>104</v>
      </c>
      <c r="V124" s="58">
        <f t="shared" si="5"/>
        <v>3120</v>
      </c>
      <c r="W124" s="237">
        <v>4</v>
      </c>
      <c r="X124" s="55" t="s">
        <v>46</v>
      </c>
      <c r="Y124" s="55" t="s">
        <v>78</v>
      </c>
      <c r="Z124" s="55" t="s">
        <v>90</v>
      </c>
      <c r="AA124" s="55" t="s">
        <v>50</v>
      </c>
      <c r="AB124" s="39" t="s">
        <v>330</v>
      </c>
    </row>
    <row r="125" spans="1:28" x14ac:dyDescent="0.15">
      <c r="A125" s="55" t="s">
        <v>41</v>
      </c>
      <c r="B125" s="237" t="s">
        <v>328</v>
      </c>
      <c r="C125" s="152">
        <v>2018</v>
      </c>
      <c r="D125" s="56" t="s">
        <v>377</v>
      </c>
      <c r="E125" s="237" t="s">
        <v>283</v>
      </c>
      <c r="F125" s="237" t="s">
        <v>288</v>
      </c>
      <c r="G125" s="55" t="s">
        <v>42</v>
      </c>
      <c r="H125" s="55" t="s">
        <v>155</v>
      </c>
      <c r="I125" s="55" t="s">
        <v>153</v>
      </c>
      <c r="J125" s="55" t="s">
        <v>38</v>
      </c>
      <c r="K125" s="55" t="s">
        <v>154</v>
      </c>
      <c r="L125" s="237">
        <v>1</v>
      </c>
      <c r="N125" s="237">
        <v>1</v>
      </c>
      <c r="O125" s="55">
        <v>1</v>
      </c>
      <c r="P125" s="55">
        <v>0.95</v>
      </c>
      <c r="Q125" s="57">
        <f t="shared" si="6"/>
        <v>0.97499999999999998</v>
      </c>
      <c r="R125" s="237">
        <v>12.8</v>
      </c>
      <c r="S125" s="55">
        <v>105</v>
      </c>
      <c r="T125" s="57">
        <f t="shared" si="7"/>
        <v>33</v>
      </c>
      <c r="U125" s="237">
        <v>104</v>
      </c>
      <c r="V125" s="58">
        <f t="shared" si="5"/>
        <v>3432</v>
      </c>
      <c r="W125" s="237">
        <v>1</v>
      </c>
      <c r="X125" s="55" t="s">
        <v>46</v>
      </c>
      <c r="Y125" s="55" t="s">
        <v>78</v>
      </c>
      <c r="Z125" s="55" t="s">
        <v>90</v>
      </c>
      <c r="AA125" s="55" t="s">
        <v>50</v>
      </c>
      <c r="AB125" s="39" t="s">
        <v>330</v>
      </c>
    </row>
    <row r="126" spans="1:28" x14ac:dyDescent="0.15">
      <c r="A126" s="55" t="s">
        <v>41</v>
      </c>
      <c r="B126" s="237" t="s">
        <v>328</v>
      </c>
      <c r="C126" s="152">
        <v>2018</v>
      </c>
      <c r="D126" s="56" t="s">
        <v>377</v>
      </c>
      <c r="E126" s="237" t="s">
        <v>283</v>
      </c>
      <c r="F126" s="237" t="s">
        <v>288</v>
      </c>
      <c r="G126" s="55" t="s">
        <v>42</v>
      </c>
      <c r="H126" s="55" t="s">
        <v>155</v>
      </c>
      <c r="I126" s="55" t="s">
        <v>153</v>
      </c>
      <c r="J126" s="55" t="s">
        <v>38</v>
      </c>
      <c r="K126" s="55" t="s">
        <v>154</v>
      </c>
      <c r="L126" s="237">
        <v>2</v>
      </c>
      <c r="N126" s="237">
        <v>1</v>
      </c>
      <c r="O126" s="55">
        <v>1.1499999999999999</v>
      </c>
      <c r="P126" s="55">
        <v>1</v>
      </c>
      <c r="Q126" s="57">
        <f t="shared" si="6"/>
        <v>1.075</v>
      </c>
      <c r="R126" s="237">
        <v>13.3</v>
      </c>
      <c r="S126" s="55">
        <v>110</v>
      </c>
      <c r="T126" s="57">
        <f t="shared" si="7"/>
        <v>33</v>
      </c>
      <c r="U126" s="237">
        <v>104</v>
      </c>
      <c r="V126" s="58">
        <f t="shared" si="5"/>
        <v>3432</v>
      </c>
      <c r="W126" s="237">
        <v>1</v>
      </c>
      <c r="X126" s="55" t="s">
        <v>46</v>
      </c>
      <c r="Y126" s="55" t="s">
        <v>78</v>
      </c>
      <c r="Z126" s="55" t="s">
        <v>90</v>
      </c>
      <c r="AA126" s="55" t="s">
        <v>50</v>
      </c>
      <c r="AB126" s="39" t="s">
        <v>330</v>
      </c>
    </row>
    <row r="127" spans="1:28" x14ac:dyDescent="0.15">
      <c r="A127" s="55" t="s">
        <v>41</v>
      </c>
      <c r="B127" s="237" t="s">
        <v>328</v>
      </c>
      <c r="C127" s="152">
        <v>2018</v>
      </c>
      <c r="D127" s="56" t="s">
        <v>377</v>
      </c>
      <c r="E127" s="237" t="s">
        <v>283</v>
      </c>
      <c r="F127" s="237" t="s">
        <v>288</v>
      </c>
      <c r="G127" s="55" t="s">
        <v>42</v>
      </c>
      <c r="H127" s="55" t="s">
        <v>155</v>
      </c>
      <c r="I127" s="55" t="s">
        <v>153</v>
      </c>
      <c r="J127" s="55" t="s">
        <v>38</v>
      </c>
      <c r="K127" s="55" t="s">
        <v>154</v>
      </c>
      <c r="L127" s="237">
        <v>3</v>
      </c>
      <c r="N127" s="237">
        <v>1</v>
      </c>
      <c r="O127" s="55">
        <v>1.2</v>
      </c>
      <c r="P127" s="55">
        <v>1.35</v>
      </c>
      <c r="Q127" s="57">
        <f t="shared" si="6"/>
        <v>1.2749999999999999</v>
      </c>
      <c r="R127" s="237">
        <v>14.7</v>
      </c>
      <c r="S127" s="55">
        <v>107</v>
      </c>
      <c r="T127" s="57">
        <f t="shared" si="7"/>
        <v>33</v>
      </c>
      <c r="U127" s="237">
        <v>104</v>
      </c>
      <c r="V127" s="58">
        <f t="shared" si="5"/>
        <v>3432</v>
      </c>
      <c r="W127" s="237">
        <v>1</v>
      </c>
      <c r="X127" s="55" t="s">
        <v>46</v>
      </c>
      <c r="Y127" s="55" t="s">
        <v>78</v>
      </c>
      <c r="Z127" s="55" t="s">
        <v>90</v>
      </c>
      <c r="AA127" s="55" t="s">
        <v>50</v>
      </c>
      <c r="AB127" s="39" t="s">
        <v>330</v>
      </c>
    </row>
    <row r="128" spans="1:28" x14ac:dyDescent="0.15">
      <c r="A128" s="55"/>
      <c r="C128" s="152"/>
      <c r="D128" s="56"/>
      <c r="G128" s="55"/>
      <c r="H128" s="55"/>
      <c r="I128" s="55"/>
      <c r="J128" s="55"/>
      <c r="K128" s="55"/>
      <c r="O128" s="55"/>
      <c r="P128" s="55"/>
      <c r="X128" s="55"/>
      <c r="Y128" s="55"/>
      <c r="Z128" s="55"/>
      <c r="AA128" s="55"/>
    </row>
    <row r="129" spans="11:25" x14ac:dyDescent="0.15">
      <c r="K129" s="55"/>
      <c r="Y129" s="55"/>
    </row>
    <row r="130" spans="11:25" x14ac:dyDescent="0.15">
      <c r="Y130" s="55"/>
    </row>
  </sheetData>
  <autoFilter ref="A1:BA128"/>
  <dataConsolidate/>
  <phoneticPr fontId="3"/>
  <dataValidations count="13">
    <dataValidation operator="equal" allowBlank="1" showInputMessage="1" showErrorMessage="1" sqref="B2:B128"/>
    <dataValidation type="decimal" allowBlank="1" showInputMessage="1" showErrorMessage="1" error="硬度を正しく入力して下さい。" sqref="O2:P313">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29">
      <formula1>$AR$2:$AR$23</formula1>
    </dataValidation>
    <dataValidation type="list" allowBlank="1" showInputMessage="1" showErrorMessage="1" sqref="J2:J313">
      <formula1>$AP$2:$AP$19</formula1>
    </dataValidation>
    <dataValidation type="list" allowBlank="1" showInputMessage="1" showErrorMessage="1" sqref="A2:A313">
      <formula1>$AE$2:$AE$16</formula1>
    </dataValidation>
    <dataValidation type="list" allowBlank="1" showInputMessage="1" showErrorMessage="1" sqref="X2:X313">
      <formula1>$AT$2:$AT$3</formula1>
    </dataValidation>
    <dataValidation type="list" allowBlank="1" showInputMessage="1" showErrorMessage="1" sqref="I2:I313">
      <formula1>$AN$5:$AN$6</formula1>
    </dataValidation>
    <dataValidation type="list" allowBlank="1" showInputMessage="1" showErrorMessage="1" sqref="G2:G313">
      <formula1>$AJ$2:$AJ$4</formula1>
    </dataValidation>
    <dataValidation type="list" allowBlank="1" showInputMessage="1" showErrorMessage="1" sqref="H2:H313">
      <formula1>$AL$2:$AL$8</formula1>
    </dataValidation>
    <dataValidation type="list" allowBlank="1" showInputMessage="1" showErrorMessage="1" sqref="K130:K313">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B13" sqref="AB13"/>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2</v>
      </c>
      <c r="D1" s="203" t="s">
        <v>3</v>
      </c>
      <c r="E1" s="84" t="s">
        <v>4</v>
      </c>
      <c r="F1" s="84" t="s">
        <v>5</v>
      </c>
      <c r="G1" s="84" t="s">
        <v>6</v>
      </c>
      <c r="H1" s="84" t="s">
        <v>7</v>
      </c>
      <c r="I1" s="84" t="s">
        <v>8</v>
      </c>
      <c r="J1" s="84" t="s">
        <v>9</v>
      </c>
      <c r="K1" s="84" t="s">
        <v>10</v>
      </c>
      <c r="L1" s="203" t="s">
        <v>11</v>
      </c>
      <c r="M1" s="203" t="s">
        <v>12</v>
      </c>
      <c r="N1" s="203" t="s">
        <v>13</v>
      </c>
      <c r="O1" s="203" t="s">
        <v>14</v>
      </c>
      <c r="P1" s="203" t="s">
        <v>247</v>
      </c>
      <c r="Q1" s="204" t="s">
        <v>16</v>
      </c>
      <c r="R1" s="203" t="s">
        <v>17</v>
      </c>
      <c r="S1" s="203" t="s">
        <v>18</v>
      </c>
      <c r="T1" s="204" t="s">
        <v>19</v>
      </c>
      <c r="U1" s="205" t="s">
        <v>108</v>
      </c>
      <c r="V1" s="206" t="s">
        <v>20</v>
      </c>
      <c r="W1" s="203" t="s">
        <v>21</v>
      </c>
      <c r="X1" s="84" t="s">
        <v>22</v>
      </c>
      <c r="Y1" s="84" t="s">
        <v>23</v>
      </c>
      <c r="Z1" s="84" t="s">
        <v>24</v>
      </c>
      <c r="AA1" s="85" t="s">
        <v>25</v>
      </c>
      <c r="AB1" s="207"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249</v>
      </c>
      <c r="AY1" s="214" t="s">
        <v>265</v>
      </c>
      <c r="AZ1" s="214" t="s">
        <v>32</v>
      </c>
      <c r="BA1" s="215" t="s">
        <v>266</v>
      </c>
    </row>
    <row r="2" spans="1:53" s="216" customFormat="1" x14ac:dyDescent="0.15">
      <c r="A2" s="55" t="s">
        <v>56</v>
      </c>
      <c r="B2" s="55" t="s">
        <v>329</v>
      </c>
      <c r="C2" s="216">
        <v>2018</v>
      </c>
      <c r="D2" s="86" t="s">
        <v>336</v>
      </c>
      <c r="E2" s="216" t="s">
        <v>337</v>
      </c>
      <c r="F2" s="216" t="s">
        <v>160</v>
      </c>
      <c r="G2" s="55" t="s">
        <v>42</v>
      </c>
      <c r="H2" s="216" t="s">
        <v>155</v>
      </c>
      <c r="I2" s="55" t="s">
        <v>153</v>
      </c>
      <c r="J2" s="216" t="s">
        <v>38</v>
      </c>
      <c r="K2" s="216" t="s">
        <v>154</v>
      </c>
      <c r="L2" s="216">
        <v>1</v>
      </c>
      <c r="N2" s="208">
        <v>1</v>
      </c>
      <c r="O2" s="216">
        <v>0.6</v>
      </c>
      <c r="P2" s="208">
        <v>0.65</v>
      </c>
      <c r="Q2" s="245">
        <f>IF(OR(O2="",P2=""),"",AVERAGE(O2,P2))</f>
        <v>0.625</v>
      </c>
      <c r="R2" s="216">
        <v>12.3</v>
      </c>
      <c r="S2" s="216">
        <v>134</v>
      </c>
      <c r="T2" s="217">
        <f>IF(H2="","",IF(OR(H2="GREEN",H2="GK"),IF(S2&gt;=$AX$2,VLOOKUP(S2,$AX$2:$AY$10,2,1),""),IF(S2&gt;=$AZ$2,VLOOKUP(S2,$AZ$2:$BA$10,2,1),"")))</f>
        <v>25</v>
      </c>
      <c r="U2" s="216">
        <v>84</v>
      </c>
      <c r="V2" s="217">
        <f>IF(OR(N2="",U2="",T2=""),"",U2/N2*T2)</f>
        <v>2100</v>
      </c>
      <c r="W2" s="216">
        <v>2</v>
      </c>
      <c r="X2" s="55" t="s">
        <v>46</v>
      </c>
      <c r="Y2" s="55" t="s">
        <v>102</v>
      </c>
      <c r="Z2" s="216" t="s">
        <v>90</v>
      </c>
      <c r="AA2" s="55" t="s">
        <v>84</v>
      </c>
      <c r="AB2" s="39" t="s">
        <v>330</v>
      </c>
      <c r="AE2" s="218" t="s">
        <v>35</v>
      </c>
      <c r="AG2" s="231" t="s">
        <v>338</v>
      </c>
      <c r="AH2" s="87" t="s">
        <v>160</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329</v>
      </c>
      <c r="C3" s="216">
        <v>2018</v>
      </c>
      <c r="D3" s="86" t="s">
        <v>336</v>
      </c>
      <c r="E3" s="216" t="s">
        <v>337</v>
      </c>
      <c r="F3" s="216" t="s">
        <v>160</v>
      </c>
      <c r="G3" s="55" t="s">
        <v>42</v>
      </c>
      <c r="H3" s="216" t="s">
        <v>155</v>
      </c>
      <c r="I3" s="55" t="s">
        <v>153</v>
      </c>
      <c r="J3" s="216" t="s">
        <v>38</v>
      </c>
      <c r="K3" s="216" t="s">
        <v>154</v>
      </c>
      <c r="L3" s="208">
        <v>2</v>
      </c>
      <c r="N3" s="208">
        <v>1</v>
      </c>
      <c r="O3" s="208">
        <v>0.6</v>
      </c>
      <c r="P3" s="208">
        <v>0.6</v>
      </c>
      <c r="Q3" s="245">
        <f>IF(OR(O3="",P3=""),"",AVERAGE(O3,P3))</f>
        <v>0.6</v>
      </c>
      <c r="R3" s="208">
        <v>11</v>
      </c>
      <c r="S3" s="208">
        <v>138</v>
      </c>
      <c r="T3" s="217">
        <f>IF(H3="","",IF(OR(H3="GREEN",H3="GK"),IF(S3&gt;=$AX$2,VLOOKUP(S3,$AX$2:$AY$10,2,1),""),IF(S3&gt;=$AZ$2,VLOOKUP(S3,$AZ$2:$BA$10,2,1),"")))</f>
        <v>22</v>
      </c>
      <c r="U3" s="208">
        <v>84</v>
      </c>
      <c r="V3" s="217">
        <f>IF(OR(N3="",U3="",T3=""),"",U3/N3*T3)</f>
        <v>1848</v>
      </c>
      <c r="W3" s="208">
        <v>2</v>
      </c>
      <c r="X3" s="55" t="s">
        <v>46</v>
      </c>
      <c r="Y3" s="55" t="s">
        <v>102</v>
      </c>
      <c r="Z3" s="216" t="s">
        <v>90</v>
      </c>
      <c r="AA3" s="55" t="s">
        <v>84</v>
      </c>
      <c r="AB3" s="39" t="s">
        <v>330</v>
      </c>
      <c r="AE3" s="223" t="s">
        <v>41</v>
      </c>
      <c r="AG3" s="231" t="s">
        <v>338</v>
      </c>
      <c r="AH3" s="87" t="s">
        <v>161</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329</v>
      </c>
      <c r="C4" s="216">
        <v>2018</v>
      </c>
      <c r="D4" s="86" t="s">
        <v>336</v>
      </c>
      <c r="E4" s="216" t="s">
        <v>337</v>
      </c>
      <c r="F4" s="216" t="s">
        <v>160</v>
      </c>
      <c r="G4" s="55" t="s">
        <v>42</v>
      </c>
      <c r="H4" s="216" t="s">
        <v>155</v>
      </c>
      <c r="I4" s="55" t="s">
        <v>153</v>
      </c>
      <c r="J4" s="216" t="s">
        <v>38</v>
      </c>
      <c r="K4" s="216" t="s">
        <v>154</v>
      </c>
      <c r="L4" s="208">
        <v>3</v>
      </c>
      <c r="N4" s="208">
        <v>1</v>
      </c>
      <c r="O4" s="208">
        <v>0.85</v>
      </c>
      <c r="P4" s="208">
        <v>0.85</v>
      </c>
      <c r="Q4" s="245">
        <f>IF(OR(O4="",P4=""),"",AVERAGE(O4,P4))</f>
        <v>0.85</v>
      </c>
      <c r="R4" s="208">
        <v>12.5</v>
      </c>
      <c r="S4" s="208">
        <v>140</v>
      </c>
      <c r="T4" s="217">
        <f>IF(H4="","",IF(OR(H4="GREEN",H4="GK"),IF(S4&gt;=$AX$2,VLOOKUP(S4,$AX$2:$AY$10,2,1),""),IF(S4&gt;=$AZ$2,VLOOKUP(S4,$AZ$2:$BA$10,2,1),"")))</f>
        <v>22</v>
      </c>
      <c r="U4" s="208">
        <v>84</v>
      </c>
      <c r="V4" s="217">
        <f>IF(OR(N4="",U4="",T4=""),"",U4/N4*T4)</f>
        <v>1848</v>
      </c>
      <c r="W4" s="208">
        <v>2</v>
      </c>
      <c r="X4" s="55" t="s">
        <v>46</v>
      </c>
      <c r="Y4" s="55" t="s">
        <v>102</v>
      </c>
      <c r="Z4" s="216" t="s">
        <v>90</v>
      </c>
      <c r="AA4" s="55" t="s">
        <v>84</v>
      </c>
      <c r="AB4" s="39" t="s">
        <v>330</v>
      </c>
      <c r="AE4" s="223" t="s">
        <v>34</v>
      </c>
      <c r="AG4" s="231" t="s">
        <v>339</v>
      </c>
      <c r="AH4" s="87" t="s">
        <v>340</v>
      </c>
      <c r="AJ4" s="228" t="s">
        <v>48</v>
      </c>
      <c r="AL4" s="228" t="s">
        <v>162</v>
      </c>
      <c r="AN4" s="229" t="s">
        <v>49</v>
      </c>
      <c r="AP4" s="224" t="s">
        <v>163</v>
      </c>
      <c r="AR4" s="238" t="s">
        <v>121</v>
      </c>
      <c r="AT4" s="229"/>
      <c r="AV4" s="224" t="s">
        <v>50</v>
      </c>
      <c r="AX4" s="225">
        <v>75</v>
      </c>
      <c r="AY4" s="226">
        <v>42</v>
      </c>
      <c r="AZ4" s="226">
        <v>76</v>
      </c>
      <c r="BA4" s="227">
        <v>39</v>
      </c>
    </row>
    <row r="5" spans="1:53" x14ac:dyDescent="0.15">
      <c r="A5" s="55" t="s">
        <v>56</v>
      </c>
      <c r="B5" s="55" t="s">
        <v>329</v>
      </c>
      <c r="C5" s="216">
        <v>2018</v>
      </c>
      <c r="D5" s="86" t="s">
        <v>336</v>
      </c>
      <c r="E5" s="216" t="s">
        <v>337</v>
      </c>
      <c r="F5" s="216" t="s">
        <v>161</v>
      </c>
      <c r="G5" s="55" t="s">
        <v>42</v>
      </c>
      <c r="H5" s="216" t="s">
        <v>155</v>
      </c>
      <c r="I5" s="55" t="s">
        <v>153</v>
      </c>
      <c r="J5" s="216" t="s">
        <v>38</v>
      </c>
      <c r="K5" s="216" t="s">
        <v>154</v>
      </c>
      <c r="L5" s="208">
        <v>1</v>
      </c>
      <c r="N5" s="208">
        <v>1</v>
      </c>
      <c r="O5" s="208">
        <v>0.85</v>
      </c>
      <c r="P5" s="208">
        <v>0.75</v>
      </c>
      <c r="Q5" s="245">
        <f t="shared" ref="Q5:Q52" si="0">IF(OR(O5="",P5=""),"",AVERAGE(O5,P5))</f>
        <v>0.8</v>
      </c>
      <c r="R5" s="208">
        <v>14.3</v>
      </c>
      <c r="S5" s="208">
        <v>140</v>
      </c>
      <c r="T5" s="217">
        <f t="shared" ref="T5:T52" si="1">IF(H5="","",IF(OR(H5="GREEN",H5="GK"),IF(S5&gt;=$AX$2,VLOOKUP(S5,$AX$2:$AY$10,2,1),""),IF(S5&gt;=$AZ$2,VLOOKUP(S5,$AZ$2:$BA$10,2,1),"")))</f>
        <v>22</v>
      </c>
      <c r="U5" s="208">
        <v>84</v>
      </c>
      <c r="V5" s="217">
        <f t="shared" ref="V5:V52" si="2">IF(OR(N5="",U5="",T5=""),"",U5/N5*T5)</f>
        <v>1848</v>
      </c>
      <c r="W5" s="208">
        <v>12</v>
      </c>
      <c r="X5" s="55" t="s">
        <v>46</v>
      </c>
      <c r="Y5" s="55" t="s">
        <v>84</v>
      </c>
      <c r="Z5" s="216" t="s">
        <v>90</v>
      </c>
      <c r="AA5" s="55" t="s">
        <v>55</v>
      </c>
      <c r="AB5" s="39" t="s">
        <v>330</v>
      </c>
      <c r="AE5" s="223" t="s">
        <v>51</v>
      </c>
      <c r="AG5" s="231" t="s">
        <v>341</v>
      </c>
      <c r="AH5" s="87" t="s">
        <v>342</v>
      </c>
      <c r="AJ5" s="229"/>
      <c r="AL5" s="230" t="s">
        <v>66</v>
      </c>
      <c r="AN5" s="230" t="s">
        <v>252</v>
      </c>
      <c r="AP5" s="224" t="s">
        <v>343</v>
      </c>
      <c r="AR5" s="238" t="s">
        <v>54</v>
      </c>
      <c r="AV5" s="224" t="s">
        <v>55</v>
      </c>
      <c r="AX5" s="225">
        <v>84</v>
      </c>
      <c r="AY5" s="226">
        <v>39</v>
      </c>
      <c r="AZ5" s="226">
        <v>84</v>
      </c>
      <c r="BA5" s="227">
        <v>36</v>
      </c>
    </row>
    <row r="6" spans="1:53" x14ac:dyDescent="0.15">
      <c r="A6" s="55" t="s">
        <v>56</v>
      </c>
      <c r="B6" s="55" t="s">
        <v>329</v>
      </c>
      <c r="C6" s="216">
        <v>2018</v>
      </c>
      <c r="D6" s="86" t="s">
        <v>336</v>
      </c>
      <c r="E6" s="216" t="s">
        <v>337</v>
      </c>
      <c r="F6" s="216" t="s">
        <v>161</v>
      </c>
      <c r="G6" s="55" t="s">
        <v>42</v>
      </c>
      <c r="H6" s="216" t="s">
        <v>155</v>
      </c>
      <c r="I6" s="55" t="s">
        <v>153</v>
      </c>
      <c r="J6" s="216" t="s">
        <v>38</v>
      </c>
      <c r="K6" s="216" t="s">
        <v>154</v>
      </c>
      <c r="L6" s="208">
        <v>2</v>
      </c>
      <c r="N6" s="208">
        <v>1</v>
      </c>
      <c r="O6" s="208">
        <v>0.75</v>
      </c>
      <c r="P6" s="208">
        <v>0.65</v>
      </c>
      <c r="Q6" s="245">
        <f t="shared" si="0"/>
        <v>0.7</v>
      </c>
      <c r="R6" s="208">
        <v>12.3</v>
      </c>
      <c r="S6" s="208">
        <v>144</v>
      </c>
      <c r="T6" s="217">
        <f t="shared" si="1"/>
        <v>22</v>
      </c>
      <c r="U6" s="208">
        <v>84</v>
      </c>
      <c r="V6" s="217">
        <f t="shared" si="2"/>
        <v>1848</v>
      </c>
      <c r="W6" s="208">
        <v>12</v>
      </c>
      <c r="X6" s="55" t="s">
        <v>46</v>
      </c>
      <c r="Y6" s="55" t="s">
        <v>84</v>
      </c>
      <c r="Z6" s="216" t="s">
        <v>90</v>
      </c>
      <c r="AA6" s="55" t="s">
        <v>55</v>
      </c>
      <c r="AB6" s="39" t="s">
        <v>330</v>
      </c>
      <c r="AE6" s="223" t="s">
        <v>56</v>
      </c>
      <c r="AG6" s="231" t="s">
        <v>344</v>
      </c>
      <c r="AH6" s="87" t="s">
        <v>342</v>
      </c>
      <c r="AL6" s="230" t="s">
        <v>237</v>
      </c>
      <c r="AN6" s="230" t="s">
        <v>57</v>
      </c>
      <c r="AP6" s="224" t="s">
        <v>53</v>
      </c>
      <c r="AR6" s="238" t="s">
        <v>59</v>
      </c>
      <c r="AV6" s="224" t="s">
        <v>60</v>
      </c>
      <c r="AX6" s="225">
        <v>97</v>
      </c>
      <c r="AY6" s="226">
        <v>36</v>
      </c>
      <c r="AZ6" s="226">
        <v>99</v>
      </c>
      <c r="BA6" s="227">
        <v>33</v>
      </c>
    </row>
    <row r="7" spans="1:53" x14ac:dyDescent="0.15">
      <c r="A7" s="55" t="s">
        <v>56</v>
      </c>
      <c r="B7" s="55" t="s">
        <v>329</v>
      </c>
      <c r="C7" s="216">
        <v>2018</v>
      </c>
      <c r="D7" s="86" t="s">
        <v>336</v>
      </c>
      <c r="E7" s="216" t="s">
        <v>337</v>
      </c>
      <c r="F7" s="216" t="s">
        <v>161</v>
      </c>
      <c r="G7" s="55" t="s">
        <v>42</v>
      </c>
      <c r="H7" s="216" t="s">
        <v>155</v>
      </c>
      <c r="I7" s="55" t="s">
        <v>153</v>
      </c>
      <c r="J7" s="216" t="s">
        <v>38</v>
      </c>
      <c r="K7" s="216" t="s">
        <v>154</v>
      </c>
      <c r="L7" s="208">
        <v>3</v>
      </c>
      <c r="N7" s="208">
        <v>1</v>
      </c>
      <c r="O7" s="208">
        <v>0.95</v>
      </c>
      <c r="P7" s="208">
        <v>0.9</v>
      </c>
      <c r="Q7" s="245">
        <f t="shared" si="0"/>
        <v>0.92500000000000004</v>
      </c>
      <c r="R7" s="237">
        <v>14.8</v>
      </c>
      <c r="S7" s="208">
        <v>140</v>
      </c>
      <c r="T7" s="217">
        <f t="shared" si="1"/>
        <v>22</v>
      </c>
      <c r="U7" s="208">
        <v>84</v>
      </c>
      <c r="V7" s="217">
        <f t="shared" si="2"/>
        <v>1848</v>
      </c>
      <c r="W7" s="208">
        <v>12</v>
      </c>
      <c r="X7" s="55" t="s">
        <v>46</v>
      </c>
      <c r="Y7" s="55" t="s">
        <v>84</v>
      </c>
      <c r="Z7" s="216" t="s">
        <v>90</v>
      </c>
      <c r="AA7" s="55" t="s">
        <v>55</v>
      </c>
      <c r="AB7" s="39" t="s">
        <v>330</v>
      </c>
      <c r="AE7" s="223" t="s">
        <v>61</v>
      </c>
      <c r="AG7" s="231" t="s">
        <v>345</v>
      </c>
      <c r="AH7" s="87" t="s">
        <v>164</v>
      </c>
      <c r="AL7" s="88" t="s">
        <v>346</v>
      </c>
      <c r="AP7" s="224" t="s">
        <v>58</v>
      </c>
      <c r="AR7" s="231" t="s">
        <v>122</v>
      </c>
      <c r="AV7" s="224" t="s">
        <v>64</v>
      </c>
      <c r="AX7" s="225">
        <v>109</v>
      </c>
      <c r="AY7" s="226">
        <v>33</v>
      </c>
      <c r="AZ7" s="226">
        <v>113</v>
      </c>
      <c r="BA7" s="227">
        <v>30</v>
      </c>
    </row>
    <row r="8" spans="1:53" x14ac:dyDescent="0.15">
      <c r="A8" s="55" t="s">
        <v>56</v>
      </c>
      <c r="B8" s="55" t="s">
        <v>347</v>
      </c>
      <c r="C8" s="216">
        <v>2018</v>
      </c>
      <c r="D8" s="86" t="s">
        <v>348</v>
      </c>
      <c r="E8" s="216" t="s">
        <v>337</v>
      </c>
      <c r="F8" s="216" t="s">
        <v>161</v>
      </c>
      <c r="G8" s="55" t="s">
        <v>42</v>
      </c>
      <c r="H8" s="216" t="s">
        <v>157</v>
      </c>
      <c r="I8" s="55" t="s">
        <v>153</v>
      </c>
      <c r="J8" s="216" t="s">
        <v>38</v>
      </c>
      <c r="K8" s="216" t="s">
        <v>154</v>
      </c>
      <c r="L8" s="208">
        <v>1</v>
      </c>
      <c r="N8" s="208">
        <v>1</v>
      </c>
      <c r="O8" s="208">
        <v>0.7</v>
      </c>
      <c r="P8" s="208">
        <v>0.75</v>
      </c>
      <c r="Q8" s="245">
        <f t="shared" si="0"/>
        <v>0.72499999999999998</v>
      </c>
      <c r="R8" s="208">
        <v>13.8</v>
      </c>
      <c r="S8" s="208">
        <v>132</v>
      </c>
      <c r="T8" s="217">
        <f t="shared" si="1"/>
        <v>25</v>
      </c>
      <c r="U8" s="208">
        <v>138</v>
      </c>
      <c r="V8" s="217">
        <f t="shared" si="2"/>
        <v>3450</v>
      </c>
      <c r="W8" s="208">
        <v>2</v>
      </c>
      <c r="X8" s="55" t="s">
        <v>46</v>
      </c>
      <c r="Y8" s="55" t="s">
        <v>84</v>
      </c>
      <c r="Z8" s="216" t="s">
        <v>90</v>
      </c>
      <c r="AA8" s="55" t="s">
        <v>55</v>
      </c>
      <c r="AB8" s="39" t="s">
        <v>330</v>
      </c>
      <c r="AE8" s="223" t="s">
        <v>59</v>
      </c>
      <c r="AG8" s="231" t="s">
        <v>349</v>
      </c>
      <c r="AH8" s="87" t="s">
        <v>164</v>
      </c>
      <c r="AL8" s="88" t="s">
        <v>350</v>
      </c>
      <c r="AP8" s="224" t="s">
        <v>62</v>
      </c>
      <c r="AR8" s="238" t="s">
        <v>81</v>
      </c>
      <c r="AV8" s="224" t="s">
        <v>97</v>
      </c>
      <c r="AX8" s="225">
        <v>119</v>
      </c>
      <c r="AY8" s="226">
        <v>30</v>
      </c>
      <c r="AZ8" s="226">
        <v>121</v>
      </c>
      <c r="BA8" s="227">
        <v>27</v>
      </c>
    </row>
    <row r="9" spans="1:53" x14ac:dyDescent="0.15">
      <c r="A9" s="55" t="s">
        <v>56</v>
      </c>
      <c r="B9" s="55" t="s">
        <v>347</v>
      </c>
      <c r="C9" s="216">
        <v>2018</v>
      </c>
      <c r="D9" s="86" t="s">
        <v>348</v>
      </c>
      <c r="E9" s="216" t="s">
        <v>337</v>
      </c>
      <c r="F9" s="216" t="s">
        <v>161</v>
      </c>
      <c r="G9" s="55" t="s">
        <v>42</v>
      </c>
      <c r="H9" s="216" t="s">
        <v>157</v>
      </c>
      <c r="I9" s="55" t="s">
        <v>153</v>
      </c>
      <c r="J9" s="216" t="s">
        <v>38</v>
      </c>
      <c r="K9" s="216" t="s">
        <v>154</v>
      </c>
      <c r="L9" s="208">
        <v>2</v>
      </c>
      <c r="N9" s="208">
        <v>1</v>
      </c>
      <c r="O9" s="208">
        <v>0.75</v>
      </c>
      <c r="P9" s="208">
        <v>0.75</v>
      </c>
      <c r="Q9" s="245">
        <f t="shared" si="0"/>
        <v>0.75</v>
      </c>
      <c r="R9" s="208">
        <v>13.8</v>
      </c>
      <c r="S9" s="208">
        <v>138</v>
      </c>
      <c r="T9" s="217">
        <f t="shared" si="1"/>
        <v>22</v>
      </c>
      <c r="U9" s="208">
        <v>138</v>
      </c>
      <c r="V9" s="217">
        <f t="shared" si="2"/>
        <v>3036</v>
      </c>
      <c r="W9" s="208">
        <v>2</v>
      </c>
      <c r="X9" s="55" t="s">
        <v>46</v>
      </c>
      <c r="Y9" s="55" t="s">
        <v>84</v>
      </c>
      <c r="Z9" s="216" t="s">
        <v>90</v>
      </c>
      <c r="AA9" s="55" t="s">
        <v>55</v>
      </c>
      <c r="AB9" s="39" t="s">
        <v>330</v>
      </c>
      <c r="AE9" s="223" t="s">
        <v>98</v>
      </c>
      <c r="AG9" s="231" t="s">
        <v>165</v>
      </c>
      <c r="AH9" s="231" t="s">
        <v>161</v>
      </c>
      <c r="AL9" s="230"/>
      <c r="AP9" s="224" t="s">
        <v>95</v>
      </c>
      <c r="AR9" s="231" t="s">
        <v>89</v>
      </c>
      <c r="AV9" s="224" t="s">
        <v>102</v>
      </c>
      <c r="AX9" s="225">
        <v>128</v>
      </c>
      <c r="AY9" s="226">
        <v>27</v>
      </c>
      <c r="AZ9" s="226">
        <v>129</v>
      </c>
      <c r="BA9" s="227">
        <v>25</v>
      </c>
    </row>
    <row r="10" spans="1:53" x14ac:dyDescent="0.15">
      <c r="A10" s="55" t="s">
        <v>56</v>
      </c>
      <c r="B10" s="55" t="s">
        <v>351</v>
      </c>
      <c r="C10" s="216">
        <v>2018</v>
      </c>
      <c r="D10" s="86" t="s">
        <v>352</v>
      </c>
      <c r="E10" s="216" t="s">
        <v>337</v>
      </c>
      <c r="F10" s="216" t="s">
        <v>161</v>
      </c>
      <c r="G10" s="55" t="s">
        <v>42</v>
      </c>
      <c r="H10" s="216" t="s">
        <v>157</v>
      </c>
      <c r="I10" s="55" t="s">
        <v>153</v>
      </c>
      <c r="J10" s="216" t="s">
        <v>38</v>
      </c>
      <c r="K10" s="216" t="s">
        <v>154</v>
      </c>
      <c r="L10" s="208">
        <v>3</v>
      </c>
      <c r="N10" s="208">
        <v>1</v>
      </c>
      <c r="O10" s="208">
        <v>0.7</v>
      </c>
      <c r="P10" s="208">
        <v>0.75</v>
      </c>
      <c r="Q10" s="245">
        <f t="shared" si="0"/>
        <v>0.72499999999999998</v>
      </c>
      <c r="R10" s="237">
        <v>15.2</v>
      </c>
      <c r="S10" s="208">
        <v>142</v>
      </c>
      <c r="T10" s="217">
        <f t="shared" si="1"/>
        <v>22</v>
      </c>
      <c r="U10" s="208">
        <v>138</v>
      </c>
      <c r="V10" s="217">
        <f t="shared" si="2"/>
        <v>3036</v>
      </c>
      <c r="W10" s="208">
        <v>2</v>
      </c>
      <c r="X10" s="55" t="s">
        <v>46</v>
      </c>
      <c r="Y10" s="55" t="s">
        <v>84</v>
      </c>
      <c r="Z10" s="216" t="s">
        <v>90</v>
      </c>
      <c r="AA10" s="55" t="s">
        <v>55</v>
      </c>
      <c r="AB10" s="39" t="s">
        <v>330</v>
      </c>
      <c r="AE10" s="223" t="s">
        <v>103</v>
      </c>
      <c r="AG10" s="231" t="s">
        <v>353</v>
      </c>
      <c r="AH10" s="87" t="s">
        <v>354</v>
      </c>
      <c r="AL10" s="88"/>
      <c r="AP10" s="224" t="s">
        <v>100</v>
      </c>
      <c r="AR10" s="231" t="s">
        <v>123</v>
      </c>
      <c r="AV10" s="224" t="s">
        <v>106</v>
      </c>
      <c r="AX10" s="225">
        <v>138</v>
      </c>
      <c r="AY10" s="226">
        <v>25</v>
      </c>
      <c r="AZ10" s="226">
        <v>138</v>
      </c>
      <c r="BA10" s="227">
        <v>22</v>
      </c>
    </row>
    <row r="11" spans="1:53" x14ac:dyDescent="0.15">
      <c r="A11" s="55" t="s">
        <v>56</v>
      </c>
      <c r="B11" s="55" t="s">
        <v>351</v>
      </c>
      <c r="C11" s="216">
        <v>2018</v>
      </c>
      <c r="D11" s="86" t="s">
        <v>352</v>
      </c>
      <c r="E11" s="216" t="s">
        <v>355</v>
      </c>
      <c r="F11" s="216" t="s">
        <v>356</v>
      </c>
      <c r="G11" s="55" t="s">
        <v>42</v>
      </c>
      <c r="H11" s="216" t="s">
        <v>155</v>
      </c>
      <c r="I11" s="55" t="s">
        <v>153</v>
      </c>
      <c r="J11" s="216" t="s">
        <v>38</v>
      </c>
      <c r="K11" s="216" t="s">
        <v>154</v>
      </c>
      <c r="L11" s="208">
        <v>1</v>
      </c>
      <c r="N11" s="208">
        <v>1</v>
      </c>
      <c r="O11" s="208">
        <v>0.65</v>
      </c>
      <c r="P11" s="208">
        <v>0.7</v>
      </c>
      <c r="Q11" s="245">
        <f t="shared" si="0"/>
        <v>0.67500000000000004</v>
      </c>
      <c r="R11" s="208">
        <v>15.8</v>
      </c>
      <c r="S11" s="208">
        <v>120</v>
      </c>
      <c r="T11" s="217">
        <f t="shared" si="1"/>
        <v>30</v>
      </c>
      <c r="U11" s="208">
        <v>106</v>
      </c>
      <c r="V11" s="217">
        <f t="shared" si="2"/>
        <v>3180</v>
      </c>
      <c r="W11" s="208">
        <v>5</v>
      </c>
      <c r="X11" s="55" t="s">
        <v>46</v>
      </c>
      <c r="Y11" s="55" t="s">
        <v>84</v>
      </c>
      <c r="Z11" s="216" t="s">
        <v>102</v>
      </c>
      <c r="AA11" s="55" t="s">
        <v>78</v>
      </c>
      <c r="AB11" s="39" t="s">
        <v>330</v>
      </c>
      <c r="AE11" s="223" t="s">
        <v>65</v>
      </c>
      <c r="AG11" s="231" t="s">
        <v>357</v>
      </c>
      <c r="AH11" s="87" t="s">
        <v>354</v>
      </c>
      <c r="AJ11" s="88"/>
      <c r="AP11" s="224" t="s">
        <v>104</v>
      </c>
      <c r="AR11" s="231" t="s">
        <v>87</v>
      </c>
      <c r="AV11" s="224" t="s">
        <v>69</v>
      </c>
    </row>
    <row r="12" spans="1:53" x14ac:dyDescent="0.15">
      <c r="A12" s="55" t="s">
        <v>56</v>
      </c>
      <c r="B12" s="55" t="s">
        <v>358</v>
      </c>
      <c r="C12" s="216">
        <v>2018</v>
      </c>
      <c r="D12" s="86" t="s">
        <v>359</v>
      </c>
      <c r="E12" s="216" t="s">
        <v>355</v>
      </c>
      <c r="F12" s="216" t="s">
        <v>356</v>
      </c>
      <c r="G12" s="55" t="s">
        <v>42</v>
      </c>
      <c r="H12" s="216" t="s">
        <v>155</v>
      </c>
      <c r="I12" s="55" t="s">
        <v>153</v>
      </c>
      <c r="J12" s="216" t="s">
        <v>38</v>
      </c>
      <c r="K12" s="216" t="s">
        <v>154</v>
      </c>
      <c r="L12" s="208">
        <v>2</v>
      </c>
      <c r="N12" s="208">
        <v>1</v>
      </c>
      <c r="O12" s="208">
        <v>0.6</v>
      </c>
      <c r="P12" s="208">
        <v>0.65</v>
      </c>
      <c r="Q12" s="245">
        <f t="shared" si="0"/>
        <v>0.625</v>
      </c>
      <c r="R12" s="208">
        <v>15.6</v>
      </c>
      <c r="S12" s="208">
        <v>115</v>
      </c>
      <c r="T12" s="217">
        <f t="shared" si="1"/>
        <v>30</v>
      </c>
      <c r="U12" s="208">
        <v>106</v>
      </c>
      <c r="V12" s="217">
        <f t="shared" si="2"/>
        <v>3180</v>
      </c>
      <c r="W12" s="208">
        <v>5</v>
      </c>
      <c r="X12" s="55" t="s">
        <v>46</v>
      </c>
      <c r="Y12" s="55" t="s">
        <v>84</v>
      </c>
      <c r="Z12" s="216" t="s">
        <v>102</v>
      </c>
      <c r="AA12" s="55" t="s">
        <v>78</v>
      </c>
      <c r="AB12" s="39" t="s">
        <v>330</v>
      </c>
      <c r="AE12" s="223" t="s">
        <v>70</v>
      </c>
      <c r="AG12" s="231" t="s">
        <v>360</v>
      </c>
      <c r="AH12" s="87" t="s">
        <v>361</v>
      </c>
      <c r="AJ12" s="88"/>
      <c r="AP12" s="224" t="s">
        <v>67</v>
      </c>
      <c r="AR12" s="231" t="s">
        <v>124</v>
      </c>
      <c r="AV12" s="224" t="s">
        <v>72</v>
      </c>
    </row>
    <row r="13" spans="1:53" x14ac:dyDescent="0.15">
      <c r="A13" s="55" t="s">
        <v>56</v>
      </c>
      <c r="B13" s="55" t="s">
        <v>362</v>
      </c>
      <c r="C13" s="216">
        <v>2018</v>
      </c>
      <c r="D13" s="86" t="s">
        <v>363</v>
      </c>
      <c r="E13" s="216" t="s">
        <v>355</v>
      </c>
      <c r="F13" s="216" t="s">
        <v>356</v>
      </c>
      <c r="G13" s="55" t="s">
        <v>42</v>
      </c>
      <c r="H13" s="216" t="s">
        <v>155</v>
      </c>
      <c r="I13" s="55" t="s">
        <v>153</v>
      </c>
      <c r="J13" s="216" t="s">
        <v>38</v>
      </c>
      <c r="K13" s="216" t="s">
        <v>154</v>
      </c>
      <c r="L13" s="208">
        <v>3</v>
      </c>
      <c r="N13" s="208">
        <v>1</v>
      </c>
      <c r="O13" s="208">
        <v>0.65</v>
      </c>
      <c r="P13" s="208">
        <v>0.65</v>
      </c>
      <c r="Q13" s="245">
        <f t="shared" si="0"/>
        <v>0.65</v>
      </c>
      <c r="R13" s="237">
        <v>14.3</v>
      </c>
      <c r="S13" s="208">
        <v>121</v>
      </c>
      <c r="T13" s="217">
        <f t="shared" si="1"/>
        <v>27</v>
      </c>
      <c r="U13" s="208">
        <v>106</v>
      </c>
      <c r="V13" s="217">
        <f t="shared" si="2"/>
        <v>2862</v>
      </c>
      <c r="W13" s="208">
        <v>5</v>
      </c>
      <c r="X13" s="55" t="s">
        <v>46</v>
      </c>
      <c r="Y13" s="55" t="s">
        <v>84</v>
      </c>
      <c r="Z13" s="216" t="s">
        <v>102</v>
      </c>
      <c r="AA13" s="55" t="s">
        <v>78</v>
      </c>
      <c r="AB13" s="39" t="s">
        <v>330</v>
      </c>
      <c r="AE13" s="223" t="s">
        <v>73</v>
      </c>
      <c r="AP13" s="224" t="s">
        <v>71</v>
      </c>
      <c r="AR13" s="231" t="s">
        <v>103</v>
      </c>
      <c r="AV13" s="224" t="s">
        <v>75</v>
      </c>
    </row>
    <row r="14" spans="1:53" x14ac:dyDescent="0.15">
      <c r="A14" s="55" t="s">
        <v>56</v>
      </c>
      <c r="B14" s="55" t="s">
        <v>364</v>
      </c>
      <c r="C14" s="216">
        <v>2018</v>
      </c>
      <c r="D14" s="86" t="s">
        <v>365</v>
      </c>
      <c r="E14" s="216" t="s">
        <v>355</v>
      </c>
      <c r="F14" s="216" t="s">
        <v>356</v>
      </c>
      <c r="G14" s="55" t="s">
        <v>42</v>
      </c>
      <c r="H14" s="216" t="s">
        <v>157</v>
      </c>
      <c r="I14" s="55" t="s">
        <v>153</v>
      </c>
      <c r="J14" s="216" t="s">
        <v>38</v>
      </c>
      <c r="K14" s="216" t="s">
        <v>154</v>
      </c>
      <c r="L14" s="208">
        <v>1</v>
      </c>
      <c r="N14" s="208">
        <v>1</v>
      </c>
      <c r="O14" s="208">
        <v>0.55000000000000004</v>
      </c>
      <c r="P14" s="208">
        <v>0.6</v>
      </c>
      <c r="Q14" s="245">
        <f t="shared" si="0"/>
        <v>0.57499999999999996</v>
      </c>
      <c r="R14" s="208">
        <v>15.9</v>
      </c>
      <c r="S14" s="208">
        <v>140</v>
      </c>
      <c r="T14" s="217">
        <f t="shared" si="1"/>
        <v>22</v>
      </c>
      <c r="U14" s="208">
        <v>138</v>
      </c>
      <c r="V14" s="217">
        <f t="shared" si="2"/>
        <v>3036</v>
      </c>
      <c r="W14" s="208">
        <v>1</v>
      </c>
      <c r="X14" s="55" t="s">
        <v>46</v>
      </c>
      <c r="Y14" s="55" t="s">
        <v>84</v>
      </c>
      <c r="Z14" s="216" t="s">
        <v>102</v>
      </c>
      <c r="AA14" s="55" t="s">
        <v>78</v>
      </c>
      <c r="AB14" s="39" t="s">
        <v>330</v>
      </c>
      <c r="AE14" s="223" t="s">
        <v>76</v>
      </c>
      <c r="AP14" s="224" t="s">
        <v>74</v>
      </c>
      <c r="AR14" s="231" t="s">
        <v>125</v>
      </c>
      <c r="AV14" s="224" t="s">
        <v>78</v>
      </c>
    </row>
    <row r="15" spans="1:53" x14ac:dyDescent="0.15">
      <c r="A15" s="55" t="s">
        <v>56</v>
      </c>
      <c r="B15" s="55" t="s">
        <v>364</v>
      </c>
      <c r="C15" s="216">
        <v>2018</v>
      </c>
      <c r="D15" s="86" t="s">
        <v>365</v>
      </c>
      <c r="E15" s="216" t="s">
        <v>355</v>
      </c>
      <c r="F15" s="216" t="s">
        <v>356</v>
      </c>
      <c r="G15" s="55" t="s">
        <v>42</v>
      </c>
      <c r="H15" s="216" t="s">
        <v>157</v>
      </c>
      <c r="I15" s="55" t="s">
        <v>153</v>
      </c>
      <c r="J15" s="216" t="s">
        <v>38</v>
      </c>
      <c r="K15" s="216" t="s">
        <v>154</v>
      </c>
      <c r="L15" s="208">
        <v>2</v>
      </c>
      <c r="N15" s="208">
        <v>1</v>
      </c>
      <c r="O15" s="208">
        <v>0.6</v>
      </c>
      <c r="P15" s="208">
        <v>0.6</v>
      </c>
      <c r="Q15" s="245">
        <f t="shared" si="0"/>
        <v>0.6</v>
      </c>
      <c r="R15" s="208">
        <v>14.9</v>
      </c>
      <c r="S15" s="208">
        <v>149</v>
      </c>
      <c r="T15" s="217">
        <f t="shared" si="1"/>
        <v>22</v>
      </c>
      <c r="U15" s="208">
        <v>138</v>
      </c>
      <c r="V15" s="217">
        <f t="shared" si="2"/>
        <v>3036</v>
      </c>
      <c r="W15" s="208">
        <v>1</v>
      </c>
      <c r="X15" s="55" t="s">
        <v>46</v>
      </c>
      <c r="Y15" s="55" t="s">
        <v>84</v>
      </c>
      <c r="Z15" s="216" t="s">
        <v>102</v>
      </c>
      <c r="AA15" s="55" t="s">
        <v>78</v>
      </c>
      <c r="AB15" s="39" t="s">
        <v>330</v>
      </c>
      <c r="AE15" s="223" t="s">
        <v>79</v>
      </c>
      <c r="AP15" s="224" t="s">
        <v>77</v>
      </c>
      <c r="AR15" s="231" t="s">
        <v>94</v>
      </c>
      <c r="AV15" s="224" t="s">
        <v>107</v>
      </c>
    </row>
    <row r="16" spans="1:53" x14ac:dyDescent="0.15">
      <c r="A16" s="55" t="s">
        <v>56</v>
      </c>
      <c r="B16" s="55" t="s">
        <v>366</v>
      </c>
      <c r="C16" s="216">
        <v>2018</v>
      </c>
      <c r="D16" s="86" t="s">
        <v>367</v>
      </c>
      <c r="E16" s="216" t="s">
        <v>355</v>
      </c>
      <c r="F16" s="216" t="s">
        <v>356</v>
      </c>
      <c r="G16" s="55" t="s">
        <v>42</v>
      </c>
      <c r="H16" s="216" t="s">
        <v>157</v>
      </c>
      <c r="I16" s="55" t="s">
        <v>153</v>
      </c>
      <c r="J16" s="216" t="s">
        <v>38</v>
      </c>
      <c r="K16" s="216" t="s">
        <v>154</v>
      </c>
      <c r="L16" s="208">
        <v>3</v>
      </c>
      <c r="N16" s="208">
        <v>1</v>
      </c>
      <c r="O16" s="208">
        <v>0.65</v>
      </c>
      <c r="P16" s="208">
        <v>0.6</v>
      </c>
      <c r="Q16" s="245">
        <f t="shared" si="0"/>
        <v>0.625</v>
      </c>
      <c r="R16" s="237">
        <v>16.3</v>
      </c>
      <c r="S16" s="208">
        <v>143</v>
      </c>
      <c r="T16" s="217">
        <f t="shared" si="1"/>
        <v>22</v>
      </c>
      <c r="U16" s="208">
        <v>138</v>
      </c>
      <c r="V16" s="217">
        <f t="shared" si="2"/>
        <v>3036</v>
      </c>
      <c r="W16" s="208">
        <v>1</v>
      </c>
      <c r="X16" s="55" t="s">
        <v>46</v>
      </c>
      <c r="Y16" s="55" t="s">
        <v>84</v>
      </c>
      <c r="Z16" s="216" t="s">
        <v>102</v>
      </c>
      <c r="AA16" s="55" t="s">
        <v>78</v>
      </c>
      <c r="AB16" s="39" t="s">
        <v>330</v>
      </c>
      <c r="AE16" s="223" t="s">
        <v>82</v>
      </c>
      <c r="AP16" s="224" t="s">
        <v>80</v>
      </c>
      <c r="AR16" s="238" t="s">
        <v>63</v>
      </c>
      <c r="AV16" s="224" t="s">
        <v>84</v>
      </c>
    </row>
    <row r="17" spans="1:48" x14ac:dyDescent="0.15">
      <c r="A17" s="55" t="s">
        <v>56</v>
      </c>
      <c r="B17" s="55" t="s">
        <v>366</v>
      </c>
      <c r="C17" s="216">
        <v>2018</v>
      </c>
      <c r="D17" s="86" t="s">
        <v>367</v>
      </c>
      <c r="E17" s="216" t="s">
        <v>368</v>
      </c>
      <c r="F17" s="216" t="s">
        <v>369</v>
      </c>
      <c r="G17" s="55" t="s">
        <v>42</v>
      </c>
      <c r="H17" s="216" t="s">
        <v>155</v>
      </c>
      <c r="I17" s="55" t="s">
        <v>153</v>
      </c>
      <c r="J17" s="216" t="s">
        <v>38</v>
      </c>
      <c r="K17" s="216" t="s">
        <v>154</v>
      </c>
      <c r="L17" s="208">
        <v>1</v>
      </c>
      <c r="N17" s="208">
        <v>1</v>
      </c>
      <c r="O17" s="208">
        <v>0.75</v>
      </c>
      <c r="P17" s="208">
        <v>0.65</v>
      </c>
      <c r="Q17" s="245">
        <f t="shared" si="0"/>
        <v>0.7</v>
      </c>
      <c r="R17" s="208">
        <v>15.9</v>
      </c>
      <c r="S17" s="208">
        <v>119</v>
      </c>
      <c r="T17" s="217">
        <f t="shared" si="1"/>
        <v>30</v>
      </c>
      <c r="U17" s="208">
        <v>83</v>
      </c>
      <c r="V17" s="217">
        <f t="shared" si="2"/>
        <v>2490</v>
      </c>
      <c r="W17" s="208">
        <v>2</v>
      </c>
      <c r="X17" s="55" t="s">
        <v>46</v>
      </c>
      <c r="Y17" s="55" t="s">
        <v>102</v>
      </c>
      <c r="Z17" s="216" t="s">
        <v>78</v>
      </c>
      <c r="AA17" s="55" t="s">
        <v>90</v>
      </c>
      <c r="AB17" s="39" t="s">
        <v>330</v>
      </c>
      <c r="AE17" s="223" t="s">
        <v>85</v>
      </c>
      <c r="AP17" s="239" t="s">
        <v>110</v>
      </c>
      <c r="AR17" s="238" t="s">
        <v>96</v>
      </c>
      <c r="AV17" s="224" t="s">
        <v>86</v>
      </c>
    </row>
    <row r="18" spans="1:48" x14ac:dyDescent="0.15">
      <c r="A18" s="55" t="s">
        <v>56</v>
      </c>
      <c r="B18" s="55" t="s">
        <v>366</v>
      </c>
      <c r="C18" s="216">
        <v>2018</v>
      </c>
      <c r="D18" s="86" t="s">
        <v>367</v>
      </c>
      <c r="E18" s="216" t="s">
        <v>368</v>
      </c>
      <c r="F18" s="216" t="s">
        <v>369</v>
      </c>
      <c r="G18" s="55" t="s">
        <v>42</v>
      </c>
      <c r="H18" s="216" t="s">
        <v>155</v>
      </c>
      <c r="I18" s="55" t="s">
        <v>153</v>
      </c>
      <c r="J18" s="216" t="s">
        <v>38</v>
      </c>
      <c r="K18" s="216" t="s">
        <v>154</v>
      </c>
      <c r="L18" s="208">
        <v>2</v>
      </c>
      <c r="N18" s="208">
        <v>1</v>
      </c>
      <c r="O18" s="208">
        <v>0.5</v>
      </c>
      <c r="P18" s="208">
        <v>0.5</v>
      </c>
      <c r="Q18" s="245">
        <f t="shared" si="0"/>
        <v>0.5</v>
      </c>
      <c r="R18" s="208">
        <v>15</v>
      </c>
      <c r="S18" s="208">
        <v>127</v>
      </c>
      <c r="T18" s="217">
        <f t="shared" si="1"/>
        <v>27</v>
      </c>
      <c r="U18" s="208">
        <v>83</v>
      </c>
      <c r="V18" s="217">
        <f t="shared" si="2"/>
        <v>2241</v>
      </c>
      <c r="W18" s="208">
        <v>2</v>
      </c>
      <c r="X18" s="55" t="s">
        <v>46</v>
      </c>
      <c r="Y18" s="55" t="s">
        <v>102</v>
      </c>
      <c r="Z18" s="216" t="s">
        <v>78</v>
      </c>
      <c r="AA18" s="55" t="s">
        <v>90</v>
      </c>
      <c r="AB18" s="39" t="s">
        <v>330</v>
      </c>
      <c r="AE18" s="223" t="s">
        <v>87</v>
      </c>
      <c r="AP18" s="239" t="s">
        <v>111</v>
      </c>
      <c r="AR18" s="238" t="s">
        <v>101</v>
      </c>
      <c r="AV18" s="224" t="s">
        <v>88</v>
      </c>
    </row>
    <row r="19" spans="1:48" x14ac:dyDescent="0.15">
      <c r="A19" s="55" t="s">
        <v>56</v>
      </c>
      <c r="B19" s="55" t="s">
        <v>358</v>
      </c>
      <c r="C19" s="216">
        <v>2018</v>
      </c>
      <c r="D19" s="86" t="s">
        <v>359</v>
      </c>
      <c r="E19" s="216" t="s">
        <v>368</v>
      </c>
      <c r="F19" s="216" t="s">
        <v>369</v>
      </c>
      <c r="G19" s="55" t="s">
        <v>42</v>
      </c>
      <c r="H19" s="216" t="s">
        <v>155</v>
      </c>
      <c r="I19" s="55" t="s">
        <v>153</v>
      </c>
      <c r="J19" s="216" t="s">
        <v>38</v>
      </c>
      <c r="K19" s="216" t="s">
        <v>154</v>
      </c>
      <c r="L19" s="208">
        <v>3</v>
      </c>
      <c r="N19" s="208">
        <v>1</v>
      </c>
      <c r="O19" s="208">
        <v>0.55000000000000004</v>
      </c>
      <c r="P19" s="208">
        <v>0.6</v>
      </c>
      <c r="Q19" s="245">
        <f t="shared" si="0"/>
        <v>0.57499999999999996</v>
      </c>
      <c r="R19" s="237">
        <v>14</v>
      </c>
      <c r="S19" s="208">
        <v>120</v>
      </c>
      <c r="T19" s="217">
        <f t="shared" si="1"/>
        <v>30</v>
      </c>
      <c r="U19" s="208">
        <v>83</v>
      </c>
      <c r="V19" s="217">
        <f t="shared" si="2"/>
        <v>2490</v>
      </c>
      <c r="W19" s="208">
        <v>2</v>
      </c>
      <c r="X19" s="55" t="s">
        <v>46</v>
      </c>
      <c r="Y19" s="55" t="s">
        <v>102</v>
      </c>
      <c r="Z19" s="216" t="s">
        <v>78</v>
      </c>
      <c r="AA19" s="55" t="s">
        <v>90</v>
      </c>
      <c r="AB19" s="39" t="s">
        <v>330</v>
      </c>
      <c r="AE19" s="236" t="s">
        <v>89</v>
      </c>
      <c r="AP19" s="239" t="s">
        <v>112</v>
      </c>
      <c r="AR19" s="231" t="s">
        <v>126</v>
      </c>
      <c r="AV19" s="224" t="s">
        <v>90</v>
      </c>
    </row>
    <row r="20" spans="1:48" x14ac:dyDescent="0.15">
      <c r="A20" s="55" t="s">
        <v>56</v>
      </c>
      <c r="B20" s="55" t="s">
        <v>358</v>
      </c>
      <c r="C20" s="216">
        <v>2018</v>
      </c>
      <c r="D20" s="86" t="s">
        <v>359</v>
      </c>
      <c r="E20" s="216" t="s">
        <v>368</v>
      </c>
      <c r="F20" s="216" t="s">
        <v>369</v>
      </c>
      <c r="G20" s="55" t="s">
        <v>42</v>
      </c>
      <c r="H20" s="216" t="s">
        <v>157</v>
      </c>
      <c r="I20" s="55" t="s">
        <v>153</v>
      </c>
      <c r="J20" s="216" t="s">
        <v>38</v>
      </c>
      <c r="K20" s="216" t="s">
        <v>154</v>
      </c>
      <c r="L20" s="208">
        <v>1</v>
      </c>
      <c r="N20" s="208">
        <v>1</v>
      </c>
      <c r="O20" s="208">
        <v>0.65</v>
      </c>
      <c r="P20" s="208">
        <v>0.65</v>
      </c>
      <c r="Q20" s="245">
        <f t="shared" si="0"/>
        <v>0.65</v>
      </c>
      <c r="R20" s="208">
        <v>15.3</v>
      </c>
      <c r="S20" s="208">
        <v>127</v>
      </c>
      <c r="T20" s="217">
        <f t="shared" si="1"/>
        <v>27</v>
      </c>
      <c r="U20" s="208">
        <v>107</v>
      </c>
      <c r="V20" s="217">
        <f t="shared" si="2"/>
        <v>2889</v>
      </c>
      <c r="W20" s="208">
        <v>2</v>
      </c>
      <c r="X20" s="55" t="s">
        <v>46</v>
      </c>
      <c r="Y20" s="55" t="s">
        <v>102</v>
      </c>
      <c r="Z20" s="216" t="s">
        <v>78</v>
      </c>
      <c r="AA20" s="55" t="s">
        <v>90</v>
      </c>
      <c r="AB20" s="39" t="s">
        <v>330</v>
      </c>
      <c r="AP20" s="239" t="s">
        <v>113</v>
      </c>
      <c r="AR20" s="238" t="s">
        <v>105</v>
      </c>
      <c r="AV20" s="228" t="s">
        <v>370</v>
      </c>
    </row>
    <row r="21" spans="1:48" x14ac:dyDescent="0.15">
      <c r="A21" s="55" t="s">
        <v>56</v>
      </c>
      <c r="B21" s="55" t="s">
        <v>358</v>
      </c>
      <c r="C21" s="216">
        <v>2018</v>
      </c>
      <c r="D21" s="86" t="s">
        <v>359</v>
      </c>
      <c r="E21" s="216" t="s">
        <v>368</v>
      </c>
      <c r="F21" s="216" t="s">
        <v>369</v>
      </c>
      <c r="G21" s="55" t="s">
        <v>42</v>
      </c>
      <c r="H21" s="216" t="s">
        <v>157</v>
      </c>
      <c r="I21" s="55" t="s">
        <v>153</v>
      </c>
      <c r="J21" s="216" t="s">
        <v>38</v>
      </c>
      <c r="K21" s="216" t="s">
        <v>154</v>
      </c>
      <c r="L21" s="208">
        <v>2</v>
      </c>
      <c r="N21" s="208">
        <v>1</v>
      </c>
      <c r="O21" s="208">
        <v>0.6</v>
      </c>
      <c r="P21" s="208">
        <v>0.65</v>
      </c>
      <c r="Q21" s="245">
        <f t="shared" si="0"/>
        <v>0.625</v>
      </c>
      <c r="R21" s="208">
        <v>15.3</v>
      </c>
      <c r="S21" s="208">
        <v>119</v>
      </c>
      <c r="T21" s="217">
        <f t="shared" si="1"/>
        <v>30</v>
      </c>
      <c r="U21" s="208">
        <v>107</v>
      </c>
      <c r="V21" s="217">
        <f t="shared" si="2"/>
        <v>3210</v>
      </c>
      <c r="W21" s="208">
        <v>2</v>
      </c>
      <c r="X21" s="55" t="s">
        <v>46</v>
      </c>
      <c r="Y21" s="55" t="s">
        <v>102</v>
      </c>
      <c r="Z21" s="216" t="s">
        <v>78</v>
      </c>
      <c r="AA21" s="55" t="s">
        <v>90</v>
      </c>
      <c r="AB21" s="39" t="s">
        <v>330</v>
      </c>
      <c r="AP21" s="239" t="s">
        <v>114</v>
      </c>
      <c r="AR21" s="238" t="s">
        <v>68</v>
      </c>
      <c r="AV21" s="229" t="s">
        <v>371</v>
      </c>
    </row>
    <row r="22" spans="1:48" x14ac:dyDescent="0.15">
      <c r="A22" s="55" t="s">
        <v>56</v>
      </c>
      <c r="B22" s="55" t="s">
        <v>358</v>
      </c>
      <c r="C22" s="216">
        <v>2018</v>
      </c>
      <c r="D22" s="86" t="s">
        <v>359</v>
      </c>
      <c r="E22" s="216" t="s">
        <v>368</v>
      </c>
      <c r="F22" s="216" t="s">
        <v>369</v>
      </c>
      <c r="G22" s="55" t="s">
        <v>42</v>
      </c>
      <c r="H22" s="216" t="s">
        <v>157</v>
      </c>
      <c r="I22" s="55" t="s">
        <v>153</v>
      </c>
      <c r="J22" s="216" t="s">
        <v>38</v>
      </c>
      <c r="K22" s="216" t="s">
        <v>154</v>
      </c>
      <c r="L22" s="208">
        <v>3</v>
      </c>
      <c r="N22" s="208">
        <v>1</v>
      </c>
      <c r="O22" s="208">
        <v>0.55000000000000004</v>
      </c>
      <c r="P22" s="208">
        <v>0.55000000000000004</v>
      </c>
      <c r="Q22" s="245">
        <f t="shared" si="0"/>
        <v>0.55000000000000004</v>
      </c>
      <c r="R22" s="237">
        <v>16.3</v>
      </c>
      <c r="S22" s="208">
        <v>119</v>
      </c>
      <c r="T22" s="217">
        <f t="shared" si="1"/>
        <v>30</v>
      </c>
      <c r="U22" s="208">
        <v>107</v>
      </c>
      <c r="V22" s="217">
        <f t="shared" si="2"/>
        <v>3210</v>
      </c>
      <c r="W22" s="208">
        <v>2</v>
      </c>
      <c r="X22" s="55" t="s">
        <v>46</v>
      </c>
      <c r="Y22" s="55" t="s">
        <v>102</v>
      </c>
      <c r="Z22" s="216" t="s">
        <v>78</v>
      </c>
      <c r="AA22" s="55" t="s">
        <v>90</v>
      </c>
      <c r="AB22" s="39" t="s">
        <v>330</v>
      </c>
      <c r="AP22" s="239" t="s">
        <v>115</v>
      </c>
      <c r="AR22" s="238" t="s">
        <v>83</v>
      </c>
    </row>
    <row r="23" spans="1:48" x14ac:dyDescent="0.15">
      <c r="A23" s="55" t="s">
        <v>56</v>
      </c>
      <c r="B23" s="55" t="s">
        <v>358</v>
      </c>
      <c r="C23" s="216">
        <v>2018</v>
      </c>
      <c r="D23" s="86" t="s">
        <v>359</v>
      </c>
      <c r="E23" s="216" t="s">
        <v>306</v>
      </c>
      <c r="F23" s="216" t="s">
        <v>164</v>
      </c>
      <c r="G23" s="55" t="s">
        <v>42</v>
      </c>
      <c r="H23" s="216" t="s">
        <v>157</v>
      </c>
      <c r="I23" s="55" t="s">
        <v>153</v>
      </c>
      <c r="J23" s="216" t="s">
        <v>38</v>
      </c>
      <c r="K23" s="216" t="s">
        <v>154</v>
      </c>
      <c r="L23" s="208">
        <v>1</v>
      </c>
      <c r="N23" s="208">
        <v>4</v>
      </c>
      <c r="O23" s="208">
        <v>0.7</v>
      </c>
      <c r="P23" s="208">
        <v>0.65</v>
      </c>
      <c r="Q23" s="245">
        <f t="shared" si="0"/>
        <v>0.67500000000000004</v>
      </c>
      <c r="R23" s="208">
        <v>14.7</v>
      </c>
      <c r="S23" s="208">
        <v>113</v>
      </c>
      <c r="T23" s="217">
        <f t="shared" si="1"/>
        <v>30</v>
      </c>
      <c r="U23" s="208">
        <v>537</v>
      </c>
      <c r="V23" s="217">
        <f t="shared" si="2"/>
        <v>4027.5</v>
      </c>
      <c r="W23" s="208">
        <v>1</v>
      </c>
      <c r="X23" s="55" t="s">
        <v>46</v>
      </c>
      <c r="Y23" s="55" t="s">
        <v>102</v>
      </c>
      <c r="Z23" s="216" t="s">
        <v>78</v>
      </c>
      <c r="AA23" s="55" t="s">
        <v>50</v>
      </c>
      <c r="AB23" s="39" t="s">
        <v>330</v>
      </c>
      <c r="AP23" s="239" t="s">
        <v>372</v>
      </c>
      <c r="AR23" s="238" t="s">
        <v>61</v>
      </c>
    </row>
    <row r="24" spans="1:48" x14ac:dyDescent="0.15">
      <c r="A24" s="55" t="s">
        <v>56</v>
      </c>
      <c r="B24" s="55" t="s">
        <v>358</v>
      </c>
      <c r="C24" s="216">
        <v>2018</v>
      </c>
      <c r="D24" s="86" t="s">
        <v>359</v>
      </c>
      <c r="E24" s="216" t="s">
        <v>306</v>
      </c>
      <c r="F24" s="216" t="s">
        <v>164</v>
      </c>
      <c r="G24" s="55" t="s">
        <v>42</v>
      </c>
      <c r="H24" s="216" t="s">
        <v>157</v>
      </c>
      <c r="I24" s="55" t="s">
        <v>153</v>
      </c>
      <c r="J24" s="216" t="s">
        <v>38</v>
      </c>
      <c r="K24" s="216" t="s">
        <v>154</v>
      </c>
      <c r="L24" s="208">
        <v>2</v>
      </c>
      <c r="N24" s="208">
        <v>4</v>
      </c>
      <c r="O24" s="208">
        <v>0.6</v>
      </c>
      <c r="P24" s="208">
        <v>0.65</v>
      </c>
      <c r="Q24" s="245">
        <f t="shared" si="0"/>
        <v>0.625</v>
      </c>
      <c r="R24" s="208">
        <v>15.8</v>
      </c>
      <c r="S24" s="208">
        <v>122</v>
      </c>
      <c r="T24" s="217">
        <f t="shared" si="1"/>
        <v>27</v>
      </c>
      <c r="U24" s="208">
        <v>537</v>
      </c>
      <c r="V24" s="217">
        <f t="shared" si="2"/>
        <v>3624.75</v>
      </c>
      <c r="W24" s="208">
        <v>1</v>
      </c>
      <c r="X24" s="55" t="s">
        <v>46</v>
      </c>
      <c r="Y24" s="55" t="s">
        <v>102</v>
      </c>
      <c r="Z24" s="216" t="s">
        <v>78</v>
      </c>
      <c r="AA24" s="55" t="s">
        <v>50</v>
      </c>
      <c r="AB24" s="39" t="s">
        <v>330</v>
      </c>
      <c r="AP24" s="239" t="s">
        <v>373</v>
      </c>
      <c r="AR24" s="238" t="s">
        <v>91</v>
      </c>
    </row>
    <row r="25" spans="1:48" x14ac:dyDescent="0.15">
      <c r="A25" s="55" t="s">
        <v>56</v>
      </c>
      <c r="B25" s="55" t="s">
        <v>358</v>
      </c>
      <c r="C25" s="216">
        <v>2018</v>
      </c>
      <c r="D25" s="86" t="s">
        <v>359</v>
      </c>
      <c r="E25" s="216" t="s">
        <v>306</v>
      </c>
      <c r="F25" s="216" t="s">
        <v>164</v>
      </c>
      <c r="G25" s="55" t="s">
        <v>42</v>
      </c>
      <c r="H25" s="216" t="s">
        <v>157</v>
      </c>
      <c r="I25" s="55" t="s">
        <v>153</v>
      </c>
      <c r="J25" s="216" t="s">
        <v>38</v>
      </c>
      <c r="K25" s="216" t="s">
        <v>154</v>
      </c>
      <c r="L25" s="208">
        <v>3</v>
      </c>
      <c r="N25" s="208">
        <v>4</v>
      </c>
      <c r="O25" s="208">
        <v>0.6</v>
      </c>
      <c r="P25" s="208">
        <v>0.65</v>
      </c>
      <c r="Q25" s="245">
        <f t="shared" si="0"/>
        <v>0.625</v>
      </c>
      <c r="R25" s="208">
        <v>15.5</v>
      </c>
      <c r="S25" s="208">
        <v>113</v>
      </c>
      <c r="T25" s="217">
        <f t="shared" si="1"/>
        <v>30</v>
      </c>
      <c r="U25" s="208">
        <v>537</v>
      </c>
      <c r="V25" s="217">
        <f t="shared" si="2"/>
        <v>4027.5</v>
      </c>
      <c r="W25" s="208">
        <v>1</v>
      </c>
      <c r="X25" s="55" t="s">
        <v>46</v>
      </c>
      <c r="Y25" s="55" t="s">
        <v>102</v>
      </c>
      <c r="Z25" s="216" t="s">
        <v>78</v>
      </c>
      <c r="AA25" s="55" t="s">
        <v>50</v>
      </c>
      <c r="AB25" s="39" t="s">
        <v>330</v>
      </c>
      <c r="AP25" s="239" t="s">
        <v>116</v>
      </c>
      <c r="AR25" s="42" t="s">
        <v>92</v>
      </c>
    </row>
    <row r="26" spans="1:48" x14ac:dyDescent="0.15">
      <c r="A26" s="55" t="s">
        <v>56</v>
      </c>
      <c r="B26" s="55" t="s">
        <v>358</v>
      </c>
      <c r="C26" s="216">
        <v>2018</v>
      </c>
      <c r="D26" s="86" t="s">
        <v>359</v>
      </c>
      <c r="E26" s="216" t="s">
        <v>374</v>
      </c>
      <c r="F26" s="216" t="s">
        <v>164</v>
      </c>
      <c r="G26" s="55" t="s">
        <v>42</v>
      </c>
      <c r="H26" s="216" t="s">
        <v>155</v>
      </c>
      <c r="I26" s="55" t="s">
        <v>153</v>
      </c>
      <c r="J26" s="216" t="s">
        <v>38</v>
      </c>
      <c r="K26" s="216" t="s">
        <v>154</v>
      </c>
      <c r="L26" s="208">
        <v>1</v>
      </c>
      <c r="N26" s="208">
        <v>1</v>
      </c>
      <c r="O26" s="208">
        <v>0.55000000000000004</v>
      </c>
      <c r="P26" s="208">
        <v>0.6</v>
      </c>
      <c r="Q26" s="217">
        <f t="shared" si="0"/>
        <v>0.57499999999999996</v>
      </c>
      <c r="R26" s="208">
        <v>16.600000000000001</v>
      </c>
      <c r="S26" s="208">
        <v>131</v>
      </c>
      <c r="T26" s="217">
        <f t="shared" si="1"/>
        <v>25</v>
      </c>
      <c r="U26" s="208">
        <v>138</v>
      </c>
      <c r="V26" s="217">
        <f t="shared" si="2"/>
        <v>3450</v>
      </c>
      <c r="W26" s="208">
        <v>1</v>
      </c>
      <c r="X26" s="55" t="s">
        <v>39</v>
      </c>
      <c r="Y26" s="55" t="s">
        <v>78</v>
      </c>
      <c r="Z26" s="216" t="s">
        <v>102</v>
      </c>
      <c r="AA26" s="55" t="s">
        <v>50</v>
      </c>
      <c r="AB26" s="39" t="s">
        <v>330</v>
      </c>
      <c r="AP26" s="239" t="s">
        <v>117</v>
      </c>
      <c r="AR26" s="208" t="s">
        <v>280</v>
      </c>
    </row>
    <row r="27" spans="1:48" x14ac:dyDescent="0.15">
      <c r="A27" s="55" t="s">
        <v>56</v>
      </c>
      <c r="B27" s="55" t="s">
        <v>358</v>
      </c>
      <c r="C27" s="216">
        <v>2018</v>
      </c>
      <c r="D27" s="86" t="s">
        <v>359</v>
      </c>
      <c r="E27" s="216" t="s">
        <v>374</v>
      </c>
      <c r="F27" s="216" t="s">
        <v>164</v>
      </c>
      <c r="G27" s="55" t="s">
        <v>42</v>
      </c>
      <c r="H27" s="216" t="s">
        <v>155</v>
      </c>
      <c r="I27" s="55" t="s">
        <v>153</v>
      </c>
      <c r="J27" s="216" t="s">
        <v>38</v>
      </c>
      <c r="K27" s="216" t="s">
        <v>154</v>
      </c>
      <c r="L27" s="208">
        <v>2</v>
      </c>
      <c r="N27" s="208">
        <v>1</v>
      </c>
      <c r="O27" s="208">
        <v>0.55000000000000004</v>
      </c>
      <c r="P27" s="208">
        <v>0.6</v>
      </c>
      <c r="Q27" s="217">
        <f t="shared" si="0"/>
        <v>0.57499999999999996</v>
      </c>
      <c r="R27" s="208">
        <v>14.6</v>
      </c>
      <c r="S27" s="208">
        <v>128</v>
      </c>
      <c r="T27" s="217">
        <f t="shared" si="1"/>
        <v>27</v>
      </c>
      <c r="U27" s="208">
        <v>138</v>
      </c>
      <c r="V27" s="217">
        <f t="shared" si="2"/>
        <v>3726</v>
      </c>
      <c r="W27" s="208">
        <v>1</v>
      </c>
      <c r="X27" s="55" t="s">
        <v>39</v>
      </c>
      <c r="Y27" s="55" t="s">
        <v>78</v>
      </c>
      <c r="Z27" s="216" t="s">
        <v>102</v>
      </c>
      <c r="AA27" s="55" t="s">
        <v>50</v>
      </c>
      <c r="AB27" s="39" t="s">
        <v>330</v>
      </c>
      <c r="AP27" s="239" t="s">
        <v>118</v>
      </c>
    </row>
    <row r="28" spans="1:48" x14ac:dyDescent="0.15">
      <c r="A28" s="55" t="s">
        <v>56</v>
      </c>
      <c r="B28" s="55" t="s">
        <v>358</v>
      </c>
      <c r="C28" s="216">
        <v>2018</v>
      </c>
      <c r="D28" s="86" t="s">
        <v>359</v>
      </c>
      <c r="E28" s="216" t="s">
        <v>374</v>
      </c>
      <c r="F28" s="216" t="s">
        <v>164</v>
      </c>
      <c r="G28" s="55" t="s">
        <v>42</v>
      </c>
      <c r="H28" s="216" t="s">
        <v>155</v>
      </c>
      <c r="I28" s="55" t="s">
        <v>153</v>
      </c>
      <c r="J28" s="216" t="s">
        <v>38</v>
      </c>
      <c r="K28" s="216" t="s">
        <v>154</v>
      </c>
      <c r="L28" s="208">
        <v>3</v>
      </c>
      <c r="N28" s="208">
        <v>1</v>
      </c>
      <c r="O28" s="208">
        <v>0.6</v>
      </c>
      <c r="P28" s="208">
        <v>0.6</v>
      </c>
      <c r="Q28" s="217">
        <f t="shared" si="0"/>
        <v>0.6</v>
      </c>
      <c r="R28" s="208">
        <v>12.9</v>
      </c>
      <c r="S28" s="208">
        <v>136</v>
      </c>
      <c r="T28" s="217">
        <f t="shared" si="1"/>
        <v>25</v>
      </c>
      <c r="U28" s="208">
        <v>138</v>
      </c>
      <c r="V28" s="217">
        <f t="shared" si="2"/>
        <v>3450</v>
      </c>
      <c r="W28" s="208">
        <v>1</v>
      </c>
      <c r="X28" s="55" t="s">
        <v>39</v>
      </c>
      <c r="Y28" s="55" t="s">
        <v>78</v>
      </c>
      <c r="Z28" s="216" t="s">
        <v>102</v>
      </c>
      <c r="AA28" s="55" t="s">
        <v>50</v>
      </c>
      <c r="AB28" s="39" t="s">
        <v>330</v>
      </c>
    </row>
    <row r="29" spans="1:48" x14ac:dyDescent="0.15">
      <c r="A29" s="55" t="s">
        <v>56</v>
      </c>
      <c r="B29" s="55" t="s">
        <v>358</v>
      </c>
      <c r="C29" s="216">
        <v>2018</v>
      </c>
      <c r="D29" s="86" t="s">
        <v>359</v>
      </c>
      <c r="E29" s="216" t="s">
        <v>374</v>
      </c>
      <c r="F29" s="216" t="s">
        <v>164</v>
      </c>
      <c r="G29" s="55" t="s">
        <v>42</v>
      </c>
      <c r="H29" s="216" t="s">
        <v>157</v>
      </c>
      <c r="I29" s="55" t="s">
        <v>153</v>
      </c>
      <c r="J29" s="216" t="s">
        <v>38</v>
      </c>
      <c r="K29" s="216" t="s">
        <v>154</v>
      </c>
      <c r="L29" s="208">
        <v>1</v>
      </c>
      <c r="N29" s="208">
        <v>1</v>
      </c>
      <c r="O29" s="208">
        <v>0.75</v>
      </c>
      <c r="P29" s="208">
        <v>0.75</v>
      </c>
      <c r="Q29" s="217">
        <f t="shared" si="0"/>
        <v>0.75</v>
      </c>
      <c r="R29" s="208">
        <v>15.9</v>
      </c>
      <c r="S29" s="208">
        <v>135</v>
      </c>
      <c r="T29" s="217">
        <f t="shared" si="1"/>
        <v>25</v>
      </c>
      <c r="U29" s="208">
        <v>177</v>
      </c>
      <c r="V29" s="217">
        <f t="shared" si="2"/>
        <v>4425</v>
      </c>
      <c r="W29" s="208">
        <v>1</v>
      </c>
      <c r="X29" s="55" t="s">
        <v>39</v>
      </c>
      <c r="Y29" s="55" t="s">
        <v>78</v>
      </c>
      <c r="Z29" s="216" t="s">
        <v>102</v>
      </c>
      <c r="AA29" s="55" t="s">
        <v>50</v>
      </c>
      <c r="AB29" s="39" t="s">
        <v>330</v>
      </c>
    </row>
    <row r="30" spans="1:48" x14ac:dyDescent="0.15">
      <c r="A30" s="55" t="s">
        <v>56</v>
      </c>
      <c r="B30" s="55" t="s">
        <v>358</v>
      </c>
      <c r="C30" s="216">
        <v>2018</v>
      </c>
      <c r="D30" s="86" t="s">
        <v>359</v>
      </c>
      <c r="E30" s="216" t="s">
        <v>374</v>
      </c>
      <c r="F30" s="216" t="s">
        <v>164</v>
      </c>
      <c r="G30" s="55" t="s">
        <v>42</v>
      </c>
      <c r="H30" s="216" t="s">
        <v>157</v>
      </c>
      <c r="I30" s="55" t="s">
        <v>153</v>
      </c>
      <c r="J30" s="216" t="s">
        <v>38</v>
      </c>
      <c r="K30" s="216" t="s">
        <v>154</v>
      </c>
      <c r="L30" s="208">
        <v>2</v>
      </c>
      <c r="N30" s="208">
        <v>1</v>
      </c>
      <c r="O30" s="208">
        <v>0.55000000000000004</v>
      </c>
      <c r="P30" s="208">
        <v>0.55000000000000004</v>
      </c>
      <c r="Q30" s="217">
        <f t="shared" si="0"/>
        <v>0.55000000000000004</v>
      </c>
      <c r="R30" s="208">
        <v>13.9</v>
      </c>
      <c r="S30" s="208">
        <v>131</v>
      </c>
      <c r="T30" s="217">
        <f t="shared" si="1"/>
        <v>25</v>
      </c>
      <c r="U30" s="208">
        <v>177</v>
      </c>
      <c r="V30" s="217">
        <f t="shared" si="2"/>
        <v>4425</v>
      </c>
      <c r="W30" s="208">
        <v>1</v>
      </c>
      <c r="X30" s="55" t="s">
        <v>39</v>
      </c>
      <c r="Y30" s="55" t="s">
        <v>78</v>
      </c>
      <c r="Z30" s="216" t="s">
        <v>102</v>
      </c>
      <c r="AA30" s="55" t="s">
        <v>50</v>
      </c>
      <c r="AB30" s="39" t="s">
        <v>330</v>
      </c>
    </row>
    <row r="31" spans="1:48" x14ac:dyDescent="0.15">
      <c r="A31" s="55" t="s">
        <v>56</v>
      </c>
      <c r="B31" s="55" t="s">
        <v>358</v>
      </c>
      <c r="C31" s="216">
        <v>2018</v>
      </c>
      <c r="D31" s="86" t="s">
        <v>359</v>
      </c>
      <c r="E31" s="216" t="s">
        <v>374</v>
      </c>
      <c r="F31" s="216" t="s">
        <v>164</v>
      </c>
      <c r="G31" s="55" t="s">
        <v>42</v>
      </c>
      <c r="H31" s="216" t="s">
        <v>157</v>
      </c>
      <c r="I31" s="55" t="s">
        <v>153</v>
      </c>
      <c r="J31" s="216" t="s">
        <v>38</v>
      </c>
      <c r="K31" s="216" t="s">
        <v>154</v>
      </c>
      <c r="L31" s="208">
        <v>3</v>
      </c>
      <c r="N31" s="208">
        <v>1</v>
      </c>
      <c r="O31" s="208">
        <v>0.65</v>
      </c>
      <c r="P31" s="208">
        <v>0.65</v>
      </c>
      <c r="Q31" s="217">
        <f t="shared" si="0"/>
        <v>0.65</v>
      </c>
      <c r="R31" s="208">
        <v>15</v>
      </c>
      <c r="S31" s="208">
        <v>125</v>
      </c>
      <c r="T31" s="217">
        <f t="shared" si="1"/>
        <v>27</v>
      </c>
      <c r="U31" s="208">
        <v>177</v>
      </c>
      <c r="V31" s="217">
        <f t="shared" si="2"/>
        <v>4779</v>
      </c>
      <c r="W31" s="208">
        <v>1</v>
      </c>
      <c r="X31" s="55" t="s">
        <v>39</v>
      </c>
      <c r="Y31" s="55" t="s">
        <v>78</v>
      </c>
      <c r="Z31" s="216" t="s">
        <v>102</v>
      </c>
      <c r="AA31" s="55" t="s">
        <v>50</v>
      </c>
      <c r="AB31" s="39" t="s">
        <v>330</v>
      </c>
    </row>
    <row r="32" spans="1:48" x14ac:dyDescent="0.15">
      <c r="A32" s="55" t="s">
        <v>56</v>
      </c>
      <c r="B32" s="55" t="s">
        <v>358</v>
      </c>
      <c r="C32" s="216">
        <v>2018</v>
      </c>
      <c r="D32" s="86" t="s">
        <v>359</v>
      </c>
      <c r="E32" s="216" t="s">
        <v>165</v>
      </c>
      <c r="F32" s="216" t="s">
        <v>369</v>
      </c>
      <c r="G32" s="55" t="s">
        <v>42</v>
      </c>
      <c r="H32" s="216" t="s">
        <v>155</v>
      </c>
      <c r="I32" s="55" t="s">
        <v>156</v>
      </c>
      <c r="J32" s="216" t="s">
        <v>38</v>
      </c>
      <c r="K32" s="216" t="s">
        <v>154</v>
      </c>
      <c r="L32" s="208">
        <v>1</v>
      </c>
      <c r="N32" s="208">
        <v>4</v>
      </c>
      <c r="O32" s="208">
        <v>0.5</v>
      </c>
      <c r="P32" s="208">
        <v>0.5</v>
      </c>
      <c r="Q32" s="217">
        <f t="shared" si="0"/>
        <v>0.5</v>
      </c>
      <c r="R32" s="208">
        <v>14.1</v>
      </c>
      <c r="S32" s="208">
        <v>108</v>
      </c>
      <c r="T32" s="217">
        <f t="shared" si="1"/>
        <v>33</v>
      </c>
      <c r="U32" s="208">
        <v>539</v>
      </c>
      <c r="V32" s="217">
        <f t="shared" si="2"/>
        <v>4446.75</v>
      </c>
      <c r="W32" s="208">
        <v>5</v>
      </c>
      <c r="X32" s="55" t="s">
        <v>39</v>
      </c>
      <c r="Y32" s="55" t="s">
        <v>102</v>
      </c>
      <c r="Z32" s="208" t="s">
        <v>90</v>
      </c>
      <c r="AA32" s="55" t="s">
        <v>106</v>
      </c>
      <c r="AB32" s="39" t="s">
        <v>330</v>
      </c>
    </row>
    <row r="33" spans="1:28" x14ac:dyDescent="0.15">
      <c r="A33" s="55" t="s">
        <v>56</v>
      </c>
      <c r="B33" s="55" t="s">
        <v>358</v>
      </c>
      <c r="C33" s="216">
        <v>2018</v>
      </c>
      <c r="D33" s="86" t="s">
        <v>359</v>
      </c>
      <c r="E33" s="216" t="s">
        <v>165</v>
      </c>
      <c r="F33" s="216" t="s">
        <v>369</v>
      </c>
      <c r="G33" s="55" t="s">
        <v>42</v>
      </c>
      <c r="H33" s="216" t="s">
        <v>155</v>
      </c>
      <c r="I33" s="55" t="s">
        <v>156</v>
      </c>
      <c r="J33" s="216" t="s">
        <v>38</v>
      </c>
      <c r="K33" s="216" t="s">
        <v>154</v>
      </c>
      <c r="L33" s="208">
        <v>2</v>
      </c>
      <c r="N33" s="208">
        <v>4</v>
      </c>
      <c r="O33" s="208">
        <v>0.5</v>
      </c>
      <c r="P33" s="208">
        <v>0.5</v>
      </c>
      <c r="Q33" s="217">
        <f t="shared" si="0"/>
        <v>0.5</v>
      </c>
      <c r="R33" s="208">
        <v>12.8</v>
      </c>
      <c r="S33" s="208">
        <v>110</v>
      </c>
      <c r="T33" s="217">
        <f t="shared" si="1"/>
        <v>33</v>
      </c>
      <c r="U33" s="208">
        <v>539</v>
      </c>
      <c r="V33" s="217">
        <f t="shared" si="2"/>
        <v>4446.75</v>
      </c>
      <c r="W33" s="208">
        <v>5</v>
      </c>
      <c r="X33" s="55" t="s">
        <v>39</v>
      </c>
      <c r="Y33" s="55" t="s">
        <v>102</v>
      </c>
      <c r="Z33" s="208" t="s">
        <v>90</v>
      </c>
      <c r="AA33" s="55" t="s">
        <v>106</v>
      </c>
      <c r="AB33" s="39" t="s">
        <v>330</v>
      </c>
    </row>
    <row r="34" spans="1:28" x14ac:dyDescent="0.15">
      <c r="A34" s="55" t="s">
        <v>56</v>
      </c>
      <c r="B34" s="55" t="s">
        <v>358</v>
      </c>
      <c r="C34" s="216">
        <v>2018</v>
      </c>
      <c r="D34" s="86" t="s">
        <v>359</v>
      </c>
      <c r="E34" s="216" t="s">
        <v>165</v>
      </c>
      <c r="F34" s="216" t="s">
        <v>369</v>
      </c>
      <c r="G34" s="55" t="s">
        <v>42</v>
      </c>
      <c r="H34" s="216" t="s">
        <v>155</v>
      </c>
      <c r="I34" s="55" t="s">
        <v>156</v>
      </c>
      <c r="J34" s="216" t="s">
        <v>38</v>
      </c>
      <c r="K34" s="216" t="s">
        <v>154</v>
      </c>
      <c r="L34" s="208">
        <v>3</v>
      </c>
      <c r="N34" s="208">
        <v>4</v>
      </c>
      <c r="O34" s="208">
        <v>0.5</v>
      </c>
      <c r="P34" s="208">
        <v>0.5</v>
      </c>
      <c r="Q34" s="217">
        <f t="shared" si="0"/>
        <v>0.5</v>
      </c>
      <c r="R34" s="208">
        <v>13.5</v>
      </c>
      <c r="S34" s="208">
        <v>108</v>
      </c>
      <c r="T34" s="217">
        <f t="shared" si="1"/>
        <v>33</v>
      </c>
      <c r="U34" s="208">
        <v>539</v>
      </c>
      <c r="V34" s="217">
        <f t="shared" si="2"/>
        <v>4446.75</v>
      </c>
      <c r="W34" s="208">
        <v>5</v>
      </c>
      <c r="X34" s="55" t="s">
        <v>39</v>
      </c>
      <c r="Y34" s="55" t="s">
        <v>102</v>
      </c>
      <c r="Z34" s="208" t="s">
        <v>90</v>
      </c>
      <c r="AA34" s="55" t="s">
        <v>106</v>
      </c>
      <c r="AB34" s="39" t="s">
        <v>330</v>
      </c>
    </row>
    <row r="35" spans="1:28" x14ac:dyDescent="0.15">
      <c r="A35" s="55" t="s">
        <v>56</v>
      </c>
      <c r="B35" s="55" t="s">
        <v>358</v>
      </c>
      <c r="C35" s="216">
        <v>2018</v>
      </c>
      <c r="D35" s="86" t="s">
        <v>359</v>
      </c>
      <c r="E35" s="216" t="s">
        <v>306</v>
      </c>
      <c r="F35" s="216" t="s">
        <v>369</v>
      </c>
      <c r="G35" s="55" t="s">
        <v>42</v>
      </c>
      <c r="H35" s="216" t="s">
        <v>155</v>
      </c>
      <c r="I35" s="55" t="s">
        <v>153</v>
      </c>
      <c r="J35" s="216" t="s">
        <v>38</v>
      </c>
      <c r="K35" s="216" t="s">
        <v>154</v>
      </c>
      <c r="L35" s="208">
        <v>1</v>
      </c>
      <c r="N35" s="208">
        <v>1</v>
      </c>
      <c r="O35" s="208">
        <v>0.65</v>
      </c>
      <c r="P35" s="208">
        <v>0.6</v>
      </c>
      <c r="Q35" s="217">
        <f t="shared" si="0"/>
        <v>0.625</v>
      </c>
      <c r="R35" s="208">
        <v>16.3</v>
      </c>
      <c r="S35" s="208">
        <v>132</v>
      </c>
      <c r="T35" s="217">
        <f t="shared" si="1"/>
        <v>25</v>
      </c>
      <c r="U35" s="208">
        <v>105</v>
      </c>
      <c r="V35" s="217">
        <f t="shared" si="2"/>
        <v>2625</v>
      </c>
      <c r="W35" s="208">
        <v>2</v>
      </c>
      <c r="X35" s="55" t="s">
        <v>39</v>
      </c>
      <c r="Y35" s="55" t="s">
        <v>84</v>
      </c>
      <c r="Z35" s="208" t="s">
        <v>102</v>
      </c>
      <c r="AA35" s="55" t="s">
        <v>78</v>
      </c>
      <c r="AB35" s="39" t="s">
        <v>330</v>
      </c>
    </row>
    <row r="36" spans="1:28" x14ac:dyDescent="0.15">
      <c r="A36" s="55" t="s">
        <v>56</v>
      </c>
      <c r="B36" s="55" t="s">
        <v>358</v>
      </c>
      <c r="C36" s="216">
        <v>2018</v>
      </c>
      <c r="D36" s="86" t="s">
        <v>359</v>
      </c>
      <c r="E36" s="216" t="s">
        <v>306</v>
      </c>
      <c r="F36" s="216" t="s">
        <v>369</v>
      </c>
      <c r="G36" s="55" t="s">
        <v>42</v>
      </c>
      <c r="H36" s="216" t="s">
        <v>155</v>
      </c>
      <c r="I36" s="55" t="s">
        <v>153</v>
      </c>
      <c r="J36" s="216" t="s">
        <v>38</v>
      </c>
      <c r="K36" s="216" t="s">
        <v>154</v>
      </c>
      <c r="L36" s="208">
        <v>2</v>
      </c>
      <c r="N36" s="208">
        <v>1</v>
      </c>
      <c r="O36" s="208">
        <v>0.55000000000000004</v>
      </c>
      <c r="P36" s="208">
        <v>0.55000000000000004</v>
      </c>
      <c r="Q36" s="217">
        <f t="shared" si="0"/>
        <v>0.55000000000000004</v>
      </c>
      <c r="R36" s="208">
        <v>12.1</v>
      </c>
      <c r="S36" s="208">
        <v>127</v>
      </c>
      <c r="T36" s="217">
        <f t="shared" si="1"/>
        <v>27</v>
      </c>
      <c r="U36" s="208">
        <v>105</v>
      </c>
      <c r="V36" s="217">
        <f t="shared" si="2"/>
        <v>2835</v>
      </c>
      <c r="W36" s="208">
        <v>2</v>
      </c>
      <c r="X36" s="55" t="s">
        <v>39</v>
      </c>
      <c r="Y36" s="55" t="s">
        <v>84</v>
      </c>
      <c r="Z36" s="208" t="s">
        <v>102</v>
      </c>
      <c r="AA36" s="55" t="s">
        <v>78</v>
      </c>
      <c r="AB36" s="39" t="s">
        <v>330</v>
      </c>
    </row>
    <row r="37" spans="1:28" x14ac:dyDescent="0.15">
      <c r="A37" s="55" t="s">
        <v>56</v>
      </c>
      <c r="B37" s="55" t="s">
        <v>358</v>
      </c>
      <c r="C37" s="216">
        <v>2018</v>
      </c>
      <c r="D37" s="86" t="s">
        <v>359</v>
      </c>
      <c r="E37" s="216" t="s">
        <v>306</v>
      </c>
      <c r="F37" s="216" t="s">
        <v>369</v>
      </c>
      <c r="G37" s="55" t="s">
        <v>42</v>
      </c>
      <c r="H37" s="216" t="s">
        <v>155</v>
      </c>
      <c r="I37" s="55" t="s">
        <v>153</v>
      </c>
      <c r="J37" s="216" t="s">
        <v>38</v>
      </c>
      <c r="K37" s="216" t="s">
        <v>154</v>
      </c>
      <c r="L37" s="208">
        <v>3</v>
      </c>
      <c r="N37" s="208">
        <v>1</v>
      </c>
      <c r="O37" s="208">
        <v>0.6</v>
      </c>
      <c r="P37" s="208">
        <v>0.6</v>
      </c>
      <c r="Q37" s="217">
        <f t="shared" si="0"/>
        <v>0.6</v>
      </c>
      <c r="R37" s="208">
        <v>14.9</v>
      </c>
      <c r="S37" s="208">
        <v>127</v>
      </c>
      <c r="T37" s="217">
        <f t="shared" si="1"/>
        <v>27</v>
      </c>
      <c r="U37" s="208">
        <v>105</v>
      </c>
      <c r="V37" s="217">
        <f t="shared" si="2"/>
        <v>2835</v>
      </c>
      <c r="W37" s="208">
        <v>2</v>
      </c>
      <c r="X37" s="55" t="s">
        <v>39</v>
      </c>
      <c r="Y37" s="55" t="s">
        <v>84</v>
      </c>
      <c r="Z37" s="208" t="s">
        <v>102</v>
      </c>
      <c r="AA37" s="55" t="s">
        <v>78</v>
      </c>
      <c r="AB37" s="39" t="s">
        <v>330</v>
      </c>
    </row>
    <row r="38" spans="1:28" x14ac:dyDescent="0.15">
      <c r="A38" s="55" t="s">
        <v>56</v>
      </c>
      <c r="B38" s="55" t="s">
        <v>358</v>
      </c>
      <c r="C38" s="216">
        <v>2018</v>
      </c>
      <c r="D38" s="86" t="s">
        <v>359</v>
      </c>
      <c r="E38" s="216" t="s">
        <v>306</v>
      </c>
      <c r="F38" s="216" t="s">
        <v>369</v>
      </c>
      <c r="G38" s="55" t="s">
        <v>42</v>
      </c>
      <c r="H38" s="216" t="s">
        <v>157</v>
      </c>
      <c r="I38" s="55" t="s">
        <v>153</v>
      </c>
      <c r="J38" s="216" t="s">
        <v>38</v>
      </c>
      <c r="K38" s="216" t="s">
        <v>154</v>
      </c>
      <c r="L38" s="208">
        <v>1</v>
      </c>
      <c r="N38" s="208">
        <v>1</v>
      </c>
      <c r="O38" s="208">
        <v>0.55000000000000004</v>
      </c>
      <c r="P38" s="208">
        <v>0.6</v>
      </c>
      <c r="Q38" s="217">
        <f t="shared" si="0"/>
        <v>0.57499999999999996</v>
      </c>
      <c r="R38" s="208">
        <v>16.5</v>
      </c>
      <c r="S38" s="208">
        <v>137</v>
      </c>
      <c r="T38" s="217">
        <f t="shared" si="1"/>
        <v>25</v>
      </c>
      <c r="U38" s="208">
        <v>149</v>
      </c>
      <c r="V38" s="217">
        <f t="shared" si="2"/>
        <v>3725</v>
      </c>
      <c r="W38" s="208">
        <v>2</v>
      </c>
      <c r="X38" s="55" t="s">
        <v>39</v>
      </c>
      <c r="Y38" s="55" t="s">
        <v>84</v>
      </c>
      <c r="Z38" s="208" t="s">
        <v>102</v>
      </c>
      <c r="AA38" s="55" t="s">
        <v>78</v>
      </c>
      <c r="AB38" s="39" t="s">
        <v>330</v>
      </c>
    </row>
    <row r="39" spans="1:28" x14ac:dyDescent="0.15">
      <c r="A39" s="55" t="s">
        <v>56</v>
      </c>
      <c r="B39" s="55" t="s">
        <v>358</v>
      </c>
      <c r="C39" s="216">
        <v>2018</v>
      </c>
      <c r="D39" s="86" t="s">
        <v>359</v>
      </c>
      <c r="E39" s="216" t="s">
        <v>306</v>
      </c>
      <c r="F39" s="216" t="s">
        <v>369</v>
      </c>
      <c r="G39" s="55" t="s">
        <v>42</v>
      </c>
      <c r="H39" s="216" t="s">
        <v>157</v>
      </c>
      <c r="I39" s="55" t="s">
        <v>153</v>
      </c>
      <c r="J39" s="216" t="s">
        <v>38</v>
      </c>
      <c r="K39" s="216" t="s">
        <v>154</v>
      </c>
      <c r="L39" s="208">
        <v>2</v>
      </c>
      <c r="N39" s="208">
        <v>1</v>
      </c>
      <c r="O39" s="208">
        <v>0.6</v>
      </c>
      <c r="P39" s="208">
        <v>0.6</v>
      </c>
      <c r="Q39" s="217">
        <f t="shared" si="0"/>
        <v>0.6</v>
      </c>
      <c r="R39" s="208">
        <v>16.3</v>
      </c>
      <c r="S39" s="208">
        <v>144</v>
      </c>
      <c r="T39" s="217">
        <f t="shared" si="1"/>
        <v>22</v>
      </c>
      <c r="U39" s="208">
        <v>149</v>
      </c>
      <c r="V39" s="217">
        <f t="shared" si="2"/>
        <v>3278</v>
      </c>
      <c r="W39" s="208">
        <v>2</v>
      </c>
      <c r="X39" s="55" t="s">
        <v>39</v>
      </c>
      <c r="Y39" s="55" t="s">
        <v>84</v>
      </c>
      <c r="Z39" s="208" t="s">
        <v>102</v>
      </c>
      <c r="AA39" s="55" t="s">
        <v>78</v>
      </c>
      <c r="AB39" s="39" t="s">
        <v>330</v>
      </c>
    </row>
    <row r="40" spans="1:28" x14ac:dyDescent="0.15">
      <c r="A40" s="55" t="s">
        <v>56</v>
      </c>
      <c r="B40" s="55" t="s">
        <v>358</v>
      </c>
      <c r="C40" s="216">
        <v>2018</v>
      </c>
      <c r="D40" s="86" t="s">
        <v>359</v>
      </c>
      <c r="E40" s="216" t="s">
        <v>306</v>
      </c>
      <c r="F40" s="216" t="s">
        <v>369</v>
      </c>
      <c r="G40" s="55" t="s">
        <v>42</v>
      </c>
      <c r="H40" s="216" t="s">
        <v>157</v>
      </c>
      <c r="I40" s="55" t="s">
        <v>153</v>
      </c>
      <c r="J40" s="216" t="s">
        <v>38</v>
      </c>
      <c r="K40" s="216" t="s">
        <v>154</v>
      </c>
      <c r="L40" s="208">
        <v>3</v>
      </c>
      <c r="N40" s="208">
        <v>1</v>
      </c>
      <c r="O40" s="208">
        <v>0.6</v>
      </c>
      <c r="P40" s="208">
        <v>0.6</v>
      </c>
      <c r="Q40" s="217">
        <f t="shared" si="0"/>
        <v>0.6</v>
      </c>
      <c r="R40" s="208">
        <v>16.2</v>
      </c>
      <c r="S40" s="208">
        <v>141</v>
      </c>
      <c r="T40" s="217">
        <f t="shared" si="1"/>
        <v>22</v>
      </c>
      <c r="U40" s="208">
        <v>149</v>
      </c>
      <c r="V40" s="217">
        <f t="shared" si="2"/>
        <v>3278</v>
      </c>
      <c r="W40" s="208">
        <v>2</v>
      </c>
      <c r="X40" s="55" t="s">
        <v>39</v>
      </c>
      <c r="Y40" s="55" t="s">
        <v>84</v>
      </c>
      <c r="Z40" s="208" t="s">
        <v>102</v>
      </c>
      <c r="AA40" s="55" t="s">
        <v>78</v>
      </c>
      <c r="AB40" s="39" t="s">
        <v>330</v>
      </c>
    </row>
    <row r="41" spans="1:28" x14ac:dyDescent="0.15">
      <c r="A41" s="55" t="s">
        <v>56</v>
      </c>
      <c r="B41" s="55" t="s">
        <v>358</v>
      </c>
      <c r="C41" s="216">
        <v>2018</v>
      </c>
      <c r="D41" s="86" t="s">
        <v>359</v>
      </c>
      <c r="E41" s="216" t="s">
        <v>337</v>
      </c>
      <c r="F41" s="216" t="s">
        <v>369</v>
      </c>
      <c r="G41" s="55" t="s">
        <v>42</v>
      </c>
      <c r="H41" s="216" t="s">
        <v>155</v>
      </c>
      <c r="I41" s="55" t="s">
        <v>153</v>
      </c>
      <c r="J41" s="216" t="s">
        <v>38</v>
      </c>
      <c r="K41" s="216" t="s">
        <v>154</v>
      </c>
      <c r="L41" s="208">
        <v>1</v>
      </c>
      <c r="N41" s="208">
        <v>1</v>
      </c>
      <c r="O41" s="208">
        <v>0.7</v>
      </c>
      <c r="P41" s="208">
        <v>0.7</v>
      </c>
      <c r="Q41" s="217">
        <f t="shared" si="0"/>
        <v>0.7</v>
      </c>
      <c r="R41" s="208">
        <v>13.5</v>
      </c>
      <c r="S41" s="208">
        <v>147</v>
      </c>
      <c r="T41" s="217">
        <f t="shared" si="1"/>
        <v>22</v>
      </c>
      <c r="U41" s="208">
        <v>84</v>
      </c>
      <c r="V41" s="217">
        <f t="shared" si="2"/>
        <v>1848</v>
      </c>
      <c r="W41" s="208">
        <v>4</v>
      </c>
      <c r="X41" s="55" t="s">
        <v>46</v>
      </c>
      <c r="Y41" s="55" t="s">
        <v>102</v>
      </c>
      <c r="Z41" s="208" t="s">
        <v>84</v>
      </c>
      <c r="AA41" s="55" t="s">
        <v>90</v>
      </c>
      <c r="AB41" s="39" t="s">
        <v>330</v>
      </c>
    </row>
    <row r="42" spans="1:28" x14ac:dyDescent="0.15">
      <c r="A42" s="55" t="s">
        <v>56</v>
      </c>
      <c r="B42" s="55" t="s">
        <v>358</v>
      </c>
      <c r="C42" s="216">
        <v>2018</v>
      </c>
      <c r="D42" s="86" t="s">
        <v>359</v>
      </c>
      <c r="E42" s="216" t="s">
        <v>337</v>
      </c>
      <c r="F42" s="216" t="s">
        <v>369</v>
      </c>
      <c r="G42" s="55" t="s">
        <v>42</v>
      </c>
      <c r="H42" s="216" t="s">
        <v>155</v>
      </c>
      <c r="I42" s="55" t="s">
        <v>153</v>
      </c>
      <c r="J42" s="216" t="s">
        <v>38</v>
      </c>
      <c r="K42" s="216" t="s">
        <v>154</v>
      </c>
      <c r="L42" s="208">
        <v>2</v>
      </c>
      <c r="N42" s="208">
        <v>1</v>
      </c>
      <c r="O42" s="208">
        <v>0.75</v>
      </c>
      <c r="P42" s="208">
        <v>0.75</v>
      </c>
      <c r="Q42" s="217">
        <f t="shared" si="0"/>
        <v>0.75</v>
      </c>
      <c r="R42" s="208">
        <v>13.2</v>
      </c>
      <c r="S42" s="208">
        <v>139</v>
      </c>
      <c r="T42" s="217">
        <f t="shared" si="1"/>
        <v>22</v>
      </c>
      <c r="U42" s="208">
        <v>84</v>
      </c>
      <c r="V42" s="217">
        <f t="shared" si="2"/>
        <v>1848</v>
      </c>
      <c r="W42" s="208">
        <v>4</v>
      </c>
      <c r="X42" s="55" t="s">
        <v>46</v>
      </c>
      <c r="Y42" s="55" t="s">
        <v>102</v>
      </c>
      <c r="Z42" s="208" t="s">
        <v>84</v>
      </c>
      <c r="AA42" s="55" t="s">
        <v>90</v>
      </c>
      <c r="AB42" s="39" t="s">
        <v>330</v>
      </c>
    </row>
    <row r="43" spans="1:28" x14ac:dyDescent="0.15">
      <c r="A43" s="55" t="s">
        <v>56</v>
      </c>
      <c r="B43" s="55" t="s">
        <v>358</v>
      </c>
      <c r="C43" s="216">
        <v>2018</v>
      </c>
      <c r="D43" s="86" t="s">
        <v>359</v>
      </c>
      <c r="E43" s="216" t="s">
        <v>337</v>
      </c>
      <c r="F43" s="216" t="s">
        <v>369</v>
      </c>
      <c r="G43" s="55" t="s">
        <v>42</v>
      </c>
      <c r="H43" s="216" t="s">
        <v>155</v>
      </c>
      <c r="I43" s="55" t="s">
        <v>153</v>
      </c>
      <c r="J43" s="216" t="s">
        <v>38</v>
      </c>
      <c r="K43" s="216" t="s">
        <v>154</v>
      </c>
      <c r="L43" s="208">
        <v>3</v>
      </c>
      <c r="N43" s="208">
        <v>1</v>
      </c>
      <c r="O43" s="208">
        <v>0.9</v>
      </c>
      <c r="P43" s="208">
        <v>1</v>
      </c>
      <c r="Q43" s="217">
        <f t="shared" si="0"/>
        <v>0.95</v>
      </c>
      <c r="R43" s="208">
        <v>13.6</v>
      </c>
      <c r="S43" s="208">
        <v>147</v>
      </c>
      <c r="T43" s="217">
        <f t="shared" si="1"/>
        <v>22</v>
      </c>
      <c r="U43" s="208">
        <v>84</v>
      </c>
      <c r="V43" s="217">
        <f t="shared" si="2"/>
        <v>1848</v>
      </c>
      <c r="W43" s="208">
        <v>4</v>
      </c>
      <c r="X43" s="55" t="s">
        <v>46</v>
      </c>
      <c r="Y43" s="55" t="s">
        <v>102</v>
      </c>
      <c r="Z43" s="208" t="s">
        <v>84</v>
      </c>
      <c r="AA43" s="55" t="s">
        <v>90</v>
      </c>
      <c r="AB43" s="39" t="s">
        <v>330</v>
      </c>
    </row>
    <row r="44" spans="1:28" x14ac:dyDescent="0.15">
      <c r="A44" s="55" t="s">
        <v>56</v>
      </c>
      <c r="B44" s="55" t="s">
        <v>358</v>
      </c>
      <c r="C44" s="216">
        <v>2018</v>
      </c>
      <c r="D44" s="86" t="s">
        <v>359</v>
      </c>
      <c r="E44" s="216" t="s">
        <v>337</v>
      </c>
      <c r="F44" s="216" t="s">
        <v>369</v>
      </c>
      <c r="G44" s="55" t="s">
        <v>42</v>
      </c>
      <c r="H44" s="216" t="s">
        <v>157</v>
      </c>
      <c r="I44" s="55" t="s">
        <v>153</v>
      </c>
      <c r="J44" s="216" t="s">
        <v>38</v>
      </c>
      <c r="K44" s="216" t="s">
        <v>154</v>
      </c>
      <c r="L44" s="208">
        <v>1</v>
      </c>
      <c r="N44" s="208">
        <v>1</v>
      </c>
      <c r="O44" s="208">
        <v>0.65</v>
      </c>
      <c r="P44" s="208">
        <v>0.65</v>
      </c>
      <c r="Q44" s="217">
        <f t="shared" si="0"/>
        <v>0.65</v>
      </c>
      <c r="R44" s="208">
        <v>11.5</v>
      </c>
      <c r="S44" s="208">
        <v>142</v>
      </c>
      <c r="T44" s="217">
        <f t="shared" si="1"/>
        <v>22</v>
      </c>
      <c r="U44" s="208">
        <v>108</v>
      </c>
      <c r="V44" s="217">
        <f t="shared" si="2"/>
        <v>2376</v>
      </c>
      <c r="W44" s="208">
        <v>4</v>
      </c>
      <c r="X44" s="55" t="s">
        <v>46</v>
      </c>
      <c r="Y44" s="55" t="s">
        <v>102</v>
      </c>
      <c r="Z44" s="208" t="s">
        <v>84</v>
      </c>
      <c r="AA44" s="55" t="s">
        <v>90</v>
      </c>
      <c r="AB44" s="39" t="s">
        <v>330</v>
      </c>
    </row>
    <row r="45" spans="1:28" x14ac:dyDescent="0.15">
      <c r="A45" s="55" t="s">
        <v>56</v>
      </c>
      <c r="B45" s="55" t="s">
        <v>358</v>
      </c>
      <c r="C45" s="216">
        <v>2018</v>
      </c>
      <c r="D45" s="86" t="s">
        <v>359</v>
      </c>
      <c r="E45" s="216" t="s">
        <v>337</v>
      </c>
      <c r="F45" s="216" t="s">
        <v>369</v>
      </c>
      <c r="G45" s="55" t="s">
        <v>42</v>
      </c>
      <c r="H45" s="216" t="s">
        <v>157</v>
      </c>
      <c r="I45" s="55" t="s">
        <v>153</v>
      </c>
      <c r="J45" s="216" t="s">
        <v>38</v>
      </c>
      <c r="K45" s="216" t="s">
        <v>154</v>
      </c>
      <c r="L45" s="208">
        <v>2</v>
      </c>
      <c r="N45" s="208">
        <v>1</v>
      </c>
      <c r="O45" s="208">
        <v>0.6</v>
      </c>
      <c r="P45" s="208">
        <v>0.7</v>
      </c>
      <c r="Q45" s="217">
        <f t="shared" si="0"/>
        <v>0.64999999999999991</v>
      </c>
      <c r="R45" s="208">
        <v>13</v>
      </c>
      <c r="S45" s="208">
        <v>133</v>
      </c>
      <c r="T45" s="217">
        <f t="shared" si="1"/>
        <v>25</v>
      </c>
      <c r="U45" s="208">
        <v>108</v>
      </c>
      <c r="V45" s="217">
        <f t="shared" si="2"/>
        <v>2700</v>
      </c>
      <c r="W45" s="208">
        <v>4</v>
      </c>
      <c r="X45" s="55" t="s">
        <v>46</v>
      </c>
      <c r="Y45" s="55" t="s">
        <v>102</v>
      </c>
      <c r="Z45" s="208" t="s">
        <v>84</v>
      </c>
      <c r="AA45" s="55" t="s">
        <v>90</v>
      </c>
      <c r="AB45" s="39" t="s">
        <v>330</v>
      </c>
    </row>
    <row r="46" spans="1:28" x14ac:dyDescent="0.15">
      <c r="A46" s="55" t="s">
        <v>56</v>
      </c>
      <c r="B46" s="55" t="s">
        <v>358</v>
      </c>
      <c r="C46" s="216">
        <v>2018</v>
      </c>
      <c r="D46" s="86" t="s">
        <v>359</v>
      </c>
      <c r="E46" s="216" t="s">
        <v>337</v>
      </c>
      <c r="F46" s="216" t="s">
        <v>369</v>
      </c>
      <c r="G46" s="55" t="s">
        <v>42</v>
      </c>
      <c r="H46" s="216" t="s">
        <v>157</v>
      </c>
      <c r="I46" s="55" t="s">
        <v>153</v>
      </c>
      <c r="J46" s="216" t="s">
        <v>38</v>
      </c>
      <c r="K46" s="216" t="s">
        <v>154</v>
      </c>
      <c r="L46" s="208">
        <v>3</v>
      </c>
      <c r="N46" s="208">
        <v>1</v>
      </c>
      <c r="O46" s="208">
        <v>0.7</v>
      </c>
      <c r="P46" s="208">
        <v>0.7</v>
      </c>
      <c r="Q46" s="217">
        <f t="shared" si="0"/>
        <v>0.7</v>
      </c>
      <c r="R46" s="208">
        <v>15.1</v>
      </c>
      <c r="S46" s="208">
        <v>138</v>
      </c>
      <c r="T46" s="217">
        <f t="shared" si="1"/>
        <v>22</v>
      </c>
      <c r="U46" s="208">
        <v>108</v>
      </c>
      <c r="V46" s="217">
        <f t="shared" si="2"/>
        <v>2376</v>
      </c>
      <c r="W46" s="208">
        <v>4</v>
      </c>
      <c r="X46" s="55" t="s">
        <v>46</v>
      </c>
      <c r="Y46" s="55" t="s">
        <v>102</v>
      </c>
      <c r="Z46" s="208" t="s">
        <v>84</v>
      </c>
      <c r="AA46" s="55" t="s">
        <v>90</v>
      </c>
      <c r="AB46" s="39" t="s">
        <v>330</v>
      </c>
    </row>
    <row r="47" spans="1:28" x14ac:dyDescent="0.15">
      <c r="A47" s="55" t="s">
        <v>56</v>
      </c>
      <c r="B47" s="55" t="s">
        <v>358</v>
      </c>
      <c r="C47" s="216">
        <v>2018</v>
      </c>
      <c r="D47" s="86" t="s">
        <v>359</v>
      </c>
      <c r="E47" s="216" t="s">
        <v>375</v>
      </c>
      <c r="F47" s="216" t="s">
        <v>369</v>
      </c>
      <c r="G47" s="55" t="s">
        <v>42</v>
      </c>
      <c r="H47" s="216" t="s">
        <v>155</v>
      </c>
      <c r="I47" s="55" t="s">
        <v>153</v>
      </c>
      <c r="J47" s="216" t="s">
        <v>38</v>
      </c>
      <c r="K47" s="216" t="s">
        <v>154</v>
      </c>
      <c r="L47" s="208">
        <v>1</v>
      </c>
      <c r="N47" s="208">
        <v>5</v>
      </c>
      <c r="O47" s="208">
        <v>0.75</v>
      </c>
      <c r="P47" s="208">
        <v>0.85</v>
      </c>
      <c r="Q47" s="217">
        <f t="shared" si="0"/>
        <v>0.8</v>
      </c>
      <c r="R47" s="208">
        <v>13.8</v>
      </c>
      <c r="S47" s="208">
        <v>104</v>
      </c>
      <c r="T47" s="217">
        <f t="shared" si="1"/>
        <v>33</v>
      </c>
      <c r="U47" s="208">
        <v>430</v>
      </c>
      <c r="V47" s="217">
        <f t="shared" si="2"/>
        <v>2838</v>
      </c>
      <c r="W47" s="208">
        <v>6</v>
      </c>
      <c r="X47" s="55" t="s">
        <v>46</v>
      </c>
      <c r="Y47" s="55" t="s">
        <v>102</v>
      </c>
      <c r="Z47" s="208" t="s">
        <v>78</v>
      </c>
      <c r="AA47" s="55" t="s">
        <v>84</v>
      </c>
      <c r="AB47" s="39" t="s">
        <v>330</v>
      </c>
    </row>
    <row r="48" spans="1:28" x14ac:dyDescent="0.15">
      <c r="A48" s="55" t="s">
        <v>56</v>
      </c>
      <c r="B48" s="55" t="s">
        <v>358</v>
      </c>
      <c r="C48" s="216">
        <v>2018</v>
      </c>
      <c r="D48" s="86" t="s">
        <v>359</v>
      </c>
      <c r="E48" s="216" t="s">
        <v>375</v>
      </c>
      <c r="F48" s="216" t="s">
        <v>369</v>
      </c>
      <c r="G48" s="55" t="s">
        <v>42</v>
      </c>
      <c r="H48" s="216" t="s">
        <v>155</v>
      </c>
      <c r="I48" s="55" t="s">
        <v>153</v>
      </c>
      <c r="J48" s="216" t="s">
        <v>38</v>
      </c>
      <c r="K48" s="216" t="s">
        <v>154</v>
      </c>
      <c r="L48" s="208">
        <v>2</v>
      </c>
      <c r="N48" s="208">
        <v>5</v>
      </c>
      <c r="O48" s="208">
        <v>0.7</v>
      </c>
      <c r="P48" s="208">
        <v>0.7</v>
      </c>
      <c r="Q48" s="217">
        <f t="shared" si="0"/>
        <v>0.7</v>
      </c>
      <c r="R48" s="208">
        <v>11.8</v>
      </c>
      <c r="S48" s="208">
        <v>83</v>
      </c>
      <c r="T48" s="217">
        <f t="shared" si="1"/>
        <v>39</v>
      </c>
      <c r="U48" s="208">
        <v>430</v>
      </c>
      <c r="V48" s="217">
        <f t="shared" si="2"/>
        <v>3354</v>
      </c>
      <c r="W48" s="208">
        <v>6</v>
      </c>
      <c r="X48" s="55" t="s">
        <v>46</v>
      </c>
      <c r="Y48" s="55" t="s">
        <v>102</v>
      </c>
      <c r="Z48" s="208" t="s">
        <v>78</v>
      </c>
      <c r="AA48" s="55" t="s">
        <v>84</v>
      </c>
      <c r="AB48" s="39" t="s">
        <v>330</v>
      </c>
    </row>
    <row r="49" spans="1:28" x14ac:dyDescent="0.15">
      <c r="A49" s="55" t="s">
        <v>56</v>
      </c>
      <c r="B49" s="55" t="s">
        <v>358</v>
      </c>
      <c r="C49" s="216">
        <v>2018</v>
      </c>
      <c r="D49" s="86" t="s">
        <v>359</v>
      </c>
      <c r="E49" s="216" t="s">
        <v>375</v>
      </c>
      <c r="F49" s="216" t="s">
        <v>369</v>
      </c>
      <c r="G49" s="55" t="s">
        <v>42</v>
      </c>
      <c r="H49" s="216" t="s">
        <v>155</v>
      </c>
      <c r="I49" s="55" t="s">
        <v>153</v>
      </c>
      <c r="J49" s="216" t="s">
        <v>38</v>
      </c>
      <c r="K49" s="216" t="s">
        <v>154</v>
      </c>
      <c r="L49" s="208">
        <v>3</v>
      </c>
      <c r="N49" s="208">
        <v>5</v>
      </c>
      <c r="O49" s="208">
        <v>0.8</v>
      </c>
      <c r="P49" s="208">
        <v>0.95</v>
      </c>
      <c r="Q49" s="217">
        <f t="shared" si="0"/>
        <v>0.875</v>
      </c>
      <c r="R49" s="208">
        <v>11.9</v>
      </c>
      <c r="S49" s="208">
        <v>78</v>
      </c>
      <c r="T49" s="217">
        <f t="shared" si="1"/>
        <v>39</v>
      </c>
      <c r="U49" s="208">
        <v>430</v>
      </c>
      <c r="V49" s="217">
        <f t="shared" si="2"/>
        <v>3354</v>
      </c>
      <c r="W49" s="208">
        <v>6</v>
      </c>
      <c r="X49" s="55" t="s">
        <v>46</v>
      </c>
      <c r="Y49" s="55" t="s">
        <v>102</v>
      </c>
      <c r="Z49" s="208" t="s">
        <v>78</v>
      </c>
      <c r="AA49" s="55" t="s">
        <v>84</v>
      </c>
      <c r="AB49" s="39" t="s">
        <v>330</v>
      </c>
    </row>
    <row r="50" spans="1:28" x14ac:dyDescent="0.15">
      <c r="A50" s="55" t="s">
        <v>56</v>
      </c>
      <c r="B50" s="55" t="s">
        <v>358</v>
      </c>
      <c r="C50" s="216">
        <v>2018</v>
      </c>
      <c r="D50" s="86" t="s">
        <v>359</v>
      </c>
      <c r="E50" s="216" t="s">
        <v>375</v>
      </c>
      <c r="F50" s="216" t="s">
        <v>369</v>
      </c>
      <c r="G50" s="55" t="s">
        <v>42</v>
      </c>
      <c r="H50" s="216" t="s">
        <v>157</v>
      </c>
      <c r="I50" s="55" t="s">
        <v>153</v>
      </c>
      <c r="J50" s="216" t="s">
        <v>38</v>
      </c>
      <c r="K50" s="216" t="s">
        <v>154</v>
      </c>
      <c r="L50" s="208">
        <v>1</v>
      </c>
      <c r="N50" s="208">
        <v>5</v>
      </c>
      <c r="O50" s="208">
        <v>0.6</v>
      </c>
      <c r="P50" s="208">
        <v>0.6</v>
      </c>
      <c r="Q50" s="217">
        <f t="shared" si="0"/>
        <v>0.6</v>
      </c>
      <c r="R50" s="208">
        <v>15.3</v>
      </c>
      <c r="S50" s="208">
        <v>121</v>
      </c>
      <c r="T50" s="217">
        <f t="shared" si="1"/>
        <v>27</v>
      </c>
      <c r="U50" s="208">
        <v>646</v>
      </c>
      <c r="V50" s="217">
        <f t="shared" si="2"/>
        <v>3488.3999999999996</v>
      </c>
      <c r="W50" s="208">
        <v>4</v>
      </c>
      <c r="X50" s="55" t="s">
        <v>46</v>
      </c>
      <c r="Y50" s="55" t="s">
        <v>102</v>
      </c>
      <c r="Z50" s="208" t="s">
        <v>78</v>
      </c>
      <c r="AA50" s="55" t="s">
        <v>84</v>
      </c>
      <c r="AB50" s="39" t="s">
        <v>330</v>
      </c>
    </row>
    <row r="51" spans="1:28" x14ac:dyDescent="0.15">
      <c r="A51" s="55" t="s">
        <v>56</v>
      </c>
      <c r="B51" s="55" t="s">
        <v>358</v>
      </c>
      <c r="C51" s="216">
        <v>2018</v>
      </c>
      <c r="D51" s="86" t="s">
        <v>359</v>
      </c>
      <c r="E51" s="216" t="s">
        <v>375</v>
      </c>
      <c r="F51" s="216" t="s">
        <v>369</v>
      </c>
      <c r="G51" s="55" t="s">
        <v>42</v>
      </c>
      <c r="H51" s="216" t="s">
        <v>157</v>
      </c>
      <c r="I51" s="55" t="s">
        <v>153</v>
      </c>
      <c r="J51" s="216" t="s">
        <v>38</v>
      </c>
      <c r="K51" s="216" t="s">
        <v>154</v>
      </c>
      <c r="L51" s="208">
        <v>2</v>
      </c>
      <c r="N51" s="208">
        <v>5</v>
      </c>
      <c r="O51" s="208">
        <v>0.55000000000000004</v>
      </c>
      <c r="P51" s="208">
        <v>0.65</v>
      </c>
      <c r="Q51" s="217">
        <f t="shared" si="0"/>
        <v>0.60000000000000009</v>
      </c>
      <c r="R51" s="208">
        <v>14</v>
      </c>
      <c r="S51" s="208">
        <v>115</v>
      </c>
      <c r="T51" s="217">
        <f t="shared" si="1"/>
        <v>30</v>
      </c>
      <c r="U51" s="208">
        <v>646</v>
      </c>
      <c r="V51" s="217">
        <f t="shared" si="2"/>
        <v>3875.9999999999995</v>
      </c>
      <c r="W51" s="208">
        <v>4</v>
      </c>
      <c r="X51" s="55" t="s">
        <v>46</v>
      </c>
      <c r="Y51" s="55" t="s">
        <v>102</v>
      </c>
      <c r="Z51" s="208" t="s">
        <v>78</v>
      </c>
      <c r="AA51" s="55" t="s">
        <v>84</v>
      </c>
      <c r="AB51" s="39" t="s">
        <v>330</v>
      </c>
    </row>
    <row r="52" spans="1:28" x14ac:dyDescent="0.15">
      <c r="A52" s="55" t="s">
        <v>56</v>
      </c>
      <c r="B52" s="55" t="s">
        <v>358</v>
      </c>
      <c r="C52" s="216">
        <v>2018</v>
      </c>
      <c r="D52" s="86" t="s">
        <v>359</v>
      </c>
      <c r="E52" s="216" t="s">
        <v>375</v>
      </c>
      <c r="F52" s="216" t="s">
        <v>369</v>
      </c>
      <c r="G52" s="55" t="s">
        <v>42</v>
      </c>
      <c r="H52" s="216" t="s">
        <v>157</v>
      </c>
      <c r="I52" s="55" t="s">
        <v>153</v>
      </c>
      <c r="J52" s="216" t="s">
        <v>38</v>
      </c>
      <c r="K52" s="216" t="s">
        <v>154</v>
      </c>
      <c r="L52" s="208">
        <v>3</v>
      </c>
      <c r="N52" s="208">
        <v>5</v>
      </c>
      <c r="O52" s="208">
        <v>0.6</v>
      </c>
      <c r="P52" s="208">
        <v>0.65</v>
      </c>
      <c r="Q52" s="217">
        <f t="shared" si="0"/>
        <v>0.625</v>
      </c>
      <c r="R52" s="208">
        <v>12.2</v>
      </c>
      <c r="S52" s="208">
        <v>118</v>
      </c>
      <c r="T52" s="217">
        <f t="shared" si="1"/>
        <v>30</v>
      </c>
      <c r="U52" s="208">
        <v>646</v>
      </c>
      <c r="V52" s="217">
        <f t="shared" si="2"/>
        <v>3875.9999999999995</v>
      </c>
      <c r="W52" s="208">
        <v>4</v>
      </c>
      <c r="X52" s="55" t="s">
        <v>46</v>
      </c>
      <c r="Y52" s="55" t="s">
        <v>102</v>
      </c>
      <c r="Z52" s="208" t="s">
        <v>78</v>
      </c>
      <c r="AA52" s="55" t="s">
        <v>84</v>
      </c>
      <c r="AB52" s="39" t="s">
        <v>330</v>
      </c>
    </row>
    <row r="53" spans="1:28" x14ac:dyDescent="0.15">
      <c r="A53" s="55"/>
      <c r="B53" s="55"/>
      <c r="C53" s="216"/>
      <c r="D53" s="86"/>
      <c r="E53" s="216"/>
      <c r="F53" s="216"/>
      <c r="G53" s="55"/>
      <c r="H53" s="216"/>
      <c r="I53" s="55"/>
      <c r="J53" s="216"/>
      <c r="K53" s="216"/>
      <c r="X53" s="55"/>
      <c r="Y53" s="55"/>
      <c r="AA53" s="55"/>
    </row>
    <row r="54" spans="1:28" x14ac:dyDescent="0.15">
      <c r="A54" s="55"/>
      <c r="B54" s="55"/>
      <c r="C54" s="216"/>
      <c r="D54" s="86"/>
      <c r="E54" s="216"/>
      <c r="F54" s="216"/>
      <c r="G54" s="55"/>
      <c r="H54" s="216"/>
      <c r="I54" s="55"/>
      <c r="J54" s="216"/>
      <c r="K54" s="216"/>
      <c r="X54" s="55"/>
      <c r="Y54" s="55"/>
      <c r="AA54" s="55"/>
    </row>
    <row r="55" spans="1:28" x14ac:dyDescent="0.15">
      <c r="A55" s="55"/>
      <c r="B55" s="55"/>
      <c r="C55" s="216"/>
      <c r="D55" s="86"/>
      <c r="E55" s="216"/>
      <c r="F55" s="216"/>
      <c r="G55" s="55"/>
      <c r="H55" s="216"/>
      <c r="I55" s="55"/>
      <c r="J55" s="216"/>
      <c r="K55" s="216"/>
      <c r="X55" s="55"/>
      <c r="Y55" s="55"/>
      <c r="AA55" s="55"/>
    </row>
    <row r="56" spans="1:28" x14ac:dyDescent="0.15">
      <c r="A56" s="55"/>
      <c r="B56" s="55"/>
      <c r="C56" s="216"/>
      <c r="D56" s="86"/>
      <c r="E56" s="216"/>
      <c r="F56" s="216"/>
      <c r="G56" s="55"/>
      <c r="H56" s="216"/>
      <c r="I56" s="55"/>
      <c r="J56" s="216"/>
      <c r="K56" s="216"/>
      <c r="X56" s="55"/>
      <c r="Y56" s="55"/>
      <c r="AA56" s="55"/>
    </row>
    <row r="57" spans="1:28" x14ac:dyDescent="0.15">
      <c r="A57" s="55"/>
      <c r="B57" s="55"/>
      <c r="C57" s="216"/>
      <c r="D57" s="86"/>
      <c r="E57" s="216"/>
      <c r="F57" s="216"/>
      <c r="G57" s="55"/>
      <c r="H57" s="216"/>
      <c r="I57" s="55"/>
      <c r="J57" s="216"/>
      <c r="K57" s="216"/>
      <c r="X57" s="55"/>
      <c r="Y57" s="55"/>
      <c r="AA57" s="55"/>
    </row>
    <row r="58" spans="1:28" x14ac:dyDescent="0.15">
      <c r="A58" s="55"/>
      <c r="B58" s="55"/>
      <c r="C58" s="216"/>
      <c r="D58" s="86"/>
      <c r="E58" s="216"/>
      <c r="F58" s="216"/>
      <c r="G58" s="55"/>
      <c r="H58" s="216"/>
      <c r="I58" s="55"/>
      <c r="J58" s="216"/>
      <c r="K58" s="216"/>
      <c r="X58" s="55"/>
      <c r="Y58" s="55"/>
      <c r="AA58" s="55"/>
    </row>
    <row r="59" spans="1:28" x14ac:dyDescent="0.15">
      <c r="A59" s="55"/>
      <c r="B59" s="55"/>
      <c r="C59" s="216"/>
      <c r="D59" s="86"/>
      <c r="E59" s="216"/>
      <c r="F59" s="216"/>
      <c r="G59" s="55"/>
      <c r="H59" s="216"/>
      <c r="I59" s="55"/>
      <c r="J59" s="216"/>
      <c r="K59" s="216"/>
      <c r="X59" s="55"/>
      <c r="Y59" s="55"/>
      <c r="AA59" s="55"/>
    </row>
    <row r="60" spans="1:28" x14ac:dyDescent="0.15">
      <c r="A60" s="55"/>
      <c r="B60" s="55"/>
      <c r="C60" s="216"/>
      <c r="D60" s="86"/>
      <c r="E60" s="216"/>
      <c r="F60" s="216"/>
      <c r="G60" s="55"/>
      <c r="H60" s="216"/>
      <c r="I60" s="55"/>
      <c r="J60" s="216"/>
      <c r="K60" s="216"/>
      <c r="X60" s="55"/>
      <c r="Y60" s="55"/>
      <c r="AA60" s="55"/>
    </row>
    <row r="61" spans="1:28" x14ac:dyDescent="0.15">
      <c r="A61" s="55"/>
      <c r="B61" s="55"/>
      <c r="C61" s="216"/>
      <c r="D61" s="86"/>
      <c r="E61" s="216"/>
      <c r="F61" s="216"/>
      <c r="G61" s="55"/>
      <c r="H61" s="216"/>
      <c r="I61" s="55"/>
      <c r="J61" s="216"/>
      <c r="K61" s="216"/>
      <c r="X61" s="55"/>
      <c r="Y61" s="55"/>
      <c r="AA61" s="55"/>
    </row>
    <row r="62" spans="1:28" x14ac:dyDescent="0.15">
      <c r="A62" s="55"/>
      <c r="B62" s="55"/>
      <c r="C62" s="216"/>
      <c r="D62" s="86"/>
      <c r="E62" s="216"/>
      <c r="F62" s="216"/>
      <c r="G62" s="55"/>
      <c r="H62" s="216"/>
      <c r="I62" s="55"/>
      <c r="J62" s="216"/>
      <c r="K62" s="216"/>
      <c r="X62" s="55"/>
      <c r="Y62" s="55"/>
      <c r="AA62" s="55"/>
    </row>
    <row r="63" spans="1:28" x14ac:dyDescent="0.15">
      <c r="A63" s="55"/>
      <c r="B63" s="55"/>
      <c r="C63" s="216"/>
      <c r="D63" s="86"/>
      <c r="E63" s="216"/>
      <c r="F63" s="216"/>
      <c r="G63" s="55"/>
      <c r="H63" s="216"/>
      <c r="I63" s="55"/>
      <c r="J63" s="216"/>
      <c r="K63" s="216"/>
      <c r="X63" s="55"/>
      <c r="Y63" s="55"/>
      <c r="AA63" s="55"/>
    </row>
    <row r="64" spans="1:28"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08"/>
  <sheetViews>
    <sheetView zoomScale="85" zoomScaleNormal="85" workbookViewId="0">
      <selection activeCell="N21" sqref="N21"/>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166</v>
      </c>
      <c r="C1" s="90" t="s">
        <v>167</v>
      </c>
      <c r="D1" s="91" t="s">
        <v>3</v>
      </c>
      <c r="E1" s="92" t="s">
        <v>4</v>
      </c>
      <c r="F1" s="92" t="s">
        <v>5</v>
      </c>
      <c r="G1" s="92" t="s">
        <v>6</v>
      </c>
      <c r="H1" s="92" t="s">
        <v>7</v>
      </c>
      <c r="I1" s="92" t="s">
        <v>8</v>
      </c>
      <c r="J1" s="92" t="s">
        <v>9</v>
      </c>
      <c r="K1" s="92" t="s">
        <v>10</v>
      </c>
      <c r="L1" s="91" t="s">
        <v>168</v>
      </c>
      <c r="M1" s="91" t="s">
        <v>169</v>
      </c>
      <c r="N1" s="91" t="s">
        <v>13</v>
      </c>
      <c r="O1" s="91" t="s">
        <v>170</v>
      </c>
      <c r="P1" s="91" t="s">
        <v>171</v>
      </c>
      <c r="Q1" s="93" t="s">
        <v>172</v>
      </c>
      <c r="R1" s="91" t="s">
        <v>173</v>
      </c>
      <c r="S1" s="91" t="s">
        <v>174</v>
      </c>
      <c r="T1" s="93" t="s">
        <v>19</v>
      </c>
      <c r="U1" s="94" t="s">
        <v>108</v>
      </c>
      <c r="V1" s="95" t="s">
        <v>20</v>
      </c>
      <c r="W1" s="91" t="s">
        <v>175</v>
      </c>
      <c r="X1" s="92" t="s">
        <v>22</v>
      </c>
      <c r="Y1" s="92" t="s">
        <v>23</v>
      </c>
      <c r="Z1" s="92" t="s">
        <v>24</v>
      </c>
      <c r="AA1" s="96" t="s">
        <v>25</v>
      </c>
      <c r="AB1" s="97" t="s">
        <v>176</v>
      </c>
      <c r="AE1" s="99" t="s">
        <v>0</v>
      </c>
      <c r="AF1" s="100"/>
      <c r="AG1" s="99" t="s">
        <v>4</v>
      </c>
      <c r="AH1" s="99" t="s">
        <v>5</v>
      </c>
      <c r="AI1" s="100"/>
      <c r="AJ1" s="99" t="s">
        <v>6</v>
      </c>
      <c r="AK1" s="100"/>
      <c r="AL1" s="101" t="s">
        <v>7</v>
      </c>
      <c r="AM1" s="100"/>
      <c r="AN1" s="101" t="s">
        <v>8</v>
      </c>
      <c r="AO1" s="100"/>
      <c r="AP1" s="101" t="s">
        <v>27</v>
      </c>
      <c r="AQ1" s="100"/>
      <c r="AR1" s="101" t="s">
        <v>10</v>
      </c>
      <c r="AS1" s="100"/>
      <c r="AT1" s="102" t="s">
        <v>177</v>
      </c>
      <c r="AU1" s="100"/>
      <c r="AV1" s="101" t="s">
        <v>29</v>
      </c>
      <c r="AX1" s="103" t="s">
        <v>178</v>
      </c>
      <c r="AY1" s="104" t="s">
        <v>179</v>
      </c>
      <c r="AZ1" s="104" t="s">
        <v>180</v>
      </c>
      <c r="BA1" s="105" t="s">
        <v>181</v>
      </c>
    </row>
    <row r="2" spans="1:53" s="246" customFormat="1" x14ac:dyDescent="0.15">
      <c r="A2" s="246" t="s">
        <v>51</v>
      </c>
      <c r="B2" s="246" t="s">
        <v>328</v>
      </c>
      <c r="C2" s="246">
        <v>2018</v>
      </c>
      <c r="D2" s="106" t="s">
        <v>386</v>
      </c>
      <c r="E2" s="246" t="s">
        <v>182</v>
      </c>
      <c r="F2" s="246" t="s">
        <v>183</v>
      </c>
      <c r="G2" s="246" t="s">
        <v>42</v>
      </c>
      <c r="H2" s="246" t="s">
        <v>155</v>
      </c>
      <c r="I2" s="246" t="s">
        <v>153</v>
      </c>
      <c r="J2" s="246" t="s">
        <v>38</v>
      </c>
      <c r="K2" s="246" t="s">
        <v>154</v>
      </c>
      <c r="L2" s="246">
        <v>1</v>
      </c>
      <c r="N2" s="246">
        <v>1</v>
      </c>
      <c r="O2" s="246">
        <v>0.85</v>
      </c>
      <c r="P2" s="246">
        <v>0.95</v>
      </c>
      <c r="Q2" s="107">
        <f t="shared" ref="Q2:Q64" si="0">IF(OR(O2="",P2=""),"",AVERAGE(O2,P2))</f>
        <v>0.89999999999999991</v>
      </c>
      <c r="R2" s="246">
        <v>16.7</v>
      </c>
      <c r="S2" s="246">
        <v>136</v>
      </c>
      <c r="T2" s="108">
        <f t="shared" ref="T2:T64" si="1">IF(H2="","",IF(OR(H2="GREEN",H2="GK"),IF(S2&gt;=$AX$2,VLOOKUP(S2,$AX$2:$AY$12,2,1),""),IF(S2&gt;=$AZ$2,VLOOKUP(S2,$AZ$2:$BA$12,2,1),"")))</f>
        <v>25</v>
      </c>
      <c r="U2" s="246">
        <v>98</v>
      </c>
      <c r="V2" s="109">
        <f t="shared" ref="V2:V64" si="2">IF(OR(N2="",U2="",T2=""),"",U2/N2*T2)</f>
        <v>2450</v>
      </c>
      <c r="W2" s="246">
        <v>8</v>
      </c>
      <c r="X2" s="246" t="s">
        <v>39</v>
      </c>
      <c r="Y2" s="246" t="s">
        <v>69</v>
      </c>
      <c r="Z2" s="246" t="s">
        <v>84</v>
      </c>
      <c r="AA2" s="246" t="s">
        <v>102</v>
      </c>
      <c r="AB2" s="246" t="s">
        <v>330</v>
      </c>
      <c r="AE2" s="110" t="s">
        <v>35</v>
      </c>
      <c r="AG2" s="111" t="s">
        <v>159</v>
      </c>
      <c r="AH2" s="111" t="s">
        <v>184</v>
      </c>
      <c r="AJ2" s="111" t="s">
        <v>36</v>
      </c>
      <c r="AL2" s="111" t="s">
        <v>185</v>
      </c>
      <c r="AN2" s="111" t="s">
        <v>37</v>
      </c>
      <c r="AP2" s="111" t="s">
        <v>38</v>
      </c>
      <c r="AR2" s="111" t="s">
        <v>154</v>
      </c>
      <c r="AT2" s="111" t="s">
        <v>39</v>
      </c>
      <c r="AV2" s="111" t="s">
        <v>40</v>
      </c>
      <c r="AX2" s="112">
        <v>1</v>
      </c>
      <c r="AY2" s="113">
        <v>50</v>
      </c>
      <c r="AZ2" s="113">
        <v>1</v>
      </c>
      <c r="BA2" s="114">
        <v>50</v>
      </c>
    </row>
    <row r="3" spans="1:53" s="115" customFormat="1" x14ac:dyDescent="0.15">
      <c r="A3" s="246" t="s">
        <v>51</v>
      </c>
      <c r="B3" s="246" t="s">
        <v>328</v>
      </c>
      <c r="C3" s="246">
        <v>2018</v>
      </c>
      <c r="D3" s="106" t="s">
        <v>386</v>
      </c>
      <c r="E3" s="246" t="s">
        <v>182</v>
      </c>
      <c r="F3" s="246" t="s">
        <v>183</v>
      </c>
      <c r="G3" s="246" t="s">
        <v>42</v>
      </c>
      <c r="H3" s="246" t="s">
        <v>155</v>
      </c>
      <c r="I3" s="246" t="s">
        <v>153</v>
      </c>
      <c r="J3" s="246" t="s">
        <v>38</v>
      </c>
      <c r="K3" s="246" t="s">
        <v>154</v>
      </c>
      <c r="L3" s="246">
        <v>2</v>
      </c>
      <c r="M3" s="246"/>
      <c r="N3" s="246">
        <v>1</v>
      </c>
      <c r="O3" s="246">
        <v>1</v>
      </c>
      <c r="P3" s="246">
        <v>1</v>
      </c>
      <c r="Q3" s="107">
        <f t="shared" si="0"/>
        <v>1</v>
      </c>
      <c r="R3" s="246">
        <v>16.5</v>
      </c>
      <c r="S3" s="246">
        <v>136</v>
      </c>
      <c r="T3" s="108">
        <f t="shared" si="1"/>
        <v>25</v>
      </c>
      <c r="U3" s="246">
        <v>98</v>
      </c>
      <c r="V3" s="109">
        <f t="shared" si="2"/>
        <v>2450</v>
      </c>
      <c r="W3" s="246">
        <v>8</v>
      </c>
      <c r="X3" s="246" t="s">
        <v>39</v>
      </c>
      <c r="Y3" s="246" t="s">
        <v>69</v>
      </c>
      <c r="Z3" s="246" t="s">
        <v>84</v>
      </c>
      <c r="AA3" s="246" t="s">
        <v>102</v>
      </c>
      <c r="AB3" s="246" t="s">
        <v>330</v>
      </c>
      <c r="AE3" s="116" t="s">
        <v>41</v>
      </c>
      <c r="AG3" s="111" t="s">
        <v>186</v>
      </c>
      <c r="AH3" s="111" t="s">
        <v>187</v>
      </c>
      <c r="AJ3" s="117" t="s">
        <v>42</v>
      </c>
      <c r="AL3" s="117" t="s">
        <v>188</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328</v>
      </c>
      <c r="C4" s="246">
        <v>2018</v>
      </c>
      <c r="D4" s="106" t="s">
        <v>386</v>
      </c>
      <c r="E4" s="246" t="s">
        <v>182</v>
      </c>
      <c r="F4" s="246" t="s">
        <v>183</v>
      </c>
      <c r="G4" s="246" t="s">
        <v>42</v>
      </c>
      <c r="H4" s="246" t="s">
        <v>155</v>
      </c>
      <c r="I4" s="246" t="s">
        <v>153</v>
      </c>
      <c r="J4" s="246" t="s">
        <v>38</v>
      </c>
      <c r="K4" s="246" t="s">
        <v>154</v>
      </c>
      <c r="L4" s="246">
        <v>3</v>
      </c>
      <c r="M4" s="246"/>
      <c r="N4" s="246">
        <v>1</v>
      </c>
      <c r="O4" s="246">
        <v>0.9</v>
      </c>
      <c r="P4" s="246">
        <v>1</v>
      </c>
      <c r="Q4" s="107">
        <f t="shared" si="0"/>
        <v>0.95</v>
      </c>
      <c r="R4" s="246">
        <v>16.8</v>
      </c>
      <c r="S4" s="246">
        <v>132</v>
      </c>
      <c r="T4" s="108">
        <f t="shared" si="1"/>
        <v>25</v>
      </c>
      <c r="U4" s="246">
        <v>98</v>
      </c>
      <c r="V4" s="109">
        <f t="shared" si="2"/>
        <v>2450</v>
      </c>
      <c r="W4" s="246">
        <v>8</v>
      </c>
      <c r="X4" s="246" t="s">
        <v>39</v>
      </c>
      <c r="Y4" s="246" t="s">
        <v>69</v>
      </c>
      <c r="Z4" s="246" t="s">
        <v>84</v>
      </c>
      <c r="AA4" s="246" t="s">
        <v>102</v>
      </c>
      <c r="AB4" s="246" t="s">
        <v>330</v>
      </c>
      <c r="AE4" s="116" t="s">
        <v>34</v>
      </c>
      <c r="AG4" s="111" t="s">
        <v>189</v>
      </c>
      <c r="AH4" s="111" t="s">
        <v>190</v>
      </c>
      <c r="AJ4" s="122" t="s">
        <v>48</v>
      </c>
      <c r="AL4" s="122" t="s">
        <v>191</v>
      </c>
      <c r="AN4" s="123" t="s">
        <v>192</v>
      </c>
      <c r="AP4" s="117" t="s">
        <v>193</v>
      </c>
      <c r="AR4" s="118" t="s">
        <v>194</v>
      </c>
      <c r="AT4" s="123"/>
      <c r="AV4" s="117" t="s">
        <v>50</v>
      </c>
      <c r="AX4" s="119">
        <v>75</v>
      </c>
      <c r="AY4" s="120">
        <v>42</v>
      </c>
      <c r="AZ4" s="120">
        <v>76</v>
      </c>
      <c r="BA4" s="121">
        <v>39</v>
      </c>
    </row>
    <row r="5" spans="1:53" s="115" customFormat="1" x14ac:dyDescent="0.15">
      <c r="A5" s="246" t="s">
        <v>51</v>
      </c>
      <c r="B5" s="246" t="s">
        <v>328</v>
      </c>
      <c r="C5" s="246">
        <v>2018</v>
      </c>
      <c r="D5" s="106" t="s">
        <v>386</v>
      </c>
      <c r="E5" s="246" t="s">
        <v>182</v>
      </c>
      <c r="F5" s="246" t="s">
        <v>183</v>
      </c>
      <c r="G5" s="246" t="s">
        <v>42</v>
      </c>
      <c r="H5" s="246" t="s">
        <v>191</v>
      </c>
      <c r="I5" s="246" t="s">
        <v>153</v>
      </c>
      <c r="J5" s="246" t="s">
        <v>58</v>
      </c>
      <c r="K5" s="246" t="s">
        <v>59</v>
      </c>
      <c r="L5" s="246">
        <v>1</v>
      </c>
      <c r="M5" s="246"/>
      <c r="N5" s="246">
        <v>6</v>
      </c>
      <c r="O5" s="246">
        <v>0.55000000000000004</v>
      </c>
      <c r="P5" s="246">
        <v>0.5</v>
      </c>
      <c r="Q5" s="107">
        <f t="shared" si="0"/>
        <v>0.52500000000000002</v>
      </c>
      <c r="R5" s="246">
        <v>16.5</v>
      </c>
      <c r="S5" s="246">
        <v>63</v>
      </c>
      <c r="T5" s="108">
        <f t="shared" si="1"/>
        <v>50</v>
      </c>
      <c r="U5" s="246">
        <v>498</v>
      </c>
      <c r="V5" s="109">
        <f t="shared" si="2"/>
        <v>4150</v>
      </c>
      <c r="W5" s="246">
        <v>8</v>
      </c>
      <c r="X5" s="246" t="s">
        <v>39</v>
      </c>
      <c r="Y5" s="246" t="s">
        <v>69</v>
      </c>
      <c r="Z5" s="246" t="s">
        <v>84</v>
      </c>
      <c r="AA5" s="246" t="s">
        <v>102</v>
      </c>
      <c r="AB5" s="246" t="s">
        <v>330</v>
      </c>
      <c r="AE5" s="116" t="s">
        <v>51</v>
      </c>
      <c r="AG5" s="111" t="s">
        <v>195</v>
      </c>
      <c r="AH5" s="111" t="s">
        <v>183</v>
      </c>
      <c r="AJ5" s="123"/>
      <c r="AL5" s="124" t="s">
        <v>155</v>
      </c>
      <c r="AN5" s="124" t="s">
        <v>153</v>
      </c>
      <c r="AP5" s="117" t="s">
        <v>196</v>
      </c>
      <c r="AR5" s="118" t="s">
        <v>54</v>
      </c>
      <c r="AV5" s="117" t="s">
        <v>55</v>
      </c>
      <c r="AX5" s="119">
        <v>84</v>
      </c>
      <c r="AY5" s="120">
        <v>39</v>
      </c>
      <c r="AZ5" s="120">
        <v>84</v>
      </c>
      <c r="BA5" s="121">
        <v>36</v>
      </c>
    </row>
    <row r="6" spans="1:53" s="115" customFormat="1" x14ac:dyDescent="0.15">
      <c r="A6" s="246" t="s">
        <v>51</v>
      </c>
      <c r="B6" s="246" t="s">
        <v>328</v>
      </c>
      <c r="C6" s="246">
        <v>2018</v>
      </c>
      <c r="D6" s="106" t="s">
        <v>386</v>
      </c>
      <c r="E6" s="246" t="s">
        <v>182</v>
      </c>
      <c r="F6" s="246" t="s">
        <v>183</v>
      </c>
      <c r="G6" s="246" t="s">
        <v>42</v>
      </c>
      <c r="H6" s="246" t="s">
        <v>191</v>
      </c>
      <c r="I6" s="246" t="s">
        <v>153</v>
      </c>
      <c r="J6" s="246" t="s">
        <v>58</v>
      </c>
      <c r="K6" s="246" t="s">
        <v>59</v>
      </c>
      <c r="L6" s="246">
        <v>2</v>
      </c>
      <c r="M6" s="246"/>
      <c r="N6" s="246">
        <v>6</v>
      </c>
      <c r="O6" s="246">
        <v>0.5</v>
      </c>
      <c r="P6" s="246">
        <v>0.25</v>
      </c>
      <c r="Q6" s="107">
        <f t="shared" si="0"/>
        <v>0.375</v>
      </c>
      <c r="R6" s="246">
        <v>18.600000000000001</v>
      </c>
      <c r="S6" s="246">
        <v>59</v>
      </c>
      <c r="T6" s="108">
        <f t="shared" si="1"/>
        <v>50</v>
      </c>
      <c r="U6" s="246">
        <v>498</v>
      </c>
      <c r="V6" s="109">
        <f t="shared" si="2"/>
        <v>4150</v>
      </c>
      <c r="W6" s="246">
        <v>8</v>
      </c>
      <c r="X6" s="246" t="s">
        <v>39</v>
      </c>
      <c r="Y6" s="246" t="s">
        <v>69</v>
      </c>
      <c r="Z6" s="246" t="s">
        <v>84</v>
      </c>
      <c r="AA6" s="246" t="s">
        <v>102</v>
      </c>
      <c r="AB6" s="246" t="s">
        <v>330</v>
      </c>
      <c r="AE6" s="116" t="s">
        <v>56</v>
      </c>
      <c r="AG6" s="111" t="s">
        <v>197</v>
      </c>
      <c r="AH6" s="111" t="s">
        <v>198</v>
      </c>
      <c r="AL6" s="124" t="s">
        <v>199</v>
      </c>
      <c r="AN6" s="124" t="s">
        <v>156</v>
      </c>
      <c r="AP6" s="117" t="s">
        <v>53</v>
      </c>
      <c r="AR6" s="118" t="s">
        <v>59</v>
      </c>
      <c r="AV6" s="117" t="s">
        <v>60</v>
      </c>
      <c r="AX6" s="119">
        <v>97</v>
      </c>
      <c r="AY6" s="120">
        <v>36</v>
      </c>
      <c r="AZ6" s="120">
        <v>99</v>
      </c>
      <c r="BA6" s="121">
        <v>33</v>
      </c>
    </row>
    <row r="7" spans="1:53" s="115" customFormat="1" x14ac:dyDescent="0.15">
      <c r="A7" s="246" t="s">
        <v>51</v>
      </c>
      <c r="B7" s="246" t="s">
        <v>328</v>
      </c>
      <c r="C7" s="246">
        <v>2018</v>
      </c>
      <c r="D7" s="106" t="s">
        <v>386</v>
      </c>
      <c r="E7" s="246" t="s">
        <v>182</v>
      </c>
      <c r="F7" s="246" t="s">
        <v>183</v>
      </c>
      <c r="G7" s="246" t="s">
        <v>42</v>
      </c>
      <c r="H7" s="246" t="s">
        <v>191</v>
      </c>
      <c r="I7" s="246" t="s">
        <v>153</v>
      </c>
      <c r="J7" s="246" t="s">
        <v>58</v>
      </c>
      <c r="K7" s="246" t="s">
        <v>59</v>
      </c>
      <c r="L7" s="246">
        <v>3</v>
      </c>
      <c r="M7" s="246"/>
      <c r="N7" s="246">
        <v>6</v>
      </c>
      <c r="O7" s="246">
        <v>1</v>
      </c>
      <c r="P7" s="246">
        <v>1</v>
      </c>
      <c r="Q7" s="107">
        <f t="shared" si="0"/>
        <v>1</v>
      </c>
      <c r="R7" s="246">
        <v>16.2</v>
      </c>
      <c r="S7" s="246">
        <v>63</v>
      </c>
      <c r="T7" s="108">
        <f t="shared" si="1"/>
        <v>50</v>
      </c>
      <c r="U7" s="246">
        <v>498</v>
      </c>
      <c r="V7" s="109">
        <f t="shared" si="2"/>
        <v>4150</v>
      </c>
      <c r="W7" s="246">
        <v>8</v>
      </c>
      <c r="X7" s="246" t="s">
        <v>39</v>
      </c>
      <c r="Y7" s="246" t="s">
        <v>69</v>
      </c>
      <c r="Z7" s="246" t="s">
        <v>84</v>
      </c>
      <c r="AA7" s="246" t="s">
        <v>102</v>
      </c>
      <c r="AB7" s="246" t="s">
        <v>330</v>
      </c>
      <c r="AE7" s="116" t="s">
        <v>61</v>
      </c>
      <c r="AG7" s="111" t="s">
        <v>200</v>
      </c>
      <c r="AH7" s="111" t="s">
        <v>184</v>
      </c>
      <c r="AL7" s="115" t="s">
        <v>201</v>
      </c>
      <c r="AP7" s="117" t="s">
        <v>58</v>
      </c>
      <c r="AR7" s="118" t="s">
        <v>202</v>
      </c>
      <c r="AV7" s="117" t="s">
        <v>64</v>
      </c>
      <c r="AX7" s="119">
        <v>109</v>
      </c>
      <c r="AY7" s="120">
        <v>33</v>
      </c>
      <c r="AZ7" s="120">
        <v>113</v>
      </c>
      <c r="BA7" s="121">
        <v>30</v>
      </c>
    </row>
    <row r="8" spans="1:53" s="115" customFormat="1" x14ac:dyDescent="0.15">
      <c r="A8" s="246" t="s">
        <v>51</v>
      </c>
      <c r="B8" s="246" t="s">
        <v>328</v>
      </c>
      <c r="C8" s="246">
        <v>2018</v>
      </c>
      <c r="D8" s="106" t="s">
        <v>386</v>
      </c>
      <c r="E8" s="246" t="s">
        <v>182</v>
      </c>
      <c r="F8" s="246" t="s">
        <v>183</v>
      </c>
      <c r="G8" s="246" t="s">
        <v>42</v>
      </c>
      <c r="H8" s="246" t="s">
        <v>157</v>
      </c>
      <c r="I8" s="246" t="s">
        <v>153</v>
      </c>
      <c r="J8" s="246" t="s">
        <v>38</v>
      </c>
      <c r="K8" s="246" t="s">
        <v>154</v>
      </c>
      <c r="L8" s="246">
        <v>1</v>
      </c>
      <c r="M8" s="246"/>
      <c r="N8" s="246">
        <v>1</v>
      </c>
      <c r="O8" s="246">
        <v>0.7</v>
      </c>
      <c r="P8" s="246">
        <v>0.65</v>
      </c>
      <c r="Q8" s="107">
        <f t="shared" si="0"/>
        <v>0.67500000000000004</v>
      </c>
      <c r="R8" s="246">
        <v>14.1</v>
      </c>
      <c r="S8" s="246">
        <v>134</v>
      </c>
      <c r="T8" s="108">
        <f t="shared" si="1"/>
        <v>25</v>
      </c>
      <c r="U8" s="246">
        <v>128</v>
      </c>
      <c r="V8" s="109">
        <f t="shared" si="2"/>
        <v>3200</v>
      </c>
      <c r="W8" s="246">
        <v>8</v>
      </c>
      <c r="X8" s="246" t="s">
        <v>39</v>
      </c>
      <c r="Y8" s="246" t="s">
        <v>69</v>
      </c>
      <c r="Z8" s="246" t="s">
        <v>84</v>
      </c>
      <c r="AA8" s="246" t="s">
        <v>102</v>
      </c>
      <c r="AB8" s="246" t="s">
        <v>330</v>
      </c>
      <c r="AE8" s="116" t="s">
        <v>59</v>
      </c>
      <c r="AG8" s="111" t="s">
        <v>203</v>
      </c>
      <c r="AH8" s="111" t="s">
        <v>204</v>
      </c>
      <c r="AL8" s="115" t="s">
        <v>157</v>
      </c>
      <c r="AP8" s="117" t="s">
        <v>62</v>
      </c>
      <c r="AR8" s="118" t="s">
        <v>81</v>
      </c>
      <c r="AV8" s="117" t="s">
        <v>97</v>
      </c>
      <c r="AX8" s="119">
        <v>119</v>
      </c>
      <c r="AY8" s="120">
        <v>30</v>
      </c>
      <c r="AZ8" s="120">
        <v>121</v>
      </c>
      <c r="BA8" s="121">
        <v>27</v>
      </c>
    </row>
    <row r="9" spans="1:53" s="115" customFormat="1" x14ac:dyDescent="0.15">
      <c r="A9" s="246" t="s">
        <v>51</v>
      </c>
      <c r="B9" s="246" t="s">
        <v>328</v>
      </c>
      <c r="C9" s="246">
        <v>2018</v>
      </c>
      <c r="D9" s="106" t="s">
        <v>386</v>
      </c>
      <c r="E9" s="246" t="s">
        <v>182</v>
      </c>
      <c r="F9" s="246" t="s">
        <v>183</v>
      </c>
      <c r="G9" s="246" t="s">
        <v>42</v>
      </c>
      <c r="H9" s="246" t="s">
        <v>157</v>
      </c>
      <c r="I9" s="246" t="s">
        <v>153</v>
      </c>
      <c r="J9" s="246" t="s">
        <v>38</v>
      </c>
      <c r="K9" s="246" t="s">
        <v>154</v>
      </c>
      <c r="L9" s="246">
        <v>2</v>
      </c>
      <c r="M9" s="246"/>
      <c r="N9" s="246">
        <v>1</v>
      </c>
      <c r="O9" s="246">
        <v>0.7</v>
      </c>
      <c r="P9" s="246">
        <v>0.75</v>
      </c>
      <c r="Q9" s="107">
        <f t="shared" si="0"/>
        <v>0.72499999999999998</v>
      </c>
      <c r="R9" s="246">
        <v>14.6</v>
      </c>
      <c r="S9" s="246">
        <v>134</v>
      </c>
      <c r="T9" s="108">
        <f t="shared" si="1"/>
        <v>25</v>
      </c>
      <c r="U9" s="246">
        <v>128</v>
      </c>
      <c r="V9" s="109">
        <f t="shared" si="2"/>
        <v>3200</v>
      </c>
      <c r="W9" s="246">
        <v>8</v>
      </c>
      <c r="X9" s="246" t="s">
        <v>39</v>
      </c>
      <c r="Y9" s="246" t="s">
        <v>69</v>
      </c>
      <c r="Z9" s="246" t="s">
        <v>84</v>
      </c>
      <c r="AA9" s="246" t="s">
        <v>102</v>
      </c>
      <c r="AB9" s="246" t="s">
        <v>330</v>
      </c>
      <c r="AE9" s="116" t="s">
        <v>205</v>
      </c>
      <c r="AG9" s="111" t="s">
        <v>206</v>
      </c>
      <c r="AH9" s="111" t="s">
        <v>183</v>
      </c>
      <c r="AL9" s="124"/>
      <c r="AP9" s="117" t="s">
        <v>95</v>
      </c>
      <c r="AR9" s="118" t="s">
        <v>207</v>
      </c>
      <c r="AV9" s="117" t="s">
        <v>102</v>
      </c>
      <c r="AX9" s="119">
        <v>128</v>
      </c>
      <c r="AY9" s="120">
        <v>27</v>
      </c>
      <c r="AZ9" s="120">
        <v>129</v>
      </c>
      <c r="BA9" s="121">
        <v>25</v>
      </c>
    </row>
    <row r="10" spans="1:53" s="115" customFormat="1" x14ac:dyDescent="0.15">
      <c r="A10" s="246" t="s">
        <v>51</v>
      </c>
      <c r="B10" s="246" t="s">
        <v>328</v>
      </c>
      <c r="C10" s="246">
        <v>2018</v>
      </c>
      <c r="D10" s="106" t="s">
        <v>386</v>
      </c>
      <c r="E10" s="246" t="s">
        <v>182</v>
      </c>
      <c r="F10" s="246" t="s">
        <v>183</v>
      </c>
      <c r="G10" s="246" t="s">
        <v>42</v>
      </c>
      <c r="H10" s="246" t="s">
        <v>157</v>
      </c>
      <c r="I10" s="246" t="s">
        <v>153</v>
      </c>
      <c r="J10" s="246" t="s">
        <v>38</v>
      </c>
      <c r="K10" s="246" t="s">
        <v>154</v>
      </c>
      <c r="L10" s="246">
        <v>3</v>
      </c>
      <c r="M10" s="246"/>
      <c r="N10" s="246">
        <v>1</v>
      </c>
      <c r="O10" s="246">
        <v>0.65</v>
      </c>
      <c r="P10" s="246">
        <v>0.6</v>
      </c>
      <c r="Q10" s="107">
        <f t="shared" si="0"/>
        <v>0.625</v>
      </c>
      <c r="R10" s="246">
        <v>16.3</v>
      </c>
      <c r="S10" s="246">
        <v>136</v>
      </c>
      <c r="T10" s="108">
        <f t="shared" si="1"/>
        <v>25</v>
      </c>
      <c r="U10" s="246">
        <v>128</v>
      </c>
      <c r="V10" s="109">
        <f t="shared" si="2"/>
        <v>3200</v>
      </c>
      <c r="W10" s="246">
        <v>8</v>
      </c>
      <c r="X10" s="246" t="s">
        <v>39</v>
      </c>
      <c r="Y10" s="246" t="s">
        <v>69</v>
      </c>
      <c r="Z10" s="246" t="s">
        <v>84</v>
      </c>
      <c r="AA10" s="246" t="s">
        <v>102</v>
      </c>
      <c r="AB10" s="246" t="s">
        <v>330</v>
      </c>
      <c r="AE10" s="116" t="s">
        <v>208</v>
      </c>
      <c r="AG10" s="111" t="s">
        <v>182</v>
      </c>
      <c r="AH10" s="117" t="s">
        <v>183</v>
      </c>
      <c r="AP10" s="117" t="s">
        <v>100</v>
      </c>
      <c r="AR10" s="118" t="s">
        <v>209</v>
      </c>
      <c r="AV10" s="117" t="s">
        <v>106</v>
      </c>
      <c r="AX10" s="119">
        <v>138</v>
      </c>
      <c r="AY10" s="120">
        <v>25</v>
      </c>
      <c r="AZ10" s="120">
        <v>138</v>
      </c>
      <c r="BA10" s="121">
        <v>22</v>
      </c>
    </row>
    <row r="11" spans="1:53" s="115" customFormat="1" x14ac:dyDescent="0.15">
      <c r="A11" s="246" t="s">
        <v>51</v>
      </c>
      <c r="B11" s="246" t="s">
        <v>328</v>
      </c>
      <c r="C11" s="246">
        <v>2018</v>
      </c>
      <c r="D11" s="106" t="s">
        <v>386</v>
      </c>
      <c r="E11" s="246" t="s">
        <v>186</v>
      </c>
      <c r="F11" s="246" t="s">
        <v>187</v>
      </c>
      <c r="G11" s="246" t="s">
        <v>36</v>
      </c>
      <c r="H11" s="246" t="s">
        <v>155</v>
      </c>
      <c r="I11" s="246" t="s">
        <v>153</v>
      </c>
      <c r="J11" s="246" t="s">
        <v>38</v>
      </c>
      <c r="K11" s="246" t="s">
        <v>154</v>
      </c>
      <c r="L11" s="246">
        <v>1</v>
      </c>
      <c r="M11" s="246"/>
      <c r="N11" s="246">
        <v>3</v>
      </c>
      <c r="O11" s="246">
        <v>1</v>
      </c>
      <c r="P11" s="246">
        <v>0.95</v>
      </c>
      <c r="Q11" s="107">
        <f t="shared" si="0"/>
        <v>0.97499999999999998</v>
      </c>
      <c r="R11" s="246">
        <v>16.5</v>
      </c>
      <c r="S11" s="246">
        <v>162</v>
      </c>
      <c r="T11" s="108">
        <f t="shared" si="1"/>
        <v>18</v>
      </c>
      <c r="U11" s="246">
        <v>398</v>
      </c>
      <c r="V11" s="109">
        <f t="shared" si="2"/>
        <v>2388</v>
      </c>
      <c r="W11" s="246">
        <v>11</v>
      </c>
      <c r="X11" s="246" t="s">
        <v>46</v>
      </c>
      <c r="Y11" s="246" t="s">
        <v>90</v>
      </c>
      <c r="Z11" s="246" t="s">
        <v>102</v>
      </c>
      <c r="AA11" s="246" t="s">
        <v>78</v>
      </c>
      <c r="AB11" s="246" t="s">
        <v>330</v>
      </c>
      <c r="AE11" s="116" t="s">
        <v>68</v>
      </c>
      <c r="AG11" s="111" t="s">
        <v>139</v>
      </c>
      <c r="AH11" s="117" t="s">
        <v>387</v>
      </c>
      <c r="AP11" s="117" t="s">
        <v>104</v>
      </c>
      <c r="AR11" s="118" t="s">
        <v>210</v>
      </c>
      <c r="AV11" s="117" t="s">
        <v>69</v>
      </c>
      <c r="AX11" s="119">
        <v>151</v>
      </c>
      <c r="AY11" s="120">
        <v>22</v>
      </c>
      <c r="AZ11" s="120">
        <v>152</v>
      </c>
      <c r="BA11" s="121">
        <v>18</v>
      </c>
    </row>
    <row r="12" spans="1:53" s="115" customFormat="1" x14ac:dyDescent="0.15">
      <c r="A12" s="246" t="s">
        <v>51</v>
      </c>
      <c r="B12" s="246" t="s">
        <v>328</v>
      </c>
      <c r="C12" s="246">
        <v>2018</v>
      </c>
      <c r="D12" s="106" t="s">
        <v>386</v>
      </c>
      <c r="E12" s="246" t="s">
        <v>186</v>
      </c>
      <c r="F12" s="246" t="s">
        <v>187</v>
      </c>
      <c r="G12" s="246" t="s">
        <v>36</v>
      </c>
      <c r="H12" s="246" t="s">
        <v>155</v>
      </c>
      <c r="I12" s="246" t="s">
        <v>153</v>
      </c>
      <c r="J12" s="246" t="s">
        <v>38</v>
      </c>
      <c r="K12" s="246" t="s">
        <v>154</v>
      </c>
      <c r="L12" s="246">
        <v>2</v>
      </c>
      <c r="M12" s="246"/>
      <c r="N12" s="246">
        <v>3</v>
      </c>
      <c r="O12" s="246">
        <v>0.85</v>
      </c>
      <c r="P12" s="246">
        <v>0.8</v>
      </c>
      <c r="Q12" s="107">
        <f t="shared" si="0"/>
        <v>0.82499999999999996</v>
      </c>
      <c r="R12" s="246">
        <v>16.7</v>
      </c>
      <c r="S12" s="246">
        <v>160</v>
      </c>
      <c r="T12" s="108">
        <f t="shared" si="1"/>
        <v>18</v>
      </c>
      <c r="U12" s="246">
        <v>398</v>
      </c>
      <c r="V12" s="109">
        <f t="shared" si="2"/>
        <v>2388</v>
      </c>
      <c r="W12" s="246">
        <v>11</v>
      </c>
      <c r="X12" s="246" t="s">
        <v>46</v>
      </c>
      <c r="Y12" s="246" t="s">
        <v>90</v>
      </c>
      <c r="Z12" s="246" t="s">
        <v>102</v>
      </c>
      <c r="AA12" s="246" t="s">
        <v>78</v>
      </c>
      <c r="AB12" s="246" t="s">
        <v>330</v>
      </c>
      <c r="AE12" s="116" t="s">
        <v>211</v>
      </c>
      <c r="AG12" s="117"/>
      <c r="AH12" s="117"/>
      <c r="AP12" s="117" t="s">
        <v>67</v>
      </c>
      <c r="AR12" s="118" t="s">
        <v>212</v>
      </c>
      <c r="AV12" s="117" t="s">
        <v>72</v>
      </c>
      <c r="AX12" s="125">
        <v>180</v>
      </c>
      <c r="AY12" s="126">
        <v>18</v>
      </c>
      <c r="AZ12" s="126">
        <v>181</v>
      </c>
      <c r="BA12" s="127">
        <v>16</v>
      </c>
    </row>
    <row r="13" spans="1:53" s="115" customFormat="1" x14ac:dyDescent="0.15">
      <c r="A13" s="246" t="s">
        <v>51</v>
      </c>
      <c r="B13" s="246" t="s">
        <v>328</v>
      </c>
      <c r="C13" s="246">
        <v>2018</v>
      </c>
      <c r="D13" s="106" t="s">
        <v>386</v>
      </c>
      <c r="E13" s="246" t="s">
        <v>186</v>
      </c>
      <c r="F13" s="246" t="s">
        <v>187</v>
      </c>
      <c r="G13" s="246" t="s">
        <v>36</v>
      </c>
      <c r="H13" s="246" t="s">
        <v>155</v>
      </c>
      <c r="I13" s="246" t="s">
        <v>153</v>
      </c>
      <c r="J13" s="246" t="s">
        <v>38</v>
      </c>
      <c r="K13" s="246" t="s">
        <v>154</v>
      </c>
      <c r="L13" s="246">
        <v>3</v>
      </c>
      <c r="M13" s="246"/>
      <c r="N13" s="246">
        <v>3</v>
      </c>
      <c r="O13" s="246">
        <v>0.75</v>
      </c>
      <c r="P13" s="246">
        <v>0.95</v>
      </c>
      <c r="Q13" s="107">
        <f t="shared" si="0"/>
        <v>0.85</v>
      </c>
      <c r="R13" s="246">
        <v>16.2</v>
      </c>
      <c r="S13" s="246">
        <v>150</v>
      </c>
      <c r="T13" s="108">
        <f t="shared" si="1"/>
        <v>22</v>
      </c>
      <c r="U13" s="246">
        <v>398</v>
      </c>
      <c r="V13" s="109">
        <f t="shared" si="2"/>
        <v>2918.6666666666665</v>
      </c>
      <c r="W13" s="246">
        <v>11</v>
      </c>
      <c r="X13" s="246" t="s">
        <v>46</v>
      </c>
      <c r="Y13" s="246" t="s">
        <v>90</v>
      </c>
      <c r="Z13" s="246" t="s">
        <v>102</v>
      </c>
      <c r="AA13" s="246" t="s">
        <v>78</v>
      </c>
      <c r="AB13" s="246" t="s">
        <v>330</v>
      </c>
      <c r="AE13" s="116" t="s">
        <v>213</v>
      </c>
      <c r="AG13" s="117"/>
      <c r="AH13" s="117"/>
      <c r="AP13" s="117" t="s">
        <v>71</v>
      </c>
      <c r="AR13" s="118" t="s">
        <v>208</v>
      </c>
      <c r="AV13" s="117" t="s">
        <v>75</v>
      </c>
    </row>
    <row r="14" spans="1:53" s="115" customFormat="1" x14ac:dyDescent="0.15">
      <c r="A14" s="246" t="s">
        <v>51</v>
      </c>
      <c r="B14" s="246" t="s">
        <v>328</v>
      </c>
      <c r="C14" s="246">
        <v>2018</v>
      </c>
      <c r="D14" s="106" t="s">
        <v>386</v>
      </c>
      <c r="E14" s="246" t="s">
        <v>186</v>
      </c>
      <c r="F14" s="246" t="s">
        <v>187</v>
      </c>
      <c r="G14" s="246" t="s">
        <v>36</v>
      </c>
      <c r="H14" s="246" t="s">
        <v>157</v>
      </c>
      <c r="I14" s="246" t="s">
        <v>153</v>
      </c>
      <c r="J14" s="246" t="s">
        <v>38</v>
      </c>
      <c r="K14" s="246" t="s">
        <v>154</v>
      </c>
      <c r="L14" s="246">
        <v>1</v>
      </c>
      <c r="M14" s="246"/>
      <c r="N14" s="246">
        <v>3</v>
      </c>
      <c r="O14" s="246">
        <v>0.65</v>
      </c>
      <c r="P14" s="246">
        <v>0.6</v>
      </c>
      <c r="Q14" s="107">
        <f t="shared" si="0"/>
        <v>0.625</v>
      </c>
      <c r="R14" s="246">
        <v>16.8</v>
      </c>
      <c r="S14" s="246">
        <v>156</v>
      </c>
      <c r="T14" s="108">
        <f t="shared" si="1"/>
        <v>18</v>
      </c>
      <c r="U14" s="246">
        <v>398</v>
      </c>
      <c r="V14" s="109">
        <f t="shared" si="2"/>
        <v>2388</v>
      </c>
      <c r="W14" s="246">
        <v>11</v>
      </c>
      <c r="X14" s="246" t="s">
        <v>46</v>
      </c>
      <c r="Y14" s="246" t="s">
        <v>90</v>
      </c>
      <c r="Z14" s="246" t="s">
        <v>102</v>
      </c>
      <c r="AA14" s="246" t="s">
        <v>78</v>
      </c>
      <c r="AB14" s="246" t="s">
        <v>330</v>
      </c>
      <c r="AE14" s="116" t="s">
        <v>96</v>
      </c>
      <c r="AG14" s="117"/>
      <c r="AH14" s="117"/>
      <c r="AP14" s="117" t="s">
        <v>74</v>
      </c>
      <c r="AR14" s="118" t="s">
        <v>214</v>
      </c>
      <c r="AV14" s="117" t="s">
        <v>78</v>
      </c>
    </row>
    <row r="15" spans="1:53" s="115" customFormat="1" x14ac:dyDescent="0.15">
      <c r="A15" s="246" t="s">
        <v>51</v>
      </c>
      <c r="B15" s="246" t="s">
        <v>328</v>
      </c>
      <c r="C15" s="246">
        <v>2018</v>
      </c>
      <c r="D15" s="106" t="s">
        <v>386</v>
      </c>
      <c r="E15" s="246" t="s">
        <v>186</v>
      </c>
      <c r="F15" s="246" t="s">
        <v>187</v>
      </c>
      <c r="G15" s="246" t="s">
        <v>36</v>
      </c>
      <c r="H15" s="246" t="s">
        <v>157</v>
      </c>
      <c r="I15" s="246" t="s">
        <v>153</v>
      </c>
      <c r="J15" s="246" t="s">
        <v>38</v>
      </c>
      <c r="K15" s="246" t="s">
        <v>154</v>
      </c>
      <c r="L15" s="246">
        <v>2</v>
      </c>
      <c r="M15" s="246"/>
      <c r="N15" s="246">
        <v>3</v>
      </c>
      <c r="O15" s="246">
        <v>0.7</v>
      </c>
      <c r="P15" s="246">
        <v>0.7</v>
      </c>
      <c r="Q15" s="107">
        <f t="shared" si="0"/>
        <v>0.7</v>
      </c>
      <c r="R15" s="246">
        <v>17.2</v>
      </c>
      <c r="S15" s="246">
        <v>158</v>
      </c>
      <c r="T15" s="108">
        <f t="shared" si="1"/>
        <v>18</v>
      </c>
      <c r="U15" s="246">
        <v>398</v>
      </c>
      <c r="V15" s="109">
        <f t="shared" si="2"/>
        <v>2388</v>
      </c>
      <c r="W15" s="246">
        <v>11</v>
      </c>
      <c r="X15" s="246" t="s">
        <v>46</v>
      </c>
      <c r="Y15" s="246" t="s">
        <v>90</v>
      </c>
      <c r="Z15" s="246" t="s">
        <v>102</v>
      </c>
      <c r="AA15" s="246" t="s">
        <v>78</v>
      </c>
      <c r="AB15" s="246" t="s">
        <v>330</v>
      </c>
      <c r="AE15" s="116" t="s">
        <v>215</v>
      </c>
      <c r="AG15" s="117"/>
      <c r="AH15" s="117"/>
      <c r="AP15" s="117" t="s">
        <v>77</v>
      </c>
      <c r="AR15" s="118" t="s">
        <v>80</v>
      </c>
      <c r="AV15" s="117" t="s">
        <v>107</v>
      </c>
    </row>
    <row r="16" spans="1:53" s="115" customFormat="1" x14ac:dyDescent="0.15">
      <c r="A16" s="246" t="s">
        <v>51</v>
      </c>
      <c r="B16" s="246" t="s">
        <v>328</v>
      </c>
      <c r="C16" s="246">
        <v>2018</v>
      </c>
      <c r="D16" s="106" t="s">
        <v>386</v>
      </c>
      <c r="E16" s="246" t="s">
        <v>186</v>
      </c>
      <c r="F16" s="246" t="s">
        <v>187</v>
      </c>
      <c r="G16" s="246" t="s">
        <v>36</v>
      </c>
      <c r="H16" s="246" t="s">
        <v>157</v>
      </c>
      <c r="I16" s="246" t="s">
        <v>153</v>
      </c>
      <c r="J16" s="246" t="s">
        <v>38</v>
      </c>
      <c r="K16" s="246" t="s">
        <v>154</v>
      </c>
      <c r="L16" s="246">
        <v>3</v>
      </c>
      <c r="M16" s="246"/>
      <c r="N16" s="246">
        <v>3</v>
      </c>
      <c r="O16" s="246">
        <v>0.6</v>
      </c>
      <c r="P16" s="246">
        <v>0.75</v>
      </c>
      <c r="Q16" s="107">
        <f t="shared" si="0"/>
        <v>0.67500000000000004</v>
      </c>
      <c r="R16" s="246">
        <v>17.5</v>
      </c>
      <c r="S16" s="246">
        <v>158</v>
      </c>
      <c r="T16" s="108">
        <f t="shared" si="1"/>
        <v>18</v>
      </c>
      <c r="U16" s="246">
        <v>398</v>
      </c>
      <c r="V16" s="109">
        <f t="shared" si="2"/>
        <v>2388</v>
      </c>
      <c r="W16" s="246">
        <v>11</v>
      </c>
      <c r="X16" s="246" t="s">
        <v>46</v>
      </c>
      <c r="Y16" s="246" t="s">
        <v>90</v>
      </c>
      <c r="Z16" s="246" t="s">
        <v>102</v>
      </c>
      <c r="AA16" s="246" t="s">
        <v>78</v>
      </c>
      <c r="AB16" s="246" t="s">
        <v>330</v>
      </c>
      <c r="AE16" s="116" t="s">
        <v>216</v>
      </c>
      <c r="AG16" s="123"/>
      <c r="AH16" s="123"/>
      <c r="AP16" s="117" t="s">
        <v>80</v>
      </c>
      <c r="AR16" s="118" t="s">
        <v>63</v>
      </c>
      <c r="AV16" s="117" t="s">
        <v>84</v>
      </c>
    </row>
    <row r="17" spans="1:48" s="115" customFormat="1" x14ac:dyDescent="0.15">
      <c r="A17" s="246" t="s">
        <v>51</v>
      </c>
      <c r="B17" s="246" t="s">
        <v>328</v>
      </c>
      <c r="C17" s="246">
        <v>2018</v>
      </c>
      <c r="D17" s="106" t="s">
        <v>386</v>
      </c>
      <c r="E17" s="246" t="s">
        <v>139</v>
      </c>
      <c r="F17" s="246" t="s">
        <v>387</v>
      </c>
      <c r="G17" s="246" t="s">
        <v>42</v>
      </c>
      <c r="H17" s="246" t="s">
        <v>155</v>
      </c>
      <c r="I17" s="246" t="s">
        <v>153</v>
      </c>
      <c r="J17" s="246" t="s">
        <v>38</v>
      </c>
      <c r="K17" s="246" t="s">
        <v>154</v>
      </c>
      <c r="L17" s="246">
        <v>1</v>
      </c>
      <c r="M17" s="246"/>
      <c r="N17" s="246">
        <v>1</v>
      </c>
      <c r="O17" s="246">
        <v>0.7</v>
      </c>
      <c r="P17" s="246">
        <v>0.55000000000000004</v>
      </c>
      <c r="Q17" s="107">
        <f t="shared" si="0"/>
        <v>0.625</v>
      </c>
      <c r="R17" s="246">
        <v>16.5</v>
      </c>
      <c r="S17" s="246">
        <v>138</v>
      </c>
      <c r="T17" s="108">
        <f t="shared" si="1"/>
        <v>22</v>
      </c>
      <c r="U17" s="246">
        <v>98</v>
      </c>
      <c r="V17" s="109">
        <f t="shared" si="2"/>
        <v>2156</v>
      </c>
      <c r="W17" s="246">
        <v>11</v>
      </c>
      <c r="X17" s="246" t="s">
        <v>46</v>
      </c>
      <c r="Y17" s="246" t="s">
        <v>84</v>
      </c>
      <c r="Z17" s="246" t="s">
        <v>78</v>
      </c>
      <c r="AA17" s="246" t="s">
        <v>69</v>
      </c>
      <c r="AB17" s="246" t="s">
        <v>330</v>
      </c>
      <c r="AE17" s="116" t="s">
        <v>217</v>
      </c>
      <c r="AP17" s="128" t="s">
        <v>218</v>
      </c>
      <c r="AR17" s="118" t="s">
        <v>96</v>
      </c>
      <c r="AV17" s="117" t="s">
        <v>86</v>
      </c>
    </row>
    <row r="18" spans="1:48" s="115" customFormat="1" x14ac:dyDescent="0.15">
      <c r="A18" s="246" t="s">
        <v>51</v>
      </c>
      <c r="B18" s="246" t="s">
        <v>328</v>
      </c>
      <c r="C18" s="246">
        <v>2018</v>
      </c>
      <c r="D18" s="106" t="s">
        <v>386</v>
      </c>
      <c r="E18" s="246" t="s">
        <v>139</v>
      </c>
      <c r="F18" s="246" t="s">
        <v>387</v>
      </c>
      <c r="G18" s="246" t="s">
        <v>42</v>
      </c>
      <c r="H18" s="246" t="s">
        <v>155</v>
      </c>
      <c r="I18" s="246" t="s">
        <v>153</v>
      </c>
      <c r="J18" s="246" t="s">
        <v>38</v>
      </c>
      <c r="K18" s="246" t="s">
        <v>154</v>
      </c>
      <c r="L18" s="246">
        <v>2</v>
      </c>
      <c r="M18" s="246"/>
      <c r="N18" s="246">
        <v>1</v>
      </c>
      <c r="O18" s="246">
        <v>0.75</v>
      </c>
      <c r="P18" s="246">
        <v>0.65</v>
      </c>
      <c r="Q18" s="107">
        <f t="shared" si="0"/>
        <v>0.7</v>
      </c>
      <c r="R18" s="246">
        <v>17.100000000000001</v>
      </c>
      <c r="S18" s="246">
        <v>146</v>
      </c>
      <c r="T18" s="108">
        <f t="shared" si="1"/>
        <v>22</v>
      </c>
      <c r="U18" s="246">
        <v>98</v>
      </c>
      <c r="V18" s="109">
        <f t="shared" si="2"/>
        <v>2156</v>
      </c>
      <c r="W18" s="246">
        <v>11</v>
      </c>
      <c r="X18" s="246" t="s">
        <v>46</v>
      </c>
      <c r="Y18" s="246" t="s">
        <v>84</v>
      </c>
      <c r="Z18" s="246" t="s">
        <v>78</v>
      </c>
      <c r="AA18" s="246" t="s">
        <v>69</v>
      </c>
      <c r="AB18" s="246" t="s">
        <v>330</v>
      </c>
      <c r="AE18" s="116" t="s">
        <v>210</v>
      </c>
      <c r="AP18" s="128" t="s">
        <v>219</v>
      </c>
      <c r="AR18" s="118" t="s">
        <v>101</v>
      </c>
      <c r="AV18" s="117" t="s">
        <v>88</v>
      </c>
    </row>
    <row r="19" spans="1:48" s="115" customFormat="1" x14ac:dyDescent="0.15">
      <c r="A19" s="246" t="s">
        <v>51</v>
      </c>
      <c r="B19" s="246" t="s">
        <v>328</v>
      </c>
      <c r="C19" s="246">
        <v>2018</v>
      </c>
      <c r="D19" s="106" t="s">
        <v>386</v>
      </c>
      <c r="E19" s="246" t="s">
        <v>139</v>
      </c>
      <c r="F19" s="246" t="s">
        <v>387</v>
      </c>
      <c r="G19" s="246" t="s">
        <v>42</v>
      </c>
      <c r="H19" s="246" t="s">
        <v>155</v>
      </c>
      <c r="I19" s="246" t="s">
        <v>153</v>
      </c>
      <c r="J19" s="246" t="s">
        <v>38</v>
      </c>
      <c r="K19" s="246" t="s">
        <v>154</v>
      </c>
      <c r="L19" s="246">
        <v>3</v>
      </c>
      <c r="M19" s="246"/>
      <c r="N19" s="246">
        <v>1</v>
      </c>
      <c r="O19" s="246">
        <v>0.65</v>
      </c>
      <c r="P19" s="246">
        <v>0.7</v>
      </c>
      <c r="Q19" s="107">
        <f t="shared" si="0"/>
        <v>0.67500000000000004</v>
      </c>
      <c r="R19" s="246">
        <v>16.7</v>
      </c>
      <c r="S19" s="246">
        <v>140</v>
      </c>
      <c r="T19" s="108">
        <f t="shared" si="1"/>
        <v>22</v>
      </c>
      <c r="U19" s="246">
        <v>98</v>
      </c>
      <c r="V19" s="109">
        <f t="shared" si="2"/>
        <v>2156</v>
      </c>
      <c r="W19" s="246">
        <v>11</v>
      </c>
      <c r="X19" s="246" t="s">
        <v>46</v>
      </c>
      <c r="Y19" s="246" t="s">
        <v>84</v>
      </c>
      <c r="Z19" s="246" t="s">
        <v>78</v>
      </c>
      <c r="AA19" s="246" t="s">
        <v>69</v>
      </c>
      <c r="AB19" s="246" t="s">
        <v>330</v>
      </c>
      <c r="AE19" s="129" t="s">
        <v>207</v>
      </c>
      <c r="AP19" s="128" t="s">
        <v>220</v>
      </c>
      <c r="AR19" s="118" t="s">
        <v>221</v>
      </c>
      <c r="AV19" s="117" t="s">
        <v>90</v>
      </c>
    </row>
    <row r="20" spans="1:48" s="115" customFormat="1" x14ac:dyDescent="0.15">
      <c r="A20" s="246" t="s">
        <v>51</v>
      </c>
      <c r="B20" s="246" t="s">
        <v>328</v>
      </c>
      <c r="C20" s="246">
        <v>2018</v>
      </c>
      <c r="D20" s="106" t="s">
        <v>386</v>
      </c>
      <c r="E20" s="246" t="s">
        <v>139</v>
      </c>
      <c r="F20" s="246" t="s">
        <v>387</v>
      </c>
      <c r="G20" s="246" t="s">
        <v>42</v>
      </c>
      <c r="H20" s="246" t="s">
        <v>157</v>
      </c>
      <c r="I20" s="246" t="s">
        <v>153</v>
      </c>
      <c r="J20" s="246" t="s">
        <v>38</v>
      </c>
      <c r="K20" s="246" t="s">
        <v>154</v>
      </c>
      <c r="L20" s="246">
        <v>1</v>
      </c>
      <c r="M20" s="246"/>
      <c r="N20" s="246">
        <v>1</v>
      </c>
      <c r="O20" s="246">
        <v>0.65</v>
      </c>
      <c r="P20" s="246">
        <v>0.75</v>
      </c>
      <c r="Q20" s="107">
        <f t="shared" si="0"/>
        <v>0.7</v>
      </c>
      <c r="R20" s="246">
        <v>17.399999999999999</v>
      </c>
      <c r="S20" s="246">
        <v>148</v>
      </c>
      <c r="T20" s="108">
        <f t="shared" si="1"/>
        <v>22</v>
      </c>
      <c r="U20" s="246">
        <v>119</v>
      </c>
      <c r="V20" s="109">
        <f t="shared" si="2"/>
        <v>2618</v>
      </c>
      <c r="W20" s="246">
        <v>11</v>
      </c>
      <c r="X20" s="246" t="s">
        <v>46</v>
      </c>
      <c r="Y20" s="246" t="s">
        <v>84</v>
      </c>
      <c r="Z20" s="246" t="s">
        <v>78</v>
      </c>
      <c r="AA20" s="246" t="s">
        <v>69</v>
      </c>
      <c r="AB20" s="246" t="s">
        <v>330</v>
      </c>
      <c r="AP20" s="128" t="s">
        <v>222</v>
      </c>
      <c r="AR20" s="118" t="s">
        <v>61</v>
      </c>
    </row>
    <row r="21" spans="1:48" s="115" customFormat="1" x14ac:dyDescent="0.15">
      <c r="A21" s="246" t="s">
        <v>51</v>
      </c>
      <c r="B21" s="246" t="s">
        <v>328</v>
      </c>
      <c r="C21" s="246">
        <v>2018</v>
      </c>
      <c r="D21" s="106" t="s">
        <v>386</v>
      </c>
      <c r="E21" s="246" t="s">
        <v>139</v>
      </c>
      <c r="F21" s="246" t="s">
        <v>387</v>
      </c>
      <c r="G21" s="246" t="s">
        <v>42</v>
      </c>
      <c r="H21" s="246" t="s">
        <v>157</v>
      </c>
      <c r="I21" s="246" t="s">
        <v>153</v>
      </c>
      <c r="J21" s="246" t="s">
        <v>38</v>
      </c>
      <c r="K21" s="246" t="s">
        <v>154</v>
      </c>
      <c r="L21" s="246">
        <v>2</v>
      </c>
      <c r="M21" s="246"/>
      <c r="N21" s="246">
        <v>1</v>
      </c>
      <c r="O21" s="246">
        <v>0.7</v>
      </c>
      <c r="P21" s="246">
        <v>0.65</v>
      </c>
      <c r="Q21" s="107">
        <f t="shared" si="0"/>
        <v>0.67500000000000004</v>
      </c>
      <c r="R21" s="246">
        <v>17.2</v>
      </c>
      <c r="S21" s="246">
        <v>142</v>
      </c>
      <c r="T21" s="108">
        <f t="shared" si="1"/>
        <v>22</v>
      </c>
      <c r="U21" s="246">
        <v>119</v>
      </c>
      <c r="V21" s="109">
        <f t="shared" si="2"/>
        <v>2618</v>
      </c>
      <c r="W21" s="246">
        <v>11</v>
      </c>
      <c r="X21" s="246" t="s">
        <v>46</v>
      </c>
      <c r="Y21" s="246" t="s">
        <v>84</v>
      </c>
      <c r="Z21" s="246" t="s">
        <v>78</v>
      </c>
      <c r="AA21" s="246" t="s">
        <v>69</v>
      </c>
      <c r="AB21" s="246" t="s">
        <v>330</v>
      </c>
      <c r="AP21" s="128" t="s">
        <v>223</v>
      </c>
      <c r="AR21" s="118" t="s">
        <v>91</v>
      </c>
    </row>
    <row r="22" spans="1:48" s="115" customFormat="1" x14ac:dyDescent="0.15">
      <c r="A22" s="246" t="s">
        <v>51</v>
      </c>
      <c r="B22" s="246" t="s">
        <v>328</v>
      </c>
      <c r="C22" s="246">
        <v>2018</v>
      </c>
      <c r="D22" s="106" t="s">
        <v>386</v>
      </c>
      <c r="E22" s="246" t="s">
        <v>139</v>
      </c>
      <c r="F22" s="246" t="s">
        <v>387</v>
      </c>
      <c r="G22" s="246" t="s">
        <v>42</v>
      </c>
      <c r="H22" s="246" t="s">
        <v>157</v>
      </c>
      <c r="I22" s="246" t="s">
        <v>153</v>
      </c>
      <c r="J22" s="246" t="s">
        <v>38</v>
      </c>
      <c r="K22" s="246" t="s">
        <v>154</v>
      </c>
      <c r="L22" s="246">
        <v>3</v>
      </c>
      <c r="M22" s="246"/>
      <c r="N22" s="246">
        <v>1</v>
      </c>
      <c r="O22" s="246">
        <v>0.6</v>
      </c>
      <c r="P22" s="246">
        <v>0.6</v>
      </c>
      <c r="Q22" s="107">
        <f t="shared" si="0"/>
        <v>0.6</v>
      </c>
      <c r="R22" s="246">
        <v>16.8</v>
      </c>
      <c r="S22" s="246">
        <v>136</v>
      </c>
      <c r="T22" s="108">
        <f t="shared" si="1"/>
        <v>25</v>
      </c>
      <c r="U22" s="246">
        <v>119</v>
      </c>
      <c r="V22" s="109">
        <f t="shared" si="2"/>
        <v>2975</v>
      </c>
      <c r="W22" s="246">
        <v>11</v>
      </c>
      <c r="X22" s="246" t="s">
        <v>46</v>
      </c>
      <c r="Y22" s="246" t="s">
        <v>84</v>
      </c>
      <c r="Z22" s="246" t="s">
        <v>78</v>
      </c>
      <c r="AA22" s="246" t="s">
        <v>69</v>
      </c>
      <c r="AB22" s="246" t="s">
        <v>330</v>
      </c>
      <c r="AP22" s="128" t="s">
        <v>224</v>
      </c>
      <c r="AR22" s="128" t="s">
        <v>51</v>
      </c>
    </row>
    <row r="23" spans="1:48" s="115" customFormat="1" x14ac:dyDescent="0.15">
      <c r="A23" s="246" t="s">
        <v>51</v>
      </c>
      <c r="B23" s="246" t="s">
        <v>328</v>
      </c>
      <c r="C23" s="246">
        <v>2018</v>
      </c>
      <c r="D23" s="106" t="s">
        <v>386</v>
      </c>
      <c r="E23" s="246" t="s">
        <v>197</v>
      </c>
      <c r="F23" s="246" t="s">
        <v>198</v>
      </c>
      <c r="G23" s="246" t="s">
        <v>36</v>
      </c>
      <c r="H23" s="246" t="s">
        <v>155</v>
      </c>
      <c r="I23" s="246" t="s">
        <v>153</v>
      </c>
      <c r="J23" s="246" t="s">
        <v>38</v>
      </c>
      <c r="K23" s="246" t="s">
        <v>154</v>
      </c>
      <c r="L23" s="246">
        <v>1</v>
      </c>
      <c r="M23" s="246"/>
      <c r="N23" s="246">
        <v>1</v>
      </c>
      <c r="O23" s="246">
        <v>0.9</v>
      </c>
      <c r="P23" s="246">
        <v>0.7</v>
      </c>
      <c r="Q23" s="107">
        <f t="shared" si="0"/>
        <v>0.8</v>
      </c>
      <c r="R23" s="246">
        <v>17.2</v>
      </c>
      <c r="S23" s="246">
        <v>152</v>
      </c>
      <c r="T23" s="108">
        <f t="shared" si="1"/>
        <v>18</v>
      </c>
      <c r="U23" s="246">
        <v>128</v>
      </c>
      <c r="V23" s="109">
        <f t="shared" si="2"/>
        <v>2304</v>
      </c>
      <c r="W23" s="246">
        <v>8</v>
      </c>
      <c r="X23" s="246" t="s">
        <v>39</v>
      </c>
      <c r="Y23" s="246" t="s">
        <v>69</v>
      </c>
      <c r="Z23" s="246" t="s">
        <v>102</v>
      </c>
      <c r="AA23" s="246" t="s">
        <v>90</v>
      </c>
      <c r="AB23" s="246" t="s">
        <v>330</v>
      </c>
    </row>
    <row r="24" spans="1:48" s="115" customFormat="1" x14ac:dyDescent="0.15">
      <c r="A24" s="246" t="s">
        <v>51</v>
      </c>
      <c r="B24" s="246" t="s">
        <v>328</v>
      </c>
      <c r="C24" s="246">
        <v>2018</v>
      </c>
      <c r="D24" s="106" t="s">
        <v>386</v>
      </c>
      <c r="E24" s="246" t="s">
        <v>197</v>
      </c>
      <c r="F24" s="246" t="s">
        <v>198</v>
      </c>
      <c r="G24" s="246" t="s">
        <v>36</v>
      </c>
      <c r="H24" s="246" t="s">
        <v>155</v>
      </c>
      <c r="I24" s="246" t="s">
        <v>153</v>
      </c>
      <c r="J24" s="246" t="s">
        <v>38</v>
      </c>
      <c r="K24" s="246" t="s">
        <v>154</v>
      </c>
      <c r="L24" s="246">
        <v>2</v>
      </c>
      <c r="M24" s="246"/>
      <c r="N24" s="246">
        <v>1</v>
      </c>
      <c r="O24" s="246">
        <v>0.8</v>
      </c>
      <c r="P24" s="246">
        <v>0.85</v>
      </c>
      <c r="Q24" s="107">
        <f t="shared" si="0"/>
        <v>0.82499999999999996</v>
      </c>
      <c r="R24" s="246">
        <v>16.8</v>
      </c>
      <c r="S24" s="246">
        <v>150</v>
      </c>
      <c r="T24" s="108">
        <f t="shared" si="1"/>
        <v>22</v>
      </c>
      <c r="U24" s="246">
        <v>128</v>
      </c>
      <c r="V24" s="109">
        <f t="shared" si="2"/>
        <v>2816</v>
      </c>
      <c r="W24" s="246">
        <v>8</v>
      </c>
      <c r="X24" s="246" t="s">
        <v>39</v>
      </c>
      <c r="Y24" s="246" t="s">
        <v>69</v>
      </c>
      <c r="Z24" s="246" t="s">
        <v>102</v>
      </c>
      <c r="AA24" s="246" t="s">
        <v>90</v>
      </c>
      <c r="AB24" s="246" t="s">
        <v>330</v>
      </c>
    </row>
    <row r="25" spans="1:48" s="115" customFormat="1" x14ac:dyDescent="0.15">
      <c r="A25" s="246" t="s">
        <v>51</v>
      </c>
      <c r="B25" s="246" t="s">
        <v>328</v>
      </c>
      <c r="C25" s="246">
        <v>2018</v>
      </c>
      <c r="D25" s="106" t="s">
        <v>386</v>
      </c>
      <c r="E25" s="246" t="s">
        <v>197</v>
      </c>
      <c r="F25" s="246" t="s">
        <v>198</v>
      </c>
      <c r="G25" s="246" t="s">
        <v>36</v>
      </c>
      <c r="H25" s="246" t="s">
        <v>155</v>
      </c>
      <c r="I25" s="246" t="s">
        <v>153</v>
      </c>
      <c r="J25" s="246" t="s">
        <v>38</v>
      </c>
      <c r="K25" s="246" t="s">
        <v>154</v>
      </c>
      <c r="L25" s="246">
        <v>3</v>
      </c>
      <c r="M25" s="246"/>
      <c r="N25" s="246">
        <v>1</v>
      </c>
      <c r="O25" s="246">
        <v>0.95</v>
      </c>
      <c r="P25" s="246">
        <v>0.75</v>
      </c>
      <c r="Q25" s="107">
        <f t="shared" si="0"/>
        <v>0.85</v>
      </c>
      <c r="R25" s="246">
        <v>16.600000000000001</v>
      </c>
      <c r="S25" s="246">
        <v>142</v>
      </c>
      <c r="T25" s="108">
        <f t="shared" si="1"/>
        <v>22</v>
      </c>
      <c r="U25" s="246">
        <v>128</v>
      </c>
      <c r="V25" s="109">
        <f t="shared" si="2"/>
        <v>2816</v>
      </c>
      <c r="W25" s="246">
        <v>8</v>
      </c>
      <c r="X25" s="246" t="s">
        <v>39</v>
      </c>
      <c r="Y25" s="246" t="s">
        <v>69</v>
      </c>
      <c r="Z25" s="246" t="s">
        <v>102</v>
      </c>
      <c r="AA25" s="246" t="s">
        <v>90</v>
      </c>
      <c r="AB25" s="246" t="s">
        <v>330</v>
      </c>
    </row>
    <row r="26" spans="1:48" s="115" customFormat="1" x14ac:dyDescent="0.15">
      <c r="A26" s="246" t="s">
        <v>51</v>
      </c>
      <c r="B26" s="246" t="s">
        <v>328</v>
      </c>
      <c r="C26" s="246">
        <v>2018</v>
      </c>
      <c r="D26" s="106" t="s">
        <v>386</v>
      </c>
      <c r="E26" s="246" t="s">
        <v>197</v>
      </c>
      <c r="F26" s="246" t="s">
        <v>198</v>
      </c>
      <c r="G26" s="246" t="s">
        <v>36</v>
      </c>
      <c r="H26" s="246" t="s">
        <v>157</v>
      </c>
      <c r="I26" s="246" t="s">
        <v>153</v>
      </c>
      <c r="J26" s="246" t="s">
        <v>38</v>
      </c>
      <c r="K26" s="246" t="s">
        <v>154</v>
      </c>
      <c r="L26" s="246">
        <v>1</v>
      </c>
      <c r="M26" s="246"/>
      <c r="N26" s="246">
        <v>3</v>
      </c>
      <c r="O26" s="246">
        <v>0.55000000000000004</v>
      </c>
      <c r="P26" s="246">
        <v>0.6</v>
      </c>
      <c r="Q26" s="107">
        <f t="shared" si="0"/>
        <v>0.57499999999999996</v>
      </c>
      <c r="R26" s="246">
        <v>16.8</v>
      </c>
      <c r="S26" s="246">
        <v>144</v>
      </c>
      <c r="T26" s="108">
        <f t="shared" si="1"/>
        <v>22</v>
      </c>
      <c r="U26" s="246">
        <v>398</v>
      </c>
      <c r="V26" s="109">
        <f t="shared" si="2"/>
        <v>2918.6666666666665</v>
      </c>
      <c r="W26" s="246">
        <v>8</v>
      </c>
      <c r="X26" s="246" t="s">
        <v>39</v>
      </c>
      <c r="Y26" s="246" t="s">
        <v>69</v>
      </c>
      <c r="Z26" s="246" t="s">
        <v>102</v>
      </c>
      <c r="AA26" s="246" t="s">
        <v>90</v>
      </c>
      <c r="AB26" s="246" t="s">
        <v>330</v>
      </c>
    </row>
    <row r="27" spans="1:48" s="115" customFormat="1" x14ac:dyDescent="0.15">
      <c r="A27" s="246" t="s">
        <v>51</v>
      </c>
      <c r="B27" s="246" t="s">
        <v>328</v>
      </c>
      <c r="C27" s="246">
        <v>2018</v>
      </c>
      <c r="D27" s="106" t="s">
        <v>386</v>
      </c>
      <c r="E27" s="246" t="s">
        <v>197</v>
      </c>
      <c r="F27" s="246" t="s">
        <v>198</v>
      </c>
      <c r="G27" s="246" t="s">
        <v>36</v>
      </c>
      <c r="H27" s="246" t="s">
        <v>157</v>
      </c>
      <c r="I27" s="246" t="s">
        <v>153</v>
      </c>
      <c r="J27" s="246" t="s">
        <v>38</v>
      </c>
      <c r="K27" s="246" t="s">
        <v>154</v>
      </c>
      <c r="L27" s="246">
        <v>2</v>
      </c>
      <c r="M27" s="246"/>
      <c r="N27" s="246">
        <v>3</v>
      </c>
      <c r="O27" s="246">
        <v>0.5</v>
      </c>
      <c r="P27" s="246">
        <v>0.25</v>
      </c>
      <c r="Q27" s="107">
        <f t="shared" si="0"/>
        <v>0.375</v>
      </c>
      <c r="R27" s="246">
        <v>16.5</v>
      </c>
      <c r="S27" s="246">
        <v>142</v>
      </c>
      <c r="T27" s="108">
        <f t="shared" si="1"/>
        <v>22</v>
      </c>
      <c r="U27" s="246">
        <v>398</v>
      </c>
      <c r="V27" s="109">
        <f t="shared" si="2"/>
        <v>2918.6666666666665</v>
      </c>
      <c r="W27" s="246">
        <v>8</v>
      </c>
      <c r="X27" s="246" t="s">
        <v>39</v>
      </c>
      <c r="Y27" s="246" t="s">
        <v>69</v>
      </c>
      <c r="Z27" s="246" t="s">
        <v>102</v>
      </c>
      <c r="AA27" s="246" t="s">
        <v>90</v>
      </c>
      <c r="AB27" s="246" t="s">
        <v>330</v>
      </c>
    </row>
    <row r="28" spans="1:48" s="115" customFormat="1" x14ac:dyDescent="0.15">
      <c r="A28" s="246" t="s">
        <v>51</v>
      </c>
      <c r="B28" s="246" t="s">
        <v>328</v>
      </c>
      <c r="C28" s="246">
        <v>2018</v>
      </c>
      <c r="D28" s="106" t="s">
        <v>386</v>
      </c>
      <c r="E28" s="246" t="s">
        <v>197</v>
      </c>
      <c r="F28" s="246" t="s">
        <v>198</v>
      </c>
      <c r="G28" s="246" t="s">
        <v>36</v>
      </c>
      <c r="H28" s="246" t="s">
        <v>157</v>
      </c>
      <c r="I28" s="246" t="s">
        <v>153</v>
      </c>
      <c r="J28" s="246" t="s">
        <v>38</v>
      </c>
      <c r="K28" s="246" t="s">
        <v>154</v>
      </c>
      <c r="L28" s="246">
        <v>3</v>
      </c>
      <c r="M28" s="246"/>
      <c r="N28" s="246">
        <v>3</v>
      </c>
      <c r="O28" s="246">
        <v>0.75</v>
      </c>
      <c r="P28" s="246">
        <v>0.8</v>
      </c>
      <c r="Q28" s="107">
        <f t="shared" si="0"/>
        <v>0.77500000000000002</v>
      </c>
      <c r="R28" s="246">
        <v>17.399999999999999</v>
      </c>
      <c r="S28" s="246">
        <v>150</v>
      </c>
      <c r="T28" s="108">
        <f t="shared" si="1"/>
        <v>22</v>
      </c>
      <c r="U28" s="246">
        <v>398</v>
      </c>
      <c r="V28" s="109">
        <f t="shared" si="2"/>
        <v>2918.6666666666665</v>
      </c>
      <c r="W28" s="246">
        <v>8</v>
      </c>
      <c r="X28" s="246" t="s">
        <v>39</v>
      </c>
      <c r="Y28" s="246" t="s">
        <v>69</v>
      </c>
      <c r="Z28" s="246" t="s">
        <v>102</v>
      </c>
      <c r="AA28" s="246" t="s">
        <v>90</v>
      </c>
      <c r="AB28" s="246" t="s">
        <v>330</v>
      </c>
    </row>
    <row r="29" spans="1:48" s="115" customFormat="1" x14ac:dyDescent="0.15">
      <c r="A29" s="246" t="s">
        <v>51</v>
      </c>
      <c r="B29" s="246" t="s">
        <v>328</v>
      </c>
      <c r="C29" s="246">
        <v>2018</v>
      </c>
      <c r="D29" s="106" t="s">
        <v>386</v>
      </c>
      <c r="E29" s="246" t="s">
        <v>159</v>
      </c>
      <c r="F29" s="246" t="s">
        <v>184</v>
      </c>
      <c r="G29" s="246" t="s">
        <v>42</v>
      </c>
      <c r="H29" s="246" t="s">
        <v>155</v>
      </c>
      <c r="I29" s="246" t="s">
        <v>153</v>
      </c>
      <c r="J29" s="246" t="s">
        <v>38</v>
      </c>
      <c r="K29" s="246" t="s">
        <v>154</v>
      </c>
      <c r="L29" s="246">
        <v>1</v>
      </c>
      <c r="M29" s="246"/>
      <c r="N29" s="246">
        <v>1</v>
      </c>
      <c r="O29" s="246">
        <v>0.25</v>
      </c>
      <c r="P29" s="246">
        <v>0.25</v>
      </c>
      <c r="Q29" s="107">
        <f t="shared" si="0"/>
        <v>0.25</v>
      </c>
      <c r="R29" s="246">
        <v>13.4</v>
      </c>
      <c r="S29" s="246">
        <v>140</v>
      </c>
      <c r="T29" s="108">
        <f t="shared" si="1"/>
        <v>22</v>
      </c>
      <c r="U29" s="246">
        <v>127</v>
      </c>
      <c r="V29" s="109">
        <f t="shared" si="2"/>
        <v>2794</v>
      </c>
      <c r="W29" s="246">
        <v>17</v>
      </c>
      <c r="X29" s="246" t="s">
        <v>46</v>
      </c>
      <c r="Y29" s="246" t="s">
        <v>84</v>
      </c>
      <c r="Z29" s="246" t="s">
        <v>90</v>
      </c>
      <c r="AA29" s="246" t="s">
        <v>69</v>
      </c>
      <c r="AB29" s="246" t="s">
        <v>330</v>
      </c>
    </row>
    <row r="30" spans="1:48" s="115" customFormat="1" x14ac:dyDescent="0.15">
      <c r="A30" s="246" t="s">
        <v>51</v>
      </c>
      <c r="B30" s="246" t="s">
        <v>328</v>
      </c>
      <c r="C30" s="246">
        <v>2018</v>
      </c>
      <c r="D30" s="106" t="s">
        <v>386</v>
      </c>
      <c r="E30" s="246" t="s">
        <v>159</v>
      </c>
      <c r="F30" s="246" t="s">
        <v>184</v>
      </c>
      <c r="G30" s="246" t="s">
        <v>42</v>
      </c>
      <c r="H30" s="246" t="s">
        <v>155</v>
      </c>
      <c r="I30" s="246" t="s">
        <v>153</v>
      </c>
      <c r="J30" s="246" t="s">
        <v>38</v>
      </c>
      <c r="K30" s="246" t="s">
        <v>154</v>
      </c>
      <c r="L30" s="246">
        <v>2</v>
      </c>
      <c r="M30" s="246"/>
      <c r="N30" s="246">
        <v>1</v>
      </c>
      <c r="O30" s="246">
        <v>0.6</v>
      </c>
      <c r="P30" s="246">
        <v>0.55000000000000004</v>
      </c>
      <c r="Q30" s="107">
        <f t="shared" si="0"/>
        <v>0.57499999999999996</v>
      </c>
      <c r="R30" s="246">
        <v>14.3</v>
      </c>
      <c r="S30" s="246">
        <v>142</v>
      </c>
      <c r="T30" s="108">
        <f t="shared" si="1"/>
        <v>22</v>
      </c>
      <c r="U30" s="246">
        <v>127</v>
      </c>
      <c r="V30" s="109">
        <f t="shared" si="2"/>
        <v>2794</v>
      </c>
      <c r="W30" s="246">
        <v>17</v>
      </c>
      <c r="X30" s="246" t="s">
        <v>46</v>
      </c>
      <c r="Y30" s="246" t="s">
        <v>84</v>
      </c>
      <c r="Z30" s="246" t="s">
        <v>90</v>
      </c>
      <c r="AA30" s="246" t="s">
        <v>69</v>
      </c>
      <c r="AB30" s="246" t="s">
        <v>330</v>
      </c>
    </row>
    <row r="31" spans="1:48" s="115" customFormat="1" x14ac:dyDescent="0.15">
      <c r="A31" s="246" t="s">
        <v>51</v>
      </c>
      <c r="B31" s="246" t="s">
        <v>328</v>
      </c>
      <c r="C31" s="246">
        <v>2018</v>
      </c>
      <c r="D31" s="106" t="s">
        <v>386</v>
      </c>
      <c r="E31" s="246" t="s">
        <v>159</v>
      </c>
      <c r="F31" s="246" t="s">
        <v>184</v>
      </c>
      <c r="G31" s="246" t="s">
        <v>42</v>
      </c>
      <c r="H31" s="246" t="s">
        <v>155</v>
      </c>
      <c r="I31" s="246" t="s">
        <v>153</v>
      </c>
      <c r="J31" s="246" t="s">
        <v>38</v>
      </c>
      <c r="K31" s="246" t="s">
        <v>154</v>
      </c>
      <c r="L31" s="246">
        <v>3</v>
      </c>
      <c r="M31" s="246"/>
      <c r="N31" s="246">
        <v>1</v>
      </c>
      <c r="O31" s="246">
        <v>0.55000000000000004</v>
      </c>
      <c r="P31" s="246">
        <v>0.65</v>
      </c>
      <c r="Q31" s="107">
        <f t="shared" si="0"/>
        <v>0.60000000000000009</v>
      </c>
      <c r="R31" s="246">
        <v>14.8</v>
      </c>
      <c r="S31" s="246">
        <v>148</v>
      </c>
      <c r="T31" s="108">
        <f t="shared" si="1"/>
        <v>22</v>
      </c>
      <c r="U31" s="246">
        <v>127</v>
      </c>
      <c r="V31" s="109">
        <f t="shared" si="2"/>
        <v>2794</v>
      </c>
      <c r="W31" s="246">
        <v>17</v>
      </c>
      <c r="X31" s="246" t="s">
        <v>46</v>
      </c>
      <c r="Y31" s="246" t="s">
        <v>84</v>
      </c>
      <c r="Z31" s="246" t="s">
        <v>90</v>
      </c>
      <c r="AA31" s="246" t="s">
        <v>69</v>
      </c>
      <c r="AB31" s="246" t="s">
        <v>330</v>
      </c>
    </row>
    <row r="32" spans="1:48" s="115" customFormat="1" x14ac:dyDescent="0.15">
      <c r="A32" s="246" t="s">
        <v>51</v>
      </c>
      <c r="B32" s="246" t="s">
        <v>328</v>
      </c>
      <c r="C32" s="246">
        <v>2018</v>
      </c>
      <c r="D32" s="106" t="s">
        <v>386</v>
      </c>
      <c r="E32" s="246" t="s">
        <v>159</v>
      </c>
      <c r="F32" s="246" t="s">
        <v>184</v>
      </c>
      <c r="G32" s="246" t="s">
        <v>42</v>
      </c>
      <c r="H32" s="246" t="s">
        <v>157</v>
      </c>
      <c r="I32" s="246" t="s">
        <v>153</v>
      </c>
      <c r="J32" s="246" t="s">
        <v>38</v>
      </c>
      <c r="K32" s="246" t="s">
        <v>154</v>
      </c>
      <c r="L32" s="246">
        <v>1</v>
      </c>
      <c r="M32" s="246"/>
      <c r="N32" s="246">
        <v>1</v>
      </c>
      <c r="O32" s="246">
        <v>0.55000000000000004</v>
      </c>
      <c r="P32" s="246">
        <v>0.6</v>
      </c>
      <c r="Q32" s="107">
        <f t="shared" si="0"/>
        <v>0.57499999999999996</v>
      </c>
      <c r="R32" s="246">
        <v>16.399999999999999</v>
      </c>
      <c r="S32" s="246">
        <v>166</v>
      </c>
      <c r="T32" s="108">
        <f t="shared" si="1"/>
        <v>18</v>
      </c>
      <c r="U32" s="246">
        <v>127</v>
      </c>
      <c r="V32" s="109">
        <f t="shared" si="2"/>
        <v>2286</v>
      </c>
      <c r="W32" s="246">
        <v>17</v>
      </c>
      <c r="X32" s="246" t="s">
        <v>46</v>
      </c>
      <c r="Y32" s="246" t="s">
        <v>84</v>
      </c>
      <c r="Z32" s="246" t="s">
        <v>90</v>
      </c>
      <c r="AA32" s="246" t="s">
        <v>69</v>
      </c>
      <c r="AB32" s="246" t="s">
        <v>330</v>
      </c>
    </row>
    <row r="33" spans="1:28" s="115" customFormat="1" x14ac:dyDescent="0.15">
      <c r="A33" s="246" t="s">
        <v>51</v>
      </c>
      <c r="B33" s="246" t="s">
        <v>328</v>
      </c>
      <c r="C33" s="246">
        <v>2018</v>
      </c>
      <c r="D33" s="106" t="s">
        <v>386</v>
      </c>
      <c r="E33" s="246" t="s">
        <v>159</v>
      </c>
      <c r="F33" s="246" t="s">
        <v>184</v>
      </c>
      <c r="G33" s="246" t="s">
        <v>42</v>
      </c>
      <c r="H33" s="246" t="s">
        <v>157</v>
      </c>
      <c r="I33" s="246" t="s">
        <v>153</v>
      </c>
      <c r="J33" s="246" t="s">
        <v>38</v>
      </c>
      <c r="K33" s="246" t="s">
        <v>154</v>
      </c>
      <c r="L33" s="246">
        <v>2</v>
      </c>
      <c r="M33" s="246"/>
      <c r="N33" s="246">
        <v>1</v>
      </c>
      <c r="O33" s="246">
        <v>0.7</v>
      </c>
      <c r="P33" s="246">
        <v>0.7</v>
      </c>
      <c r="Q33" s="107">
        <f t="shared" si="0"/>
        <v>0.7</v>
      </c>
      <c r="R33" s="246">
        <v>16.8</v>
      </c>
      <c r="S33" s="246">
        <v>176</v>
      </c>
      <c r="T33" s="108">
        <f t="shared" si="1"/>
        <v>18</v>
      </c>
      <c r="U33" s="246">
        <v>127</v>
      </c>
      <c r="V33" s="109">
        <f t="shared" si="2"/>
        <v>2286</v>
      </c>
      <c r="W33" s="246">
        <v>17</v>
      </c>
      <c r="X33" s="246" t="s">
        <v>46</v>
      </c>
      <c r="Y33" s="246" t="s">
        <v>84</v>
      </c>
      <c r="Z33" s="246" t="s">
        <v>90</v>
      </c>
      <c r="AA33" s="246" t="s">
        <v>69</v>
      </c>
      <c r="AB33" s="246" t="s">
        <v>330</v>
      </c>
    </row>
    <row r="34" spans="1:28" s="115" customFormat="1" x14ac:dyDescent="0.15">
      <c r="A34" s="246" t="s">
        <v>51</v>
      </c>
      <c r="B34" s="246" t="s">
        <v>328</v>
      </c>
      <c r="C34" s="246">
        <v>2018</v>
      </c>
      <c r="D34" s="106" t="s">
        <v>386</v>
      </c>
      <c r="E34" s="246" t="s">
        <v>159</v>
      </c>
      <c r="F34" s="246" t="s">
        <v>184</v>
      </c>
      <c r="G34" s="246" t="s">
        <v>42</v>
      </c>
      <c r="H34" s="246" t="s">
        <v>157</v>
      </c>
      <c r="I34" s="246" t="s">
        <v>153</v>
      </c>
      <c r="J34" s="246" t="s">
        <v>38</v>
      </c>
      <c r="K34" s="246" t="s">
        <v>154</v>
      </c>
      <c r="L34" s="246">
        <v>3</v>
      </c>
      <c r="M34" s="246"/>
      <c r="N34" s="246">
        <v>1</v>
      </c>
      <c r="O34" s="246">
        <v>0.5</v>
      </c>
      <c r="P34" s="246">
        <v>0.25</v>
      </c>
      <c r="Q34" s="107">
        <f t="shared" si="0"/>
        <v>0.375</v>
      </c>
      <c r="R34" s="246">
        <v>15.9</v>
      </c>
      <c r="S34" s="246">
        <v>160</v>
      </c>
      <c r="T34" s="108">
        <f t="shared" si="1"/>
        <v>18</v>
      </c>
      <c r="U34" s="246">
        <v>127</v>
      </c>
      <c r="V34" s="109">
        <f t="shared" si="2"/>
        <v>2286</v>
      </c>
      <c r="W34" s="246">
        <v>17</v>
      </c>
      <c r="X34" s="246" t="s">
        <v>46</v>
      </c>
      <c r="Y34" s="246" t="s">
        <v>84</v>
      </c>
      <c r="Z34" s="246" t="s">
        <v>90</v>
      </c>
      <c r="AA34" s="246" t="s">
        <v>69</v>
      </c>
      <c r="AB34" s="246" t="s">
        <v>330</v>
      </c>
    </row>
    <row r="35" spans="1:28" s="115" customFormat="1" x14ac:dyDescent="0.15">
      <c r="A35" s="246" t="s">
        <v>51</v>
      </c>
      <c r="B35" s="246" t="s">
        <v>328</v>
      </c>
      <c r="C35" s="246">
        <v>2018</v>
      </c>
      <c r="D35" s="106" t="s">
        <v>386</v>
      </c>
      <c r="E35" s="246" t="s">
        <v>200</v>
      </c>
      <c r="F35" s="246" t="s">
        <v>184</v>
      </c>
      <c r="G35" s="246" t="s">
        <v>42</v>
      </c>
      <c r="H35" s="246" t="s">
        <v>155</v>
      </c>
      <c r="I35" s="246" t="s">
        <v>153</v>
      </c>
      <c r="J35" s="246" t="s">
        <v>38</v>
      </c>
      <c r="K35" s="246" t="s">
        <v>154</v>
      </c>
      <c r="L35" s="246">
        <v>1</v>
      </c>
      <c r="M35" s="246"/>
      <c r="N35" s="246">
        <v>3</v>
      </c>
      <c r="O35" s="246">
        <v>1.2</v>
      </c>
      <c r="P35" s="246">
        <v>1</v>
      </c>
      <c r="Q35" s="107">
        <f t="shared" si="0"/>
        <v>1.1000000000000001</v>
      </c>
      <c r="R35" s="246">
        <v>16.399999999999999</v>
      </c>
      <c r="S35" s="246">
        <v>138</v>
      </c>
      <c r="T35" s="108">
        <f t="shared" si="1"/>
        <v>22</v>
      </c>
      <c r="U35" s="246">
        <v>398</v>
      </c>
      <c r="V35" s="109">
        <f t="shared" si="2"/>
        <v>2918.6666666666665</v>
      </c>
      <c r="W35" s="246">
        <v>12</v>
      </c>
      <c r="X35" s="246" t="s">
        <v>46</v>
      </c>
      <c r="Y35" s="246" t="s">
        <v>84</v>
      </c>
      <c r="Z35" s="246" t="s">
        <v>78</v>
      </c>
      <c r="AA35" s="246" t="s">
        <v>69</v>
      </c>
      <c r="AB35" s="246" t="s">
        <v>330</v>
      </c>
    </row>
    <row r="36" spans="1:28" s="115" customFormat="1" x14ac:dyDescent="0.15">
      <c r="A36" s="246" t="s">
        <v>51</v>
      </c>
      <c r="B36" s="246" t="s">
        <v>328</v>
      </c>
      <c r="C36" s="246">
        <v>2018</v>
      </c>
      <c r="D36" s="106" t="s">
        <v>386</v>
      </c>
      <c r="E36" s="246" t="s">
        <v>200</v>
      </c>
      <c r="F36" s="246" t="s">
        <v>184</v>
      </c>
      <c r="G36" s="246" t="s">
        <v>42</v>
      </c>
      <c r="H36" s="246" t="s">
        <v>155</v>
      </c>
      <c r="I36" s="246" t="s">
        <v>153</v>
      </c>
      <c r="J36" s="246" t="s">
        <v>38</v>
      </c>
      <c r="K36" s="246" t="s">
        <v>154</v>
      </c>
      <c r="L36" s="246">
        <v>2</v>
      </c>
      <c r="M36" s="246"/>
      <c r="N36" s="246">
        <v>3</v>
      </c>
      <c r="O36" s="246">
        <v>1</v>
      </c>
      <c r="P36" s="246">
        <v>1.05</v>
      </c>
      <c r="Q36" s="107">
        <f t="shared" si="0"/>
        <v>1.0249999999999999</v>
      </c>
      <c r="R36" s="246">
        <v>16.8</v>
      </c>
      <c r="S36" s="246">
        <v>150</v>
      </c>
      <c r="T36" s="108">
        <f t="shared" si="1"/>
        <v>22</v>
      </c>
      <c r="U36" s="246">
        <v>398</v>
      </c>
      <c r="V36" s="109">
        <f t="shared" si="2"/>
        <v>2918.6666666666665</v>
      </c>
      <c r="W36" s="246">
        <v>12</v>
      </c>
      <c r="X36" s="246" t="s">
        <v>46</v>
      </c>
      <c r="Y36" s="246" t="s">
        <v>84</v>
      </c>
      <c r="Z36" s="246" t="s">
        <v>78</v>
      </c>
      <c r="AA36" s="246" t="s">
        <v>69</v>
      </c>
      <c r="AB36" s="246" t="s">
        <v>330</v>
      </c>
    </row>
    <row r="37" spans="1:28" s="115" customFormat="1" x14ac:dyDescent="0.15">
      <c r="A37" s="246" t="s">
        <v>51</v>
      </c>
      <c r="B37" s="246" t="s">
        <v>328</v>
      </c>
      <c r="C37" s="246">
        <v>2018</v>
      </c>
      <c r="D37" s="106" t="s">
        <v>386</v>
      </c>
      <c r="E37" s="246" t="s">
        <v>200</v>
      </c>
      <c r="F37" s="246" t="s">
        <v>184</v>
      </c>
      <c r="G37" s="246" t="s">
        <v>42</v>
      </c>
      <c r="H37" s="246" t="s">
        <v>155</v>
      </c>
      <c r="I37" s="246" t="s">
        <v>153</v>
      </c>
      <c r="J37" s="246" t="s">
        <v>38</v>
      </c>
      <c r="K37" s="246" t="s">
        <v>154</v>
      </c>
      <c r="L37" s="246">
        <v>3</v>
      </c>
      <c r="M37" s="246"/>
      <c r="N37" s="246">
        <v>3</v>
      </c>
      <c r="O37" s="246">
        <v>1.1000000000000001</v>
      </c>
      <c r="P37" s="246">
        <v>0.95</v>
      </c>
      <c r="Q37" s="107">
        <f t="shared" si="0"/>
        <v>1.0249999999999999</v>
      </c>
      <c r="R37" s="246">
        <v>16.600000000000001</v>
      </c>
      <c r="S37" s="246">
        <v>138</v>
      </c>
      <c r="T37" s="108">
        <f t="shared" si="1"/>
        <v>22</v>
      </c>
      <c r="U37" s="246">
        <v>398</v>
      </c>
      <c r="V37" s="109">
        <f t="shared" si="2"/>
        <v>2918.6666666666665</v>
      </c>
      <c r="W37" s="246">
        <v>12</v>
      </c>
      <c r="X37" s="246" t="s">
        <v>46</v>
      </c>
      <c r="Y37" s="246" t="s">
        <v>84</v>
      </c>
      <c r="Z37" s="246" t="s">
        <v>78</v>
      </c>
      <c r="AA37" s="246" t="s">
        <v>69</v>
      </c>
      <c r="AB37" s="246" t="s">
        <v>330</v>
      </c>
    </row>
    <row r="38" spans="1:28" s="115" customFormat="1" x14ac:dyDescent="0.15">
      <c r="A38" s="246" t="s">
        <v>51</v>
      </c>
      <c r="B38" s="246" t="s">
        <v>328</v>
      </c>
      <c r="C38" s="246">
        <v>2018</v>
      </c>
      <c r="D38" s="106" t="s">
        <v>386</v>
      </c>
      <c r="E38" s="246" t="s">
        <v>200</v>
      </c>
      <c r="F38" s="246" t="s">
        <v>184</v>
      </c>
      <c r="G38" s="246" t="s">
        <v>42</v>
      </c>
      <c r="H38" s="246" t="s">
        <v>157</v>
      </c>
      <c r="I38" s="246" t="s">
        <v>153</v>
      </c>
      <c r="J38" s="246" t="s">
        <v>38</v>
      </c>
      <c r="K38" s="246" t="s">
        <v>154</v>
      </c>
      <c r="L38" s="246">
        <v>1</v>
      </c>
      <c r="M38" s="246"/>
      <c r="N38" s="246">
        <v>4</v>
      </c>
      <c r="O38" s="246">
        <v>0.6</v>
      </c>
      <c r="P38" s="246">
        <v>0.6</v>
      </c>
      <c r="Q38" s="107">
        <f t="shared" si="0"/>
        <v>0.6</v>
      </c>
      <c r="R38" s="246">
        <v>18</v>
      </c>
      <c r="S38" s="246">
        <v>166</v>
      </c>
      <c r="T38" s="108">
        <f t="shared" si="1"/>
        <v>18</v>
      </c>
      <c r="U38" s="246">
        <v>498</v>
      </c>
      <c r="V38" s="109">
        <f t="shared" si="2"/>
        <v>2241</v>
      </c>
      <c r="W38" s="246">
        <v>12</v>
      </c>
      <c r="X38" s="246" t="s">
        <v>46</v>
      </c>
      <c r="Y38" s="246" t="s">
        <v>84</v>
      </c>
      <c r="Z38" s="246" t="s">
        <v>78</v>
      </c>
      <c r="AA38" s="246" t="s">
        <v>69</v>
      </c>
      <c r="AB38" s="246" t="s">
        <v>330</v>
      </c>
    </row>
    <row r="39" spans="1:28" s="115" customFormat="1" x14ac:dyDescent="0.15">
      <c r="A39" s="246" t="s">
        <v>51</v>
      </c>
      <c r="B39" s="246" t="s">
        <v>328</v>
      </c>
      <c r="C39" s="246">
        <v>2018</v>
      </c>
      <c r="D39" s="106" t="s">
        <v>386</v>
      </c>
      <c r="E39" s="246" t="s">
        <v>200</v>
      </c>
      <c r="F39" s="246" t="s">
        <v>184</v>
      </c>
      <c r="G39" s="246" t="s">
        <v>42</v>
      </c>
      <c r="H39" s="246" t="s">
        <v>157</v>
      </c>
      <c r="I39" s="246" t="s">
        <v>153</v>
      </c>
      <c r="J39" s="246" t="s">
        <v>38</v>
      </c>
      <c r="K39" s="246" t="s">
        <v>154</v>
      </c>
      <c r="L39" s="246">
        <v>2</v>
      </c>
      <c r="M39" s="246"/>
      <c r="N39" s="246">
        <v>4</v>
      </c>
      <c r="O39" s="246">
        <v>0.7</v>
      </c>
      <c r="P39" s="246">
        <v>0.65</v>
      </c>
      <c r="Q39" s="107">
        <f t="shared" si="0"/>
        <v>0.67500000000000004</v>
      </c>
      <c r="R39" s="246">
        <v>17.7</v>
      </c>
      <c r="S39" s="246">
        <v>176</v>
      </c>
      <c r="T39" s="108">
        <f t="shared" si="1"/>
        <v>18</v>
      </c>
      <c r="U39" s="246">
        <v>498</v>
      </c>
      <c r="V39" s="109">
        <f t="shared" si="2"/>
        <v>2241</v>
      </c>
      <c r="W39" s="246">
        <v>12</v>
      </c>
      <c r="X39" s="246" t="s">
        <v>46</v>
      </c>
      <c r="Y39" s="246" t="s">
        <v>84</v>
      </c>
      <c r="Z39" s="246" t="s">
        <v>78</v>
      </c>
      <c r="AA39" s="246" t="s">
        <v>69</v>
      </c>
      <c r="AB39" s="246" t="s">
        <v>330</v>
      </c>
    </row>
    <row r="40" spans="1:28" s="115" customFormat="1" x14ac:dyDescent="0.15">
      <c r="A40" s="246" t="s">
        <v>51</v>
      </c>
      <c r="B40" s="246" t="s">
        <v>328</v>
      </c>
      <c r="C40" s="246">
        <v>2018</v>
      </c>
      <c r="D40" s="106" t="s">
        <v>386</v>
      </c>
      <c r="E40" s="246" t="s">
        <v>200</v>
      </c>
      <c r="F40" s="246" t="s">
        <v>184</v>
      </c>
      <c r="G40" s="246" t="s">
        <v>42</v>
      </c>
      <c r="H40" s="246" t="s">
        <v>157</v>
      </c>
      <c r="I40" s="246" t="s">
        <v>153</v>
      </c>
      <c r="J40" s="246" t="s">
        <v>38</v>
      </c>
      <c r="K40" s="246" t="s">
        <v>154</v>
      </c>
      <c r="L40" s="246">
        <v>3</v>
      </c>
      <c r="M40" s="246"/>
      <c r="N40" s="246">
        <v>4</v>
      </c>
      <c r="O40" s="246">
        <v>0.75</v>
      </c>
      <c r="P40" s="246">
        <v>0.75</v>
      </c>
      <c r="Q40" s="107">
        <f t="shared" si="0"/>
        <v>0.75</v>
      </c>
      <c r="R40" s="246">
        <v>17.899999999999999</v>
      </c>
      <c r="S40" s="246">
        <v>176</v>
      </c>
      <c r="T40" s="108">
        <f t="shared" si="1"/>
        <v>18</v>
      </c>
      <c r="U40" s="246">
        <v>498</v>
      </c>
      <c r="V40" s="109">
        <f t="shared" si="2"/>
        <v>2241</v>
      </c>
      <c r="W40" s="246">
        <v>12</v>
      </c>
      <c r="X40" s="246" t="s">
        <v>46</v>
      </c>
      <c r="Y40" s="246" t="s">
        <v>84</v>
      </c>
      <c r="Z40" s="246" t="s">
        <v>78</v>
      </c>
      <c r="AA40" s="246" t="s">
        <v>69</v>
      </c>
      <c r="AB40" s="246" t="s">
        <v>330</v>
      </c>
    </row>
    <row r="41" spans="1:28" s="115" customFormat="1" x14ac:dyDescent="0.15">
      <c r="A41" s="246" t="s">
        <v>51</v>
      </c>
      <c r="B41" s="246" t="s">
        <v>328</v>
      </c>
      <c r="C41" s="246">
        <v>2018</v>
      </c>
      <c r="D41" s="106" t="s">
        <v>386</v>
      </c>
      <c r="E41" s="246" t="s">
        <v>189</v>
      </c>
      <c r="F41" s="246" t="s">
        <v>190</v>
      </c>
      <c r="G41" s="246" t="s">
        <v>42</v>
      </c>
      <c r="H41" s="246" t="s">
        <v>155</v>
      </c>
      <c r="I41" s="246" t="s">
        <v>153</v>
      </c>
      <c r="J41" s="246" t="s">
        <v>38</v>
      </c>
      <c r="K41" s="246" t="s">
        <v>154</v>
      </c>
      <c r="L41" s="246">
        <v>1</v>
      </c>
      <c r="M41" s="246"/>
      <c r="N41" s="246">
        <v>1</v>
      </c>
      <c r="O41" s="246">
        <v>0.9</v>
      </c>
      <c r="P41" s="246">
        <v>0.86</v>
      </c>
      <c r="Q41" s="107">
        <f t="shared" si="0"/>
        <v>0.88</v>
      </c>
      <c r="R41" s="246">
        <v>16.399999999999999</v>
      </c>
      <c r="S41" s="246">
        <v>142</v>
      </c>
      <c r="T41" s="108">
        <f t="shared" si="1"/>
        <v>22</v>
      </c>
      <c r="U41" s="246">
        <v>99</v>
      </c>
      <c r="V41" s="109">
        <f t="shared" si="2"/>
        <v>2178</v>
      </c>
      <c r="W41" s="246">
        <v>7</v>
      </c>
      <c r="X41" s="246" t="s">
        <v>39</v>
      </c>
      <c r="Y41" s="246" t="s">
        <v>90</v>
      </c>
      <c r="Z41" s="246" t="s">
        <v>84</v>
      </c>
      <c r="AA41" s="246" t="s">
        <v>102</v>
      </c>
      <c r="AB41" s="246" t="s">
        <v>330</v>
      </c>
    </row>
    <row r="42" spans="1:28" s="115" customFormat="1" x14ac:dyDescent="0.15">
      <c r="A42" s="246" t="s">
        <v>51</v>
      </c>
      <c r="B42" s="246" t="s">
        <v>328</v>
      </c>
      <c r="C42" s="246">
        <v>2018</v>
      </c>
      <c r="D42" s="106" t="s">
        <v>386</v>
      </c>
      <c r="E42" s="246" t="s">
        <v>189</v>
      </c>
      <c r="F42" s="246" t="s">
        <v>190</v>
      </c>
      <c r="G42" s="246" t="s">
        <v>42</v>
      </c>
      <c r="H42" s="246" t="s">
        <v>155</v>
      </c>
      <c r="I42" s="246" t="s">
        <v>153</v>
      </c>
      <c r="J42" s="246" t="s">
        <v>38</v>
      </c>
      <c r="K42" s="246" t="s">
        <v>154</v>
      </c>
      <c r="L42" s="246">
        <v>2</v>
      </c>
      <c r="M42" s="246"/>
      <c r="N42" s="246">
        <v>1</v>
      </c>
      <c r="O42" s="246">
        <v>0.8</v>
      </c>
      <c r="P42" s="246">
        <v>0.75</v>
      </c>
      <c r="Q42" s="107">
        <f t="shared" si="0"/>
        <v>0.77500000000000002</v>
      </c>
      <c r="R42" s="246">
        <v>16.8</v>
      </c>
      <c r="S42" s="246">
        <v>142</v>
      </c>
      <c r="T42" s="108">
        <f t="shared" si="1"/>
        <v>22</v>
      </c>
      <c r="U42" s="246">
        <v>99</v>
      </c>
      <c r="V42" s="109">
        <f t="shared" si="2"/>
        <v>2178</v>
      </c>
      <c r="W42" s="246">
        <v>7</v>
      </c>
      <c r="X42" s="246" t="s">
        <v>39</v>
      </c>
      <c r="Y42" s="246" t="s">
        <v>90</v>
      </c>
      <c r="Z42" s="246" t="s">
        <v>84</v>
      </c>
      <c r="AA42" s="246" t="s">
        <v>102</v>
      </c>
      <c r="AB42" s="246" t="s">
        <v>330</v>
      </c>
    </row>
    <row r="43" spans="1:28" s="115" customFormat="1" x14ac:dyDescent="0.15">
      <c r="A43" s="246" t="s">
        <v>51</v>
      </c>
      <c r="B43" s="246" t="s">
        <v>328</v>
      </c>
      <c r="C43" s="246">
        <v>2018</v>
      </c>
      <c r="D43" s="106" t="s">
        <v>386</v>
      </c>
      <c r="E43" s="246" t="s">
        <v>189</v>
      </c>
      <c r="F43" s="246" t="s">
        <v>190</v>
      </c>
      <c r="G43" s="246" t="s">
        <v>42</v>
      </c>
      <c r="H43" s="246" t="s">
        <v>155</v>
      </c>
      <c r="I43" s="246" t="s">
        <v>153</v>
      </c>
      <c r="J43" s="246" t="s">
        <v>38</v>
      </c>
      <c r="K43" s="246" t="s">
        <v>154</v>
      </c>
      <c r="L43" s="246">
        <v>3</v>
      </c>
      <c r="M43" s="246"/>
      <c r="N43" s="246">
        <v>1</v>
      </c>
      <c r="O43" s="246">
        <v>0.7</v>
      </c>
      <c r="P43" s="246">
        <v>0.75</v>
      </c>
      <c r="Q43" s="107">
        <f t="shared" si="0"/>
        <v>0.72499999999999998</v>
      </c>
      <c r="R43" s="246">
        <v>16.600000000000001</v>
      </c>
      <c r="S43" s="246">
        <v>138</v>
      </c>
      <c r="T43" s="108">
        <f t="shared" si="1"/>
        <v>22</v>
      </c>
      <c r="U43" s="246">
        <v>99</v>
      </c>
      <c r="V43" s="109">
        <f t="shared" si="2"/>
        <v>2178</v>
      </c>
      <c r="W43" s="246">
        <v>7</v>
      </c>
      <c r="X43" s="246" t="s">
        <v>39</v>
      </c>
      <c r="Y43" s="246" t="s">
        <v>90</v>
      </c>
      <c r="Z43" s="246" t="s">
        <v>84</v>
      </c>
      <c r="AA43" s="246" t="s">
        <v>102</v>
      </c>
      <c r="AB43" s="246" t="s">
        <v>330</v>
      </c>
    </row>
    <row r="44" spans="1:28" s="115" customFormat="1" x14ac:dyDescent="0.15">
      <c r="A44" s="246" t="s">
        <v>51</v>
      </c>
      <c r="B44" s="246" t="s">
        <v>328</v>
      </c>
      <c r="C44" s="246">
        <v>2018</v>
      </c>
      <c r="D44" s="106" t="s">
        <v>386</v>
      </c>
      <c r="E44" s="246" t="s">
        <v>189</v>
      </c>
      <c r="F44" s="246" t="s">
        <v>190</v>
      </c>
      <c r="G44" s="246" t="s">
        <v>42</v>
      </c>
      <c r="H44" s="246" t="s">
        <v>157</v>
      </c>
      <c r="I44" s="246" t="s">
        <v>153</v>
      </c>
      <c r="J44" s="246" t="s">
        <v>38</v>
      </c>
      <c r="K44" s="246" t="s">
        <v>154</v>
      </c>
      <c r="L44" s="246">
        <v>1</v>
      </c>
      <c r="M44" s="246"/>
      <c r="N44" s="246">
        <v>1</v>
      </c>
      <c r="O44" s="246">
        <v>0.6</v>
      </c>
      <c r="P44" s="246">
        <v>0.6</v>
      </c>
      <c r="Q44" s="107">
        <f t="shared" si="0"/>
        <v>0.6</v>
      </c>
      <c r="R44" s="246">
        <v>16.899999999999999</v>
      </c>
      <c r="S44" s="246">
        <v>150</v>
      </c>
      <c r="T44" s="108">
        <f t="shared" si="1"/>
        <v>22</v>
      </c>
      <c r="U44" s="246">
        <v>99</v>
      </c>
      <c r="V44" s="109">
        <f t="shared" si="2"/>
        <v>2178</v>
      </c>
      <c r="W44" s="246">
        <v>7</v>
      </c>
      <c r="X44" s="246" t="s">
        <v>39</v>
      </c>
      <c r="Y44" s="246" t="s">
        <v>90</v>
      </c>
      <c r="Z44" s="246" t="s">
        <v>84</v>
      </c>
      <c r="AA44" s="246" t="s">
        <v>102</v>
      </c>
      <c r="AB44" s="246" t="s">
        <v>330</v>
      </c>
    </row>
    <row r="45" spans="1:28" s="115" customFormat="1" x14ac:dyDescent="0.15">
      <c r="A45" s="246" t="s">
        <v>51</v>
      </c>
      <c r="B45" s="246" t="s">
        <v>328</v>
      </c>
      <c r="C45" s="246">
        <v>2018</v>
      </c>
      <c r="D45" s="106" t="s">
        <v>386</v>
      </c>
      <c r="E45" s="246" t="s">
        <v>189</v>
      </c>
      <c r="F45" s="246" t="s">
        <v>190</v>
      </c>
      <c r="G45" s="246" t="s">
        <v>42</v>
      </c>
      <c r="H45" s="246" t="s">
        <v>157</v>
      </c>
      <c r="I45" s="246" t="s">
        <v>153</v>
      </c>
      <c r="J45" s="246" t="s">
        <v>38</v>
      </c>
      <c r="K45" s="246" t="s">
        <v>154</v>
      </c>
      <c r="L45" s="246">
        <v>2</v>
      </c>
      <c r="M45" s="246"/>
      <c r="N45" s="246">
        <v>1</v>
      </c>
      <c r="O45" s="246">
        <v>0.65</v>
      </c>
      <c r="P45" s="246">
        <v>0.75</v>
      </c>
      <c r="Q45" s="107">
        <f t="shared" si="0"/>
        <v>0.7</v>
      </c>
      <c r="R45" s="246">
        <v>15.9</v>
      </c>
      <c r="S45" s="246">
        <v>148</v>
      </c>
      <c r="T45" s="108">
        <f t="shared" si="1"/>
        <v>22</v>
      </c>
      <c r="U45" s="246">
        <v>99</v>
      </c>
      <c r="V45" s="109">
        <f t="shared" si="2"/>
        <v>2178</v>
      </c>
      <c r="W45" s="246">
        <v>7</v>
      </c>
      <c r="X45" s="246" t="s">
        <v>39</v>
      </c>
      <c r="Y45" s="246" t="s">
        <v>90</v>
      </c>
      <c r="Z45" s="246" t="s">
        <v>84</v>
      </c>
      <c r="AA45" s="246" t="s">
        <v>102</v>
      </c>
      <c r="AB45" s="246" t="s">
        <v>330</v>
      </c>
    </row>
    <row r="46" spans="1:28" s="115" customFormat="1" x14ac:dyDescent="0.15">
      <c r="A46" s="246" t="s">
        <v>51</v>
      </c>
      <c r="B46" s="246" t="s">
        <v>328</v>
      </c>
      <c r="C46" s="246">
        <v>2018</v>
      </c>
      <c r="D46" s="106" t="s">
        <v>386</v>
      </c>
      <c r="E46" s="246" t="s">
        <v>189</v>
      </c>
      <c r="F46" s="246" t="s">
        <v>190</v>
      </c>
      <c r="G46" s="246" t="s">
        <v>42</v>
      </c>
      <c r="H46" s="246" t="s">
        <v>157</v>
      </c>
      <c r="I46" s="246" t="s">
        <v>153</v>
      </c>
      <c r="J46" s="246" t="s">
        <v>38</v>
      </c>
      <c r="K46" s="246" t="s">
        <v>154</v>
      </c>
      <c r="L46" s="246">
        <v>3</v>
      </c>
      <c r="M46" s="246"/>
      <c r="N46" s="246">
        <v>1</v>
      </c>
      <c r="O46" s="246">
        <v>0.7</v>
      </c>
      <c r="P46" s="246">
        <v>0.65</v>
      </c>
      <c r="Q46" s="107">
        <f t="shared" si="0"/>
        <v>0.67500000000000004</v>
      </c>
      <c r="R46" s="246">
        <v>16</v>
      </c>
      <c r="S46" s="246">
        <v>136</v>
      </c>
      <c r="T46" s="108">
        <f t="shared" si="1"/>
        <v>25</v>
      </c>
      <c r="U46" s="246">
        <v>99</v>
      </c>
      <c r="V46" s="109">
        <f t="shared" si="2"/>
        <v>2475</v>
      </c>
      <c r="W46" s="246">
        <v>7</v>
      </c>
      <c r="X46" s="246" t="s">
        <v>39</v>
      </c>
      <c r="Y46" s="246" t="s">
        <v>90</v>
      </c>
      <c r="Z46" s="246" t="s">
        <v>84</v>
      </c>
      <c r="AA46" s="246" t="s">
        <v>102</v>
      </c>
      <c r="AB46" s="246" t="s">
        <v>330</v>
      </c>
    </row>
    <row r="47" spans="1:28" s="115" customFormat="1" x14ac:dyDescent="0.15">
      <c r="A47" s="246" t="s">
        <v>51</v>
      </c>
      <c r="B47" s="246" t="s">
        <v>328</v>
      </c>
      <c r="C47" s="246">
        <v>2018</v>
      </c>
      <c r="D47" s="106" t="s">
        <v>386</v>
      </c>
      <c r="E47" s="246" t="s">
        <v>195</v>
      </c>
      <c r="F47" s="246" t="s">
        <v>183</v>
      </c>
      <c r="G47" s="246" t="s">
        <v>36</v>
      </c>
      <c r="H47" s="246" t="s">
        <v>155</v>
      </c>
      <c r="I47" s="246" t="s">
        <v>153</v>
      </c>
      <c r="J47" s="246" t="s">
        <v>38</v>
      </c>
      <c r="K47" s="246" t="s">
        <v>154</v>
      </c>
      <c r="L47" s="115">
        <v>1</v>
      </c>
      <c r="N47" s="246">
        <v>3</v>
      </c>
      <c r="O47" s="115">
        <v>0.95</v>
      </c>
      <c r="P47" s="115">
        <v>0.85</v>
      </c>
      <c r="Q47" s="107">
        <f t="shared" si="0"/>
        <v>0.89999999999999991</v>
      </c>
      <c r="R47" s="115">
        <v>16.399999999999999</v>
      </c>
      <c r="S47" s="115">
        <v>148</v>
      </c>
      <c r="T47" s="108">
        <f t="shared" si="1"/>
        <v>22</v>
      </c>
      <c r="U47" s="246">
        <v>398</v>
      </c>
      <c r="V47" s="109">
        <f t="shared" si="2"/>
        <v>2918.6666666666665</v>
      </c>
      <c r="W47" s="246">
        <v>8</v>
      </c>
      <c r="X47" s="246" t="s">
        <v>46</v>
      </c>
      <c r="Y47" s="246" t="s">
        <v>102</v>
      </c>
      <c r="Z47" s="246" t="s">
        <v>78</v>
      </c>
      <c r="AA47" s="246" t="s">
        <v>69</v>
      </c>
      <c r="AB47" s="246" t="s">
        <v>330</v>
      </c>
    </row>
    <row r="48" spans="1:28" s="115" customFormat="1" x14ac:dyDescent="0.15">
      <c r="A48" s="246" t="s">
        <v>51</v>
      </c>
      <c r="B48" s="246" t="s">
        <v>328</v>
      </c>
      <c r="C48" s="246">
        <v>2018</v>
      </c>
      <c r="D48" s="106" t="s">
        <v>386</v>
      </c>
      <c r="E48" s="246" t="s">
        <v>195</v>
      </c>
      <c r="F48" s="246" t="s">
        <v>183</v>
      </c>
      <c r="G48" s="246" t="s">
        <v>36</v>
      </c>
      <c r="H48" s="246" t="s">
        <v>155</v>
      </c>
      <c r="I48" s="246" t="s">
        <v>153</v>
      </c>
      <c r="J48" s="246" t="s">
        <v>38</v>
      </c>
      <c r="K48" s="246" t="s">
        <v>154</v>
      </c>
      <c r="L48" s="115">
        <v>2</v>
      </c>
      <c r="N48" s="246">
        <v>3</v>
      </c>
      <c r="O48" s="115">
        <v>0.9</v>
      </c>
      <c r="P48" s="115">
        <v>0.9</v>
      </c>
      <c r="Q48" s="107">
        <f t="shared" si="0"/>
        <v>0.9</v>
      </c>
      <c r="R48" s="115">
        <v>16</v>
      </c>
      <c r="S48" s="115">
        <v>136</v>
      </c>
      <c r="T48" s="108">
        <f t="shared" si="1"/>
        <v>25</v>
      </c>
      <c r="U48" s="246">
        <v>398</v>
      </c>
      <c r="V48" s="109">
        <f t="shared" si="2"/>
        <v>3316.6666666666665</v>
      </c>
      <c r="W48" s="246">
        <v>8</v>
      </c>
      <c r="X48" s="246" t="s">
        <v>46</v>
      </c>
      <c r="Y48" s="246" t="s">
        <v>102</v>
      </c>
      <c r="Z48" s="246" t="s">
        <v>78</v>
      </c>
      <c r="AA48" s="246" t="s">
        <v>69</v>
      </c>
      <c r="AB48" s="246" t="s">
        <v>330</v>
      </c>
    </row>
    <row r="49" spans="1:28" s="115" customFormat="1" x14ac:dyDescent="0.15">
      <c r="A49" s="246" t="s">
        <v>51</v>
      </c>
      <c r="B49" s="246" t="s">
        <v>328</v>
      </c>
      <c r="C49" s="246">
        <v>2018</v>
      </c>
      <c r="D49" s="106" t="s">
        <v>386</v>
      </c>
      <c r="E49" s="246" t="s">
        <v>195</v>
      </c>
      <c r="F49" s="246" t="s">
        <v>183</v>
      </c>
      <c r="G49" s="246" t="s">
        <v>36</v>
      </c>
      <c r="H49" s="246" t="s">
        <v>155</v>
      </c>
      <c r="I49" s="246" t="s">
        <v>153</v>
      </c>
      <c r="J49" s="246" t="s">
        <v>38</v>
      </c>
      <c r="K49" s="246" t="s">
        <v>154</v>
      </c>
      <c r="L49" s="115">
        <v>3</v>
      </c>
      <c r="N49" s="246">
        <v>3</v>
      </c>
      <c r="O49" s="115">
        <v>0.95</v>
      </c>
      <c r="P49" s="115">
        <v>1</v>
      </c>
      <c r="Q49" s="107">
        <f t="shared" si="0"/>
        <v>0.97499999999999998</v>
      </c>
      <c r="R49" s="115">
        <v>15.8</v>
      </c>
      <c r="S49" s="115">
        <v>148</v>
      </c>
      <c r="T49" s="108">
        <f t="shared" si="1"/>
        <v>22</v>
      </c>
      <c r="U49" s="246">
        <v>398</v>
      </c>
      <c r="V49" s="109">
        <f t="shared" si="2"/>
        <v>2918.6666666666665</v>
      </c>
      <c r="W49" s="246">
        <v>8</v>
      </c>
      <c r="X49" s="246" t="s">
        <v>46</v>
      </c>
      <c r="Y49" s="246" t="s">
        <v>102</v>
      </c>
      <c r="Z49" s="246" t="s">
        <v>78</v>
      </c>
      <c r="AA49" s="246" t="s">
        <v>69</v>
      </c>
      <c r="AB49" s="246" t="s">
        <v>330</v>
      </c>
    </row>
    <row r="50" spans="1:28" x14ac:dyDescent="0.15">
      <c r="A50" s="246" t="s">
        <v>51</v>
      </c>
      <c r="B50" s="246" t="s">
        <v>328</v>
      </c>
      <c r="C50" s="246">
        <v>2018</v>
      </c>
      <c r="D50" s="106" t="s">
        <v>386</v>
      </c>
      <c r="E50" s="246" t="s">
        <v>195</v>
      </c>
      <c r="F50" s="246" t="s">
        <v>183</v>
      </c>
      <c r="G50" s="246" t="s">
        <v>36</v>
      </c>
      <c r="H50" s="246" t="s">
        <v>157</v>
      </c>
      <c r="I50" s="246" t="s">
        <v>153</v>
      </c>
      <c r="J50" s="246" t="s">
        <v>38</v>
      </c>
      <c r="K50" s="246" t="s">
        <v>154</v>
      </c>
      <c r="L50" s="98">
        <v>1</v>
      </c>
      <c r="N50" s="246">
        <v>3</v>
      </c>
      <c r="O50" s="98">
        <v>0.55000000000000004</v>
      </c>
      <c r="P50" s="98">
        <v>0.75</v>
      </c>
      <c r="Q50" s="132">
        <f t="shared" si="0"/>
        <v>0.65</v>
      </c>
      <c r="R50" s="98">
        <v>17.8</v>
      </c>
      <c r="S50" s="98">
        <v>144</v>
      </c>
      <c r="T50" s="132">
        <f t="shared" si="1"/>
        <v>22</v>
      </c>
      <c r="U50" s="246">
        <v>498</v>
      </c>
      <c r="V50" s="132">
        <f t="shared" si="2"/>
        <v>3652</v>
      </c>
      <c r="W50" s="246">
        <v>8</v>
      </c>
      <c r="X50" s="246" t="s">
        <v>46</v>
      </c>
      <c r="Y50" s="246" t="s">
        <v>102</v>
      </c>
      <c r="Z50" s="246" t="s">
        <v>78</v>
      </c>
      <c r="AA50" s="246" t="s">
        <v>69</v>
      </c>
      <c r="AB50" s="246" t="s">
        <v>330</v>
      </c>
    </row>
    <row r="51" spans="1:28" x14ac:dyDescent="0.15">
      <c r="A51" s="246" t="s">
        <v>51</v>
      </c>
      <c r="B51" s="246" t="s">
        <v>328</v>
      </c>
      <c r="C51" s="246">
        <v>2018</v>
      </c>
      <c r="D51" s="106" t="s">
        <v>386</v>
      </c>
      <c r="E51" s="246" t="s">
        <v>195</v>
      </c>
      <c r="F51" s="246" t="s">
        <v>183</v>
      </c>
      <c r="G51" s="246" t="s">
        <v>36</v>
      </c>
      <c r="H51" s="246" t="s">
        <v>157</v>
      </c>
      <c r="I51" s="246" t="s">
        <v>153</v>
      </c>
      <c r="J51" s="246" t="s">
        <v>38</v>
      </c>
      <c r="K51" s="246" t="s">
        <v>154</v>
      </c>
      <c r="L51" s="98">
        <v>2</v>
      </c>
      <c r="N51" s="246">
        <v>3</v>
      </c>
      <c r="O51" s="115">
        <v>0.7</v>
      </c>
      <c r="P51" s="98">
        <v>0.7</v>
      </c>
      <c r="Q51" s="132">
        <f t="shared" si="0"/>
        <v>0.7</v>
      </c>
      <c r="R51" s="98">
        <v>18.100000000000001</v>
      </c>
      <c r="S51" s="98">
        <v>150</v>
      </c>
      <c r="T51" s="132">
        <f t="shared" si="1"/>
        <v>22</v>
      </c>
      <c r="U51" s="246">
        <v>498</v>
      </c>
      <c r="V51" s="132">
        <f t="shared" si="2"/>
        <v>3652</v>
      </c>
      <c r="W51" s="246">
        <v>8</v>
      </c>
      <c r="X51" s="246" t="s">
        <v>46</v>
      </c>
      <c r="Y51" s="246" t="s">
        <v>102</v>
      </c>
      <c r="Z51" s="246" t="s">
        <v>78</v>
      </c>
      <c r="AA51" s="246" t="s">
        <v>69</v>
      </c>
      <c r="AB51" s="246" t="s">
        <v>330</v>
      </c>
    </row>
    <row r="52" spans="1:28" x14ac:dyDescent="0.15">
      <c r="A52" s="246" t="s">
        <v>51</v>
      </c>
      <c r="B52" s="246" t="s">
        <v>328</v>
      </c>
      <c r="C52" s="246">
        <v>2018</v>
      </c>
      <c r="D52" s="106" t="s">
        <v>386</v>
      </c>
      <c r="E52" s="246" t="s">
        <v>195</v>
      </c>
      <c r="F52" s="246" t="s">
        <v>183</v>
      </c>
      <c r="G52" s="246" t="s">
        <v>36</v>
      </c>
      <c r="H52" s="246" t="s">
        <v>157</v>
      </c>
      <c r="I52" s="246" t="s">
        <v>153</v>
      </c>
      <c r="J52" s="246" t="s">
        <v>38</v>
      </c>
      <c r="K52" s="246" t="s">
        <v>154</v>
      </c>
      <c r="L52" s="98">
        <v>3</v>
      </c>
      <c r="N52" s="246">
        <v>3</v>
      </c>
      <c r="O52" s="98">
        <v>0.65</v>
      </c>
      <c r="P52" s="98">
        <v>0.65</v>
      </c>
      <c r="Q52" s="132">
        <f t="shared" si="0"/>
        <v>0.65</v>
      </c>
      <c r="R52" s="98">
        <v>17.5</v>
      </c>
      <c r="S52" s="98">
        <v>146</v>
      </c>
      <c r="T52" s="132">
        <f t="shared" si="1"/>
        <v>22</v>
      </c>
      <c r="U52" s="246">
        <v>498</v>
      </c>
      <c r="V52" s="132">
        <f t="shared" si="2"/>
        <v>3652</v>
      </c>
      <c r="W52" s="246">
        <v>8</v>
      </c>
      <c r="X52" s="246" t="s">
        <v>46</v>
      </c>
      <c r="Y52" s="246" t="s">
        <v>102</v>
      </c>
      <c r="Z52" s="246" t="s">
        <v>78</v>
      </c>
      <c r="AA52" s="246" t="s">
        <v>69</v>
      </c>
      <c r="AB52" s="246" t="s">
        <v>330</v>
      </c>
    </row>
    <row r="53" spans="1:28" x14ac:dyDescent="0.15">
      <c r="A53" s="246" t="s">
        <v>51</v>
      </c>
      <c r="B53" s="246" t="s">
        <v>328</v>
      </c>
      <c r="C53" s="246">
        <v>2018</v>
      </c>
      <c r="D53" s="106" t="s">
        <v>386</v>
      </c>
      <c r="E53" s="246" t="s">
        <v>203</v>
      </c>
      <c r="F53" s="246" t="s">
        <v>204</v>
      </c>
      <c r="G53" s="246" t="s">
        <v>36</v>
      </c>
      <c r="H53" s="246" t="s">
        <v>155</v>
      </c>
      <c r="I53" s="246" t="s">
        <v>153</v>
      </c>
      <c r="J53" s="246" t="s">
        <v>38</v>
      </c>
      <c r="K53" s="246" t="s">
        <v>154</v>
      </c>
      <c r="L53" s="98">
        <v>1</v>
      </c>
      <c r="N53" s="246">
        <v>3</v>
      </c>
      <c r="O53" s="98">
        <v>0.8</v>
      </c>
      <c r="P53" s="98">
        <v>0.8</v>
      </c>
      <c r="Q53" s="132">
        <f t="shared" si="0"/>
        <v>0.8</v>
      </c>
      <c r="R53" s="98">
        <v>15.4</v>
      </c>
      <c r="S53" s="98">
        <v>164</v>
      </c>
      <c r="T53" s="132">
        <f t="shared" si="1"/>
        <v>18</v>
      </c>
      <c r="U53" s="246">
        <v>398</v>
      </c>
      <c r="V53" s="132">
        <f t="shared" si="2"/>
        <v>2388</v>
      </c>
      <c r="W53" s="246">
        <v>3</v>
      </c>
      <c r="X53" s="246" t="s">
        <v>39</v>
      </c>
      <c r="Y53" s="246" t="s">
        <v>78</v>
      </c>
      <c r="Z53" s="246" t="s">
        <v>84</v>
      </c>
      <c r="AA53" s="246" t="s">
        <v>69</v>
      </c>
      <c r="AB53" s="246" t="s">
        <v>330</v>
      </c>
    </row>
    <row r="54" spans="1:28" x14ac:dyDescent="0.15">
      <c r="A54" s="246" t="s">
        <v>51</v>
      </c>
      <c r="B54" s="246" t="s">
        <v>328</v>
      </c>
      <c r="C54" s="246">
        <v>2018</v>
      </c>
      <c r="D54" s="106" t="s">
        <v>386</v>
      </c>
      <c r="E54" s="246" t="s">
        <v>203</v>
      </c>
      <c r="F54" s="246" t="s">
        <v>204</v>
      </c>
      <c r="G54" s="246" t="s">
        <v>36</v>
      </c>
      <c r="H54" s="246" t="s">
        <v>155</v>
      </c>
      <c r="I54" s="246" t="s">
        <v>153</v>
      </c>
      <c r="J54" s="246" t="s">
        <v>38</v>
      </c>
      <c r="K54" s="246" t="s">
        <v>154</v>
      </c>
      <c r="L54" s="98">
        <v>2</v>
      </c>
      <c r="N54" s="246">
        <v>3</v>
      </c>
      <c r="O54" s="98">
        <v>0.85</v>
      </c>
      <c r="P54" s="98">
        <v>0.9</v>
      </c>
      <c r="Q54" s="132">
        <f t="shared" si="0"/>
        <v>0.875</v>
      </c>
      <c r="R54" s="98">
        <v>14.3</v>
      </c>
      <c r="S54" s="98">
        <v>158</v>
      </c>
      <c r="T54" s="132">
        <f t="shared" si="1"/>
        <v>18</v>
      </c>
      <c r="U54" s="246">
        <v>398</v>
      </c>
      <c r="V54" s="132">
        <f t="shared" si="2"/>
        <v>2388</v>
      </c>
      <c r="W54" s="246">
        <v>3</v>
      </c>
      <c r="X54" s="246" t="s">
        <v>39</v>
      </c>
      <c r="Y54" s="246" t="s">
        <v>78</v>
      </c>
      <c r="Z54" s="246" t="s">
        <v>84</v>
      </c>
      <c r="AA54" s="246" t="s">
        <v>69</v>
      </c>
      <c r="AB54" s="246" t="s">
        <v>330</v>
      </c>
    </row>
    <row r="55" spans="1:28" x14ac:dyDescent="0.15">
      <c r="A55" s="246" t="s">
        <v>51</v>
      </c>
      <c r="B55" s="246" t="s">
        <v>328</v>
      </c>
      <c r="C55" s="246">
        <v>2018</v>
      </c>
      <c r="D55" s="106" t="s">
        <v>386</v>
      </c>
      <c r="E55" s="246" t="s">
        <v>203</v>
      </c>
      <c r="F55" s="246" t="s">
        <v>204</v>
      </c>
      <c r="G55" s="246" t="s">
        <v>36</v>
      </c>
      <c r="H55" s="246" t="s">
        <v>155</v>
      </c>
      <c r="I55" s="246" t="s">
        <v>153</v>
      </c>
      <c r="J55" s="246" t="s">
        <v>38</v>
      </c>
      <c r="K55" s="246" t="s">
        <v>154</v>
      </c>
      <c r="L55" s="98">
        <v>3</v>
      </c>
      <c r="N55" s="246">
        <v>3</v>
      </c>
      <c r="O55" s="98">
        <v>1</v>
      </c>
      <c r="P55" s="98">
        <v>0.85</v>
      </c>
      <c r="Q55" s="132">
        <f t="shared" si="0"/>
        <v>0.92500000000000004</v>
      </c>
      <c r="R55" s="98">
        <v>13.5</v>
      </c>
      <c r="S55" s="98">
        <v>152</v>
      </c>
      <c r="T55" s="132">
        <f t="shared" si="1"/>
        <v>18</v>
      </c>
      <c r="U55" s="246">
        <v>398</v>
      </c>
      <c r="V55" s="132">
        <f t="shared" si="2"/>
        <v>2388</v>
      </c>
      <c r="W55" s="246">
        <v>3</v>
      </c>
      <c r="X55" s="246" t="s">
        <v>39</v>
      </c>
      <c r="Y55" s="246" t="s">
        <v>78</v>
      </c>
      <c r="Z55" s="246" t="s">
        <v>84</v>
      </c>
      <c r="AA55" s="246" t="s">
        <v>69</v>
      </c>
      <c r="AB55" s="246" t="s">
        <v>330</v>
      </c>
    </row>
    <row r="56" spans="1:28" x14ac:dyDescent="0.15">
      <c r="A56" s="246" t="s">
        <v>51</v>
      </c>
      <c r="B56" s="246" t="s">
        <v>328</v>
      </c>
      <c r="C56" s="246">
        <v>2018</v>
      </c>
      <c r="D56" s="106" t="s">
        <v>386</v>
      </c>
      <c r="E56" s="246" t="s">
        <v>203</v>
      </c>
      <c r="F56" s="246" t="s">
        <v>204</v>
      </c>
      <c r="G56" s="246" t="s">
        <v>36</v>
      </c>
      <c r="H56" s="246" t="s">
        <v>157</v>
      </c>
      <c r="I56" s="246" t="s">
        <v>153</v>
      </c>
      <c r="J56" s="246" t="s">
        <v>38</v>
      </c>
      <c r="K56" s="246" t="s">
        <v>154</v>
      </c>
      <c r="L56" s="98">
        <v>1</v>
      </c>
      <c r="N56" s="246">
        <v>3</v>
      </c>
      <c r="O56" s="98">
        <v>0.65</v>
      </c>
      <c r="P56" s="98">
        <v>0.65</v>
      </c>
      <c r="Q56" s="132">
        <f t="shared" si="0"/>
        <v>0.65</v>
      </c>
      <c r="R56" s="98">
        <v>16.600000000000001</v>
      </c>
      <c r="S56" s="98">
        <v>158</v>
      </c>
      <c r="T56" s="132">
        <f t="shared" si="1"/>
        <v>18</v>
      </c>
      <c r="U56" s="246">
        <v>398</v>
      </c>
      <c r="V56" s="132">
        <f t="shared" si="2"/>
        <v>2388</v>
      </c>
      <c r="W56" s="246">
        <v>3</v>
      </c>
      <c r="X56" s="246" t="s">
        <v>39</v>
      </c>
      <c r="Y56" s="246" t="s">
        <v>78</v>
      </c>
      <c r="Z56" s="246" t="s">
        <v>84</v>
      </c>
      <c r="AA56" s="246" t="s">
        <v>69</v>
      </c>
      <c r="AB56" s="246" t="s">
        <v>330</v>
      </c>
    </row>
    <row r="57" spans="1:28" x14ac:dyDescent="0.15">
      <c r="A57" s="246" t="s">
        <v>51</v>
      </c>
      <c r="B57" s="246" t="s">
        <v>328</v>
      </c>
      <c r="C57" s="246">
        <v>2018</v>
      </c>
      <c r="D57" s="106" t="s">
        <v>386</v>
      </c>
      <c r="E57" s="246" t="s">
        <v>203</v>
      </c>
      <c r="F57" s="246" t="s">
        <v>204</v>
      </c>
      <c r="G57" s="246" t="s">
        <v>36</v>
      </c>
      <c r="H57" s="246" t="s">
        <v>157</v>
      </c>
      <c r="I57" s="246" t="s">
        <v>153</v>
      </c>
      <c r="J57" s="246" t="s">
        <v>38</v>
      </c>
      <c r="K57" s="246" t="s">
        <v>154</v>
      </c>
      <c r="L57" s="98">
        <v>2</v>
      </c>
      <c r="N57" s="246">
        <v>3</v>
      </c>
      <c r="O57" s="98">
        <v>0.5</v>
      </c>
      <c r="P57" s="98">
        <v>0.75</v>
      </c>
      <c r="Q57" s="132">
        <f t="shared" si="0"/>
        <v>0.625</v>
      </c>
      <c r="R57" s="98">
        <v>16.3</v>
      </c>
      <c r="S57" s="98">
        <v>156</v>
      </c>
      <c r="T57" s="132">
        <f t="shared" si="1"/>
        <v>18</v>
      </c>
      <c r="U57" s="246">
        <v>398</v>
      </c>
      <c r="V57" s="132">
        <f t="shared" si="2"/>
        <v>2388</v>
      </c>
      <c r="W57" s="246">
        <v>3</v>
      </c>
      <c r="X57" s="246" t="s">
        <v>39</v>
      </c>
      <c r="Y57" s="246" t="s">
        <v>78</v>
      </c>
      <c r="Z57" s="246" t="s">
        <v>84</v>
      </c>
      <c r="AA57" s="246" t="s">
        <v>69</v>
      </c>
      <c r="AB57" s="246" t="s">
        <v>330</v>
      </c>
    </row>
    <row r="58" spans="1:28" x14ac:dyDescent="0.15">
      <c r="A58" s="246" t="s">
        <v>51</v>
      </c>
      <c r="B58" s="246" t="s">
        <v>328</v>
      </c>
      <c r="C58" s="246">
        <v>2018</v>
      </c>
      <c r="D58" s="106" t="s">
        <v>386</v>
      </c>
      <c r="E58" s="246" t="s">
        <v>203</v>
      </c>
      <c r="F58" s="246" t="s">
        <v>204</v>
      </c>
      <c r="G58" s="246" t="s">
        <v>36</v>
      </c>
      <c r="H58" s="246" t="s">
        <v>157</v>
      </c>
      <c r="I58" s="246" t="s">
        <v>153</v>
      </c>
      <c r="J58" s="246" t="s">
        <v>38</v>
      </c>
      <c r="K58" s="246" t="s">
        <v>154</v>
      </c>
      <c r="L58" s="98">
        <v>3</v>
      </c>
      <c r="N58" s="246">
        <v>3</v>
      </c>
      <c r="O58" s="98">
        <v>0.7</v>
      </c>
      <c r="P58" s="98">
        <v>0.65</v>
      </c>
      <c r="Q58" s="132">
        <f t="shared" si="0"/>
        <v>0.67500000000000004</v>
      </c>
      <c r="R58" s="115">
        <v>17.2</v>
      </c>
      <c r="S58" s="98">
        <v>162</v>
      </c>
      <c r="T58" s="132">
        <f t="shared" si="1"/>
        <v>18</v>
      </c>
      <c r="U58" s="246">
        <v>398</v>
      </c>
      <c r="V58" s="132">
        <f t="shared" si="2"/>
        <v>2388</v>
      </c>
      <c r="W58" s="246">
        <v>3</v>
      </c>
      <c r="X58" s="246" t="s">
        <v>39</v>
      </c>
      <c r="Y58" s="246" t="s">
        <v>78</v>
      </c>
      <c r="Z58" s="246" t="s">
        <v>84</v>
      </c>
      <c r="AA58" s="246" t="s">
        <v>69</v>
      </c>
      <c r="AB58" s="246" t="s">
        <v>330</v>
      </c>
    </row>
    <row r="59" spans="1:28" x14ac:dyDescent="0.15">
      <c r="A59" s="246" t="s">
        <v>51</v>
      </c>
      <c r="B59" s="246" t="s">
        <v>328</v>
      </c>
      <c r="C59" s="246">
        <v>2018</v>
      </c>
      <c r="D59" s="106" t="s">
        <v>386</v>
      </c>
      <c r="E59" s="246" t="s">
        <v>206</v>
      </c>
      <c r="F59" s="246" t="s">
        <v>183</v>
      </c>
      <c r="G59" s="246" t="s">
        <v>42</v>
      </c>
      <c r="H59" s="246" t="s">
        <v>155</v>
      </c>
      <c r="I59" s="246" t="s">
        <v>153</v>
      </c>
      <c r="J59" s="246" t="s">
        <v>38</v>
      </c>
      <c r="K59" s="246" t="s">
        <v>154</v>
      </c>
      <c r="L59" s="98">
        <v>1</v>
      </c>
      <c r="N59" s="130">
        <v>1</v>
      </c>
      <c r="O59" s="98">
        <v>0.7</v>
      </c>
      <c r="P59" s="98">
        <v>0.65</v>
      </c>
      <c r="Q59" s="132">
        <f t="shared" si="0"/>
        <v>0.67500000000000004</v>
      </c>
      <c r="R59" s="98">
        <v>16.100000000000001</v>
      </c>
      <c r="S59" s="98">
        <v>132</v>
      </c>
      <c r="T59" s="132">
        <f t="shared" si="1"/>
        <v>25</v>
      </c>
      <c r="U59" s="246">
        <v>98</v>
      </c>
      <c r="V59" s="132">
        <f t="shared" si="2"/>
        <v>2450</v>
      </c>
      <c r="W59" s="130">
        <v>6</v>
      </c>
      <c r="X59" s="246" t="s">
        <v>46</v>
      </c>
      <c r="Y59" s="246" t="s">
        <v>69</v>
      </c>
      <c r="Z59" s="246" t="s">
        <v>90</v>
      </c>
      <c r="AA59" s="246" t="s">
        <v>55</v>
      </c>
      <c r="AB59" s="246" t="s">
        <v>330</v>
      </c>
    </row>
    <row r="60" spans="1:28" x14ac:dyDescent="0.15">
      <c r="A60" s="246" t="s">
        <v>51</v>
      </c>
      <c r="B60" s="246" t="s">
        <v>328</v>
      </c>
      <c r="C60" s="246">
        <v>2018</v>
      </c>
      <c r="D60" s="106" t="s">
        <v>386</v>
      </c>
      <c r="E60" s="246" t="s">
        <v>206</v>
      </c>
      <c r="F60" s="246" t="s">
        <v>183</v>
      </c>
      <c r="G60" s="246" t="s">
        <v>42</v>
      </c>
      <c r="H60" s="246" t="s">
        <v>155</v>
      </c>
      <c r="I60" s="246" t="s">
        <v>153</v>
      </c>
      <c r="J60" s="246" t="s">
        <v>38</v>
      </c>
      <c r="K60" s="246" t="s">
        <v>154</v>
      </c>
      <c r="L60" s="98">
        <v>2</v>
      </c>
      <c r="N60" s="130">
        <v>1</v>
      </c>
      <c r="O60" s="98">
        <v>0.65</v>
      </c>
      <c r="P60" s="98">
        <v>0.6</v>
      </c>
      <c r="Q60" s="132">
        <f t="shared" si="0"/>
        <v>0.625</v>
      </c>
      <c r="R60" s="98">
        <v>15.8</v>
      </c>
      <c r="S60" s="98">
        <v>132</v>
      </c>
      <c r="T60" s="132">
        <f t="shared" si="1"/>
        <v>25</v>
      </c>
      <c r="U60" s="246">
        <v>98</v>
      </c>
      <c r="V60" s="132">
        <f t="shared" si="2"/>
        <v>2450</v>
      </c>
      <c r="W60" s="130">
        <v>6</v>
      </c>
      <c r="X60" s="246" t="s">
        <v>46</v>
      </c>
      <c r="Y60" s="246" t="s">
        <v>69</v>
      </c>
      <c r="Z60" s="246" t="s">
        <v>90</v>
      </c>
      <c r="AA60" s="246" t="s">
        <v>55</v>
      </c>
      <c r="AB60" s="246" t="s">
        <v>330</v>
      </c>
    </row>
    <row r="61" spans="1:28" x14ac:dyDescent="0.15">
      <c r="A61" s="246" t="s">
        <v>51</v>
      </c>
      <c r="B61" s="246" t="s">
        <v>328</v>
      </c>
      <c r="C61" s="246">
        <v>2018</v>
      </c>
      <c r="D61" s="106" t="s">
        <v>386</v>
      </c>
      <c r="E61" s="246" t="s">
        <v>206</v>
      </c>
      <c r="F61" s="246" t="s">
        <v>183</v>
      </c>
      <c r="G61" s="246" t="s">
        <v>42</v>
      </c>
      <c r="H61" s="246" t="s">
        <v>155</v>
      </c>
      <c r="I61" s="246" t="s">
        <v>153</v>
      </c>
      <c r="J61" s="246" t="s">
        <v>38</v>
      </c>
      <c r="K61" s="246" t="s">
        <v>154</v>
      </c>
      <c r="L61" s="98">
        <v>3</v>
      </c>
      <c r="N61" s="130">
        <v>1</v>
      </c>
      <c r="O61" s="98">
        <v>0.6</v>
      </c>
      <c r="P61" s="98">
        <v>0.55000000000000004</v>
      </c>
      <c r="Q61" s="132">
        <f t="shared" si="0"/>
        <v>0.57499999999999996</v>
      </c>
      <c r="R61" s="98">
        <v>15.5</v>
      </c>
      <c r="S61" s="98">
        <v>130</v>
      </c>
      <c r="T61" s="132">
        <f t="shared" si="1"/>
        <v>25</v>
      </c>
      <c r="U61" s="246">
        <v>98</v>
      </c>
      <c r="V61" s="132">
        <f t="shared" si="2"/>
        <v>2450</v>
      </c>
      <c r="W61" s="130">
        <v>6</v>
      </c>
      <c r="X61" s="246" t="s">
        <v>46</v>
      </c>
      <c r="Y61" s="246" t="s">
        <v>69</v>
      </c>
      <c r="Z61" s="246" t="s">
        <v>90</v>
      </c>
      <c r="AA61" s="246" t="s">
        <v>55</v>
      </c>
      <c r="AB61" s="246" t="s">
        <v>330</v>
      </c>
    </row>
    <row r="62" spans="1:28" x14ac:dyDescent="0.15">
      <c r="A62" s="246" t="s">
        <v>51</v>
      </c>
      <c r="B62" s="246" t="s">
        <v>328</v>
      </c>
      <c r="C62" s="246">
        <v>2018</v>
      </c>
      <c r="D62" s="106" t="s">
        <v>386</v>
      </c>
      <c r="E62" s="246" t="s">
        <v>206</v>
      </c>
      <c r="F62" s="246" t="s">
        <v>183</v>
      </c>
      <c r="G62" s="246" t="s">
        <v>42</v>
      </c>
      <c r="H62" s="246" t="s">
        <v>157</v>
      </c>
      <c r="I62" s="246" t="s">
        <v>153</v>
      </c>
      <c r="J62" s="246" t="s">
        <v>38</v>
      </c>
      <c r="K62" s="246" t="s">
        <v>154</v>
      </c>
      <c r="L62" s="98">
        <v>1</v>
      </c>
      <c r="N62" s="130">
        <v>1</v>
      </c>
      <c r="O62" s="98">
        <v>0.7</v>
      </c>
      <c r="P62" s="98">
        <v>0.85</v>
      </c>
      <c r="Q62" s="132">
        <f t="shared" si="0"/>
        <v>0.77499999999999991</v>
      </c>
      <c r="R62" s="98">
        <v>16.899999999999999</v>
      </c>
      <c r="S62" s="98">
        <v>140</v>
      </c>
      <c r="T62" s="132">
        <f t="shared" si="1"/>
        <v>22</v>
      </c>
      <c r="U62" s="246">
        <v>128</v>
      </c>
      <c r="V62" s="132">
        <f t="shared" si="2"/>
        <v>2816</v>
      </c>
      <c r="W62" s="130">
        <v>6</v>
      </c>
      <c r="X62" s="246" t="s">
        <v>46</v>
      </c>
      <c r="Y62" s="246" t="s">
        <v>69</v>
      </c>
      <c r="Z62" s="246" t="s">
        <v>90</v>
      </c>
      <c r="AA62" s="246" t="s">
        <v>55</v>
      </c>
      <c r="AB62" s="246" t="s">
        <v>330</v>
      </c>
    </row>
    <row r="63" spans="1:28" x14ac:dyDescent="0.15">
      <c r="A63" s="246" t="s">
        <v>51</v>
      </c>
      <c r="B63" s="246" t="s">
        <v>328</v>
      </c>
      <c r="C63" s="246">
        <v>2018</v>
      </c>
      <c r="D63" s="106" t="s">
        <v>386</v>
      </c>
      <c r="E63" s="246" t="s">
        <v>206</v>
      </c>
      <c r="F63" s="246" t="s">
        <v>183</v>
      </c>
      <c r="G63" s="246" t="s">
        <v>42</v>
      </c>
      <c r="H63" s="246" t="s">
        <v>157</v>
      </c>
      <c r="I63" s="246" t="s">
        <v>153</v>
      </c>
      <c r="J63" s="246" t="s">
        <v>38</v>
      </c>
      <c r="K63" s="246" t="s">
        <v>154</v>
      </c>
      <c r="L63" s="98">
        <v>2</v>
      </c>
      <c r="N63" s="130">
        <v>1</v>
      </c>
      <c r="O63" s="98">
        <v>0.75</v>
      </c>
      <c r="P63" s="98">
        <v>0.75</v>
      </c>
      <c r="Q63" s="132">
        <f t="shared" si="0"/>
        <v>0.75</v>
      </c>
      <c r="R63" s="98">
        <v>17</v>
      </c>
      <c r="S63" s="98">
        <v>138</v>
      </c>
      <c r="T63" s="132">
        <f t="shared" si="1"/>
        <v>22</v>
      </c>
      <c r="U63" s="246">
        <v>128</v>
      </c>
      <c r="V63" s="132">
        <f t="shared" si="2"/>
        <v>2816</v>
      </c>
      <c r="W63" s="130">
        <v>6</v>
      </c>
      <c r="X63" s="246" t="s">
        <v>46</v>
      </c>
      <c r="Y63" s="246" t="s">
        <v>69</v>
      </c>
      <c r="Z63" s="246" t="s">
        <v>90</v>
      </c>
      <c r="AA63" s="246" t="s">
        <v>55</v>
      </c>
      <c r="AB63" s="246" t="s">
        <v>330</v>
      </c>
    </row>
    <row r="64" spans="1:28" x14ac:dyDescent="0.15">
      <c r="A64" s="246" t="s">
        <v>51</v>
      </c>
      <c r="B64" s="246" t="s">
        <v>328</v>
      </c>
      <c r="C64" s="246">
        <v>2018</v>
      </c>
      <c r="D64" s="106" t="s">
        <v>386</v>
      </c>
      <c r="E64" s="246" t="s">
        <v>206</v>
      </c>
      <c r="F64" s="246" t="s">
        <v>183</v>
      </c>
      <c r="G64" s="246" t="s">
        <v>42</v>
      </c>
      <c r="H64" s="246" t="s">
        <v>157</v>
      </c>
      <c r="I64" s="246" t="s">
        <v>153</v>
      </c>
      <c r="J64" s="246" t="s">
        <v>38</v>
      </c>
      <c r="K64" s="246" t="s">
        <v>154</v>
      </c>
      <c r="L64" s="98">
        <v>3</v>
      </c>
      <c r="N64" s="130">
        <v>1</v>
      </c>
      <c r="O64" s="98">
        <v>0.7</v>
      </c>
      <c r="P64" s="98">
        <v>0.75</v>
      </c>
      <c r="Q64" s="132">
        <f t="shared" si="0"/>
        <v>0.72499999999999998</v>
      </c>
      <c r="R64" s="98">
        <v>17.5</v>
      </c>
      <c r="S64" s="98">
        <v>142</v>
      </c>
      <c r="T64" s="132">
        <f t="shared" si="1"/>
        <v>22</v>
      </c>
      <c r="U64" s="246">
        <v>128</v>
      </c>
      <c r="V64" s="132">
        <f t="shared" si="2"/>
        <v>2816</v>
      </c>
      <c r="W64" s="130">
        <v>6</v>
      </c>
      <c r="X64" s="246" t="s">
        <v>46</v>
      </c>
      <c r="Y64" s="246" t="s">
        <v>69</v>
      </c>
      <c r="Z64" s="246" t="s">
        <v>90</v>
      </c>
      <c r="AA64" s="246" t="s">
        <v>55</v>
      </c>
      <c r="AB64" s="246" t="s">
        <v>330</v>
      </c>
    </row>
    <row r="65" spans="1:28" x14ac:dyDescent="0.15">
      <c r="A65" s="246"/>
      <c r="B65" s="246"/>
      <c r="C65" s="130"/>
      <c r="D65" s="131"/>
      <c r="E65" s="246"/>
      <c r="F65" s="246"/>
      <c r="G65" s="130"/>
      <c r="H65" s="130"/>
      <c r="I65" s="130"/>
      <c r="J65" s="130"/>
      <c r="K65" s="246"/>
      <c r="N65" s="130"/>
      <c r="W65" s="130"/>
      <c r="X65" s="130"/>
      <c r="Y65" s="130"/>
      <c r="Z65" s="130"/>
      <c r="AA65" s="130"/>
      <c r="AB65" s="246"/>
    </row>
    <row r="66" spans="1:28" x14ac:dyDescent="0.15">
      <c r="A66" s="246"/>
      <c r="B66" s="246"/>
      <c r="C66" s="130"/>
      <c r="D66" s="131"/>
      <c r="E66" s="246"/>
      <c r="F66" s="246"/>
      <c r="G66" s="130"/>
      <c r="H66" s="130"/>
      <c r="I66" s="130"/>
      <c r="J66" s="130"/>
      <c r="K66" s="130"/>
      <c r="N66" s="130"/>
      <c r="W66" s="130"/>
      <c r="X66" s="130"/>
      <c r="Y66" s="130"/>
      <c r="Z66" s="130"/>
      <c r="AA66" s="130"/>
      <c r="AB66" s="246"/>
    </row>
    <row r="67" spans="1:28" x14ac:dyDescent="0.15">
      <c r="A67" s="246"/>
      <c r="B67" s="246"/>
      <c r="C67" s="130"/>
      <c r="D67" s="131"/>
      <c r="E67" s="246"/>
      <c r="F67" s="246"/>
      <c r="G67" s="130"/>
      <c r="H67" s="130"/>
      <c r="I67" s="130"/>
      <c r="J67" s="130"/>
      <c r="K67" s="130"/>
      <c r="N67" s="130"/>
      <c r="W67" s="130"/>
      <c r="X67" s="130"/>
      <c r="Y67" s="130"/>
      <c r="Z67" s="130"/>
      <c r="AA67" s="130"/>
      <c r="AB67" s="246"/>
    </row>
    <row r="68" spans="1:28" x14ac:dyDescent="0.15">
      <c r="E68" s="246"/>
      <c r="F68" s="246"/>
    </row>
    <row r="69" spans="1:28" x14ac:dyDescent="0.15">
      <c r="E69" s="246"/>
      <c r="F69" s="246"/>
    </row>
    <row r="70" spans="1:28" x14ac:dyDescent="0.15">
      <c r="E70" s="246"/>
      <c r="F70" s="246"/>
    </row>
    <row r="71" spans="1:28" x14ac:dyDescent="0.15">
      <c r="E71" s="246"/>
      <c r="F71" s="246"/>
    </row>
    <row r="72" spans="1:28" x14ac:dyDescent="0.15">
      <c r="E72" s="246"/>
      <c r="F72" s="246"/>
    </row>
    <row r="73" spans="1:28" x14ac:dyDescent="0.15">
      <c r="E73" s="246"/>
      <c r="F73" s="246"/>
    </row>
    <row r="74" spans="1:28" x14ac:dyDescent="0.15">
      <c r="E74" s="246"/>
      <c r="F74" s="246"/>
    </row>
    <row r="75" spans="1:28" x14ac:dyDescent="0.15">
      <c r="E75" s="246"/>
      <c r="F75" s="246"/>
    </row>
    <row r="76" spans="1:28" x14ac:dyDescent="0.15">
      <c r="E76" s="246"/>
      <c r="F76" s="246"/>
    </row>
    <row r="77" spans="1:28" x14ac:dyDescent="0.15">
      <c r="E77" s="246"/>
      <c r="F77" s="246"/>
    </row>
    <row r="78" spans="1:28" x14ac:dyDescent="0.15">
      <c r="E78" s="246"/>
      <c r="F78" s="246"/>
    </row>
    <row r="79" spans="1:28" x14ac:dyDescent="0.15">
      <c r="E79" s="246"/>
      <c r="F79" s="246"/>
    </row>
    <row r="80" spans="1:28" x14ac:dyDescent="0.15">
      <c r="E80" s="246"/>
      <c r="F80" s="246"/>
    </row>
    <row r="81" spans="5:6" x14ac:dyDescent="0.15">
      <c r="E81" s="246"/>
      <c r="F81" s="246"/>
    </row>
    <row r="82" spans="5:6" x14ac:dyDescent="0.15">
      <c r="E82" s="246"/>
      <c r="F82" s="246"/>
    </row>
    <row r="83" spans="5:6" x14ac:dyDescent="0.15">
      <c r="E83" s="246"/>
      <c r="F83" s="246"/>
    </row>
    <row r="84" spans="5:6" x14ac:dyDescent="0.15">
      <c r="E84" s="246"/>
      <c r="F84" s="246"/>
    </row>
    <row r="85" spans="5:6" x14ac:dyDescent="0.15">
      <c r="E85" s="246"/>
      <c r="F85" s="246"/>
    </row>
    <row r="86" spans="5:6" x14ac:dyDescent="0.15">
      <c r="E86" s="246"/>
      <c r="F86" s="246"/>
    </row>
    <row r="87" spans="5:6" x14ac:dyDescent="0.15">
      <c r="E87" s="246"/>
      <c r="F87" s="246"/>
    </row>
    <row r="88" spans="5:6" x14ac:dyDescent="0.15">
      <c r="E88" s="246"/>
      <c r="F88" s="246"/>
    </row>
    <row r="89" spans="5:6" x14ac:dyDescent="0.15">
      <c r="E89" s="246"/>
      <c r="F89" s="246"/>
    </row>
    <row r="90" spans="5:6" x14ac:dyDescent="0.15">
      <c r="E90" s="246"/>
      <c r="F90" s="246"/>
    </row>
    <row r="91" spans="5:6" x14ac:dyDescent="0.15">
      <c r="E91" s="246"/>
      <c r="F91" s="246"/>
    </row>
    <row r="92" spans="5:6" x14ac:dyDescent="0.15">
      <c r="E92" s="246"/>
      <c r="F92" s="246"/>
    </row>
    <row r="93" spans="5:6" x14ac:dyDescent="0.15">
      <c r="E93" s="246"/>
      <c r="F93" s="246"/>
    </row>
    <row r="94" spans="5:6" x14ac:dyDescent="0.15">
      <c r="E94" s="246"/>
      <c r="F94" s="246"/>
    </row>
    <row r="95" spans="5:6" x14ac:dyDescent="0.15">
      <c r="E95" s="246"/>
      <c r="F95" s="246"/>
    </row>
    <row r="96" spans="5:6"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row>
  </sheetData>
  <autoFilter ref="A1:BA64"/>
  <phoneticPr fontId="3"/>
  <dataValidations count="13">
    <dataValidation type="decimal" allowBlank="1" showInputMessage="1" showErrorMessage="1" error="硬度を正しく入力して下さい。" sqref="O2:P476">
      <formula1>0</formula1>
      <formula2>7</formula2>
    </dataValidation>
    <dataValidation type="list" allowBlank="1" showInputMessage="1" showErrorMessage="1" sqref="H65514:H65591 H131050:H131127 H196586:H196663 H262122:H262199 H327658:H327735 H393194:H393271 H458730:H458807 H524266:H524343 H589802:H589879 H655338:H655415 H720874:H720951 H786410:H786487 H851946:H852023 H917482:H917559 H983018:H983095 JD2:JD58 JD65514:JD65591 JD131050:JD131127 JD196586:JD196663 JD262122:JD262199 JD327658:JD327735 JD393194:JD393271 JD458730:JD458807 JD524266:JD524343 JD589802:JD589879 JD655338:JD655415 JD720874:JD720951 JD786410:JD786487 JD851946:JD852023 JD917482:JD917559 JD983018:JD983095 SZ2:SZ58 SZ65514:SZ65591 SZ131050:SZ131127 SZ196586:SZ196663 SZ262122:SZ262199 SZ327658:SZ327735 SZ393194:SZ393271 SZ458730:SZ458807 SZ524266:SZ524343 SZ589802:SZ589879 SZ655338:SZ655415 SZ720874:SZ720951 SZ786410:SZ786487 SZ851946:SZ852023 SZ917482:SZ917559 SZ983018:SZ983095 ACV2:ACV58 ACV65514:ACV65591 ACV131050:ACV131127 ACV196586:ACV196663 ACV262122:ACV262199 ACV327658:ACV327735 ACV393194:ACV393271 ACV458730:ACV458807 ACV524266:ACV524343 ACV589802:ACV589879 ACV655338:ACV655415 ACV720874:ACV720951 ACV786410:ACV786487 ACV851946:ACV852023 ACV917482:ACV917559 ACV983018:ACV983095 AMR2:AMR58 AMR65514:AMR65591 AMR131050:AMR131127 AMR196586:AMR196663 AMR262122:AMR262199 AMR327658:AMR327735 AMR393194:AMR393271 AMR458730:AMR458807 AMR524266:AMR524343 AMR589802:AMR589879 AMR655338:AMR655415 AMR720874:AMR720951 AMR786410:AMR786487 AMR851946:AMR852023 AMR917482:AMR917559 AMR983018:AMR983095 AWN2:AWN58 AWN65514:AWN65591 AWN131050:AWN131127 AWN196586:AWN196663 AWN262122:AWN262199 AWN327658:AWN327735 AWN393194:AWN393271 AWN458730:AWN458807 AWN524266:AWN524343 AWN589802:AWN589879 AWN655338:AWN655415 AWN720874:AWN720951 AWN786410:AWN786487 AWN851946:AWN852023 AWN917482:AWN917559 AWN983018:AWN983095 BGJ2:BGJ58 BGJ65514:BGJ65591 BGJ131050:BGJ131127 BGJ196586:BGJ196663 BGJ262122:BGJ262199 BGJ327658:BGJ327735 BGJ393194:BGJ393271 BGJ458730:BGJ458807 BGJ524266:BGJ524343 BGJ589802:BGJ589879 BGJ655338:BGJ655415 BGJ720874:BGJ720951 BGJ786410:BGJ786487 BGJ851946:BGJ852023 BGJ917482:BGJ917559 BGJ983018:BGJ983095 BQF2:BQF58 BQF65514:BQF65591 BQF131050:BQF131127 BQF196586:BQF196663 BQF262122:BQF262199 BQF327658:BQF327735 BQF393194:BQF393271 BQF458730:BQF458807 BQF524266:BQF524343 BQF589802:BQF589879 BQF655338:BQF655415 BQF720874:BQF720951 BQF786410:BQF786487 BQF851946:BQF852023 BQF917482:BQF917559 BQF983018:BQF983095 CAB2:CAB58 CAB65514:CAB65591 CAB131050:CAB131127 CAB196586:CAB196663 CAB262122:CAB262199 CAB327658:CAB327735 CAB393194:CAB393271 CAB458730:CAB458807 CAB524266:CAB524343 CAB589802:CAB589879 CAB655338:CAB655415 CAB720874:CAB720951 CAB786410:CAB786487 CAB851946:CAB852023 CAB917482:CAB917559 CAB983018:CAB983095 CJX2:CJX58 CJX65514:CJX65591 CJX131050:CJX131127 CJX196586:CJX196663 CJX262122:CJX262199 CJX327658:CJX327735 CJX393194:CJX393271 CJX458730:CJX458807 CJX524266:CJX524343 CJX589802:CJX589879 CJX655338:CJX655415 CJX720874:CJX720951 CJX786410:CJX786487 CJX851946:CJX852023 CJX917482:CJX917559 CJX983018:CJX983095 CTT2:CTT58 CTT65514:CTT65591 CTT131050:CTT131127 CTT196586:CTT196663 CTT262122:CTT262199 CTT327658:CTT327735 CTT393194:CTT393271 CTT458730:CTT458807 CTT524266:CTT524343 CTT589802:CTT589879 CTT655338:CTT655415 CTT720874:CTT720951 CTT786410:CTT786487 CTT851946:CTT852023 CTT917482:CTT917559 CTT983018:CTT983095 DDP2:DDP58 DDP65514:DDP65591 DDP131050:DDP131127 DDP196586:DDP196663 DDP262122:DDP262199 DDP327658:DDP327735 DDP393194:DDP393271 DDP458730:DDP458807 DDP524266:DDP524343 DDP589802:DDP589879 DDP655338:DDP655415 DDP720874:DDP720951 DDP786410:DDP786487 DDP851946:DDP852023 DDP917482:DDP917559 DDP983018:DDP983095 DNL2:DNL58 DNL65514:DNL65591 DNL131050:DNL131127 DNL196586:DNL196663 DNL262122:DNL262199 DNL327658:DNL327735 DNL393194:DNL393271 DNL458730:DNL458807 DNL524266:DNL524343 DNL589802:DNL589879 DNL655338:DNL655415 DNL720874:DNL720951 DNL786410:DNL786487 DNL851946:DNL852023 DNL917482:DNL917559 DNL983018:DNL983095 DXH2:DXH58 DXH65514:DXH65591 DXH131050:DXH131127 DXH196586:DXH196663 DXH262122:DXH262199 DXH327658:DXH327735 DXH393194:DXH393271 DXH458730:DXH458807 DXH524266:DXH524343 DXH589802:DXH589879 DXH655338:DXH655415 DXH720874:DXH720951 DXH786410:DXH786487 DXH851946:DXH852023 DXH917482:DXH917559 DXH983018:DXH983095 EHD2:EHD58 EHD65514:EHD65591 EHD131050:EHD131127 EHD196586:EHD196663 EHD262122:EHD262199 EHD327658:EHD327735 EHD393194:EHD393271 EHD458730:EHD458807 EHD524266:EHD524343 EHD589802:EHD589879 EHD655338:EHD655415 EHD720874:EHD720951 EHD786410:EHD786487 EHD851946:EHD852023 EHD917482:EHD917559 EHD983018:EHD983095 EQZ2:EQZ58 EQZ65514:EQZ65591 EQZ131050:EQZ131127 EQZ196586:EQZ196663 EQZ262122:EQZ262199 EQZ327658:EQZ327735 EQZ393194:EQZ393271 EQZ458730:EQZ458807 EQZ524266:EQZ524343 EQZ589802:EQZ589879 EQZ655338:EQZ655415 EQZ720874:EQZ720951 EQZ786410:EQZ786487 EQZ851946:EQZ852023 EQZ917482:EQZ917559 EQZ983018:EQZ983095 FAV2:FAV58 FAV65514:FAV65591 FAV131050:FAV131127 FAV196586:FAV196663 FAV262122:FAV262199 FAV327658:FAV327735 FAV393194:FAV393271 FAV458730:FAV458807 FAV524266:FAV524343 FAV589802:FAV589879 FAV655338:FAV655415 FAV720874:FAV720951 FAV786410:FAV786487 FAV851946:FAV852023 FAV917482:FAV917559 FAV983018:FAV983095 FKR2:FKR58 FKR65514:FKR65591 FKR131050:FKR131127 FKR196586:FKR196663 FKR262122:FKR262199 FKR327658:FKR327735 FKR393194:FKR393271 FKR458730:FKR458807 FKR524266:FKR524343 FKR589802:FKR589879 FKR655338:FKR655415 FKR720874:FKR720951 FKR786410:FKR786487 FKR851946:FKR852023 FKR917482:FKR917559 FKR983018:FKR983095 FUN2:FUN58 FUN65514:FUN65591 FUN131050:FUN131127 FUN196586:FUN196663 FUN262122:FUN262199 FUN327658:FUN327735 FUN393194:FUN393271 FUN458730:FUN458807 FUN524266:FUN524343 FUN589802:FUN589879 FUN655338:FUN655415 FUN720874:FUN720951 FUN786410:FUN786487 FUN851946:FUN852023 FUN917482:FUN917559 FUN983018:FUN983095 GEJ2:GEJ58 GEJ65514:GEJ65591 GEJ131050:GEJ131127 GEJ196586:GEJ196663 GEJ262122:GEJ262199 GEJ327658:GEJ327735 GEJ393194:GEJ393271 GEJ458730:GEJ458807 GEJ524266:GEJ524343 GEJ589802:GEJ589879 GEJ655338:GEJ655415 GEJ720874:GEJ720951 GEJ786410:GEJ786487 GEJ851946:GEJ852023 GEJ917482:GEJ917559 GEJ983018:GEJ983095 GOF2:GOF58 GOF65514:GOF65591 GOF131050:GOF131127 GOF196586:GOF196663 GOF262122:GOF262199 GOF327658:GOF327735 GOF393194:GOF393271 GOF458730:GOF458807 GOF524266:GOF524343 GOF589802:GOF589879 GOF655338:GOF655415 GOF720874:GOF720951 GOF786410:GOF786487 GOF851946:GOF852023 GOF917482:GOF917559 GOF983018:GOF983095 GYB2:GYB58 GYB65514:GYB65591 GYB131050:GYB131127 GYB196586:GYB196663 GYB262122:GYB262199 GYB327658:GYB327735 GYB393194:GYB393271 GYB458730:GYB458807 GYB524266:GYB524343 GYB589802:GYB589879 GYB655338:GYB655415 GYB720874:GYB720951 GYB786410:GYB786487 GYB851946:GYB852023 GYB917482:GYB917559 GYB983018:GYB983095 HHX2:HHX58 HHX65514:HHX65591 HHX131050:HHX131127 HHX196586:HHX196663 HHX262122:HHX262199 HHX327658:HHX327735 HHX393194:HHX393271 HHX458730:HHX458807 HHX524266:HHX524343 HHX589802:HHX589879 HHX655338:HHX655415 HHX720874:HHX720951 HHX786410:HHX786487 HHX851946:HHX852023 HHX917482:HHX917559 HHX983018:HHX983095 HRT2:HRT58 HRT65514:HRT65591 HRT131050:HRT131127 HRT196586:HRT196663 HRT262122:HRT262199 HRT327658:HRT327735 HRT393194:HRT393271 HRT458730:HRT458807 HRT524266:HRT524343 HRT589802:HRT589879 HRT655338:HRT655415 HRT720874:HRT720951 HRT786410:HRT786487 HRT851946:HRT852023 HRT917482:HRT917559 HRT983018:HRT983095 IBP2:IBP58 IBP65514:IBP65591 IBP131050:IBP131127 IBP196586:IBP196663 IBP262122:IBP262199 IBP327658:IBP327735 IBP393194:IBP393271 IBP458730:IBP458807 IBP524266:IBP524343 IBP589802:IBP589879 IBP655338:IBP655415 IBP720874:IBP720951 IBP786410:IBP786487 IBP851946:IBP852023 IBP917482:IBP917559 IBP983018:IBP983095 ILL2:ILL58 ILL65514:ILL65591 ILL131050:ILL131127 ILL196586:ILL196663 ILL262122:ILL262199 ILL327658:ILL327735 ILL393194:ILL393271 ILL458730:ILL458807 ILL524266:ILL524343 ILL589802:ILL589879 ILL655338:ILL655415 ILL720874:ILL720951 ILL786410:ILL786487 ILL851946:ILL852023 ILL917482:ILL917559 ILL983018:ILL983095 IVH2:IVH58 IVH65514:IVH65591 IVH131050:IVH131127 IVH196586:IVH196663 IVH262122:IVH262199 IVH327658:IVH327735 IVH393194:IVH393271 IVH458730:IVH458807 IVH524266:IVH524343 IVH589802:IVH589879 IVH655338:IVH655415 IVH720874:IVH720951 IVH786410:IVH786487 IVH851946:IVH852023 IVH917482:IVH917559 IVH983018:IVH983095 JFD2:JFD58 JFD65514:JFD65591 JFD131050:JFD131127 JFD196586:JFD196663 JFD262122:JFD262199 JFD327658:JFD327735 JFD393194:JFD393271 JFD458730:JFD458807 JFD524266:JFD524343 JFD589802:JFD589879 JFD655338:JFD655415 JFD720874:JFD720951 JFD786410:JFD786487 JFD851946:JFD852023 JFD917482:JFD917559 JFD983018:JFD983095 JOZ2:JOZ58 JOZ65514:JOZ65591 JOZ131050:JOZ131127 JOZ196586:JOZ196663 JOZ262122:JOZ262199 JOZ327658:JOZ327735 JOZ393194:JOZ393271 JOZ458730:JOZ458807 JOZ524266:JOZ524343 JOZ589802:JOZ589879 JOZ655338:JOZ655415 JOZ720874:JOZ720951 JOZ786410:JOZ786487 JOZ851946:JOZ852023 JOZ917482:JOZ917559 JOZ983018:JOZ983095 JYV2:JYV58 JYV65514:JYV65591 JYV131050:JYV131127 JYV196586:JYV196663 JYV262122:JYV262199 JYV327658:JYV327735 JYV393194:JYV393271 JYV458730:JYV458807 JYV524266:JYV524343 JYV589802:JYV589879 JYV655338:JYV655415 JYV720874:JYV720951 JYV786410:JYV786487 JYV851946:JYV852023 JYV917482:JYV917559 JYV983018:JYV983095 KIR2:KIR58 KIR65514:KIR65591 KIR131050:KIR131127 KIR196586:KIR196663 KIR262122:KIR262199 KIR327658:KIR327735 KIR393194:KIR393271 KIR458730:KIR458807 KIR524266:KIR524343 KIR589802:KIR589879 KIR655338:KIR655415 KIR720874:KIR720951 KIR786410:KIR786487 KIR851946:KIR852023 KIR917482:KIR917559 KIR983018:KIR983095 KSN2:KSN58 KSN65514:KSN65591 KSN131050:KSN131127 KSN196586:KSN196663 KSN262122:KSN262199 KSN327658:KSN327735 KSN393194:KSN393271 KSN458730:KSN458807 KSN524266:KSN524343 KSN589802:KSN589879 KSN655338:KSN655415 KSN720874:KSN720951 KSN786410:KSN786487 KSN851946:KSN852023 KSN917482:KSN917559 KSN983018:KSN983095 LCJ2:LCJ58 LCJ65514:LCJ65591 LCJ131050:LCJ131127 LCJ196586:LCJ196663 LCJ262122:LCJ262199 LCJ327658:LCJ327735 LCJ393194:LCJ393271 LCJ458730:LCJ458807 LCJ524266:LCJ524343 LCJ589802:LCJ589879 LCJ655338:LCJ655415 LCJ720874:LCJ720951 LCJ786410:LCJ786487 LCJ851946:LCJ852023 LCJ917482:LCJ917559 LCJ983018:LCJ983095 LMF2:LMF58 LMF65514:LMF65591 LMF131050:LMF131127 LMF196586:LMF196663 LMF262122:LMF262199 LMF327658:LMF327735 LMF393194:LMF393271 LMF458730:LMF458807 LMF524266:LMF524343 LMF589802:LMF589879 LMF655338:LMF655415 LMF720874:LMF720951 LMF786410:LMF786487 LMF851946:LMF852023 LMF917482:LMF917559 LMF983018:LMF983095 LWB2:LWB58 LWB65514:LWB65591 LWB131050:LWB131127 LWB196586:LWB196663 LWB262122:LWB262199 LWB327658:LWB327735 LWB393194:LWB393271 LWB458730:LWB458807 LWB524266:LWB524343 LWB589802:LWB589879 LWB655338:LWB655415 LWB720874:LWB720951 LWB786410:LWB786487 LWB851946:LWB852023 LWB917482:LWB917559 LWB983018:LWB983095 MFX2:MFX58 MFX65514:MFX65591 MFX131050:MFX131127 MFX196586:MFX196663 MFX262122:MFX262199 MFX327658:MFX327735 MFX393194:MFX393271 MFX458730:MFX458807 MFX524266:MFX524343 MFX589802:MFX589879 MFX655338:MFX655415 MFX720874:MFX720951 MFX786410:MFX786487 MFX851946:MFX852023 MFX917482:MFX917559 MFX983018:MFX983095 MPT2:MPT58 MPT65514:MPT65591 MPT131050:MPT131127 MPT196586:MPT196663 MPT262122:MPT262199 MPT327658:MPT327735 MPT393194:MPT393271 MPT458730:MPT458807 MPT524266:MPT524343 MPT589802:MPT589879 MPT655338:MPT655415 MPT720874:MPT720951 MPT786410:MPT786487 MPT851946:MPT852023 MPT917482:MPT917559 MPT983018:MPT983095 MZP2:MZP58 MZP65514:MZP65591 MZP131050:MZP131127 MZP196586:MZP196663 MZP262122:MZP262199 MZP327658:MZP327735 MZP393194:MZP393271 MZP458730:MZP458807 MZP524266:MZP524343 MZP589802:MZP589879 MZP655338:MZP655415 MZP720874:MZP720951 MZP786410:MZP786487 MZP851946:MZP852023 MZP917482:MZP917559 MZP983018:MZP983095 NJL2:NJL58 NJL65514:NJL65591 NJL131050:NJL131127 NJL196586:NJL196663 NJL262122:NJL262199 NJL327658:NJL327735 NJL393194:NJL393271 NJL458730:NJL458807 NJL524266:NJL524343 NJL589802:NJL589879 NJL655338:NJL655415 NJL720874:NJL720951 NJL786410:NJL786487 NJL851946:NJL852023 NJL917482:NJL917559 NJL983018:NJL983095 NTH2:NTH58 NTH65514:NTH65591 NTH131050:NTH131127 NTH196586:NTH196663 NTH262122:NTH262199 NTH327658:NTH327735 NTH393194:NTH393271 NTH458730:NTH458807 NTH524266:NTH524343 NTH589802:NTH589879 NTH655338:NTH655415 NTH720874:NTH720951 NTH786410:NTH786487 NTH851946:NTH852023 NTH917482:NTH917559 NTH983018:NTH983095 ODD2:ODD58 ODD65514:ODD65591 ODD131050:ODD131127 ODD196586:ODD196663 ODD262122:ODD262199 ODD327658:ODD327735 ODD393194:ODD393271 ODD458730:ODD458807 ODD524266:ODD524343 ODD589802:ODD589879 ODD655338:ODD655415 ODD720874:ODD720951 ODD786410:ODD786487 ODD851946:ODD852023 ODD917482:ODD917559 ODD983018:ODD983095 OMZ2:OMZ58 OMZ65514:OMZ65591 OMZ131050:OMZ131127 OMZ196586:OMZ196663 OMZ262122:OMZ262199 OMZ327658:OMZ327735 OMZ393194:OMZ393271 OMZ458730:OMZ458807 OMZ524266:OMZ524343 OMZ589802:OMZ589879 OMZ655338:OMZ655415 OMZ720874:OMZ720951 OMZ786410:OMZ786487 OMZ851946:OMZ852023 OMZ917482:OMZ917559 OMZ983018:OMZ983095 OWV2:OWV58 OWV65514:OWV65591 OWV131050:OWV131127 OWV196586:OWV196663 OWV262122:OWV262199 OWV327658:OWV327735 OWV393194:OWV393271 OWV458730:OWV458807 OWV524266:OWV524343 OWV589802:OWV589879 OWV655338:OWV655415 OWV720874:OWV720951 OWV786410:OWV786487 OWV851946:OWV852023 OWV917482:OWV917559 OWV983018:OWV983095 PGR2:PGR58 PGR65514:PGR65591 PGR131050:PGR131127 PGR196586:PGR196663 PGR262122:PGR262199 PGR327658:PGR327735 PGR393194:PGR393271 PGR458730:PGR458807 PGR524266:PGR524343 PGR589802:PGR589879 PGR655338:PGR655415 PGR720874:PGR720951 PGR786410:PGR786487 PGR851946:PGR852023 PGR917482:PGR917559 PGR983018:PGR983095 PQN2:PQN58 PQN65514:PQN65591 PQN131050:PQN131127 PQN196586:PQN196663 PQN262122:PQN262199 PQN327658:PQN327735 PQN393194:PQN393271 PQN458730:PQN458807 PQN524266:PQN524343 PQN589802:PQN589879 PQN655338:PQN655415 PQN720874:PQN720951 PQN786410:PQN786487 PQN851946:PQN852023 PQN917482:PQN917559 PQN983018:PQN983095 QAJ2:QAJ58 QAJ65514:QAJ65591 QAJ131050:QAJ131127 QAJ196586:QAJ196663 QAJ262122:QAJ262199 QAJ327658:QAJ327735 QAJ393194:QAJ393271 QAJ458730:QAJ458807 QAJ524266:QAJ524343 QAJ589802:QAJ589879 QAJ655338:QAJ655415 QAJ720874:QAJ720951 QAJ786410:QAJ786487 QAJ851946:QAJ852023 QAJ917482:QAJ917559 QAJ983018:QAJ983095 QKF2:QKF58 QKF65514:QKF65591 QKF131050:QKF131127 QKF196586:QKF196663 QKF262122:QKF262199 QKF327658:QKF327735 QKF393194:QKF393271 QKF458730:QKF458807 QKF524266:QKF524343 QKF589802:QKF589879 QKF655338:QKF655415 QKF720874:QKF720951 QKF786410:QKF786487 QKF851946:QKF852023 QKF917482:QKF917559 QKF983018:QKF983095 QUB2:QUB58 QUB65514:QUB65591 QUB131050:QUB131127 QUB196586:QUB196663 QUB262122:QUB262199 QUB327658:QUB327735 QUB393194:QUB393271 QUB458730:QUB458807 QUB524266:QUB524343 QUB589802:QUB589879 QUB655338:QUB655415 QUB720874:QUB720951 QUB786410:QUB786487 QUB851946:QUB852023 QUB917482:QUB917559 QUB983018:QUB983095 RDX2:RDX58 RDX65514:RDX65591 RDX131050:RDX131127 RDX196586:RDX196663 RDX262122:RDX262199 RDX327658:RDX327735 RDX393194:RDX393271 RDX458730:RDX458807 RDX524266:RDX524343 RDX589802:RDX589879 RDX655338:RDX655415 RDX720874:RDX720951 RDX786410:RDX786487 RDX851946:RDX852023 RDX917482:RDX917559 RDX983018:RDX983095 RNT2:RNT58 RNT65514:RNT65591 RNT131050:RNT131127 RNT196586:RNT196663 RNT262122:RNT262199 RNT327658:RNT327735 RNT393194:RNT393271 RNT458730:RNT458807 RNT524266:RNT524343 RNT589802:RNT589879 RNT655338:RNT655415 RNT720874:RNT720951 RNT786410:RNT786487 RNT851946:RNT852023 RNT917482:RNT917559 RNT983018:RNT983095 RXP2:RXP58 RXP65514:RXP65591 RXP131050:RXP131127 RXP196586:RXP196663 RXP262122:RXP262199 RXP327658:RXP327735 RXP393194:RXP393271 RXP458730:RXP458807 RXP524266:RXP524343 RXP589802:RXP589879 RXP655338:RXP655415 RXP720874:RXP720951 RXP786410:RXP786487 RXP851946:RXP852023 RXP917482:RXP917559 RXP983018:RXP983095 SHL2:SHL58 SHL65514:SHL65591 SHL131050:SHL131127 SHL196586:SHL196663 SHL262122:SHL262199 SHL327658:SHL327735 SHL393194:SHL393271 SHL458730:SHL458807 SHL524266:SHL524343 SHL589802:SHL589879 SHL655338:SHL655415 SHL720874:SHL720951 SHL786410:SHL786487 SHL851946:SHL852023 SHL917482:SHL917559 SHL983018:SHL983095 SRH2:SRH58 SRH65514:SRH65591 SRH131050:SRH131127 SRH196586:SRH196663 SRH262122:SRH262199 SRH327658:SRH327735 SRH393194:SRH393271 SRH458730:SRH458807 SRH524266:SRH524343 SRH589802:SRH589879 SRH655338:SRH655415 SRH720874:SRH720951 SRH786410:SRH786487 SRH851946:SRH852023 SRH917482:SRH917559 SRH983018:SRH983095 TBD2:TBD58 TBD65514:TBD65591 TBD131050:TBD131127 TBD196586:TBD196663 TBD262122:TBD262199 TBD327658:TBD327735 TBD393194:TBD393271 TBD458730:TBD458807 TBD524266:TBD524343 TBD589802:TBD589879 TBD655338:TBD655415 TBD720874:TBD720951 TBD786410:TBD786487 TBD851946:TBD852023 TBD917482:TBD917559 TBD983018:TBD983095 TKZ2:TKZ58 TKZ65514:TKZ65591 TKZ131050:TKZ131127 TKZ196586:TKZ196663 TKZ262122:TKZ262199 TKZ327658:TKZ327735 TKZ393194:TKZ393271 TKZ458730:TKZ458807 TKZ524266:TKZ524343 TKZ589802:TKZ589879 TKZ655338:TKZ655415 TKZ720874:TKZ720951 TKZ786410:TKZ786487 TKZ851946:TKZ852023 TKZ917482:TKZ917559 TKZ983018:TKZ983095 TUV2:TUV58 TUV65514:TUV65591 TUV131050:TUV131127 TUV196586:TUV196663 TUV262122:TUV262199 TUV327658:TUV327735 TUV393194:TUV393271 TUV458730:TUV458807 TUV524266:TUV524343 TUV589802:TUV589879 TUV655338:TUV655415 TUV720874:TUV720951 TUV786410:TUV786487 TUV851946:TUV852023 TUV917482:TUV917559 TUV983018:TUV983095 UER2:UER58 UER65514:UER65591 UER131050:UER131127 UER196586:UER196663 UER262122:UER262199 UER327658:UER327735 UER393194:UER393271 UER458730:UER458807 UER524266:UER524343 UER589802:UER589879 UER655338:UER655415 UER720874:UER720951 UER786410:UER786487 UER851946:UER852023 UER917482:UER917559 UER983018:UER983095 UON2:UON58 UON65514:UON65591 UON131050:UON131127 UON196586:UON196663 UON262122:UON262199 UON327658:UON327735 UON393194:UON393271 UON458730:UON458807 UON524266:UON524343 UON589802:UON589879 UON655338:UON655415 UON720874:UON720951 UON786410:UON786487 UON851946:UON852023 UON917482:UON917559 UON983018:UON983095 UYJ2:UYJ58 UYJ65514:UYJ65591 UYJ131050:UYJ131127 UYJ196586:UYJ196663 UYJ262122:UYJ262199 UYJ327658:UYJ327735 UYJ393194:UYJ393271 UYJ458730:UYJ458807 UYJ524266:UYJ524343 UYJ589802:UYJ589879 UYJ655338:UYJ655415 UYJ720874:UYJ720951 UYJ786410:UYJ786487 UYJ851946:UYJ852023 UYJ917482:UYJ917559 UYJ983018:UYJ983095 VIF2:VIF58 VIF65514:VIF65591 VIF131050:VIF131127 VIF196586:VIF196663 VIF262122:VIF262199 VIF327658:VIF327735 VIF393194:VIF393271 VIF458730:VIF458807 VIF524266:VIF524343 VIF589802:VIF589879 VIF655338:VIF655415 VIF720874:VIF720951 VIF786410:VIF786487 VIF851946:VIF852023 VIF917482:VIF917559 VIF983018:VIF983095 VSB2:VSB58 VSB65514:VSB65591 VSB131050:VSB131127 VSB196586:VSB196663 VSB262122:VSB262199 VSB327658:VSB327735 VSB393194:VSB393271 VSB458730:VSB458807 VSB524266:VSB524343 VSB589802:VSB589879 VSB655338:VSB655415 VSB720874:VSB720951 VSB786410:VSB786487 VSB851946:VSB852023 VSB917482:VSB917559 VSB983018:VSB983095 WBX2:WBX58 WBX65514:WBX65591 WBX131050:WBX131127 WBX196586:WBX196663 WBX262122:WBX262199 WBX327658:WBX327735 WBX393194:WBX393271 WBX458730:WBX458807 WBX524266:WBX524343 WBX589802:WBX589879 WBX655338:WBX655415 WBX720874:WBX720951 WBX786410:WBX786487 WBX851946:WBX852023 WBX917482:WBX917559 WBX983018:WBX983095 WLT2:WLT58 WLT65514:WLT65591 WLT131050:WLT131127 WLT196586:WLT196663 WLT262122:WLT262199 WLT327658:WLT327735 WLT393194:WLT393271 WLT458730:WLT458807 WLT524266:WLT524343 WLT589802:WLT589879 WLT655338:WLT655415 WLT720874:WLT720951 WLT786410:WLT786487 WLT851946:WLT852023 WLT917482:WLT917559 WLT983018:WLT983095 WVP2:WVP58 WVP65514:WVP65591 WVP131050:WVP131127 WVP196586:WVP196663 WVP262122:WVP262199 WVP327658:WVP327735 WVP393194:WVP393271 WVP458730:WVP458807 WVP524266:WVP524343 WVP589802:WVP589879 WVP655338:WVP655415 WVP720874:WVP720951 WVP786410:WVP786487 WVP851946:WVP852023 WVP917482:WVP917559 WVP983018:WVP983095">
      <formula1>$AL$4:$AL$12</formula1>
    </dataValidation>
    <dataValidation type="list" allowBlank="1" showInputMessage="1" showErrorMessage="1" sqref="K2:K476 K65514:K65591 K131050:K131127 K196586:K196663 K262122:K262199 K327658:K327735 K393194:K393271 K458730:K458807 K524266:K524343 K589802:K589879 K655338:K655415 K720874:K720951 K786410:K786487 K851946:K852023 K917482:K917559 K983018:K983095 JG2:JG58 JG65514:JG65591 JG131050:JG131127 JG196586:JG196663 JG262122:JG262199 JG327658:JG327735 JG393194:JG393271 JG458730:JG458807 JG524266:JG524343 JG589802:JG589879 JG655338:JG655415 JG720874:JG720951 JG786410:JG786487 JG851946:JG852023 JG917482:JG917559 JG983018:JG983095 TC2:TC58 TC65514:TC65591 TC131050:TC131127 TC196586:TC196663 TC262122:TC262199 TC327658:TC327735 TC393194:TC393271 TC458730:TC458807 TC524266:TC524343 TC589802:TC589879 TC655338:TC655415 TC720874:TC720951 TC786410:TC786487 TC851946:TC852023 TC917482:TC917559 TC983018:TC983095 ACY2:ACY58 ACY65514:ACY65591 ACY131050:ACY131127 ACY196586:ACY196663 ACY262122:ACY262199 ACY327658:ACY327735 ACY393194:ACY393271 ACY458730:ACY458807 ACY524266:ACY524343 ACY589802:ACY589879 ACY655338:ACY655415 ACY720874:ACY720951 ACY786410:ACY786487 ACY851946:ACY852023 ACY917482:ACY917559 ACY983018:ACY983095 AMU2:AMU58 AMU65514:AMU65591 AMU131050:AMU131127 AMU196586:AMU196663 AMU262122:AMU262199 AMU327658:AMU327735 AMU393194:AMU393271 AMU458730:AMU458807 AMU524266:AMU524343 AMU589802:AMU589879 AMU655338:AMU655415 AMU720874:AMU720951 AMU786410:AMU786487 AMU851946:AMU852023 AMU917482:AMU917559 AMU983018:AMU983095 AWQ2:AWQ58 AWQ65514:AWQ65591 AWQ131050:AWQ131127 AWQ196586:AWQ196663 AWQ262122:AWQ262199 AWQ327658:AWQ327735 AWQ393194:AWQ393271 AWQ458730:AWQ458807 AWQ524266:AWQ524343 AWQ589802:AWQ589879 AWQ655338:AWQ655415 AWQ720874:AWQ720951 AWQ786410:AWQ786487 AWQ851946:AWQ852023 AWQ917482:AWQ917559 AWQ983018:AWQ983095 BGM2:BGM58 BGM65514:BGM65591 BGM131050:BGM131127 BGM196586:BGM196663 BGM262122:BGM262199 BGM327658:BGM327735 BGM393194:BGM393271 BGM458730:BGM458807 BGM524266:BGM524343 BGM589802:BGM589879 BGM655338:BGM655415 BGM720874:BGM720951 BGM786410:BGM786487 BGM851946:BGM852023 BGM917482:BGM917559 BGM983018:BGM983095 BQI2:BQI58 BQI65514:BQI65591 BQI131050:BQI131127 BQI196586:BQI196663 BQI262122:BQI262199 BQI327658:BQI327735 BQI393194:BQI393271 BQI458730:BQI458807 BQI524266:BQI524343 BQI589802:BQI589879 BQI655338:BQI655415 BQI720874:BQI720951 BQI786410:BQI786487 BQI851946:BQI852023 BQI917482:BQI917559 BQI983018:BQI983095 CAE2:CAE58 CAE65514:CAE65591 CAE131050:CAE131127 CAE196586:CAE196663 CAE262122:CAE262199 CAE327658:CAE327735 CAE393194:CAE393271 CAE458730:CAE458807 CAE524266:CAE524343 CAE589802:CAE589879 CAE655338:CAE655415 CAE720874:CAE720951 CAE786410:CAE786487 CAE851946:CAE852023 CAE917482:CAE917559 CAE983018:CAE983095 CKA2:CKA58 CKA65514:CKA65591 CKA131050:CKA131127 CKA196586:CKA196663 CKA262122:CKA262199 CKA327658:CKA327735 CKA393194:CKA393271 CKA458730:CKA458807 CKA524266:CKA524343 CKA589802:CKA589879 CKA655338:CKA655415 CKA720874:CKA720951 CKA786410:CKA786487 CKA851946:CKA852023 CKA917482:CKA917559 CKA983018:CKA983095 CTW2:CTW58 CTW65514:CTW65591 CTW131050:CTW131127 CTW196586:CTW196663 CTW262122:CTW262199 CTW327658:CTW327735 CTW393194:CTW393271 CTW458730:CTW458807 CTW524266:CTW524343 CTW589802:CTW589879 CTW655338:CTW655415 CTW720874:CTW720951 CTW786410:CTW786487 CTW851946:CTW852023 CTW917482:CTW917559 CTW983018:CTW983095 DDS2:DDS58 DDS65514:DDS65591 DDS131050:DDS131127 DDS196586:DDS196663 DDS262122:DDS262199 DDS327658:DDS327735 DDS393194:DDS393271 DDS458730:DDS458807 DDS524266:DDS524343 DDS589802:DDS589879 DDS655338:DDS655415 DDS720874:DDS720951 DDS786410:DDS786487 DDS851946:DDS852023 DDS917482:DDS917559 DDS983018:DDS983095 DNO2:DNO58 DNO65514:DNO65591 DNO131050:DNO131127 DNO196586:DNO196663 DNO262122:DNO262199 DNO327658:DNO327735 DNO393194:DNO393271 DNO458730:DNO458807 DNO524266:DNO524343 DNO589802:DNO589879 DNO655338:DNO655415 DNO720874:DNO720951 DNO786410:DNO786487 DNO851946:DNO852023 DNO917482:DNO917559 DNO983018:DNO983095 DXK2:DXK58 DXK65514:DXK65591 DXK131050:DXK131127 DXK196586:DXK196663 DXK262122:DXK262199 DXK327658:DXK327735 DXK393194:DXK393271 DXK458730:DXK458807 DXK524266:DXK524343 DXK589802:DXK589879 DXK655338:DXK655415 DXK720874:DXK720951 DXK786410:DXK786487 DXK851946:DXK852023 DXK917482:DXK917559 DXK983018:DXK983095 EHG2:EHG58 EHG65514:EHG65591 EHG131050:EHG131127 EHG196586:EHG196663 EHG262122:EHG262199 EHG327658:EHG327735 EHG393194:EHG393271 EHG458730:EHG458807 EHG524266:EHG524343 EHG589802:EHG589879 EHG655338:EHG655415 EHG720874:EHG720951 EHG786410:EHG786487 EHG851946:EHG852023 EHG917482:EHG917559 EHG983018:EHG983095 ERC2:ERC58 ERC65514:ERC65591 ERC131050:ERC131127 ERC196586:ERC196663 ERC262122:ERC262199 ERC327658:ERC327735 ERC393194:ERC393271 ERC458730:ERC458807 ERC524266:ERC524343 ERC589802:ERC589879 ERC655338:ERC655415 ERC720874:ERC720951 ERC786410:ERC786487 ERC851946:ERC852023 ERC917482:ERC917559 ERC983018:ERC983095 FAY2:FAY58 FAY65514:FAY65591 FAY131050:FAY131127 FAY196586:FAY196663 FAY262122:FAY262199 FAY327658:FAY327735 FAY393194:FAY393271 FAY458730:FAY458807 FAY524266:FAY524343 FAY589802:FAY589879 FAY655338:FAY655415 FAY720874:FAY720951 FAY786410:FAY786487 FAY851946:FAY852023 FAY917482:FAY917559 FAY983018:FAY983095 FKU2:FKU58 FKU65514:FKU65591 FKU131050:FKU131127 FKU196586:FKU196663 FKU262122:FKU262199 FKU327658:FKU327735 FKU393194:FKU393271 FKU458730:FKU458807 FKU524266:FKU524343 FKU589802:FKU589879 FKU655338:FKU655415 FKU720874:FKU720951 FKU786410:FKU786487 FKU851946:FKU852023 FKU917482:FKU917559 FKU983018:FKU983095 FUQ2:FUQ58 FUQ65514:FUQ65591 FUQ131050:FUQ131127 FUQ196586:FUQ196663 FUQ262122:FUQ262199 FUQ327658:FUQ327735 FUQ393194:FUQ393271 FUQ458730:FUQ458807 FUQ524266:FUQ524343 FUQ589802:FUQ589879 FUQ655338:FUQ655415 FUQ720874:FUQ720951 FUQ786410:FUQ786487 FUQ851946:FUQ852023 FUQ917482:FUQ917559 FUQ983018:FUQ983095 GEM2:GEM58 GEM65514:GEM65591 GEM131050:GEM131127 GEM196586:GEM196663 GEM262122:GEM262199 GEM327658:GEM327735 GEM393194:GEM393271 GEM458730:GEM458807 GEM524266:GEM524343 GEM589802:GEM589879 GEM655338:GEM655415 GEM720874:GEM720951 GEM786410:GEM786487 GEM851946:GEM852023 GEM917482:GEM917559 GEM983018:GEM983095 GOI2:GOI58 GOI65514:GOI65591 GOI131050:GOI131127 GOI196586:GOI196663 GOI262122:GOI262199 GOI327658:GOI327735 GOI393194:GOI393271 GOI458730:GOI458807 GOI524266:GOI524343 GOI589802:GOI589879 GOI655338:GOI655415 GOI720874:GOI720951 GOI786410:GOI786487 GOI851946:GOI852023 GOI917482:GOI917559 GOI983018:GOI983095 GYE2:GYE58 GYE65514:GYE65591 GYE131050:GYE131127 GYE196586:GYE196663 GYE262122:GYE262199 GYE327658:GYE327735 GYE393194:GYE393271 GYE458730:GYE458807 GYE524266:GYE524343 GYE589802:GYE589879 GYE655338:GYE655415 GYE720874:GYE720951 GYE786410:GYE786487 GYE851946:GYE852023 GYE917482:GYE917559 GYE983018:GYE983095 HIA2:HIA58 HIA65514:HIA65591 HIA131050:HIA131127 HIA196586:HIA196663 HIA262122:HIA262199 HIA327658:HIA327735 HIA393194:HIA393271 HIA458730:HIA458807 HIA524266:HIA524343 HIA589802:HIA589879 HIA655338:HIA655415 HIA720874:HIA720951 HIA786410:HIA786487 HIA851946:HIA852023 HIA917482:HIA917559 HIA983018:HIA983095 HRW2:HRW58 HRW65514:HRW65591 HRW131050:HRW131127 HRW196586:HRW196663 HRW262122:HRW262199 HRW327658:HRW327735 HRW393194:HRW393271 HRW458730:HRW458807 HRW524266:HRW524343 HRW589802:HRW589879 HRW655338:HRW655415 HRW720874:HRW720951 HRW786410:HRW786487 HRW851946:HRW852023 HRW917482:HRW917559 HRW983018:HRW983095 IBS2:IBS58 IBS65514:IBS65591 IBS131050:IBS131127 IBS196586:IBS196663 IBS262122:IBS262199 IBS327658:IBS327735 IBS393194:IBS393271 IBS458730:IBS458807 IBS524266:IBS524343 IBS589802:IBS589879 IBS655338:IBS655415 IBS720874:IBS720951 IBS786410:IBS786487 IBS851946:IBS852023 IBS917482:IBS917559 IBS983018:IBS983095 ILO2:ILO58 ILO65514:ILO65591 ILO131050:ILO131127 ILO196586:ILO196663 ILO262122:ILO262199 ILO327658:ILO327735 ILO393194:ILO393271 ILO458730:ILO458807 ILO524266:ILO524343 ILO589802:ILO589879 ILO655338:ILO655415 ILO720874:ILO720951 ILO786410:ILO786487 ILO851946:ILO852023 ILO917482:ILO917559 ILO983018:ILO983095 IVK2:IVK58 IVK65514:IVK65591 IVK131050:IVK131127 IVK196586:IVK196663 IVK262122:IVK262199 IVK327658:IVK327735 IVK393194:IVK393271 IVK458730:IVK458807 IVK524266:IVK524343 IVK589802:IVK589879 IVK655338:IVK655415 IVK720874:IVK720951 IVK786410:IVK786487 IVK851946:IVK852023 IVK917482:IVK917559 IVK983018:IVK983095 JFG2:JFG58 JFG65514:JFG65591 JFG131050:JFG131127 JFG196586:JFG196663 JFG262122:JFG262199 JFG327658:JFG327735 JFG393194:JFG393271 JFG458730:JFG458807 JFG524266:JFG524343 JFG589802:JFG589879 JFG655338:JFG655415 JFG720874:JFG720951 JFG786410:JFG786487 JFG851946:JFG852023 JFG917482:JFG917559 JFG983018:JFG983095 JPC2:JPC58 JPC65514:JPC65591 JPC131050:JPC131127 JPC196586:JPC196663 JPC262122:JPC262199 JPC327658:JPC327735 JPC393194:JPC393271 JPC458730:JPC458807 JPC524266:JPC524343 JPC589802:JPC589879 JPC655338:JPC655415 JPC720874:JPC720951 JPC786410:JPC786487 JPC851946:JPC852023 JPC917482:JPC917559 JPC983018:JPC983095 JYY2:JYY58 JYY65514:JYY65591 JYY131050:JYY131127 JYY196586:JYY196663 JYY262122:JYY262199 JYY327658:JYY327735 JYY393194:JYY393271 JYY458730:JYY458807 JYY524266:JYY524343 JYY589802:JYY589879 JYY655338:JYY655415 JYY720874:JYY720951 JYY786410:JYY786487 JYY851946:JYY852023 JYY917482:JYY917559 JYY983018:JYY983095 KIU2:KIU58 KIU65514:KIU65591 KIU131050:KIU131127 KIU196586:KIU196663 KIU262122:KIU262199 KIU327658:KIU327735 KIU393194:KIU393271 KIU458730:KIU458807 KIU524266:KIU524343 KIU589802:KIU589879 KIU655338:KIU655415 KIU720874:KIU720951 KIU786410:KIU786487 KIU851946:KIU852023 KIU917482:KIU917559 KIU983018:KIU983095 KSQ2:KSQ58 KSQ65514:KSQ65591 KSQ131050:KSQ131127 KSQ196586:KSQ196663 KSQ262122:KSQ262199 KSQ327658:KSQ327735 KSQ393194:KSQ393271 KSQ458730:KSQ458807 KSQ524266:KSQ524343 KSQ589802:KSQ589879 KSQ655338:KSQ655415 KSQ720874:KSQ720951 KSQ786410:KSQ786487 KSQ851946:KSQ852023 KSQ917482:KSQ917559 KSQ983018:KSQ983095 LCM2:LCM58 LCM65514:LCM65591 LCM131050:LCM131127 LCM196586:LCM196663 LCM262122:LCM262199 LCM327658:LCM327735 LCM393194:LCM393271 LCM458730:LCM458807 LCM524266:LCM524343 LCM589802:LCM589879 LCM655338:LCM655415 LCM720874:LCM720951 LCM786410:LCM786487 LCM851946:LCM852023 LCM917482:LCM917559 LCM983018:LCM983095 LMI2:LMI58 LMI65514:LMI65591 LMI131050:LMI131127 LMI196586:LMI196663 LMI262122:LMI262199 LMI327658:LMI327735 LMI393194:LMI393271 LMI458730:LMI458807 LMI524266:LMI524343 LMI589802:LMI589879 LMI655338:LMI655415 LMI720874:LMI720951 LMI786410:LMI786487 LMI851946:LMI852023 LMI917482:LMI917559 LMI983018:LMI983095 LWE2:LWE58 LWE65514:LWE65591 LWE131050:LWE131127 LWE196586:LWE196663 LWE262122:LWE262199 LWE327658:LWE327735 LWE393194:LWE393271 LWE458730:LWE458807 LWE524266:LWE524343 LWE589802:LWE589879 LWE655338:LWE655415 LWE720874:LWE720951 LWE786410:LWE786487 LWE851946:LWE852023 LWE917482:LWE917559 LWE983018:LWE983095 MGA2:MGA58 MGA65514:MGA65591 MGA131050:MGA131127 MGA196586:MGA196663 MGA262122:MGA262199 MGA327658:MGA327735 MGA393194:MGA393271 MGA458730:MGA458807 MGA524266:MGA524343 MGA589802:MGA589879 MGA655338:MGA655415 MGA720874:MGA720951 MGA786410:MGA786487 MGA851946:MGA852023 MGA917482:MGA917559 MGA983018:MGA983095 MPW2:MPW58 MPW65514:MPW65591 MPW131050:MPW131127 MPW196586:MPW196663 MPW262122:MPW262199 MPW327658:MPW327735 MPW393194:MPW393271 MPW458730:MPW458807 MPW524266:MPW524343 MPW589802:MPW589879 MPW655338:MPW655415 MPW720874:MPW720951 MPW786410:MPW786487 MPW851946:MPW852023 MPW917482:MPW917559 MPW983018:MPW983095 MZS2:MZS58 MZS65514:MZS65591 MZS131050:MZS131127 MZS196586:MZS196663 MZS262122:MZS262199 MZS327658:MZS327735 MZS393194:MZS393271 MZS458730:MZS458807 MZS524266:MZS524343 MZS589802:MZS589879 MZS655338:MZS655415 MZS720874:MZS720951 MZS786410:MZS786487 MZS851946:MZS852023 MZS917482:MZS917559 MZS983018:MZS983095 NJO2:NJO58 NJO65514:NJO65591 NJO131050:NJO131127 NJO196586:NJO196663 NJO262122:NJO262199 NJO327658:NJO327735 NJO393194:NJO393271 NJO458730:NJO458807 NJO524266:NJO524343 NJO589802:NJO589879 NJO655338:NJO655415 NJO720874:NJO720951 NJO786410:NJO786487 NJO851946:NJO852023 NJO917482:NJO917559 NJO983018:NJO983095 NTK2:NTK58 NTK65514:NTK65591 NTK131050:NTK131127 NTK196586:NTK196663 NTK262122:NTK262199 NTK327658:NTK327735 NTK393194:NTK393271 NTK458730:NTK458807 NTK524266:NTK524343 NTK589802:NTK589879 NTK655338:NTK655415 NTK720874:NTK720951 NTK786410:NTK786487 NTK851946:NTK852023 NTK917482:NTK917559 NTK983018:NTK983095 ODG2:ODG58 ODG65514:ODG65591 ODG131050:ODG131127 ODG196586:ODG196663 ODG262122:ODG262199 ODG327658:ODG327735 ODG393194:ODG393271 ODG458730:ODG458807 ODG524266:ODG524343 ODG589802:ODG589879 ODG655338:ODG655415 ODG720874:ODG720951 ODG786410:ODG786487 ODG851946:ODG852023 ODG917482:ODG917559 ODG983018:ODG983095 ONC2:ONC58 ONC65514:ONC65591 ONC131050:ONC131127 ONC196586:ONC196663 ONC262122:ONC262199 ONC327658:ONC327735 ONC393194:ONC393271 ONC458730:ONC458807 ONC524266:ONC524343 ONC589802:ONC589879 ONC655338:ONC655415 ONC720874:ONC720951 ONC786410:ONC786487 ONC851946:ONC852023 ONC917482:ONC917559 ONC983018:ONC983095 OWY2:OWY58 OWY65514:OWY65591 OWY131050:OWY131127 OWY196586:OWY196663 OWY262122:OWY262199 OWY327658:OWY327735 OWY393194:OWY393271 OWY458730:OWY458807 OWY524266:OWY524343 OWY589802:OWY589879 OWY655338:OWY655415 OWY720874:OWY720951 OWY786410:OWY786487 OWY851946:OWY852023 OWY917482:OWY917559 OWY983018:OWY983095 PGU2:PGU58 PGU65514:PGU65591 PGU131050:PGU131127 PGU196586:PGU196663 PGU262122:PGU262199 PGU327658:PGU327735 PGU393194:PGU393271 PGU458730:PGU458807 PGU524266:PGU524343 PGU589802:PGU589879 PGU655338:PGU655415 PGU720874:PGU720951 PGU786410:PGU786487 PGU851946:PGU852023 PGU917482:PGU917559 PGU983018:PGU983095 PQQ2:PQQ58 PQQ65514:PQQ65591 PQQ131050:PQQ131127 PQQ196586:PQQ196663 PQQ262122:PQQ262199 PQQ327658:PQQ327735 PQQ393194:PQQ393271 PQQ458730:PQQ458807 PQQ524266:PQQ524343 PQQ589802:PQQ589879 PQQ655338:PQQ655415 PQQ720874:PQQ720951 PQQ786410:PQQ786487 PQQ851946:PQQ852023 PQQ917482:PQQ917559 PQQ983018:PQQ983095 QAM2:QAM58 QAM65514:QAM65591 QAM131050:QAM131127 QAM196586:QAM196663 QAM262122:QAM262199 QAM327658:QAM327735 QAM393194:QAM393271 QAM458730:QAM458807 QAM524266:QAM524343 QAM589802:QAM589879 QAM655338:QAM655415 QAM720874:QAM720951 QAM786410:QAM786487 QAM851946:QAM852023 QAM917482:QAM917559 QAM983018:QAM983095 QKI2:QKI58 QKI65514:QKI65591 QKI131050:QKI131127 QKI196586:QKI196663 QKI262122:QKI262199 QKI327658:QKI327735 QKI393194:QKI393271 QKI458730:QKI458807 QKI524266:QKI524343 QKI589802:QKI589879 QKI655338:QKI655415 QKI720874:QKI720951 QKI786410:QKI786487 QKI851946:QKI852023 QKI917482:QKI917559 QKI983018:QKI983095 QUE2:QUE58 QUE65514:QUE65591 QUE131050:QUE131127 QUE196586:QUE196663 QUE262122:QUE262199 QUE327658:QUE327735 QUE393194:QUE393271 QUE458730:QUE458807 QUE524266:QUE524343 QUE589802:QUE589879 QUE655338:QUE655415 QUE720874:QUE720951 QUE786410:QUE786487 QUE851946:QUE852023 QUE917482:QUE917559 QUE983018:QUE983095 REA2:REA58 REA65514:REA65591 REA131050:REA131127 REA196586:REA196663 REA262122:REA262199 REA327658:REA327735 REA393194:REA393271 REA458730:REA458807 REA524266:REA524343 REA589802:REA589879 REA655338:REA655415 REA720874:REA720951 REA786410:REA786487 REA851946:REA852023 REA917482:REA917559 REA983018:REA983095 RNW2:RNW58 RNW65514:RNW65591 RNW131050:RNW131127 RNW196586:RNW196663 RNW262122:RNW262199 RNW327658:RNW327735 RNW393194:RNW393271 RNW458730:RNW458807 RNW524266:RNW524343 RNW589802:RNW589879 RNW655338:RNW655415 RNW720874:RNW720951 RNW786410:RNW786487 RNW851946:RNW852023 RNW917482:RNW917559 RNW983018:RNW983095 RXS2:RXS58 RXS65514:RXS65591 RXS131050:RXS131127 RXS196586:RXS196663 RXS262122:RXS262199 RXS327658:RXS327735 RXS393194:RXS393271 RXS458730:RXS458807 RXS524266:RXS524343 RXS589802:RXS589879 RXS655338:RXS655415 RXS720874:RXS720951 RXS786410:RXS786487 RXS851946:RXS852023 RXS917482:RXS917559 RXS983018:RXS983095 SHO2:SHO58 SHO65514:SHO65591 SHO131050:SHO131127 SHO196586:SHO196663 SHO262122:SHO262199 SHO327658:SHO327735 SHO393194:SHO393271 SHO458730:SHO458807 SHO524266:SHO524343 SHO589802:SHO589879 SHO655338:SHO655415 SHO720874:SHO720951 SHO786410:SHO786487 SHO851946:SHO852023 SHO917482:SHO917559 SHO983018:SHO983095 SRK2:SRK58 SRK65514:SRK65591 SRK131050:SRK131127 SRK196586:SRK196663 SRK262122:SRK262199 SRK327658:SRK327735 SRK393194:SRK393271 SRK458730:SRK458807 SRK524266:SRK524343 SRK589802:SRK589879 SRK655338:SRK655415 SRK720874:SRK720951 SRK786410:SRK786487 SRK851946:SRK852023 SRK917482:SRK917559 SRK983018:SRK983095 TBG2:TBG58 TBG65514:TBG65591 TBG131050:TBG131127 TBG196586:TBG196663 TBG262122:TBG262199 TBG327658:TBG327735 TBG393194:TBG393271 TBG458730:TBG458807 TBG524266:TBG524343 TBG589802:TBG589879 TBG655338:TBG655415 TBG720874:TBG720951 TBG786410:TBG786487 TBG851946:TBG852023 TBG917482:TBG917559 TBG983018:TBG983095 TLC2:TLC58 TLC65514:TLC65591 TLC131050:TLC131127 TLC196586:TLC196663 TLC262122:TLC262199 TLC327658:TLC327735 TLC393194:TLC393271 TLC458730:TLC458807 TLC524266:TLC524343 TLC589802:TLC589879 TLC655338:TLC655415 TLC720874:TLC720951 TLC786410:TLC786487 TLC851946:TLC852023 TLC917482:TLC917559 TLC983018:TLC983095 TUY2:TUY58 TUY65514:TUY65591 TUY131050:TUY131127 TUY196586:TUY196663 TUY262122:TUY262199 TUY327658:TUY327735 TUY393194:TUY393271 TUY458730:TUY458807 TUY524266:TUY524343 TUY589802:TUY589879 TUY655338:TUY655415 TUY720874:TUY720951 TUY786410:TUY786487 TUY851946:TUY852023 TUY917482:TUY917559 TUY983018:TUY983095 UEU2:UEU58 UEU65514:UEU65591 UEU131050:UEU131127 UEU196586:UEU196663 UEU262122:UEU262199 UEU327658:UEU327735 UEU393194:UEU393271 UEU458730:UEU458807 UEU524266:UEU524343 UEU589802:UEU589879 UEU655338:UEU655415 UEU720874:UEU720951 UEU786410:UEU786487 UEU851946:UEU852023 UEU917482:UEU917559 UEU983018:UEU983095 UOQ2:UOQ58 UOQ65514:UOQ65591 UOQ131050:UOQ131127 UOQ196586:UOQ196663 UOQ262122:UOQ262199 UOQ327658:UOQ327735 UOQ393194:UOQ393271 UOQ458730:UOQ458807 UOQ524266:UOQ524343 UOQ589802:UOQ589879 UOQ655338:UOQ655415 UOQ720874:UOQ720951 UOQ786410:UOQ786487 UOQ851946:UOQ852023 UOQ917482:UOQ917559 UOQ983018:UOQ983095 UYM2:UYM58 UYM65514:UYM65591 UYM131050:UYM131127 UYM196586:UYM196663 UYM262122:UYM262199 UYM327658:UYM327735 UYM393194:UYM393271 UYM458730:UYM458807 UYM524266:UYM524343 UYM589802:UYM589879 UYM655338:UYM655415 UYM720874:UYM720951 UYM786410:UYM786487 UYM851946:UYM852023 UYM917482:UYM917559 UYM983018:UYM983095 VII2:VII58 VII65514:VII65591 VII131050:VII131127 VII196586:VII196663 VII262122:VII262199 VII327658:VII327735 VII393194:VII393271 VII458730:VII458807 VII524266:VII524343 VII589802:VII589879 VII655338:VII655415 VII720874:VII720951 VII786410:VII786487 VII851946:VII852023 VII917482:VII917559 VII983018:VII983095 VSE2:VSE58 VSE65514:VSE65591 VSE131050:VSE131127 VSE196586:VSE196663 VSE262122:VSE262199 VSE327658:VSE327735 VSE393194:VSE393271 VSE458730:VSE458807 VSE524266:VSE524343 VSE589802:VSE589879 VSE655338:VSE655415 VSE720874:VSE720951 VSE786410:VSE786487 VSE851946:VSE852023 VSE917482:VSE917559 VSE983018:VSE983095 WCA2:WCA58 WCA65514:WCA65591 WCA131050:WCA131127 WCA196586:WCA196663 WCA262122:WCA262199 WCA327658:WCA327735 WCA393194:WCA393271 WCA458730:WCA458807 WCA524266:WCA524343 WCA589802:WCA589879 WCA655338:WCA655415 WCA720874:WCA720951 WCA786410:WCA786487 WCA851946:WCA852023 WCA917482:WCA917559 WCA983018:WCA983095 WLW2:WLW58 WLW65514:WLW65591 WLW131050:WLW131127 WLW196586:WLW196663 WLW262122:WLW262199 WLW327658:WLW327735 WLW393194:WLW393271 WLW458730:WLW458807 WLW524266:WLW524343 WLW589802:WLW589879 WLW655338:WLW655415 WLW720874:WLW720951 WLW786410:WLW786487 WLW851946:WLW852023 WLW917482:WLW917559 WLW983018:WLW983095 WVS2:WVS58 WVS65514:WVS65591 WVS131050:WVS131127 WVS196586:WVS196663 WVS262122:WVS262199 WVS327658:WVS327735 WVS393194:WVS393271 WVS458730:WVS458807 WVS524266:WVS524343 WVS589802:WVS589879 WVS655338:WVS655415 WVS720874:WVS720951 WVS786410:WVS786487 WVS851946:WVS852023 WVS917482:WVS917559 WVS983018:WVS983095">
      <formula1>$AR$2:$AR$22</formula1>
    </dataValidation>
    <dataValidation type="list" allowBlank="1" showInputMessage="1" showErrorMessage="1" sqref="J2:J476 J65514:J65591 J131050:J131127 J196586:J196663 J262122:J262199 J327658:J327735 J393194:J393271 J458730:J458807 J524266:J524343 J589802:J589879 J655338:J655415 J720874:J720951 J786410:J786487 J851946:J852023 J917482:J917559 J983018:J983095 JF2:JF58 JF65514:JF65591 JF131050:JF131127 JF196586:JF196663 JF262122:JF262199 JF327658:JF327735 JF393194:JF393271 JF458730:JF458807 JF524266:JF524343 JF589802:JF589879 JF655338:JF655415 JF720874:JF720951 JF786410:JF786487 JF851946:JF852023 JF917482:JF917559 JF983018:JF983095 TB2:TB58 TB65514:TB65591 TB131050:TB131127 TB196586:TB196663 TB262122:TB262199 TB327658:TB327735 TB393194:TB393271 TB458730:TB458807 TB524266:TB524343 TB589802:TB589879 TB655338:TB655415 TB720874:TB720951 TB786410:TB786487 TB851946:TB852023 TB917482:TB917559 TB983018:TB983095 ACX2:ACX58 ACX65514:ACX65591 ACX131050:ACX131127 ACX196586:ACX196663 ACX262122:ACX262199 ACX327658:ACX327735 ACX393194:ACX393271 ACX458730:ACX458807 ACX524266:ACX524343 ACX589802:ACX589879 ACX655338:ACX655415 ACX720874:ACX720951 ACX786410:ACX786487 ACX851946:ACX852023 ACX917482:ACX917559 ACX983018:ACX983095 AMT2:AMT58 AMT65514:AMT65591 AMT131050:AMT131127 AMT196586:AMT196663 AMT262122:AMT262199 AMT327658:AMT327735 AMT393194:AMT393271 AMT458730:AMT458807 AMT524266:AMT524343 AMT589802:AMT589879 AMT655338:AMT655415 AMT720874:AMT720951 AMT786410:AMT786487 AMT851946:AMT852023 AMT917482:AMT917559 AMT983018:AMT983095 AWP2:AWP58 AWP65514:AWP65591 AWP131050:AWP131127 AWP196586:AWP196663 AWP262122:AWP262199 AWP327658:AWP327735 AWP393194:AWP393271 AWP458730:AWP458807 AWP524266:AWP524343 AWP589802:AWP589879 AWP655338:AWP655415 AWP720874:AWP720951 AWP786410:AWP786487 AWP851946:AWP852023 AWP917482:AWP917559 AWP983018:AWP983095 BGL2:BGL58 BGL65514:BGL65591 BGL131050:BGL131127 BGL196586:BGL196663 BGL262122:BGL262199 BGL327658:BGL327735 BGL393194:BGL393271 BGL458730:BGL458807 BGL524266:BGL524343 BGL589802:BGL589879 BGL655338:BGL655415 BGL720874:BGL720951 BGL786410:BGL786487 BGL851946:BGL852023 BGL917482:BGL917559 BGL983018:BGL983095 BQH2:BQH58 BQH65514:BQH65591 BQH131050:BQH131127 BQH196586:BQH196663 BQH262122:BQH262199 BQH327658:BQH327735 BQH393194:BQH393271 BQH458730:BQH458807 BQH524266:BQH524343 BQH589802:BQH589879 BQH655338:BQH655415 BQH720874:BQH720951 BQH786410:BQH786487 BQH851946:BQH852023 BQH917482:BQH917559 BQH983018:BQH983095 CAD2:CAD58 CAD65514:CAD65591 CAD131050:CAD131127 CAD196586:CAD196663 CAD262122:CAD262199 CAD327658:CAD327735 CAD393194:CAD393271 CAD458730:CAD458807 CAD524266:CAD524343 CAD589802:CAD589879 CAD655338:CAD655415 CAD720874:CAD720951 CAD786410:CAD786487 CAD851946:CAD852023 CAD917482:CAD917559 CAD983018:CAD983095 CJZ2:CJZ58 CJZ65514:CJZ65591 CJZ131050:CJZ131127 CJZ196586:CJZ196663 CJZ262122:CJZ262199 CJZ327658:CJZ327735 CJZ393194:CJZ393271 CJZ458730:CJZ458807 CJZ524266:CJZ524343 CJZ589802:CJZ589879 CJZ655338:CJZ655415 CJZ720874:CJZ720951 CJZ786410:CJZ786487 CJZ851946:CJZ852023 CJZ917482:CJZ917559 CJZ983018:CJZ983095 CTV2:CTV58 CTV65514:CTV65591 CTV131050:CTV131127 CTV196586:CTV196663 CTV262122:CTV262199 CTV327658:CTV327735 CTV393194:CTV393271 CTV458730:CTV458807 CTV524266:CTV524343 CTV589802:CTV589879 CTV655338:CTV655415 CTV720874:CTV720951 CTV786410:CTV786487 CTV851946:CTV852023 CTV917482:CTV917559 CTV983018:CTV983095 DDR2:DDR58 DDR65514:DDR65591 DDR131050:DDR131127 DDR196586:DDR196663 DDR262122:DDR262199 DDR327658:DDR327735 DDR393194:DDR393271 DDR458730:DDR458807 DDR524266:DDR524343 DDR589802:DDR589879 DDR655338:DDR655415 DDR720874:DDR720951 DDR786410:DDR786487 DDR851946:DDR852023 DDR917482:DDR917559 DDR983018:DDR983095 DNN2:DNN58 DNN65514:DNN65591 DNN131050:DNN131127 DNN196586:DNN196663 DNN262122:DNN262199 DNN327658:DNN327735 DNN393194:DNN393271 DNN458730:DNN458807 DNN524266:DNN524343 DNN589802:DNN589879 DNN655338:DNN655415 DNN720874:DNN720951 DNN786410:DNN786487 DNN851946:DNN852023 DNN917482:DNN917559 DNN983018:DNN983095 DXJ2:DXJ58 DXJ65514:DXJ65591 DXJ131050:DXJ131127 DXJ196586:DXJ196663 DXJ262122:DXJ262199 DXJ327658:DXJ327735 DXJ393194:DXJ393271 DXJ458730:DXJ458807 DXJ524266:DXJ524343 DXJ589802:DXJ589879 DXJ655338:DXJ655415 DXJ720874:DXJ720951 DXJ786410:DXJ786487 DXJ851946:DXJ852023 DXJ917482:DXJ917559 DXJ983018:DXJ983095 EHF2:EHF58 EHF65514:EHF65591 EHF131050:EHF131127 EHF196586:EHF196663 EHF262122:EHF262199 EHF327658:EHF327735 EHF393194:EHF393271 EHF458730:EHF458807 EHF524266:EHF524343 EHF589802:EHF589879 EHF655338:EHF655415 EHF720874:EHF720951 EHF786410:EHF786487 EHF851946:EHF852023 EHF917482:EHF917559 EHF983018:EHF983095 ERB2:ERB58 ERB65514:ERB65591 ERB131050:ERB131127 ERB196586:ERB196663 ERB262122:ERB262199 ERB327658:ERB327735 ERB393194:ERB393271 ERB458730:ERB458807 ERB524266:ERB524343 ERB589802:ERB589879 ERB655338:ERB655415 ERB720874:ERB720951 ERB786410:ERB786487 ERB851946:ERB852023 ERB917482:ERB917559 ERB983018:ERB983095 FAX2:FAX58 FAX65514:FAX65591 FAX131050:FAX131127 FAX196586:FAX196663 FAX262122:FAX262199 FAX327658:FAX327735 FAX393194:FAX393271 FAX458730:FAX458807 FAX524266:FAX524343 FAX589802:FAX589879 FAX655338:FAX655415 FAX720874:FAX720951 FAX786410:FAX786487 FAX851946:FAX852023 FAX917482:FAX917559 FAX983018:FAX983095 FKT2:FKT58 FKT65514:FKT65591 FKT131050:FKT131127 FKT196586:FKT196663 FKT262122:FKT262199 FKT327658:FKT327735 FKT393194:FKT393271 FKT458730:FKT458807 FKT524266:FKT524343 FKT589802:FKT589879 FKT655338:FKT655415 FKT720874:FKT720951 FKT786410:FKT786487 FKT851946:FKT852023 FKT917482:FKT917559 FKT983018:FKT983095 FUP2:FUP58 FUP65514:FUP65591 FUP131050:FUP131127 FUP196586:FUP196663 FUP262122:FUP262199 FUP327658:FUP327735 FUP393194:FUP393271 FUP458730:FUP458807 FUP524266:FUP524343 FUP589802:FUP589879 FUP655338:FUP655415 FUP720874:FUP720951 FUP786410:FUP786487 FUP851946:FUP852023 FUP917482:FUP917559 FUP983018:FUP983095 GEL2:GEL58 GEL65514:GEL65591 GEL131050:GEL131127 GEL196586:GEL196663 GEL262122:GEL262199 GEL327658:GEL327735 GEL393194:GEL393271 GEL458730:GEL458807 GEL524266:GEL524343 GEL589802:GEL589879 GEL655338:GEL655415 GEL720874:GEL720951 GEL786410:GEL786487 GEL851946:GEL852023 GEL917482:GEL917559 GEL983018:GEL983095 GOH2:GOH58 GOH65514:GOH65591 GOH131050:GOH131127 GOH196586:GOH196663 GOH262122:GOH262199 GOH327658:GOH327735 GOH393194:GOH393271 GOH458730:GOH458807 GOH524266:GOH524343 GOH589802:GOH589879 GOH655338:GOH655415 GOH720874:GOH720951 GOH786410:GOH786487 GOH851946:GOH852023 GOH917482:GOH917559 GOH983018:GOH983095 GYD2:GYD58 GYD65514:GYD65591 GYD131050:GYD131127 GYD196586:GYD196663 GYD262122:GYD262199 GYD327658:GYD327735 GYD393194:GYD393271 GYD458730:GYD458807 GYD524266:GYD524343 GYD589802:GYD589879 GYD655338:GYD655415 GYD720874:GYD720951 GYD786410:GYD786487 GYD851946:GYD852023 GYD917482:GYD917559 GYD983018:GYD983095 HHZ2:HHZ58 HHZ65514:HHZ65591 HHZ131050:HHZ131127 HHZ196586:HHZ196663 HHZ262122:HHZ262199 HHZ327658:HHZ327735 HHZ393194:HHZ393271 HHZ458730:HHZ458807 HHZ524266:HHZ524343 HHZ589802:HHZ589879 HHZ655338:HHZ655415 HHZ720874:HHZ720951 HHZ786410:HHZ786487 HHZ851946:HHZ852023 HHZ917482:HHZ917559 HHZ983018:HHZ983095 HRV2:HRV58 HRV65514:HRV65591 HRV131050:HRV131127 HRV196586:HRV196663 HRV262122:HRV262199 HRV327658:HRV327735 HRV393194:HRV393271 HRV458730:HRV458807 HRV524266:HRV524343 HRV589802:HRV589879 HRV655338:HRV655415 HRV720874:HRV720951 HRV786410:HRV786487 HRV851946:HRV852023 HRV917482:HRV917559 HRV983018:HRV983095 IBR2:IBR58 IBR65514:IBR65591 IBR131050:IBR131127 IBR196586:IBR196663 IBR262122:IBR262199 IBR327658:IBR327735 IBR393194:IBR393271 IBR458730:IBR458807 IBR524266:IBR524343 IBR589802:IBR589879 IBR655338:IBR655415 IBR720874:IBR720951 IBR786410:IBR786487 IBR851946:IBR852023 IBR917482:IBR917559 IBR983018:IBR983095 ILN2:ILN58 ILN65514:ILN65591 ILN131050:ILN131127 ILN196586:ILN196663 ILN262122:ILN262199 ILN327658:ILN327735 ILN393194:ILN393271 ILN458730:ILN458807 ILN524266:ILN524343 ILN589802:ILN589879 ILN655338:ILN655415 ILN720874:ILN720951 ILN786410:ILN786487 ILN851946:ILN852023 ILN917482:ILN917559 ILN983018:ILN983095 IVJ2:IVJ58 IVJ65514:IVJ65591 IVJ131050:IVJ131127 IVJ196586:IVJ196663 IVJ262122:IVJ262199 IVJ327658:IVJ327735 IVJ393194:IVJ393271 IVJ458730:IVJ458807 IVJ524266:IVJ524343 IVJ589802:IVJ589879 IVJ655338:IVJ655415 IVJ720874:IVJ720951 IVJ786410:IVJ786487 IVJ851946:IVJ852023 IVJ917482:IVJ917559 IVJ983018:IVJ983095 JFF2:JFF58 JFF65514:JFF65591 JFF131050:JFF131127 JFF196586:JFF196663 JFF262122:JFF262199 JFF327658:JFF327735 JFF393194:JFF393271 JFF458730:JFF458807 JFF524266:JFF524343 JFF589802:JFF589879 JFF655338:JFF655415 JFF720874:JFF720951 JFF786410:JFF786487 JFF851946:JFF852023 JFF917482:JFF917559 JFF983018:JFF983095 JPB2:JPB58 JPB65514:JPB65591 JPB131050:JPB131127 JPB196586:JPB196663 JPB262122:JPB262199 JPB327658:JPB327735 JPB393194:JPB393271 JPB458730:JPB458807 JPB524266:JPB524343 JPB589802:JPB589879 JPB655338:JPB655415 JPB720874:JPB720951 JPB786410:JPB786487 JPB851946:JPB852023 JPB917482:JPB917559 JPB983018:JPB983095 JYX2:JYX58 JYX65514:JYX65591 JYX131050:JYX131127 JYX196586:JYX196663 JYX262122:JYX262199 JYX327658:JYX327735 JYX393194:JYX393271 JYX458730:JYX458807 JYX524266:JYX524343 JYX589802:JYX589879 JYX655338:JYX655415 JYX720874:JYX720951 JYX786410:JYX786487 JYX851946:JYX852023 JYX917482:JYX917559 JYX983018:JYX983095 KIT2:KIT58 KIT65514:KIT65591 KIT131050:KIT131127 KIT196586:KIT196663 KIT262122:KIT262199 KIT327658:KIT327735 KIT393194:KIT393271 KIT458730:KIT458807 KIT524266:KIT524343 KIT589802:KIT589879 KIT655338:KIT655415 KIT720874:KIT720951 KIT786410:KIT786487 KIT851946:KIT852023 KIT917482:KIT917559 KIT983018:KIT983095 KSP2:KSP58 KSP65514:KSP65591 KSP131050:KSP131127 KSP196586:KSP196663 KSP262122:KSP262199 KSP327658:KSP327735 KSP393194:KSP393271 KSP458730:KSP458807 KSP524266:KSP524343 KSP589802:KSP589879 KSP655338:KSP655415 KSP720874:KSP720951 KSP786410:KSP786487 KSP851946:KSP852023 KSP917482:KSP917559 KSP983018:KSP983095 LCL2:LCL58 LCL65514:LCL65591 LCL131050:LCL131127 LCL196586:LCL196663 LCL262122:LCL262199 LCL327658:LCL327735 LCL393194:LCL393271 LCL458730:LCL458807 LCL524266:LCL524343 LCL589802:LCL589879 LCL655338:LCL655415 LCL720874:LCL720951 LCL786410:LCL786487 LCL851946:LCL852023 LCL917482:LCL917559 LCL983018:LCL983095 LMH2:LMH58 LMH65514:LMH65591 LMH131050:LMH131127 LMH196586:LMH196663 LMH262122:LMH262199 LMH327658:LMH327735 LMH393194:LMH393271 LMH458730:LMH458807 LMH524266:LMH524343 LMH589802:LMH589879 LMH655338:LMH655415 LMH720874:LMH720951 LMH786410:LMH786487 LMH851946:LMH852023 LMH917482:LMH917559 LMH983018:LMH983095 LWD2:LWD58 LWD65514:LWD65591 LWD131050:LWD131127 LWD196586:LWD196663 LWD262122:LWD262199 LWD327658:LWD327735 LWD393194:LWD393271 LWD458730:LWD458807 LWD524266:LWD524343 LWD589802:LWD589879 LWD655338:LWD655415 LWD720874:LWD720951 LWD786410:LWD786487 LWD851946:LWD852023 LWD917482:LWD917559 LWD983018:LWD983095 MFZ2:MFZ58 MFZ65514:MFZ65591 MFZ131050:MFZ131127 MFZ196586:MFZ196663 MFZ262122:MFZ262199 MFZ327658:MFZ327735 MFZ393194:MFZ393271 MFZ458730:MFZ458807 MFZ524266:MFZ524343 MFZ589802:MFZ589879 MFZ655338:MFZ655415 MFZ720874:MFZ720951 MFZ786410:MFZ786487 MFZ851946:MFZ852023 MFZ917482:MFZ917559 MFZ983018:MFZ983095 MPV2:MPV58 MPV65514:MPV65591 MPV131050:MPV131127 MPV196586:MPV196663 MPV262122:MPV262199 MPV327658:MPV327735 MPV393194:MPV393271 MPV458730:MPV458807 MPV524266:MPV524343 MPV589802:MPV589879 MPV655338:MPV655415 MPV720874:MPV720951 MPV786410:MPV786487 MPV851946:MPV852023 MPV917482:MPV917559 MPV983018:MPV983095 MZR2:MZR58 MZR65514:MZR65591 MZR131050:MZR131127 MZR196586:MZR196663 MZR262122:MZR262199 MZR327658:MZR327735 MZR393194:MZR393271 MZR458730:MZR458807 MZR524266:MZR524343 MZR589802:MZR589879 MZR655338:MZR655415 MZR720874:MZR720951 MZR786410:MZR786487 MZR851946:MZR852023 MZR917482:MZR917559 MZR983018:MZR983095 NJN2:NJN58 NJN65514:NJN65591 NJN131050:NJN131127 NJN196586:NJN196663 NJN262122:NJN262199 NJN327658:NJN327735 NJN393194:NJN393271 NJN458730:NJN458807 NJN524266:NJN524343 NJN589802:NJN589879 NJN655338:NJN655415 NJN720874:NJN720951 NJN786410:NJN786487 NJN851946:NJN852023 NJN917482:NJN917559 NJN983018:NJN983095 NTJ2:NTJ58 NTJ65514:NTJ65591 NTJ131050:NTJ131127 NTJ196586:NTJ196663 NTJ262122:NTJ262199 NTJ327658:NTJ327735 NTJ393194:NTJ393271 NTJ458730:NTJ458807 NTJ524266:NTJ524343 NTJ589802:NTJ589879 NTJ655338:NTJ655415 NTJ720874:NTJ720951 NTJ786410:NTJ786487 NTJ851946:NTJ852023 NTJ917482:NTJ917559 NTJ983018:NTJ983095 ODF2:ODF58 ODF65514:ODF65591 ODF131050:ODF131127 ODF196586:ODF196663 ODF262122:ODF262199 ODF327658:ODF327735 ODF393194:ODF393271 ODF458730:ODF458807 ODF524266:ODF524343 ODF589802:ODF589879 ODF655338:ODF655415 ODF720874:ODF720951 ODF786410:ODF786487 ODF851946:ODF852023 ODF917482:ODF917559 ODF983018:ODF983095 ONB2:ONB58 ONB65514:ONB65591 ONB131050:ONB131127 ONB196586:ONB196663 ONB262122:ONB262199 ONB327658:ONB327735 ONB393194:ONB393271 ONB458730:ONB458807 ONB524266:ONB524343 ONB589802:ONB589879 ONB655338:ONB655415 ONB720874:ONB720951 ONB786410:ONB786487 ONB851946:ONB852023 ONB917482:ONB917559 ONB983018:ONB983095 OWX2:OWX58 OWX65514:OWX65591 OWX131050:OWX131127 OWX196586:OWX196663 OWX262122:OWX262199 OWX327658:OWX327735 OWX393194:OWX393271 OWX458730:OWX458807 OWX524266:OWX524343 OWX589802:OWX589879 OWX655338:OWX655415 OWX720874:OWX720951 OWX786410:OWX786487 OWX851946:OWX852023 OWX917482:OWX917559 OWX983018:OWX983095 PGT2:PGT58 PGT65514:PGT65591 PGT131050:PGT131127 PGT196586:PGT196663 PGT262122:PGT262199 PGT327658:PGT327735 PGT393194:PGT393271 PGT458730:PGT458807 PGT524266:PGT524343 PGT589802:PGT589879 PGT655338:PGT655415 PGT720874:PGT720951 PGT786410:PGT786487 PGT851946:PGT852023 PGT917482:PGT917559 PGT983018:PGT983095 PQP2:PQP58 PQP65514:PQP65591 PQP131050:PQP131127 PQP196586:PQP196663 PQP262122:PQP262199 PQP327658:PQP327735 PQP393194:PQP393271 PQP458730:PQP458807 PQP524266:PQP524343 PQP589802:PQP589879 PQP655338:PQP655415 PQP720874:PQP720951 PQP786410:PQP786487 PQP851946:PQP852023 PQP917482:PQP917559 PQP983018:PQP983095 QAL2:QAL58 QAL65514:QAL65591 QAL131050:QAL131127 QAL196586:QAL196663 QAL262122:QAL262199 QAL327658:QAL327735 QAL393194:QAL393271 QAL458730:QAL458807 QAL524266:QAL524343 QAL589802:QAL589879 QAL655338:QAL655415 QAL720874:QAL720951 QAL786410:QAL786487 QAL851946:QAL852023 QAL917482:QAL917559 QAL983018:QAL983095 QKH2:QKH58 QKH65514:QKH65591 QKH131050:QKH131127 QKH196586:QKH196663 QKH262122:QKH262199 QKH327658:QKH327735 QKH393194:QKH393271 QKH458730:QKH458807 QKH524266:QKH524343 QKH589802:QKH589879 QKH655338:QKH655415 QKH720874:QKH720951 QKH786410:QKH786487 QKH851946:QKH852023 QKH917482:QKH917559 QKH983018:QKH983095 QUD2:QUD58 QUD65514:QUD65591 QUD131050:QUD131127 QUD196586:QUD196663 QUD262122:QUD262199 QUD327658:QUD327735 QUD393194:QUD393271 QUD458730:QUD458807 QUD524266:QUD524343 QUD589802:QUD589879 QUD655338:QUD655415 QUD720874:QUD720951 QUD786410:QUD786487 QUD851946:QUD852023 QUD917482:QUD917559 QUD983018:QUD983095 RDZ2:RDZ58 RDZ65514:RDZ65591 RDZ131050:RDZ131127 RDZ196586:RDZ196663 RDZ262122:RDZ262199 RDZ327658:RDZ327735 RDZ393194:RDZ393271 RDZ458730:RDZ458807 RDZ524266:RDZ524343 RDZ589802:RDZ589879 RDZ655338:RDZ655415 RDZ720874:RDZ720951 RDZ786410:RDZ786487 RDZ851946:RDZ852023 RDZ917482:RDZ917559 RDZ983018:RDZ983095 RNV2:RNV58 RNV65514:RNV65591 RNV131050:RNV131127 RNV196586:RNV196663 RNV262122:RNV262199 RNV327658:RNV327735 RNV393194:RNV393271 RNV458730:RNV458807 RNV524266:RNV524343 RNV589802:RNV589879 RNV655338:RNV655415 RNV720874:RNV720951 RNV786410:RNV786487 RNV851946:RNV852023 RNV917482:RNV917559 RNV983018:RNV983095 RXR2:RXR58 RXR65514:RXR65591 RXR131050:RXR131127 RXR196586:RXR196663 RXR262122:RXR262199 RXR327658:RXR327735 RXR393194:RXR393271 RXR458730:RXR458807 RXR524266:RXR524343 RXR589802:RXR589879 RXR655338:RXR655415 RXR720874:RXR720951 RXR786410:RXR786487 RXR851946:RXR852023 RXR917482:RXR917559 RXR983018:RXR983095 SHN2:SHN58 SHN65514:SHN65591 SHN131050:SHN131127 SHN196586:SHN196663 SHN262122:SHN262199 SHN327658:SHN327735 SHN393194:SHN393271 SHN458730:SHN458807 SHN524266:SHN524343 SHN589802:SHN589879 SHN655338:SHN655415 SHN720874:SHN720951 SHN786410:SHN786487 SHN851946:SHN852023 SHN917482:SHN917559 SHN983018:SHN983095 SRJ2:SRJ58 SRJ65514:SRJ65591 SRJ131050:SRJ131127 SRJ196586:SRJ196663 SRJ262122:SRJ262199 SRJ327658:SRJ327735 SRJ393194:SRJ393271 SRJ458730:SRJ458807 SRJ524266:SRJ524343 SRJ589802:SRJ589879 SRJ655338:SRJ655415 SRJ720874:SRJ720951 SRJ786410:SRJ786487 SRJ851946:SRJ852023 SRJ917482:SRJ917559 SRJ983018:SRJ983095 TBF2:TBF58 TBF65514:TBF65591 TBF131050:TBF131127 TBF196586:TBF196663 TBF262122:TBF262199 TBF327658:TBF327735 TBF393194:TBF393271 TBF458730:TBF458807 TBF524266:TBF524343 TBF589802:TBF589879 TBF655338:TBF655415 TBF720874:TBF720951 TBF786410:TBF786487 TBF851946:TBF852023 TBF917482:TBF917559 TBF983018:TBF983095 TLB2:TLB58 TLB65514:TLB65591 TLB131050:TLB131127 TLB196586:TLB196663 TLB262122:TLB262199 TLB327658:TLB327735 TLB393194:TLB393271 TLB458730:TLB458807 TLB524266:TLB524343 TLB589802:TLB589879 TLB655338:TLB655415 TLB720874:TLB720951 TLB786410:TLB786487 TLB851946:TLB852023 TLB917482:TLB917559 TLB983018:TLB983095 TUX2:TUX58 TUX65514:TUX65591 TUX131050:TUX131127 TUX196586:TUX196663 TUX262122:TUX262199 TUX327658:TUX327735 TUX393194:TUX393271 TUX458730:TUX458807 TUX524266:TUX524343 TUX589802:TUX589879 TUX655338:TUX655415 TUX720874:TUX720951 TUX786410:TUX786487 TUX851946:TUX852023 TUX917482:TUX917559 TUX983018:TUX983095 UET2:UET58 UET65514:UET65591 UET131050:UET131127 UET196586:UET196663 UET262122:UET262199 UET327658:UET327735 UET393194:UET393271 UET458730:UET458807 UET524266:UET524343 UET589802:UET589879 UET655338:UET655415 UET720874:UET720951 UET786410:UET786487 UET851946:UET852023 UET917482:UET917559 UET983018:UET983095 UOP2:UOP58 UOP65514:UOP65591 UOP131050:UOP131127 UOP196586:UOP196663 UOP262122:UOP262199 UOP327658:UOP327735 UOP393194:UOP393271 UOP458730:UOP458807 UOP524266:UOP524343 UOP589802:UOP589879 UOP655338:UOP655415 UOP720874:UOP720951 UOP786410:UOP786487 UOP851946:UOP852023 UOP917482:UOP917559 UOP983018:UOP983095 UYL2:UYL58 UYL65514:UYL65591 UYL131050:UYL131127 UYL196586:UYL196663 UYL262122:UYL262199 UYL327658:UYL327735 UYL393194:UYL393271 UYL458730:UYL458807 UYL524266:UYL524343 UYL589802:UYL589879 UYL655338:UYL655415 UYL720874:UYL720951 UYL786410:UYL786487 UYL851946:UYL852023 UYL917482:UYL917559 UYL983018:UYL983095 VIH2:VIH58 VIH65514:VIH65591 VIH131050:VIH131127 VIH196586:VIH196663 VIH262122:VIH262199 VIH327658:VIH327735 VIH393194:VIH393271 VIH458730:VIH458807 VIH524266:VIH524343 VIH589802:VIH589879 VIH655338:VIH655415 VIH720874:VIH720951 VIH786410:VIH786487 VIH851946:VIH852023 VIH917482:VIH917559 VIH983018:VIH983095 VSD2:VSD58 VSD65514:VSD65591 VSD131050:VSD131127 VSD196586:VSD196663 VSD262122:VSD262199 VSD327658:VSD327735 VSD393194:VSD393271 VSD458730:VSD458807 VSD524266:VSD524343 VSD589802:VSD589879 VSD655338:VSD655415 VSD720874:VSD720951 VSD786410:VSD786487 VSD851946:VSD852023 VSD917482:VSD917559 VSD983018:VSD983095 WBZ2:WBZ58 WBZ65514:WBZ65591 WBZ131050:WBZ131127 WBZ196586:WBZ196663 WBZ262122:WBZ262199 WBZ327658:WBZ327735 WBZ393194:WBZ393271 WBZ458730:WBZ458807 WBZ524266:WBZ524343 WBZ589802:WBZ589879 WBZ655338:WBZ655415 WBZ720874:WBZ720951 WBZ786410:WBZ786487 WBZ851946:WBZ852023 WBZ917482:WBZ917559 WBZ983018:WBZ983095 WLV2:WLV58 WLV65514:WLV65591 WLV131050:WLV131127 WLV196586:WLV196663 WLV262122:WLV262199 WLV327658:WLV327735 WLV393194:WLV393271 WLV458730:WLV458807 WLV524266:WLV524343 WLV589802:WLV589879 WLV655338:WLV655415 WLV720874:WLV720951 WLV786410:WLV786487 WLV851946:WLV852023 WLV917482:WLV917559 WLV983018:WLV983095 WVR2:WVR58 WVR65514:WVR65591 WVR131050:WVR131127 WVR196586:WVR196663 WVR262122:WVR262199 WVR327658:WVR327735 WVR393194:WVR393271 WVR458730:WVR458807 WVR524266:WVR524343 WVR589802:WVR589879 WVR655338:WVR655415 WVR720874:WVR720951 WVR786410:WVR786487 WVR851946:WVR852023 WVR917482:WVR917559 WVR983018:WVR983095">
      <formula1>$AP$2:$AP$22</formula1>
    </dataValidation>
    <dataValidation type="list" allowBlank="1" showInputMessage="1" showErrorMessage="1" sqref="H2:H476">
      <formula1>$AL$2:$AL$8</formula1>
    </dataValidation>
    <dataValidation type="list" allowBlank="1" showInputMessage="1" showErrorMessage="1" sqref="Y2:AA476 JU2:JW58 ANI2:ANK58 BQW2:BQY58 CUK2:CUM58 DXY2:DYA58 FBM2:FBO58 GFA2:GFC58 HIO2:HIQ58 IMC2:IME58 JPQ2:JPS58 KTE2:KTG58 LWS2:LWU58 NAG2:NAI58 ODU2:ODW58 PHI2:PHK58 QKW2:QKY58 ROK2:ROM58 SRY2:SSA58 TVM2:TVO58 UZA2:UZC58 WCO2:WCQ58 TQ2:TS58 AXE2:AXG58 CAS2:CAU58 DEG2:DEI58 EHU2:EHW58 FLI2:FLK58 GOW2:GOY58 HSK2:HSM58 IVY2:IWA58 JZM2:JZO58 LDA2:LDC58 MGO2:MGQ58 NKC2:NKE58 ONQ2:ONS58 PRE2:PRG58 QUS2:QUU58 RYG2:RYI58 TBU2:TBW58 UFI2:UFK58 VIW2:VIY58 WMK2:WMM58 ADM2:ADO58 BHA2:BHC58 CKO2:CKQ58 DOC2:DOE58 ERQ2:ERS58 FVE2:FVG58 GYS2:GYU58 ICG2:ICI58 JFU2:JFW58 KJI2:KJK58 LMW2:LMY58 MQK2:MQM58 NTY2:NUA58 OXM2:OXO58 QBA2:QBC58 REO2:REQ58 SIC2:SIE58 TLQ2:TLS58 UPE2:UPG58 VSS2:VSU58 WWG2:WWI58 Y983018:AA983095 ADM983018:ADO983095 BHA983018:BHC983095 CKO983018:CKQ983095 DOC983018:DOE983095 ERQ983018:ERS983095 FVE983018:FVG983095 GYS983018:GYU983095 ICG983018:ICI983095 JFU983018:JFW983095 KJI983018:KJK983095 LMW983018:LMY983095 MQK983018:MQM983095 NTY983018:NUA983095 OXM983018:OXO983095 QBA983018:QBC983095 REO983018:REQ983095 SIC983018:SIE983095 TLQ983018:TLS983095 UPE983018:UPG983095 VSS983018:VSU983095 WWG983018:WWI983095 Y65514:AA65591 ADM65514:ADO65591 BHA65514:BHC65591 CKO65514:CKQ65591 DOC65514:DOE65591 ERQ65514:ERS65591 FVE65514:FVG65591 GYS65514:GYU65591 ICG65514:ICI65591 JFU65514:JFW65591 KJI65514:KJK65591 LMW65514:LMY65591 MQK65514:MQM65591 NTY65514:NUA65591 OXM65514:OXO65591 QBA65514:QBC65591 REO65514:REQ65591 SIC65514:SIE65591 TLQ65514:TLS65591 UPE65514:UPG65591 VSS65514:VSU65591 WWG65514:WWI65591 JU65514:JW65591 ANI65514:ANK65591 BQW65514:BQY65591 CUK65514:CUM65591 DXY65514:DYA65591 FBM65514:FBO65591 GFA65514:GFC65591 HIO65514:HIQ65591 IMC65514:IME65591 JPQ65514:JPS65591 KTE65514:KTG65591 LWS65514:LWU65591 NAG65514:NAI65591 ODU65514:ODW65591 PHI65514:PHK65591 QKW65514:QKY65591 ROK65514:ROM65591 SRY65514:SSA65591 TVM65514:TVO65591 UZA65514:UZC65591 WCO65514:WCQ65591 TQ65514:TS65591 AXE65514:AXG65591 CAS65514:CAU65591 DEG65514:DEI65591 EHU65514:EHW65591 FLI65514:FLK65591 GOW65514:GOY65591 HSK65514:HSM65591 IVY65514:IWA65591 JZM65514:JZO65591 LDA65514:LDC65591 MGO65514:MGQ65591 NKC65514:NKE65591 ONQ65514:ONS65591 PRE65514:PRG65591 QUS65514:QUU65591 RYG65514:RYI65591 TBU65514:TBW65591 UFI65514:UFK65591 VIW65514:VIY65591 WMK65514:WMM65591 Y131050:AA131127 ADM131050:ADO131127 BHA131050:BHC131127 CKO131050:CKQ131127 DOC131050:DOE131127 ERQ131050:ERS131127 FVE131050:FVG131127 GYS131050:GYU131127 ICG131050:ICI131127 JFU131050:JFW131127 KJI131050:KJK131127 LMW131050:LMY131127 MQK131050:MQM131127 NTY131050:NUA131127 OXM131050:OXO131127 QBA131050:QBC131127 REO131050:REQ131127 SIC131050:SIE131127 TLQ131050:TLS131127 UPE131050:UPG131127 VSS131050:VSU131127 WWG131050:WWI131127 JU131050:JW131127 ANI131050:ANK131127 BQW131050:BQY131127 CUK131050:CUM131127 DXY131050:DYA131127 FBM131050:FBO131127 GFA131050:GFC131127 HIO131050:HIQ131127 IMC131050:IME131127 JPQ131050:JPS131127 KTE131050:KTG131127 LWS131050:LWU131127 NAG131050:NAI131127 ODU131050:ODW131127 PHI131050:PHK131127 QKW131050:QKY131127 ROK131050:ROM131127 SRY131050:SSA131127 TVM131050:TVO131127 UZA131050:UZC131127 WCO131050:WCQ131127 TQ131050:TS131127 AXE131050:AXG131127 CAS131050:CAU131127 DEG131050:DEI131127 EHU131050:EHW131127 FLI131050:FLK131127 GOW131050:GOY131127 HSK131050:HSM131127 IVY131050:IWA131127 JZM131050:JZO131127 LDA131050:LDC131127 MGO131050:MGQ131127 NKC131050:NKE131127 ONQ131050:ONS131127 PRE131050:PRG131127 QUS131050:QUU131127 RYG131050:RYI131127 TBU131050:TBW131127 UFI131050:UFK131127 VIW131050:VIY131127 WMK131050:WMM131127 Y196586:AA196663 ADM196586:ADO196663 BHA196586:BHC196663 CKO196586:CKQ196663 DOC196586:DOE196663 ERQ196586:ERS196663 FVE196586:FVG196663 GYS196586:GYU196663 ICG196586:ICI196663 JFU196586:JFW196663 KJI196586:KJK196663 LMW196586:LMY196663 MQK196586:MQM196663 NTY196586:NUA196663 OXM196586:OXO196663 QBA196586:QBC196663 REO196586:REQ196663 SIC196586:SIE196663 TLQ196586:TLS196663 UPE196586:UPG196663 VSS196586:VSU196663 WWG196586:WWI196663 JU196586:JW196663 ANI196586:ANK196663 BQW196586:BQY196663 CUK196586:CUM196663 DXY196586:DYA196663 FBM196586:FBO196663 GFA196586:GFC196663 HIO196586:HIQ196663 IMC196586:IME196663 JPQ196586:JPS196663 KTE196586:KTG196663 LWS196586:LWU196663 NAG196586:NAI196663 ODU196586:ODW196663 PHI196586:PHK196663 QKW196586:QKY196663 ROK196586:ROM196663 SRY196586:SSA196663 TVM196586:TVO196663 UZA196586:UZC196663 WCO196586:WCQ196663 TQ196586:TS196663 AXE196586:AXG196663 CAS196586:CAU196663 DEG196586:DEI196663 EHU196586:EHW196663 FLI196586:FLK196663 GOW196586:GOY196663 HSK196586:HSM196663 IVY196586:IWA196663 JZM196586:JZO196663 LDA196586:LDC196663 MGO196586:MGQ196663 NKC196586:NKE196663 ONQ196586:ONS196663 PRE196586:PRG196663 QUS196586:QUU196663 RYG196586:RYI196663 TBU196586:TBW196663 UFI196586:UFK196663 VIW196586:VIY196663 WMK196586:WMM196663 Y262122:AA262199 ADM262122:ADO262199 BHA262122:BHC262199 CKO262122:CKQ262199 DOC262122:DOE262199 ERQ262122:ERS262199 FVE262122:FVG262199 GYS262122:GYU262199 ICG262122:ICI262199 JFU262122:JFW262199 KJI262122:KJK262199 LMW262122:LMY262199 MQK262122:MQM262199 NTY262122:NUA262199 OXM262122:OXO262199 QBA262122:QBC262199 REO262122:REQ262199 SIC262122:SIE262199 TLQ262122:TLS262199 UPE262122:UPG262199 VSS262122:VSU262199 WWG262122:WWI262199 JU262122:JW262199 ANI262122:ANK262199 BQW262122:BQY262199 CUK262122:CUM262199 DXY262122:DYA262199 FBM262122:FBO262199 GFA262122:GFC262199 HIO262122:HIQ262199 IMC262122:IME262199 JPQ262122:JPS262199 KTE262122:KTG262199 LWS262122:LWU262199 NAG262122:NAI262199 ODU262122:ODW262199 PHI262122:PHK262199 QKW262122:QKY262199 ROK262122:ROM262199 SRY262122:SSA262199 TVM262122:TVO262199 UZA262122:UZC262199 WCO262122:WCQ262199 TQ262122:TS262199 AXE262122:AXG262199 CAS262122:CAU262199 DEG262122:DEI262199 EHU262122:EHW262199 FLI262122:FLK262199 GOW262122:GOY262199 HSK262122:HSM262199 IVY262122:IWA262199 JZM262122:JZO262199 LDA262122:LDC262199 MGO262122:MGQ262199 NKC262122:NKE262199 ONQ262122:ONS262199 PRE262122:PRG262199 QUS262122:QUU262199 RYG262122:RYI262199 TBU262122:TBW262199 UFI262122:UFK262199 VIW262122:VIY262199 WMK262122:WMM262199 Y327658:AA327735 ADM327658:ADO327735 BHA327658:BHC327735 CKO327658:CKQ327735 DOC327658:DOE327735 ERQ327658:ERS327735 FVE327658:FVG327735 GYS327658:GYU327735 ICG327658:ICI327735 JFU327658:JFW327735 KJI327658:KJK327735 LMW327658:LMY327735 MQK327658:MQM327735 NTY327658:NUA327735 OXM327658:OXO327735 QBA327658:QBC327735 REO327658:REQ327735 SIC327658:SIE327735 TLQ327658:TLS327735 UPE327658:UPG327735 VSS327658:VSU327735 WWG327658:WWI327735 JU327658:JW327735 ANI327658:ANK327735 BQW327658:BQY327735 CUK327658:CUM327735 DXY327658:DYA327735 FBM327658:FBO327735 GFA327658:GFC327735 HIO327658:HIQ327735 IMC327658:IME327735 JPQ327658:JPS327735 KTE327658:KTG327735 LWS327658:LWU327735 NAG327658:NAI327735 ODU327658:ODW327735 PHI327658:PHK327735 QKW327658:QKY327735 ROK327658:ROM327735 SRY327658:SSA327735 TVM327658:TVO327735 UZA327658:UZC327735 WCO327658:WCQ327735 TQ327658:TS327735 AXE327658:AXG327735 CAS327658:CAU327735 DEG327658:DEI327735 EHU327658:EHW327735 FLI327658:FLK327735 GOW327658:GOY327735 HSK327658:HSM327735 IVY327658:IWA327735 JZM327658:JZO327735 LDA327658:LDC327735 MGO327658:MGQ327735 NKC327658:NKE327735 ONQ327658:ONS327735 PRE327658:PRG327735 QUS327658:QUU327735 RYG327658:RYI327735 TBU327658:TBW327735 UFI327658:UFK327735 VIW327658:VIY327735 WMK327658:WMM327735 Y393194:AA393271 ADM393194:ADO393271 BHA393194:BHC393271 CKO393194:CKQ393271 DOC393194:DOE393271 ERQ393194:ERS393271 FVE393194:FVG393271 GYS393194:GYU393271 ICG393194:ICI393271 JFU393194:JFW393271 KJI393194:KJK393271 LMW393194:LMY393271 MQK393194:MQM393271 NTY393194:NUA393271 OXM393194:OXO393271 QBA393194:QBC393271 REO393194:REQ393271 SIC393194:SIE393271 TLQ393194:TLS393271 UPE393194:UPG393271 VSS393194:VSU393271 WWG393194:WWI393271 JU393194:JW393271 ANI393194:ANK393271 BQW393194:BQY393271 CUK393194:CUM393271 DXY393194:DYA393271 FBM393194:FBO393271 GFA393194:GFC393271 HIO393194:HIQ393271 IMC393194:IME393271 JPQ393194:JPS393271 KTE393194:KTG393271 LWS393194:LWU393271 NAG393194:NAI393271 ODU393194:ODW393271 PHI393194:PHK393271 QKW393194:QKY393271 ROK393194:ROM393271 SRY393194:SSA393271 TVM393194:TVO393271 UZA393194:UZC393271 WCO393194:WCQ393271 TQ393194:TS393271 AXE393194:AXG393271 CAS393194:CAU393271 DEG393194:DEI393271 EHU393194:EHW393271 FLI393194:FLK393271 GOW393194:GOY393271 HSK393194:HSM393271 IVY393194:IWA393271 JZM393194:JZO393271 LDA393194:LDC393271 MGO393194:MGQ393271 NKC393194:NKE393271 ONQ393194:ONS393271 PRE393194:PRG393271 QUS393194:QUU393271 RYG393194:RYI393271 TBU393194:TBW393271 UFI393194:UFK393271 VIW393194:VIY393271 WMK393194:WMM393271 Y458730:AA458807 ADM458730:ADO458807 BHA458730:BHC458807 CKO458730:CKQ458807 DOC458730:DOE458807 ERQ458730:ERS458807 FVE458730:FVG458807 GYS458730:GYU458807 ICG458730:ICI458807 JFU458730:JFW458807 KJI458730:KJK458807 LMW458730:LMY458807 MQK458730:MQM458807 NTY458730:NUA458807 OXM458730:OXO458807 QBA458730:QBC458807 REO458730:REQ458807 SIC458730:SIE458807 TLQ458730:TLS458807 UPE458730:UPG458807 VSS458730:VSU458807 WWG458730:WWI458807 JU458730:JW458807 ANI458730:ANK458807 BQW458730:BQY458807 CUK458730:CUM458807 DXY458730:DYA458807 FBM458730:FBO458807 GFA458730:GFC458807 HIO458730:HIQ458807 IMC458730:IME458807 JPQ458730:JPS458807 KTE458730:KTG458807 LWS458730:LWU458807 NAG458730:NAI458807 ODU458730:ODW458807 PHI458730:PHK458807 QKW458730:QKY458807 ROK458730:ROM458807 SRY458730:SSA458807 TVM458730:TVO458807 UZA458730:UZC458807 WCO458730:WCQ458807 TQ458730:TS458807 AXE458730:AXG458807 CAS458730:CAU458807 DEG458730:DEI458807 EHU458730:EHW458807 FLI458730:FLK458807 GOW458730:GOY458807 HSK458730:HSM458807 IVY458730:IWA458807 JZM458730:JZO458807 LDA458730:LDC458807 MGO458730:MGQ458807 NKC458730:NKE458807 ONQ458730:ONS458807 PRE458730:PRG458807 QUS458730:QUU458807 RYG458730:RYI458807 TBU458730:TBW458807 UFI458730:UFK458807 VIW458730:VIY458807 WMK458730:WMM458807 Y524266:AA524343 ADM524266:ADO524343 BHA524266:BHC524343 CKO524266:CKQ524343 DOC524266:DOE524343 ERQ524266:ERS524343 FVE524266:FVG524343 GYS524266:GYU524343 ICG524266:ICI524343 JFU524266:JFW524343 KJI524266:KJK524343 LMW524266:LMY524343 MQK524266:MQM524343 NTY524266:NUA524343 OXM524266:OXO524343 QBA524266:QBC524343 REO524266:REQ524343 SIC524266:SIE524343 TLQ524266:TLS524343 UPE524266:UPG524343 VSS524266:VSU524343 WWG524266:WWI524343 JU524266:JW524343 ANI524266:ANK524343 BQW524266:BQY524343 CUK524266:CUM524343 DXY524266:DYA524343 FBM524266:FBO524343 GFA524266:GFC524343 HIO524266:HIQ524343 IMC524266:IME524343 JPQ524266:JPS524343 KTE524266:KTG524343 LWS524266:LWU524343 NAG524266:NAI524343 ODU524266:ODW524343 PHI524266:PHK524343 QKW524266:QKY524343 ROK524266:ROM524343 SRY524266:SSA524343 TVM524266:TVO524343 UZA524266:UZC524343 WCO524266:WCQ524343 TQ524266:TS524343 AXE524266:AXG524343 CAS524266:CAU524343 DEG524266:DEI524343 EHU524266:EHW524343 FLI524266:FLK524343 GOW524266:GOY524343 HSK524266:HSM524343 IVY524266:IWA524343 JZM524266:JZO524343 LDA524266:LDC524343 MGO524266:MGQ524343 NKC524266:NKE524343 ONQ524266:ONS524343 PRE524266:PRG524343 QUS524266:QUU524343 RYG524266:RYI524343 TBU524266:TBW524343 UFI524266:UFK524343 VIW524266:VIY524343 WMK524266:WMM524343 Y589802:AA589879 ADM589802:ADO589879 BHA589802:BHC589879 CKO589802:CKQ589879 DOC589802:DOE589879 ERQ589802:ERS589879 FVE589802:FVG589879 GYS589802:GYU589879 ICG589802:ICI589879 JFU589802:JFW589879 KJI589802:KJK589879 LMW589802:LMY589879 MQK589802:MQM589879 NTY589802:NUA589879 OXM589802:OXO589879 QBA589802:QBC589879 REO589802:REQ589879 SIC589802:SIE589879 TLQ589802:TLS589879 UPE589802:UPG589879 VSS589802:VSU589879 WWG589802:WWI589879 JU589802:JW589879 ANI589802:ANK589879 BQW589802:BQY589879 CUK589802:CUM589879 DXY589802:DYA589879 FBM589802:FBO589879 GFA589802:GFC589879 HIO589802:HIQ589879 IMC589802:IME589879 JPQ589802:JPS589879 KTE589802:KTG589879 LWS589802:LWU589879 NAG589802:NAI589879 ODU589802:ODW589879 PHI589802:PHK589879 QKW589802:QKY589879 ROK589802:ROM589879 SRY589802:SSA589879 TVM589802:TVO589879 UZA589802:UZC589879 WCO589802:WCQ589879 TQ589802:TS589879 AXE589802:AXG589879 CAS589802:CAU589879 DEG589802:DEI589879 EHU589802:EHW589879 FLI589802:FLK589879 GOW589802:GOY589879 HSK589802:HSM589879 IVY589802:IWA589879 JZM589802:JZO589879 LDA589802:LDC589879 MGO589802:MGQ589879 NKC589802:NKE589879 ONQ589802:ONS589879 PRE589802:PRG589879 QUS589802:QUU589879 RYG589802:RYI589879 TBU589802:TBW589879 UFI589802:UFK589879 VIW589802:VIY589879 WMK589802:WMM589879 Y655338:AA655415 ADM655338:ADO655415 BHA655338:BHC655415 CKO655338:CKQ655415 DOC655338:DOE655415 ERQ655338:ERS655415 FVE655338:FVG655415 GYS655338:GYU655415 ICG655338:ICI655415 JFU655338:JFW655415 KJI655338:KJK655415 LMW655338:LMY655415 MQK655338:MQM655415 NTY655338:NUA655415 OXM655338:OXO655415 QBA655338:QBC655415 REO655338:REQ655415 SIC655338:SIE655415 TLQ655338:TLS655415 UPE655338:UPG655415 VSS655338:VSU655415 WWG655338:WWI655415 JU655338:JW655415 ANI655338:ANK655415 BQW655338:BQY655415 CUK655338:CUM655415 DXY655338:DYA655415 FBM655338:FBO655415 GFA655338:GFC655415 HIO655338:HIQ655415 IMC655338:IME655415 JPQ655338:JPS655415 KTE655338:KTG655415 LWS655338:LWU655415 NAG655338:NAI655415 ODU655338:ODW655415 PHI655338:PHK655415 QKW655338:QKY655415 ROK655338:ROM655415 SRY655338:SSA655415 TVM655338:TVO655415 UZA655338:UZC655415 WCO655338:WCQ655415 TQ655338:TS655415 AXE655338:AXG655415 CAS655338:CAU655415 DEG655338:DEI655415 EHU655338:EHW655415 FLI655338:FLK655415 GOW655338:GOY655415 HSK655338:HSM655415 IVY655338:IWA655415 JZM655338:JZO655415 LDA655338:LDC655415 MGO655338:MGQ655415 NKC655338:NKE655415 ONQ655338:ONS655415 PRE655338:PRG655415 QUS655338:QUU655415 RYG655338:RYI655415 TBU655338:TBW655415 UFI655338:UFK655415 VIW655338:VIY655415 WMK655338:WMM655415 Y720874:AA720951 ADM720874:ADO720951 BHA720874:BHC720951 CKO720874:CKQ720951 DOC720874:DOE720951 ERQ720874:ERS720951 FVE720874:FVG720951 GYS720874:GYU720951 ICG720874:ICI720951 JFU720874:JFW720951 KJI720874:KJK720951 LMW720874:LMY720951 MQK720874:MQM720951 NTY720874:NUA720951 OXM720874:OXO720951 QBA720874:QBC720951 REO720874:REQ720951 SIC720874:SIE720951 TLQ720874:TLS720951 UPE720874:UPG720951 VSS720874:VSU720951 WWG720874:WWI720951 JU720874:JW720951 ANI720874:ANK720951 BQW720874:BQY720951 CUK720874:CUM720951 DXY720874:DYA720951 FBM720874:FBO720951 GFA720874:GFC720951 HIO720874:HIQ720951 IMC720874:IME720951 JPQ720874:JPS720951 KTE720874:KTG720951 LWS720874:LWU720951 NAG720874:NAI720951 ODU720874:ODW720951 PHI720874:PHK720951 QKW720874:QKY720951 ROK720874:ROM720951 SRY720874:SSA720951 TVM720874:TVO720951 UZA720874:UZC720951 WCO720874:WCQ720951 TQ720874:TS720951 AXE720874:AXG720951 CAS720874:CAU720951 DEG720874:DEI720951 EHU720874:EHW720951 FLI720874:FLK720951 GOW720874:GOY720951 HSK720874:HSM720951 IVY720874:IWA720951 JZM720874:JZO720951 LDA720874:LDC720951 MGO720874:MGQ720951 NKC720874:NKE720951 ONQ720874:ONS720951 PRE720874:PRG720951 QUS720874:QUU720951 RYG720874:RYI720951 TBU720874:TBW720951 UFI720874:UFK720951 VIW720874:VIY720951 WMK720874:WMM720951 Y786410:AA786487 ADM786410:ADO786487 BHA786410:BHC786487 CKO786410:CKQ786487 DOC786410:DOE786487 ERQ786410:ERS786487 FVE786410:FVG786487 GYS786410:GYU786487 ICG786410:ICI786487 JFU786410:JFW786487 KJI786410:KJK786487 LMW786410:LMY786487 MQK786410:MQM786487 NTY786410:NUA786487 OXM786410:OXO786487 QBA786410:QBC786487 REO786410:REQ786487 SIC786410:SIE786487 TLQ786410:TLS786487 UPE786410:UPG786487 VSS786410:VSU786487 WWG786410:WWI786487 JU786410:JW786487 ANI786410:ANK786487 BQW786410:BQY786487 CUK786410:CUM786487 DXY786410:DYA786487 FBM786410:FBO786487 GFA786410:GFC786487 HIO786410:HIQ786487 IMC786410:IME786487 JPQ786410:JPS786487 KTE786410:KTG786487 LWS786410:LWU786487 NAG786410:NAI786487 ODU786410:ODW786487 PHI786410:PHK786487 QKW786410:QKY786487 ROK786410:ROM786487 SRY786410:SSA786487 TVM786410:TVO786487 UZA786410:UZC786487 WCO786410:WCQ786487 TQ786410:TS786487 AXE786410:AXG786487 CAS786410:CAU786487 DEG786410:DEI786487 EHU786410:EHW786487 FLI786410:FLK786487 GOW786410:GOY786487 HSK786410:HSM786487 IVY786410:IWA786487 JZM786410:JZO786487 LDA786410:LDC786487 MGO786410:MGQ786487 NKC786410:NKE786487 ONQ786410:ONS786487 PRE786410:PRG786487 QUS786410:QUU786487 RYG786410:RYI786487 TBU786410:TBW786487 UFI786410:UFK786487 VIW786410:VIY786487 WMK786410:WMM786487 Y851946:AA852023 ADM851946:ADO852023 BHA851946:BHC852023 CKO851946:CKQ852023 DOC851946:DOE852023 ERQ851946:ERS852023 FVE851946:FVG852023 GYS851946:GYU852023 ICG851946:ICI852023 JFU851946:JFW852023 KJI851946:KJK852023 LMW851946:LMY852023 MQK851946:MQM852023 NTY851946:NUA852023 OXM851946:OXO852023 QBA851946:QBC852023 REO851946:REQ852023 SIC851946:SIE852023 TLQ851946:TLS852023 UPE851946:UPG852023 VSS851946:VSU852023 WWG851946:WWI852023 JU851946:JW852023 ANI851946:ANK852023 BQW851946:BQY852023 CUK851946:CUM852023 DXY851946:DYA852023 FBM851946:FBO852023 GFA851946:GFC852023 HIO851946:HIQ852023 IMC851946:IME852023 JPQ851946:JPS852023 KTE851946:KTG852023 LWS851946:LWU852023 NAG851946:NAI852023 ODU851946:ODW852023 PHI851946:PHK852023 QKW851946:QKY852023 ROK851946:ROM852023 SRY851946:SSA852023 TVM851946:TVO852023 UZA851946:UZC852023 WCO851946:WCQ852023 TQ851946:TS852023 AXE851946:AXG852023 CAS851946:CAU852023 DEG851946:DEI852023 EHU851946:EHW852023 FLI851946:FLK852023 GOW851946:GOY852023 HSK851946:HSM852023 IVY851946:IWA852023 JZM851946:JZO852023 LDA851946:LDC852023 MGO851946:MGQ852023 NKC851946:NKE852023 ONQ851946:ONS852023 PRE851946:PRG852023 QUS851946:QUU852023 RYG851946:RYI852023 TBU851946:TBW852023 UFI851946:UFK852023 VIW851946:VIY852023 WMK851946:WMM852023 Y917482:AA917559 ADM917482:ADO917559 BHA917482:BHC917559 CKO917482:CKQ917559 DOC917482:DOE917559 ERQ917482:ERS917559 FVE917482:FVG917559 GYS917482:GYU917559 ICG917482:ICI917559 JFU917482:JFW917559 KJI917482:KJK917559 LMW917482:LMY917559 MQK917482:MQM917559 NTY917482:NUA917559 OXM917482:OXO917559 QBA917482:QBC917559 REO917482:REQ917559 SIC917482:SIE917559 TLQ917482:TLS917559 UPE917482:UPG917559 VSS917482:VSU917559 WWG917482:WWI917559 JU917482:JW917559 ANI917482:ANK917559 BQW917482:BQY917559 CUK917482:CUM917559 DXY917482:DYA917559 FBM917482:FBO917559 GFA917482:GFC917559 HIO917482:HIQ917559 IMC917482:IME917559 JPQ917482:JPS917559 KTE917482:KTG917559 LWS917482:LWU917559 NAG917482:NAI917559 ODU917482:ODW917559 PHI917482:PHK917559 QKW917482:QKY917559 ROK917482:ROM917559 SRY917482:SSA917559 TVM917482:TVO917559 UZA917482:UZC917559 WCO917482:WCQ917559 TQ917482:TS917559 AXE917482:AXG917559 CAS917482:CAU917559 DEG917482:DEI917559 EHU917482:EHW917559 FLI917482:FLK917559 GOW917482:GOY917559 HSK917482:HSM917559 IVY917482:IWA917559 JZM917482:JZO917559 LDA917482:LDC917559 MGO917482:MGQ917559 NKC917482:NKE917559 ONQ917482:ONS917559 PRE917482:PRG917559 QUS917482:QUU917559 RYG917482:RYI917559 TBU917482:TBW917559 UFI917482:UFK917559 VIW917482:VIY917559 WMK917482:WMM917559 JU983018:JW983095 ANI983018:ANK983095 BQW983018:BQY983095 CUK983018:CUM983095 DXY983018:DYA983095 FBM983018:FBO983095 GFA983018:GFC983095 HIO983018:HIQ983095 IMC983018:IME983095 JPQ983018:JPS983095 KTE983018:KTG983095 LWS983018:LWU983095 NAG983018:NAI983095 ODU983018:ODW983095 PHI983018:PHK983095 QKW983018:QKY983095 ROK983018:ROM983095 SRY983018:SSA983095 TVM983018:TVO983095 UZA983018:UZC983095 WCO983018:WCQ983095 TQ983018:TS983095 AXE983018:AXG983095 CAS983018:CAU983095 DEG983018:DEI983095 EHU983018:EHW983095 FLI983018:FLK983095 GOW983018:GOY983095 HSK983018:HSM983095 IVY983018:IWA983095 JZM983018:JZO983095 LDA983018:LDC983095 MGO983018:MGQ983095 NKC983018:NKE983095 ONQ983018:ONS983095 PRE983018:PRG983095 QUS983018:QUU983095 RYG983018:RYI983095 TBU983018:TBW983095 UFI983018:UFK983095 VIW983018:VIY983095 WMK983018:WMM983095">
      <formula1>$AV$2:$AV$19</formula1>
    </dataValidation>
    <dataValidation type="list" allowBlank="1" showInputMessage="1" showErrorMessage="1" sqref="X2:X476 X65514:X65591 X131050:X131127 X196586:X196663 X262122:X262199 X327658:X327735 X393194:X393271 X458730:X458807 X524266:X524343 X589802:X589879 X655338:X655415 X720874:X720951 X786410:X786487 X851946:X852023 X917482:X917559 X983018:X983095 JT2:JT58 JT65514:JT65591 JT131050:JT131127 JT196586:JT196663 JT262122:JT262199 JT327658:JT327735 JT393194:JT393271 JT458730:JT458807 JT524266:JT524343 JT589802:JT589879 JT655338:JT655415 JT720874:JT720951 JT786410:JT786487 JT851946:JT852023 JT917482:JT917559 JT983018:JT983095 TP2:TP58 TP65514:TP65591 TP131050:TP131127 TP196586:TP196663 TP262122:TP262199 TP327658:TP327735 TP393194:TP393271 TP458730:TP458807 TP524266:TP524343 TP589802:TP589879 TP655338:TP655415 TP720874:TP720951 TP786410:TP786487 TP851946:TP852023 TP917482:TP917559 TP983018:TP983095 ADL2:ADL58 ADL65514:ADL65591 ADL131050:ADL131127 ADL196586:ADL196663 ADL262122:ADL262199 ADL327658:ADL327735 ADL393194:ADL393271 ADL458730:ADL458807 ADL524266:ADL524343 ADL589802:ADL589879 ADL655338:ADL655415 ADL720874:ADL720951 ADL786410:ADL786487 ADL851946:ADL852023 ADL917482:ADL917559 ADL983018:ADL983095 ANH2:ANH58 ANH65514:ANH65591 ANH131050:ANH131127 ANH196586:ANH196663 ANH262122:ANH262199 ANH327658:ANH327735 ANH393194:ANH393271 ANH458730:ANH458807 ANH524266:ANH524343 ANH589802:ANH589879 ANH655338:ANH655415 ANH720874:ANH720951 ANH786410:ANH786487 ANH851946:ANH852023 ANH917482:ANH917559 ANH983018:ANH983095 AXD2:AXD58 AXD65514:AXD65591 AXD131050:AXD131127 AXD196586:AXD196663 AXD262122:AXD262199 AXD327658:AXD327735 AXD393194:AXD393271 AXD458730:AXD458807 AXD524266:AXD524343 AXD589802:AXD589879 AXD655338:AXD655415 AXD720874:AXD720951 AXD786410:AXD786487 AXD851946:AXD852023 AXD917482:AXD917559 AXD983018:AXD983095 BGZ2:BGZ58 BGZ65514:BGZ65591 BGZ131050:BGZ131127 BGZ196586:BGZ196663 BGZ262122:BGZ262199 BGZ327658:BGZ327735 BGZ393194:BGZ393271 BGZ458730:BGZ458807 BGZ524266:BGZ524343 BGZ589802:BGZ589879 BGZ655338:BGZ655415 BGZ720874:BGZ720951 BGZ786410:BGZ786487 BGZ851946:BGZ852023 BGZ917482:BGZ917559 BGZ983018:BGZ983095 BQV2:BQV58 BQV65514:BQV65591 BQV131050:BQV131127 BQV196586:BQV196663 BQV262122:BQV262199 BQV327658:BQV327735 BQV393194:BQV393271 BQV458730:BQV458807 BQV524266:BQV524343 BQV589802:BQV589879 BQV655338:BQV655415 BQV720874:BQV720951 BQV786410:BQV786487 BQV851946:BQV852023 BQV917482:BQV917559 BQV983018:BQV983095 CAR2:CAR58 CAR65514:CAR65591 CAR131050:CAR131127 CAR196586:CAR196663 CAR262122:CAR262199 CAR327658:CAR327735 CAR393194:CAR393271 CAR458730:CAR458807 CAR524266:CAR524343 CAR589802:CAR589879 CAR655338:CAR655415 CAR720874:CAR720951 CAR786410:CAR786487 CAR851946:CAR852023 CAR917482:CAR917559 CAR983018:CAR983095 CKN2:CKN58 CKN65514:CKN65591 CKN131050:CKN131127 CKN196586:CKN196663 CKN262122:CKN262199 CKN327658:CKN327735 CKN393194:CKN393271 CKN458730:CKN458807 CKN524266:CKN524343 CKN589802:CKN589879 CKN655338:CKN655415 CKN720874:CKN720951 CKN786410:CKN786487 CKN851946:CKN852023 CKN917482:CKN917559 CKN983018:CKN983095 CUJ2:CUJ58 CUJ65514:CUJ65591 CUJ131050:CUJ131127 CUJ196586:CUJ196663 CUJ262122:CUJ262199 CUJ327658:CUJ327735 CUJ393194:CUJ393271 CUJ458730:CUJ458807 CUJ524266:CUJ524343 CUJ589802:CUJ589879 CUJ655338:CUJ655415 CUJ720874:CUJ720951 CUJ786410:CUJ786487 CUJ851946:CUJ852023 CUJ917482:CUJ917559 CUJ983018:CUJ983095 DEF2:DEF58 DEF65514:DEF65591 DEF131050:DEF131127 DEF196586:DEF196663 DEF262122:DEF262199 DEF327658:DEF327735 DEF393194:DEF393271 DEF458730:DEF458807 DEF524266:DEF524343 DEF589802:DEF589879 DEF655338:DEF655415 DEF720874:DEF720951 DEF786410:DEF786487 DEF851946:DEF852023 DEF917482:DEF917559 DEF983018:DEF983095 DOB2:DOB58 DOB65514:DOB65591 DOB131050:DOB131127 DOB196586:DOB196663 DOB262122:DOB262199 DOB327658:DOB327735 DOB393194:DOB393271 DOB458730:DOB458807 DOB524266:DOB524343 DOB589802:DOB589879 DOB655338:DOB655415 DOB720874:DOB720951 DOB786410:DOB786487 DOB851946:DOB852023 DOB917482:DOB917559 DOB983018:DOB983095 DXX2:DXX58 DXX65514:DXX65591 DXX131050:DXX131127 DXX196586:DXX196663 DXX262122:DXX262199 DXX327658:DXX327735 DXX393194:DXX393271 DXX458730:DXX458807 DXX524266:DXX524343 DXX589802:DXX589879 DXX655338:DXX655415 DXX720874:DXX720951 DXX786410:DXX786487 DXX851946:DXX852023 DXX917482:DXX917559 DXX983018:DXX983095 EHT2:EHT58 EHT65514:EHT65591 EHT131050:EHT131127 EHT196586:EHT196663 EHT262122:EHT262199 EHT327658:EHT327735 EHT393194:EHT393271 EHT458730:EHT458807 EHT524266:EHT524343 EHT589802:EHT589879 EHT655338:EHT655415 EHT720874:EHT720951 EHT786410:EHT786487 EHT851946:EHT852023 EHT917482:EHT917559 EHT983018:EHT983095 ERP2:ERP58 ERP65514:ERP65591 ERP131050:ERP131127 ERP196586:ERP196663 ERP262122:ERP262199 ERP327658:ERP327735 ERP393194:ERP393271 ERP458730:ERP458807 ERP524266:ERP524343 ERP589802:ERP589879 ERP655338:ERP655415 ERP720874:ERP720951 ERP786410:ERP786487 ERP851946:ERP852023 ERP917482:ERP917559 ERP983018:ERP983095 FBL2:FBL58 FBL65514:FBL65591 FBL131050:FBL131127 FBL196586:FBL196663 FBL262122:FBL262199 FBL327658:FBL327735 FBL393194:FBL393271 FBL458730:FBL458807 FBL524266:FBL524343 FBL589802:FBL589879 FBL655338:FBL655415 FBL720874:FBL720951 FBL786410:FBL786487 FBL851946:FBL852023 FBL917482:FBL917559 FBL983018:FBL983095 FLH2:FLH58 FLH65514:FLH65591 FLH131050:FLH131127 FLH196586:FLH196663 FLH262122:FLH262199 FLH327658:FLH327735 FLH393194:FLH393271 FLH458730:FLH458807 FLH524266:FLH524343 FLH589802:FLH589879 FLH655338:FLH655415 FLH720874:FLH720951 FLH786410:FLH786487 FLH851946:FLH852023 FLH917482:FLH917559 FLH983018:FLH983095 FVD2:FVD58 FVD65514:FVD65591 FVD131050:FVD131127 FVD196586:FVD196663 FVD262122:FVD262199 FVD327658:FVD327735 FVD393194:FVD393271 FVD458730:FVD458807 FVD524266:FVD524343 FVD589802:FVD589879 FVD655338:FVD655415 FVD720874:FVD720951 FVD786410:FVD786487 FVD851946:FVD852023 FVD917482:FVD917559 FVD983018:FVD983095 GEZ2:GEZ58 GEZ65514:GEZ65591 GEZ131050:GEZ131127 GEZ196586:GEZ196663 GEZ262122:GEZ262199 GEZ327658:GEZ327735 GEZ393194:GEZ393271 GEZ458730:GEZ458807 GEZ524266:GEZ524343 GEZ589802:GEZ589879 GEZ655338:GEZ655415 GEZ720874:GEZ720951 GEZ786410:GEZ786487 GEZ851946:GEZ852023 GEZ917482:GEZ917559 GEZ983018:GEZ983095 GOV2:GOV58 GOV65514:GOV65591 GOV131050:GOV131127 GOV196586:GOV196663 GOV262122:GOV262199 GOV327658:GOV327735 GOV393194:GOV393271 GOV458730:GOV458807 GOV524266:GOV524343 GOV589802:GOV589879 GOV655338:GOV655415 GOV720874:GOV720951 GOV786410:GOV786487 GOV851946:GOV852023 GOV917482:GOV917559 GOV983018:GOV983095 GYR2:GYR58 GYR65514:GYR65591 GYR131050:GYR131127 GYR196586:GYR196663 GYR262122:GYR262199 GYR327658:GYR327735 GYR393194:GYR393271 GYR458730:GYR458807 GYR524266:GYR524343 GYR589802:GYR589879 GYR655338:GYR655415 GYR720874:GYR720951 GYR786410:GYR786487 GYR851946:GYR852023 GYR917482:GYR917559 GYR983018:GYR983095 HIN2:HIN58 HIN65514:HIN65591 HIN131050:HIN131127 HIN196586:HIN196663 HIN262122:HIN262199 HIN327658:HIN327735 HIN393194:HIN393271 HIN458730:HIN458807 HIN524266:HIN524343 HIN589802:HIN589879 HIN655338:HIN655415 HIN720874:HIN720951 HIN786410:HIN786487 HIN851946:HIN852023 HIN917482:HIN917559 HIN983018:HIN983095 HSJ2:HSJ58 HSJ65514:HSJ65591 HSJ131050:HSJ131127 HSJ196586:HSJ196663 HSJ262122:HSJ262199 HSJ327658:HSJ327735 HSJ393194:HSJ393271 HSJ458730:HSJ458807 HSJ524266:HSJ524343 HSJ589802:HSJ589879 HSJ655338:HSJ655415 HSJ720874:HSJ720951 HSJ786410:HSJ786487 HSJ851946:HSJ852023 HSJ917482:HSJ917559 HSJ983018:HSJ983095 ICF2:ICF58 ICF65514:ICF65591 ICF131050:ICF131127 ICF196586:ICF196663 ICF262122:ICF262199 ICF327658:ICF327735 ICF393194:ICF393271 ICF458730:ICF458807 ICF524266:ICF524343 ICF589802:ICF589879 ICF655338:ICF655415 ICF720874:ICF720951 ICF786410:ICF786487 ICF851946:ICF852023 ICF917482:ICF917559 ICF983018:ICF983095 IMB2:IMB58 IMB65514:IMB65591 IMB131050:IMB131127 IMB196586:IMB196663 IMB262122:IMB262199 IMB327658:IMB327735 IMB393194:IMB393271 IMB458730:IMB458807 IMB524266:IMB524343 IMB589802:IMB589879 IMB655338:IMB655415 IMB720874:IMB720951 IMB786410:IMB786487 IMB851946:IMB852023 IMB917482:IMB917559 IMB983018:IMB983095 IVX2:IVX58 IVX65514:IVX65591 IVX131050:IVX131127 IVX196586:IVX196663 IVX262122:IVX262199 IVX327658:IVX327735 IVX393194:IVX393271 IVX458730:IVX458807 IVX524266:IVX524343 IVX589802:IVX589879 IVX655338:IVX655415 IVX720874:IVX720951 IVX786410:IVX786487 IVX851946:IVX852023 IVX917482:IVX917559 IVX983018:IVX983095 JFT2:JFT58 JFT65514:JFT65591 JFT131050:JFT131127 JFT196586:JFT196663 JFT262122:JFT262199 JFT327658:JFT327735 JFT393194:JFT393271 JFT458730:JFT458807 JFT524266:JFT524343 JFT589802:JFT589879 JFT655338:JFT655415 JFT720874:JFT720951 JFT786410:JFT786487 JFT851946:JFT852023 JFT917482:JFT917559 JFT983018:JFT983095 JPP2:JPP58 JPP65514:JPP65591 JPP131050:JPP131127 JPP196586:JPP196663 JPP262122:JPP262199 JPP327658:JPP327735 JPP393194:JPP393271 JPP458730:JPP458807 JPP524266:JPP524343 JPP589802:JPP589879 JPP655338:JPP655415 JPP720874:JPP720951 JPP786410:JPP786487 JPP851946:JPP852023 JPP917482:JPP917559 JPP983018:JPP983095 JZL2:JZL58 JZL65514:JZL65591 JZL131050:JZL131127 JZL196586:JZL196663 JZL262122:JZL262199 JZL327658:JZL327735 JZL393194:JZL393271 JZL458730:JZL458807 JZL524266:JZL524343 JZL589802:JZL589879 JZL655338:JZL655415 JZL720874:JZL720951 JZL786410:JZL786487 JZL851946:JZL852023 JZL917482:JZL917559 JZL983018:JZL983095 KJH2:KJH58 KJH65514:KJH65591 KJH131050:KJH131127 KJH196586:KJH196663 KJH262122:KJH262199 KJH327658:KJH327735 KJH393194:KJH393271 KJH458730:KJH458807 KJH524266:KJH524343 KJH589802:KJH589879 KJH655338:KJH655415 KJH720874:KJH720951 KJH786410:KJH786487 KJH851946:KJH852023 KJH917482:KJH917559 KJH983018:KJH983095 KTD2:KTD58 KTD65514:KTD65591 KTD131050:KTD131127 KTD196586:KTD196663 KTD262122:KTD262199 KTD327658:KTD327735 KTD393194:KTD393271 KTD458730:KTD458807 KTD524266:KTD524343 KTD589802:KTD589879 KTD655338:KTD655415 KTD720874:KTD720951 KTD786410:KTD786487 KTD851946:KTD852023 KTD917482:KTD917559 KTD983018:KTD983095 LCZ2:LCZ58 LCZ65514:LCZ65591 LCZ131050:LCZ131127 LCZ196586:LCZ196663 LCZ262122:LCZ262199 LCZ327658:LCZ327735 LCZ393194:LCZ393271 LCZ458730:LCZ458807 LCZ524266:LCZ524343 LCZ589802:LCZ589879 LCZ655338:LCZ655415 LCZ720874:LCZ720951 LCZ786410:LCZ786487 LCZ851946:LCZ852023 LCZ917482:LCZ917559 LCZ983018:LCZ983095 LMV2:LMV58 LMV65514:LMV65591 LMV131050:LMV131127 LMV196586:LMV196663 LMV262122:LMV262199 LMV327658:LMV327735 LMV393194:LMV393271 LMV458730:LMV458807 LMV524266:LMV524343 LMV589802:LMV589879 LMV655338:LMV655415 LMV720874:LMV720951 LMV786410:LMV786487 LMV851946:LMV852023 LMV917482:LMV917559 LMV983018:LMV983095 LWR2:LWR58 LWR65514:LWR65591 LWR131050:LWR131127 LWR196586:LWR196663 LWR262122:LWR262199 LWR327658:LWR327735 LWR393194:LWR393271 LWR458730:LWR458807 LWR524266:LWR524343 LWR589802:LWR589879 LWR655338:LWR655415 LWR720874:LWR720951 LWR786410:LWR786487 LWR851946:LWR852023 LWR917482:LWR917559 LWR983018:LWR983095 MGN2:MGN58 MGN65514:MGN65591 MGN131050:MGN131127 MGN196586:MGN196663 MGN262122:MGN262199 MGN327658:MGN327735 MGN393194:MGN393271 MGN458730:MGN458807 MGN524266:MGN524343 MGN589802:MGN589879 MGN655338:MGN655415 MGN720874:MGN720951 MGN786410:MGN786487 MGN851946:MGN852023 MGN917482:MGN917559 MGN983018:MGN983095 MQJ2:MQJ58 MQJ65514:MQJ65591 MQJ131050:MQJ131127 MQJ196586:MQJ196663 MQJ262122:MQJ262199 MQJ327658:MQJ327735 MQJ393194:MQJ393271 MQJ458730:MQJ458807 MQJ524266:MQJ524343 MQJ589802:MQJ589879 MQJ655338:MQJ655415 MQJ720874:MQJ720951 MQJ786410:MQJ786487 MQJ851946:MQJ852023 MQJ917482:MQJ917559 MQJ983018:MQJ983095 NAF2:NAF58 NAF65514:NAF65591 NAF131050:NAF131127 NAF196586:NAF196663 NAF262122:NAF262199 NAF327658:NAF327735 NAF393194:NAF393271 NAF458730:NAF458807 NAF524266:NAF524343 NAF589802:NAF589879 NAF655338:NAF655415 NAF720874:NAF720951 NAF786410:NAF786487 NAF851946:NAF852023 NAF917482:NAF917559 NAF983018:NAF983095 NKB2:NKB58 NKB65514:NKB65591 NKB131050:NKB131127 NKB196586:NKB196663 NKB262122:NKB262199 NKB327658:NKB327735 NKB393194:NKB393271 NKB458730:NKB458807 NKB524266:NKB524343 NKB589802:NKB589879 NKB655338:NKB655415 NKB720874:NKB720951 NKB786410:NKB786487 NKB851946:NKB852023 NKB917482:NKB917559 NKB983018:NKB983095 NTX2:NTX58 NTX65514:NTX65591 NTX131050:NTX131127 NTX196586:NTX196663 NTX262122:NTX262199 NTX327658:NTX327735 NTX393194:NTX393271 NTX458730:NTX458807 NTX524266:NTX524343 NTX589802:NTX589879 NTX655338:NTX655415 NTX720874:NTX720951 NTX786410:NTX786487 NTX851946:NTX852023 NTX917482:NTX917559 NTX983018:NTX983095 ODT2:ODT58 ODT65514:ODT65591 ODT131050:ODT131127 ODT196586:ODT196663 ODT262122:ODT262199 ODT327658:ODT327735 ODT393194:ODT393271 ODT458730:ODT458807 ODT524266:ODT524343 ODT589802:ODT589879 ODT655338:ODT655415 ODT720874:ODT720951 ODT786410:ODT786487 ODT851946:ODT852023 ODT917482:ODT917559 ODT983018:ODT983095 ONP2:ONP58 ONP65514:ONP65591 ONP131050:ONP131127 ONP196586:ONP196663 ONP262122:ONP262199 ONP327658:ONP327735 ONP393194:ONP393271 ONP458730:ONP458807 ONP524266:ONP524343 ONP589802:ONP589879 ONP655338:ONP655415 ONP720874:ONP720951 ONP786410:ONP786487 ONP851946:ONP852023 ONP917482:ONP917559 ONP983018:ONP983095 OXL2:OXL58 OXL65514:OXL65591 OXL131050:OXL131127 OXL196586:OXL196663 OXL262122:OXL262199 OXL327658:OXL327735 OXL393194:OXL393271 OXL458730:OXL458807 OXL524266:OXL524343 OXL589802:OXL589879 OXL655338:OXL655415 OXL720874:OXL720951 OXL786410:OXL786487 OXL851946:OXL852023 OXL917482:OXL917559 OXL983018:OXL983095 PHH2:PHH58 PHH65514:PHH65591 PHH131050:PHH131127 PHH196586:PHH196663 PHH262122:PHH262199 PHH327658:PHH327735 PHH393194:PHH393271 PHH458730:PHH458807 PHH524266:PHH524343 PHH589802:PHH589879 PHH655338:PHH655415 PHH720874:PHH720951 PHH786410:PHH786487 PHH851946:PHH852023 PHH917482:PHH917559 PHH983018:PHH983095 PRD2:PRD58 PRD65514:PRD65591 PRD131050:PRD131127 PRD196586:PRD196663 PRD262122:PRD262199 PRD327658:PRD327735 PRD393194:PRD393271 PRD458730:PRD458807 PRD524266:PRD524343 PRD589802:PRD589879 PRD655338:PRD655415 PRD720874:PRD720951 PRD786410:PRD786487 PRD851946:PRD852023 PRD917482:PRD917559 PRD983018:PRD983095 QAZ2:QAZ58 QAZ65514:QAZ65591 QAZ131050:QAZ131127 QAZ196586:QAZ196663 QAZ262122:QAZ262199 QAZ327658:QAZ327735 QAZ393194:QAZ393271 QAZ458730:QAZ458807 QAZ524266:QAZ524343 QAZ589802:QAZ589879 QAZ655338:QAZ655415 QAZ720874:QAZ720951 QAZ786410:QAZ786487 QAZ851946:QAZ852023 QAZ917482:QAZ917559 QAZ983018:QAZ983095 QKV2:QKV58 QKV65514:QKV65591 QKV131050:QKV131127 QKV196586:QKV196663 QKV262122:QKV262199 QKV327658:QKV327735 QKV393194:QKV393271 QKV458730:QKV458807 QKV524266:QKV524343 QKV589802:QKV589879 QKV655338:QKV655415 QKV720874:QKV720951 QKV786410:QKV786487 QKV851946:QKV852023 QKV917482:QKV917559 QKV983018:QKV983095 QUR2:QUR58 QUR65514:QUR65591 QUR131050:QUR131127 QUR196586:QUR196663 QUR262122:QUR262199 QUR327658:QUR327735 QUR393194:QUR393271 QUR458730:QUR458807 QUR524266:QUR524343 QUR589802:QUR589879 QUR655338:QUR655415 QUR720874:QUR720951 QUR786410:QUR786487 QUR851946:QUR852023 QUR917482:QUR917559 QUR983018:QUR983095 REN2:REN58 REN65514:REN65591 REN131050:REN131127 REN196586:REN196663 REN262122:REN262199 REN327658:REN327735 REN393194:REN393271 REN458730:REN458807 REN524266:REN524343 REN589802:REN589879 REN655338:REN655415 REN720874:REN720951 REN786410:REN786487 REN851946:REN852023 REN917482:REN917559 REN983018:REN983095 ROJ2:ROJ58 ROJ65514:ROJ65591 ROJ131050:ROJ131127 ROJ196586:ROJ196663 ROJ262122:ROJ262199 ROJ327658:ROJ327735 ROJ393194:ROJ393271 ROJ458730:ROJ458807 ROJ524266:ROJ524343 ROJ589802:ROJ589879 ROJ655338:ROJ655415 ROJ720874:ROJ720951 ROJ786410:ROJ786487 ROJ851946:ROJ852023 ROJ917482:ROJ917559 ROJ983018:ROJ983095 RYF2:RYF58 RYF65514:RYF65591 RYF131050:RYF131127 RYF196586:RYF196663 RYF262122:RYF262199 RYF327658:RYF327735 RYF393194:RYF393271 RYF458730:RYF458807 RYF524266:RYF524343 RYF589802:RYF589879 RYF655338:RYF655415 RYF720874:RYF720951 RYF786410:RYF786487 RYF851946:RYF852023 RYF917482:RYF917559 RYF983018:RYF983095 SIB2:SIB58 SIB65514:SIB65591 SIB131050:SIB131127 SIB196586:SIB196663 SIB262122:SIB262199 SIB327658:SIB327735 SIB393194:SIB393271 SIB458730:SIB458807 SIB524266:SIB524343 SIB589802:SIB589879 SIB655338:SIB655415 SIB720874:SIB720951 SIB786410:SIB786487 SIB851946:SIB852023 SIB917482:SIB917559 SIB983018:SIB983095 SRX2:SRX58 SRX65514:SRX65591 SRX131050:SRX131127 SRX196586:SRX196663 SRX262122:SRX262199 SRX327658:SRX327735 SRX393194:SRX393271 SRX458730:SRX458807 SRX524266:SRX524343 SRX589802:SRX589879 SRX655338:SRX655415 SRX720874:SRX720951 SRX786410:SRX786487 SRX851946:SRX852023 SRX917482:SRX917559 SRX983018:SRX983095 TBT2:TBT58 TBT65514:TBT65591 TBT131050:TBT131127 TBT196586:TBT196663 TBT262122:TBT262199 TBT327658:TBT327735 TBT393194:TBT393271 TBT458730:TBT458807 TBT524266:TBT524343 TBT589802:TBT589879 TBT655338:TBT655415 TBT720874:TBT720951 TBT786410:TBT786487 TBT851946:TBT852023 TBT917482:TBT917559 TBT983018:TBT983095 TLP2:TLP58 TLP65514:TLP65591 TLP131050:TLP131127 TLP196586:TLP196663 TLP262122:TLP262199 TLP327658:TLP327735 TLP393194:TLP393271 TLP458730:TLP458807 TLP524266:TLP524343 TLP589802:TLP589879 TLP655338:TLP655415 TLP720874:TLP720951 TLP786410:TLP786487 TLP851946:TLP852023 TLP917482:TLP917559 TLP983018:TLP983095 TVL2:TVL58 TVL65514:TVL65591 TVL131050:TVL131127 TVL196586:TVL196663 TVL262122:TVL262199 TVL327658:TVL327735 TVL393194:TVL393271 TVL458730:TVL458807 TVL524266:TVL524343 TVL589802:TVL589879 TVL655338:TVL655415 TVL720874:TVL720951 TVL786410:TVL786487 TVL851946:TVL852023 TVL917482:TVL917559 TVL983018:TVL983095 UFH2:UFH58 UFH65514:UFH65591 UFH131050:UFH131127 UFH196586:UFH196663 UFH262122:UFH262199 UFH327658:UFH327735 UFH393194:UFH393271 UFH458730:UFH458807 UFH524266:UFH524343 UFH589802:UFH589879 UFH655338:UFH655415 UFH720874:UFH720951 UFH786410:UFH786487 UFH851946:UFH852023 UFH917482:UFH917559 UFH983018:UFH983095 UPD2:UPD58 UPD65514:UPD65591 UPD131050:UPD131127 UPD196586:UPD196663 UPD262122:UPD262199 UPD327658:UPD327735 UPD393194:UPD393271 UPD458730:UPD458807 UPD524266:UPD524343 UPD589802:UPD589879 UPD655338:UPD655415 UPD720874:UPD720951 UPD786410:UPD786487 UPD851946:UPD852023 UPD917482:UPD917559 UPD983018:UPD983095 UYZ2:UYZ58 UYZ65514:UYZ65591 UYZ131050:UYZ131127 UYZ196586:UYZ196663 UYZ262122:UYZ262199 UYZ327658:UYZ327735 UYZ393194:UYZ393271 UYZ458730:UYZ458807 UYZ524266:UYZ524343 UYZ589802:UYZ589879 UYZ655338:UYZ655415 UYZ720874:UYZ720951 UYZ786410:UYZ786487 UYZ851946:UYZ852023 UYZ917482:UYZ917559 UYZ983018:UYZ983095 VIV2:VIV58 VIV65514:VIV65591 VIV131050:VIV131127 VIV196586:VIV196663 VIV262122:VIV262199 VIV327658:VIV327735 VIV393194:VIV393271 VIV458730:VIV458807 VIV524266:VIV524343 VIV589802:VIV589879 VIV655338:VIV655415 VIV720874:VIV720951 VIV786410:VIV786487 VIV851946:VIV852023 VIV917482:VIV917559 VIV983018:VIV983095 VSR2:VSR58 VSR65514:VSR65591 VSR131050:VSR131127 VSR196586:VSR196663 VSR262122:VSR262199 VSR327658:VSR327735 VSR393194:VSR393271 VSR458730:VSR458807 VSR524266:VSR524343 VSR589802:VSR589879 VSR655338:VSR655415 VSR720874:VSR720951 VSR786410:VSR786487 VSR851946:VSR852023 VSR917482:VSR917559 VSR983018:VSR983095 WCN2:WCN58 WCN65514:WCN65591 WCN131050:WCN131127 WCN196586:WCN196663 WCN262122:WCN262199 WCN327658:WCN327735 WCN393194:WCN393271 WCN458730:WCN458807 WCN524266:WCN524343 WCN589802:WCN589879 WCN655338:WCN655415 WCN720874:WCN720951 WCN786410:WCN786487 WCN851946:WCN852023 WCN917482:WCN917559 WCN983018:WCN983095 WMJ2:WMJ58 WMJ65514:WMJ65591 WMJ131050:WMJ131127 WMJ196586:WMJ196663 WMJ262122:WMJ262199 WMJ327658:WMJ327735 WMJ393194:WMJ393271 WMJ458730:WMJ458807 WMJ524266:WMJ524343 WMJ589802:WMJ589879 WMJ655338:WMJ655415 WMJ720874:WMJ720951 WMJ786410:WMJ786487 WMJ851946:WMJ852023 WMJ917482:WMJ917559 WMJ983018:WMJ983095 WWF2:WWF58 WWF65514:WWF65591 WWF131050:WWF131127 WWF196586:WWF196663 WWF262122:WWF262199 WWF327658:WWF327735 WWF393194:WWF393271 WWF458730:WWF458807 WWF524266:WWF524343 WWF589802:WWF589879 WWF655338:WWF655415 WWF720874:WWF720951 WWF786410:WWF786487 WWF851946:WWF852023 WWF917482:WWF917559 WWF983018:WWF983095">
      <formula1>$AT$2:$AT$3</formula1>
    </dataValidation>
    <dataValidation type="list" allowBlank="1" showInputMessage="1" showErrorMessage="1" sqref="F2:F707 F65514:F65591 F131050:F131127 F196586:F196663 F262122:F262199 F327658:F327735 F393194:F393271 F458730:F458807 F524266:F524343 F589802:F589879 F655338:F655415 F720874:F720951 F786410:F786487 F851946:F852023 F917482:F917559 F983018:F983095 JB2:JB58 JB65514:JB65591 JB131050:JB131127 JB196586:JB196663 JB262122:JB262199 JB327658:JB327735 JB393194:JB393271 JB458730:JB458807 JB524266:JB524343 JB589802:JB589879 JB655338:JB655415 JB720874:JB720951 JB786410:JB786487 JB851946:JB852023 JB917482:JB917559 JB983018:JB983095 SX2:SX58 SX65514:SX65591 SX131050:SX131127 SX196586:SX196663 SX262122:SX262199 SX327658:SX327735 SX393194:SX393271 SX458730:SX458807 SX524266:SX524343 SX589802:SX589879 SX655338:SX655415 SX720874:SX720951 SX786410:SX786487 SX851946:SX852023 SX917482:SX917559 SX983018:SX983095 ACT2:ACT58 ACT65514:ACT65591 ACT131050:ACT131127 ACT196586:ACT196663 ACT262122:ACT262199 ACT327658:ACT327735 ACT393194:ACT393271 ACT458730:ACT458807 ACT524266:ACT524343 ACT589802:ACT589879 ACT655338:ACT655415 ACT720874:ACT720951 ACT786410:ACT786487 ACT851946:ACT852023 ACT917482:ACT917559 ACT983018:ACT983095 AMP2:AMP58 AMP65514:AMP65591 AMP131050:AMP131127 AMP196586:AMP196663 AMP262122:AMP262199 AMP327658:AMP327735 AMP393194:AMP393271 AMP458730:AMP458807 AMP524266:AMP524343 AMP589802:AMP589879 AMP655338:AMP655415 AMP720874:AMP720951 AMP786410:AMP786487 AMP851946:AMP852023 AMP917482:AMP917559 AMP983018:AMP983095 AWL2:AWL58 AWL65514:AWL65591 AWL131050:AWL131127 AWL196586:AWL196663 AWL262122:AWL262199 AWL327658:AWL327735 AWL393194:AWL393271 AWL458730:AWL458807 AWL524266:AWL524343 AWL589802:AWL589879 AWL655338:AWL655415 AWL720874:AWL720951 AWL786410:AWL786487 AWL851946:AWL852023 AWL917482:AWL917559 AWL983018:AWL983095 BGH2:BGH58 BGH65514:BGH65591 BGH131050:BGH131127 BGH196586:BGH196663 BGH262122:BGH262199 BGH327658:BGH327735 BGH393194:BGH393271 BGH458730:BGH458807 BGH524266:BGH524343 BGH589802:BGH589879 BGH655338:BGH655415 BGH720874:BGH720951 BGH786410:BGH786487 BGH851946:BGH852023 BGH917482:BGH917559 BGH983018:BGH983095 BQD2:BQD58 BQD65514:BQD65591 BQD131050:BQD131127 BQD196586:BQD196663 BQD262122:BQD262199 BQD327658:BQD327735 BQD393194:BQD393271 BQD458730:BQD458807 BQD524266:BQD524343 BQD589802:BQD589879 BQD655338:BQD655415 BQD720874:BQD720951 BQD786410:BQD786487 BQD851946:BQD852023 BQD917482:BQD917559 BQD983018:BQD983095 BZZ2:BZZ58 BZZ65514:BZZ65591 BZZ131050:BZZ131127 BZZ196586:BZZ196663 BZZ262122:BZZ262199 BZZ327658:BZZ327735 BZZ393194:BZZ393271 BZZ458730:BZZ458807 BZZ524266:BZZ524343 BZZ589802:BZZ589879 BZZ655338:BZZ655415 BZZ720874:BZZ720951 BZZ786410:BZZ786487 BZZ851946:BZZ852023 BZZ917482:BZZ917559 BZZ983018:BZZ983095 CJV2:CJV58 CJV65514:CJV65591 CJV131050:CJV131127 CJV196586:CJV196663 CJV262122:CJV262199 CJV327658:CJV327735 CJV393194:CJV393271 CJV458730:CJV458807 CJV524266:CJV524343 CJV589802:CJV589879 CJV655338:CJV655415 CJV720874:CJV720951 CJV786410:CJV786487 CJV851946:CJV852023 CJV917482:CJV917559 CJV983018:CJV983095 CTR2:CTR58 CTR65514:CTR65591 CTR131050:CTR131127 CTR196586:CTR196663 CTR262122:CTR262199 CTR327658:CTR327735 CTR393194:CTR393271 CTR458730:CTR458807 CTR524266:CTR524343 CTR589802:CTR589879 CTR655338:CTR655415 CTR720874:CTR720951 CTR786410:CTR786487 CTR851946:CTR852023 CTR917482:CTR917559 CTR983018:CTR983095 DDN2:DDN58 DDN65514:DDN65591 DDN131050:DDN131127 DDN196586:DDN196663 DDN262122:DDN262199 DDN327658:DDN327735 DDN393194:DDN393271 DDN458730:DDN458807 DDN524266:DDN524343 DDN589802:DDN589879 DDN655338:DDN655415 DDN720874:DDN720951 DDN786410:DDN786487 DDN851946:DDN852023 DDN917482:DDN917559 DDN983018:DDN983095 DNJ2:DNJ58 DNJ65514:DNJ65591 DNJ131050:DNJ131127 DNJ196586:DNJ196663 DNJ262122:DNJ262199 DNJ327658:DNJ327735 DNJ393194:DNJ393271 DNJ458730:DNJ458807 DNJ524266:DNJ524343 DNJ589802:DNJ589879 DNJ655338:DNJ655415 DNJ720874:DNJ720951 DNJ786410:DNJ786487 DNJ851946:DNJ852023 DNJ917482:DNJ917559 DNJ983018:DNJ983095 DXF2:DXF58 DXF65514:DXF65591 DXF131050:DXF131127 DXF196586:DXF196663 DXF262122:DXF262199 DXF327658:DXF327735 DXF393194:DXF393271 DXF458730:DXF458807 DXF524266:DXF524343 DXF589802:DXF589879 DXF655338:DXF655415 DXF720874:DXF720951 DXF786410:DXF786487 DXF851946:DXF852023 DXF917482:DXF917559 DXF983018:DXF983095 EHB2:EHB58 EHB65514:EHB65591 EHB131050:EHB131127 EHB196586:EHB196663 EHB262122:EHB262199 EHB327658:EHB327735 EHB393194:EHB393271 EHB458730:EHB458807 EHB524266:EHB524343 EHB589802:EHB589879 EHB655338:EHB655415 EHB720874:EHB720951 EHB786410:EHB786487 EHB851946:EHB852023 EHB917482:EHB917559 EHB983018:EHB983095 EQX2:EQX58 EQX65514:EQX65591 EQX131050:EQX131127 EQX196586:EQX196663 EQX262122:EQX262199 EQX327658:EQX327735 EQX393194:EQX393271 EQX458730:EQX458807 EQX524266:EQX524343 EQX589802:EQX589879 EQX655338:EQX655415 EQX720874:EQX720951 EQX786410:EQX786487 EQX851946:EQX852023 EQX917482:EQX917559 EQX983018:EQX983095 FAT2:FAT58 FAT65514:FAT65591 FAT131050:FAT131127 FAT196586:FAT196663 FAT262122:FAT262199 FAT327658:FAT327735 FAT393194:FAT393271 FAT458730:FAT458807 FAT524266:FAT524343 FAT589802:FAT589879 FAT655338:FAT655415 FAT720874:FAT720951 FAT786410:FAT786487 FAT851946:FAT852023 FAT917482:FAT917559 FAT983018:FAT983095 FKP2:FKP58 FKP65514:FKP65591 FKP131050:FKP131127 FKP196586:FKP196663 FKP262122:FKP262199 FKP327658:FKP327735 FKP393194:FKP393271 FKP458730:FKP458807 FKP524266:FKP524343 FKP589802:FKP589879 FKP655338:FKP655415 FKP720874:FKP720951 FKP786410:FKP786487 FKP851946:FKP852023 FKP917482:FKP917559 FKP983018:FKP983095 FUL2:FUL58 FUL65514:FUL65591 FUL131050:FUL131127 FUL196586:FUL196663 FUL262122:FUL262199 FUL327658:FUL327735 FUL393194:FUL393271 FUL458730:FUL458807 FUL524266:FUL524343 FUL589802:FUL589879 FUL655338:FUL655415 FUL720874:FUL720951 FUL786410:FUL786487 FUL851946:FUL852023 FUL917482:FUL917559 FUL983018:FUL983095 GEH2:GEH58 GEH65514:GEH65591 GEH131050:GEH131127 GEH196586:GEH196663 GEH262122:GEH262199 GEH327658:GEH327735 GEH393194:GEH393271 GEH458730:GEH458807 GEH524266:GEH524343 GEH589802:GEH589879 GEH655338:GEH655415 GEH720874:GEH720951 GEH786410:GEH786487 GEH851946:GEH852023 GEH917482:GEH917559 GEH983018:GEH983095 GOD2:GOD58 GOD65514:GOD65591 GOD131050:GOD131127 GOD196586:GOD196663 GOD262122:GOD262199 GOD327658:GOD327735 GOD393194:GOD393271 GOD458730:GOD458807 GOD524266:GOD524343 GOD589802:GOD589879 GOD655338:GOD655415 GOD720874:GOD720951 GOD786410:GOD786487 GOD851946:GOD852023 GOD917482:GOD917559 GOD983018:GOD983095 GXZ2:GXZ58 GXZ65514:GXZ65591 GXZ131050:GXZ131127 GXZ196586:GXZ196663 GXZ262122:GXZ262199 GXZ327658:GXZ327735 GXZ393194:GXZ393271 GXZ458730:GXZ458807 GXZ524266:GXZ524343 GXZ589802:GXZ589879 GXZ655338:GXZ655415 GXZ720874:GXZ720951 GXZ786410:GXZ786487 GXZ851946:GXZ852023 GXZ917482:GXZ917559 GXZ983018:GXZ983095 HHV2:HHV58 HHV65514:HHV65591 HHV131050:HHV131127 HHV196586:HHV196663 HHV262122:HHV262199 HHV327658:HHV327735 HHV393194:HHV393271 HHV458730:HHV458807 HHV524266:HHV524343 HHV589802:HHV589879 HHV655338:HHV655415 HHV720874:HHV720951 HHV786410:HHV786487 HHV851946:HHV852023 HHV917482:HHV917559 HHV983018:HHV983095 HRR2:HRR58 HRR65514:HRR65591 HRR131050:HRR131127 HRR196586:HRR196663 HRR262122:HRR262199 HRR327658:HRR327735 HRR393194:HRR393271 HRR458730:HRR458807 HRR524266:HRR524343 HRR589802:HRR589879 HRR655338:HRR655415 HRR720874:HRR720951 HRR786410:HRR786487 HRR851946:HRR852023 HRR917482:HRR917559 HRR983018:HRR983095 IBN2:IBN58 IBN65514:IBN65591 IBN131050:IBN131127 IBN196586:IBN196663 IBN262122:IBN262199 IBN327658:IBN327735 IBN393194:IBN393271 IBN458730:IBN458807 IBN524266:IBN524343 IBN589802:IBN589879 IBN655338:IBN655415 IBN720874:IBN720951 IBN786410:IBN786487 IBN851946:IBN852023 IBN917482:IBN917559 IBN983018:IBN983095 ILJ2:ILJ58 ILJ65514:ILJ65591 ILJ131050:ILJ131127 ILJ196586:ILJ196663 ILJ262122:ILJ262199 ILJ327658:ILJ327735 ILJ393194:ILJ393271 ILJ458730:ILJ458807 ILJ524266:ILJ524343 ILJ589802:ILJ589879 ILJ655338:ILJ655415 ILJ720874:ILJ720951 ILJ786410:ILJ786487 ILJ851946:ILJ852023 ILJ917482:ILJ917559 ILJ983018:ILJ983095 IVF2:IVF58 IVF65514:IVF65591 IVF131050:IVF131127 IVF196586:IVF196663 IVF262122:IVF262199 IVF327658:IVF327735 IVF393194:IVF393271 IVF458730:IVF458807 IVF524266:IVF524343 IVF589802:IVF589879 IVF655338:IVF655415 IVF720874:IVF720951 IVF786410:IVF786487 IVF851946:IVF852023 IVF917482:IVF917559 IVF983018:IVF983095 JFB2:JFB58 JFB65514:JFB65591 JFB131050:JFB131127 JFB196586:JFB196663 JFB262122:JFB262199 JFB327658:JFB327735 JFB393194:JFB393271 JFB458730:JFB458807 JFB524266:JFB524343 JFB589802:JFB589879 JFB655338:JFB655415 JFB720874:JFB720951 JFB786410:JFB786487 JFB851946:JFB852023 JFB917482:JFB917559 JFB983018:JFB983095 JOX2:JOX58 JOX65514:JOX65591 JOX131050:JOX131127 JOX196586:JOX196663 JOX262122:JOX262199 JOX327658:JOX327735 JOX393194:JOX393271 JOX458730:JOX458807 JOX524266:JOX524343 JOX589802:JOX589879 JOX655338:JOX655415 JOX720874:JOX720951 JOX786410:JOX786487 JOX851946:JOX852023 JOX917482:JOX917559 JOX983018:JOX983095 JYT2:JYT58 JYT65514:JYT65591 JYT131050:JYT131127 JYT196586:JYT196663 JYT262122:JYT262199 JYT327658:JYT327735 JYT393194:JYT393271 JYT458730:JYT458807 JYT524266:JYT524343 JYT589802:JYT589879 JYT655338:JYT655415 JYT720874:JYT720951 JYT786410:JYT786487 JYT851946:JYT852023 JYT917482:JYT917559 JYT983018:JYT983095 KIP2:KIP58 KIP65514:KIP65591 KIP131050:KIP131127 KIP196586:KIP196663 KIP262122:KIP262199 KIP327658:KIP327735 KIP393194:KIP393271 KIP458730:KIP458807 KIP524266:KIP524343 KIP589802:KIP589879 KIP655338:KIP655415 KIP720874:KIP720951 KIP786410:KIP786487 KIP851946:KIP852023 KIP917482:KIP917559 KIP983018:KIP983095 KSL2:KSL58 KSL65514:KSL65591 KSL131050:KSL131127 KSL196586:KSL196663 KSL262122:KSL262199 KSL327658:KSL327735 KSL393194:KSL393271 KSL458730:KSL458807 KSL524266:KSL524343 KSL589802:KSL589879 KSL655338:KSL655415 KSL720874:KSL720951 KSL786410:KSL786487 KSL851946:KSL852023 KSL917482:KSL917559 KSL983018:KSL983095 LCH2:LCH58 LCH65514:LCH65591 LCH131050:LCH131127 LCH196586:LCH196663 LCH262122:LCH262199 LCH327658:LCH327735 LCH393194:LCH393271 LCH458730:LCH458807 LCH524266:LCH524343 LCH589802:LCH589879 LCH655338:LCH655415 LCH720874:LCH720951 LCH786410:LCH786487 LCH851946:LCH852023 LCH917482:LCH917559 LCH983018:LCH983095 LMD2:LMD58 LMD65514:LMD65591 LMD131050:LMD131127 LMD196586:LMD196663 LMD262122:LMD262199 LMD327658:LMD327735 LMD393194:LMD393271 LMD458730:LMD458807 LMD524266:LMD524343 LMD589802:LMD589879 LMD655338:LMD655415 LMD720874:LMD720951 LMD786410:LMD786487 LMD851946:LMD852023 LMD917482:LMD917559 LMD983018:LMD983095 LVZ2:LVZ58 LVZ65514:LVZ65591 LVZ131050:LVZ131127 LVZ196586:LVZ196663 LVZ262122:LVZ262199 LVZ327658:LVZ327735 LVZ393194:LVZ393271 LVZ458730:LVZ458807 LVZ524266:LVZ524343 LVZ589802:LVZ589879 LVZ655338:LVZ655415 LVZ720874:LVZ720951 LVZ786410:LVZ786487 LVZ851946:LVZ852023 LVZ917482:LVZ917559 LVZ983018:LVZ983095 MFV2:MFV58 MFV65514:MFV65591 MFV131050:MFV131127 MFV196586:MFV196663 MFV262122:MFV262199 MFV327658:MFV327735 MFV393194:MFV393271 MFV458730:MFV458807 MFV524266:MFV524343 MFV589802:MFV589879 MFV655338:MFV655415 MFV720874:MFV720951 MFV786410:MFV786487 MFV851946:MFV852023 MFV917482:MFV917559 MFV983018:MFV983095 MPR2:MPR58 MPR65514:MPR65591 MPR131050:MPR131127 MPR196586:MPR196663 MPR262122:MPR262199 MPR327658:MPR327735 MPR393194:MPR393271 MPR458730:MPR458807 MPR524266:MPR524343 MPR589802:MPR589879 MPR655338:MPR655415 MPR720874:MPR720951 MPR786410:MPR786487 MPR851946:MPR852023 MPR917482:MPR917559 MPR983018:MPR983095 MZN2:MZN58 MZN65514:MZN65591 MZN131050:MZN131127 MZN196586:MZN196663 MZN262122:MZN262199 MZN327658:MZN327735 MZN393194:MZN393271 MZN458730:MZN458807 MZN524266:MZN524343 MZN589802:MZN589879 MZN655338:MZN655415 MZN720874:MZN720951 MZN786410:MZN786487 MZN851946:MZN852023 MZN917482:MZN917559 MZN983018:MZN983095 NJJ2:NJJ58 NJJ65514:NJJ65591 NJJ131050:NJJ131127 NJJ196586:NJJ196663 NJJ262122:NJJ262199 NJJ327658:NJJ327735 NJJ393194:NJJ393271 NJJ458730:NJJ458807 NJJ524266:NJJ524343 NJJ589802:NJJ589879 NJJ655338:NJJ655415 NJJ720874:NJJ720951 NJJ786410:NJJ786487 NJJ851946:NJJ852023 NJJ917482:NJJ917559 NJJ983018:NJJ983095 NTF2:NTF58 NTF65514:NTF65591 NTF131050:NTF131127 NTF196586:NTF196663 NTF262122:NTF262199 NTF327658:NTF327735 NTF393194:NTF393271 NTF458730:NTF458807 NTF524266:NTF524343 NTF589802:NTF589879 NTF655338:NTF655415 NTF720874:NTF720951 NTF786410:NTF786487 NTF851946:NTF852023 NTF917482:NTF917559 NTF983018:NTF983095 ODB2:ODB58 ODB65514:ODB65591 ODB131050:ODB131127 ODB196586:ODB196663 ODB262122:ODB262199 ODB327658:ODB327735 ODB393194:ODB393271 ODB458730:ODB458807 ODB524266:ODB524343 ODB589802:ODB589879 ODB655338:ODB655415 ODB720874:ODB720951 ODB786410:ODB786487 ODB851946:ODB852023 ODB917482:ODB917559 ODB983018:ODB983095 OMX2:OMX58 OMX65514:OMX65591 OMX131050:OMX131127 OMX196586:OMX196663 OMX262122:OMX262199 OMX327658:OMX327735 OMX393194:OMX393271 OMX458730:OMX458807 OMX524266:OMX524343 OMX589802:OMX589879 OMX655338:OMX655415 OMX720874:OMX720951 OMX786410:OMX786487 OMX851946:OMX852023 OMX917482:OMX917559 OMX983018:OMX983095 OWT2:OWT58 OWT65514:OWT65591 OWT131050:OWT131127 OWT196586:OWT196663 OWT262122:OWT262199 OWT327658:OWT327735 OWT393194:OWT393271 OWT458730:OWT458807 OWT524266:OWT524343 OWT589802:OWT589879 OWT655338:OWT655415 OWT720874:OWT720951 OWT786410:OWT786487 OWT851946:OWT852023 OWT917482:OWT917559 OWT983018:OWT983095 PGP2:PGP58 PGP65514:PGP65591 PGP131050:PGP131127 PGP196586:PGP196663 PGP262122:PGP262199 PGP327658:PGP327735 PGP393194:PGP393271 PGP458730:PGP458807 PGP524266:PGP524343 PGP589802:PGP589879 PGP655338:PGP655415 PGP720874:PGP720951 PGP786410:PGP786487 PGP851946:PGP852023 PGP917482:PGP917559 PGP983018:PGP983095 PQL2:PQL58 PQL65514:PQL65591 PQL131050:PQL131127 PQL196586:PQL196663 PQL262122:PQL262199 PQL327658:PQL327735 PQL393194:PQL393271 PQL458730:PQL458807 PQL524266:PQL524343 PQL589802:PQL589879 PQL655338:PQL655415 PQL720874:PQL720951 PQL786410:PQL786487 PQL851946:PQL852023 PQL917482:PQL917559 PQL983018:PQL983095 QAH2:QAH58 QAH65514:QAH65591 QAH131050:QAH131127 QAH196586:QAH196663 QAH262122:QAH262199 QAH327658:QAH327735 QAH393194:QAH393271 QAH458730:QAH458807 QAH524266:QAH524343 QAH589802:QAH589879 QAH655338:QAH655415 QAH720874:QAH720951 QAH786410:QAH786487 QAH851946:QAH852023 QAH917482:QAH917559 QAH983018:QAH983095 QKD2:QKD58 QKD65514:QKD65591 QKD131050:QKD131127 QKD196586:QKD196663 QKD262122:QKD262199 QKD327658:QKD327735 QKD393194:QKD393271 QKD458730:QKD458807 QKD524266:QKD524343 QKD589802:QKD589879 QKD655338:QKD655415 QKD720874:QKD720951 QKD786410:QKD786487 QKD851946:QKD852023 QKD917482:QKD917559 QKD983018:QKD983095 QTZ2:QTZ58 QTZ65514:QTZ65591 QTZ131050:QTZ131127 QTZ196586:QTZ196663 QTZ262122:QTZ262199 QTZ327658:QTZ327735 QTZ393194:QTZ393271 QTZ458730:QTZ458807 QTZ524266:QTZ524343 QTZ589802:QTZ589879 QTZ655338:QTZ655415 QTZ720874:QTZ720951 QTZ786410:QTZ786487 QTZ851946:QTZ852023 QTZ917482:QTZ917559 QTZ983018:QTZ983095 RDV2:RDV58 RDV65514:RDV65591 RDV131050:RDV131127 RDV196586:RDV196663 RDV262122:RDV262199 RDV327658:RDV327735 RDV393194:RDV393271 RDV458730:RDV458807 RDV524266:RDV524343 RDV589802:RDV589879 RDV655338:RDV655415 RDV720874:RDV720951 RDV786410:RDV786487 RDV851946:RDV852023 RDV917482:RDV917559 RDV983018:RDV983095 RNR2:RNR58 RNR65514:RNR65591 RNR131050:RNR131127 RNR196586:RNR196663 RNR262122:RNR262199 RNR327658:RNR327735 RNR393194:RNR393271 RNR458730:RNR458807 RNR524266:RNR524343 RNR589802:RNR589879 RNR655338:RNR655415 RNR720874:RNR720951 RNR786410:RNR786487 RNR851946:RNR852023 RNR917482:RNR917559 RNR983018:RNR983095 RXN2:RXN58 RXN65514:RXN65591 RXN131050:RXN131127 RXN196586:RXN196663 RXN262122:RXN262199 RXN327658:RXN327735 RXN393194:RXN393271 RXN458730:RXN458807 RXN524266:RXN524343 RXN589802:RXN589879 RXN655338:RXN655415 RXN720874:RXN720951 RXN786410:RXN786487 RXN851946:RXN852023 RXN917482:RXN917559 RXN983018:RXN983095 SHJ2:SHJ58 SHJ65514:SHJ65591 SHJ131050:SHJ131127 SHJ196586:SHJ196663 SHJ262122:SHJ262199 SHJ327658:SHJ327735 SHJ393194:SHJ393271 SHJ458730:SHJ458807 SHJ524266:SHJ524343 SHJ589802:SHJ589879 SHJ655338:SHJ655415 SHJ720874:SHJ720951 SHJ786410:SHJ786487 SHJ851946:SHJ852023 SHJ917482:SHJ917559 SHJ983018:SHJ983095 SRF2:SRF58 SRF65514:SRF65591 SRF131050:SRF131127 SRF196586:SRF196663 SRF262122:SRF262199 SRF327658:SRF327735 SRF393194:SRF393271 SRF458730:SRF458807 SRF524266:SRF524343 SRF589802:SRF589879 SRF655338:SRF655415 SRF720874:SRF720951 SRF786410:SRF786487 SRF851946:SRF852023 SRF917482:SRF917559 SRF983018:SRF983095 TBB2:TBB58 TBB65514:TBB65591 TBB131050:TBB131127 TBB196586:TBB196663 TBB262122:TBB262199 TBB327658:TBB327735 TBB393194:TBB393271 TBB458730:TBB458807 TBB524266:TBB524343 TBB589802:TBB589879 TBB655338:TBB655415 TBB720874:TBB720951 TBB786410:TBB786487 TBB851946:TBB852023 TBB917482:TBB917559 TBB983018:TBB983095 TKX2:TKX58 TKX65514:TKX65591 TKX131050:TKX131127 TKX196586:TKX196663 TKX262122:TKX262199 TKX327658:TKX327735 TKX393194:TKX393271 TKX458730:TKX458807 TKX524266:TKX524343 TKX589802:TKX589879 TKX655338:TKX655415 TKX720874:TKX720951 TKX786410:TKX786487 TKX851946:TKX852023 TKX917482:TKX917559 TKX983018:TKX983095 TUT2:TUT58 TUT65514:TUT65591 TUT131050:TUT131127 TUT196586:TUT196663 TUT262122:TUT262199 TUT327658:TUT327735 TUT393194:TUT393271 TUT458730:TUT458807 TUT524266:TUT524343 TUT589802:TUT589879 TUT655338:TUT655415 TUT720874:TUT720951 TUT786410:TUT786487 TUT851946:TUT852023 TUT917482:TUT917559 TUT983018:TUT983095 UEP2:UEP58 UEP65514:UEP65591 UEP131050:UEP131127 UEP196586:UEP196663 UEP262122:UEP262199 UEP327658:UEP327735 UEP393194:UEP393271 UEP458730:UEP458807 UEP524266:UEP524343 UEP589802:UEP589879 UEP655338:UEP655415 UEP720874:UEP720951 UEP786410:UEP786487 UEP851946:UEP852023 UEP917482:UEP917559 UEP983018:UEP983095 UOL2:UOL58 UOL65514:UOL65591 UOL131050:UOL131127 UOL196586:UOL196663 UOL262122:UOL262199 UOL327658:UOL327735 UOL393194:UOL393271 UOL458730:UOL458807 UOL524266:UOL524343 UOL589802:UOL589879 UOL655338:UOL655415 UOL720874:UOL720951 UOL786410:UOL786487 UOL851946:UOL852023 UOL917482:UOL917559 UOL983018:UOL983095 UYH2:UYH58 UYH65514:UYH65591 UYH131050:UYH131127 UYH196586:UYH196663 UYH262122:UYH262199 UYH327658:UYH327735 UYH393194:UYH393271 UYH458730:UYH458807 UYH524266:UYH524343 UYH589802:UYH589879 UYH655338:UYH655415 UYH720874:UYH720951 UYH786410:UYH786487 UYH851946:UYH852023 UYH917482:UYH917559 UYH983018:UYH983095 VID2:VID58 VID65514:VID65591 VID131050:VID131127 VID196586:VID196663 VID262122:VID262199 VID327658:VID327735 VID393194:VID393271 VID458730:VID458807 VID524266:VID524343 VID589802:VID589879 VID655338:VID655415 VID720874:VID720951 VID786410:VID786487 VID851946:VID852023 VID917482:VID917559 VID983018:VID983095 VRZ2:VRZ58 VRZ65514:VRZ65591 VRZ131050:VRZ131127 VRZ196586:VRZ196663 VRZ262122:VRZ262199 VRZ327658:VRZ327735 VRZ393194:VRZ393271 VRZ458730:VRZ458807 VRZ524266:VRZ524343 VRZ589802:VRZ589879 VRZ655338:VRZ655415 VRZ720874:VRZ720951 VRZ786410:VRZ786487 VRZ851946:VRZ852023 VRZ917482:VRZ917559 VRZ983018:VRZ983095 WBV2:WBV58 WBV65514:WBV65591 WBV131050:WBV131127 WBV196586:WBV196663 WBV262122:WBV262199 WBV327658:WBV327735 WBV393194:WBV393271 WBV458730:WBV458807 WBV524266:WBV524343 WBV589802:WBV589879 WBV655338:WBV655415 WBV720874:WBV720951 WBV786410:WBV786487 WBV851946:WBV852023 WBV917482:WBV917559 WBV983018:WBV983095 WLR2:WLR58 WLR65514:WLR65591 WLR131050:WLR131127 WLR196586:WLR196663 WLR262122:WLR262199 WLR327658:WLR327735 WLR393194:WLR393271 WLR458730:WLR458807 WLR524266:WLR524343 WLR589802:WLR589879 WLR655338:WLR655415 WLR720874:WLR720951 WLR786410:WLR786487 WLR851946:WLR852023 WLR917482:WLR917559 WLR983018:WLR983095 WVN2:WVN58 WVN65514:WVN65591 WVN131050:WVN131127 WVN196586:WVN196663 WVN262122:WVN262199 WVN327658:WVN327735 WVN393194:WVN393271 WVN458730:WVN458807 WVN524266:WVN524343 WVN589802:WVN589879 WVN655338:WVN655415 WVN720874:WVN720951 WVN786410:WVN786487 WVN851946:WVN852023 WVN917482:WVN917559 WVN983018:WVN983095">
      <formula1>$AH$2:$AH$11</formula1>
    </dataValidation>
    <dataValidation type="list" allowBlank="1" showInputMessage="1" showErrorMessage="1" sqref="E2:E708 E65514:E65591 E131050:E131127 E196586:E196663 E262122:E262199 E327658:E327735 E393194:E393271 E458730:E458807 E524266:E524343 E589802:E589879 E655338:E655415 E720874:E720951 E786410:E786487 E851946:E852023 E917482:E917559 E983018:E983095 JA2:JA58 JA65514:JA65591 JA131050:JA131127 JA196586:JA196663 JA262122:JA262199 JA327658:JA327735 JA393194:JA393271 JA458730:JA458807 JA524266:JA524343 JA589802:JA589879 JA655338:JA655415 JA720874:JA720951 JA786410:JA786487 JA851946:JA852023 JA917482:JA917559 JA983018:JA983095 SW2:SW58 SW65514:SW65591 SW131050:SW131127 SW196586:SW196663 SW262122:SW262199 SW327658:SW327735 SW393194:SW393271 SW458730:SW458807 SW524266:SW524343 SW589802:SW589879 SW655338:SW655415 SW720874:SW720951 SW786410:SW786487 SW851946:SW852023 SW917482:SW917559 SW983018:SW983095 ACS2:ACS58 ACS65514:ACS65591 ACS131050:ACS131127 ACS196586:ACS196663 ACS262122:ACS262199 ACS327658:ACS327735 ACS393194:ACS393271 ACS458730:ACS458807 ACS524266:ACS524343 ACS589802:ACS589879 ACS655338:ACS655415 ACS720874:ACS720951 ACS786410:ACS786487 ACS851946:ACS852023 ACS917482:ACS917559 ACS983018:ACS983095 AMO2:AMO58 AMO65514:AMO65591 AMO131050:AMO131127 AMO196586:AMO196663 AMO262122:AMO262199 AMO327658:AMO327735 AMO393194:AMO393271 AMO458730:AMO458807 AMO524266:AMO524343 AMO589802:AMO589879 AMO655338:AMO655415 AMO720874:AMO720951 AMO786410:AMO786487 AMO851946:AMO852023 AMO917482:AMO917559 AMO983018:AMO983095 AWK2:AWK58 AWK65514:AWK65591 AWK131050:AWK131127 AWK196586:AWK196663 AWK262122:AWK262199 AWK327658:AWK327735 AWK393194:AWK393271 AWK458730:AWK458807 AWK524266:AWK524343 AWK589802:AWK589879 AWK655338:AWK655415 AWK720874:AWK720951 AWK786410:AWK786487 AWK851946:AWK852023 AWK917482:AWK917559 AWK983018:AWK983095 BGG2:BGG58 BGG65514:BGG65591 BGG131050:BGG131127 BGG196586:BGG196663 BGG262122:BGG262199 BGG327658:BGG327735 BGG393194:BGG393271 BGG458730:BGG458807 BGG524266:BGG524343 BGG589802:BGG589879 BGG655338:BGG655415 BGG720874:BGG720951 BGG786410:BGG786487 BGG851946:BGG852023 BGG917482:BGG917559 BGG983018:BGG983095 BQC2:BQC58 BQC65514:BQC65591 BQC131050:BQC131127 BQC196586:BQC196663 BQC262122:BQC262199 BQC327658:BQC327735 BQC393194:BQC393271 BQC458730:BQC458807 BQC524266:BQC524343 BQC589802:BQC589879 BQC655338:BQC655415 BQC720874:BQC720951 BQC786410:BQC786487 BQC851946:BQC852023 BQC917482:BQC917559 BQC983018:BQC983095 BZY2:BZY58 BZY65514:BZY65591 BZY131050:BZY131127 BZY196586:BZY196663 BZY262122:BZY262199 BZY327658:BZY327735 BZY393194:BZY393271 BZY458730:BZY458807 BZY524266:BZY524343 BZY589802:BZY589879 BZY655338:BZY655415 BZY720874:BZY720951 BZY786410:BZY786487 BZY851946:BZY852023 BZY917482:BZY917559 BZY983018:BZY983095 CJU2:CJU58 CJU65514:CJU65591 CJU131050:CJU131127 CJU196586:CJU196663 CJU262122:CJU262199 CJU327658:CJU327735 CJU393194:CJU393271 CJU458730:CJU458807 CJU524266:CJU524343 CJU589802:CJU589879 CJU655338:CJU655415 CJU720874:CJU720951 CJU786410:CJU786487 CJU851946:CJU852023 CJU917482:CJU917559 CJU983018:CJU983095 CTQ2:CTQ58 CTQ65514:CTQ65591 CTQ131050:CTQ131127 CTQ196586:CTQ196663 CTQ262122:CTQ262199 CTQ327658:CTQ327735 CTQ393194:CTQ393271 CTQ458730:CTQ458807 CTQ524266:CTQ524343 CTQ589802:CTQ589879 CTQ655338:CTQ655415 CTQ720874:CTQ720951 CTQ786410:CTQ786487 CTQ851946:CTQ852023 CTQ917482:CTQ917559 CTQ983018:CTQ983095 DDM2:DDM58 DDM65514:DDM65591 DDM131050:DDM131127 DDM196586:DDM196663 DDM262122:DDM262199 DDM327658:DDM327735 DDM393194:DDM393271 DDM458730:DDM458807 DDM524266:DDM524343 DDM589802:DDM589879 DDM655338:DDM655415 DDM720874:DDM720951 DDM786410:DDM786487 DDM851946:DDM852023 DDM917482:DDM917559 DDM983018:DDM983095 DNI2:DNI58 DNI65514:DNI65591 DNI131050:DNI131127 DNI196586:DNI196663 DNI262122:DNI262199 DNI327658:DNI327735 DNI393194:DNI393271 DNI458730:DNI458807 DNI524266:DNI524343 DNI589802:DNI589879 DNI655338:DNI655415 DNI720874:DNI720951 DNI786410:DNI786487 DNI851946:DNI852023 DNI917482:DNI917559 DNI983018:DNI983095 DXE2:DXE58 DXE65514:DXE65591 DXE131050:DXE131127 DXE196586:DXE196663 DXE262122:DXE262199 DXE327658:DXE327735 DXE393194:DXE393271 DXE458730:DXE458807 DXE524266:DXE524343 DXE589802:DXE589879 DXE655338:DXE655415 DXE720874:DXE720951 DXE786410:DXE786487 DXE851946:DXE852023 DXE917482:DXE917559 DXE983018:DXE983095 EHA2:EHA58 EHA65514:EHA65591 EHA131050:EHA131127 EHA196586:EHA196663 EHA262122:EHA262199 EHA327658:EHA327735 EHA393194:EHA393271 EHA458730:EHA458807 EHA524266:EHA524343 EHA589802:EHA589879 EHA655338:EHA655415 EHA720874:EHA720951 EHA786410:EHA786487 EHA851946:EHA852023 EHA917482:EHA917559 EHA983018:EHA983095 EQW2:EQW58 EQW65514:EQW65591 EQW131050:EQW131127 EQW196586:EQW196663 EQW262122:EQW262199 EQW327658:EQW327735 EQW393194:EQW393271 EQW458730:EQW458807 EQW524266:EQW524343 EQW589802:EQW589879 EQW655338:EQW655415 EQW720874:EQW720951 EQW786410:EQW786487 EQW851946:EQW852023 EQW917482:EQW917559 EQW983018:EQW983095 FAS2:FAS58 FAS65514:FAS65591 FAS131050:FAS131127 FAS196586:FAS196663 FAS262122:FAS262199 FAS327658:FAS327735 FAS393194:FAS393271 FAS458730:FAS458807 FAS524266:FAS524343 FAS589802:FAS589879 FAS655338:FAS655415 FAS720874:FAS720951 FAS786410:FAS786487 FAS851946:FAS852023 FAS917482:FAS917559 FAS983018:FAS983095 FKO2:FKO58 FKO65514:FKO65591 FKO131050:FKO131127 FKO196586:FKO196663 FKO262122:FKO262199 FKO327658:FKO327735 FKO393194:FKO393271 FKO458730:FKO458807 FKO524266:FKO524343 FKO589802:FKO589879 FKO655338:FKO655415 FKO720874:FKO720951 FKO786410:FKO786487 FKO851946:FKO852023 FKO917482:FKO917559 FKO983018:FKO983095 FUK2:FUK58 FUK65514:FUK65591 FUK131050:FUK131127 FUK196586:FUK196663 FUK262122:FUK262199 FUK327658:FUK327735 FUK393194:FUK393271 FUK458730:FUK458807 FUK524266:FUK524343 FUK589802:FUK589879 FUK655338:FUK655415 FUK720874:FUK720951 FUK786410:FUK786487 FUK851946:FUK852023 FUK917482:FUK917559 FUK983018:FUK983095 GEG2:GEG58 GEG65514:GEG65591 GEG131050:GEG131127 GEG196586:GEG196663 GEG262122:GEG262199 GEG327658:GEG327735 GEG393194:GEG393271 GEG458730:GEG458807 GEG524266:GEG524343 GEG589802:GEG589879 GEG655338:GEG655415 GEG720874:GEG720951 GEG786410:GEG786487 GEG851946:GEG852023 GEG917482:GEG917559 GEG983018:GEG983095 GOC2:GOC58 GOC65514:GOC65591 GOC131050:GOC131127 GOC196586:GOC196663 GOC262122:GOC262199 GOC327658:GOC327735 GOC393194:GOC393271 GOC458730:GOC458807 GOC524266:GOC524343 GOC589802:GOC589879 GOC655338:GOC655415 GOC720874:GOC720951 GOC786410:GOC786487 GOC851946:GOC852023 GOC917482:GOC917559 GOC983018:GOC983095 GXY2:GXY58 GXY65514:GXY65591 GXY131050:GXY131127 GXY196586:GXY196663 GXY262122:GXY262199 GXY327658:GXY327735 GXY393194:GXY393271 GXY458730:GXY458807 GXY524266:GXY524343 GXY589802:GXY589879 GXY655338:GXY655415 GXY720874:GXY720951 GXY786410:GXY786487 GXY851946:GXY852023 GXY917482:GXY917559 GXY983018:GXY983095 HHU2:HHU58 HHU65514:HHU65591 HHU131050:HHU131127 HHU196586:HHU196663 HHU262122:HHU262199 HHU327658:HHU327735 HHU393194:HHU393271 HHU458730:HHU458807 HHU524266:HHU524343 HHU589802:HHU589879 HHU655338:HHU655415 HHU720874:HHU720951 HHU786410:HHU786487 HHU851946:HHU852023 HHU917482:HHU917559 HHU983018:HHU983095 HRQ2:HRQ58 HRQ65514:HRQ65591 HRQ131050:HRQ131127 HRQ196586:HRQ196663 HRQ262122:HRQ262199 HRQ327658:HRQ327735 HRQ393194:HRQ393271 HRQ458730:HRQ458807 HRQ524266:HRQ524343 HRQ589802:HRQ589879 HRQ655338:HRQ655415 HRQ720874:HRQ720951 HRQ786410:HRQ786487 HRQ851946:HRQ852023 HRQ917482:HRQ917559 HRQ983018:HRQ983095 IBM2:IBM58 IBM65514:IBM65591 IBM131050:IBM131127 IBM196586:IBM196663 IBM262122:IBM262199 IBM327658:IBM327735 IBM393194:IBM393271 IBM458730:IBM458807 IBM524266:IBM524343 IBM589802:IBM589879 IBM655338:IBM655415 IBM720874:IBM720951 IBM786410:IBM786487 IBM851946:IBM852023 IBM917482:IBM917559 IBM983018:IBM983095 ILI2:ILI58 ILI65514:ILI65591 ILI131050:ILI131127 ILI196586:ILI196663 ILI262122:ILI262199 ILI327658:ILI327735 ILI393194:ILI393271 ILI458730:ILI458807 ILI524266:ILI524343 ILI589802:ILI589879 ILI655338:ILI655415 ILI720874:ILI720951 ILI786410:ILI786487 ILI851946:ILI852023 ILI917482:ILI917559 ILI983018:ILI983095 IVE2:IVE58 IVE65514:IVE65591 IVE131050:IVE131127 IVE196586:IVE196663 IVE262122:IVE262199 IVE327658:IVE327735 IVE393194:IVE393271 IVE458730:IVE458807 IVE524266:IVE524343 IVE589802:IVE589879 IVE655338:IVE655415 IVE720874:IVE720951 IVE786410:IVE786487 IVE851946:IVE852023 IVE917482:IVE917559 IVE983018:IVE983095 JFA2:JFA58 JFA65514:JFA65591 JFA131050:JFA131127 JFA196586:JFA196663 JFA262122:JFA262199 JFA327658:JFA327735 JFA393194:JFA393271 JFA458730:JFA458807 JFA524266:JFA524343 JFA589802:JFA589879 JFA655338:JFA655415 JFA720874:JFA720951 JFA786410:JFA786487 JFA851946:JFA852023 JFA917482:JFA917559 JFA983018:JFA983095 JOW2:JOW58 JOW65514:JOW65591 JOW131050:JOW131127 JOW196586:JOW196663 JOW262122:JOW262199 JOW327658:JOW327735 JOW393194:JOW393271 JOW458730:JOW458807 JOW524266:JOW524343 JOW589802:JOW589879 JOW655338:JOW655415 JOW720874:JOW720951 JOW786410:JOW786487 JOW851946:JOW852023 JOW917482:JOW917559 JOW983018:JOW983095 JYS2:JYS58 JYS65514:JYS65591 JYS131050:JYS131127 JYS196586:JYS196663 JYS262122:JYS262199 JYS327658:JYS327735 JYS393194:JYS393271 JYS458730:JYS458807 JYS524266:JYS524343 JYS589802:JYS589879 JYS655338:JYS655415 JYS720874:JYS720951 JYS786410:JYS786487 JYS851946:JYS852023 JYS917482:JYS917559 JYS983018:JYS983095 KIO2:KIO58 KIO65514:KIO65591 KIO131050:KIO131127 KIO196586:KIO196663 KIO262122:KIO262199 KIO327658:KIO327735 KIO393194:KIO393271 KIO458730:KIO458807 KIO524266:KIO524343 KIO589802:KIO589879 KIO655338:KIO655415 KIO720874:KIO720951 KIO786410:KIO786487 KIO851946:KIO852023 KIO917482:KIO917559 KIO983018:KIO983095 KSK2:KSK58 KSK65514:KSK65591 KSK131050:KSK131127 KSK196586:KSK196663 KSK262122:KSK262199 KSK327658:KSK327735 KSK393194:KSK393271 KSK458730:KSK458807 KSK524266:KSK524343 KSK589802:KSK589879 KSK655338:KSK655415 KSK720874:KSK720951 KSK786410:KSK786487 KSK851946:KSK852023 KSK917482:KSK917559 KSK983018:KSK983095 LCG2:LCG58 LCG65514:LCG65591 LCG131050:LCG131127 LCG196586:LCG196663 LCG262122:LCG262199 LCG327658:LCG327735 LCG393194:LCG393271 LCG458730:LCG458807 LCG524266:LCG524343 LCG589802:LCG589879 LCG655338:LCG655415 LCG720874:LCG720951 LCG786410:LCG786487 LCG851946:LCG852023 LCG917482:LCG917559 LCG983018:LCG983095 LMC2:LMC58 LMC65514:LMC65591 LMC131050:LMC131127 LMC196586:LMC196663 LMC262122:LMC262199 LMC327658:LMC327735 LMC393194:LMC393271 LMC458730:LMC458807 LMC524266:LMC524343 LMC589802:LMC589879 LMC655338:LMC655415 LMC720874:LMC720951 LMC786410:LMC786487 LMC851946:LMC852023 LMC917482:LMC917559 LMC983018:LMC983095 LVY2:LVY58 LVY65514:LVY65591 LVY131050:LVY131127 LVY196586:LVY196663 LVY262122:LVY262199 LVY327658:LVY327735 LVY393194:LVY393271 LVY458730:LVY458807 LVY524266:LVY524343 LVY589802:LVY589879 LVY655338:LVY655415 LVY720874:LVY720951 LVY786410:LVY786487 LVY851946:LVY852023 LVY917482:LVY917559 LVY983018:LVY983095 MFU2:MFU58 MFU65514:MFU65591 MFU131050:MFU131127 MFU196586:MFU196663 MFU262122:MFU262199 MFU327658:MFU327735 MFU393194:MFU393271 MFU458730:MFU458807 MFU524266:MFU524343 MFU589802:MFU589879 MFU655338:MFU655415 MFU720874:MFU720951 MFU786410:MFU786487 MFU851946:MFU852023 MFU917482:MFU917559 MFU983018:MFU983095 MPQ2:MPQ58 MPQ65514:MPQ65591 MPQ131050:MPQ131127 MPQ196586:MPQ196663 MPQ262122:MPQ262199 MPQ327658:MPQ327735 MPQ393194:MPQ393271 MPQ458730:MPQ458807 MPQ524266:MPQ524343 MPQ589802:MPQ589879 MPQ655338:MPQ655415 MPQ720874:MPQ720951 MPQ786410:MPQ786487 MPQ851946:MPQ852023 MPQ917482:MPQ917559 MPQ983018:MPQ983095 MZM2:MZM58 MZM65514:MZM65591 MZM131050:MZM131127 MZM196586:MZM196663 MZM262122:MZM262199 MZM327658:MZM327735 MZM393194:MZM393271 MZM458730:MZM458807 MZM524266:MZM524343 MZM589802:MZM589879 MZM655338:MZM655415 MZM720874:MZM720951 MZM786410:MZM786487 MZM851946:MZM852023 MZM917482:MZM917559 MZM983018:MZM983095 NJI2:NJI58 NJI65514:NJI65591 NJI131050:NJI131127 NJI196586:NJI196663 NJI262122:NJI262199 NJI327658:NJI327735 NJI393194:NJI393271 NJI458730:NJI458807 NJI524266:NJI524343 NJI589802:NJI589879 NJI655338:NJI655415 NJI720874:NJI720951 NJI786410:NJI786487 NJI851946:NJI852023 NJI917482:NJI917559 NJI983018:NJI983095 NTE2:NTE58 NTE65514:NTE65591 NTE131050:NTE131127 NTE196586:NTE196663 NTE262122:NTE262199 NTE327658:NTE327735 NTE393194:NTE393271 NTE458730:NTE458807 NTE524266:NTE524343 NTE589802:NTE589879 NTE655338:NTE655415 NTE720874:NTE720951 NTE786410:NTE786487 NTE851946:NTE852023 NTE917482:NTE917559 NTE983018:NTE983095 ODA2:ODA58 ODA65514:ODA65591 ODA131050:ODA131127 ODA196586:ODA196663 ODA262122:ODA262199 ODA327658:ODA327735 ODA393194:ODA393271 ODA458730:ODA458807 ODA524266:ODA524343 ODA589802:ODA589879 ODA655338:ODA655415 ODA720874:ODA720951 ODA786410:ODA786487 ODA851946:ODA852023 ODA917482:ODA917559 ODA983018:ODA983095 OMW2:OMW58 OMW65514:OMW65591 OMW131050:OMW131127 OMW196586:OMW196663 OMW262122:OMW262199 OMW327658:OMW327735 OMW393194:OMW393271 OMW458730:OMW458807 OMW524266:OMW524343 OMW589802:OMW589879 OMW655338:OMW655415 OMW720874:OMW720951 OMW786410:OMW786487 OMW851946:OMW852023 OMW917482:OMW917559 OMW983018:OMW983095 OWS2:OWS58 OWS65514:OWS65591 OWS131050:OWS131127 OWS196586:OWS196663 OWS262122:OWS262199 OWS327658:OWS327735 OWS393194:OWS393271 OWS458730:OWS458807 OWS524266:OWS524343 OWS589802:OWS589879 OWS655338:OWS655415 OWS720874:OWS720951 OWS786410:OWS786487 OWS851946:OWS852023 OWS917482:OWS917559 OWS983018:OWS983095 PGO2:PGO58 PGO65514:PGO65591 PGO131050:PGO131127 PGO196586:PGO196663 PGO262122:PGO262199 PGO327658:PGO327735 PGO393194:PGO393271 PGO458730:PGO458807 PGO524266:PGO524343 PGO589802:PGO589879 PGO655338:PGO655415 PGO720874:PGO720951 PGO786410:PGO786487 PGO851946:PGO852023 PGO917482:PGO917559 PGO983018:PGO983095 PQK2:PQK58 PQK65514:PQK65591 PQK131050:PQK131127 PQK196586:PQK196663 PQK262122:PQK262199 PQK327658:PQK327735 PQK393194:PQK393271 PQK458730:PQK458807 PQK524266:PQK524343 PQK589802:PQK589879 PQK655338:PQK655415 PQK720874:PQK720951 PQK786410:PQK786487 PQK851946:PQK852023 PQK917482:PQK917559 PQK983018:PQK983095 QAG2:QAG58 QAG65514:QAG65591 QAG131050:QAG131127 QAG196586:QAG196663 QAG262122:QAG262199 QAG327658:QAG327735 QAG393194:QAG393271 QAG458730:QAG458807 QAG524266:QAG524343 QAG589802:QAG589879 QAG655338:QAG655415 QAG720874:QAG720951 QAG786410:QAG786487 QAG851946:QAG852023 QAG917482:QAG917559 QAG983018:QAG983095 QKC2:QKC58 QKC65514:QKC65591 QKC131050:QKC131127 QKC196586:QKC196663 QKC262122:QKC262199 QKC327658:QKC327735 QKC393194:QKC393271 QKC458730:QKC458807 QKC524266:QKC524343 QKC589802:QKC589879 QKC655338:QKC655415 QKC720874:QKC720951 QKC786410:QKC786487 QKC851946:QKC852023 QKC917482:QKC917559 QKC983018:QKC983095 QTY2:QTY58 QTY65514:QTY65591 QTY131050:QTY131127 QTY196586:QTY196663 QTY262122:QTY262199 QTY327658:QTY327735 QTY393194:QTY393271 QTY458730:QTY458807 QTY524266:QTY524343 QTY589802:QTY589879 QTY655338:QTY655415 QTY720874:QTY720951 QTY786410:QTY786487 QTY851946:QTY852023 QTY917482:QTY917559 QTY983018:QTY983095 RDU2:RDU58 RDU65514:RDU65591 RDU131050:RDU131127 RDU196586:RDU196663 RDU262122:RDU262199 RDU327658:RDU327735 RDU393194:RDU393271 RDU458730:RDU458807 RDU524266:RDU524343 RDU589802:RDU589879 RDU655338:RDU655415 RDU720874:RDU720951 RDU786410:RDU786487 RDU851946:RDU852023 RDU917482:RDU917559 RDU983018:RDU983095 RNQ2:RNQ58 RNQ65514:RNQ65591 RNQ131050:RNQ131127 RNQ196586:RNQ196663 RNQ262122:RNQ262199 RNQ327658:RNQ327735 RNQ393194:RNQ393271 RNQ458730:RNQ458807 RNQ524266:RNQ524343 RNQ589802:RNQ589879 RNQ655338:RNQ655415 RNQ720874:RNQ720951 RNQ786410:RNQ786487 RNQ851946:RNQ852023 RNQ917482:RNQ917559 RNQ983018:RNQ983095 RXM2:RXM58 RXM65514:RXM65591 RXM131050:RXM131127 RXM196586:RXM196663 RXM262122:RXM262199 RXM327658:RXM327735 RXM393194:RXM393271 RXM458730:RXM458807 RXM524266:RXM524343 RXM589802:RXM589879 RXM655338:RXM655415 RXM720874:RXM720951 RXM786410:RXM786487 RXM851946:RXM852023 RXM917482:RXM917559 RXM983018:RXM983095 SHI2:SHI58 SHI65514:SHI65591 SHI131050:SHI131127 SHI196586:SHI196663 SHI262122:SHI262199 SHI327658:SHI327735 SHI393194:SHI393271 SHI458730:SHI458807 SHI524266:SHI524343 SHI589802:SHI589879 SHI655338:SHI655415 SHI720874:SHI720951 SHI786410:SHI786487 SHI851946:SHI852023 SHI917482:SHI917559 SHI983018:SHI983095 SRE2:SRE58 SRE65514:SRE65591 SRE131050:SRE131127 SRE196586:SRE196663 SRE262122:SRE262199 SRE327658:SRE327735 SRE393194:SRE393271 SRE458730:SRE458807 SRE524266:SRE524343 SRE589802:SRE589879 SRE655338:SRE655415 SRE720874:SRE720951 SRE786410:SRE786487 SRE851946:SRE852023 SRE917482:SRE917559 SRE983018:SRE983095 TBA2:TBA58 TBA65514:TBA65591 TBA131050:TBA131127 TBA196586:TBA196663 TBA262122:TBA262199 TBA327658:TBA327735 TBA393194:TBA393271 TBA458730:TBA458807 TBA524266:TBA524343 TBA589802:TBA589879 TBA655338:TBA655415 TBA720874:TBA720951 TBA786410:TBA786487 TBA851946:TBA852023 TBA917482:TBA917559 TBA983018:TBA983095 TKW2:TKW58 TKW65514:TKW65591 TKW131050:TKW131127 TKW196586:TKW196663 TKW262122:TKW262199 TKW327658:TKW327735 TKW393194:TKW393271 TKW458730:TKW458807 TKW524266:TKW524343 TKW589802:TKW589879 TKW655338:TKW655415 TKW720874:TKW720951 TKW786410:TKW786487 TKW851946:TKW852023 TKW917482:TKW917559 TKW983018:TKW983095 TUS2:TUS58 TUS65514:TUS65591 TUS131050:TUS131127 TUS196586:TUS196663 TUS262122:TUS262199 TUS327658:TUS327735 TUS393194:TUS393271 TUS458730:TUS458807 TUS524266:TUS524343 TUS589802:TUS589879 TUS655338:TUS655415 TUS720874:TUS720951 TUS786410:TUS786487 TUS851946:TUS852023 TUS917482:TUS917559 TUS983018:TUS983095 UEO2:UEO58 UEO65514:UEO65591 UEO131050:UEO131127 UEO196586:UEO196663 UEO262122:UEO262199 UEO327658:UEO327735 UEO393194:UEO393271 UEO458730:UEO458807 UEO524266:UEO524343 UEO589802:UEO589879 UEO655338:UEO655415 UEO720874:UEO720951 UEO786410:UEO786487 UEO851946:UEO852023 UEO917482:UEO917559 UEO983018:UEO983095 UOK2:UOK58 UOK65514:UOK65591 UOK131050:UOK131127 UOK196586:UOK196663 UOK262122:UOK262199 UOK327658:UOK327735 UOK393194:UOK393271 UOK458730:UOK458807 UOK524266:UOK524343 UOK589802:UOK589879 UOK655338:UOK655415 UOK720874:UOK720951 UOK786410:UOK786487 UOK851946:UOK852023 UOK917482:UOK917559 UOK983018:UOK983095 UYG2:UYG58 UYG65514:UYG65591 UYG131050:UYG131127 UYG196586:UYG196663 UYG262122:UYG262199 UYG327658:UYG327735 UYG393194:UYG393271 UYG458730:UYG458807 UYG524266:UYG524343 UYG589802:UYG589879 UYG655338:UYG655415 UYG720874:UYG720951 UYG786410:UYG786487 UYG851946:UYG852023 UYG917482:UYG917559 UYG983018:UYG983095 VIC2:VIC58 VIC65514:VIC65591 VIC131050:VIC131127 VIC196586:VIC196663 VIC262122:VIC262199 VIC327658:VIC327735 VIC393194:VIC393271 VIC458730:VIC458807 VIC524266:VIC524343 VIC589802:VIC589879 VIC655338:VIC655415 VIC720874:VIC720951 VIC786410:VIC786487 VIC851946:VIC852023 VIC917482:VIC917559 VIC983018:VIC983095 VRY2:VRY58 VRY65514:VRY65591 VRY131050:VRY131127 VRY196586:VRY196663 VRY262122:VRY262199 VRY327658:VRY327735 VRY393194:VRY393271 VRY458730:VRY458807 VRY524266:VRY524343 VRY589802:VRY589879 VRY655338:VRY655415 VRY720874:VRY720951 VRY786410:VRY786487 VRY851946:VRY852023 VRY917482:VRY917559 VRY983018:VRY983095 WBU2:WBU58 WBU65514:WBU65591 WBU131050:WBU131127 WBU196586:WBU196663 WBU262122:WBU262199 WBU327658:WBU327735 WBU393194:WBU393271 WBU458730:WBU458807 WBU524266:WBU524343 WBU589802:WBU589879 WBU655338:WBU655415 WBU720874:WBU720951 WBU786410:WBU786487 WBU851946:WBU852023 WBU917482:WBU917559 WBU983018:WBU983095 WLQ2:WLQ58 WLQ65514:WLQ65591 WLQ131050:WLQ131127 WLQ196586:WLQ196663 WLQ262122:WLQ262199 WLQ327658:WLQ327735 WLQ393194:WLQ393271 WLQ458730:WLQ458807 WLQ524266:WLQ524343 WLQ589802:WLQ589879 WLQ655338:WLQ655415 WLQ720874:WLQ720951 WLQ786410:WLQ786487 WLQ851946:WLQ852023 WLQ917482:WLQ917559 WLQ983018:WLQ983095 WVM2:WVM58 WVM65514:WVM65591 WVM131050:WVM131127 WVM196586:WVM196663 WVM262122:WVM262199 WVM327658:WVM327735 WVM393194:WVM393271 WVM458730:WVM458807 WVM524266:WVM524343 WVM589802:WVM589879 WVM655338:WVM655415 WVM720874:WVM720951 WVM786410:WVM786487 WVM851946:WVM852023 WVM917482:WVM917559 WVM983018:WVM983095">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4 IX65514 ST65514 ACP65514 AML65514 AWH65514 BGD65514 BPZ65514 BZV65514 CJR65514 CTN65514 DDJ65514 DNF65514 DXB65514 EGX65514 EQT65514 FAP65514 FKL65514 FUH65514 GED65514 GNZ65514 GXV65514 HHR65514 HRN65514 IBJ65514 ILF65514 IVB65514 JEX65514 JOT65514 JYP65514 KIL65514 KSH65514 LCD65514 LLZ65514 LVV65514 MFR65514 MPN65514 MZJ65514 NJF65514 NTB65514 OCX65514 OMT65514 OWP65514 PGL65514 PQH65514 QAD65514 QJZ65514 QTV65514 RDR65514 RNN65514 RXJ65514 SHF65514 SRB65514 TAX65514 TKT65514 TUP65514 UEL65514 UOH65514 UYD65514 VHZ65514 VRV65514 WBR65514 WLN65514 WVJ65514 B131050 IX131050 ST131050 ACP131050 AML131050 AWH131050 BGD131050 BPZ131050 BZV131050 CJR131050 CTN131050 DDJ131050 DNF131050 DXB131050 EGX131050 EQT131050 FAP131050 FKL131050 FUH131050 GED131050 GNZ131050 GXV131050 HHR131050 HRN131050 IBJ131050 ILF131050 IVB131050 JEX131050 JOT131050 JYP131050 KIL131050 KSH131050 LCD131050 LLZ131050 LVV131050 MFR131050 MPN131050 MZJ131050 NJF131050 NTB131050 OCX131050 OMT131050 OWP131050 PGL131050 PQH131050 QAD131050 QJZ131050 QTV131050 RDR131050 RNN131050 RXJ131050 SHF131050 SRB131050 TAX131050 TKT131050 TUP131050 UEL131050 UOH131050 UYD131050 VHZ131050 VRV131050 WBR131050 WLN131050 WVJ131050 B196586 IX196586 ST196586 ACP196586 AML196586 AWH196586 BGD196586 BPZ196586 BZV196586 CJR196586 CTN196586 DDJ196586 DNF196586 DXB196586 EGX196586 EQT196586 FAP196586 FKL196586 FUH196586 GED196586 GNZ196586 GXV196586 HHR196586 HRN196586 IBJ196586 ILF196586 IVB196586 JEX196586 JOT196586 JYP196586 KIL196586 KSH196586 LCD196586 LLZ196586 LVV196586 MFR196586 MPN196586 MZJ196586 NJF196586 NTB196586 OCX196586 OMT196586 OWP196586 PGL196586 PQH196586 QAD196586 QJZ196586 QTV196586 RDR196586 RNN196586 RXJ196586 SHF196586 SRB196586 TAX196586 TKT196586 TUP196586 UEL196586 UOH196586 UYD196586 VHZ196586 VRV196586 WBR196586 WLN196586 WVJ196586 B262122 IX262122 ST262122 ACP262122 AML262122 AWH262122 BGD262122 BPZ262122 BZV262122 CJR262122 CTN262122 DDJ262122 DNF262122 DXB262122 EGX262122 EQT262122 FAP262122 FKL262122 FUH262122 GED262122 GNZ262122 GXV262122 HHR262122 HRN262122 IBJ262122 ILF262122 IVB262122 JEX262122 JOT262122 JYP262122 KIL262122 KSH262122 LCD262122 LLZ262122 LVV262122 MFR262122 MPN262122 MZJ262122 NJF262122 NTB262122 OCX262122 OMT262122 OWP262122 PGL262122 PQH262122 QAD262122 QJZ262122 QTV262122 RDR262122 RNN262122 RXJ262122 SHF262122 SRB262122 TAX262122 TKT262122 TUP262122 UEL262122 UOH262122 UYD262122 VHZ262122 VRV262122 WBR262122 WLN262122 WVJ262122 B327658 IX327658 ST327658 ACP327658 AML327658 AWH327658 BGD327658 BPZ327658 BZV327658 CJR327658 CTN327658 DDJ327658 DNF327658 DXB327658 EGX327658 EQT327658 FAP327658 FKL327658 FUH327658 GED327658 GNZ327658 GXV327658 HHR327658 HRN327658 IBJ327658 ILF327658 IVB327658 JEX327658 JOT327658 JYP327658 KIL327658 KSH327658 LCD327658 LLZ327658 LVV327658 MFR327658 MPN327658 MZJ327658 NJF327658 NTB327658 OCX327658 OMT327658 OWP327658 PGL327658 PQH327658 QAD327658 QJZ327658 QTV327658 RDR327658 RNN327658 RXJ327658 SHF327658 SRB327658 TAX327658 TKT327658 TUP327658 UEL327658 UOH327658 UYD327658 VHZ327658 VRV327658 WBR327658 WLN327658 WVJ327658 B393194 IX393194 ST393194 ACP393194 AML393194 AWH393194 BGD393194 BPZ393194 BZV393194 CJR393194 CTN393194 DDJ393194 DNF393194 DXB393194 EGX393194 EQT393194 FAP393194 FKL393194 FUH393194 GED393194 GNZ393194 GXV393194 HHR393194 HRN393194 IBJ393194 ILF393194 IVB393194 JEX393194 JOT393194 JYP393194 KIL393194 KSH393194 LCD393194 LLZ393194 LVV393194 MFR393194 MPN393194 MZJ393194 NJF393194 NTB393194 OCX393194 OMT393194 OWP393194 PGL393194 PQH393194 QAD393194 QJZ393194 QTV393194 RDR393194 RNN393194 RXJ393194 SHF393194 SRB393194 TAX393194 TKT393194 TUP393194 UEL393194 UOH393194 UYD393194 VHZ393194 VRV393194 WBR393194 WLN393194 WVJ393194 B458730 IX458730 ST458730 ACP458730 AML458730 AWH458730 BGD458730 BPZ458730 BZV458730 CJR458730 CTN458730 DDJ458730 DNF458730 DXB458730 EGX458730 EQT458730 FAP458730 FKL458730 FUH458730 GED458730 GNZ458730 GXV458730 HHR458730 HRN458730 IBJ458730 ILF458730 IVB458730 JEX458730 JOT458730 JYP458730 KIL458730 KSH458730 LCD458730 LLZ458730 LVV458730 MFR458730 MPN458730 MZJ458730 NJF458730 NTB458730 OCX458730 OMT458730 OWP458730 PGL458730 PQH458730 QAD458730 QJZ458730 QTV458730 RDR458730 RNN458730 RXJ458730 SHF458730 SRB458730 TAX458730 TKT458730 TUP458730 UEL458730 UOH458730 UYD458730 VHZ458730 VRV458730 WBR458730 WLN458730 WVJ458730 B524266 IX524266 ST524266 ACP524266 AML524266 AWH524266 BGD524266 BPZ524266 BZV524266 CJR524266 CTN524266 DDJ524266 DNF524266 DXB524266 EGX524266 EQT524266 FAP524266 FKL524266 FUH524266 GED524266 GNZ524266 GXV524266 HHR524266 HRN524266 IBJ524266 ILF524266 IVB524266 JEX524266 JOT524266 JYP524266 KIL524266 KSH524266 LCD524266 LLZ524266 LVV524266 MFR524266 MPN524266 MZJ524266 NJF524266 NTB524266 OCX524266 OMT524266 OWP524266 PGL524266 PQH524266 QAD524266 QJZ524266 QTV524266 RDR524266 RNN524266 RXJ524266 SHF524266 SRB524266 TAX524266 TKT524266 TUP524266 UEL524266 UOH524266 UYD524266 VHZ524266 VRV524266 WBR524266 WLN524266 WVJ524266 B589802 IX589802 ST589802 ACP589802 AML589802 AWH589802 BGD589802 BPZ589802 BZV589802 CJR589802 CTN589802 DDJ589802 DNF589802 DXB589802 EGX589802 EQT589802 FAP589802 FKL589802 FUH589802 GED589802 GNZ589802 GXV589802 HHR589802 HRN589802 IBJ589802 ILF589802 IVB589802 JEX589802 JOT589802 JYP589802 KIL589802 KSH589802 LCD589802 LLZ589802 LVV589802 MFR589802 MPN589802 MZJ589802 NJF589802 NTB589802 OCX589802 OMT589802 OWP589802 PGL589802 PQH589802 QAD589802 QJZ589802 QTV589802 RDR589802 RNN589802 RXJ589802 SHF589802 SRB589802 TAX589802 TKT589802 TUP589802 UEL589802 UOH589802 UYD589802 VHZ589802 VRV589802 WBR589802 WLN589802 WVJ589802 B655338 IX655338 ST655338 ACP655338 AML655338 AWH655338 BGD655338 BPZ655338 BZV655338 CJR655338 CTN655338 DDJ655338 DNF655338 DXB655338 EGX655338 EQT655338 FAP655338 FKL655338 FUH655338 GED655338 GNZ655338 GXV655338 HHR655338 HRN655338 IBJ655338 ILF655338 IVB655338 JEX655338 JOT655338 JYP655338 KIL655338 KSH655338 LCD655338 LLZ655338 LVV655338 MFR655338 MPN655338 MZJ655338 NJF655338 NTB655338 OCX655338 OMT655338 OWP655338 PGL655338 PQH655338 QAD655338 QJZ655338 QTV655338 RDR655338 RNN655338 RXJ655338 SHF655338 SRB655338 TAX655338 TKT655338 TUP655338 UEL655338 UOH655338 UYD655338 VHZ655338 VRV655338 WBR655338 WLN655338 WVJ655338 B720874 IX720874 ST720874 ACP720874 AML720874 AWH720874 BGD720874 BPZ720874 BZV720874 CJR720874 CTN720874 DDJ720874 DNF720874 DXB720874 EGX720874 EQT720874 FAP720874 FKL720874 FUH720874 GED720874 GNZ720874 GXV720874 HHR720874 HRN720874 IBJ720874 ILF720874 IVB720874 JEX720874 JOT720874 JYP720874 KIL720874 KSH720874 LCD720874 LLZ720874 LVV720874 MFR720874 MPN720874 MZJ720874 NJF720874 NTB720874 OCX720874 OMT720874 OWP720874 PGL720874 PQH720874 QAD720874 QJZ720874 QTV720874 RDR720874 RNN720874 RXJ720874 SHF720874 SRB720874 TAX720874 TKT720874 TUP720874 UEL720874 UOH720874 UYD720874 VHZ720874 VRV720874 WBR720874 WLN720874 WVJ720874 B786410 IX786410 ST786410 ACP786410 AML786410 AWH786410 BGD786410 BPZ786410 BZV786410 CJR786410 CTN786410 DDJ786410 DNF786410 DXB786410 EGX786410 EQT786410 FAP786410 FKL786410 FUH786410 GED786410 GNZ786410 GXV786410 HHR786410 HRN786410 IBJ786410 ILF786410 IVB786410 JEX786410 JOT786410 JYP786410 KIL786410 KSH786410 LCD786410 LLZ786410 LVV786410 MFR786410 MPN786410 MZJ786410 NJF786410 NTB786410 OCX786410 OMT786410 OWP786410 PGL786410 PQH786410 QAD786410 QJZ786410 QTV786410 RDR786410 RNN786410 RXJ786410 SHF786410 SRB786410 TAX786410 TKT786410 TUP786410 UEL786410 UOH786410 UYD786410 VHZ786410 VRV786410 WBR786410 WLN786410 WVJ786410 B851946 IX851946 ST851946 ACP851946 AML851946 AWH851946 BGD851946 BPZ851946 BZV851946 CJR851946 CTN851946 DDJ851946 DNF851946 DXB851946 EGX851946 EQT851946 FAP851946 FKL851946 FUH851946 GED851946 GNZ851946 GXV851946 HHR851946 HRN851946 IBJ851946 ILF851946 IVB851946 JEX851946 JOT851946 JYP851946 KIL851946 KSH851946 LCD851946 LLZ851946 LVV851946 MFR851946 MPN851946 MZJ851946 NJF851946 NTB851946 OCX851946 OMT851946 OWP851946 PGL851946 PQH851946 QAD851946 QJZ851946 QTV851946 RDR851946 RNN851946 RXJ851946 SHF851946 SRB851946 TAX851946 TKT851946 TUP851946 UEL851946 UOH851946 UYD851946 VHZ851946 VRV851946 WBR851946 WLN851946 WVJ851946 B917482 IX917482 ST917482 ACP917482 AML917482 AWH917482 BGD917482 BPZ917482 BZV917482 CJR917482 CTN917482 DDJ917482 DNF917482 DXB917482 EGX917482 EQT917482 FAP917482 FKL917482 FUH917482 GED917482 GNZ917482 GXV917482 HHR917482 HRN917482 IBJ917482 ILF917482 IVB917482 JEX917482 JOT917482 JYP917482 KIL917482 KSH917482 LCD917482 LLZ917482 LVV917482 MFR917482 MPN917482 MZJ917482 NJF917482 NTB917482 OCX917482 OMT917482 OWP917482 PGL917482 PQH917482 QAD917482 QJZ917482 QTV917482 RDR917482 RNN917482 RXJ917482 SHF917482 SRB917482 TAX917482 TKT917482 TUP917482 UEL917482 UOH917482 UYD917482 VHZ917482 VRV917482 WBR917482 WLN917482 WVJ917482 B983018 IX983018 ST983018 ACP983018 AML983018 AWH983018 BGD983018 BPZ983018 BZV983018 CJR983018 CTN983018 DDJ983018 DNF983018 DXB983018 EGX983018 EQT983018 FAP983018 FKL983018 FUH983018 GED983018 GNZ983018 GXV983018 HHR983018 HRN983018 IBJ983018 ILF983018 IVB983018 JEX983018 JOT983018 JYP983018 KIL983018 KSH983018 LCD983018 LLZ983018 LVV983018 MFR983018 MPN983018 MZJ983018 NJF983018 NTB983018 OCX983018 OMT983018 OWP983018 PGL983018 PQH983018 QAD983018 QJZ983018 QTV983018 RDR983018 RNN983018 RXJ983018 SHF983018 SRB983018 TAX983018 TKT983018 TUP983018 UEL983018 UOH983018 UYD983018 VHZ983018 VRV983018 WBR983018 WLN983018 WVJ983018 B2:B64"/>
    <dataValidation type="list" allowBlank="1" showInputMessage="1" showErrorMessage="1" sqref="A2:A476 A65514:A65591 A131050:A131127 A196586:A196663 A262122:A262199 A327658:A327735 A393194:A393271 A458730:A458807 A524266:A524343 A589802:A589879 A655338:A655415 A720874:A720951 A786410:A786487 A851946:A852023 A917482:A917559 A983018:A983095 IW2:IW58 IW65514:IW65591 IW131050:IW131127 IW196586:IW196663 IW262122:IW262199 IW327658:IW327735 IW393194:IW393271 IW458730:IW458807 IW524266:IW524343 IW589802:IW589879 IW655338:IW655415 IW720874:IW720951 IW786410:IW786487 IW851946:IW852023 IW917482:IW917559 IW983018:IW983095 SS2:SS58 SS65514:SS65591 SS131050:SS131127 SS196586:SS196663 SS262122:SS262199 SS327658:SS327735 SS393194:SS393271 SS458730:SS458807 SS524266:SS524343 SS589802:SS589879 SS655338:SS655415 SS720874:SS720951 SS786410:SS786487 SS851946:SS852023 SS917482:SS917559 SS983018:SS983095 ACO2:ACO58 ACO65514:ACO65591 ACO131050:ACO131127 ACO196586:ACO196663 ACO262122:ACO262199 ACO327658:ACO327735 ACO393194:ACO393271 ACO458730:ACO458807 ACO524266:ACO524343 ACO589802:ACO589879 ACO655338:ACO655415 ACO720874:ACO720951 ACO786410:ACO786487 ACO851946:ACO852023 ACO917482:ACO917559 ACO983018:ACO983095 AMK2:AMK58 AMK65514:AMK65591 AMK131050:AMK131127 AMK196586:AMK196663 AMK262122:AMK262199 AMK327658:AMK327735 AMK393194:AMK393271 AMK458730:AMK458807 AMK524266:AMK524343 AMK589802:AMK589879 AMK655338:AMK655415 AMK720874:AMK720951 AMK786410:AMK786487 AMK851946:AMK852023 AMK917482:AMK917559 AMK983018:AMK983095 AWG2:AWG58 AWG65514:AWG65591 AWG131050:AWG131127 AWG196586:AWG196663 AWG262122:AWG262199 AWG327658:AWG327735 AWG393194:AWG393271 AWG458730:AWG458807 AWG524266:AWG524343 AWG589802:AWG589879 AWG655338:AWG655415 AWG720874:AWG720951 AWG786410:AWG786487 AWG851946:AWG852023 AWG917482:AWG917559 AWG983018:AWG983095 BGC2:BGC58 BGC65514:BGC65591 BGC131050:BGC131127 BGC196586:BGC196663 BGC262122:BGC262199 BGC327658:BGC327735 BGC393194:BGC393271 BGC458730:BGC458807 BGC524266:BGC524343 BGC589802:BGC589879 BGC655338:BGC655415 BGC720874:BGC720951 BGC786410:BGC786487 BGC851946:BGC852023 BGC917482:BGC917559 BGC983018:BGC983095 BPY2:BPY58 BPY65514:BPY65591 BPY131050:BPY131127 BPY196586:BPY196663 BPY262122:BPY262199 BPY327658:BPY327735 BPY393194:BPY393271 BPY458730:BPY458807 BPY524266:BPY524343 BPY589802:BPY589879 BPY655338:BPY655415 BPY720874:BPY720951 BPY786410:BPY786487 BPY851946:BPY852023 BPY917482:BPY917559 BPY983018:BPY983095 BZU2:BZU58 BZU65514:BZU65591 BZU131050:BZU131127 BZU196586:BZU196663 BZU262122:BZU262199 BZU327658:BZU327735 BZU393194:BZU393271 BZU458730:BZU458807 BZU524266:BZU524343 BZU589802:BZU589879 BZU655338:BZU655415 BZU720874:BZU720951 BZU786410:BZU786487 BZU851946:BZU852023 BZU917482:BZU917559 BZU983018:BZU983095 CJQ2:CJQ58 CJQ65514:CJQ65591 CJQ131050:CJQ131127 CJQ196586:CJQ196663 CJQ262122:CJQ262199 CJQ327658:CJQ327735 CJQ393194:CJQ393271 CJQ458730:CJQ458807 CJQ524266:CJQ524343 CJQ589802:CJQ589879 CJQ655338:CJQ655415 CJQ720874:CJQ720951 CJQ786410:CJQ786487 CJQ851946:CJQ852023 CJQ917482:CJQ917559 CJQ983018:CJQ983095 CTM2:CTM58 CTM65514:CTM65591 CTM131050:CTM131127 CTM196586:CTM196663 CTM262122:CTM262199 CTM327658:CTM327735 CTM393194:CTM393271 CTM458730:CTM458807 CTM524266:CTM524343 CTM589802:CTM589879 CTM655338:CTM655415 CTM720874:CTM720951 CTM786410:CTM786487 CTM851946:CTM852023 CTM917482:CTM917559 CTM983018:CTM983095 DDI2:DDI58 DDI65514:DDI65591 DDI131050:DDI131127 DDI196586:DDI196663 DDI262122:DDI262199 DDI327658:DDI327735 DDI393194:DDI393271 DDI458730:DDI458807 DDI524266:DDI524343 DDI589802:DDI589879 DDI655338:DDI655415 DDI720874:DDI720951 DDI786410:DDI786487 DDI851946:DDI852023 DDI917482:DDI917559 DDI983018:DDI983095 DNE2:DNE58 DNE65514:DNE65591 DNE131050:DNE131127 DNE196586:DNE196663 DNE262122:DNE262199 DNE327658:DNE327735 DNE393194:DNE393271 DNE458730:DNE458807 DNE524266:DNE524343 DNE589802:DNE589879 DNE655338:DNE655415 DNE720874:DNE720951 DNE786410:DNE786487 DNE851946:DNE852023 DNE917482:DNE917559 DNE983018:DNE983095 DXA2:DXA58 DXA65514:DXA65591 DXA131050:DXA131127 DXA196586:DXA196663 DXA262122:DXA262199 DXA327658:DXA327735 DXA393194:DXA393271 DXA458730:DXA458807 DXA524266:DXA524343 DXA589802:DXA589879 DXA655338:DXA655415 DXA720874:DXA720951 DXA786410:DXA786487 DXA851946:DXA852023 DXA917482:DXA917559 DXA983018:DXA983095 EGW2:EGW58 EGW65514:EGW65591 EGW131050:EGW131127 EGW196586:EGW196663 EGW262122:EGW262199 EGW327658:EGW327735 EGW393194:EGW393271 EGW458730:EGW458807 EGW524266:EGW524343 EGW589802:EGW589879 EGW655338:EGW655415 EGW720874:EGW720951 EGW786410:EGW786487 EGW851946:EGW852023 EGW917482:EGW917559 EGW983018:EGW983095 EQS2:EQS58 EQS65514:EQS65591 EQS131050:EQS131127 EQS196586:EQS196663 EQS262122:EQS262199 EQS327658:EQS327735 EQS393194:EQS393271 EQS458730:EQS458807 EQS524266:EQS524343 EQS589802:EQS589879 EQS655338:EQS655415 EQS720874:EQS720951 EQS786410:EQS786487 EQS851946:EQS852023 EQS917482:EQS917559 EQS983018:EQS983095 FAO2:FAO58 FAO65514:FAO65591 FAO131050:FAO131127 FAO196586:FAO196663 FAO262122:FAO262199 FAO327658:FAO327735 FAO393194:FAO393271 FAO458730:FAO458807 FAO524266:FAO524343 FAO589802:FAO589879 FAO655338:FAO655415 FAO720874:FAO720951 FAO786410:FAO786487 FAO851946:FAO852023 FAO917482:FAO917559 FAO983018:FAO983095 FKK2:FKK58 FKK65514:FKK65591 FKK131050:FKK131127 FKK196586:FKK196663 FKK262122:FKK262199 FKK327658:FKK327735 FKK393194:FKK393271 FKK458730:FKK458807 FKK524266:FKK524343 FKK589802:FKK589879 FKK655338:FKK655415 FKK720874:FKK720951 FKK786410:FKK786487 FKK851946:FKK852023 FKK917482:FKK917559 FKK983018:FKK983095 FUG2:FUG58 FUG65514:FUG65591 FUG131050:FUG131127 FUG196586:FUG196663 FUG262122:FUG262199 FUG327658:FUG327735 FUG393194:FUG393271 FUG458730:FUG458807 FUG524266:FUG524343 FUG589802:FUG589879 FUG655338:FUG655415 FUG720874:FUG720951 FUG786410:FUG786487 FUG851946:FUG852023 FUG917482:FUG917559 FUG983018:FUG983095 GEC2:GEC58 GEC65514:GEC65591 GEC131050:GEC131127 GEC196586:GEC196663 GEC262122:GEC262199 GEC327658:GEC327735 GEC393194:GEC393271 GEC458730:GEC458807 GEC524266:GEC524343 GEC589802:GEC589879 GEC655338:GEC655415 GEC720874:GEC720951 GEC786410:GEC786487 GEC851946:GEC852023 GEC917482:GEC917559 GEC983018:GEC983095 GNY2:GNY58 GNY65514:GNY65591 GNY131050:GNY131127 GNY196586:GNY196663 GNY262122:GNY262199 GNY327658:GNY327735 GNY393194:GNY393271 GNY458730:GNY458807 GNY524266:GNY524343 GNY589802:GNY589879 GNY655338:GNY655415 GNY720874:GNY720951 GNY786410:GNY786487 GNY851946:GNY852023 GNY917482:GNY917559 GNY983018:GNY983095 GXU2:GXU58 GXU65514:GXU65591 GXU131050:GXU131127 GXU196586:GXU196663 GXU262122:GXU262199 GXU327658:GXU327735 GXU393194:GXU393271 GXU458730:GXU458807 GXU524266:GXU524343 GXU589802:GXU589879 GXU655338:GXU655415 GXU720874:GXU720951 GXU786410:GXU786487 GXU851946:GXU852023 GXU917482:GXU917559 GXU983018:GXU983095 HHQ2:HHQ58 HHQ65514:HHQ65591 HHQ131050:HHQ131127 HHQ196586:HHQ196663 HHQ262122:HHQ262199 HHQ327658:HHQ327735 HHQ393194:HHQ393271 HHQ458730:HHQ458807 HHQ524266:HHQ524343 HHQ589802:HHQ589879 HHQ655338:HHQ655415 HHQ720874:HHQ720951 HHQ786410:HHQ786487 HHQ851946:HHQ852023 HHQ917482:HHQ917559 HHQ983018:HHQ983095 HRM2:HRM58 HRM65514:HRM65591 HRM131050:HRM131127 HRM196586:HRM196663 HRM262122:HRM262199 HRM327658:HRM327735 HRM393194:HRM393271 HRM458730:HRM458807 HRM524266:HRM524343 HRM589802:HRM589879 HRM655338:HRM655415 HRM720874:HRM720951 HRM786410:HRM786487 HRM851946:HRM852023 HRM917482:HRM917559 HRM983018:HRM983095 IBI2:IBI58 IBI65514:IBI65591 IBI131050:IBI131127 IBI196586:IBI196663 IBI262122:IBI262199 IBI327658:IBI327735 IBI393194:IBI393271 IBI458730:IBI458807 IBI524266:IBI524343 IBI589802:IBI589879 IBI655338:IBI655415 IBI720874:IBI720951 IBI786410:IBI786487 IBI851946:IBI852023 IBI917482:IBI917559 IBI983018:IBI983095 ILE2:ILE58 ILE65514:ILE65591 ILE131050:ILE131127 ILE196586:ILE196663 ILE262122:ILE262199 ILE327658:ILE327735 ILE393194:ILE393271 ILE458730:ILE458807 ILE524266:ILE524343 ILE589802:ILE589879 ILE655338:ILE655415 ILE720874:ILE720951 ILE786410:ILE786487 ILE851946:ILE852023 ILE917482:ILE917559 ILE983018:ILE983095 IVA2:IVA58 IVA65514:IVA65591 IVA131050:IVA131127 IVA196586:IVA196663 IVA262122:IVA262199 IVA327658:IVA327735 IVA393194:IVA393271 IVA458730:IVA458807 IVA524266:IVA524343 IVA589802:IVA589879 IVA655338:IVA655415 IVA720874:IVA720951 IVA786410:IVA786487 IVA851946:IVA852023 IVA917482:IVA917559 IVA983018:IVA983095 JEW2:JEW58 JEW65514:JEW65591 JEW131050:JEW131127 JEW196586:JEW196663 JEW262122:JEW262199 JEW327658:JEW327735 JEW393194:JEW393271 JEW458730:JEW458807 JEW524266:JEW524343 JEW589802:JEW589879 JEW655338:JEW655415 JEW720874:JEW720951 JEW786410:JEW786487 JEW851946:JEW852023 JEW917482:JEW917559 JEW983018:JEW983095 JOS2:JOS58 JOS65514:JOS65591 JOS131050:JOS131127 JOS196586:JOS196663 JOS262122:JOS262199 JOS327658:JOS327735 JOS393194:JOS393271 JOS458730:JOS458807 JOS524266:JOS524343 JOS589802:JOS589879 JOS655338:JOS655415 JOS720874:JOS720951 JOS786410:JOS786487 JOS851946:JOS852023 JOS917482:JOS917559 JOS983018:JOS983095 JYO2:JYO58 JYO65514:JYO65591 JYO131050:JYO131127 JYO196586:JYO196663 JYO262122:JYO262199 JYO327658:JYO327735 JYO393194:JYO393271 JYO458730:JYO458807 JYO524266:JYO524343 JYO589802:JYO589879 JYO655338:JYO655415 JYO720874:JYO720951 JYO786410:JYO786487 JYO851946:JYO852023 JYO917482:JYO917559 JYO983018:JYO983095 KIK2:KIK58 KIK65514:KIK65591 KIK131050:KIK131127 KIK196586:KIK196663 KIK262122:KIK262199 KIK327658:KIK327735 KIK393194:KIK393271 KIK458730:KIK458807 KIK524266:KIK524343 KIK589802:KIK589879 KIK655338:KIK655415 KIK720874:KIK720951 KIK786410:KIK786487 KIK851946:KIK852023 KIK917482:KIK917559 KIK983018:KIK983095 KSG2:KSG58 KSG65514:KSG65591 KSG131050:KSG131127 KSG196586:KSG196663 KSG262122:KSG262199 KSG327658:KSG327735 KSG393194:KSG393271 KSG458730:KSG458807 KSG524266:KSG524343 KSG589802:KSG589879 KSG655338:KSG655415 KSG720874:KSG720951 KSG786410:KSG786487 KSG851946:KSG852023 KSG917482:KSG917559 KSG983018:KSG983095 LCC2:LCC58 LCC65514:LCC65591 LCC131050:LCC131127 LCC196586:LCC196663 LCC262122:LCC262199 LCC327658:LCC327735 LCC393194:LCC393271 LCC458730:LCC458807 LCC524266:LCC524343 LCC589802:LCC589879 LCC655338:LCC655415 LCC720874:LCC720951 LCC786410:LCC786487 LCC851946:LCC852023 LCC917482:LCC917559 LCC983018:LCC983095 LLY2:LLY58 LLY65514:LLY65591 LLY131050:LLY131127 LLY196586:LLY196663 LLY262122:LLY262199 LLY327658:LLY327735 LLY393194:LLY393271 LLY458730:LLY458807 LLY524266:LLY524343 LLY589802:LLY589879 LLY655338:LLY655415 LLY720874:LLY720951 LLY786410:LLY786487 LLY851946:LLY852023 LLY917482:LLY917559 LLY983018:LLY983095 LVU2:LVU58 LVU65514:LVU65591 LVU131050:LVU131127 LVU196586:LVU196663 LVU262122:LVU262199 LVU327658:LVU327735 LVU393194:LVU393271 LVU458730:LVU458807 LVU524266:LVU524343 LVU589802:LVU589879 LVU655338:LVU655415 LVU720874:LVU720951 LVU786410:LVU786487 LVU851946:LVU852023 LVU917482:LVU917559 LVU983018:LVU983095 MFQ2:MFQ58 MFQ65514:MFQ65591 MFQ131050:MFQ131127 MFQ196586:MFQ196663 MFQ262122:MFQ262199 MFQ327658:MFQ327735 MFQ393194:MFQ393271 MFQ458730:MFQ458807 MFQ524266:MFQ524343 MFQ589802:MFQ589879 MFQ655338:MFQ655415 MFQ720874:MFQ720951 MFQ786410:MFQ786487 MFQ851946:MFQ852023 MFQ917482:MFQ917559 MFQ983018:MFQ983095 MPM2:MPM58 MPM65514:MPM65591 MPM131050:MPM131127 MPM196586:MPM196663 MPM262122:MPM262199 MPM327658:MPM327735 MPM393194:MPM393271 MPM458730:MPM458807 MPM524266:MPM524343 MPM589802:MPM589879 MPM655338:MPM655415 MPM720874:MPM720951 MPM786410:MPM786487 MPM851946:MPM852023 MPM917482:MPM917559 MPM983018:MPM983095 MZI2:MZI58 MZI65514:MZI65591 MZI131050:MZI131127 MZI196586:MZI196663 MZI262122:MZI262199 MZI327658:MZI327735 MZI393194:MZI393271 MZI458730:MZI458807 MZI524266:MZI524343 MZI589802:MZI589879 MZI655338:MZI655415 MZI720874:MZI720951 MZI786410:MZI786487 MZI851946:MZI852023 MZI917482:MZI917559 MZI983018:MZI983095 NJE2:NJE58 NJE65514:NJE65591 NJE131050:NJE131127 NJE196586:NJE196663 NJE262122:NJE262199 NJE327658:NJE327735 NJE393194:NJE393271 NJE458730:NJE458807 NJE524266:NJE524343 NJE589802:NJE589879 NJE655338:NJE655415 NJE720874:NJE720951 NJE786410:NJE786487 NJE851946:NJE852023 NJE917482:NJE917559 NJE983018:NJE983095 NTA2:NTA58 NTA65514:NTA65591 NTA131050:NTA131127 NTA196586:NTA196663 NTA262122:NTA262199 NTA327658:NTA327735 NTA393194:NTA393271 NTA458730:NTA458807 NTA524266:NTA524343 NTA589802:NTA589879 NTA655338:NTA655415 NTA720874:NTA720951 NTA786410:NTA786487 NTA851946:NTA852023 NTA917482:NTA917559 NTA983018:NTA983095 OCW2:OCW58 OCW65514:OCW65591 OCW131050:OCW131127 OCW196586:OCW196663 OCW262122:OCW262199 OCW327658:OCW327735 OCW393194:OCW393271 OCW458730:OCW458807 OCW524266:OCW524343 OCW589802:OCW589879 OCW655338:OCW655415 OCW720874:OCW720951 OCW786410:OCW786487 OCW851946:OCW852023 OCW917482:OCW917559 OCW983018:OCW983095 OMS2:OMS58 OMS65514:OMS65591 OMS131050:OMS131127 OMS196586:OMS196663 OMS262122:OMS262199 OMS327658:OMS327735 OMS393194:OMS393271 OMS458730:OMS458807 OMS524266:OMS524343 OMS589802:OMS589879 OMS655338:OMS655415 OMS720874:OMS720951 OMS786410:OMS786487 OMS851946:OMS852023 OMS917482:OMS917559 OMS983018:OMS983095 OWO2:OWO58 OWO65514:OWO65591 OWO131050:OWO131127 OWO196586:OWO196663 OWO262122:OWO262199 OWO327658:OWO327735 OWO393194:OWO393271 OWO458730:OWO458807 OWO524266:OWO524343 OWO589802:OWO589879 OWO655338:OWO655415 OWO720874:OWO720951 OWO786410:OWO786487 OWO851946:OWO852023 OWO917482:OWO917559 OWO983018:OWO983095 PGK2:PGK58 PGK65514:PGK65591 PGK131050:PGK131127 PGK196586:PGK196663 PGK262122:PGK262199 PGK327658:PGK327735 PGK393194:PGK393271 PGK458730:PGK458807 PGK524266:PGK524343 PGK589802:PGK589879 PGK655338:PGK655415 PGK720874:PGK720951 PGK786410:PGK786487 PGK851946:PGK852023 PGK917482:PGK917559 PGK983018:PGK983095 PQG2:PQG58 PQG65514:PQG65591 PQG131050:PQG131127 PQG196586:PQG196663 PQG262122:PQG262199 PQG327658:PQG327735 PQG393194:PQG393271 PQG458730:PQG458807 PQG524266:PQG524343 PQG589802:PQG589879 PQG655338:PQG655415 PQG720874:PQG720951 PQG786410:PQG786487 PQG851946:PQG852023 PQG917482:PQG917559 PQG983018:PQG983095 QAC2:QAC58 QAC65514:QAC65591 QAC131050:QAC131127 QAC196586:QAC196663 QAC262122:QAC262199 QAC327658:QAC327735 QAC393194:QAC393271 QAC458730:QAC458807 QAC524266:QAC524343 QAC589802:QAC589879 QAC655338:QAC655415 QAC720874:QAC720951 QAC786410:QAC786487 QAC851946:QAC852023 QAC917482:QAC917559 QAC983018:QAC983095 QJY2:QJY58 QJY65514:QJY65591 QJY131050:QJY131127 QJY196586:QJY196663 QJY262122:QJY262199 QJY327658:QJY327735 QJY393194:QJY393271 QJY458730:QJY458807 QJY524266:QJY524343 QJY589802:QJY589879 QJY655338:QJY655415 QJY720874:QJY720951 QJY786410:QJY786487 QJY851946:QJY852023 QJY917482:QJY917559 QJY983018:QJY983095 QTU2:QTU58 QTU65514:QTU65591 QTU131050:QTU131127 QTU196586:QTU196663 QTU262122:QTU262199 QTU327658:QTU327735 QTU393194:QTU393271 QTU458730:QTU458807 QTU524266:QTU524343 QTU589802:QTU589879 QTU655338:QTU655415 QTU720874:QTU720951 QTU786410:QTU786487 QTU851946:QTU852023 QTU917482:QTU917559 QTU983018:QTU983095 RDQ2:RDQ58 RDQ65514:RDQ65591 RDQ131050:RDQ131127 RDQ196586:RDQ196663 RDQ262122:RDQ262199 RDQ327658:RDQ327735 RDQ393194:RDQ393271 RDQ458730:RDQ458807 RDQ524266:RDQ524343 RDQ589802:RDQ589879 RDQ655338:RDQ655415 RDQ720874:RDQ720951 RDQ786410:RDQ786487 RDQ851946:RDQ852023 RDQ917482:RDQ917559 RDQ983018:RDQ983095 RNM2:RNM58 RNM65514:RNM65591 RNM131050:RNM131127 RNM196586:RNM196663 RNM262122:RNM262199 RNM327658:RNM327735 RNM393194:RNM393271 RNM458730:RNM458807 RNM524266:RNM524343 RNM589802:RNM589879 RNM655338:RNM655415 RNM720874:RNM720951 RNM786410:RNM786487 RNM851946:RNM852023 RNM917482:RNM917559 RNM983018:RNM983095 RXI2:RXI58 RXI65514:RXI65591 RXI131050:RXI131127 RXI196586:RXI196663 RXI262122:RXI262199 RXI327658:RXI327735 RXI393194:RXI393271 RXI458730:RXI458807 RXI524266:RXI524343 RXI589802:RXI589879 RXI655338:RXI655415 RXI720874:RXI720951 RXI786410:RXI786487 RXI851946:RXI852023 RXI917482:RXI917559 RXI983018:RXI983095 SHE2:SHE58 SHE65514:SHE65591 SHE131050:SHE131127 SHE196586:SHE196663 SHE262122:SHE262199 SHE327658:SHE327735 SHE393194:SHE393271 SHE458730:SHE458807 SHE524266:SHE524343 SHE589802:SHE589879 SHE655338:SHE655415 SHE720874:SHE720951 SHE786410:SHE786487 SHE851946:SHE852023 SHE917482:SHE917559 SHE983018:SHE983095 SRA2:SRA58 SRA65514:SRA65591 SRA131050:SRA131127 SRA196586:SRA196663 SRA262122:SRA262199 SRA327658:SRA327735 SRA393194:SRA393271 SRA458730:SRA458807 SRA524266:SRA524343 SRA589802:SRA589879 SRA655338:SRA655415 SRA720874:SRA720951 SRA786410:SRA786487 SRA851946:SRA852023 SRA917482:SRA917559 SRA983018:SRA983095 TAW2:TAW58 TAW65514:TAW65591 TAW131050:TAW131127 TAW196586:TAW196663 TAW262122:TAW262199 TAW327658:TAW327735 TAW393194:TAW393271 TAW458730:TAW458807 TAW524266:TAW524343 TAW589802:TAW589879 TAW655338:TAW655415 TAW720874:TAW720951 TAW786410:TAW786487 TAW851946:TAW852023 TAW917482:TAW917559 TAW983018:TAW983095 TKS2:TKS58 TKS65514:TKS65591 TKS131050:TKS131127 TKS196586:TKS196663 TKS262122:TKS262199 TKS327658:TKS327735 TKS393194:TKS393271 TKS458730:TKS458807 TKS524266:TKS524343 TKS589802:TKS589879 TKS655338:TKS655415 TKS720874:TKS720951 TKS786410:TKS786487 TKS851946:TKS852023 TKS917482:TKS917559 TKS983018:TKS983095 TUO2:TUO58 TUO65514:TUO65591 TUO131050:TUO131127 TUO196586:TUO196663 TUO262122:TUO262199 TUO327658:TUO327735 TUO393194:TUO393271 TUO458730:TUO458807 TUO524266:TUO524343 TUO589802:TUO589879 TUO655338:TUO655415 TUO720874:TUO720951 TUO786410:TUO786487 TUO851946:TUO852023 TUO917482:TUO917559 TUO983018:TUO983095 UEK2:UEK58 UEK65514:UEK65591 UEK131050:UEK131127 UEK196586:UEK196663 UEK262122:UEK262199 UEK327658:UEK327735 UEK393194:UEK393271 UEK458730:UEK458807 UEK524266:UEK524343 UEK589802:UEK589879 UEK655338:UEK655415 UEK720874:UEK720951 UEK786410:UEK786487 UEK851946:UEK852023 UEK917482:UEK917559 UEK983018:UEK983095 UOG2:UOG58 UOG65514:UOG65591 UOG131050:UOG131127 UOG196586:UOG196663 UOG262122:UOG262199 UOG327658:UOG327735 UOG393194:UOG393271 UOG458730:UOG458807 UOG524266:UOG524343 UOG589802:UOG589879 UOG655338:UOG655415 UOG720874:UOG720951 UOG786410:UOG786487 UOG851946:UOG852023 UOG917482:UOG917559 UOG983018:UOG983095 UYC2:UYC58 UYC65514:UYC65591 UYC131050:UYC131127 UYC196586:UYC196663 UYC262122:UYC262199 UYC327658:UYC327735 UYC393194:UYC393271 UYC458730:UYC458807 UYC524266:UYC524343 UYC589802:UYC589879 UYC655338:UYC655415 UYC720874:UYC720951 UYC786410:UYC786487 UYC851946:UYC852023 UYC917482:UYC917559 UYC983018:UYC983095 VHY2:VHY58 VHY65514:VHY65591 VHY131050:VHY131127 VHY196586:VHY196663 VHY262122:VHY262199 VHY327658:VHY327735 VHY393194:VHY393271 VHY458730:VHY458807 VHY524266:VHY524343 VHY589802:VHY589879 VHY655338:VHY655415 VHY720874:VHY720951 VHY786410:VHY786487 VHY851946:VHY852023 VHY917482:VHY917559 VHY983018:VHY983095 VRU2:VRU58 VRU65514:VRU65591 VRU131050:VRU131127 VRU196586:VRU196663 VRU262122:VRU262199 VRU327658:VRU327735 VRU393194:VRU393271 VRU458730:VRU458807 VRU524266:VRU524343 VRU589802:VRU589879 VRU655338:VRU655415 VRU720874:VRU720951 VRU786410:VRU786487 VRU851946:VRU852023 VRU917482:VRU917559 VRU983018:VRU983095 WBQ2:WBQ58 WBQ65514:WBQ65591 WBQ131050:WBQ131127 WBQ196586:WBQ196663 WBQ262122:WBQ262199 WBQ327658:WBQ327735 WBQ393194:WBQ393271 WBQ458730:WBQ458807 WBQ524266:WBQ524343 WBQ589802:WBQ589879 WBQ655338:WBQ655415 WBQ720874:WBQ720951 WBQ786410:WBQ786487 WBQ851946:WBQ852023 WBQ917482:WBQ917559 WBQ983018:WBQ983095 WLM2:WLM58 WLM65514:WLM65591 WLM131050:WLM131127 WLM196586:WLM196663 WLM262122:WLM262199 WLM327658:WLM327735 WLM393194:WLM393271 WLM458730:WLM458807 WLM524266:WLM524343 WLM589802:WLM589879 WLM655338:WLM655415 WLM720874:WLM720951 WLM786410:WLM786487 WLM851946:WLM852023 WLM917482:WLM917559 WLM983018:WLM983095 WVI2:WVI58 WVI65514:WVI65591 WVI131050:WVI131127 WVI196586:WVI196663 WVI262122:WVI262199 WVI327658:WVI327735 WVI393194:WVI393271 WVI458730:WVI458807 WVI524266:WVI524343 WVI589802:WVI589879 WVI655338:WVI655415 WVI720874:WVI720951 WVI786410:WVI786487 WVI851946:WVI852023 WVI917482:WVI917559 WVI983018:WVI983095">
      <formula1>$AE$2:$AE$19</formula1>
    </dataValidation>
    <dataValidation type="list" allowBlank="1" showInputMessage="1" showErrorMessage="1" sqref="G2:G476 G65514:G65591 G131050:G131127 G196586:G196663 G262122:G262199 G327658:G327735 G393194:G393271 G458730:G458807 G524266:G524343 G589802:G589879 G655338:G655415 G720874:G720951 G786410:G786487 G851946:G852023 G917482:G917559 G983018:G983095 JC2:JC58 JC65514:JC65591 JC131050:JC131127 JC196586:JC196663 JC262122:JC262199 JC327658:JC327735 JC393194:JC393271 JC458730:JC458807 JC524266:JC524343 JC589802:JC589879 JC655338:JC655415 JC720874:JC720951 JC786410:JC786487 JC851946:JC852023 JC917482:JC917559 JC983018:JC983095 SY2:SY58 SY65514:SY65591 SY131050:SY131127 SY196586:SY196663 SY262122:SY262199 SY327658:SY327735 SY393194:SY393271 SY458730:SY458807 SY524266:SY524343 SY589802:SY589879 SY655338:SY655415 SY720874:SY720951 SY786410:SY786487 SY851946:SY852023 SY917482:SY917559 SY983018:SY983095 ACU2:ACU58 ACU65514:ACU65591 ACU131050:ACU131127 ACU196586:ACU196663 ACU262122:ACU262199 ACU327658:ACU327735 ACU393194:ACU393271 ACU458730:ACU458807 ACU524266:ACU524343 ACU589802:ACU589879 ACU655338:ACU655415 ACU720874:ACU720951 ACU786410:ACU786487 ACU851946:ACU852023 ACU917482:ACU917559 ACU983018:ACU983095 AMQ2:AMQ58 AMQ65514:AMQ65591 AMQ131050:AMQ131127 AMQ196586:AMQ196663 AMQ262122:AMQ262199 AMQ327658:AMQ327735 AMQ393194:AMQ393271 AMQ458730:AMQ458807 AMQ524266:AMQ524343 AMQ589802:AMQ589879 AMQ655338:AMQ655415 AMQ720874:AMQ720951 AMQ786410:AMQ786487 AMQ851946:AMQ852023 AMQ917482:AMQ917559 AMQ983018:AMQ983095 AWM2:AWM58 AWM65514:AWM65591 AWM131050:AWM131127 AWM196586:AWM196663 AWM262122:AWM262199 AWM327658:AWM327735 AWM393194:AWM393271 AWM458730:AWM458807 AWM524266:AWM524343 AWM589802:AWM589879 AWM655338:AWM655415 AWM720874:AWM720951 AWM786410:AWM786487 AWM851946:AWM852023 AWM917482:AWM917559 AWM983018:AWM983095 BGI2:BGI58 BGI65514:BGI65591 BGI131050:BGI131127 BGI196586:BGI196663 BGI262122:BGI262199 BGI327658:BGI327735 BGI393194:BGI393271 BGI458730:BGI458807 BGI524266:BGI524343 BGI589802:BGI589879 BGI655338:BGI655415 BGI720874:BGI720951 BGI786410:BGI786487 BGI851946:BGI852023 BGI917482:BGI917559 BGI983018:BGI983095 BQE2:BQE58 BQE65514:BQE65591 BQE131050:BQE131127 BQE196586:BQE196663 BQE262122:BQE262199 BQE327658:BQE327735 BQE393194:BQE393271 BQE458730:BQE458807 BQE524266:BQE524343 BQE589802:BQE589879 BQE655338:BQE655415 BQE720874:BQE720951 BQE786410:BQE786487 BQE851946:BQE852023 BQE917482:BQE917559 BQE983018:BQE983095 CAA2:CAA58 CAA65514:CAA65591 CAA131050:CAA131127 CAA196586:CAA196663 CAA262122:CAA262199 CAA327658:CAA327735 CAA393194:CAA393271 CAA458730:CAA458807 CAA524266:CAA524343 CAA589802:CAA589879 CAA655338:CAA655415 CAA720874:CAA720951 CAA786410:CAA786487 CAA851946:CAA852023 CAA917482:CAA917559 CAA983018:CAA983095 CJW2:CJW58 CJW65514:CJW65591 CJW131050:CJW131127 CJW196586:CJW196663 CJW262122:CJW262199 CJW327658:CJW327735 CJW393194:CJW393271 CJW458730:CJW458807 CJW524266:CJW524343 CJW589802:CJW589879 CJW655338:CJW655415 CJW720874:CJW720951 CJW786410:CJW786487 CJW851946:CJW852023 CJW917482:CJW917559 CJW983018:CJW983095 CTS2:CTS58 CTS65514:CTS65591 CTS131050:CTS131127 CTS196586:CTS196663 CTS262122:CTS262199 CTS327658:CTS327735 CTS393194:CTS393271 CTS458730:CTS458807 CTS524266:CTS524343 CTS589802:CTS589879 CTS655338:CTS655415 CTS720874:CTS720951 CTS786410:CTS786487 CTS851946:CTS852023 CTS917482:CTS917559 CTS983018:CTS983095 DDO2:DDO58 DDO65514:DDO65591 DDO131050:DDO131127 DDO196586:DDO196663 DDO262122:DDO262199 DDO327658:DDO327735 DDO393194:DDO393271 DDO458730:DDO458807 DDO524266:DDO524343 DDO589802:DDO589879 DDO655338:DDO655415 DDO720874:DDO720951 DDO786410:DDO786487 DDO851946:DDO852023 DDO917482:DDO917559 DDO983018:DDO983095 DNK2:DNK58 DNK65514:DNK65591 DNK131050:DNK131127 DNK196586:DNK196663 DNK262122:DNK262199 DNK327658:DNK327735 DNK393194:DNK393271 DNK458730:DNK458807 DNK524266:DNK524343 DNK589802:DNK589879 DNK655338:DNK655415 DNK720874:DNK720951 DNK786410:DNK786487 DNK851946:DNK852023 DNK917482:DNK917559 DNK983018:DNK983095 DXG2:DXG58 DXG65514:DXG65591 DXG131050:DXG131127 DXG196586:DXG196663 DXG262122:DXG262199 DXG327658:DXG327735 DXG393194:DXG393271 DXG458730:DXG458807 DXG524266:DXG524343 DXG589802:DXG589879 DXG655338:DXG655415 DXG720874:DXG720951 DXG786410:DXG786487 DXG851946:DXG852023 DXG917482:DXG917559 DXG983018:DXG983095 EHC2:EHC58 EHC65514:EHC65591 EHC131050:EHC131127 EHC196586:EHC196663 EHC262122:EHC262199 EHC327658:EHC327735 EHC393194:EHC393271 EHC458730:EHC458807 EHC524266:EHC524343 EHC589802:EHC589879 EHC655338:EHC655415 EHC720874:EHC720951 EHC786410:EHC786487 EHC851946:EHC852023 EHC917482:EHC917559 EHC983018:EHC983095 EQY2:EQY58 EQY65514:EQY65591 EQY131050:EQY131127 EQY196586:EQY196663 EQY262122:EQY262199 EQY327658:EQY327735 EQY393194:EQY393271 EQY458730:EQY458807 EQY524266:EQY524343 EQY589802:EQY589879 EQY655338:EQY655415 EQY720874:EQY720951 EQY786410:EQY786487 EQY851946:EQY852023 EQY917482:EQY917559 EQY983018:EQY983095 FAU2:FAU58 FAU65514:FAU65591 FAU131050:FAU131127 FAU196586:FAU196663 FAU262122:FAU262199 FAU327658:FAU327735 FAU393194:FAU393271 FAU458730:FAU458807 FAU524266:FAU524343 FAU589802:FAU589879 FAU655338:FAU655415 FAU720874:FAU720951 FAU786410:FAU786487 FAU851946:FAU852023 FAU917482:FAU917559 FAU983018:FAU983095 FKQ2:FKQ58 FKQ65514:FKQ65591 FKQ131050:FKQ131127 FKQ196586:FKQ196663 FKQ262122:FKQ262199 FKQ327658:FKQ327735 FKQ393194:FKQ393271 FKQ458730:FKQ458807 FKQ524266:FKQ524343 FKQ589802:FKQ589879 FKQ655338:FKQ655415 FKQ720874:FKQ720951 FKQ786410:FKQ786487 FKQ851946:FKQ852023 FKQ917482:FKQ917559 FKQ983018:FKQ983095 FUM2:FUM58 FUM65514:FUM65591 FUM131050:FUM131127 FUM196586:FUM196663 FUM262122:FUM262199 FUM327658:FUM327735 FUM393194:FUM393271 FUM458730:FUM458807 FUM524266:FUM524343 FUM589802:FUM589879 FUM655338:FUM655415 FUM720874:FUM720951 FUM786410:FUM786487 FUM851946:FUM852023 FUM917482:FUM917559 FUM983018:FUM983095 GEI2:GEI58 GEI65514:GEI65591 GEI131050:GEI131127 GEI196586:GEI196663 GEI262122:GEI262199 GEI327658:GEI327735 GEI393194:GEI393271 GEI458730:GEI458807 GEI524266:GEI524343 GEI589802:GEI589879 GEI655338:GEI655415 GEI720874:GEI720951 GEI786410:GEI786487 GEI851946:GEI852023 GEI917482:GEI917559 GEI983018:GEI983095 GOE2:GOE58 GOE65514:GOE65591 GOE131050:GOE131127 GOE196586:GOE196663 GOE262122:GOE262199 GOE327658:GOE327735 GOE393194:GOE393271 GOE458730:GOE458807 GOE524266:GOE524343 GOE589802:GOE589879 GOE655338:GOE655415 GOE720874:GOE720951 GOE786410:GOE786487 GOE851946:GOE852023 GOE917482:GOE917559 GOE983018:GOE983095 GYA2:GYA58 GYA65514:GYA65591 GYA131050:GYA131127 GYA196586:GYA196663 GYA262122:GYA262199 GYA327658:GYA327735 GYA393194:GYA393271 GYA458730:GYA458807 GYA524266:GYA524343 GYA589802:GYA589879 GYA655338:GYA655415 GYA720874:GYA720951 GYA786410:GYA786487 GYA851946:GYA852023 GYA917482:GYA917559 GYA983018:GYA983095 HHW2:HHW58 HHW65514:HHW65591 HHW131050:HHW131127 HHW196586:HHW196663 HHW262122:HHW262199 HHW327658:HHW327735 HHW393194:HHW393271 HHW458730:HHW458807 HHW524266:HHW524343 HHW589802:HHW589879 HHW655338:HHW655415 HHW720874:HHW720951 HHW786410:HHW786487 HHW851946:HHW852023 HHW917482:HHW917559 HHW983018:HHW983095 HRS2:HRS58 HRS65514:HRS65591 HRS131050:HRS131127 HRS196586:HRS196663 HRS262122:HRS262199 HRS327658:HRS327735 HRS393194:HRS393271 HRS458730:HRS458807 HRS524266:HRS524343 HRS589802:HRS589879 HRS655338:HRS655415 HRS720874:HRS720951 HRS786410:HRS786487 HRS851946:HRS852023 HRS917482:HRS917559 HRS983018:HRS983095 IBO2:IBO58 IBO65514:IBO65591 IBO131050:IBO131127 IBO196586:IBO196663 IBO262122:IBO262199 IBO327658:IBO327735 IBO393194:IBO393271 IBO458730:IBO458807 IBO524266:IBO524343 IBO589802:IBO589879 IBO655338:IBO655415 IBO720874:IBO720951 IBO786410:IBO786487 IBO851946:IBO852023 IBO917482:IBO917559 IBO983018:IBO983095 ILK2:ILK58 ILK65514:ILK65591 ILK131050:ILK131127 ILK196586:ILK196663 ILK262122:ILK262199 ILK327658:ILK327735 ILK393194:ILK393271 ILK458730:ILK458807 ILK524266:ILK524343 ILK589802:ILK589879 ILK655338:ILK655415 ILK720874:ILK720951 ILK786410:ILK786487 ILK851946:ILK852023 ILK917482:ILK917559 ILK983018:ILK983095 IVG2:IVG58 IVG65514:IVG65591 IVG131050:IVG131127 IVG196586:IVG196663 IVG262122:IVG262199 IVG327658:IVG327735 IVG393194:IVG393271 IVG458730:IVG458807 IVG524266:IVG524343 IVG589802:IVG589879 IVG655338:IVG655415 IVG720874:IVG720951 IVG786410:IVG786487 IVG851946:IVG852023 IVG917482:IVG917559 IVG983018:IVG983095 JFC2:JFC58 JFC65514:JFC65591 JFC131050:JFC131127 JFC196586:JFC196663 JFC262122:JFC262199 JFC327658:JFC327735 JFC393194:JFC393271 JFC458730:JFC458807 JFC524266:JFC524343 JFC589802:JFC589879 JFC655338:JFC655415 JFC720874:JFC720951 JFC786410:JFC786487 JFC851946:JFC852023 JFC917482:JFC917559 JFC983018:JFC983095 JOY2:JOY58 JOY65514:JOY65591 JOY131050:JOY131127 JOY196586:JOY196663 JOY262122:JOY262199 JOY327658:JOY327735 JOY393194:JOY393271 JOY458730:JOY458807 JOY524266:JOY524343 JOY589802:JOY589879 JOY655338:JOY655415 JOY720874:JOY720951 JOY786410:JOY786487 JOY851946:JOY852023 JOY917482:JOY917559 JOY983018:JOY983095 JYU2:JYU58 JYU65514:JYU65591 JYU131050:JYU131127 JYU196586:JYU196663 JYU262122:JYU262199 JYU327658:JYU327735 JYU393194:JYU393271 JYU458730:JYU458807 JYU524266:JYU524343 JYU589802:JYU589879 JYU655338:JYU655415 JYU720874:JYU720951 JYU786410:JYU786487 JYU851946:JYU852023 JYU917482:JYU917559 JYU983018:JYU983095 KIQ2:KIQ58 KIQ65514:KIQ65591 KIQ131050:KIQ131127 KIQ196586:KIQ196663 KIQ262122:KIQ262199 KIQ327658:KIQ327735 KIQ393194:KIQ393271 KIQ458730:KIQ458807 KIQ524266:KIQ524343 KIQ589802:KIQ589879 KIQ655338:KIQ655415 KIQ720874:KIQ720951 KIQ786410:KIQ786487 KIQ851946:KIQ852023 KIQ917482:KIQ917559 KIQ983018:KIQ983095 KSM2:KSM58 KSM65514:KSM65591 KSM131050:KSM131127 KSM196586:KSM196663 KSM262122:KSM262199 KSM327658:KSM327735 KSM393194:KSM393271 KSM458730:KSM458807 KSM524266:KSM524343 KSM589802:KSM589879 KSM655338:KSM655415 KSM720874:KSM720951 KSM786410:KSM786487 KSM851946:KSM852023 KSM917482:KSM917559 KSM983018:KSM983095 LCI2:LCI58 LCI65514:LCI65591 LCI131050:LCI131127 LCI196586:LCI196663 LCI262122:LCI262199 LCI327658:LCI327735 LCI393194:LCI393271 LCI458730:LCI458807 LCI524266:LCI524343 LCI589802:LCI589879 LCI655338:LCI655415 LCI720874:LCI720951 LCI786410:LCI786487 LCI851946:LCI852023 LCI917482:LCI917559 LCI983018:LCI983095 LME2:LME58 LME65514:LME65591 LME131050:LME131127 LME196586:LME196663 LME262122:LME262199 LME327658:LME327735 LME393194:LME393271 LME458730:LME458807 LME524266:LME524343 LME589802:LME589879 LME655338:LME655415 LME720874:LME720951 LME786410:LME786487 LME851946:LME852023 LME917482:LME917559 LME983018:LME983095 LWA2:LWA58 LWA65514:LWA65591 LWA131050:LWA131127 LWA196586:LWA196663 LWA262122:LWA262199 LWA327658:LWA327735 LWA393194:LWA393271 LWA458730:LWA458807 LWA524266:LWA524343 LWA589802:LWA589879 LWA655338:LWA655415 LWA720874:LWA720951 LWA786410:LWA786487 LWA851946:LWA852023 LWA917482:LWA917559 LWA983018:LWA983095 MFW2:MFW58 MFW65514:MFW65591 MFW131050:MFW131127 MFW196586:MFW196663 MFW262122:MFW262199 MFW327658:MFW327735 MFW393194:MFW393271 MFW458730:MFW458807 MFW524266:MFW524343 MFW589802:MFW589879 MFW655338:MFW655415 MFW720874:MFW720951 MFW786410:MFW786487 MFW851946:MFW852023 MFW917482:MFW917559 MFW983018:MFW983095 MPS2:MPS58 MPS65514:MPS65591 MPS131050:MPS131127 MPS196586:MPS196663 MPS262122:MPS262199 MPS327658:MPS327735 MPS393194:MPS393271 MPS458730:MPS458807 MPS524266:MPS524343 MPS589802:MPS589879 MPS655338:MPS655415 MPS720874:MPS720951 MPS786410:MPS786487 MPS851946:MPS852023 MPS917482:MPS917559 MPS983018:MPS983095 MZO2:MZO58 MZO65514:MZO65591 MZO131050:MZO131127 MZO196586:MZO196663 MZO262122:MZO262199 MZO327658:MZO327735 MZO393194:MZO393271 MZO458730:MZO458807 MZO524266:MZO524343 MZO589802:MZO589879 MZO655338:MZO655415 MZO720874:MZO720951 MZO786410:MZO786487 MZO851946:MZO852023 MZO917482:MZO917559 MZO983018:MZO983095 NJK2:NJK58 NJK65514:NJK65591 NJK131050:NJK131127 NJK196586:NJK196663 NJK262122:NJK262199 NJK327658:NJK327735 NJK393194:NJK393271 NJK458730:NJK458807 NJK524266:NJK524343 NJK589802:NJK589879 NJK655338:NJK655415 NJK720874:NJK720951 NJK786410:NJK786487 NJK851946:NJK852023 NJK917482:NJK917559 NJK983018:NJK983095 NTG2:NTG58 NTG65514:NTG65591 NTG131050:NTG131127 NTG196586:NTG196663 NTG262122:NTG262199 NTG327658:NTG327735 NTG393194:NTG393271 NTG458730:NTG458807 NTG524266:NTG524343 NTG589802:NTG589879 NTG655338:NTG655415 NTG720874:NTG720951 NTG786410:NTG786487 NTG851946:NTG852023 NTG917482:NTG917559 NTG983018:NTG983095 ODC2:ODC58 ODC65514:ODC65591 ODC131050:ODC131127 ODC196586:ODC196663 ODC262122:ODC262199 ODC327658:ODC327735 ODC393194:ODC393271 ODC458730:ODC458807 ODC524266:ODC524343 ODC589802:ODC589879 ODC655338:ODC655415 ODC720874:ODC720951 ODC786410:ODC786487 ODC851946:ODC852023 ODC917482:ODC917559 ODC983018:ODC983095 OMY2:OMY58 OMY65514:OMY65591 OMY131050:OMY131127 OMY196586:OMY196663 OMY262122:OMY262199 OMY327658:OMY327735 OMY393194:OMY393271 OMY458730:OMY458807 OMY524266:OMY524343 OMY589802:OMY589879 OMY655338:OMY655415 OMY720874:OMY720951 OMY786410:OMY786487 OMY851946:OMY852023 OMY917482:OMY917559 OMY983018:OMY983095 OWU2:OWU58 OWU65514:OWU65591 OWU131050:OWU131127 OWU196586:OWU196663 OWU262122:OWU262199 OWU327658:OWU327735 OWU393194:OWU393271 OWU458730:OWU458807 OWU524266:OWU524343 OWU589802:OWU589879 OWU655338:OWU655415 OWU720874:OWU720951 OWU786410:OWU786487 OWU851946:OWU852023 OWU917482:OWU917559 OWU983018:OWU983095 PGQ2:PGQ58 PGQ65514:PGQ65591 PGQ131050:PGQ131127 PGQ196586:PGQ196663 PGQ262122:PGQ262199 PGQ327658:PGQ327735 PGQ393194:PGQ393271 PGQ458730:PGQ458807 PGQ524266:PGQ524343 PGQ589802:PGQ589879 PGQ655338:PGQ655415 PGQ720874:PGQ720951 PGQ786410:PGQ786487 PGQ851946:PGQ852023 PGQ917482:PGQ917559 PGQ983018:PGQ983095 PQM2:PQM58 PQM65514:PQM65591 PQM131050:PQM131127 PQM196586:PQM196663 PQM262122:PQM262199 PQM327658:PQM327735 PQM393194:PQM393271 PQM458730:PQM458807 PQM524266:PQM524343 PQM589802:PQM589879 PQM655338:PQM655415 PQM720874:PQM720951 PQM786410:PQM786487 PQM851946:PQM852023 PQM917482:PQM917559 PQM983018:PQM983095 QAI2:QAI58 QAI65514:QAI65591 QAI131050:QAI131127 QAI196586:QAI196663 QAI262122:QAI262199 QAI327658:QAI327735 QAI393194:QAI393271 QAI458730:QAI458807 QAI524266:QAI524343 QAI589802:QAI589879 QAI655338:QAI655415 QAI720874:QAI720951 QAI786410:QAI786487 QAI851946:QAI852023 QAI917482:QAI917559 QAI983018:QAI983095 QKE2:QKE58 QKE65514:QKE65591 QKE131050:QKE131127 QKE196586:QKE196663 QKE262122:QKE262199 QKE327658:QKE327735 QKE393194:QKE393271 QKE458730:QKE458807 QKE524266:QKE524343 QKE589802:QKE589879 QKE655338:QKE655415 QKE720874:QKE720951 QKE786410:QKE786487 QKE851946:QKE852023 QKE917482:QKE917559 QKE983018:QKE983095 QUA2:QUA58 QUA65514:QUA65591 QUA131050:QUA131127 QUA196586:QUA196663 QUA262122:QUA262199 QUA327658:QUA327735 QUA393194:QUA393271 QUA458730:QUA458807 QUA524266:QUA524343 QUA589802:QUA589879 QUA655338:QUA655415 QUA720874:QUA720951 QUA786410:QUA786487 QUA851946:QUA852023 QUA917482:QUA917559 QUA983018:QUA983095 RDW2:RDW58 RDW65514:RDW65591 RDW131050:RDW131127 RDW196586:RDW196663 RDW262122:RDW262199 RDW327658:RDW327735 RDW393194:RDW393271 RDW458730:RDW458807 RDW524266:RDW524343 RDW589802:RDW589879 RDW655338:RDW655415 RDW720874:RDW720951 RDW786410:RDW786487 RDW851946:RDW852023 RDW917482:RDW917559 RDW983018:RDW983095 RNS2:RNS58 RNS65514:RNS65591 RNS131050:RNS131127 RNS196586:RNS196663 RNS262122:RNS262199 RNS327658:RNS327735 RNS393194:RNS393271 RNS458730:RNS458807 RNS524266:RNS524343 RNS589802:RNS589879 RNS655338:RNS655415 RNS720874:RNS720951 RNS786410:RNS786487 RNS851946:RNS852023 RNS917482:RNS917559 RNS983018:RNS983095 RXO2:RXO58 RXO65514:RXO65591 RXO131050:RXO131127 RXO196586:RXO196663 RXO262122:RXO262199 RXO327658:RXO327735 RXO393194:RXO393271 RXO458730:RXO458807 RXO524266:RXO524343 RXO589802:RXO589879 RXO655338:RXO655415 RXO720874:RXO720951 RXO786410:RXO786487 RXO851946:RXO852023 RXO917482:RXO917559 RXO983018:RXO983095 SHK2:SHK58 SHK65514:SHK65591 SHK131050:SHK131127 SHK196586:SHK196663 SHK262122:SHK262199 SHK327658:SHK327735 SHK393194:SHK393271 SHK458730:SHK458807 SHK524266:SHK524343 SHK589802:SHK589879 SHK655338:SHK655415 SHK720874:SHK720951 SHK786410:SHK786487 SHK851946:SHK852023 SHK917482:SHK917559 SHK983018:SHK983095 SRG2:SRG58 SRG65514:SRG65591 SRG131050:SRG131127 SRG196586:SRG196663 SRG262122:SRG262199 SRG327658:SRG327735 SRG393194:SRG393271 SRG458730:SRG458807 SRG524266:SRG524343 SRG589802:SRG589879 SRG655338:SRG655415 SRG720874:SRG720951 SRG786410:SRG786487 SRG851946:SRG852023 SRG917482:SRG917559 SRG983018:SRG983095 TBC2:TBC58 TBC65514:TBC65591 TBC131050:TBC131127 TBC196586:TBC196663 TBC262122:TBC262199 TBC327658:TBC327735 TBC393194:TBC393271 TBC458730:TBC458807 TBC524266:TBC524343 TBC589802:TBC589879 TBC655338:TBC655415 TBC720874:TBC720951 TBC786410:TBC786487 TBC851946:TBC852023 TBC917482:TBC917559 TBC983018:TBC983095 TKY2:TKY58 TKY65514:TKY65591 TKY131050:TKY131127 TKY196586:TKY196663 TKY262122:TKY262199 TKY327658:TKY327735 TKY393194:TKY393271 TKY458730:TKY458807 TKY524266:TKY524343 TKY589802:TKY589879 TKY655338:TKY655415 TKY720874:TKY720951 TKY786410:TKY786487 TKY851946:TKY852023 TKY917482:TKY917559 TKY983018:TKY983095 TUU2:TUU58 TUU65514:TUU65591 TUU131050:TUU131127 TUU196586:TUU196663 TUU262122:TUU262199 TUU327658:TUU327735 TUU393194:TUU393271 TUU458730:TUU458807 TUU524266:TUU524343 TUU589802:TUU589879 TUU655338:TUU655415 TUU720874:TUU720951 TUU786410:TUU786487 TUU851946:TUU852023 TUU917482:TUU917559 TUU983018:TUU983095 UEQ2:UEQ58 UEQ65514:UEQ65591 UEQ131050:UEQ131127 UEQ196586:UEQ196663 UEQ262122:UEQ262199 UEQ327658:UEQ327735 UEQ393194:UEQ393271 UEQ458730:UEQ458807 UEQ524266:UEQ524343 UEQ589802:UEQ589879 UEQ655338:UEQ655415 UEQ720874:UEQ720951 UEQ786410:UEQ786487 UEQ851946:UEQ852023 UEQ917482:UEQ917559 UEQ983018:UEQ983095 UOM2:UOM58 UOM65514:UOM65591 UOM131050:UOM131127 UOM196586:UOM196663 UOM262122:UOM262199 UOM327658:UOM327735 UOM393194:UOM393271 UOM458730:UOM458807 UOM524266:UOM524343 UOM589802:UOM589879 UOM655338:UOM655415 UOM720874:UOM720951 UOM786410:UOM786487 UOM851946:UOM852023 UOM917482:UOM917559 UOM983018:UOM983095 UYI2:UYI58 UYI65514:UYI65591 UYI131050:UYI131127 UYI196586:UYI196663 UYI262122:UYI262199 UYI327658:UYI327735 UYI393194:UYI393271 UYI458730:UYI458807 UYI524266:UYI524343 UYI589802:UYI589879 UYI655338:UYI655415 UYI720874:UYI720951 UYI786410:UYI786487 UYI851946:UYI852023 UYI917482:UYI917559 UYI983018:UYI983095 VIE2:VIE58 VIE65514:VIE65591 VIE131050:VIE131127 VIE196586:VIE196663 VIE262122:VIE262199 VIE327658:VIE327735 VIE393194:VIE393271 VIE458730:VIE458807 VIE524266:VIE524343 VIE589802:VIE589879 VIE655338:VIE655415 VIE720874:VIE720951 VIE786410:VIE786487 VIE851946:VIE852023 VIE917482:VIE917559 VIE983018:VIE983095 VSA2:VSA58 VSA65514:VSA65591 VSA131050:VSA131127 VSA196586:VSA196663 VSA262122:VSA262199 VSA327658:VSA327735 VSA393194:VSA393271 VSA458730:VSA458807 VSA524266:VSA524343 VSA589802:VSA589879 VSA655338:VSA655415 VSA720874:VSA720951 VSA786410:VSA786487 VSA851946:VSA852023 VSA917482:VSA917559 VSA983018:VSA983095 WBW2:WBW58 WBW65514:WBW65591 WBW131050:WBW131127 WBW196586:WBW196663 WBW262122:WBW262199 WBW327658:WBW327735 WBW393194:WBW393271 WBW458730:WBW458807 WBW524266:WBW524343 WBW589802:WBW589879 WBW655338:WBW655415 WBW720874:WBW720951 WBW786410:WBW786487 WBW851946:WBW852023 WBW917482:WBW917559 WBW983018:WBW983095 WLS2:WLS58 WLS65514:WLS65591 WLS131050:WLS131127 WLS196586:WLS196663 WLS262122:WLS262199 WLS327658:WLS327735 WLS393194:WLS393271 WLS458730:WLS458807 WLS524266:WLS524343 WLS589802:WLS589879 WLS655338:WLS655415 WLS720874:WLS720951 WLS786410:WLS786487 WLS851946:WLS852023 WLS917482:WLS917559 WLS983018:WLS983095 WVO2:WVO58 WVO65514:WVO65591 WVO131050:WVO131127 WVO196586:WVO196663 WVO262122:WVO262199 WVO327658:WVO327735 WVO393194:WVO393271 WVO458730:WVO458807 WVO524266:WVO524343 WVO589802:WVO589879 WVO655338:WVO655415 WVO720874:WVO720951 WVO786410:WVO786487 WVO851946:WVO852023 WVO917482:WVO917559 WVO983018:WVO983095">
      <formula1>$AJ$2:$AJ$4</formula1>
    </dataValidation>
    <dataValidation type="list" allowBlank="1" showInputMessage="1" showErrorMessage="1" sqref="I2:I476 I65514:I65591 I131050:I131127 I196586:I196663 I262122:I262199 I327658:I327735 I393194:I393271 I458730:I458807 I524266:I524343 I589802:I589879 I655338:I655415 I720874:I720951 I786410:I786487 I851946:I852023 I917482:I917559 I983018:I983095 JE2:JE58 JE65514:JE65591 JE131050:JE131127 JE196586:JE196663 JE262122:JE262199 JE327658:JE327735 JE393194:JE393271 JE458730:JE458807 JE524266:JE524343 JE589802:JE589879 JE655338:JE655415 JE720874:JE720951 JE786410:JE786487 JE851946:JE852023 JE917482:JE917559 JE983018:JE983095 TA2:TA58 TA65514:TA65591 TA131050:TA131127 TA196586:TA196663 TA262122:TA262199 TA327658:TA327735 TA393194:TA393271 TA458730:TA458807 TA524266:TA524343 TA589802:TA589879 TA655338:TA655415 TA720874:TA720951 TA786410:TA786487 TA851946:TA852023 TA917482:TA917559 TA983018:TA983095 ACW2:ACW58 ACW65514:ACW65591 ACW131050:ACW131127 ACW196586:ACW196663 ACW262122:ACW262199 ACW327658:ACW327735 ACW393194:ACW393271 ACW458730:ACW458807 ACW524266:ACW524343 ACW589802:ACW589879 ACW655338:ACW655415 ACW720874:ACW720951 ACW786410:ACW786487 ACW851946:ACW852023 ACW917482:ACW917559 ACW983018:ACW983095 AMS2:AMS58 AMS65514:AMS65591 AMS131050:AMS131127 AMS196586:AMS196663 AMS262122:AMS262199 AMS327658:AMS327735 AMS393194:AMS393271 AMS458730:AMS458807 AMS524266:AMS524343 AMS589802:AMS589879 AMS655338:AMS655415 AMS720874:AMS720951 AMS786410:AMS786487 AMS851946:AMS852023 AMS917482:AMS917559 AMS983018:AMS983095 AWO2:AWO58 AWO65514:AWO65591 AWO131050:AWO131127 AWO196586:AWO196663 AWO262122:AWO262199 AWO327658:AWO327735 AWO393194:AWO393271 AWO458730:AWO458807 AWO524266:AWO524343 AWO589802:AWO589879 AWO655338:AWO655415 AWO720874:AWO720951 AWO786410:AWO786487 AWO851946:AWO852023 AWO917482:AWO917559 AWO983018:AWO983095 BGK2:BGK58 BGK65514:BGK65591 BGK131050:BGK131127 BGK196586:BGK196663 BGK262122:BGK262199 BGK327658:BGK327735 BGK393194:BGK393271 BGK458730:BGK458807 BGK524266:BGK524343 BGK589802:BGK589879 BGK655338:BGK655415 BGK720874:BGK720951 BGK786410:BGK786487 BGK851946:BGK852023 BGK917482:BGK917559 BGK983018:BGK983095 BQG2:BQG58 BQG65514:BQG65591 BQG131050:BQG131127 BQG196586:BQG196663 BQG262122:BQG262199 BQG327658:BQG327735 BQG393194:BQG393271 BQG458730:BQG458807 BQG524266:BQG524343 BQG589802:BQG589879 BQG655338:BQG655415 BQG720874:BQG720951 BQG786410:BQG786487 BQG851946:BQG852023 BQG917482:BQG917559 BQG983018:BQG983095 CAC2:CAC58 CAC65514:CAC65591 CAC131050:CAC131127 CAC196586:CAC196663 CAC262122:CAC262199 CAC327658:CAC327735 CAC393194:CAC393271 CAC458730:CAC458807 CAC524266:CAC524343 CAC589802:CAC589879 CAC655338:CAC655415 CAC720874:CAC720951 CAC786410:CAC786487 CAC851946:CAC852023 CAC917482:CAC917559 CAC983018:CAC983095 CJY2:CJY58 CJY65514:CJY65591 CJY131050:CJY131127 CJY196586:CJY196663 CJY262122:CJY262199 CJY327658:CJY327735 CJY393194:CJY393271 CJY458730:CJY458807 CJY524266:CJY524343 CJY589802:CJY589879 CJY655338:CJY655415 CJY720874:CJY720951 CJY786410:CJY786487 CJY851946:CJY852023 CJY917482:CJY917559 CJY983018:CJY983095 CTU2:CTU58 CTU65514:CTU65591 CTU131050:CTU131127 CTU196586:CTU196663 CTU262122:CTU262199 CTU327658:CTU327735 CTU393194:CTU393271 CTU458730:CTU458807 CTU524266:CTU524343 CTU589802:CTU589879 CTU655338:CTU655415 CTU720874:CTU720951 CTU786410:CTU786487 CTU851946:CTU852023 CTU917482:CTU917559 CTU983018:CTU983095 DDQ2:DDQ58 DDQ65514:DDQ65591 DDQ131050:DDQ131127 DDQ196586:DDQ196663 DDQ262122:DDQ262199 DDQ327658:DDQ327735 DDQ393194:DDQ393271 DDQ458730:DDQ458807 DDQ524266:DDQ524343 DDQ589802:DDQ589879 DDQ655338:DDQ655415 DDQ720874:DDQ720951 DDQ786410:DDQ786487 DDQ851946:DDQ852023 DDQ917482:DDQ917559 DDQ983018:DDQ983095 DNM2:DNM58 DNM65514:DNM65591 DNM131050:DNM131127 DNM196586:DNM196663 DNM262122:DNM262199 DNM327658:DNM327735 DNM393194:DNM393271 DNM458730:DNM458807 DNM524266:DNM524343 DNM589802:DNM589879 DNM655338:DNM655415 DNM720874:DNM720951 DNM786410:DNM786487 DNM851946:DNM852023 DNM917482:DNM917559 DNM983018:DNM983095 DXI2:DXI58 DXI65514:DXI65591 DXI131050:DXI131127 DXI196586:DXI196663 DXI262122:DXI262199 DXI327658:DXI327735 DXI393194:DXI393271 DXI458730:DXI458807 DXI524266:DXI524343 DXI589802:DXI589879 DXI655338:DXI655415 DXI720874:DXI720951 DXI786410:DXI786487 DXI851946:DXI852023 DXI917482:DXI917559 DXI983018:DXI983095 EHE2:EHE58 EHE65514:EHE65591 EHE131050:EHE131127 EHE196586:EHE196663 EHE262122:EHE262199 EHE327658:EHE327735 EHE393194:EHE393271 EHE458730:EHE458807 EHE524266:EHE524343 EHE589802:EHE589879 EHE655338:EHE655415 EHE720874:EHE720951 EHE786410:EHE786487 EHE851946:EHE852023 EHE917482:EHE917559 EHE983018:EHE983095 ERA2:ERA58 ERA65514:ERA65591 ERA131050:ERA131127 ERA196586:ERA196663 ERA262122:ERA262199 ERA327658:ERA327735 ERA393194:ERA393271 ERA458730:ERA458807 ERA524266:ERA524343 ERA589802:ERA589879 ERA655338:ERA655415 ERA720874:ERA720951 ERA786410:ERA786487 ERA851946:ERA852023 ERA917482:ERA917559 ERA983018:ERA983095 FAW2:FAW58 FAW65514:FAW65591 FAW131050:FAW131127 FAW196586:FAW196663 FAW262122:FAW262199 FAW327658:FAW327735 FAW393194:FAW393271 FAW458730:FAW458807 FAW524266:FAW524343 FAW589802:FAW589879 FAW655338:FAW655415 FAW720874:FAW720951 FAW786410:FAW786487 FAW851946:FAW852023 FAW917482:FAW917559 FAW983018:FAW983095 FKS2:FKS58 FKS65514:FKS65591 FKS131050:FKS131127 FKS196586:FKS196663 FKS262122:FKS262199 FKS327658:FKS327735 FKS393194:FKS393271 FKS458730:FKS458807 FKS524266:FKS524343 FKS589802:FKS589879 FKS655338:FKS655415 FKS720874:FKS720951 FKS786410:FKS786487 FKS851946:FKS852023 FKS917482:FKS917559 FKS983018:FKS983095 FUO2:FUO58 FUO65514:FUO65591 FUO131050:FUO131127 FUO196586:FUO196663 FUO262122:FUO262199 FUO327658:FUO327735 FUO393194:FUO393271 FUO458730:FUO458807 FUO524266:FUO524343 FUO589802:FUO589879 FUO655338:FUO655415 FUO720874:FUO720951 FUO786410:FUO786487 FUO851946:FUO852023 FUO917482:FUO917559 FUO983018:FUO983095 GEK2:GEK58 GEK65514:GEK65591 GEK131050:GEK131127 GEK196586:GEK196663 GEK262122:GEK262199 GEK327658:GEK327735 GEK393194:GEK393271 GEK458730:GEK458807 GEK524266:GEK524343 GEK589802:GEK589879 GEK655338:GEK655415 GEK720874:GEK720951 GEK786410:GEK786487 GEK851946:GEK852023 GEK917482:GEK917559 GEK983018:GEK983095 GOG2:GOG58 GOG65514:GOG65591 GOG131050:GOG131127 GOG196586:GOG196663 GOG262122:GOG262199 GOG327658:GOG327735 GOG393194:GOG393271 GOG458730:GOG458807 GOG524266:GOG524343 GOG589802:GOG589879 GOG655338:GOG655415 GOG720874:GOG720951 GOG786410:GOG786487 GOG851946:GOG852023 GOG917482:GOG917559 GOG983018:GOG983095 GYC2:GYC58 GYC65514:GYC65591 GYC131050:GYC131127 GYC196586:GYC196663 GYC262122:GYC262199 GYC327658:GYC327735 GYC393194:GYC393271 GYC458730:GYC458807 GYC524266:GYC524343 GYC589802:GYC589879 GYC655338:GYC655415 GYC720874:GYC720951 GYC786410:GYC786487 GYC851946:GYC852023 GYC917482:GYC917559 GYC983018:GYC983095 HHY2:HHY58 HHY65514:HHY65591 HHY131050:HHY131127 HHY196586:HHY196663 HHY262122:HHY262199 HHY327658:HHY327735 HHY393194:HHY393271 HHY458730:HHY458807 HHY524266:HHY524343 HHY589802:HHY589879 HHY655338:HHY655415 HHY720874:HHY720951 HHY786410:HHY786487 HHY851946:HHY852023 HHY917482:HHY917559 HHY983018:HHY983095 HRU2:HRU58 HRU65514:HRU65591 HRU131050:HRU131127 HRU196586:HRU196663 HRU262122:HRU262199 HRU327658:HRU327735 HRU393194:HRU393271 HRU458730:HRU458807 HRU524266:HRU524343 HRU589802:HRU589879 HRU655338:HRU655415 HRU720874:HRU720951 HRU786410:HRU786487 HRU851946:HRU852023 HRU917482:HRU917559 HRU983018:HRU983095 IBQ2:IBQ58 IBQ65514:IBQ65591 IBQ131050:IBQ131127 IBQ196586:IBQ196663 IBQ262122:IBQ262199 IBQ327658:IBQ327735 IBQ393194:IBQ393271 IBQ458730:IBQ458807 IBQ524266:IBQ524343 IBQ589802:IBQ589879 IBQ655338:IBQ655415 IBQ720874:IBQ720951 IBQ786410:IBQ786487 IBQ851946:IBQ852023 IBQ917482:IBQ917559 IBQ983018:IBQ983095 ILM2:ILM58 ILM65514:ILM65591 ILM131050:ILM131127 ILM196586:ILM196663 ILM262122:ILM262199 ILM327658:ILM327735 ILM393194:ILM393271 ILM458730:ILM458807 ILM524266:ILM524343 ILM589802:ILM589879 ILM655338:ILM655415 ILM720874:ILM720951 ILM786410:ILM786487 ILM851946:ILM852023 ILM917482:ILM917559 ILM983018:ILM983095 IVI2:IVI58 IVI65514:IVI65591 IVI131050:IVI131127 IVI196586:IVI196663 IVI262122:IVI262199 IVI327658:IVI327735 IVI393194:IVI393271 IVI458730:IVI458807 IVI524266:IVI524343 IVI589802:IVI589879 IVI655338:IVI655415 IVI720874:IVI720951 IVI786410:IVI786487 IVI851946:IVI852023 IVI917482:IVI917559 IVI983018:IVI983095 JFE2:JFE58 JFE65514:JFE65591 JFE131050:JFE131127 JFE196586:JFE196663 JFE262122:JFE262199 JFE327658:JFE327735 JFE393194:JFE393271 JFE458730:JFE458807 JFE524266:JFE524343 JFE589802:JFE589879 JFE655338:JFE655415 JFE720874:JFE720951 JFE786410:JFE786487 JFE851946:JFE852023 JFE917482:JFE917559 JFE983018:JFE983095 JPA2:JPA58 JPA65514:JPA65591 JPA131050:JPA131127 JPA196586:JPA196663 JPA262122:JPA262199 JPA327658:JPA327735 JPA393194:JPA393271 JPA458730:JPA458807 JPA524266:JPA524343 JPA589802:JPA589879 JPA655338:JPA655415 JPA720874:JPA720951 JPA786410:JPA786487 JPA851946:JPA852023 JPA917482:JPA917559 JPA983018:JPA983095 JYW2:JYW58 JYW65514:JYW65591 JYW131050:JYW131127 JYW196586:JYW196663 JYW262122:JYW262199 JYW327658:JYW327735 JYW393194:JYW393271 JYW458730:JYW458807 JYW524266:JYW524343 JYW589802:JYW589879 JYW655338:JYW655415 JYW720874:JYW720951 JYW786410:JYW786487 JYW851946:JYW852023 JYW917482:JYW917559 JYW983018:JYW983095 KIS2:KIS58 KIS65514:KIS65591 KIS131050:KIS131127 KIS196586:KIS196663 KIS262122:KIS262199 KIS327658:KIS327735 KIS393194:KIS393271 KIS458730:KIS458807 KIS524266:KIS524343 KIS589802:KIS589879 KIS655338:KIS655415 KIS720874:KIS720951 KIS786410:KIS786487 KIS851946:KIS852023 KIS917482:KIS917559 KIS983018:KIS983095 KSO2:KSO58 KSO65514:KSO65591 KSO131050:KSO131127 KSO196586:KSO196663 KSO262122:KSO262199 KSO327658:KSO327735 KSO393194:KSO393271 KSO458730:KSO458807 KSO524266:KSO524343 KSO589802:KSO589879 KSO655338:KSO655415 KSO720874:KSO720951 KSO786410:KSO786487 KSO851946:KSO852023 KSO917482:KSO917559 KSO983018:KSO983095 LCK2:LCK58 LCK65514:LCK65591 LCK131050:LCK131127 LCK196586:LCK196663 LCK262122:LCK262199 LCK327658:LCK327735 LCK393194:LCK393271 LCK458730:LCK458807 LCK524266:LCK524343 LCK589802:LCK589879 LCK655338:LCK655415 LCK720874:LCK720951 LCK786410:LCK786487 LCK851946:LCK852023 LCK917482:LCK917559 LCK983018:LCK983095 LMG2:LMG58 LMG65514:LMG65591 LMG131050:LMG131127 LMG196586:LMG196663 LMG262122:LMG262199 LMG327658:LMG327735 LMG393194:LMG393271 LMG458730:LMG458807 LMG524266:LMG524343 LMG589802:LMG589879 LMG655338:LMG655415 LMG720874:LMG720951 LMG786410:LMG786487 LMG851946:LMG852023 LMG917482:LMG917559 LMG983018:LMG983095 LWC2:LWC58 LWC65514:LWC65591 LWC131050:LWC131127 LWC196586:LWC196663 LWC262122:LWC262199 LWC327658:LWC327735 LWC393194:LWC393271 LWC458730:LWC458807 LWC524266:LWC524343 LWC589802:LWC589879 LWC655338:LWC655415 LWC720874:LWC720951 LWC786410:LWC786487 LWC851946:LWC852023 LWC917482:LWC917559 LWC983018:LWC983095 MFY2:MFY58 MFY65514:MFY65591 MFY131050:MFY131127 MFY196586:MFY196663 MFY262122:MFY262199 MFY327658:MFY327735 MFY393194:MFY393271 MFY458730:MFY458807 MFY524266:MFY524343 MFY589802:MFY589879 MFY655338:MFY655415 MFY720874:MFY720951 MFY786410:MFY786487 MFY851946:MFY852023 MFY917482:MFY917559 MFY983018:MFY983095 MPU2:MPU58 MPU65514:MPU65591 MPU131050:MPU131127 MPU196586:MPU196663 MPU262122:MPU262199 MPU327658:MPU327735 MPU393194:MPU393271 MPU458730:MPU458807 MPU524266:MPU524343 MPU589802:MPU589879 MPU655338:MPU655415 MPU720874:MPU720951 MPU786410:MPU786487 MPU851946:MPU852023 MPU917482:MPU917559 MPU983018:MPU983095 MZQ2:MZQ58 MZQ65514:MZQ65591 MZQ131050:MZQ131127 MZQ196586:MZQ196663 MZQ262122:MZQ262199 MZQ327658:MZQ327735 MZQ393194:MZQ393271 MZQ458730:MZQ458807 MZQ524266:MZQ524343 MZQ589802:MZQ589879 MZQ655338:MZQ655415 MZQ720874:MZQ720951 MZQ786410:MZQ786487 MZQ851946:MZQ852023 MZQ917482:MZQ917559 MZQ983018:MZQ983095 NJM2:NJM58 NJM65514:NJM65591 NJM131050:NJM131127 NJM196586:NJM196663 NJM262122:NJM262199 NJM327658:NJM327735 NJM393194:NJM393271 NJM458730:NJM458807 NJM524266:NJM524343 NJM589802:NJM589879 NJM655338:NJM655415 NJM720874:NJM720951 NJM786410:NJM786487 NJM851946:NJM852023 NJM917482:NJM917559 NJM983018:NJM983095 NTI2:NTI58 NTI65514:NTI65591 NTI131050:NTI131127 NTI196586:NTI196663 NTI262122:NTI262199 NTI327658:NTI327735 NTI393194:NTI393271 NTI458730:NTI458807 NTI524266:NTI524343 NTI589802:NTI589879 NTI655338:NTI655415 NTI720874:NTI720951 NTI786410:NTI786487 NTI851946:NTI852023 NTI917482:NTI917559 NTI983018:NTI983095 ODE2:ODE58 ODE65514:ODE65591 ODE131050:ODE131127 ODE196586:ODE196663 ODE262122:ODE262199 ODE327658:ODE327735 ODE393194:ODE393271 ODE458730:ODE458807 ODE524266:ODE524343 ODE589802:ODE589879 ODE655338:ODE655415 ODE720874:ODE720951 ODE786410:ODE786487 ODE851946:ODE852023 ODE917482:ODE917559 ODE983018:ODE983095 ONA2:ONA58 ONA65514:ONA65591 ONA131050:ONA131127 ONA196586:ONA196663 ONA262122:ONA262199 ONA327658:ONA327735 ONA393194:ONA393271 ONA458730:ONA458807 ONA524266:ONA524343 ONA589802:ONA589879 ONA655338:ONA655415 ONA720874:ONA720951 ONA786410:ONA786487 ONA851946:ONA852023 ONA917482:ONA917559 ONA983018:ONA983095 OWW2:OWW58 OWW65514:OWW65591 OWW131050:OWW131127 OWW196586:OWW196663 OWW262122:OWW262199 OWW327658:OWW327735 OWW393194:OWW393271 OWW458730:OWW458807 OWW524266:OWW524343 OWW589802:OWW589879 OWW655338:OWW655415 OWW720874:OWW720951 OWW786410:OWW786487 OWW851946:OWW852023 OWW917482:OWW917559 OWW983018:OWW983095 PGS2:PGS58 PGS65514:PGS65591 PGS131050:PGS131127 PGS196586:PGS196663 PGS262122:PGS262199 PGS327658:PGS327735 PGS393194:PGS393271 PGS458730:PGS458807 PGS524266:PGS524343 PGS589802:PGS589879 PGS655338:PGS655415 PGS720874:PGS720951 PGS786410:PGS786487 PGS851946:PGS852023 PGS917482:PGS917559 PGS983018:PGS983095 PQO2:PQO58 PQO65514:PQO65591 PQO131050:PQO131127 PQO196586:PQO196663 PQO262122:PQO262199 PQO327658:PQO327735 PQO393194:PQO393271 PQO458730:PQO458807 PQO524266:PQO524343 PQO589802:PQO589879 PQO655338:PQO655415 PQO720874:PQO720951 PQO786410:PQO786487 PQO851946:PQO852023 PQO917482:PQO917559 PQO983018:PQO983095 QAK2:QAK58 QAK65514:QAK65591 QAK131050:QAK131127 QAK196586:QAK196663 QAK262122:QAK262199 QAK327658:QAK327735 QAK393194:QAK393271 QAK458730:QAK458807 QAK524266:QAK524343 QAK589802:QAK589879 QAK655338:QAK655415 QAK720874:QAK720951 QAK786410:QAK786487 QAK851946:QAK852023 QAK917482:QAK917559 QAK983018:QAK983095 QKG2:QKG58 QKG65514:QKG65591 QKG131050:QKG131127 QKG196586:QKG196663 QKG262122:QKG262199 QKG327658:QKG327735 QKG393194:QKG393271 QKG458730:QKG458807 QKG524266:QKG524343 QKG589802:QKG589879 QKG655338:QKG655415 QKG720874:QKG720951 QKG786410:QKG786487 QKG851946:QKG852023 QKG917482:QKG917559 QKG983018:QKG983095 QUC2:QUC58 QUC65514:QUC65591 QUC131050:QUC131127 QUC196586:QUC196663 QUC262122:QUC262199 QUC327658:QUC327735 QUC393194:QUC393271 QUC458730:QUC458807 QUC524266:QUC524343 QUC589802:QUC589879 QUC655338:QUC655415 QUC720874:QUC720951 QUC786410:QUC786487 QUC851946:QUC852023 QUC917482:QUC917559 QUC983018:QUC983095 RDY2:RDY58 RDY65514:RDY65591 RDY131050:RDY131127 RDY196586:RDY196663 RDY262122:RDY262199 RDY327658:RDY327735 RDY393194:RDY393271 RDY458730:RDY458807 RDY524266:RDY524343 RDY589802:RDY589879 RDY655338:RDY655415 RDY720874:RDY720951 RDY786410:RDY786487 RDY851946:RDY852023 RDY917482:RDY917559 RDY983018:RDY983095 RNU2:RNU58 RNU65514:RNU65591 RNU131050:RNU131127 RNU196586:RNU196663 RNU262122:RNU262199 RNU327658:RNU327735 RNU393194:RNU393271 RNU458730:RNU458807 RNU524266:RNU524343 RNU589802:RNU589879 RNU655338:RNU655415 RNU720874:RNU720951 RNU786410:RNU786487 RNU851946:RNU852023 RNU917482:RNU917559 RNU983018:RNU983095 RXQ2:RXQ58 RXQ65514:RXQ65591 RXQ131050:RXQ131127 RXQ196586:RXQ196663 RXQ262122:RXQ262199 RXQ327658:RXQ327735 RXQ393194:RXQ393271 RXQ458730:RXQ458807 RXQ524266:RXQ524343 RXQ589802:RXQ589879 RXQ655338:RXQ655415 RXQ720874:RXQ720951 RXQ786410:RXQ786487 RXQ851946:RXQ852023 RXQ917482:RXQ917559 RXQ983018:RXQ983095 SHM2:SHM58 SHM65514:SHM65591 SHM131050:SHM131127 SHM196586:SHM196663 SHM262122:SHM262199 SHM327658:SHM327735 SHM393194:SHM393271 SHM458730:SHM458807 SHM524266:SHM524343 SHM589802:SHM589879 SHM655338:SHM655415 SHM720874:SHM720951 SHM786410:SHM786487 SHM851946:SHM852023 SHM917482:SHM917559 SHM983018:SHM983095 SRI2:SRI58 SRI65514:SRI65591 SRI131050:SRI131127 SRI196586:SRI196663 SRI262122:SRI262199 SRI327658:SRI327735 SRI393194:SRI393271 SRI458730:SRI458807 SRI524266:SRI524343 SRI589802:SRI589879 SRI655338:SRI655415 SRI720874:SRI720951 SRI786410:SRI786487 SRI851946:SRI852023 SRI917482:SRI917559 SRI983018:SRI983095 TBE2:TBE58 TBE65514:TBE65591 TBE131050:TBE131127 TBE196586:TBE196663 TBE262122:TBE262199 TBE327658:TBE327735 TBE393194:TBE393271 TBE458730:TBE458807 TBE524266:TBE524343 TBE589802:TBE589879 TBE655338:TBE655415 TBE720874:TBE720951 TBE786410:TBE786487 TBE851946:TBE852023 TBE917482:TBE917559 TBE983018:TBE983095 TLA2:TLA58 TLA65514:TLA65591 TLA131050:TLA131127 TLA196586:TLA196663 TLA262122:TLA262199 TLA327658:TLA327735 TLA393194:TLA393271 TLA458730:TLA458807 TLA524266:TLA524343 TLA589802:TLA589879 TLA655338:TLA655415 TLA720874:TLA720951 TLA786410:TLA786487 TLA851946:TLA852023 TLA917482:TLA917559 TLA983018:TLA983095 TUW2:TUW58 TUW65514:TUW65591 TUW131050:TUW131127 TUW196586:TUW196663 TUW262122:TUW262199 TUW327658:TUW327735 TUW393194:TUW393271 TUW458730:TUW458807 TUW524266:TUW524343 TUW589802:TUW589879 TUW655338:TUW655415 TUW720874:TUW720951 TUW786410:TUW786487 TUW851946:TUW852023 TUW917482:TUW917559 TUW983018:TUW983095 UES2:UES58 UES65514:UES65591 UES131050:UES131127 UES196586:UES196663 UES262122:UES262199 UES327658:UES327735 UES393194:UES393271 UES458730:UES458807 UES524266:UES524343 UES589802:UES589879 UES655338:UES655415 UES720874:UES720951 UES786410:UES786487 UES851946:UES852023 UES917482:UES917559 UES983018:UES983095 UOO2:UOO58 UOO65514:UOO65591 UOO131050:UOO131127 UOO196586:UOO196663 UOO262122:UOO262199 UOO327658:UOO327735 UOO393194:UOO393271 UOO458730:UOO458807 UOO524266:UOO524343 UOO589802:UOO589879 UOO655338:UOO655415 UOO720874:UOO720951 UOO786410:UOO786487 UOO851946:UOO852023 UOO917482:UOO917559 UOO983018:UOO983095 UYK2:UYK58 UYK65514:UYK65591 UYK131050:UYK131127 UYK196586:UYK196663 UYK262122:UYK262199 UYK327658:UYK327735 UYK393194:UYK393271 UYK458730:UYK458807 UYK524266:UYK524343 UYK589802:UYK589879 UYK655338:UYK655415 UYK720874:UYK720951 UYK786410:UYK786487 UYK851946:UYK852023 UYK917482:UYK917559 UYK983018:UYK983095 VIG2:VIG58 VIG65514:VIG65591 VIG131050:VIG131127 VIG196586:VIG196663 VIG262122:VIG262199 VIG327658:VIG327735 VIG393194:VIG393271 VIG458730:VIG458807 VIG524266:VIG524343 VIG589802:VIG589879 VIG655338:VIG655415 VIG720874:VIG720951 VIG786410:VIG786487 VIG851946:VIG852023 VIG917482:VIG917559 VIG983018:VIG983095 VSC2:VSC58 VSC65514:VSC65591 VSC131050:VSC131127 VSC196586:VSC196663 VSC262122:VSC262199 VSC327658:VSC327735 VSC393194:VSC393271 VSC458730:VSC458807 VSC524266:VSC524343 VSC589802:VSC589879 VSC655338:VSC655415 VSC720874:VSC720951 VSC786410:VSC786487 VSC851946:VSC852023 VSC917482:VSC917559 VSC983018:VSC983095 WBY2:WBY58 WBY65514:WBY65591 WBY131050:WBY131127 WBY196586:WBY196663 WBY262122:WBY262199 WBY327658:WBY327735 WBY393194:WBY393271 WBY458730:WBY458807 WBY524266:WBY524343 WBY589802:WBY589879 WBY655338:WBY655415 WBY720874:WBY720951 WBY786410:WBY786487 WBY851946:WBY852023 WBY917482:WBY917559 WBY983018:WBY983095 WLU2:WLU58 WLU65514:WLU65591 WLU131050:WLU131127 WLU196586:WLU196663 WLU262122:WLU262199 WLU327658:WLU327735 WLU393194:WLU393271 WLU458730:WLU458807 WLU524266:WLU524343 WLU589802:WLU589879 WLU655338:WLU655415 WLU720874:WLU720951 WLU786410:WLU786487 WLU851946:WLU852023 WLU917482:WLU917559 WLU983018:WLU983095 WVQ2:WVQ58 WVQ65514:WVQ65591 WVQ131050:WVQ131127 WVQ196586:WVQ196663 WVQ262122:WVQ262199 WVQ327658:WVQ327735 WVQ393194:WVQ393271 WVQ458730:WVQ458807 WVQ524266:WVQ524343 WVQ589802:WVQ589879 WVQ655338:WVQ655415 WVQ720874:WVQ720951 WVQ786410:WVQ786487 WVQ851946:WVQ852023 WVQ917482:WVQ917559 WVQ983018:WVQ983095">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28" zoomScale="80" zoomScaleNormal="80" workbookViewId="0">
      <selection activeCell="N18" sqref="N18"/>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388</v>
      </c>
      <c r="B1" s="202" t="s">
        <v>1</v>
      </c>
      <c r="C1" s="202" t="s">
        <v>2</v>
      </c>
      <c r="D1" s="203" t="s">
        <v>3</v>
      </c>
      <c r="E1" s="203" t="s">
        <v>225</v>
      </c>
      <c r="F1" s="203" t="s">
        <v>5</v>
      </c>
      <c r="G1" s="203" t="s">
        <v>6</v>
      </c>
      <c r="H1" s="203" t="s">
        <v>226</v>
      </c>
      <c r="I1" s="203" t="s">
        <v>8</v>
      </c>
      <c r="J1" s="203" t="s">
        <v>9</v>
      </c>
      <c r="K1" s="203" t="s">
        <v>10</v>
      </c>
      <c r="L1" s="203" t="s">
        <v>11</v>
      </c>
      <c r="M1" s="203" t="s">
        <v>12</v>
      </c>
      <c r="N1" s="203" t="s">
        <v>13</v>
      </c>
      <c r="O1" s="203" t="s">
        <v>14</v>
      </c>
      <c r="P1" s="203" t="s">
        <v>247</v>
      </c>
      <c r="Q1" s="204" t="s">
        <v>16</v>
      </c>
      <c r="R1" s="203" t="s">
        <v>17</v>
      </c>
      <c r="S1" s="203" t="s">
        <v>18</v>
      </c>
      <c r="T1" s="204" t="s">
        <v>19</v>
      </c>
      <c r="U1" s="205" t="s">
        <v>108</v>
      </c>
      <c r="V1" s="206" t="s">
        <v>20</v>
      </c>
      <c r="W1" s="203" t="s">
        <v>21</v>
      </c>
      <c r="X1" s="203" t="s">
        <v>22</v>
      </c>
      <c r="Y1" s="203" t="s">
        <v>23</v>
      </c>
      <c r="Z1" s="203" t="s">
        <v>24</v>
      </c>
      <c r="AA1" s="134" t="s">
        <v>25</v>
      </c>
      <c r="AB1" s="135" t="s">
        <v>26</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249</v>
      </c>
      <c r="AY1" s="214" t="s">
        <v>265</v>
      </c>
      <c r="AZ1" s="214" t="s">
        <v>32</v>
      </c>
      <c r="BA1" s="215" t="s">
        <v>266</v>
      </c>
    </row>
    <row r="2" spans="1:53" s="143" customFormat="1" x14ac:dyDescent="0.15">
      <c r="A2" s="137" t="s">
        <v>61</v>
      </c>
      <c r="B2" s="137" t="s">
        <v>329</v>
      </c>
      <c r="C2" s="137">
        <v>2018</v>
      </c>
      <c r="D2" s="138" t="s">
        <v>389</v>
      </c>
      <c r="E2" s="137" t="s">
        <v>228</v>
      </c>
      <c r="F2" s="137" t="s">
        <v>227</v>
      </c>
      <c r="G2" s="137" t="s">
        <v>42</v>
      </c>
      <c r="H2" s="247" t="s">
        <v>155</v>
      </c>
      <c r="I2" s="247" t="s">
        <v>153</v>
      </c>
      <c r="J2" s="137" t="s">
        <v>38</v>
      </c>
      <c r="K2" s="247" t="s">
        <v>154</v>
      </c>
      <c r="L2" s="247">
        <v>1</v>
      </c>
      <c r="M2" s="247"/>
      <c r="N2" s="247">
        <v>1</v>
      </c>
      <c r="O2" s="247">
        <v>0.6</v>
      </c>
      <c r="P2" s="247">
        <v>0.5</v>
      </c>
      <c r="Q2" s="139">
        <f t="shared" ref="Q2:Q65" si="0">IF(OR(O2="",P2=""),"",AVERAGE(O2,P2))</f>
        <v>0.55000000000000004</v>
      </c>
      <c r="R2" s="247">
        <v>17.2</v>
      </c>
      <c r="S2" s="247">
        <v>131</v>
      </c>
      <c r="T2" s="140">
        <f t="shared" ref="T2:T65" si="1">IF(H2="","",IF(OR(H2="GREEN",H2="GK"),IF(S2&gt;=$AX$2,VLOOKUP(S2,$AX$2:$AY$15,2,1),""),IF(S2&gt;=$AZ$2,VLOOKUP(S2,$AZ$2:$BA$15,2,1),"")))</f>
        <v>25</v>
      </c>
      <c r="U2" s="247">
        <v>148</v>
      </c>
      <c r="V2" s="141">
        <f t="shared" ref="V2:V65" si="2">IF(OR(N2="",U2="",T2=""),"",U2/N2*T2)</f>
        <v>3700</v>
      </c>
      <c r="W2" s="247">
        <v>2</v>
      </c>
      <c r="X2" s="137" t="s">
        <v>39</v>
      </c>
      <c r="Y2" s="247" t="s">
        <v>102</v>
      </c>
      <c r="Z2" s="247" t="s">
        <v>90</v>
      </c>
      <c r="AA2" s="247" t="s">
        <v>78</v>
      </c>
      <c r="AB2" s="137" t="s">
        <v>390</v>
      </c>
      <c r="AC2" s="142"/>
      <c r="AE2" s="218" t="s">
        <v>35</v>
      </c>
      <c r="AG2" s="49" t="s">
        <v>228</v>
      </c>
      <c r="AH2" s="49" t="s">
        <v>227</v>
      </c>
      <c r="AJ2" s="144" t="s">
        <v>36</v>
      </c>
      <c r="AL2" s="219" t="s">
        <v>127</v>
      </c>
      <c r="AN2" s="144" t="s">
        <v>37</v>
      </c>
      <c r="AP2" s="219" t="s">
        <v>38</v>
      </c>
      <c r="AR2" s="219" t="s">
        <v>391</v>
      </c>
      <c r="AT2" s="144" t="s">
        <v>39</v>
      </c>
      <c r="AV2" s="219" t="s">
        <v>40</v>
      </c>
      <c r="AX2" s="145">
        <v>1</v>
      </c>
      <c r="AY2" s="146">
        <v>50</v>
      </c>
      <c r="AZ2" s="146">
        <v>1</v>
      </c>
      <c r="BA2" s="147">
        <v>50</v>
      </c>
    </row>
    <row r="3" spans="1:53" x14ac:dyDescent="0.15">
      <c r="A3" s="137" t="s">
        <v>61</v>
      </c>
      <c r="B3" s="137" t="s">
        <v>392</v>
      </c>
      <c r="C3" s="137">
        <v>2018</v>
      </c>
      <c r="D3" s="138" t="s">
        <v>393</v>
      </c>
      <c r="E3" s="137" t="s">
        <v>228</v>
      </c>
      <c r="F3" s="137" t="s">
        <v>227</v>
      </c>
      <c r="G3" s="137" t="s">
        <v>42</v>
      </c>
      <c r="H3" s="247" t="s">
        <v>155</v>
      </c>
      <c r="I3" s="247" t="s">
        <v>153</v>
      </c>
      <c r="J3" s="137" t="s">
        <v>38</v>
      </c>
      <c r="K3" s="247" t="s">
        <v>154</v>
      </c>
      <c r="L3" s="247">
        <v>2</v>
      </c>
      <c r="M3" s="247"/>
      <c r="N3" s="247">
        <v>1</v>
      </c>
      <c r="O3" s="247">
        <v>0.6</v>
      </c>
      <c r="P3" s="247">
        <v>0.6</v>
      </c>
      <c r="Q3" s="139">
        <f t="shared" si="0"/>
        <v>0.6</v>
      </c>
      <c r="R3" s="247">
        <v>17.2</v>
      </c>
      <c r="S3" s="247">
        <v>136</v>
      </c>
      <c r="T3" s="140">
        <f t="shared" si="1"/>
        <v>25</v>
      </c>
      <c r="U3" s="247">
        <v>148</v>
      </c>
      <c r="V3" s="141">
        <f t="shared" si="2"/>
        <v>3700</v>
      </c>
      <c r="W3" s="247">
        <v>2</v>
      </c>
      <c r="X3" s="137" t="s">
        <v>39</v>
      </c>
      <c r="Y3" s="247" t="s">
        <v>102</v>
      </c>
      <c r="Z3" s="247" t="s">
        <v>90</v>
      </c>
      <c r="AA3" s="247" t="s">
        <v>78</v>
      </c>
      <c r="AB3" s="137" t="s">
        <v>390</v>
      </c>
      <c r="AC3" s="142"/>
      <c r="AE3" s="223" t="s">
        <v>41</v>
      </c>
      <c r="AG3" s="49" t="s">
        <v>229</v>
      </c>
      <c r="AH3" s="49" t="s">
        <v>230</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392</v>
      </c>
      <c r="C4" s="137">
        <v>2018</v>
      </c>
      <c r="D4" s="138" t="s">
        <v>393</v>
      </c>
      <c r="E4" s="137" t="s">
        <v>228</v>
      </c>
      <c r="F4" s="137" t="s">
        <v>227</v>
      </c>
      <c r="G4" s="137" t="s">
        <v>42</v>
      </c>
      <c r="H4" s="247" t="s">
        <v>155</v>
      </c>
      <c r="I4" s="247" t="s">
        <v>153</v>
      </c>
      <c r="J4" s="137" t="s">
        <v>38</v>
      </c>
      <c r="K4" s="247" t="s">
        <v>154</v>
      </c>
      <c r="L4" s="247">
        <v>3</v>
      </c>
      <c r="M4" s="247"/>
      <c r="N4" s="247">
        <v>1</v>
      </c>
      <c r="O4" s="247">
        <v>0.65</v>
      </c>
      <c r="P4" s="247">
        <v>0.65</v>
      </c>
      <c r="Q4" s="139">
        <f t="shared" si="0"/>
        <v>0.65</v>
      </c>
      <c r="R4" s="247">
        <v>17.5</v>
      </c>
      <c r="S4" s="247">
        <v>131</v>
      </c>
      <c r="T4" s="140">
        <f t="shared" si="1"/>
        <v>25</v>
      </c>
      <c r="U4" s="247">
        <v>148</v>
      </c>
      <c r="V4" s="141">
        <f t="shared" si="2"/>
        <v>3700</v>
      </c>
      <c r="W4" s="247">
        <v>2</v>
      </c>
      <c r="X4" s="137" t="s">
        <v>39</v>
      </c>
      <c r="Y4" s="247" t="s">
        <v>102</v>
      </c>
      <c r="Z4" s="247" t="s">
        <v>90</v>
      </c>
      <c r="AA4" s="247" t="s">
        <v>78</v>
      </c>
      <c r="AB4" s="137" t="s">
        <v>390</v>
      </c>
      <c r="AC4" s="142"/>
      <c r="AE4" s="223" t="s">
        <v>34</v>
      </c>
      <c r="AG4" s="49" t="s">
        <v>231</v>
      </c>
      <c r="AH4" s="49" t="s">
        <v>232</v>
      </c>
      <c r="AJ4" s="228" t="s">
        <v>48</v>
      </c>
      <c r="AL4" s="228" t="s">
        <v>129</v>
      </c>
      <c r="AN4" s="229" t="s">
        <v>49</v>
      </c>
      <c r="AP4" s="224" t="s">
        <v>394</v>
      </c>
      <c r="AR4" s="238" t="s">
        <v>395</v>
      </c>
      <c r="AT4" s="229"/>
      <c r="AV4" s="238" t="s">
        <v>50</v>
      </c>
      <c r="AX4" s="225">
        <v>75</v>
      </c>
      <c r="AY4" s="226">
        <v>42</v>
      </c>
      <c r="AZ4" s="226">
        <v>76</v>
      </c>
      <c r="BA4" s="227">
        <v>39</v>
      </c>
    </row>
    <row r="5" spans="1:53" x14ac:dyDescent="0.15">
      <c r="A5" s="137" t="s">
        <v>61</v>
      </c>
      <c r="B5" s="137" t="s">
        <v>392</v>
      </c>
      <c r="C5" s="137">
        <v>2018</v>
      </c>
      <c r="D5" s="138" t="s">
        <v>393</v>
      </c>
      <c r="E5" s="137" t="s">
        <v>228</v>
      </c>
      <c r="F5" s="137" t="s">
        <v>227</v>
      </c>
      <c r="G5" s="137" t="s">
        <v>42</v>
      </c>
      <c r="H5" s="247" t="s">
        <v>157</v>
      </c>
      <c r="I5" s="247" t="s">
        <v>153</v>
      </c>
      <c r="J5" s="137" t="s">
        <v>38</v>
      </c>
      <c r="K5" s="247" t="s">
        <v>154</v>
      </c>
      <c r="L5" s="247">
        <v>1</v>
      </c>
      <c r="M5" s="247"/>
      <c r="N5" s="247">
        <v>1</v>
      </c>
      <c r="O5" s="247">
        <v>0.55000000000000004</v>
      </c>
      <c r="P5" s="247">
        <v>0.5</v>
      </c>
      <c r="Q5" s="139">
        <f t="shared" si="0"/>
        <v>0.52500000000000002</v>
      </c>
      <c r="R5" s="247">
        <v>17.3</v>
      </c>
      <c r="S5" s="247">
        <v>128</v>
      </c>
      <c r="T5" s="140">
        <f t="shared" si="1"/>
        <v>27</v>
      </c>
      <c r="U5" s="247">
        <v>166</v>
      </c>
      <c r="V5" s="141">
        <f t="shared" si="2"/>
        <v>4482</v>
      </c>
      <c r="W5" s="247">
        <v>2</v>
      </c>
      <c r="X5" s="137" t="s">
        <v>39</v>
      </c>
      <c r="Y5" s="247" t="s">
        <v>102</v>
      </c>
      <c r="Z5" s="247" t="s">
        <v>90</v>
      </c>
      <c r="AA5" s="247" t="s">
        <v>78</v>
      </c>
      <c r="AB5" s="137" t="s">
        <v>390</v>
      </c>
      <c r="AC5" s="142"/>
      <c r="AE5" s="223" t="s">
        <v>51</v>
      </c>
      <c r="AG5" s="49" t="s">
        <v>233</v>
      </c>
      <c r="AH5" s="49" t="s">
        <v>234</v>
      </c>
      <c r="AJ5" s="228"/>
      <c r="AL5" s="230" t="s">
        <v>396</v>
      </c>
      <c r="AN5" s="230" t="s">
        <v>397</v>
      </c>
      <c r="AP5" s="224" t="s">
        <v>398</v>
      </c>
      <c r="AR5" s="238" t="s">
        <v>54</v>
      </c>
      <c r="AT5" s="247"/>
      <c r="AV5" s="238" t="s">
        <v>55</v>
      </c>
      <c r="AX5" s="225">
        <v>84</v>
      </c>
      <c r="AY5" s="226">
        <v>39</v>
      </c>
      <c r="AZ5" s="226">
        <v>84</v>
      </c>
      <c r="BA5" s="227">
        <v>36</v>
      </c>
    </row>
    <row r="6" spans="1:53" x14ac:dyDescent="0.15">
      <c r="A6" s="137" t="s">
        <v>61</v>
      </c>
      <c r="B6" s="137" t="s">
        <v>392</v>
      </c>
      <c r="C6" s="137">
        <v>2018</v>
      </c>
      <c r="D6" s="138" t="s">
        <v>393</v>
      </c>
      <c r="E6" s="137" t="s">
        <v>228</v>
      </c>
      <c r="F6" s="137" t="s">
        <v>227</v>
      </c>
      <c r="G6" s="137" t="s">
        <v>42</v>
      </c>
      <c r="H6" s="247" t="s">
        <v>157</v>
      </c>
      <c r="I6" s="247" t="s">
        <v>153</v>
      </c>
      <c r="J6" s="137" t="s">
        <v>38</v>
      </c>
      <c r="K6" s="247" t="s">
        <v>154</v>
      </c>
      <c r="L6" s="247">
        <v>2</v>
      </c>
      <c r="M6" s="247"/>
      <c r="N6" s="247">
        <v>1</v>
      </c>
      <c r="O6" s="247">
        <v>0.5</v>
      </c>
      <c r="P6" s="247">
        <v>0.55000000000000004</v>
      </c>
      <c r="Q6" s="139">
        <f t="shared" si="0"/>
        <v>0.52500000000000002</v>
      </c>
      <c r="R6" s="247">
        <v>17.3</v>
      </c>
      <c r="S6" s="247">
        <v>131</v>
      </c>
      <c r="T6" s="140">
        <f t="shared" si="1"/>
        <v>25</v>
      </c>
      <c r="U6" s="247">
        <v>166</v>
      </c>
      <c r="V6" s="141">
        <f t="shared" si="2"/>
        <v>4150</v>
      </c>
      <c r="W6" s="247">
        <v>2</v>
      </c>
      <c r="X6" s="137" t="s">
        <v>39</v>
      </c>
      <c r="Y6" s="247" t="s">
        <v>102</v>
      </c>
      <c r="Z6" s="247" t="s">
        <v>90</v>
      </c>
      <c r="AA6" s="247" t="s">
        <v>78</v>
      </c>
      <c r="AB6" s="137" t="s">
        <v>390</v>
      </c>
      <c r="AC6" s="142"/>
      <c r="AE6" s="223" t="s">
        <v>56</v>
      </c>
      <c r="AG6" s="49" t="s">
        <v>235</v>
      </c>
      <c r="AH6" s="49" t="s">
        <v>236</v>
      </c>
      <c r="AJ6" s="228"/>
      <c r="AL6" s="230" t="s">
        <v>399</v>
      </c>
      <c r="AN6" s="230" t="s">
        <v>400</v>
      </c>
      <c r="AP6" s="224" t="s">
        <v>53</v>
      </c>
      <c r="AR6" s="238" t="s">
        <v>59</v>
      </c>
      <c r="AT6" s="247"/>
      <c r="AV6" s="238" t="s">
        <v>60</v>
      </c>
      <c r="AX6" s="225">
        <v>97</v>
      </c>
      <c r="AY6" s="226">
        <v>36</v>
      </c>
      <c r="AZ6" s="226">
        <v>99</v>
      </c>
      <c r="BA6" s="227">
        <v>33</v>
      </c>
    </row>
    <row r="7" spans="1:53" x14ac:dyDescent="0.15">
      <c r="A7" s="137" t="s">
        <v>61</v>
      </c>
      <c r="B7" s="137" t="s">
        <v>392</v>
      </c>
      <c r="C7" s="137">
        <v>2018</v>
      </c>
      <c r="D7" s="138" t="s">
        <v>393</v>
      </c>
      <c r="E7" s="137" t="s">
        <v>228</v>
      </c>
      <c r="F7" s="137" t="s">
        <v>227</v>
      </c>
      <c r="G7" s="137" t="s">
        <v>42</v>
      </c>
      <c r="H7" s="247" t="s">
        <v>157</v>
      </c>
      <c r="I7" s="247" t="s">
        <v>153</v>
      </c>
      <c r="J7" s="137" t="s">
        <v>38</v>
      </c>
      <c r="K7" s="247" t="s">
        <v>154</v>
      </c>
      <c r="L7" s="247">
        <v>3</v>
      </c>
      <c r="M7" s="247"/>
      <c r="N7" s="247">
        <v>1</v>
      </c>
      <c r="O7" s="247">
        <v>0.5</v>
      </c>
      <c r="P7" s="247">
        <v>0.55000000000000004</v>
      </c>
      <c r="Q7" s="139">
        <f t="shared" si="0"/>
        <v>0.52500000000000002</v>
      </c>
      <c r="R7" s="247">
        <v>17.100000000000001</v>
      </c>
      <c r="S7" s="247">
        <v>126</v>
      </c>
      <c r="T7" s="140">
        <f t="shared" si="1"/>
        <v>27</v>
      </c>
      <c r="U7" s="247">
        <v>166</v>
      </c>
      <c r="V7" s="141">
        <f t="shared" si="2"/>
        <v>4482</v>
      </c>
      <c r="W7" s="247">
        <v>2</v>
      </c>
      <c r="X7" s="137" t="s">
        <v>39</v>
      </c>
      <c r="Y7" s="247" t="s">
        <v>102</v>
      </c>
      <c r="Z7" s="247" t="s">
        <v>90</v>
      </c>
      <c r="AA7" s="247" t="s">
        <v>78</v>
      </c>
      <c r="AB7" s="137" t="s">
        <v>390</v>
      </c>
      <c r="AC7" s="142"/>
      <c r="AE7" s="223" t="s">
        <v>61</v>
      </c>
      <c r="AG7" s="49" t="s">
        <v>238</v>
      </c>
      <c r="AH7" s="49" t="s">
        <v>239</v>
      </c>
      <c r="AJ7" s="228"/>
      <c r="AL7" s="235" t="s">
        <v>401</v>
      </c>
      <c r="AN7" s="148"/>
      <c r="AP7" s="224" t="s">
        <v>58</v>
      </c>
      <c r="AR7" s="231" t="s">
        <v>122</v>
      </c>
      <c r="AT7" s="247"/>
      <c r="AV7" s="238" t="s">
        <v>64</v>
      </c>
      <c r="AX7" s="225">
        <v>109</v>
      </c>
      <c r="AY7" s="226">
        <v>33</v>
      </c>
      <c r="AZ7" s="226">
        <v>113</v>
      </c>
      <c r="BA7" s="227">
        <v>30</v>
      </c>
    </row>
    <row r="8" spans="1:53" x14ac:dyDescent="0.15">
      <c r="A8" s="137" t="s">
        <v>61</v>
      </c>
      <c r="B8" s="137" t="s">
        <v>347</v>
      </c>
      <c r="C8" s="137">
        <v>2018</v>
      </c>
      <c r="D8" s="138" t="s">
        <v>402</v>
      </c>
      <c r="E8" s="137" t="s">
        <v>229</v>
      </c>
      <c r="F8" s="137" t="s">
        <v>230</v>
      </c>
      <c r="G8" s="137" t="s">
        <v>42</v>
      </c>
      <c r="H8" s="247" t="s">
        <v>155</v>
      </c>
      <c r="I8" s="247" t="s">
        <v>153</v>
      </c>
      <c r="J8" s="137" t="s">
        <v>38</v>
      </c>
      <c r="K8" s="247" t="s">
        <v>154</v>
      </c>
      <c r="L8" s="247">
        <v>1</v>
      </c>
      <c r="M8" s="247"/>
      <c r="N8" s="247">
        <v>4</v>
      </c>
      <c r="O8" s="247">
        <v>0.6</v>
      </c>
      <c r="P8" s="247">
        <v>0.6</v>
      </c>
      <c r="Q8" s="139">
        <f t="shared" si="0"/>
        <v>0.6</v>
      </c>
      <c r="R8" s="247">
        <v>17.3</v>
      </c>
      <c r="S8" s="247">
        <v>93</v>
      </c>
      <c r="T8" s="140">
        <f t="shared" si="1"/>
        <v>36</v>
      </c>
      <c r="U8" s="247">
        <v>398</v>
      </c>
      <c r="V8" s="141">
        <f t="shared" si="2"/>
        <v>3582</v>
      </c>
      <c r="W8" s="247">
        <v>6</v>
      </c>
      <c r="X8" s="137" t="s">
        <v>46</v>
      </c>
      <c r="Y8" s="247" t="s">
        <v>90</v>
      </c>
      <c r="Z8" s="247" t="s">
        <v>78</v>
      </c>
      <c r="AA8" s="247" t="s">
        <v>69</v>
      </c>
      <c r="AB8" s="137" t="s">
        <v>403</v>
      </c>
      <c r="AC8" s="142"/>
      <c r="AE8" s="223" t="s">
        <v>59</v>
      </c>
      <c r="AG8" s="49" t="s">
        <v>240</v>
      </c>
      <c r="AH8" s="49" t="s">
        <v>241</v>
      </c>
      <c r="AJ8" s="229"/>
      <c r="AL8" s="142" t="s">
        <v>350</v>
      </c>
      <c r="AN8" s="230"/>
      <c r="AP8" s="224" t="s">
        <v>62</v>
      </c>
      <c r="AR8" s="238" t="s">
        <v>81</v>
      </c>
      <c r="AT8" s="247"/>
      <c r="AV8" s="238" t="s">
        <v>97</v>
      </c>
      <c r="AX8" s="225">
        <v>119</v>
      </c>
      <c r="AY8" s="226">
        <v>30</v>
      </c>
      <c r="AZ8" s="226">
        <v>121</v>
      </c>
      <c r="BA8" s="227">
        <v>27</v>
      </c>
    </row>
    <row r="9" spans="1:53" x14ac:dyDescent="0.15">
      <c r="A9" s="137" t="s">
        <v>61</v>
      </c>
      <c r="B9" s="137" t="s">
        <v>347</v>
      </c>
      <c r="C9" s="137">
        <v>2018</v>
      </c>
      <c r="D9" s="138" t="s">
        <v>402</v>
      </c>
      <c r="E9" s="137" t="s">
        <v>229</v>
      </c>
      <c r="F9" s="137" t="s">
        <v>230</v>
      </c>
      <c r="G9" s="137" t="s">
        <v>42</v>
      </c>
      <c r="H9" s="247" t="s">
        <v>155</v>
      </c>
      <c r="I9" s="247" t="s">
        <v>153</v>
      </c>
      <c r="J9" s="137" t="s">
        <v>38</v>
      </c>
      <c r="K9" s="247" t="s">
        <v>154</v>
      </c>
      <c r="L9" s="247">
        <v>2</v>
      </c>
      <c r="M9" s="247"/>
      <c r="N9" s="247">
        <v>4</v>
      </c>
      <c r="O9" s="247">
        <v>0.6</v>
      </c>
      <c r="P9" s="247">
        <v>0.65</v>
      </c>
      <c r="Q9" s="139">
        <f t="shared" si="0"/>
        <v>0.625</v>
      </c>
      <c r="R9" s="247">
        <v>17.100000000000001</v>
      </c>
      <c r="S9" s="247">
        <v>103</v>
      </c>
      <c r="T9" s="140">
        <f t="shared" si="1"/>
        <v>33</v>
      </c>
      <c r="U9" s="247">
        <v>398</v>
      </c>
      <c r="V9" s="141">
        <f t="shared" si="2"/>
        <v>3283.5</v>
      </c>
      <c r="W9" s="247">
        <v>6</v>
      </c>
      <c r="X9" s="137" t="s">
        <v>46</v>
      </c>
      <c r="Y9" s="247" t="s">
        <v>90</v>
      </c>
      <c r="Z9" s="247" t="s">
        <v>78</v>
      </c>
      <c r="AA9" s="247" t="s">
        <v>69</v>
      </c>
      <c r="AB9" s="137" t="s">
        <v>403</v>
      </c>
      <c r="AC9" s="142"/>
      <c r="AE9" s="223" t="s">
        <v>98</v>
      </c>
      <c r="AG9" s="49" t="s">
        <v>133</v>
      </c>
      <c r="AH9" s="49" t="s">
        <v>242</v>
      </c>
      <c r="AJ9" s="247"/>
      <c r="AL9" s="230"/>
      <c r="AN9" s="230"/>
      <c r="AP9" s="224" t="s">
        <v>95</v>
      </c>
      <c r="AR9" s="231" t="s">
        <v>89</v>
      </c>
      <c r="AT9" s="247"/>
      <c r="AV9" s="238" t="s">
        <v>102</v>
      </c>
      <c r="AX9" s="225">
        <v>128</v>
      </c>
      <c r="AY9" s="226">
        <v>27</v>
      </c>
      <c r="AZ9" s="226">
        <v>129</v>
      </c>
      <c r="BA9" s="227">
        <v>25</v>
      </c>
    </row>
    <row r="10" spans="1:53" x14ac:dyDescent="0.15">
      <c r="A10" s="137" t="s">
        <v>61</v>
      </c>
      <c r="B10" s="137" t="s">
        <v>351</v>
      </c>
      <c r="C10" s="137">
        <v>2018</v>
      </c>
      <c r="D10" s="138" t="s">
        <v>404</v>
      </c>
      <c r="E10" s="137" t="s">
        <v>229</v>
      </c>
      <c r="F10" s="137" t="s">
        <v>230</v>
      </c>
      <c r="G10" s="137" t="s">
        <v>42</v>
      </c>
      <c r="H10" s="247" t="s">
        <v>155</v>
      </c>
      <c r="I10" s="247" t="s">
        <v>153</v>
      </c>
      <c r="J10" s="137" t="s">
        <v>38</v>
      </c>
      <c r="K10" s="247" t="s">
        <v>154</v>
      </c>
      <c r="L10" s="247">
        <v>3</v>
      </c>
      <c r="M10" s="247"/>
      <c r="N10" s="247">
        <v>4</v>
      </c>
      <c r="O10" s="247">
        <v>0.65</v>
      </c>
      <c r="P10" s="247">
        <v>0.6</v>
      </c>
      <c r="Q10" s="139">
        <f t="shared" si="0"/>
        <v>0.625</v>
      </c>
      <c r="R10" s="247">
        <v>17</v>
      </c>
      <c r="S10" s="247">
        <v>111</v>
      </c>
      <c r="T10" s="140">
        <f t="shared" si="1"/>
        <v>33</v>
      </c>
      <c r="U10" s="247">
        <v>398</v>
      </c>
      <c r="V10" s="141">
        <f t="shared" si="2"/>
        <v>3283.5</v>
      </c>
      <c r="W10" s="247">
        <v>6</v>
      </c>
      <c r="X10" s="137" t="s">
        <v>46</v>
      </c>
      <c r="Y10" s="247" t="s">
        <v>90</v>
      </c>
      <c r="Z10" s="247" t="s">
        <v>78</v>
      </c>
      <c r="AA10" s="247" t="s">
        <v>69</v>
      </c>
      <c r="AB10" s="137" t="s">
        <v>405</v>
      </c>
      <c r="AC10" s="142"/>
      <c r="AE10" s="223" t="s">
        <v>103</v>
      </c>
      <c r="AG10" s="49" t="s">
        <v>243</v>
      </c>
      <c r="AH10" s="49" t="s">
        <v>244</v>
      </c>
      <c r="AJ10" s="247"/>
      <c r="AL10" s="228"/>
      <c r="AN10" s="247"/>
      <c r="AP10" s="224" t="s">
        <v>100</v>
      </c>
      <c r="AR10" s="231" t="s">
        <v>123</v>
      </c>
      <c r="AT10" s="247"/>
      <c r="AV10" s="238" t="s">
        <v>106</v>
      </c>
      <c r="AX10" s="225">
        <v>138</v>
      </c>
      <c r="AY10" s="226">
        <v>25</v>
      </c>
      <c r="AZ10" s="226">
        <v>138</v>
      </c>
      <c r="BA10" s="227">
        <v>22</v>
      </c>
    </row>
    <row r="11" spans="1:53" x14ac:dyDescent="0.15">
      <c r="A11" s="137" t="s">
        <v>61</v>
      </c>
      <c r="B11" s="137" t="s">
        <v>351</v>
      </c>
      <c r="C11" s="137">
        <v>2018</v>
      </c>
      <c r="D11" s="138" t="s">
        <v>404</v>
      </c>
      <c r="E11" s="137" t="s">
        <v>229</v>
      </c>
      <c r="F11" s="137" t="s">
        <v>230</v>
      </c>
      <c r="G11" s="137" t="s">
        <v>42</v>
      </c>
      <c r="H11" s="247" t="s">
        <v>157</v>
      </c>
      <c r="I11" s="247" t="s">
        <v>153</v>
      </c>
      <c r="J11" s="137" t="s">
        <v>38</v>
      </c>
      <c r="K11" s="247" t="s">
        <v>154</v>
      </c>
      <c r="L11" s="247">
        <v>1</v>
      </c>
      <c r="M11" s="247"/>
      <c r="N11" s="247">
        <v>4</v>
      </c>
      <c r="O11" s="247">
        <v>0.5</v>
      </c>
      <c r="P11" s="247">
        <v>0.5</v>
      </c>
      <c r="Q11" s="139">
        <f t="shared" si="0"/>
        <v>0.5</v>
      </c>
      <c r="R11" s="247">
        <v>17.5</v>
      </c>
      <c r="S11" s="247">
        <v>108</v>
      </c>
      <c r="T11" s="140">
        <f t="shared" si="1"/>
        <v>33</v>
      </c>
      <c r="U11" s="247">
        <v>498</v>
      </c>
      <c r="V11" s="141">
        <f t="shared" si="2"/>
        <v>4108.5</v>
      </c>
      <c r="W11" s="247">
        <v>6</v>
      </c>
      <c r="X11" s="137" t="s">
        <v>46</v>
      </c>
      <c r="Y11" s="247" t="s">
        <v>90</v>
      </c>
      <c r="Z11" s="247" t="s">
        <v>78</v>
      </c>
      <c r="AA11" s="247" t="s">
        <v>69</v>
      </c>
      <c r="AB11" s="137" t="s">
        <v>405</v>
      </c>
      <c r="AC11" s="142"/>
      <c r="AE11" s="223" t="s">
        <v>65</v>
      </c>
      <c r="AG11" s="49" t="s">
        <v>245</v>
      </c>
      <c r="AH11" s="49" t="s">
        <v>244</v>
      </c>
      <c r="AJ11" s="247"/>
      <c r="AL11" s="149"/>
      <c r="AN11" s="247"/>
      <c r="AP11" s="224" t="s">
        <v>104</v>
      </c>
      <c r="AR11" s="231" t="s">
        <v>87</v>
      </c>
      <c r="AV11" s="150" t="s">
        <v>406</v>
      </c>
      <c r="AX11" s="225">
        <v>151</v>
      </c>
      <c r="AY11" s="226">
        <v>22</v>
      </c>
      <c r="AZ11" s="226">
        <v>152</v>
      </c>
      <c r="BA11" s="227">
        <v>18</v>
      </c>
    </row>
    <row r="12" spans="1:53" x14ac:dyDescent="0.15">
      <c r="A12" s="137" t="s">
        <v>61</v>
      </c>
      <c r="B12" s="137" t="s">
        <v>358</v>
      </c>
      <c r="C12" s="137">
        <v>2018</v>
      </c>
      <c r="D12" s="138" t="s">
        <v>407</v>
      </c>
      <c r="E12" s="137" t="s">
        <v>229</v>
      </c>
      <c r="F12" s="137" t="s">
        <v>230</v>
      </c>
      <c r="G12" s="137" t="s">
        <v>42</v>
      </c>
      <c r="H12" s="247" t="s">
        <v>157</v>
      </c>
      <c r="I12" s="247" t="s">
        <v>153</v>
      </c>
      <c r="J12" s="137" t="s">
        <v>38</v>
      </c>
      <c r="K12" s="247" t="s">
        <v>154</v>
      </c>
      <c r="L12" s="247">
        <v>2</v>
      </c>
      <c r="M12" s="247"/>
      <c r="N12" s="247">
        <v>4</v>
      </c>
      <c r="O12" s="247">
        <v>0.55000000000000004</v>
      </c>
      <c r="P12" s="247">
        <v>0.5</v>
      </c>
      <c r="Q12" s="139">
        <f t="shared" si="0"/>
        <v>0.52500000000000002</v>
      </c>
      <c r="R12" s="247">
        <v>17.3</v>
      </c>
      <c r="S12" s="247">
        <v>108</v>
      </c>
      <c r="T12" s="140">
        <f t="shared" si="1"/>
        <v>33</v>
      </c>
      <c r="U12" s="247">
        <v>498</v>
      </c>
      <c r="V12" s="141">
        <f t="shared" si="2"/>
        <v>4108.5</v>
      </c>
      <c r="W12" s="247">
        <v>6</v>
      </c>
      <c r="X12" s="137" t="s">
        <v>46</v>
      </c>
      <c r="Y12" s="247" t="s">
        <v>90</v>
      </c>
      <c r="Z12" s="247" t="s">
        <v>78</v>
      </c>
      <c r="AA12" s="247" t="s">
        <v>69</v>
      </c>
      <c r="AB12" s="137" t="s">
        <v>408</v>
      </c>
      <c r="AC12" s="142"/>
      <c r="AE12" s="223" t="s">
        <v>70</v>
      </c>
      <c r="AG12" s="224"/>
      <c r="AH12" s="223"/>
      <c r="AJ12" s="247"/>
      <c r="AL12" s="149"/>
      <c r="AN12" s="247"/>
      <c r="AP12" s="224" t="s">
        <v>67</v>
      </c>
      <c r="AR12" s="231" t="s">
        <v>124</v>
      </c>
      <c r="AV12" s="150" t="s">
        <v>409</v>
      </c>
      <c r="AX12" s="225">
        <v>180</v>
      </c>
      <c r="AY12" s="226">
        <v>18</v>
      </c>
      <c r="AZ12" s="226">
        <v>181</v>
      </c>
      <c r="BA12" s="227">
        <v>16</v>
      </c>
    </row>
    <row r="13" spans="1:53" x14ac:dyDescent="0.15">
      <c r="A13" s="137" t="s">
        <v>61</v>
      </c>
      <c r="B13" s="137" t="s">
        <v>362</v>
      </c>
      <c r="C13" s="137">
        <v>2018</v>
      </c>
      <c r="D13" s="138" t="s">
        <v>410</v>
      </c>
      <c r="E13" s="137" t="s">
        <v>229</v>
      </c>
      <c r="F13" s="137" t="s">
        <v>230</v>
      </c>
      <c r="G13" s="137" t="s">
        <v>42</v>
      </c>
      <c r="H13" s="247" t="s">
        <v>157</v>
      </c>
      <c r="I13" s="247" t="s">
        <v>153</v>
      </c>
      <c r="J13" s="137" t="s">
        <v>38</v>
      </c>
      <c r="K13" s="247" t="s">
        <v>154</v>
      </c>
      <c r="L13" s="247">
        <v>3</v>
      </c>
      <c r="M13" s="247"/>
      <c r="N13" s="247">
        <v>4</v>
      </c>
      <c r="O13" s="247">
        <v>0.5</v>
      </c>
      <c r="P13" s="247">
        <v>0.55000000000000004</v>
      </c>
      <c r="Q13" s="139">
        <f t="shared" si="0"/>
        <v>0.52500000000000002</v>
      </c>
      <c r="R13" s="247">
        <v>17.5</v>
      </c>
      <c r="S13" s="247">
        <v>109</v>
      </c>
      <c r="T13" s="140">
        <f t="shared" si="1"/>
        <v>33</v>
      </c>
      <c r="U13" s="247">
        <v>498</v>
      </c>
      <c r="V13" s="141">
        <f t="shared" si="2"/>
        <v>4108.5</v>
      </c>
      <c r="W13" s="247">
        <v>6</v>
      </c>
      <c r="X13" s="137" t="s">
        <v>46</v>
      </c>
      <c r="Y13" s="247" t="s">
        <v>90</v>
      </c>
      <c r="Z13" s="247" t="s">
        <v>78</v>
      </c>
      <c r="AA13" s="247" t="s">
        <v>69</v>
      </c>
      <c r="AB13" s="137" t="s">
        <v>411</v>
      </c>
      <c r="AC13" s="142"/>
      <c r="AE13" s="223" t="s">
        <v>73</v>
      </c>
      <c r="AG13" s="224"/>
      <c r="AH13" s="223"/>
      <c r="AJ13" s="247"/>
      <c r="AL13" s="151"/>
      <c r="AN13" s="247"/>
      <c r="AP13" s="224" t="s">
        <v>71</v>
      </c>
      <c r="AR13" s="231" t="s">
        <v>103</v>
      </c>
      <c r="AV13" s="150" t="s">
        <v>412</v>
      </c>
      <c r="AX13" s="225"/>
      <c r="AY13" s="226"/>
      <c r="AZ13" s="226"/>
      <c r="BA13" s="227"/>
    </row>
    <row r="14" spans="1:53" x14ac:dyDescent="0.15">
      <c r="A14" s="137" t="s">
        <v>61</v>
      </c>
      <c r="B14" s="137" t="s">
        <v>364</v>
      </c>
      <c r="C14" s="137">
        <v>2018</v>
      </c>
      <c r="D14" s="138" t="s">
        <v>413</v>
      </c>
      <c r="E14" s="137" t="s">
        <v>231</v>
      </c>
      <c r="F14" s="137" t="s">
        <v>232</v>
      </c>
      <c r="G14" s="137" t="s">
        <v>42</v>
      </c>
      <c r="H14" s="247" t="s">
        <v>155</v>
      </c>
      <c r="I14" s="247" t="s">
        <v>153</v>
      </c>
      <c r="J14" s="137" t="s">
        <v>38</v>
      </c>
      <c r="K14" s="247" t="s">
        <v>154</v>
      </c>
      <c r="L14" s="247">
        <v>1</v>
      </c>
      <c r="M14" s="247"/>
      <c r="N14" s="247">
        <v>5</v>
      </c>
      <c r="O14" s="247">
        <v>0.8</v>
      </c>
      <c r="P14" s="247">
        <v>0.85</v>
      </c>
      <c r="Q14" s="139">
        <f t="shared" si="0"/>
        <v>0.82499999999999996</v>
      </c>
      <c r="R14" s="247">
        <v>17.100000000000001</v>
      </c>
      <c r="S14" s="247">
        <v>86</v>
      </c>
      <c r="T14" s="140">
        <f t="shared" si="1"/>
        <v>36</v>
      </c>
      <c r="U14" s="247">
        <v>298</v>
      </c>
      <c r="V14" s="141">
        <f t="shared" si="2"/>
        <v>2145.6</v>
      </c>
      <c r="W14" s="247">
        <v>13</v>
      </c>
      <c r="X14" s="137" t="s">
        <v>46</v>
      </c>
      <c r="Y14" s="247" t="s">
        <v>55</v>
      </c>
      <c r="Z14" s="247" t="s">
        <v>102</v>
      </c>
      <c r="AA14" s="247" t="s">
        <v>90</v>
      </c>
      <c r="AB14" s="137" t="s">
        <v>414</v>
      </c>
      <c r="AC14" s="142"/>
      <c r="AE14" s="223" t="s">
        <v>76</v>
      </c>
      <c r="AG14" s="224"/>
      <c r="AH14" s="223"/>
      <c r="AL14" s="235"/>
      <c r="AP14" s="224" t="s">
        <v>74</v>
      </c>
      <c r="AR14" s="231" t="s">
        <v>125</v>
      </c>
      <c r="AV14" s="150" t="s">
        <v>415</v>
      </c>
      <c r="AX14" s="225"/>
      <c r="AY14" s="226"/>
      <c r="AZ14" s="226"/>
      <c r="BA14" s="227"/>
    </row>
    <row r="15" spans="1:53" x14ac:dyDescent="0.15">
      <c r="A15" s="137" t="s">
        <v>61</v>
      </c>
      <c r="B15" s="137" t="s">
        <v>364</v>
      </c>
      <c r="C15" s="137">
        <v>2018</v>
      </c>
      <c r="D15" s="138" t="s">
        <v>413</v>
      </c>
      <c r="E15" s="137" t="s">
        <v>231</v>
      </c>
      <c r="F15" s="137" t="s">
        <v>232</v>
      </c>
      <c r="G15" s="137" t="s">
        <v>42</v>
      </c>
      <c r="H15" s="247" t="s">
        <v>155</v>
      </c>
      <c r="I15" s="247" t="s">
        <v>153</v>
      </c>
      <c r="J15" s="137" t="s">
        <v>38</v>
      </c>
      <c r="K15" s="247" t="s">
        <v>154</v>
      </c>
      <c r="L15" s="247">
        <v>2</v>
      </c>
      <c r="M15" s="247"/>
      <c r="N15" s="247">
        <v>5</v>
      </c>
      <c r="O15" s="247">
        <v>0.8</v>
      </c>
      <c r="P15" s="247">
        <v>0.8</v>
      </c>
      <c r="Q15" s="139">
        <f t="shared" si="0"/>
        <v>0.8</v>
      </c>
      <c r="R15" s="142">
        <v>17</v>
      </c>
      <c r="S15" s="247">
        <v>87</v>
      </c>
      <c r="T15" s="140">
        <f t="shared" si="1"/>
        <v>36</v>
      </c>
      <c r="U15" s="247">
        <v>298</v>
      </c>
      <c r="V15" s="141">
        <f t="shared" si="2"/>
        <v>2145.6</v>
      </c>
      <c r="W15" s="247">
        <v>13</v>
      </c>
      <c r="X15" s="137" t="s">
        <v>46</v>
      </c>
      <c r="Y15" s="247" t="s">
        <v>55</v>
      </c>
      <c r="Z15" s="247" t="s">
        <v>102</v>
      </c>
      <c r="AA15" s="247" t="s">
        <v>90</v>
      </c>
      <c r="AB15" s="137" t="s">
        <v>414</v>
      </c>
      <c r="AC15" s="142"/>
      <c r="AE15" s="223" t="s">
        <v>79</v>
      </c>
      <c r="AG15" s="224"/>
      <c r="AH15" s="224"/>
      <c r="AL15" s="235"/>
      <c r="AP15" s="224" t="s">
        <v>77</v>
      </c>
      <c r="AR15" s="231" t="s">
        <v>94</v>
      </c>
      <c r="AV15" s="150" t="s">
        <v>416</v>
      </c>
      <c r="AX15" s="232"/>
      <c r="AY15" s="233"/>
      <c r="AZ15" s="233"/>
      <c r="BA15" s="234"/>
    </row>
    <row r="16" spans="1:53" x14ac:dyDescent="0.15">
      <c r="A16" s="137" t="s">
        <v>61</v>
      </c>
      <c r="B16" s="137" t="s">
        <v>366</v>
      </c>
      <c r="C16" s="137">
        <v>2018</v>
      </c>
      <c r="D16" s="138" t="s">
        <v>417</v>
      </c>
      <c r="E16" s="137" t="s">
        <v>231</v>
      </c>
      <c r="F16" s="137" t="s">
        <v>232</v>
      </c>
      <c r="G16" s="137" t="s">
        <v>42</v>
      </c>
      <c r="H16" s="247" t="s">
        <v>155</v>
      </c>
      <c r="I16" s="247" t="s">
        <v>153</v>
      </c>
      <c r="J16" s="137" t="s">
        <v>38</v>
      </c>
      <c r="K16" s="247" t="s">
        <v>154</v>
      </c>
      <c r="L16" s="247">
        <v>3</v>
      </c>
      <c r="M16" s="247"/>
      <c r="N16" s="247">
        <v>5</v>
      </c>
      <c r="O16" s="247">
        <v>0.7</v>
      </c>
      <c r="P16" s="247">
        <v>0.7</v>
      </c>
      <c r="Q16" s="139">
        <f t="shared" si="0"/>
        <v>0.7</v>
      </c>
      <c r="R16" s="247">
        <v>16.8</v>
      </c>
      <c r="S16" s="247">
        <v>84</v>
      </c>
      <c r="T16" s="140">
        <f t="shared" si="1"/>
        <v>36</v>
      </c>
      <c r="U16" s="247">
        <v>298</v>
      </c>
      <c r="V16" s="141">
        <f t="shared" si="2"/>
        <v>2145.6</v>
      </c>
      <c r="W16" s="247">
        <v>13</v>
      </c>
      <c r="X16" s="137" t="s">
        <v>46</v>
      </c>
      <c r="Y16" s="247" t="s">
        <v>55</v>
      </c>
      <c r="Z16" s="247" t="s">
        <v>102</v>
      </c>
      <c r="AA16" s="247" t="s">
        <v>90</v>
      </c>
      <c r="AB16" s="137" t="s">
        <v>418</v>
      </c>
      <c r="AC16" s="142"/>
      <c r="AE16" s="223" t="s">
        <v>82</v>
      </c>
      <c r="AG16" s="224"/>
      <c r="AH16" s="224"/>
      <c r="AP16" s="224" t="s">
        <v>80</v>
      </c>
      <c r="AR16" s="238" t="s">
        <v>63</v>
      </c>
      <c r="AV16" s="150" t="s">
        <v>419</v>
      </c>
    </row>
    <row r="17" spans="1:48" x14ac:dyDescent="0.15">
      <c r="A17" s="137" t="s">
        <v>61</v>
      </c>
      <c r="B17" s="137" t="s">
        <v>366</v>
      </c>
      <c r="C17" s="137">
        <v>2018</v>
      </c>
      <c r="D17" s="138" t="s">
        <v>417</v>
      </c>
      <c r="E17" s="137" t="s">
        <v>231</v>
      </c>
      <c r="F17" s="137" t="s">
        <v>232</v>
      </c>
      <c r="G17" s="137" t="s">
        <v>42</v>
      </c>
      <c r="H17" s="247" t="s">
        <v>157</v>
      </c>
      <c r="I17" s="247" t="s">
        <v>153</v>
      </c>
      <c r="J17" s="137" t="s">
        <v>38</v>
      </c>
      <c r="K17" s="247" t="s">
        <v>154</v>
      </c>
      <c r="L17" s="247">
        <v>1</v>
      </c>
      <c r="M17" s="247"/>
      <c r="N17" s="247">
        <v>1</v>
      </c>
      <c r="O17" s="247">
        <v>0.6</v>
      </c>
      <c r="P17" s="247">
        <v>0.55000000000000004</v>
      </c>
      <c r="Q17" s="139">
        <f t="shared" si="0"/>
        <v>0.57499999999999996</v>
      </c>
      <c r="R17" s="247">
        <v>17.399999999999999</v>
      </c>
      <c r="S17" s="247">
        <v>172</v>
      </c>
      <c r="T17" s="140">
        <f t="shared" si="1"/>
        <v>18</v>
      </c>
      <c r="U17" s="247">
        <v>158</v>
      </c>
      <c r="V17" s="141">
        <f t="shared" si="2"/>
        <v>2844</v>
      </c>
      <c r="W17" s="247">
        <v>13</v>
      </c>
      <c r="X17" s="137" t="s">
        <v>46</v>
      </c>
      <c r="Y17" s="247" t="s">
        <v>55</v>
      </c>
      <c r="Z17" s="247" t="s">
        <v>102</v>
      </c>
      <c r="AA17" s="247" t="s">
        <v>90</v>
      </c>
      <c r="AB17" s="137" t="s">
        <v>418</v>
      </c>
      <c r="AC17" s="142"/>
      <c r="AE17" s="223" t="s">
        <v>85</v>
      </c>
      <c r="AP17" s="239" t="s">
        <v>110</v>
      </c>
      <c r="AR17" s="238" t="s">
        <v>96</v>
      </c>
      <c r="AV17" s="150" t="s">
        <v>420</v>
      </c>
    </row>
    <row r="18" spans="1:48" x14ac:dyDescent="0.15">
      <c r="A18" s="137" t="s">
        <v>61</v>
      </c>
      <c r="B18" s="137" t="s">
        <v>366</v>
      </c>
      <c r="C18" s="137">
        <v>2018</v>
      </c>
      <c r="D18" s="138" t="s">
        <v>417</v>
      </c>
      <c r="E18" s="137" t="s">
        <v>231</v>
      </c>
      <c r="F18" s="137" t="s">
        <v>232</v>
      </c>
      <c r="G18" s="137" t="s">
        <v>42</v>
      </c>
      <c r="H18" s="247" t="s">
        <v>157</v>
      </c>
      <c r="I18" s="247" t="s">
        <v>153</v>
      </c>
      <c r="J18" s="137" t="s">
        <v>38</v>
      </c>
      <c r="K18" s="247" t="s">
        <v>154</v>
      </c>
      <c r="L18" s="247">
        <v>2</v>
      </c>
      <c r="M18" s="247"/>
      <c r="N18" s="247">
        <v>1</v>
      </c>
      <c r="O18" s="247">
        <v>0.55000000000000004</v>
      </c>
      <c r="P18" s="247">
        <v>0.5</v>
      </c>
      <c r="Q18" s="139">
        <f t="shared" si="0"/>
        <v>0.52500000000000002</v>
      </c>
      <c r="R18" s="247">
        <v>17.3</v>
      </c>
      <c r="S18" s="247">
        <v>165</v>
      </c>
      <c r="T18" s="140">
        <f t="shared" si="1"/>
        <v>18</v>
      </c>
      <c r="U18" s="247">
        <v>158</v>
      </c>
      <c r="V18" s="141">
        <f t="shared" si="2"/>
        <v>2844</v>
      </c>
      <c r="W18" s="247">
        <v>13</v>
      </c>
      <c r="X18" s="137" t="s">
        <v>46</v>
      </c>
      <c r="Y18" s="247" t="s">
        <v>55</v>
      </c>
      <c r="Z18" s="247" t="s">
        <v>102</v>
      </c>
      <c r="AA18" s="247" t="s">
        <v>90</v>
      </c>
      <c r="AB18" s="137" t="s">
        <v>418</v>
      </c>
      <c r="AC18" s="142"/>
      <c r="AE18" s="223" t="s">
        <v>87</v>
      </c>
      <c r="AP18" s="239" t="s">
        <v>111</v>
      </c>
      <c r="AR18" s="238" t="s">
        <v>101</v>
      </c>
      <c r="AV18" s="150" t="s">
        <v>370</v>
      </c>
    </row>
    <row r="19" spans="1:48" x14ac:dyDescent="0.15">
      <c r="A19" s="137" t="s">
        <v>61</v>
      </c>
      <c r="B19" s="137" t="s">
        <v>358</v>
      </c>
      <c r="C19" s="137">
        <v>2018</v>
      </c>
      <c r="D19" s="138" t="s">
        <v>407</v>
      </c>
      <c r="E19" s="137" t="s">
        <v>231</v>
      </c>
      <c r="F19" s="137" t="s">
        <v>232</v>
      </c>
      <c r="G19" s="137" t="s">
        <v>42</v>
      </c>
      <c r="H19" s="247" t="s">
        <v>157</v>
      </c>
      <c r="I19" s="247" t="s">
        <v>153</v>
      </c>
      <c r="J19" s="137" t="s">
        <v>38</v>
      </c>
      <c r="K19" s="247" t="s">
        <v>154</v>
      </c>
      <c r="L19" s="247">
        <v>3</v>
      </c>
      <c r="M19" s="247"/>
      <c r="N19" s="247">
        <v>1</v>
      </c>
      <c r="O19" s="247">
        <v>0.5</v>
      </c>
      <c r="P19" s="247">
        <v>0.5</v>
      </c>
      <c r="Q19" s="139">
        <f t="shared" si="0"/>
        <v>0.5</v>
      </c>
      <c r="R19" s="247">
        <v>17.3</v>
      </c>
      <c r="S19" s="247">
        <v>153</v>
      </c>
      <c r="T19" s="140">
        <f t="shared" si="1"/>
        <v>18</v>
      </c>
      <c r="U19" s="247">
        <v>158</v>
      </c>
      <c r="V19" s="141">
        <f t="shared" si="2"/>
        <v>2844</v>
      </c>
      <c r="W19" s="247">
        <v>13</v>
      </c>
      <c r="X19" s="137" t="s">
        <v>46</v>
      </c>
      <c r="Y19" s="247" t="s">
        <v>55</v>
      </c>
      <c r="Z19" s="247" t="s">
        <v>102</v>
      </c>
      <c r="AA19" s="247" t="s">
        <v>90</v>
      </c>
      <c r="AB19" s="137" t="s">
        <v>408</v>
      </c>
      <c r="AC19" s="142"/>
      <c r="AE19" s="236" t="s">
        <v>89</v>
      </c>
      <c r="AP19" s="239" t="s">
        <v>112</v>
      </c>
      <c r="AR19" s="231" t="s">
        <v>126</v>
      </c>
      <c r="AV19" s="150" t="s">
        <v>421</v>
      </c>
    </row>
    <row r="20" spans="1:48" x14ac:dyDescent="0.15">
      <c r="A20" s="137" t="s">
        <v>61</v>
      </c>
      <c r="B20" s="137" t="s">
        <v>358</v>
      </c>
      <c r="C20" s="137">
        <v>2018</v>
      </c>
      <c r="D20" s="138" t="s">
        <v>407</v>
      </c>
      <c r="E20" s="137" t="s">
        <v>233</v>
      </c>
      <c r="F20" s="137" t="s">
        <v>234</v>
      </c>
      <c r="G20" s="137" t="s">
        <v>42</v>
      </c>
      <c r="H20" s="247" t="s">
        <v>155</v>
      </c>
      <c r="I20" s="247" t="s">
        <v>153</v>
      </c>
      <c r="J20" s="137" t="s">
        <v>38</v>
      </c>
      <c r="K20" s="247" t="s">
        <v>154</v>
      </c>
      <c r="L20" s="247">
        <v>1</v>
      </c>
      <c r="M20" s="247"/>
      <c r="N20" s="247">
        <v>1</v>
      </c>
      <c r="O20" s="247">
        <v>0.6</v>
      </c>
      <c r="P20" s="247">
        <v>0.5</v>
      </c>
      <c r="Q20" s="139">
        <f t="shared" si="0"/>
        <v>0.55000000000000004</v>
      </c>
      <c r="R20" s="247">
        <v>17.399999999999999</v>
      </c>
      <c r="S20" s="247">
        <v>135</v>
      </c>
      <c r="T20" s="140">
        <f t="shared" si="1"/>
        <v>25</v>
      </c>
      <c r="U20" s="247">
        <v>138</v>
      </c>
      <c r="V20" s="141">
        <f t="shared" si="2"/>
        <v>3450</v>
      </c>
      <c r="W20" s="247">
        <v>18</v>
      </c>
      <c r="X20" s="137" t="s">
        <v>46</v>
      </c>
      <c r="Y20" s="247" t="s">
        <v>78</v>
      </c>
      <c r="Z20" s="247" t="s">
        <v>50</v>
      </c>
      <c r="AA20" s="247" t="s">
        <v>90</v>
      </c>
      <c r="AB20" s="137" t="s">
        <v>408</v>
      </c>
      <c r="AC20" s="142"/>
      <c r="AE20" s="223"/>
      <c r="AG20" s="247"/>
      <c r="AH20" s="247"/>
      <c r="AJ20" s="247"/>
      <c r="AN20" s="247"/>
      <c r="AP20" s="239" t="s">
        <v>113</v>
      </c>
      <c r="AR20" s="238" t="s">
        <v>105</v>
      </c>
      <c r="AV20" s="150" t="s">
        <v>422</v>
      </c>
    </row>
    <row r="21" spans="1:48" x14ac:dyDescent="0.15">
      <c r="A21" s="137" t="s">
        <v>61</v>
      </c>
      <c r="B21" s="137" t="s">
        <v>358</v>
      </c>
      <c r="C21" s="137">
        <v>2018</v>
      </c>
      <c r="D21" s="138" t="s">
        <v>407</v>
      </c>
      <c r="E21" s="137" t="s">
        <v>233</v>
      </c>
      <c r="F21" s="137" t="s">
        <v>234</v>
      </c>
      <c r="G21" s="137" t="s">
        <v>42</v>
      </c>
      <c r="H21" s="247" t="s">
        <v>155</v>
      </c>
      <c r="I21" s="247" t="s">
        <v>153</v>
      </c>
      <c r="J21" s="137" t="s">
        <v>38</v>
      </c>
      <c r="K21" s="247" t="s">
        <v>154</v>
      </c>
      <c r="L21" s="247">
        <v>2</v>
      </c>
      <c r="M21" s="247"/>
      <c r="N21" s="247">
        <v>1</v>
      </c>
      <c r="O21" s="247">
        <v>0.6</v>
      </c>
      <c r="P21" s="247">
        <v>0.6</v>
      </c>
      <c r="Q21" s="139">
        <f t="shared" si="0"/>
        <v>0.6</v>
      </c>
      <c r="R21" s="247">
        <v>17.2</v>
      </c>
      <c r="S21" s="247">
        <v>140</v>
      </c>
      <c r="T21" s="140">
        <f t="shared" si="1"/>
        <v>22</v>
      </c>
      <c r="U21" s="247">
        <v>138</v>
      </c>
      <c r="V21" s="141">
        <f t="shared" si="2"/>
        <v>3036</v>
      </c>
      <c r="W21" s="247">
        <v>18</v>
      </c>
      <c r="X21" s="137" t="s">
        <v>46</v>
      </c>
      <c r="Y21" s="247" t="s">
        <v>78</v>
      </c>
      <c r="Z21" s="247" t="s">
        <v>50</v>
      </c>
      <c r="AA21" s="247" t="s">
        <v>90</v>
      </c>
      <c r="AB21" s="137" t="s">
        <v>408</v>
      </c>
      <c r="AC21" s="142"/>
      <c r="AE21" s="223"/>
      <c r="AG21" s="247"/>
      <c r="AH21" s="247"/>
      <c r="AL21" s="247"/>
      <c r="AN21" s="247"/>
      <c r="AP21" s="239" t="s">
        <v>114</v>
      </c>
      <c r="AR21" s="238" t="s">
        <v>68</v>
      </c>
      <c r="AV21" s="150" t="s">
        <v>423</v>
      </c>
    </row>
    <row r="22" spans="1:48" x14ac:dyDescent="0.15">
      <c r="A22" s="137" t="s">
        <v>61</v>
      </c>
      <c r="B22" s="137" t="s">
        <v>358</v>
      </c>
      <c r="C22" s="137">
        <v>2018</v>
      </c>
      <c r="D22" s="138" t="s">
        <v>407</v>
      </c>
      <c r="E22" s="137" t="s">
        <v>233</v>
      </c>
      <c r="F22" s="137" t="s">
        <v>234</v>
      </c>
      <c r="G22" s="137" t="s">
        <v>42</v>
      </c>
      <c r="H22" s="247" t="s">
        <v>155</v>
      </c>
      <c r="I22" s="247" t="s">
        <v>153</v>
      </c>
      <c r="J22" s="137" t="s">
        <v>38</v>
      </c>
      <c r="K22" s="247" t="s">
        <v>154</v>
      </c>
      <c r="L22" s="247">
        <v>3</v>
      </c>
      <c r="M22" s="247"/>
      <c r="N22" s="142">
        <v>1</v>
      </c>
      <c r="O22" s="142">
        <v>0.6</v>
      </c>
      <c r="P22" s="247">
        <v>0.5</v>
      </c>
      <c r="Q22" s="139">
        <f t="shared" si="0"/>
        <v>0.55000000000000004</v>
      </c>
      <c r="R22" s="247">
        <v>17.2</v>
      </c>
      <c r="S22" s="247">
        <v>137</v>
      </c>
      <c r="T22" s="140">
        <f t="shared" si="1"/>
        <v>25</v>
      </c>
      <c r="U22" s="247">
        <v>138</v>
      </c>
      <c r="V22" s="141">
        <f t="shared" si="2"/>
        <v>3450</v>
      </c>
      <c r="W22" s="247">
        <v>18</v>
      </c>
      <c r="X22" s="137" t="s">
        <v>46</v>
      </c>
      <c r="Y22" s="247" t="s">
        <v>78</v>
      </c>
      <c r="Z22" s="247" t="s">
        <v>50</v>
      </c>
      <c r="AA22" s="247" t="s">
        <v>90</v>
      </c>
      <c r="AB22" s="137" t="s">
        <v>408</v>
      </c>
      <c r="AC22" s="142"/>
      <c r="AE22" s="236"/>
      <c r="AG22" s="247"/>
      <c r="AH22" s="247"/>
      <c r="AL22" s="247"/>
      <c r="AP22" s="239" t="s">
        <v>115</v>
      </c>
      <c r="AR22" s="238" t="s">
        <v>83</v>
      </c>
      <c r="AV22" s="224"/>
    </row>
    <row r="23" spans="1:48" x14ac:dyDescent="0.15">
      <c r="A23" s="137" t="s">
        <v>61</v>
      </c>
      <c r="B23" s="137" t="s">
        <v>358</v>
      </c>
      <c r="C23" s="137">
        <v>2018</v>
      </c>
      <c r="D23" s="138" t="s">
        <v>407</v>
      </c>
      <c r="E23" s="137" t="s">
        <v>233</v>
      </c>
      <c r="F23" s="137" t="s">
        <v>234</v>
      </c>
      <c r="G23" s="137" t="s">
        <v>42</v>
      </c>
      <c r="H23" s="247" t="s">
        <v>157</v>
      </c>
      <c r="I23" s="247" t="s">
        <v>153</v>
      </c>
      <c r="J23" s="137" t="s">
        <v>38</v>
      </c>
      <c r="K23" s="247" t="s">
        <v>154</v>
      </c>
      <c r="L23" s="247">
        <v>1</v>
      </c>
      <c r="M23" s="247"/>
      <c r="N23" s="247">
        <v>1</v>
      </c>
      <c r="O23" s="247">
        <v>0.55000000000000004</v>
      </c>
      <c r="P23" s="247">
        <v>0.55000000000000004</v>
      </c>
      <c r="Q23" s="139">
        <f t="shared" si="0"/>
        <v>0.55000000000000004</v>
      </c>
      <c r="R23" s="247">
        <v>17.7</v>
      </c>
      <c r="S23" s="247">
        <v>147</v>
      </c>
      <c r="T23" s="140">
        <f t="shared" si="1"/>
        <v>22</v>
      </c>
      <c r="U23" s="247">
        <v>149</v>
      </c>
      <c r="V23" s="141">
        <f t="shared" si="2"/>
        <v>3278</v>
      </c>
      <c r="W23" s="247">
        <v>18</v>
      </c>
      <c r="X23" s="137" t="s">
        <v>46</v>
      </c>
      <c r="Y23" s="247" t="s">
        <v>78</v>
      </c>
      <c r="Z23" s="247" t="s">
        <v>50</v>
      </c>
      <c r="AA23" s="247" t="s">
        <v>90</v>
      </c>
      <c r="AB23" s="137" t="s">
        <v>408</v>
      </c>
      <c r="AC23" s="142"/>
      <c r="AE23" s="223"/>
      <c r="AG23" s="247"/>
      <c r="AH23" s="247"/>
      <c r="AL23" s="247"/>
      <c r="AP23" s="239" t="s">
        <v>372</v>
      </c>
      <c r="AR23" s="238" t="s">
        <v>61</v>
      </c>
      <c r="AV23" s="247"/>
    </row>
    <row r="24" spans="1:48" x14ac:dyDescent="0.15">
      <c r="A24" s="137" t="s">
        <v>61</v>
      </c>
      <c r="B24" s="137" t="s">
        <v>358</v>
      </c>
      <c r="C24" s="137">
        <v>2018</v>
      </c>
      <c r="D24" s="138" t="s">
        <v>407</v>
      </c>
      <c r="E24" s="137" t="s">
        <v>233</v>
      </c>
      <c r="F24" s="137" t="s">
        <v>234</v>
      </c>
      <c r="G24" s="137" t="s">
        <v>42</v>
      </c>
      <c r="H24" s="247" t="s">
        <v>157</v>
      </c>
      <c r="I24" s="247" t="s">
        <v>153</v>
      </c>
      <c r="J24" s="137" t="s">
        <v>38</v>
      </c>
      <c r="K24" s="247" t="s">
        <v>154</v>
      </c>
      <c r="L24" s="247">
        <v>2</v>
      </c>
      <c r="M24" s="247"/>
      <c r="N24" s="247">
        <v>1</v>
      </c>
      <c r="O24" s="247">
        <v>0.5</v>
      </c>
      <c r="P24" s="247">
        <v>0.55000000000000004</v>
      </c>
      <c r="Q24" s="139">
        <f t="shared" si="0"/>
        <v>0.52500000000000002</v>
      </c>
      <c r="R24" s="247">
        <v>18.100000000000001</v>
      </c>
      <c r="S24" s="247">
        <v>144</v>
      </c>
      <c r="T24" s="140">
        <f t="shared" si="1"/>
        <v>22</v>
      </c>
      <c r="U24" s="247">
        <v>149</v>
      </c>
      <c r="V24" s="141">
        <f t="shared" si="2"/>
        <v>3278</v>
      </c>
      <c r="W24" s="247">
        <v>18</v>
      </c>
      <c r="X24" s="137" t="s">
        <v>46</v>
      </c>
      <c r="Y24" s="247" t="s">
        <v>78</v>
      </c>
      <c r="Z24" s="247" t="s">
        <v>50</v>
      </c>
      <c r="AA24" s="247" t="s">
        <v>90</v>
      </c>
      <c r="AB24" s="137" t="s">
        <v>408</v>
      </c>
      <c r="AC24" s="142"/>
      <c r="AE24" s="223"/>
      <c r="AG24" s="247"/>
      <c r="AH24" s="247"/>
      <c r="AL24" s="247"/>
      <c r="AP24" s="239" t="s">
        <v>373</v>
      </c>
      <c r="AR24" s="238" t="s">
        <v>91</v>
      </c>
      <c r="AV24" s="247"/>
    </row>
    <row r="25" spans="1:48" x14ac:dyDescent="0.15">
      <c r="A25" s="137" t="s">
        <v>61</v>
      </c>
      <c r="B25" s="137" t="s">
        <v>358</v>
      </c>
      <c r="C25" s="137">
        <v>2018</v>
      </c>
      <c r="D25" s="138" t="s">
        <v>407</v>
      </c>
      <c r="E25" s="137" t="s">
        <v>233</v>
      </c>
      <c r="F25" s="137" t="s">
        <v>234</v>
      </c>
      <c r="G25" s="137" t="s">
        <v>42</v>
      </c>
      <c r="H25" s="247" t="s">
        <v>157</v>
      </c>
      <c r="I25" s="247" t="s">
        <v>153</v>
      </c>
      <c r="J25" s="137" t="s">
        <v>38</v>
      </c>
      <c r="K25" s="247" t="s">
        <v>154</v>
      </c>
      <c r="L25" s="247">
        <v>3</v>
      </c>
      <c r="M25" s="247"/>
      <c r="N25" s="247">
        <v>1</v>
      </c>
      <c r="O25" s="247">
        <v>0.55000000000000004</v>
      </c>
      <c r="P25" s="247">
        <v>0.5</v>
      </c>
      <c r="Q25" s="139">
        <f t="shared" si="0"/>
        <v>0.52500000000000002</v>
      </c>
      <c r="R25" s="247">
        <v>17.8</v>
      </c>
      <c r="S25" s="247">
        <v>141</v>
      </c>
      <c r="T25" s="140">
        <f t="shared" si="1"/>
        <v>22</v>
      </c>
      <c r="U25" s="247">
        <v>149</v>
      </c>
      <c r="V25" s="141">
        <f t="shared" si="2"/>
        <v>3278</v>
      </c>
      <c r="W25" s="247">
        <v>18</v>
      </c>
      <c r="X25" s="137" t="s">
        <v>46</v>
      </c>
      <c r="Y25" s="247" t="s">
        <v>78</v>
      </c>
      <c r="Z25" s="247" t="s">
        <v>50</v>
      </c>
      <c r="AA25" s="247" t="s">
        <v>90</v>
      </c>
      <c r="AB25" s="137" t="s">
        <v>408</v>
      </c>
      <c r="AC25" s="142"/>
      <c r="AE25" s="236"/>
      <c r="AG25" s="247"/>
      <c r="AH25" s="247"/>
      <c r="AL25" s="247"/>
      <c r="AP25" s="239" t="s">
        <v>116</v>
      </c>
      <c r="AR25" s="42" t="s">
        <v>92</v>
      </c>
      <c r="AV25" s="247"/>
    </row>
    <row r="26" spans="1:48" x14ac:dyDescent="0.15">
      <c r="A26" s="137" t="s">
        <v>61</v>
      </c>
      <c r="B26" s="137" t="s">
        <v>358</v>
      </c>
      <c r="C26" s="137">
        <v>2018</v>
      </c>
      <c r="D26" s="138" t="s">
        <v>407</v>
      </c>
      <c r="E26" s="137" t="s">
        <v>233</v>
      </c>
      <c r="F26" s="137" t="s">
        <v>234</v>
      </c>
      <c r="G26" s="137" t="s">
        <v>42</v>
      </c>
      <c r="H26" s="247" t="s">
        <v>155</v>
      </c>
      <c r="I26" s="247" t="s">
        <v>156</v>
      </c>
      <c r="J26" s="137" t="s">
        <v>38</v>
      </c>
      <c r="K26" s="247" t="s">
        <v>154</v>
      </c>
      <c r="L26" s="247">
        <v>1</v>
      </c>
      <c r="M26" s="247"/>
      <c r="N26" s="247">
        <v>2</v>
      </c>
      <c r="O26" s="247">
        <v>0.7</v>
      </c>
      <c r="P26" s="142">
        <v>0.7</v>
      </c>
      <c r="Q26" s="139">
        <f t="shared" si="0"/>
        <v>0.7</v>
      </c>
      <c r="R26" s="247">
        <v>15.5</v>
      </c>
      <c r="S26" s="247">
        <v>134</v>
      </c>
      <c r="T26" s="140">
        <f t="shared" si="1"/>
        <v>25</v>
      </c>
      <c r="U26" s="247">
        <v>386</v>
      </c>
      <c r="V26" s="141">
        <f t="shared" si="2"/>
        <v>4825</v>
      </c>
      <c r="W26" s="247">
        <v>18</v>
      </c>
      <c r="X26" s="137" t="s">
        <v>46</v>
      </c>
      <c r="Y26" s="247" t="s">
        <v>78</v>
      </c>
      <c r="Z26" s="247" t="s">
        <v>50</v>
      </c>
      <c r="AA26" s="247" t="s">
        <v>90</v>
      </c>
      <c r="AB26" s="137" t="s">
        <v>408</v>
      </c>
      <c r="AC26" s="142"/>
      <c r="AD26" s="235"/>
      <c r="AE26" s="236"/>
      <c r="AG26" s="247"/>
      <c r="AH26" s="247"/>
      <c r="AP26" s="239" t="s">
        <v>117</v>
      </c>
      <c r="AR26" s="224" t="s">
        <v>280</v>
      </c>
      <c r="AV26" s="247"/>
    </row>
    <row r="27" spans="1:48" x14ac:dyDescent="0.15">
      <c r="A27" s="137" t="s">
        <v>61</v>
      </c>
      <c r="B27" s="137" t="s">
        <v>358</v>
      </c>
      <c r="C27" s="137">
        <v>2018</v>
      </c>
      <c r="D27" s="138" t="s">
        <v>407</v>
      </c>
      <c r="E27" s="137" t="s">
        <v>233</v>
      </c>
      <c r="F27" s="137" t="s">
        <v>234</v>
      </c>
      <c r="G27" s="137" t="s">
        <v>42</v>
      </c>
      <c r="H27" s="247" t="s">
        <v>155</v>
      </c>
      <c r="I27" s="247" t="s">
        <v>156</v>
      </c>
      <c r="J27" s="137" t="s">
        <v>38</v>
      </c>
      <c r="K27" s="247" t="s">
        <v>154</v>
      </c>
      <c r="L27" s="247">
        <v>2</v>
      </c>
      <c r="M27" s="247"/>
      <c r="N27" s="247">
        <v>2</v>
      </c>
      <c r="O27" s="247">
        <v>0.7</v>
      </c>
      <c r="P27" s="142">
        <v>0.7</v>
      </c>
      <c r="Q27" s="139">
        <f t="shared" si="0"/>
        <v>0.7</v>
      </c>
      <c r="R27" s="247">
        <v>15.5</v>
      </c>
      <c r="S27" s="247">
        <v>128</v>
      </c>
      <c r="T27" s="140">
        <f t="shared" si="1"/>
        <v>27</v>
      </c>
      <c r="U27" s="247">
        <v>386</v>
      </c>
      <c r="V27" s="141">
        <f t="shared" si="2"/>
        <v>5211</v>
      </c>
      <c r="W27" s="247">
        <v>18</v>
      </c>
      <c r="X27" s="137" t="s">
        <v>46</v>
      </c>
      <c r="Y27" s="247" t="s">
        <v>78</v>
      </c>
      <c r="Z27" s="247" t="s">
        <v>50</v>
      </c>
      <c r="AA27" s="247" t="s">
        <v>90</v>
      </c>
      <c r="AB27" s="137" t="s">
        <v>408</v>
      </c>
      <c r="AC27" s="142"/>
      <c r="AD27" s="235"/>
      <c r="AE27" s="229"/>
      <c r="AG27" s="247"/>
      <c r="AH27" s="247"/>
      <c r="AP27" s="239" t="s">
        <v>118</v>
      </c>
      <c r="AR27" s="224"/>
      <c r="AV27" s="247"/>
    </row>
    <row r="28" spans="1:48" x14ac:dyDescent="0.15">
      <c r="A28" s="137" t="s">
        <v>61</v>
      </c>
      <c r="B28" s="137" t="s">
        <v>358</v>
      </c>
      <c r="C28" s="137">
        <v>2018</v>
      </c>
      <c r="D28" s="138" t="s">
        <v>407</v>
      </c>
      <c r="E28" s="137" t="s">
        <v>233</v>
      </c>
      <c r="F28" s="137" t="s">
        <v>234</v>
      </c>
      <c r="G28" s="137" t="s">
        <v>42</v>
      </c>
      <c r="H28" s="247" t="s">
        <v>155</v>
      </c>
      <c r="I28" s="247" t="s">
        <v>156</v>
      </c>
      <c r="J28" s="137" t="s">
        <v>38</v>
      </c>
      <c r="K28" s="247" t="s">
        <v>154</v>
      </c>
      <c r="L28" s="247">
        <v>3</v>
      </c>
      <c r="M28" s="247"/>
      <c r="N28" s="247">
        <v>2</v>
      </c>
      <c r="O28" s="247">
        <v>0.75</v>
      </c>
      <c r="P28" s="142">
        <v>0.75</v>
      </c>
      <c r="Q28" s="139">
        <f t="shared" si="0"/>
        <v>0.75</v>
      </c>
      <c r="R28" s="247">
        <v>15.8</v>
      </c>
      <c r="S28" s="247">
        <v>124</v>
      </c>
      <c r="T28" s="140">
        <f t="shared" si="1"/>
        <v>27</v>
      </c>
      <c r="U28" s="247">
        <v>386</v>
      </c>
      <c r="V28" s="141">
        <f t="shared" si="2"/>
        <v>5211</v>
      </c>
      <c r="W28" s="247">
        <v>18</v>
      </c>
      <c r="X28" s="137" t="s">
        <v>46</v>
      </c>
      <c r="Y28" s="247" t="s">
        <v>78</v>
      </c>
      <c r="Z28" s="247" t="s">
        <v>50</v>
      </c>
      <c r="AA28" s="247" t="s">
        <v>90</v>
      </c>
      <c r="AB28" s="137" t="s">
        <v>408</v>
      </c>
      <c r="AC28" s="142"/>
      <c r="AD28" s="235"/>
      <c r="AE28" s="247"/>
      <c r="AG28" s="247"/>
      <c r="AH28" s="247"/>
      <c r="AP28" s="228"/>
      <c r="AR28" s="224"/>
      <c r="AV28" s="247"/>
    </row>
    <row r="29" spans="1:48" x14ac:dyDescent="0.15">
      <c r="A29" s="137" t="s">
        <v>61</v>
      </c>
      <c r="B29" s="137" t="s">
        <v>358</v>
      </c>
      <c r="C29" s="137">
        <v>2018</v>
      </c>
      <c r="D29" s="138" t="s">
        <v>407</v>
      </c>
      <c r="E29" s="137" t="s">
        <v>233</v>
      </c>
      <c r="F29" s="137" t="s">
        <v>234</v>
      </c>
      <c r="G29" s="137" t="s">
        <v>42</v>
      </c>
      <c r="H29" s="247" t="s">
        <v>129</v>
      </c>
      <c r="I29" s="247" t="s">
        <v>153</v>
      </c>
      <c r="J29" s="137" t="s">
        <v>222</v>
      </c>
      <c r="K29" s="247" t="s">
        <v>59</v>
      </c>
      <c r="L29" s="247">
        <v>1</v>
      </c>
      <c r="M29" s="247"/>
      <c r="N29" s="247">
        <v>5</v>
      </c>
      <c r="O29" s="247">
        <v>0.85</v>
      </c>
      <c r="P29" s="247">
        <v>0.95</v>
      </c>
      <c r="Q29" s="139">
        <f t="shared" si="0"/>
        <v>0.89999999999999991</v>
      </c>
      <c r="R29" s="247">
        <v>17.3</v>
      </c>
      <c r="S29" s="247">
        <v>72</v>
      </c>
      <c r="T29" s="140">
        <f t="shared" si="1"/>
        <v>42</v>
      </c>
      <c r="U29" s="247">
        <v>429</v>
      </c>
      <c r="V29" s="141">
        <f t="shared" si="2"/>
        <v>3603.6</v>
      </c>
      <c r="W29" s="247">
        <v>18</v>
      </c>
      <c r="X29" s="137" t="s">
        <v>46</v>
      </c>
      <c r="Y29" s="247" t="s">
        <v>78</v>
      </c>
      <c r="Z29" s="247" t="s">
        <v>50</v>
      </c>
      <c r="AA29" s="247" t="s">
        <v>90</v>
      </c>
      <c r="AB29" s="137" t="s">
        <v>408</v>
      </c>
      <c r="AC29" s="142"/>
    </row>
    <row r="30" spans="1:48" x14ac:dyDescent="0.15">
      <c r="A30" s="137" t="s">
        <v>61</v>
      </c>
      <c r="B30" s="137" t="s">
        <v>358</v>
      </c>
      <c r="C30" s="137">
        <v>2018</v>
      </c>
      <c r="D30" s="138" t="s">
        <v>407</v>
      </c>
      <c r="E30" s="137" t="s">
        <v>233</v>
      </c>
      <c r="F30" s="137" t="s">
        <v>234</v>
      </c>
      <c r="G30" s="137" t="s">
        <v>42</v>
      </c>
      <c r="H30" s="247" t="s">
        <v>129</v>
      </c>
      <c r="I30" s="247" t="s">
        <v>153</v>
      </c>
      <c r="J30" s="137" t="s">
        <v>222</v>
      </c>
      <c r="K30" s="247" t="s">
        <v>59</v>
      </c>
      <c r="L30" s="247">
        <v>2</v>
      </c>
      <c r="M30" s="247"/>
      <c r="N30" s="247">
        <v>5</v>
      </c>
      <c r="O30" s="247">
        <v>0.85</v>
      </c>
      <c r="P30" s="247">
        <v>0.9</v>
      </c>
      <c r="Q30" s="139">
        <f t="shared" si="0"/>
        <v>0.875</v>
      </c>
      <c r="R30" s="247">
        <v>17.100000000000001</v>
      </c>
      <c r="S30" s="247">
        <v>77</v>
      </c>
      <c r="T30" s="140">
        <f t="shared" si="1"/>
        <v>39</v>
      </c>
      <c r="U30" s="247">
        <v>429</v>
      </c>
      <c r="V30" s="141">
        <f t="shared" si="2"/>
        <v>3346.2</v>
      </c>
      <c r="W30" s="247">
        <v>18</v>
      </c>
      <c r="X30" s="137" t="s">
        <v>46</v>
      </c>
      <c r="Y30" s="247" t="s">
        <v>78</v>
      </c>
      <c r="Z30" s="247" t="s">
        <v>50</v>
      </c>
      <c r="AA30" s="247" t="s">
        <v>90</v>
      </c>
      <c r="AB30" s="137" t="s">
        <v>408</v>
      </c>
      <c r="AC30" s="142"/>
    </row>
    <row r="31" spans="1:48" x14ac:dyDescent="0.15">
      <c r="A31" s="137" t="s">
        <v>61</v>
      </c>
      <c r="B31" s="137" t="s">
        <v>358</v>
      </c>
      <c r="C31" s="137">
        <v>2018</v>
      </c>
      <c r="D31" s="138" t="s">
        <v>407</v>
      </c>
      <c r="E31" s="137" t="s">
        <v>233</v>
      </c>
      <c r="F31" s="137" t="s">
        <v>234</v>
      </c>
      <c r="G31" s="137" t="s">
        <v>42</v>
      </c>
      <c r="H31" s="247" t="s">
        <v>129</v>
      </c>
      <c r="I31" s="247" t="s">
        <v>153</v>
      </c>
      <c r="J31" s="137" t="s">
        <v>222</v>
      </c>
      <c r="K31" s="247" t="s">
        <v>59</v>
      </c>
      <c r="L31" s="247">
        <v>3</v>
      </c>
      <c r="M31" s="247"/>
      <c r="N31" s="247">
        <v>5</v>
      </c>
      <c r="O31" s="247">
        <v>0.9</v>
      </c>
      <c r="P31" s="247">
        <v>0.9</v>
      </c>
      <c r="Q31" s="139">
        <f t="shared" si="0"/>
        <v>0.9</v>
      </c>
      <c r="R31" s="247">
        <v>17.3</v>
      </c>
      <c r="S31" s="247">
        <v>80</v>
      </c>
      <c r="T31" s="140">
        <f t="shared" si="1"/>
        <v>39</v>
      </c>
      <c r="U31" s="247">
        <v>429</v>
      </c>
      <c r="V31" s="141">
        <f t="shared" si="2"/>
        <v>3346.2</v>
      </c>
      <c r="W31" s="247">
        <v>18</v>
      </c>
      <c r="X31" s="137" t="s">
        <v>46</v>
      </c>
      <c r="Y31" s="247" t="s">
        <v>78</v>
      </c>
      <c r="Z31" s="247" t="s">
        <v>50</v>
      </c>
      <c r="AA31" s="247" t="s">
        <v>90</v>
      </c>
      <c r="AB31" s="137" t="s">
        <v>408</v>
      </c>
      <c r="AC31" s="142"/>
    </row>
    <row r="32" spans="1:48" x14ac:dyDescent="0.15">
      <c r="A32" s="137" t="s">
        <v>61</v>
      </c>
      <c r="B32" s="137" t="s">
        <v>358</v>
      </c>
      <c r="C32" s="137">
        <v>2018</v>
      </c>
      <c r="D32" s="138" t="s">
        <v>407</v>
      </c>
      <c r="E32" s="137" t="s">
        <v>235</v>
      </c>
      <c r="F32" s="137" t="s">
        <v>236</v>
      </c>
      <c r="G32" s="137" t="s">
        <v>42</v>
      </c>
      <c r="H32" s="247" t="s">
        <v>157</v>
      </c>
      <c r="I32" s="247" t="s">
        <v>153</v>
      </c>
      <c r="J32" s="137" t="s">
        <v>38</v>
      </c>
      <c r="K32" s="247" t="s">
        <v>154</v>
      </c>
      <c r="L32" s="247">
        <v>1</v>
      </c>
      <c r="M32" s="247"/>
      <c r="N32" s="247">
        <v>4</v>
      </c>
      <c r="O32" s="247">
        <v>0.5</v>
      </c>
      <c r="P32" s="247">
        <v>0.55000000000000004</v>
      </c>
      <c r="Q32" s="139">
        <f t="shared" si="0"/>
        <v>0.52500000000000002</v>
      </c>
      <c r="R32" s="247">
        <v>18.100000000000001</v>
      </c>
      <c r="S32" s="247">
        <v>84</v>
      </c>
      <c r="T32" s="140">
        <f t="shared" si="1"/>
        <v>36</v>
      </c>
      <c r="U32" s="247">
        <v>537</v>
      </c>
      <c r="V32" s="141">
        <f t="shared" si="2"/>
        <v>4833</v>
      </c>
      <c r="W32" s="247">
        <v>12</v>
      </c>
      <c r="X32" s="137" t="s">
        <v>39</v>
      </c>
      <c r="Y32" s="247" t="s">
        <v>69</v>
      </c>
      <c r="Z32" s="247" t="s">
        <v>90</v>
      </c>
      <c r="AA32" s="247" t="s">
        <v>78</v>
      </c>
      <c r="AB32" s="137" t="s">
        <v>408</v>
      </c>
      <c r="AC32" s="142"/>
    </row>
    <row r="33" spans="1:29" x14ac:dyDescent="0.15">
      <c r="A33" s="137" t="s">
        <v>61</v>
      </c>
      <c r="B33" s="137" t="s">
        <v>358</v>
      </c>
      <c r="C33" s="137">
        <v>2018</v>
      </c>
      <c r="D33" s="138" t="s">
        <v>407</v>
      </c>
      <c r="E33" s="137" t="s">
        <v>235</v>
      </c>
      <c r="F33" s="137" t="s">
        <v>236</v>
      </c>
      <c r="G33" s="137" t="s">
        <v>42</v>
      </c>
      <c r="H33" s="247" t="s">
        <v>157</v>
      </c>
      <c r="I33" s="247" t="s">
        <v>153</v>
      </c>
      <c r="J33" s="137" t="s">
        <v>38</v>
      </c>
      <c r="K33" s="247" t="s">
        <v>154</v>
      </c>
      <c r="L33" s="247">
        <v>2</v>
      </c>
      <c r="M33" s="247"/>
      <c r="N33" s="247">
        <v>4</v>
      </c>
      <c r="O33" s="247">
        <v>0.55000000000000004</v>
      </c>
      <c r="P33" s="247">
        <v>0.5</v>
      </c>
      <c r="Q33" s="139">
        <f t="shared" si="0"/>
        <v>0.52500000000000002</v>
      </c>
      <c r="R33" s="247">
        <v>17.8</v>
      </c>
      <c r="S33" s="247">
        <v>100</v>
      </c>
      <c r="T33" s="140">
        <f t="shared" si="1"/>
        <v>33</v>
      </c>
      <c r="U33" s="247">
        <v>537</v>
      </c>
      <c r="V33" s="141">
        <f t="shared" si="2"/>
        <v>4430.25</v>
      </c>
      <c r="W33" s="247">
        <v>12</v>
      </c>
      <c r="X33" s="137" t="s">
        <v>39</v>
      </c>
      <c r="Y33" s="247" t="s">
        <v>69</v>
      </c>
      <c r="Z33" s="247" t="s">
        <v>90</v>
      </c>
      <c r="AA33" s="247" t="s">
        <v>78</v>
      </c>
      <c r="AB33" s="137" t="s">
        <v>408</v>
      </c>
      <c r="AC33" s="142"/>
    </row>
    <row r="34" spans="1:29" x14ac:dyDescent="0.15">
      <c r="A34" s="137" t="s">
        <v>61</v>
      </c>
      <c r="B34" s="137" t="s">
        <v>358</v>
      </c>
      <c r="C34" s="137">
        <v>2018</v>
      </c>
      <c r="D34" s="138" t="s">
        <v>407</v>
      </c>
      <c r="E34" s="137" t="s">
        <v>235</v>
      </c>
      <c r="F34" s="137" t="s">
        <v>236</v>
      </c>
      <c r="G34" s="137" t="s">
        <v>42</v>
      </c>
      <c r="H34" s="247" t="s">
        <v>157</v>
      </c>
      <c r="I34" s="247" t="s">
        <v>153</v>
      </c>
      <c r="J34" s="137" t="s">
        <v>38</v>
      </c>
      <c r="K34" s="247" t="s">
        <v>154</v>
      </c>
      <c r="L34" s="247">
        <v>3</v>
      </c>
      <c r="M34" s="247"/>
      <c r="N34" s="247">
        <v>4</v>
      </c>
      <c r="O34" s="247">
        <v>0.55000000000000004</v>
      </c>
      <c r="P34" s="247">
        <v>0.55000000000000004</v>
      </c>
      <c r="Q34" s="139">
        <f t="shared" si="0"/>
        <v>0.55000000000000004</v>
      </c>
      <c r="R34" s="247">
        <v>17.8</v>
      </c>
      <c r="S34" s="247">
        <v>108</v>
      </c>
      <c r="T34" s="140">
        <f t="shared" si="1"/>
        <v>33</v>
      </c>
      <c r="U34" s="247">
        <v>537</v>
      </c>
      <c r="V34" s="141">
        <f t="shared" si="2"/>
        <v>4430.25</v>
      </c>
      <c r="W34" s="247">
        <v>12</v>
      </c>
      <c r="X34" s="137" t="s">
        <v>39</v>
      </c>
      <c r="Y34" s="247" t="s">
        <v>69</v>
      </c>
      <c r="Z34" s="247" t="s">
        <v>90</v>
      </c>
      <c r="AA34" s="247" t="s">
        <v>78</v>
      </c>
      <c r="AB34" s="137" t="s">
        <v>408</v>
      </c>
      <c r="AC34" s="142"/>
    </row>
    <row r="35" spans="1:29" x14ac:dyDescent="0.15">
      <c r="A35" s="137" t="s">
        <v>61</v>
      </c>
      <c r="B35" s="137" t="s">
        <v>358</v>
      </c>
      <c r="C35" s="137">
        <v>2018</v>
      </c>
      <c r="D35" s="138" t="s">
        <v>407</v>
      </c>
      <c r="E35" s="137" t="s">
        <v>235</v>
      </c>
      <c r="F35" s="137" t="s">
        <v>236</v>
      </c>
      <c r="G35" s="137" t="s">
        <v>42</v>
      </c>
      <c r="H35" s="247" t="s">
        <v>155</v>
      </c>
      <c r="I35" s="247" t="s">
        <v>156</v>
      </c>
      <c r="J35" s="137" t="s">
        <v>38</v>
      </c>
      <c r="K35" s="247" t="s">
        <v>154</v>
      </c>
      <c r="L35" s="247">
        <v>1</v>
      </c>
      <c r="M35" s="247"/>
      <c r="N35" s="247">
        <v>1</v>
      </c>
      <c r="O35" s="247">
        <v>0.7</v>
      </c>
      <c r="P35" s="247">
        <v>0.7</v>
      </c>
      <c r="Q35" s="139">
        <f t="shared" si="0"/>
        <v>0.7</v>
      </c>
      <c r="R35" s="247">
        <v>17.399999999999999</v>
      </c>
      <c r="S35" s="247">
        <v>126</v>
      </c>
      <c r="T35" s="140">
        <f t="shared" si="1"/>
        <v>27</v>
      </c>
      <c r="U35" s="247">
        <v>105</v>
      </c>
      <c r="V35" s="141">
        <f t="shared" si="2"/>
        <v>2835</v>
      </c>
      <c r="W35" s="247">
        <v>12</v>
      </c>
      <c r="X35" s="137" t="s">
        <v>39</v>
      </c>
      <c r="Y35" s="247" t="s">
        <v>69</v>
      </c>
      <c r="Z35" s="247" t="s">
        <v>90</v>
      </c>
      <c r="AA35" s="247" t="s">
        <v>78</v>
      </c>
      <c r="AB35" s="137" t="s">
        <v>408</v>
      </c>
      <c r="AC35" s="142"/>
    </row>
    <row r="36" spans="1:29" x14ac:dyDescent="0.15">
      <c r="A36" s="137" t="s">
        <v>61</v>
      </c>
      <c r="B36" s="137" t="s">
        <v>358</v>
      </c>
      <c r="C36" s="137">
        <v>2018</v>
      </c>
      <c r="D36" s="138" t="s">
        <v>407</v>
      </c>
      <c r="E36" s="137" t="s">
        <v>235</v>
      </c>
      <c r="F36" s="137" t="s">
        <v>236</v>
      </c>
      <c r="G36" s="137" t="s">
        <v>42</v>
      </c>
      <c r="H36" s="247" t="s">
        <v>155</v>
      </c>
      <c r="I36" s="247" t="s">
        <v>156</v>
      </c>
      <c r="J36" s="137" t="s">
        <v>38</v>
      </c>
      <c r="K36" s="247" t="s">
        <v>154</v>
      </c>
      <c r="L36" s="247">
        <v>2</v>
      </c>
      <c r="M36" s="247"/>
      <c r="N36" s="247">
        <v>1</v>
      </c>
      <c r="O36" s="247">
        <v>0.75</v>
      </c>
      <c r="P36" s="247">
        <v>0.75</v>
      </c>
      <c r="Q36" s="139">
        <f t="shared" si="0"/>
        <v>0.75</v>
      </c>
      <c r="R36" s="247">
        <v>16.8</v>
      </c>
      <c r="S36" s="247">
        <v>132</v>
      </c>
      <c r="T36" s="140">
        <f t="shared" si="1"/>
        <v>25</v>
      </c>
      <c r="U36" s="247">
        <v>105</v>
      </c>
      <c r="V36" s="141">
        <f t="shared" si="2"/>
        <v>2625</v>
      </c>
      <c r="W36" s="247">
        <v>12</v>
      </c>
      <c r="X36" s="137" t="s">
        <v>39</v>
      </c>
      <c r="Y36" s="247" t="s">
        <v>69</v>
      </c>
      <c r="Z36" s="247" t="s">
        <v>90</v>
      </c>
      <c r="AA36" s="247" t="s">
        <v>78</v>
      </c>
      <c r="AB36" s="137" t="s">
        <v>408</v>
      </c>
      <c r="AC36" s="142"/>
    </row>
    <row r="37" spans="1:29" x14ac:dyDescent="0.15">
      <c r="A37" s="137" t="s">
        <v>61</v>
      </c>
      <c r="B37" s="137" t="s">
        <v>358</v>
      </c>
      <c r="C37" s="137">
        <v>2018</v>
      </c>
      <c r="D37" s="138" t="s">
        <v>407</v>
      </c>
      <c r="E37" s="137" t="s">
        <v>235</v>
      </c>
      <c r="F37" s="137" t="s">
        <v>236</v>
      </c>
      <c r="G37" s="137" t="s">
        <v>42</v>
      </c>
      <c r="H37" s="247" t="s">
        <v>155</v>
      </c>
      <c r="I37" s="247" t="s">
        <v>156</v>
      </c>
      <c r="J37" s="137" t="s">
        <v>38</v>
      </c>
      <c r="K37" s="247" t="s">
        <v>154</v>
      </c>
      <c r="L37" s="247">
        <v>3</v>
      </c>
      <c r="M37" s="247"/>
      <c r="N37" s="247">
        <v>1</v>
      </c>
      <c r="O37" s="247">
        <v>0.6</v>
      </c>
      <c r="P37" s="247">
        <v>0.65</v>
      </c>
      <c r="Q37" s="139">
        <f t="shared" si="0"/>
        <v>0.625</v>
      </c>
      <c r="R37" s="247">
        <v>16.8</v>
      </c>
      <c r="S37" s="247">
        <v>126</v>
      </c>
      <c r="T37" s="140">
        <f t="shared" si="1"/>
        <v>27</v>
      </c>
      <c r="U37" s="247">
        <v>105</v>
      </c>
      <c r="V37" s="141">
        <f t="shared" si="2"/>
        <v>2835</v>
      </c>
      <c r="W37" s="247">
        <v>12</v>
      </c>
      <c r="X37" s="137" t="s">
        <v>39</v>
      </c>
      <c r="Y37" s="247" t="s">
        <v>69</v>
      </c>
      <c r="Z37" s="247" t="s">
        <v>90</v>
      </c>
      <c r="AA37" s="247" t="s">
        <v>78</v>
      </c>
      <c r="AB37" s="137" t="s">
        <v>408</v>
      </c>
      <c r="AC37" s="142"/>
    </row>
    <row r="38" spans="1:29" x14ac:dyDescent="0.15">
      <c r="A38" s="137" t="s">
        <v>61</v>
      </c>
      <c r="B38" s="137" t="s">
        <v>358</v>
      </c>
      <c r="C38" s="137">
        <v>2018</v>
      </c>
      <c r="D38" s="138" t="s">
        <v>407</v>
      </c>
      <c r="E38" s="137" t="s">
        <v>235</v>
      </c>
      <c r="F38" s="137" t="s">
        <v>236</v>
      </c>
      <c r="G38" s="137" t="s">
        <v>42</v>
      </c>
      <c r="H38" s="247" t="s">
        <v>129</v>
      </c>
      <c r="I38" s="247" t="s">
        <v>153</v>
      </c>
      <c r="J38" s="137" t="s">
        <v>222</v>
      </c>
      <c r="K38" s="247" t="s">
        <v>59</v>
      </c>
      <c r="L38" s="247">
        <v>1</v>
      </c>
      <c r="M38" s="247"/>
      <c r="N38" s="247">
        <v>4</v>
      </c>
      <c r="O38" s="247">
        <v>0.9</v>
      </c>
      <c r="P38" s="247">
        <v>0.85</v>
      </c>
      <c r="Q38" s="139">
        <f t="shared" si="0"/>
        <v>0.875</v>
      </c>
      <c r="R38" s="247">
        <v>17.100000000000001</v>
      </c>
      <c r="S38" s="247">
        <v>92</v>
      </c>
      <c r="T38" s="140">
        <f t="shared" si="1"/>
        <v>36</v>
      </c>
      <c r="U38" s="247">
        <v>429</v>
      </c>
      <c r="V38" s="141">
        <f t="shared" si="2"/>
        <v>3861</v>
      </c>
      <c r="W38" s="247">
        <v>12</v>
      </c>
      <c r="X38" s="137" t="s">
        <v>39</v>
      </c>
      <c r="Y38" s="247" t="s">
        <v>69</v>
      </c>
      <c r="Z38" s="247" t="s">
        <v>90</v>
      </c>
      <c r="AA38" s="247" t="s">
        <v>78</v>
      </c>
      <c r="AB38" s="137" t="s">
        <v>408</v>
      </c>
      <c r="AC38" s="142"/>
    </row>
    <row r="39" spans="1:29" x14ac:dyDescent="0.15">
      <c r="A39" s="137" t="s">
        <v>61</v>
      </c>
      <c r="B39" s="137" t="s">
        <v>358</v>
      </c>
      <c r="C39" s="137">
        <v>2018</v>
      </c>
      <c r="D39" s="138" t="s">
        <v>407</v>
      </c>
      <c r="E39" s="137" t="s">
        <v>235</v>
      </c>
      <c r="F39" s="137" t="s">
        <v>236</v>
      </c>
      <c r="G39" s="137" t="s">
        <v>42</v>
      </c>
      <c r="H39" s="247" t="s">
        <v>129</v>
      </c>
      <c r="I39" s="247" t="s">
        <v>153</v>
      </c>
      <c r="J39" s="137" t="s">
        <v>222</v>
      </c>
      <c r="K39" s="247" t="s">
        <v>59</v>
      </c>
      <c r="L39" s="247">
        <v>2</v>
      </c>
      <c r="M39" s="247"/>
      <c r="N39" s="247">
        <v>4</v>
      </c>
      <c r="O39" s="247">
        <v>0.9</v>
      </c>
      <c r="P39" s="247">
        <v>0.9</v>
      </c>
      <c r="Q39" s="139">
        <f t="shared" si="0"/>
        <v>0.9</v>
      </c>
      <c r="R39" s="247">
        <v>16.8</v>
      </c>
      <c r="S39" s="247">
        <v>93</v>
      </c>
      <c r="T39" s="140">
        <f t="shared" si="1"/>
        <v>36</v>
      </c>
      <c r="U39" s="247">
        <v>429</v>
      </c>
      <c r="V39" s="141">
        <f t="shared" si="2"/>
        <v>3861</v>
      </c>
      <c r="W39" s="247">
        <v>12</v>
      </c>
      <c r="X39" s="137" t="s">
        <v>39</v>
      </c>
      <c r="Y39" s="247" t="s">
        <v>69</v>
      </c>
      <c r="Z39" s="247" t="s">
        <v>90</v>
      </c>
      <c r="AA39" s="247" t="s">
        <v>78</v>
      </c>
      <c r="AB39" s="137" t="s">
        <v>408</v>
      </c>
      <c r="AC39" s="142"/>
    </row>
    <row r="40" spans="1:29" x14ac:dyDescent="0.15">
      <c r="A40" s="137" t="s">
        <v>61</v>
      </c>
      <c r="B40" s="137" t="s">
        <v>358</v>
      </c>
      <c r="C40" s="137">
        <v>2018</v>
      </c>
      <c r="D40" s="138" t="s">
        <v>407</v>
      </c>
      <c r="E40" s="137" t="s">
        <v>235</v>
      </c>
      <c r="F40" s="137" t="s">
        <v>236</v>
      </c>
      <c r="G40" s="137" t="s">
        <v>42</v>
      </c>
      <c r="H40" s="247" t="s">
        <v>129</v>
      </c>
      <c r="I40" s="247" t="s">
        <v>153</v>
      </c>
      <c r="J40" s="137" t="s">
        <v>222</v>
      </c>
      <c r="K40" s="247" t="s">
        <v>59</v>
      </c>
      <c r="L40" s="247">
        <v>3</v>
      </c>
      <c r="M40" s="247"/>
      <c r="N40" s="247">
        <v>4</v>
      </c>
      <c r="O40" s="247">
        <v>0.85</v>
      </c>
      <c r="P40" s="247">
        <v>0.85</v>
      </c>
      <c r="Q40" s="139">
        <f t="shared" si="0"/>
        <v>0.85</v>
      </c>
      <c r="R40" s="247">
        <v>17.100000000000001</v>
      </c>
      <c r="S40" s="247">
        <v>89</v>
      </c>
      <c r="T40" s="140">
        <f t="shared" si="1"/>
        <v>36</v>
      </c>
      <c r="U40" s="247">
        <v>429</v>
      </c>
      <c r="V40" s="141">
        <f t="shared" si="2"/>
        <v>3861</v>
      </c>
      <c r="W40" s="247">
        <v>12</v>
      </c>
      <c r="X40" s="137" t="s">
        <v>39</v>
      </c>
      <c r="Y40" s="247" t="s">
        <v>69</v>
      </c>
      <c r="Z40" s="247" t="s">
        <v>90</v>
      </c>
      <c r="AA40" s="247" t="s">
        <v>78</v>
      </c>
      <c r="AB40" s="137" t="s">
        <v>408</v>
      </c>
      <c r="AC40" s="142"/>
    </row>
    <row r="41" spans="1:29" x14ac:dyDescent="0.15">
      <c r="A41" s="137" t="s">
        <v>61</v>
      </c>
      <c r="B41" s="137" t="s">
        <v>358</v>
      </c>
      <c r="C41" s="137">
        <v>2018</v>
      </c>
      <c r="D41" s="138" t="s">
        <v>407</v>
      </c>
      <c r="E41" s="137" t="s">
        <v>238</v>
      </c>
      <c r="F41" s="137" t="s">
        <v>239</v>
      </c>
      <c r="G41" s="137" t="s">
        <v>42</v>
      </c>
      <c r="H41" s="247" t="s">
        <v>155</v>
      </c>
      <c r="I41" s="247" t="s">
        <v>153</v>
      </c>
      <c r="J41" s="137" t="s">
        <v>38</v>
      </c>
      <c r="K41" s="247" t="s">
        <v>154</v>
      </c>
      <c r="L41" s="247">
        <v>1</v>
      </c>
      <c r="M41" s="247"/>
      <c r="N41" s="247">
        <v>1</v>
      </c>
      <c r="O41" s="247">
        <v>0.65</v>
      </c>
      <c r="P41" s="247">
        <v>0.65</v>
      </c>
      <c r="Q41" s="139">
        <f t="shared" si="0"/>
        <v>0.65</v>
      </c>
      <c r="R41" s="247">
        <v>17.2</v>
      </c>
      <c r="S41" s="247">
        <v>132</v>
      </c>
      <c r="T41" s="140">
        <f t="shared" si="1"/>
        <v>25</v>
      </c>
      <c r="U41" s="247">
        <v>98</v>
      </c>
      <c r="V41" s="141">
        <f t="shared" si="2"/>
        <v>2450</v>
      </c>
      <c r="W41" s="247">
        <v>3</v>
      </c>
      <c r="X41" s="137" t="s">
        <v>39</v>
      </c>
      <c r="Y41" s="247" t="s">
        <v>84</v>
      </c>
      <c r="Z41" s="247" t="s">
        <v>90</v>
      </c>
      <c r="AA41" s="247" t="s">
        <v>69</v>
      </c>
      <c r="AB41" s="137" t="s">
        <v>408</v>
      </c>
      <c r="AC41" s="142"/>
    </row>
    <row r="42" spans="1:29" x14ac:dyDescent="0.15">
      <c r="A42" s="137" t="s">
        <v>61</v>
      </c>
      <c r="B42" s="137" t="s">
        <v>358</v>
      </c>
      <c r="C42" s="137">
        <v>2018</v>
      </c>
      <c r="D42" s="138" t="s">
        <v>407</v>
      </c>
      <c r="E42" s="137" t="s">
        <v>238</v>
      </c>
      <c r="F42" s="137" t="s">
        <v>239</v>
      </c>
      <c r="G42" s="137" t="s">
        <v>42</v>
      </c>
      <c r="H42" s="247" t="s">
        <v>155</v>
      </c>
      <c r="I42" s="247" t="s">
        <v>153</v>
      </c>
      <c r="J42" s="137" t="s">
        <v>38</v>
      </c>
      <c r="K42" s="247" t="s">
        <v>154</v>
      </c>
      <c r="L42" s="247">
        <v>2</v>
      </c>
      <c r="M42" s="247"/>
      <c r="N42" s="247">
        <v>1</v>
      </c>
      <c r="O42" s="247">
        <v>0.6</v>
      </c>
      <c r="P42" s="247">
        <v>0.6</v>
      </c>
      <c r="Q42" s="139">
        <f t="shared" si="0"/>
        <v>0.6</v>
      </c>
      <c r="R42" s="247">
        <v>17.2</v>
      </c>
      <c r="S42" s="247">
        <v>32</v>
      </c>
      <c r="T42" s="140">
        <f t="shared" si="1"/>
        <v>50</v>
      </c>
      <c r="U42" s="247">
        <v>98</v>
      </c>
      <c r="V42" s="141">
        <f t="shared" si="2"/>
        <v>4900</v>
      </c>
      <c r="W42" s="247">
        <v>3</v>
      </c>
      <c r="X42" s="137" t="s">
        <v>39</v>
      </c>
      <c r="Y42" s="247" t="s">
        <v>84</v>
      </c>
      <c r="Z42" s="247" t="s">
        <v>90</v>
      </c>
      <c r="AA42" s="247" t="s">
        <v>69</v>
      </c>
      <c r="AB42" s="137" t="s">
        <v>408</v>
      </c>
      <c r="AC42" s="142"/>
    </row>
    <row r="43" spans="1:29" x14ac:dyDescent="0.15">
      <c r="A43" s="137" t="s">
        <v>61</v>
      </c>
      <c r="B43" s="137" t="s">
        <v>358</v>
      </c>
      <c r="C43" s="137">
        <v>2018</v>
      </c>
      <c r="D43" s="138" t="s">
        <v>407</v>
      </c>
      <c r="E43" s="137" t="s">
        <v>238</v>
      </c>
      <c r="F43" s="137" t="s">
        <v>239</v>
      </c>
      <c r="G43" s="137" t="s">
        <v>42</v>
      </c>
      <c r="H43" s="247" t="s">
        <v>155</v>
      </c>
      <c r="I43" s="247" t="s">
        <v>153</v>
      </c>
      <c r="J43" s="137" t="s">
        <v>38</v>
      </c>
      <c r="K43" s="247" t="s">
        <v>154</v>
      </c>
      <c r="L43" s="247">
        <v>3</v>
      </c>
      <c r="M43" s="247"/>
      <c r="N43" s="247">
        <v>1</v>
      </c>
      <c r="O43" s="247">
        <v>0.65</v>
      </c>
      <c r="P43" s="247">
        <v>0.6</v>
      </c>
      <c r="Q43" s="139">
        <f t="shared" si="0"/>
        <v>0.625</v>
      </c>
      <c r="R43" s="247">
        <v>17.100000000000001</v>
      </c>
      <c r="S43" s="247">
        <v>127</v>
      </c>
      <c r="T43" s="140">
        <f t="shared" si="1"/>
        <v>27</v>
      </c>
      <c r="U43" s="247">
        <v>98</v>
      </c>
      <c r="V43" s="141">
        <f t="shared" si="2"/>
        <v>2646</v>
      </c>
      <c r="W43" s="247">
        <v>3</v>
      </c>
      <c r="X43" s="137" t="s">
        <v>39</v>
      </c>
      <c r="Y43" s="247" t="s">
        <v>84</v>
      </c>
      <c r="Z43" s="247" t="s">
        <v>90</v>
      </c>
      <c r="AA43" s="247" t="s">
        <v>69</v>
      </c>
      <c r="AB43" s="137" t="s">
        <v>408</v>
      </c>
      <c r="AC43" s="142"/>
    </row>
    <row r="44" spans="1:29" x14ac:dyDescent="0.15">
      <c r="A44" s="137" t="s">
        <v>61</v>
      </c>
      <c r="B44" s="137" t="s">
        <v>358</v>
      </c>
      <c r="C44" s="137">
        <v>2018</v>
      </c>
      <c r="D44" s="138" t="s">
        <v>407</v>
      </c>
      <c r="E44" s="137" t="s">
        <v>238</v>
      </c>
      <c r="F44" s="137" t="s">
        <v>239</v>
      </c>
      <c r="G44" s="137" t="s">
        <v>42</v>
      </c>
      <c r="H44" s="247" t="s">
        <v>157</v>
      </c>
      <c r="I44" s="247" t="s">
        <v>153</v>
      </c>
      <c r="J44" s="137" t="s">
        <v>38</v>
      </c>
      <c r="K44" s="247" t="s">
        <v>154</v>
      </c>
      <c r="L44" s="247">
        <v>1</v>
      </c>
      <c r="M44" s="247"/>
      <c r="N44" s="247">
        <v>1</v>
      </c>
      <c r="O44" s="247">
        <v>0.5</v>
      </c>
      <c r="P44" s="247">
        <v>0.5</v>
      </c>
      <c r="Q44" s="139">
        <f t="shared" si="0"/>
        <v>0.5</v>
      </c>
      <c r="R44" s="247">
        <v>16.8</v>
      </c>
      <c r="S44" s="247">
        <v>136</v>
      </c>
      <c r="T44" s="140">
        <f t="shared" si="1"/>
        <v>25</v>
      </c>
      <c r="U44" s="247">
        <v>138</v>
      </c>
      <c r="V44" s="141">
        <f t="shared" si="2"/>
        <v>3450</v>
      </c>
      <c r="W44" s="247">
        <v>3</v>
      </c>
      <c r="X44" s="137" t="s">
        <v>39</v>
      </c>
      <c r="Y44" s="247" t="s">
        <v>84</v>
      </c>
      <c r="Z44" s="247" t="s">
        <v>90</v>
      </c>
      <c r="AA44" s="247" t="s">
        <v>69</v>
      </c>
      <c r="AB44" s="137" t="s">
        <v>408</v>
      </c>
      <c r="AC44" s="142"/>
    </row>
    <row r="45" spans="1:29" x14ac:dyDescent="0.15">
      <c r="A45" s="137" t="s">
        <v>61</v>
      </c>
      <c r="B45" s="137" t="s">
        <v>358</v>
      </c>
      <c r="C45" s="137">
        <v>2018</v>
      </c>
      <c r="D45" s="138" t="s">
        <v>407</v>
      </c>
      <c r="E45" s="137" t="s">
        <v>238</v>
      </c>
      <c r="F45" s="137" t="s">
        <v>239</v>
      </c>
      <c r="G45" s="137" t="s">
        <v>42</v>
      </c>
      <c r="H45" s="247" t="s">
        <v>157</v>
      </c>
      <c r="I45" s="247" t="s">
        <v>153</v>
      </c>
      <c r="J45" s="137" t="s">
        <v>38</v>
      </c>
      <c r="K45" s="247" t="s">
        <v>154</v>
      </c>
      <c r="L45" s="247">
        <v>2</v>
      </c>
      <c r="M45" s="247"/>
      <c r="N45" s="247">
        <v>1</v>
      </c>
      <c r="O45" s="247">
        <v>0.55000000000000004</v>
      </c>
      <c r="P45" s="247">
        <v>0.5</v>
      </c>
      <c r="Q45" s="139">
        <f t="shared" si="0"/>
        <v>0.52500000000000002</v>
      </c>
      <c r="R45" s="247">
        <v>17.5</v>
      </c>
      <c r="S45" s="247">
        <v>142</v>
      </c>
      <c r="T45" s="140">
        <f t="shared" si="1"/>
        <v>22</v>
      </c>
      <c r="U45" s="247">
        <v>138</v>
      </c>
      <c r="V45" s="141">
        <f t="shared" si="2"/>
        <v>3036</v>
      </c>
      <c r="W45" s="247">
        <v>3</v>
      </c>
      <c r="X45" s="137" t="s">
        <v>39</v>
      </c>
      <c r="Y45" s="247" t="s">
        <v>84</v>
      </c>
      <c r="Z45" s="247" t="s">
        <v>90</v>
      </c>
      <c r="AA45" s="247" t="s">
        <v>69</v>
      </c>
      <c r="AB45" s="137" t="s">
        <v>408</v>
      </c>
      <c r="AC45" s="142"/>
    </row>
    <row r="46" spans="1:29" x14ac:dyDescent="0.15">
      <c r="A46" s="137" t="s">
        <v>61</v>
      </c>
      <c r="B46" s="137" t="s">
        <v>358</v>
      </c>
      <c r="C46" s="137">
        <v>2018</v>
      </c>
      <c r="D46" s="138" t="s">
        <v>407</v>
      </c>
      <c r="E46" s="137" t="s">
        <v>238</v>
      </c>
      <c r="F46" s="137" t="s">
        <v>239</v>
      </c>
      <c r="G46" s="137" t="s">
        <v>42</v>
      </c>
      <c r="H46" s="247" t="s">
        <v>157</v>
      </c>
      <c r="I46" s="247" t="s">
        <v>153</v>
      </c>
      <c r="J46" s="137" t="s">
        <v>38</v>
      </c>
      <c r="K46" s="247" t="s">
        <v>154</v>
      </c>
      <c r="L46" s="247">
        <v>3</v>
      </c>
      <c r="M46" s="247"/>
      <c r="N46" s="247">
        <v>1</v>
      </c>
      <c r="O46" s="247">
        <v>0.6</v>
      </c>
      <c r="P46" s="247">
        <v>0.5</v>
      </c>
      <c r="Q46" s="139">
        <f t="shared" si="0"/>
        <v>0.55000000000000004</v>
      </c>
      <c r="R46" s="247">
        <v>17.100000000000001</v>
      </c>
      <c r="S46" s="247">
        <v>144</v>
      </c>
      <c r="T46" s="140">
        <f t="shared" si="1"/>
        <v>22</v>
      </c>
      <c r="U46" s="247">
        <v>138</v>
      </c>
      <c r="V46" s="141">
        <f t="shared" si="2"/>
        <v>3036</v>
      </c>
      <c r="W46" s="247">
        <v>3</v>
      </c>
      <c r="X46" s="137" t="s">
        <v>39</v>
      </c>
      <c r="Y46" s="247" t="s">
        <v>84</v>
      </c>
      <c r="Z46" s="247" t="s">
        <v>90</v>
      </c>
      <c r="AA46" s="247" t="s">
        <v>69</v>
      </c>
      <c r="AB46" s="137" t="s">
        <v>408</v>
      </c>
      <c r="AC46" s="142"/>
    </row>
    <row r="47" spans="1:29" x14ac:dyDescent="0.15">
      <c r="A47" s="137" t="s">
        <v>61</v>
      </c>
      <c r="B47" s="137" t="s">
        <v>358</v>
      </c>
      <c r="C47" s="137">
        <v>2018</v>
      </c>
      <c r="D47" s="138" t="s">
        <v>407</v>
      </c>
      <c r="E47" s="137" t="s">
        <v>240</v>
      </c>
      <c r="F47" s="137" t="s">
        <v>241</v>
      </c>
      <c r="G47" s="137" t="s">
        <v>42</v>
      </c>
      <c r="H47" s="247" t="s">
        <v>155</v>
      </c>
      <c r="I47" s="247" t="s">
        <v>153</v>
      </c>
      <c r="J47" s="137" t="s">
        <v>38</v>
      </c>
      <c r="K47" s="247" t="s">
        <v>154</v>
      </c>
      <c r="L47" s="247">
        <v>1</v>
      </c>
      <c r="M47" s="247"/>
      <c r="N47" s="247">
        <v>1</v>
      </c>
      <c r="O47" s="247">
        <v>1.1000000000000001</v>
      </c>
      <c r="P47" s="247">
        <v>1</v>
      </c>
      <c r="Q47" s="139">
        <f t="shared" si="0"/>
        <v>1.05</v>
      </c>
      <c r="R47" s="247">
        <v>17</v>
      </c>
      <c r="S47" s="247">
        <v>138</v>
      </c>
      <c r="T47" s="140">
        <f t="shared" si="1"/>
        <v>22</v>
      </c>
      <c r="U47" s="247">
        <v>138</v>
      </c>
      <c r="V47" s="141">
        <f t="shared" si="2"/>
        <v>3036</v>
      </c>
      <c r="W47" s="247">
        <v>9</v>
      </c>
      <c r="X47" s="137" t="s">
        <v>39</v>
      </c>
      <c r="Y47" s="247" t="s">
        <v>84</v>
      </c>
      <c r="Z47" s="247" t="s">
        <v>50</v>
      </c>
      <c r="AA47" s="247" t="s">
        <v>102</v>
      </c>
      <c r="AB47" s="137" t="s">
        <v>408</v>
      </c>
      <c r="AC47" s="142"/>
    </row>
    <row r="48" spans="1:29" x14ac:dyDescent="0.15">
      <c r="A48" s="137" t="s">
        <v>61</v>
      </c>
      <c r="B48" s="137" t="s">
        <v>358</v>
      </c>
      <c r="C48" s="137">
        <v>2018</v>
      </c>
      <c r="D48" s="138" t="s">
        <v>407</v>
      </c>
      <c r="E48" s="137" t="s">
        <v>240</v>
      </c>
      <c r="F48" s="137" t="s">
        <v>241</v>
      </c>
      <c r="G48" s="137" t="s">
        <v>42</v>
      </c>
      <c r="H48" s="247" t="s">
        <v>155</v>
      </c>
      <c r="I48" s="247" t="s">
        <v>153</v>
      </c>
      <c r="J48" s="137" t="s">
        <v>38</v>
      </c>
      <c r="K48" s="247" t="s">
        <v>154</v>
      </c>
      <c r="L48" s="247">
        <v>2</v>
      </c>
      <c r="M48" s="247"/>
      <c r="N48" s="247">
        <v>1</v>
      </c>
      <c r="O48" s="247">
        <v>0.8</v>
      </c>
      <c r="P48" s="247">
        <v>0.85</v>
      </c>
      <c r="Q48" s="139">
        <f t="shared" si="0"/>
        <v>0.82499999999999996</v>
      </c>
      <c r="R48" s="247">
        <v>17.100000000000001</v>
      </c>
      <c r="S48" s="247">
        <v>139</v>
      </c>
      <c r="T48" s="140">
        <f t="shared" si="1"/>
        <v>22</v>
      </c>
      <c r="U48" s="247">
        <v>138</v>
      </c>
      <c r="V48" s="141">
        <f t="shared" si="2"/>
        <v>3036</v>
      </c>
      <c r="W48" s="247">
        <v>9</v>
      </c>
      <c r="X48" s="137" t="s">
        <v>39</v>
      </c>
      <c r="Y48" s="247" t="s">
        <v>84</v>
      </c>
      <c r="Z48" s="247" t="s">
        <v>50</v>
      </c>
      <c r="AA48" s="247" t="s">
        <v>102</v>
      </c>
      <c r="AB48" s="137" t="s">
        <v>408</v>
      </c>
      <c r="AC48" s="142"/>
    </row>
    <row r="49" spans="1:29" x14ac:dyDescent="0.15">
      <c r="A49" s="137" t="s">
        <v>61</v>
      </c>
      <c r="B49" s="137" t="s">
        <v>358</v>
      </c>
      <c r="C49" s="137">
        <v>2018</v>
      </c>
      <c r="D49" s="138" t="s">
        <v>407</v>
      </c>
      <c r="E49" s="137" t="s">
        <v>240</v>
      </c>
      <c r="F49" s="137" t="s">
        <v>241</v>
      </c>
      <c r="G49" s="137" t="s">
        <v>42</v>
      </c>
      <c r="H49" s="247" t="s">
        <v>155</v>
      </c>
      <c r="I49" s="247" t="s">
        <v>153</v>
      </c>
      <c r="J49" s="137" t="s">
        <v>38</v>
      </c>
      <c r="K49" s="247" t="s">
        <v>154</v>
      </c>
      <c r="L49" s="247">
        <v>3</v>
      </c>
      <c r="M49" s="247"/>
      <c r="N49" s="247">
        <v>1</v>
      </c>
      <c r="O49" s="247">
        <v>0.9</v>
      </c>
      <c r="P49" s="247">
        <v>0.9</v>
      </c>
      <c r="Q49" s="139">
        <f t="shared" si="0"/>
        <v>0.9</v>
      </c>
      <c r="R49" s="247">
        <v>17.100000000000001</v>
      </c>
      <c r="S49" s="247">
        <v>136</v>
      </c>
      <c r="T49" s="140">
        <f t="shared" si="1"/>
        <v>25</v>
      </c>
      <c r="U49" s="247">
        <v>138</v>
      </c>
      <c r="V49" s="141">
        <f t="shared" si="2"/>
        <v>3450</v>
      </c>
      <c r="W49" s="247">
        <v>9</v>
      </c>
      <c r="X49" s="137" t="s">
        <v>39</v>
      </c>
      <c r="Y49" s="247" t="s">
        <v>84</v>
      </c>
      <c r="Z49" s="247" t="s">
        <v>50</v>
      </c>
      <c r="AA49" s="247" t="s">
        <v>102</v>
      </c>
      <c r="AB49" s="137" t="s">
        <v>408</v>
      </c>
      <c r="AC49" s="142"/>
    </row>
    <row r="50" spans="1:29" x14ac:dyDescent="0.15">
      <c r="A50" s="137" t="s">
        <v>61</v>
      </c>
      <c r="B50" s="137" t="s">
        <v>358</v>
      </c>
      <c r="C50" s="137">
        <v>2018</v>
      </c>
      <c r="D50" s="138" t="s">
        <v>407</v>
      </c>
      <c r="E50" s="137" t="s">
        <v>240</v>
      </c>
      <c r="F50" s="137" t="s">
        <v>241</v>
      </c>
      <c r="G50" s="137" t="s">
        <v>42</v>
      </c>
      <c r="H50" s="247" t="s">
        <v>157</v>
      </c>
      <c r="I50" s="247" t="s">
        <v>153</v>
      </c>
      <c r="J50" s="137" t="s">
        <v>38</v>
      </c>
      <c r="K50" s="247" t="s">
        <v>154</v>
      </c>
      <c r="L50" s="247">
        <v>1</v>
      </c>
      <c r="M50" s="247"/>
      <c r="N50" s="247">
        <v>1</v>
      </c>
      <c r="O50" s="247">
        <v>0.6</v>
      </c>
      <c r="P50" s="247">
        <v>0.55000000000000004</v>
      </c>
      <c r="Q50" s="139">
        <f t="shared" si="0"/>
        <v>0.57499999999999996</v>
      </c>
      <c r="R50" s="247">
        <v>17.2</v>
      </c>
      <c r="S50" s="247">
        <v>138</v>
      </c>
      <c r="T50" s="140">
        <f t="shared" si="1"/>
        <v>22</v>
      </c>
      <c r="U50" s="247">
        <v>149</v>
      </c>
      <c r="V50" s="141">
        <f t="shared" si="2"/>
        <v>3278</v>
      </c>
      <c r="W50" s="247">
        <v>9</v>
      </c>
      <c r="X50" s="137" t="s">
        <v>39</v>
      </c>
      <c r="Y50" s="247" t="s">
        <v>84</v>
      </c>
      <c r="Z50" s="247" t="s">
        <v>50</v>
      </c>
      <c r="AA50" s="247" t="s">
        <v>102</v>
      </c>
      <c r="AB50" s="137" t="s">
        <v>408</v>
      </c>
      <c r="AC50" s="142"/>
    </row>
    <row r="51" spans="1:29" x14ac:dyDescent="0.15">
      <c r="A51" s="137" t="s">
        <v>61</v>
      </c>
      <c r="B51" s="137" t="s">
        <v>358</v>
      </c>
      <c r="C51" s="137">
        <v>2018</v>
      </c>
      <c r="D51" s="138" t="s">
        <v>407</v>
      </c>
      <c r="E51" s="137" t="s">
        <v>240</v>
      </c>
      <c r="F51" s="137" t="s">
        <v>241</v>
      </c>
      <c r="G51" s="137" t="s">
        <v>42</v>
      </c>
      <c r="H51" s="247" t="s">
        <v>157</v>
      </c>
      <c r="I51" s="247" t="s">
        <v>153</v>
      </c>
      <c r="J51" s="137" t="s">
        <v>38</v>
      </c>
      <c r="K51" s="247" t="s">
        <v>154</v>
      </c>
      <c r="L51" s="247">
        <v>2</v>
      </c>
      <c r="M51" s="247"/>
      <c r="N51" s="247">
        <v>1</v>
      </c>
      <c r="O51" s="247">
        <v>0.6</v>
      </c>
      <c r="P51" s="247">
        <v>0.6</v>
      </c>
      <c r="Q51" s="139">
        <f t="shared" si="0"/>
        <v>0.6</v>
      </c>
      <c r="R51" s="247">
        <v>17.100000000000001</v>
      </c>
      <c r="S51" s="247">
        <v>138</v>
      </c>
      <c r="T51" s="140">
        <f t="shared" si="1"/>
        <v>22</v>
      </c>
      <c r="U51" s="247">
        <v>149</v>
      </c>
      <c r="V51" s="141">
        <f t="shared" si="2"/>
        <v>3278</v>
      </c>
      <c r="W51" s="247">
        <v>9</v>
      </c>
      <c r="X51" s="137" t="s">
        <v>39</v>
      </c>
      <c r="Y51" s="247" t="s">
        <v>84</v>
      </c>
      <c r="Z51" s="247" t="s">
        <v>50</v>
      </c>
      <c r="AA51" s="247" t="s">
        <v>102</v>
      </c>
      <c r="AB51" s="137" t="s">
        <v>408</v>
      </c>
      <c r="AC51" s="142"/>
    </row>
    <row r="52" spans="1:29" x14ac:dyDescent="0.15">
      <c r="A52" s="137" t="s">
        <v>61</v>
      </c>
      <c r="B52" s="137" t="s">
        <v>358</v>
      </c>
      <c r="C52" s="137">
        <v>2018</v>
      </c>
      <c r="D52" s="138" t="s">
        <v>407</v>
      </c>
      <c r="E52" s="137" t="s">
        <v>240</v>
      </c>
      <c r="F52" s="137" t="s">
        <v>241</v>
      </c>
      <c r="G52" s="137" t="s">
        <v>42</v>
      </c>
      <c r="H52" s="247" t="s">
        <v>157</v>
      </c>
      <c r="I52" s="247" t="s">
        <v>153</v>
      </c>
      <c r="J52" s="137" t="s">
        <v>38</v>
      </c>
      <c r="K52" s="247" t="s">
        <v>154</v>
      </c>
      <c r="L52" s="247">
        <v>3</v>
      </c>
      <c r="M52" s="247"/>
      <c r="N52" s="247">
        <v>1</v>
      </c>
      <c r="O52" s="247">
        <v>0.65</v>
      </c>
      <c r="P52" s="247">
        <v>0.6</v>
      </c>
      <c r="Q52" s="139">
        <f t="shared" si="0"/>
        <v>0.625</v>
      </c>
      <c r="R52" s="247">
        <v>17.3</v>
      </c>
      <c r="S52" s="247">
        <v>142</v>
      </c>
      <c r="T52" s="140">
        <f t="shared" si="1"/>
        <v>22</v>
      </c>
      <c r="U52" s="247">
        <v>149</v>
      </c>
      <c r="V52" s="141">
        <f t="shared" si="2"/>
        <v>3278</v>
      </c>
      <c r="W52" s="247">
        <v>9</v>
      </c>
      <c r="X52" s="137" t="s">
        <v>39</v>
      </c>
      <c r="Y52" s="247" t="s">
        <v>84</v>
      </c>
      <c r="Z52" s="247" t="s">
        <v>50</v>
      </c>
      <c r="AA52" s="247" t="s">
        <v>102</v>
      </c>
      <c r="AB52" s="137" t="s">
        <v>408</v>
      </c>
      <c r="AC52" s="142"/>
    </row>
    <row r="53" spans="1:29" x14ac:dyDescent="0.15">
      <c r="A53" s="137" t="s">
        <v>61</v>
      </c>
      <c r="B53" s="137" t="s">
        <v>358</v>
      </c>
      <c r="C53" s="137">
        <v>2018</v>
      </c>
      <c r="D53" s="138" t="s">
        <v>407</v>
      </c>
      <c r="E53" s="137" t="s">
        <v>133</v>
      </c>
      <c r="F53" s="137" t="s">
        <v>242</v>
      </c>
      <c r="G53" s="137" t="s">
        <v>42</v>
      </c>
      <c r="H53" s="247" t="s">
        <v>155</v>
      </c>
      <c r="I53" s="247" t="s">
        <v>153</v>
      </c>
      <c r="J53" s="137" t="s">
        <v>38</v>
      </c>
      <c r="K53" s="247" t="s">
        <v>154</v>
      </c>
      <c r="L53" s="247">
        <v>1</v>
      </c>
      <c r="M53" s="247"/>
      <c r="N53" s="247">
        <v>1</v>
      </c>
      <c r="O53" s="247">
        <v>0.6</v>
      </c>
      <c r="P53" s="247">
        <v>0.65</v>
      </c>
      <c r="Q53" s="139">
        <f t="shared" si="0"/>
        <v>0.625</v>
      </c>
      <c r="R53" s="247">
        <v>17.3</v>
      </c>
      <c r="S53" s="247">
        <v>147</v>
      </c>
      <c r="T53" s="140">
        <f t="shared" si="1"/>
        <v>22</v>
      </c>
      <c r="U53" s="247">
        <v>105</v>
      </c>
      <c r="V53" s="141">
        <f t="shared" si="2"/>
        <v>2310</v>
      </c>
      <c r="W53" s="247">
        <v>13</v>
      </c>
      <c r="X53" s="137" t="s">
        <v>46</v>
      </c>
      <c r="Y53" s="247" t="s">
        <v>78</v>
      </c>
      <c r="Z53" s="247" t="s">
        <v>90</v>
      </c>
      <c r="AA53" s="247" t="s">
        <v>69</v>
      </c>
      <c r="AB53" s="137" t="s">
        <v>408</v>
      </c>
      <c r="AC53" s="247"/>
    </row>
    <row r="54" spans="1:29" x14ac:dyDescent="0.15">
      <c r="A54" s="137" t="s">
        <v>61</v>
      </c>
      <c r="B54" s="137" t="s">
        <v>358</v>
      </c>
      <c r="C54" s="137">
        <v>2018</v>
      </c>
      <c r="D54" s="138" t="s">
        <v>407</v>
      </c>
      <c r="E54" s="137" t="s">
        <v>133</v>
      </c>
      <c r="F54" s="137" t="s">
        <v>242</v>
      </c>
      <c r="G54" s="137" t="s">
        <v>42</v>
      </c>
      <c r="H54" s="247" t="s">
        <v>155</v>
      </c>
      <c r="I54" s="247" t="s">
        <v>153</v>
      </c>
      <c r="J54" s="137" t="s">
        <v>38</v>
      </c>
      <c r="K54" s="247" t="s">
        <v>154</v>
      </c>
      <c r="L54" s="247">
        <v>2</v>
      </c>
      <c r="M54" s="247"/>
      <c r="N54" s="247">
        <v>1</v>
      </c>
      <c r="O54" s="247">
        <v>0.65</v>
      </c>
      <c r="P54" s="247">
        <v>0.65</v>
      </c>
      <c r="Q54" s="139">
        <f t="shared" si="0"/>
        <v>0.65</v>
      </c>
      <c r="R54" s="247">
        <v>17.100000000000001</v>
      </c>
      <c r="S54" s="247">
        <v>152</v>
      </c>
      <c r="T54" s="140">
        <f t="shared" si="1"/>
        <v>18</v>
      </c>
      <c r="U54" s="247">
        <v>105</v>
      </c>
      <c r="V54" s="141">
        <f t="shared" si="2"/>
        <v>1890</v>
      </c>
      <c r="W54" s="247">
        <v>13</v>
      </c>
      <c r="X54" s="137" t="s">
        <v>46</v>
      </c>
      <c r="Y54" s="247" t="s">
        <v>78</v>
      </c>
      <c r="Z54" s="247" t="s">
        <v>90</v>
      </c>
      <c r="AA54" s="247" t="s">
        <v>69</v>
      </c>
      <c r="AB54" s="137" t="s">
        <v>408</v>
      </c>
      <c r="AC54" s="247"/>
    </row>
    <row r="55" spans="1:29" x14ac:dyDescent="0.15">
      <c r="A55" s="137" t="s">
        <v>61</v>
      </c>
      <c r="B55" s="137" t="s">
        <v>358</v>
      </c>
      <c r="C55" s="137">
        <v>2018</v>
      </c>
      <c r="D55" s="138" t="s">
        <v>407</v>
      </c>
      <c r="E55" s="137" t="s">
        <v>133</v>
      </c>
      <c r="F55" s="137" t="s">
        <v>242</v>
      </c>
      <c r="G55" s="137" t="s">
        <v>42</v>
      </c>
      <c r="H55" s="247" t="s">
        <v>155</v>
      </c>
      <c r="I55" s="247" t="s">
        <v>153</v>
      </c>
      <c r="J55" s="137" t="s">
        <v>38</v>
      </c>
      <c r="K55" s="247" t="s">
        <v>154</v>
      </c>
      <c r="L55" s="247">
        <v>3</v>
      </c>
      <c r="M55" s="247"/>
      <c r="N55" s="247">
        <v>1</v>
      </c>
      <c r="O55" s="247">
        <v>0.6</v>
      </c>
      <c r="P55" s="247">
        <v>0.6</v>
      </c>
      <c r="Q55" s="139">
        <f t="shared" si="0"/>
        <v>0.6</v>
      </c>
      <c r="R55" s="247">
        <v>17.2</v>
      </c>
      <c r="S55" s="247">
        <v>148</v>
      </c>
      <c r="T55" s="140">
        <f t="shared" si="1"/>
        <v>22</v>
      </c>
      <c r="U55" s="247">
        <v>105</v>
      </c>
      <c r="V55" s="141">
        <f t="shared" si="2"/>
        <v>2310</v>
      </c>
      <c r="W55" s="247">
        <v>13</v>
      </c>
      <c r="X55" s="137" t="s">
        <v>46</v>
      </c>
      <c r="Y55" s="247" t="s">
        <v>78</v>
      </c>
      <c r="Z55" s="247" t="s">
        <v>90</v>
      </c>
      <c r="AA55" s="247" t="s">
        <v>69</v>
      </c>
      <c r="AB55" s="137" t="s">
        <v>408</v>
      </c>
      <c r="AC55" s="247"/>
    </row>
    <row r="56" spans="1:29" x14ac:dyDescent="0.15">
      <c r="A56" s="137" t="s">
        <v>61</v>
      </c>
      <c r="B56" s="137" t="s">
        <v>358</v>
      </c>
      <c r="C56" s="137">
        <v>2018</v>
      </c>
      <c r="D56" s="138" t="s">
        <v>407</v>
      </c>
      <c r="E56" s="137" t="s">
        <v>133</v>
      </c>
      <c r="F56" s="137" t="s">
        <v>242</v>
      </c>
      <c r="G56" s="137" t="s">
        <v>42</v>
      </c>
      <c r="H56" s="247" t="s">
        <v>157</v>
      </c>
      <c r="I56" s="247" t="s">
        <v>153</v>
      </c>
      <c r="J56" s="137" t="s">
        <v>38</v>
      </c>
      <c r="K56" s="247" t="s">
        <v>154</v>
      </c>
      <c r="L56" s="247">
        <v>1</v>
      </c>
      <c r="M56" s="247"/>
      <c r="N56" s="247">
        <v>1</v>
      </c>
      <c r="O56" s="247">
        <v>0.55000000000000004</v>
      </c>
      <c r="P56" s="247">
        <v>0.5</v>
      </c>
      <c r="Q56" s="139">
        <f t="shared" si="0"/>
        <v>0.52500000000000002</v>
      </c>
      <c r="R56" s="247">
        <v>17.8</v>
      </c>
      <c r="S56" s="247">
        <v>133</v>
      </c>
      <c r="T56" s="140">
        <f t="shared" si="1"/>
        <v>25</v>
      </c>
      <c r="U56" s="247">
        <v>105</v>
      </c>
      <c r="V56" s="141">
        <f t="shared" si="2"/>
        <v>2625</v>
      </c>
      <c r="W56" s="247">
        <v>13</v>
      </c>
      <c r="X56" s="137" t="s">
        <v>46</v>
      </c>
      <c r="Y56" s="247" t="s">
        <v>78</v>
      </c>
      <c r="Z56" s="247" t="s">
        <v>90</v>
      </c>
      <c r="AA56" s="247" t="s">
        <v>69</v>
      </c>
      <c r="AB56" s="137" t="s">
        <v>408</v>
      </c>
      <c r="AC56" s="247"/>
    </row>
    <row r="57" spans="1:29" x14ac:dyDescent="0.15">
      <c r="A57" s="137" t="s">
        <v>61</v>
      </c>
      <c r="B57" s="137" t="s">
        <v>358</v>
      </c>
      <c r="C57" s="137">
        <v>2018</v>
      </c>
      <c r="D57" s="138" t="s">
        <v>407</v>
      </c>
      <c r="E57" s="137" t="s">
        <v>133</v>
      </c>
      <c r="F57" s="137" t="s">
        <v>242</v>
      </c>
      <c r="G57" s="137" t="s">
        <v>42</v>
      </c>
      <c r="H57" s="247" t="s">
        <v>157</v>
      </c>
      <c r="I57" s="247" t="s">
        <v>153</v>
      </c>
      <c r="J57" s="137" t="s">
        <v>38</v>
      </c>
      <c r="K57" s="247" t="s">
        <v>154</v>
      </c>
      <c r="L57" s="247">
        <v>2</v>
      </c>
      <c r="M57" s="247"/>
      <c r="N57" s="247">
        <v>1</v>
      </c>
      <c r="O57" s="247">
        <v>0.55000000000000004</v>
      </c>
      <c r="P57" s="247">
        <v>0.5</v>
      </c>
      <c r="Q57" s="139">
        <f t="shared" si="0"/>
        <v>0.52500000000000002</v>
      </c>
      <c r="R57" s="247">
        <v>17.399999999999999</v>
      </c>
      <c r="S57" s="247">
        <v>150</v>
      </c>
      <c r="T57" s="140">
        <f t="shared" si="1"/>
        <v>22</v>
      </c>
      <c r="U57" s="247">
        <v>105</v>
      </c>
      <c r="V57" s="141">
        <f t="shared" si="2"/>
        <v>2310</v>
      </c>
      <c r="W57" s="247">
        <v>13</v>
      </c>
      <c r="X57" s="137" t="s">
        <v>46</v>
      </c>
      <c r="Y57" s="247" t="s">
        <v>78</v>
      </c>
      <c r="Z57" s="247" t="s">
        <v>90</v>
      </c>
      <c r="AA57" s="247" t="s">
        <v>69</v>
      </c>
      <c r="AB57" s="137" t="s">
        <v>408</v>
      </c>
      <c r="AC57" s="247"/>
    </row>
    <row r="58" spans="1:29" x14ac:dyDescent="0.15">
      <c r="A58" s="137" t="s">
        <v>61</v>
      </c>
      <c r="B58" s="137" t="s">
        <v>358</v>
      </c>
      <c r="C58" s="137">
        <v>2018</v>
      </c>
      <c r="D58" s="138" t="s">
        <v>407</v>
      </c>
      <c r="E58" s="137" t="s">
        <v>133</v>
      </c>
      <c r="F58" s="137" t="s">
        <v>242</v>
      </c>
      <c r="G58" s="137" t="s">
        <v>42</v>
      </c>
      <c r="H58" s="247" t="s">
        <v>157</v>
      </c>
      <c r="I58" s="247" t="s">
        <v>153</v>
      </c>
      <c r="J58" s="137" t="s">
        <v>38</v>
      </c>
      <c r="K58" s="247" t="s">
        <v>154</v>
      </c>
      <c r="L58" s="247">
        <v>3</v>
      </c>
      <c r="M58" s="247"/>
      <c r="N58" s="247">
        <v>1</v>
      </c>
      <c r="O58" s="247">
        <v>0.5</v>
      </c>
      <c r="P58" s="247">
        <v>0.55000000000000004</v>
      </c>
      <c r="Q58" s="139">
        <f t="shared" si="0"/>
        <v>0.52500000000000002</v>
      </c>
      <c r="R58" s="247">
        <v>17.600000000000001</v>
      </c>
      <c r="S58" s="247">
        <v>155</v>
      </c>
      <c r="T58" s="140">
        <f t="shared" si="1"/>
        <v>18</v>
      </c>
      <c r="U58" s="247">
        <v>105</v>
      </c>
      <c r="V58" s="141">
        <f t="shared" si="2"/>
        <v>1890</v>
      </c>
      <c r="W58" s="247">
        <v>13</v>
      </c>
      <c r="X58" s="137" t="s">
        <v>46</v>
      </c>
      <c r="Y58" s="247" t="s">
        <v>78</v>
      </c>
      <c r="Z58" s="247" t="s">
        <v>90</v>
      </c>
      <c r="AA58" s="247" t="s">
        <v>69</v>
      </c>
      <c r="AB58" s="137" t="s">
        <v>408</v>
      </c>
      <c r="AC58" s="247"/>
    </row>
    <row r="59" spans="1:29" x14ac:dyDescent="0.15">
      <c r="A59" s="137" t="s">
        <v>61</v>
      </c>
      <c r="B59" s="137" t="s">
        <v>358</v>
      </c>
      <c r="C59" s="137">
        <v>2018</v>
      </c>
      <c r="D59" s="138" t="s">
        <v>407</v>
      </c>
      <c r="E59" s="137" t="s">
        <v>133</v>
      </c>
      <c r="F59" s="137" t="s">
        <v>242</v>
      </c>
      <c r="G59" s="137" t="s">
        <v>42</v>
      </c>
      <c r="H59" s="247" t="s">
        <v>128</v>
      </c>
      <c r="I59" s="247" t="s">
        <v>153</v>
      </c>
      <c r="J59" s="137" t="s">
        <v>80</v>
      </c>
      <c r="K59" s="247" t="s">
        <v>45</v>
      </c>
      <c r="L59" s="247">
        <v>1</v>
      </c>
      <c r="M59" s="247"/>
      <c r="N59" s="247">
        <v>5</v>
      </c>
      <c r="O59" s="247">
        <v>0.8</v>
      </c>
      <c r="P59" s="247">
        <v>0.8</v>
      </c>
      <c r="Q59" s="139">
        <f t="shared" si="0"/>
        <v>0.8</v>
      </c>
      <c r="R59" s="247">
        <v>16.100000000000001</v>
      </c>
      <c r="S59" s="247">
        <v>84</v>
      </c>
      <c r="T59" s="140">
        <f t="shared" si="1"/>
        <v>36</v>
      </c>
      <c r="U59" s="247">
        <v>429</v>
      </c>
      <c r="V59" s="141">
        <f t="shared" si="2"/>
        <v>3088.7999999999997</v>
      </c>
      <c r="W59" s="247">
        <v>13</v>
      </c>
      <c r="X59" s="137" t="s">
        <v>46</v>
      </c>
      <c r="Y59" s="247" t="s">
        <v>78</v>
      </c>
      <c r="Z59" s="247" t="s">
        <v>90</v>
      </c>
      <c r="AA59" s="247" t="s">
        <v>69</v>
      </c>
      <c r="AB59" s="137" t="s">
        <v>408</v>
      </c>
      <c r="AC59" s="142"/>
    </row>
    <row r="60" spans="1:29" x14ac:dyDescent="0.15">
      <c r="A60" s="137" t="s">
        <v>61</v>
      </c>
      <c r="B60" s="137" t="s">
        <v>358</v>
      </c>
      <c r="C60" s="137">
        <v>2018</v>
      </c>
      <c r="D60" s="138" t="s">
        <v>407</v>
      </c>
      <c r="E60" s="137" t="s">
        <v>133</v>
      </c>
      <c r="F60" s="137" t="s">
        <v>242</v>
      </c>
      <c r="G60" s="137" t="s">
        <v>42</v>
      </c>
      <c r="H60" s="247" t="s">
        <v>128</v>
      </c>
      <c r="I60" s="247" t="s">
        <v>153</v>
      </c>
      <c r="J60" s="137" t="s">
        <v>80</v>
      </c>
      <c r="K60" s="247" t="s">
        <v>45</v>
      </c>
      <c r="L60" s="247">
        <v>2</v>
      </c>
      <c r="M60" s="247"/>
      <c r="N60" s="247">
        <v>5</v>
      </c>
      <c r="O60" s="247">
        <v>0.75</v>
      </c>
      <c r="P60" s="247">
        <v>0.75</v>
      </c>
      <c r="Q60" s="139">
        <f t="shared" si="0"/>
        <v>0.75</v>
      </c>
      <c r="R60" s="247">
        <v>16.399999999999999</v>
      </c>
      <c r="S60" s="247">
        <v>81</v>
      </c>
      <c r="T60" s="140">
        <f t="shared" si="1"/>
        <v>39</v>
      </c>
      <c r="U60" s="247">
        <v>429</v>
      </c>
      <c r="V60" s="141">
        <f t="shared" si="2"/>
        <v>3346.2</v>
      </c>
      <c r="W60" s="247">
        <v>13</v>
      </c>
      <c r="X60" s="137" t="s">
        <v>46</v>
      </c>
      <c r="Y60" s="247" t="s">
        <v>78</v>
      </c>
      <c r="Z60" s="247" t="s">
        <v>90</v>
      </c>
      <c r="AA60" s="247" t="s">
        <v>69</v>
      </c>
      <c r="AB60" s="137" t="s">
        <v>408</v>
      </c>
      <c r="AC60" s="142"/>
    </row>
    <row r="61" spans="1:29" x14ac:dyDescent="0.15">
      <c r="A61" s="137" t="s">
        <v>61</v>
      </c>
      <c r="B61" s="137" t="s">
        <v>358</v>
      </c>
      <c r="C61" s="137">
        <v>2018</v>
      </c>
      <c r="D61" s="138" t="s">
        <v>407</v>
      </c>
      <c r="E61" s="137" t="s">
        <v>133</v>
      </c>
      <c r="F61" s="137" t="s">
        <v>242</v>
      </c>
      <c r="G61" s="137" t="s">
        <v>42</v>
      </c>
      <c r="H61" s="247" t="s">
        <v>128</v>
      </c>
      <c r="I61" s="247" t="s">
        <v>153</v>
      </c>
      <c r="J61" s="137" t="s">
        <v>80</v>
      </c>
      <c r="K61" s="247" t="s">
        <v>45</v>
      </c>
      <c r="L61" s="247">
        <v>3</v>
      </c>
      <c r="M61" s="247"/>
      <c r="N61" s="247">
        <v>5</v>
      </c>
      <c r="O61" s="247">
        <v>0.75</v>
      </c>
      <c r="P61" s="247">
        <v>0.7</v>
      </c>
      <c r="Q61" s="139">
        <f t="shared" si="0"/>
        <v>0.72499999999999998</v>
      </c>
      <c r="R61" s="247">
        <v>16.399999999999999</v>
      </c>
      <c r="S61" s="247">
        <v>80</v>
      </c>
      <c r="T61" s="140">
        <f t="shared" si="1"/>
        <v>39</v>
      </c>
      <c r="U61" s="247">
        <v>429</v>
      </c>
      <c r="V61" s="141">
        <f t="shared" si="2"/>
        <v>3346.2</v>
      </c>
      <c r="W61" s="247">
        <v>13</v>
      </c>
      <c r="X61" s="137" t="s">
        <v>46</v>
      </c>
      <c r="Y61" s="247" t="s">
        <v>78</v>
      </c>
      <c r="Z61" s="247" t="s">
        <v>90</v>
      </c>
      <c r="AA61" s="247" t="s">
        <v>69</v>
      </c>
      <c r="AB61" s="137" t="s">
        <v>408</v>
      </c>
      <c r="AC61" s="142"/>
    </row>
    <row r="62" spans="1:29" x14ac:dyDescent="0.15">
      <c r="A62" s="137" t="s">
        <v>61</v>
      </c>
      <c r="B62" s="137" t="s">
        <v>358</v>
      </c>
      <c r="C62" s="137">
        <v>2018</v>
      </c>
      <c r="D62" s="138" t="s">
        <v>407</v>
      </c>
      <c r="E62" s="137" t="s">
        <v>243</v>
      </c>
      <c r="F62" s="137" t="s">
        <v>244</v>
      </c>
      <c r="G62" s="137" t="s">
        <v>42</v>
      </c>
      <c r="H62" s="247" t="s">
        <v>155</v>
      </c>
      <c r="I62" s="247" t="s">
        <v>153</v>
      </c>
      <c r="J62" s="137" t="s">
        <v>38</v>
      </c>
      <c r="K62" s="247" t="s">
        <v>154</v>
      </c>
      <c r="L62" s="247">
        <v>1</v>
      </c>
      <c r="M62" s="247"/>
      <c r="N62" s="247">
        <v>4</v>
      </c>
      <c r="O62" s="247">
        <v>0.6</v>
      </c>
      <c r="P62" s="247">
        <v>0.65</v>
      </c>
      <c r="Q62" s="139">
        <f t="shared" si="0"/>
        <v>0.625</v>
      </c>
      <c r="R62" s="247">
        <v>17.399999999999999</v>
      </c>
      <c r="S62" s="247">
        <v>97</v>
      </c>
      <c r="T62" s="140">
        <f t="shared" si="1"/>
        <v>36</v>
      </c>
      <c r="U62" s="247">
        <v>398</v>
      </c>
      <c r="V62" s="141">
        <f t="shared" si="2"/>
        <v>3582</v>
      </c>
      <c r="W62" s="247">
        <v>26</v>
      </c>
      <c r="X62" s="137" t="s">
        <v>46</v>
      </c>
      <c r="Y62" s="247" t="s">
        <v>90</v>
      </c>
      <c r="Z62" s="247" t="s">
        <v>78</v>
      </c>
      <c r="AA62" s="247" t="s">
        <v>102</v>
      </c>
      <c r="AB62" s="137" t="s">
        <v>408</v>
      </c>
      <c r="AC62" s="142"/>
    </row>
    <row r="63" spans="1:29" x14ac:dyDescent="0.15">
      <c r="A63" s="137" t="s">
        <v>61</v>
      </c>
      <c r="B63" s="137" t="s">
        <v>358</v>
      </c>
      <c r="C63" s="137">
        <v>2018</v>
      </c>
      <c r="D63" s="138" t="s">
        <v>407</v>
      </c>
      <c r="E63" s="137" t="s">
        <v>243</v>
      </c>
      <c r="F63" s="137" t="s">
        <v>244</v>
      </c>
      <c r="G63" s="137" t="s">
        <v>42</v>
      </c>
      <c r="H63" s="247" t="s">
        <v>155</v>
      </c>
      <c r="I63" s="247" t="s">
        <v>153</v>
      </c>
      <c r="J63" s="137" t="s">
        <v>38</v>
      </c>
      <c r="K63" s="247" t="s">
        <v>154</v>
      </c>
      <c r="L63" s="247">
        <v>2</v>
      </c>
      <c r="M63" s="247"/>
      <c r="N63" s="247">
        <v>4</v>
      </c>
      <c r="O63" s="247">
        <v>0.65</v>
      </c>
      <c r="P63" s="247">
        <v>0.65</v>
      </c>
      <c r="Q63" s="139">
        <f t="shared" si="0"/>
        <v>0.65</v>
      </c>
      <c r="R63" s="247">
        <v>17.3</v>
      </c>
      <c r="S63" s="247">
        <v>98</v>
      </c>
      <c r="T63" s="140">
        <f t="shared" si="1"/>
        <v>36</v>
      </c>
      <c r="U63" s="247">
        <v>398</v>
      </c>
      <c r="V63" s="141">
        <f t="shared" si="2"/>
        <v>3582</v>
      </c>
      <c r="W63" s="247">
        <v>26</v>
      </c>
      <c r="X63" s="137" t="s">
        <v>46</v>
      </c>
      <c r="Y63" s="247" t="s">
        <v>90</v>
      </c>
      <c r="Z63" s="247" t="s">
        <v>78</v>
      </c>
      <c r="AA63" s="247" t="s">
        <v>102</v>
      </c>
      <c r="AB63" s="137" t="s">
        <v>408</v>
      </c>
      <c r="AC63" s="142"/>
    </row>
    <row r="64" spans="1:29" x14ac:dyDescent="0.15">
      <c r="A64" s="137" t="s">
        <v>61</v>
      </c>
      <c r="B64" s="137" t="s">
        <v>358</v>
      </c>
      <c r="C64" s="137">
        <v>2018</v>
      </c>
      <c r="D64" s="138" t="s">
        <v>407</v>
      </c>
      <c r="E64" s="137" t="s">
        <v>243</v>
      </c>
      <c r="F64" s="137" t="s">
        <v>244</v>
      </c>
      <c r="G64" s="137" t="s">
        <v>42</v>
      </c>
      <c r="H64" s="247" t="s">
        <v>155</v>
      </c>
      <c r="I64" s="247" t="s">
        <v>153</v>
      </c>
      <c r="J64" s="137" t="s">
        <v>38</v>
      </c>
      <c r="K64" s="247" t="s">
        <v>154</v>
      </c>
      <c r="L64" s="247">
        <v>3</v>
      </c>
      <c r="M64" s="247"/>
      <c r="N64" s="247">
        <v>4</v>
      </c>
      <c r="O64" s="247">
        <v>0.5</v>
      </c>
      <c r="P64" s="247">
        <v>0.55000000000000004</v>
      </c>
      <c r="Q64" s="139">
        <f t="shared" si="0"/>
        <v>0.52500000000000002</v>
      </c>
      <c r="R64" s="247">
        <v>17.100000000000001</v>
      </c>
      <c r="S64" s="247">
        <v>97</v>
      </c>
      <c r="T64" s="140">
        <f t="shared" si="1"/>
        <v>36</v>
      </c>
      <c r="U64" s="247">
        <v>398</v>
      </c>
      <c r="V64" s="141">
        <f t="shared" si="2"/>
        <v>3582</v>
      </c>
      <c r="W64" s="247">
        <v>26</v>
      </c>
      <c r="X64" s="137" t="s">
        <v>46</v>
      </c>
      <c r="Y64" s="247" t="s">
        <v>90</v>
      </c>
      <c r="Z64" s="247" t="s">
        <v>78</v>
      </c>
      <c r="AA64" s="247" t="s">
        <v>102</v>
      </c>
      <c r="AB64" s="137" t="s">
        <v>408</v>
      </c>
      <c r="AC64" s="142"/>
    </row>
    <row r="65" spans="1:29" x14ac:dyDescent="0.15">
      <c r="A65" s="137" t="s">
        <v>61</v>
      </c>
      <c r="B65" s="137" t="s">
        <v>358</v>
      </c>
      <c r="C65" s="137">
        <v>2018</v>
      </c>
      <c r="D65" s="138" t="s">
        <v>407</v>
      </c>
      <c r="E65" s="137" t="s">
        <v>243</v>
      </c>
      <c r="F65" s="137" t="s">
        <v>244</v>
      </c>
      <c r="G65" s="137" t="s">
        <v>42</v>
      </c>
      <c r="H65" s="247" t="s">
        <v>157</v>
      </c>
      <c r="I65" s="247" t="s">
        <v>153</v>
      </c>
      <c r="J65" s="137" t="s">
        <v>38</v>
      </c>
      <c r="K65" s="247" t="s">
        <v>154</v>
      </c>
      <c r="L65" s="247">
        <v>1</v>
      </c>
      <c r="M65" s="247"/>
      <c r="N65" s="247">
        <v>4</v>
      </c>
      <c r="O65" s="247">
        <v>0.5</v>
      </c>
      <c r="P65" s="247">
        <v>0.6</v>
      </c>
      <c r="Q65" s="139">
        <f t="shared" si="0"/>
        <v>0.55000000000000004</v>
      </c>
      <c r="R65" s="247">
        <v>17.399999999999999</v>
      </c>
      <c r="S65" s="247">
        <v>97</v>
      </c>
      <c r="T65" s="140">
        <f t="shared" si="1"/>
        <v>36</v>
      </c>
      <c r="U65" s="247">
        <v>498</v>
      </c>
      <c r="V65" s="141">
        <f t="shared" si="2"/>
        <v>4482</v>
      </c>
      <c r="W65" s="247">
        <v>26</v>
      </c>
      <c r="X65" s="137" t="s">
        <v>46</v>
      </c>
      <c r="Y65" s="247" t="s">
        <v>90</v>
      </c>
      <c r="Z65" s="247" t="s">
        <v>78</v>
      </c>
      <c r="AA65" s="247" t="s">
        <v>102</v>
      </c>
      <c r="AB65" s="137" t="s">
        <v>408</v>
      </c>
      <c r="AC65" s="142"/>
    </row>
    <row r="66" spans="1:29" x14ac:dyDescent="0.15">
      <c r="A66" s="137" t="s">
        <v>61</v>
      </c>
      <c r="B66" s="137" t="s">
        <v>358</v>
      </c>
      <c r="C66" s="137">
        <v>2018</v>
      </c>
      <c r="D66" s="138" t="s">
        <v>407</v>
      </c>
      <c r="E66" s="137" t="s">
        <v>243</v>
      </c>
      <c r="F66" s="137" t="s">
        <v>244</v>
      </c>
      <c r="G66" s="137" t="s">
        <v>42</v>
      </c>
      <c r="H66" s="247" t="s">
        <v>157</v>
      </c>
      <c r="I66" s="247" t="s">
        <v>153</v>
      </c>
      <c r="J66" s="137" t="s">
        <v>38</v>
      </c>
      <c r="K66" s="247" t="s">
        <v>154</v>
      </c>
      <c r="L66" s="247">
        <v>2</v>
      </c>
      <c r="M66" s="247"/>
      <c r="N66" s="247">
        <v>4</v>
      </c>
      <c r="O66" s="247">
        <v>0.55000000000000004</v>
      </c>
      <c r="P66" s="247">
        <v>0.6</v>
      </c>
      <c r="Q66" s="139">
        <f t="shared" ref="Q66:Q105" si="3">IF(OR(O66="",P66=""),"",AVERAGE(O66,P66))</f>
        <v>0.57499999999999996</v>
      </c>
      <c r="R66" s="247">
        <v>17.8</v>
      </c>
      <c r="S66" s="247">
        <v>94</v>
      </c>
      <c r="T66" s="140">
        <f t="shared" ref="T66:T105" si="4">IF(H66="","",IF(OR(H66="GREEN",H66="GK"),IF(S66&gt;=$AX$2,VLOOKUP(S66,$AX$2:$AY$15,2,1),""),IF(S66&gt;=$AZ$2,VLOOKUP(S66,$AZ$2:$BA$15,2,1),"")))</f>
        <v>36</v>
      </c>
      <c r="U66" s="247">
        <v>498</v>
      </c>
      <c r="V66" s="141">
        <f t="shared" ref="V66:V105" si="5">IF(OR(N66="",U66="",T66=""),"",U66/N66*T66)</f>
        <v>4482</v>
      </c>
      <c r="W66" s="247">
        <v>26</v>
      </c>
      <c r="X66" s="137" t="s">
        <v>46</v>
      </c>
      <c r="Y66" s="247" t="s">
        <v>90</v>
      </c>
      <c r="Z66" s="247" t="s">
        <v>78</v>
      </c>
      <c r="AA66" s="247" t="s">
        <v>102</v>
      </c>
      <c r="AB66" s="137" t="s">
        <v>408</v>
      </c>
      <c r="AC66" s="142"/>
    </row>
    <row r="67" spans="1:29" x14ac:dyDescent="0.15">
      <c r="A67" s="137" t="s">
        <v>61</v>
      </c>
      <c r="B67" s="137" t="s">
        <v>358</v>
      </c>
      <c r="C67" s="137">
        <v>2018</v>
      </c>
      <c r="D67" s="138" t="s">
        <v>407</v>
      </c>
      <c r="E67" s="137" t="s">
        <v>243</v>
      </c>
      <c r="F67" s="137" t="s">
        <v>244</v>
      </c>
      <c r="G67" s="137" t="s">
        <v>42</v>
      </c>
      <c r="H67" s="247" t="s">
        <v>157</v>
      </c>
      <c r="I67" s="247" t="s">
        <v>153</v>
      </c>
      <c r="J67" s="137" t="s">
        <v>38</v>
      </c>
      <c r="K67" s="247" t="s">
        <v>154</v>
      </c>
      <c r="L67" s="247">
        <v>3</v>
      </c>
      <c r="M67" s="247"/>
      <c r="N67" s="247">
        <v>4</v>
      </c>
      <c r="O67" s="247">
        <v>0.55000000000000004</v>
      </c>
      <c r="P67" s="247">
        <v>0.55000000000000004</v>
      </c>
      <c r="Q67" s="139">
        <f t="shared" si="3"/>
        <v>0.55000000000000004</v>
      </c>
      <c r="R67" s="247">
        <v>18.100000000000001</v>
      </c>
      <c r="S67" s="247">
        <v>92</v>
      </c>
      <c r="T67" s="140">
        <f t="shared" si="4"/>
        <v>36</v>
      </c>
      <c r="U67" s="247">
        <v>498</v>
      </c>
      <c r="V67" s="141">
        <f t="shared" si="5"/>
        <v>4482</v>
      </c>
      <c r="W67" s="247">
        <v>26</v>
      </c>
      <c r="X67" s="137" t="s">
        <v>46</v>
      </c>
      <c r="Y67" s="247" t="s">
        <v>90</v>
      </c>
      <c r="Z67" s="247" t="s">
        <v>78</v>
      </c>
      <c r="AA67" s="247" t="s">
        <v>102</v>
      </c>
      <c r="AB67" s="137" t="s">
        <v>408</v>
      </c>
      <c r="AC67" s="142"/>
    </row>
    <row r="68" spans="1:29" x14ac:dyDescent="0.15">
      <c r="A68" s="137" t="s">
        <v>61</v>
      </c>
      <c r="B68" s="137" t="s">
        <v>358</v>
      </c>
      <c r="C68" s="137">
        <v>2018</v>
      </c>
      <c r="D68" s="138" t="s">
        <v>407</v>
      </c>
      <c r="E68" s="137" t="s">
        <v>245</v>
      </c>
      <c r="F68" s="137" t="s">
        <v>244</v>
      </c>
      <c r="G68" s="137" t="s">
        <v>42</v>
      </c>
      <c r="H68" s="247" t="s">
        <v>155</v>
      </c>
      <c r="I68" s="247" t="s">
        <v>153</v>
      </c>
      <c r="J68" s="137" t="s">
        <v>38</v>
      </c>
      <c r="K68" s="247" t="s">
        <v>154</v>
      </c>
      <c r="L68" s="247">
        <v>1</v>
      </c>
      <c r="M68" s="247"/>
      <c r="N68" s="247">
        <v>4</v>
      </c>
      <c r="O68" s="247">
        <v>0.6</v>
      </c>
      <c r="P68" s="247">
        <v>0.6</v>
      </c>
      <c r="Q68" s="139">
        <f t="shared" si="3"/>
        <v>0.6</v>
      </c>
      <c r="R68" s="247">
        <v>17.399999999999999</v>
      </c>
      <c r="S68" s="247">
        <v>91</v>
      </c>
      <c r="T68" s="140">
        <f t="shared" si="4"/>
        <v>36</v>
      </c>
      <c r="U68" s="247">
        <v>429</v>
      </c>
      <c r="V68" s="141">
        <f t="shared" si="5"/>
        <v>3861</v>
      </c>
      <c r="W68" s="247">
        <v>12</v>
      </c>
      <c r="X68" s="137" t="s">
        <v>46</v>
      </c>
      <c r="Y68" s="247" t="s">
        <v>90</v>
      </c>
      <c r="Z68" s="247" t="s">
        <v>78</v>
      </c>
      <c r="AA68" s="247" t="s">
        <v>84</v>
      </c>
      <c r="AB68" s="137" t="s">
        <v>408</v>
      </c>
      <c r="AC68" s="247"/>
    </row>
    <row r="69" spans="1:29" x14ac:dyDescent="0.15">
      <c r="A69" s="137" t="s">
        <v>61</v>
      </c>
      <c r="B69" s="137" t="s">
        <v>358</v>
      </c>
      <c r="C69" s="137">
        <v>2018</v>
      </c>
      <c r="D69" s="138" t="s">
        <v>407</v>
      </c>
      <c r="E69" s="137" t="s">
        <v>245</v>
      </c>
      <c r="F69" s="137" t="s">
        <v>244</v>
      </c>
      <c r="G69" s="137" t="s">
        <v>42</v>
      </c>
      <c r="H69" s="247" t="s">
        <v>155</v>
      </c>
      <c r="I69" s="247" t="s">
        <v>153</v>
      </c>
      <c r="J69" s="137" t="s">
        <v>38</v>
      </c>
      <c r="K69" s="247" t="s">
        <v>154</v>
      </c>
      <c r="L69" s="247">
        <v>2</v>
      </c>
      <c r="M69" s="247"/>
      <c r="N69" s="247">
        <v>4</v>
      </c>
      <c r="O69" s="247">
        <v>0.65</v>
      </c>
      <c r="P69" s="247">
        <v>0.6</v>
      </c>
      <c r="Q69" s="139">
        <f t="shared" si="3"/>
        <v>0.625</v>
      </c>
      <c r="R69" s="247">
        <v>17.399999999999999</v>
      </c>
      <c r="S69" s="247">
        <v>106</v>
      </c>
      <c r="T69" s="140">
        <f t="shared" si="4"/>
        <v>33</v>
      </c>
      <c r="U69" s="247">
        <v>429</v>
      </c>
      <c r="V69" s="141">
        <f t="shared" si="5"/>
        <v>3539.25</v>
      </c>
      <c r="W69" s="247">
        <v>13</v>
      </c>
      <c r="X69" s="137" t="s">
        <v>46</v>
      </c>
      <c r="Y69" s="247" t="s">
        <v>90</v>
      </c>
      <c r="Z69" s="247" t="s">
        <v>78</v>
      </c>
      <c r="AA69" s="247" t="s">
        <v>84</v>
      </c>
      <c r="AB69" s="137" t="s">
        <v>408</v>
      </c>
      <c r="AC69" s="247"/>
    </row>
    <row r="70" spans="1:29" x14ac:dyDescent="0.15">
      <c r="A70" s="137" t="s">
        <v>61</v>
      </c>
      <c r="B70" s="137" t="s">
        <v>358</v>
      </c>
      <c r="C70" s="137">
        <v>2018</v>
      </c>
      <c r="D70" s="138" t="s">
        <v>407</v>
      </c>
      <c r="E70" s="137" t="s">
        <v>245</v>
      </c>
      <c r="F70" s="137" t="s">
        <v>244</v>
      </c>
      <c r="G70" s="137" t="s">
        <v>42</v>
      </c>
      <c r="H70" s="247" t="s">
        <v>155</v>
      </c>
      <c r="I70" s="247" t="s">
        <v>153</v>
      </c>
      <c r="J70" s="137" t="s">
        <v>38</v>
      </c>
      <c r="K70" s="247" t="s">
        <v>154</v>
      </c>
      <c r="L70" s="247">
        <v>3</v>
      </c>
      <c r="M70" s="247"/>
      <c r="N70" s="247">
        <v>4</v>
      </c>
      <c r="O70" s="247">
        <v>0.65</v>
      </c>
      <c r="P70" s="247">
        <v>0.6</v>
      </c>
      <c r="Q70" s="139">
        <f t="shared" si="3"/>
        <v>0.625</v>
      </c>
      <c r="R70" s="247">
        <v>17.100000000000001</v>
      </c>
      <c r="S70" s="247">
        <v>100</v>
      </c>
      <c r="T70" s="140">
        <f t="shared" si="4"/>
        <v>33</v>
      </c>
      <c r="U70" s="247">
        <v>429</v>
      </c>
      <c r="V70" s="141">
        <f t="shared" si="5"/>
        <v>3539.25</v>
      </c>
      <c r="W70" s="247">
        <v>14</v>
      </c>
      <c r="X70" s="137" t="s">
        <v>46</v>
      </c>
      <c r="Y70" s="247" t="s">
        <v>90</v>
      </c>
      <c r="Z70" s="247" t="s">
        <v>78</v>
      </c>
      <c r="AA70" s="247" t="s">
        <v>84</v>
      </c>
      <c r="AB70" s="137" t="s">
        <v>408</v>
      </c>
      <c r="AC70" s="247"/>
    </row>
    <row r="71" spans="1:29" x14ac:dyDescent="0.15">
      <c r="A71" s="137" t="s">
        <v>61</v>
      </c>
      <c r="B71" s="137" t="s">
        <v>358</v>
      </c>
      <c r="C71" s="137">
        <v>2018</v>
      </c>
      <c r="D71" s="138" t="s">
        <v>407</v>
      </c>
      <c r="E71" s="137" t="s">
        <v>245</v>
      </c>
      <c r="F71" s="137" t="s">
        <v>244</v>
      </c>
      <c r="G71" s="137" t="s">
        <v>42</v>
      </c>
      <c r="H71" s="247" t="s">
        <v>157</v>
      </c>
      <c r="I71" s="247" t="s">
        <v>153</v>
      </c>
      <c r="J71" s="137" t="s">
        <v>38</v>
      </c>
      <c r="K71" s="247" t="s">
        <v>154</v>
      </c>
      <c r="L71" s="247">
        <v>1</v>
      </c>
      <c r="M71" s="247"/>
      <c r="N71" s="247">
        <v>3</v>
      </c>
      <c r="O71" s="247">
        <v>0.5</v>
      </c>
      <c r="P71" s="247">
        <v>0.5</v>
      </c>
      <c r="Q71" s="139">
        <f t="shared" si="3"/>
        <v>0.5</v>
      </c>
      <c r="R71" s="247">
        <v>17.3</v>
      </c>
      <c r="S71" s="247">
        <v>125</v>
      </c>
      <c r="T71" s="140">
        <f t="shared" si="4"/>
        <v>27</v>
      </c>
      <c r="U71" s="247">
        <v>494</v>
      </c>
      <c r="V71" s="141">
        <f t="shared" si="5"/>
        <v>4446</v>
      </c>
      <c r="W71" s="247">
        <v>15</v>
      </c>
      <c r="X71" s="137" t="s">
        <v>46</v>
      </c>
      <c r="Y71" s="247" t="s">
        <v>90</v>
      </c>
      <c r="Z71" s="247" t="s">
        <v>78</v>
      </c>
      <c r="AA71" s="247" t="s">
        <v>84</v>
      </c>
      <c r="AB71" s="137" t="s">
        <v>408</v>
      </c>
      <c r="AC71" s="247"/>
    </row>
    <row r="72" spans="1:29" x14ac:dyDescent="0.15">
      <c r="A72" s="137" t="s">
        <v>61</v>
      </c>
      <c r="B72" s="137" t="s">
        <v>358</v>
      </c>
      <c r="C72" s="137">
        <v>2018</v>
      </c>
      <c r="D72" s="138" t="s">
        <v>407</v>
      </c>
      <c r="E72" s="137" t="s">
        <v>245</v>
      </c>
      <c r="F72" s="137" t="s">
        <v>244</v>
      </c>
      <c r="G72" s="137" t="s">
        <v>42</v>
      </c>
      <c r="H72" s="247" t="s">
        <v>157</v>
      </c>
      <c r="I72" s="247" t="s">
        <v>153</v>
      </c>
      <c r="J72" s="137" t="s">
        <v>38</v>
      </c>
      <c r="K72" s="247" t="s">
        <v>154</v>
      </c>
      <c r="L72" s="247">
        <v>2</v>
      </c>
      <c r="M72" s="247"/>
      <c r="N72" s="247">
        <v>3</v>
      </c>
      <c r="O72" s="247">
        <v>0.55000000000000004</v>
      </c>
      <c r="P72" s="247">
        <v>0.55000000000000004</v>
      </c>
      <c r="Q72" s="139">
        <f t="shared" si="3"/>
        <v>0.55000000000000004</v>
      </c>
      <c r="R72" s="247">
        <v>17.600000000000001</v>
      </c>
      <c r="S72" s="247">
        <v>131</v>
      </c>
      <c r="T72" s="140">
        <f t="shared" si="4"/>
        <v>25</v>
      </c>
      <c r="U72" s="247">
        <v>494</v>
      </c>
      <c r="V72" s="141">
        <f t="shared" si="5"/>
        <v>4116.6666666666661</v>
      </c>
      <c r="W72" s="247">
        <v>16</v>
      </c>
      <c r="X72" s="137" t="s">
        <v>46</v>
      </c>
      <c r="Y72" s="247" t="s">
        <v>90</v>
      </c>
      <c r="Z72" s="247" t="s">
        <v>78</v>
      </c>
      <c r="AA72" s="247" t="s">
        <v>84</v>
      </c>
      <c r="AB72" s="137" t="s">
        <v>408</v>
      </c>
      <c r="AC72" s="247"/>
    </row>
    <row r="73" spans="1:29" x14ac:dyDescent="0.15">
      <c r="A73" s="137" t="s">
        <v>61</v>
      </c>
      <c r="B73" s="137" t="s">
        <v>358</v>
      </c>
      <c r="C73" s="137">
        <v>2018</v>
      </c>
      <c r="D73" s="138" t="s">
        <v>407</v>
      </c>
      <c r="E73" s="137" t="s">
        <v>245</v>
      </c>
      <c r="F73" s="137" t="s">
        <v>244</v>
      </c>
      <c r="G73" s="137" t="s">
        <v>42</v>
      </c>
      <c r="H73" s="247" t="s">
        <v>157</v>
      </c>
      <c r="I73" s="247" t="s">
        <v>153</v>
      </c>
      <c r="J73" s="137" t="s">
        <v>38</v>
      </c>
      <c r="K73" s="247" t="s">
        <v>154</v>
      </c>
      <c r="L73" s="247">
        <v>3</v>
      </c>
      <c r="M73" s="247"/>
      <c r="N73" s="247">
        <v>3</v>
      </c>
      <c r="O73" s="247">
        <v>0.5</v>
      </c>
      <c r="P73" s="247">
        <v>0.6</v>
      </c>
      <c r="Q73" s="139">
        <f t="shared" si="3"/>
        <v>0.55000000000000004</v>
      </c>
      <c r="R73" s="247">
        <v>17.3</v>
      </c>
      <c r="S73" s="247">
        <v>128</v>
      </c>
      <c r="T73" s="140">
        <f t="shared" si="4"/>
        <v>27</v>
      </c>
      <c r="U73" s="247">
        <v>494</v>
      </c>
      <c r="V73" s="141">
        <f t="shared" si="5"/>
        <v>4446</v>
      </c>
      <c r="W73" s="247">
        <v>17</v>
      </c>
      <c r="X73" s="137" t="s">
        <v>46</v>
      </c>
      <c r="Y73" s="247" t="s">
        <v>90</v>
      </c>
      <c r="Z73" s="247" t="s">
        <v>78</v>
      </c>
      <c r="AA73" s="247" t="s">
        <v>84</v>
      </c>
      <c r="AB73" s="137" t="s">
        <v>408</v>
      </c>
      <c r="AC73" s="247"/>
    </row>
    <row r="74" spans="1:29" x14ac:dyDescent="0.15">
      <c r="A74" s="137"/>
      <c r="B74" s="137"/>
      <c r="C74" s="137"/>
      <c r="D74" s="138"/>
      <c r="E74" s="137"/>
      <c r="F74" s="137"/>
      <c r="G74" s="137"/>
      <c r="H74" s="247"/>
      <c r="I74" s="247"/>
      <c r="J74" s="137"/>
      <c r="K74" s="247"/>
      <c r="L74" s="247"/>
      <c r="M74" s="247"/>
      <c r="N74" s="247"/>
      <c r="O74" s="247"/>
      <c r="P74" s="247"/>
      <c r="Q74" s="139" t="str">
        <f t="shared" si="3"/>
        <v/>
      </c>
      <c r="R74" s="247"/>
      <c r="S74" s="247"/>
      <c r="T74" s="140" t="str">
        <f t="shared" si="4"/>
        <v/>
      </c>
      <c r="U74" s="247"/>
      <c r="V74" s="141" t="str">
        <f t="shared" si="5"/>
        <v/>
      </c>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t="str">
        <f t="shared" si="3"/>
        <v/>
      </c>
      <c r="R75" s="247"/>
      <c r="S75" s="247"/>
      <c r="T75" s="140" t="str">
        <f t="shared" si="4"/>
        <v/>
      </c>
      <c r="U75" s="247"/>
      <c r="V75" s="141" t="str">
        <f t="shared" si="5"/>
        <v/>
      </c>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t="str">
        <f t="shared" si="3"/>
        <v/>
      </c>
      <c r="R76" s="247"/>
      <c r="S76" s="247"/>
      <c r="T76" s="140" t="str">
        <f t="shared" si="4"/>
        <v/>
      </c>
      <c r="U76" s="247"/>
      <c r="V76" s="141" t="str">
        <f t="shared" si="5"/>
        <v/>
      </c>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t="str">
        <f t="shared" si="3"/>
        <v/>
      </c>
      <c r="R77" s="247"/>
      <c r="S77" s="247"/>
      <c r="T77" s="140" t="str">
        <f t="shared" si="4"/>
        <v/>
      </c>
      <c r="U77" s="247"/>
      <c r="V77" s="141" t="str">
        <f t="shared" si="5"/>
        <v/>
      </c>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t="str">
        <f t="shared" si="3"/>
        <v/>
      </c>
      <c r="R78" s="247"/>
      <c r="S78" s="247"/>
      <c r="T78" s="140" t="str">
        <f t="shared" si="4"/>
        <v/>
      </c>
      <c r="U78" s="247"/>
      <c r="V78" s="141" t="str">
        <f t="shared" si="5"/>
        <v/>
      </c>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t="str">
        <f t="shared" si="3"/>
        <v/>
      </c>
      <c r="R79" s="247"/>
      <c r="S79" s="247"/>
      <c r="T79" s="140" t="str">
        <f t="shared" si="4"/>
        <v/>
      </c>
      <c r="U79" s="247"/>
      <c r="V79" s="141" t="str">
        <f t="shared" si="5"/>
        <v/>
      </c>
      <c r="W79" s="247"/>
      <c r="X79" s="137"/>
      <c r="Y79" s="247"/>
      <c r="Z79" s="247"/>
      <c r="AA79" s="247"/>
      <c r="AB79" s="137"/>
      <c r="AC79" s="247"/>
    </row>
    <row r="80" spans="1:29" x14ac:dyDescent="0.15">
      <c r="A80" s="137"/>
      <c r="B80" s="137"/>
      <c r="C80" s="137"/>
      <c r="D80" s="138"/>
      <c r="E80" s="247"/>
      <c r="F80" s="247"/>
      <c r="G80" s="137"/>
      <c r="H80" s="247"/>
      <c r="I80" s="247"/>
      <c r="J80" s="137"/>
      <c r="K80" s="247"/>
      <c r="L80" s="247"/>
      <c r="M80" s="247"/>
      <c r="N80" s="247"/>
      <c r="O80" s="247"/>
      <c r="P80" s="247"/>
      <c r="Q80" s="139"/>
      <c r="R80" s="247"/>
      <c r="S80" s="247"/>
      <c r="T80" s="140"/>
      <c r="U80" s="247"/>
      <c r="V80" s="141"/>
      <c r="W80" s="247"/>
      <c r="X80" s="137"/>
      <c r="Y80" s="247"/>
      <c r="Z80" s="247"/>
      <c r="AA80" s="247"/>
      <c r="AB80" s="137"/>
      <c r="AC80" s="247"/>
    </row>
    <row r="81" spans="1:29" x14ac:dyDescent="0.15">
      <c r="A81" s="137"/>
      <c r="B81" s="137"/>
      <c r="C81" s="137"/>
      <c r="D81" s="138"/>
      <c r="E81" s="247"/>
      <c r="F81" s="247"/>
      <c r="G81" s="137"/>
      <c r="H81" s="247"/>
      <c r="I81" s="247"/>
      <c r="J81" s="137"/>
      <c r="K81" s="247"/>
      <c r="L81" s="247"/>
      <c r="M81" s="247"/>
      <c r="N81" s="247"/>
      <c r="O81" s="247"/>
      <c r="P81" s="247"/>
      <c r="Q81" s="139"/>
      <c r="R81" s="247"/>
      <c r="S81" s="247"/>
      <c r="T81" s="140"/>
      <c r="U81" s="247"/>
      <c r="V81" s="141"/>
      <c r="W81" s="247"/>
      <c r="X81" s="137"/>
      <c r="Y81" s="247"/>
      <c r="Z81" s="247"/>
      <c r="AA81" s="247"/>
      <c r="AB81" s="137"/>
      <c r="AC81" s="247"/>
    </row>
    <row r="82" spans="1:29" x14ac:dyDescent="0.15">
      <c r="A82" s="137"/>
      <c r="B82" s="137"/>
      <c r="C82" s="137"/>
      <c r="D82" s="138"/>
      <c r="E82" s="247"/>
      <c r="F82" s="247"/>
      <c r="G82" s="137"/>
      <c r="H82" s="247"/>
      <c r="I82" s="247"/>
      <c r="J82" s="137"/>
      <c r="K82" s="247"/>
      <c r="L82" s="247"/>
      <c r="M82" s="247"/>
      <c r="N82" s="247"/>
      <c r="O82" s="247"/>
      <c r="P82" s="247"/>
      <c r="Q82" s="139"/>
      <c r="R82" s="247"/>
      <c r="S82" s="247"/>
      <c r="T82" s="140"/>
      <c r="U82" s="247"/>
      <c r="V82" s="141"/>
      <c r="W82" s="247"/>
      <c r="X82" s="137"/>
      <c r="Y82" s="247"/>
      <c r="Z82" s="247"/>
      <c r="AA82" s="247"/>
      <c r="AB82" s="137"/>
      <c r="AC82" s="247"/>
    </row>
    <row r="83" spans="1:29" x14ac:dyDescent="0.15">
      <c r="A83" s="137"/>
      <c r="B83" s="137"/>
      <c r="C83" s="137"/>
      <c r="D83" s="138"/>
      <c r="E83" s="247"/>
      <c r="F83" s="247"/>
      <c r="G83" s="137"/>
      <c r="H83" s="247"/>
      <c r="I83" s="247"/>
      <c r="J83" s="137"/>
      <c r="K83" s="247"/>
      <c r="L83" s="247"/>
      <c r="M83" s="247"/>
      <c r="N83" s="247"/>
      <c r="O83" s="247"/>
      <c r="P83" s="247"/>
      <c r="Q83" s="139"/>
      <c r="R83" s="247"/>
      <c r="S83" s="247"/>
      <c r="T83" s="140"/>
      <c r="U83" s="247"/>
      <c r="V83" s="141"/>
      <c r="W83" s="247"/>
      <c r="X83" s="137"/>
      <c r="Y83" s="247"/>
      <c r="Z83" s="247"/>
      <c r="AA83" s="247"/>
      <c r="AB83" s="137"/>
      <c r="AC83" s="247"/>
    </row>
    <row r="84" spans="1:29" x14ac:dyDescent="0.15">
      <c r="A84" s="137"/>
      <c r="B84" s="137"/>
      <c r="C84" s="137"/>
      <c r="D84" s="138"/>
      <c r="E84" s="247"/>
      <c r="F84" s="247"/>
      <c r="G84" s="137"/>
      <c r="H84" s="247"/>
      <c r="I84" s="247"/>
      <c r="J84" s="137"/>
      <c r="K84" s="247"/>
      <c r="L84" s="247"/>
      <c r="M84" s="247"/>
      <c r="N84" s="247"/>
      <c r="O84" s="247"/>
      <c r="P84" s="247"/>
      <c r="Q84" s="139"/>
      <c r="R84" s="247"/>
      <c r="S84" s="247"/>
      <c r="T84" s="140"/>
      <c r="U84" s="247"/>
      <c r="V84" s="141"/>
      <c r="W84" s="247"/>
      <c r="X84" s="137"/>
      <c r="Y84" s="247"/>
      <c r="Z84" s="247"/>
      <c r="AA84" s="247"/>
      <c r="AB84" s="137"/>
      <c r="AC84" s="247"/>
    </row>
    <row r="85" spans="1:29" x14ac:dyDescent="0.15">
      <c r="A85" s="137"/>
      <c r="B85" s="137"/>
      <c r="C85" s="137"/>
      <c r="D85" s="138"/>
      <c r="E85" s="247"/>
      <c r="F85" s="247"/>
      <c r="G85" s="137"/>
      <c r="H85" s="247"/>
      <c r="I85" s="247"/>
      <c r="J85" s="137"/>
      <c r="K85" s="247"/>
      <c r="L85" s="247"/>
      <c r="M85" s="247"/>
      <c r="N85" s="247"/>
      <c r="O85" s="247"/>
      <c r="P85" s="247"/>
      <c r="Q85" s="139"/>
      <c r="R85" s="247"/>
      <c r="S85" s="247"/>
      <c r="T85" s="140"/>
      <c r="U85" s="247"/>
      <c r="V85" s="141"/>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K89" s="24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A95" s="137"/>
      <c r="B95" s="137"/>
      <c r="C95" s="137"/>
      <c r="D95" s="138"/>
      <c r="E95" s="247"/>
      <c r="F95" s="247"/>
      <c r="G95" s="137"/>
      <c r="H95" s="247"/>
      <c r="I95" s="247"/>
      <c r="J95" s="137"/>
      <c r="K95" s="247"/>
      <c r="L95" s="247"/>
      <c r="M95" s="247"/>
      <c r="N95" s="247"/>
      <c r="O95" s="247"/>
      <c r="P95" s="247"/>
      <c r="Q95" s="139"/>
      <c r="R95" s="247"/>
      <c r="S95" s="247"/>
      <c r="T95" s="140"/>
      <c r="U95" s="247"/>
      <c r="V95" s="141"/>
      <c r="W95" s="247"/>
      <c r="X95" s="137"/>
      <c r="Y95" s="247"/>
      <c r="Z95" s="247"/>
      <c r="AA95" s="247"/>
      <c r="AB95" s="13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247"/>
      <c r="B107" s="247"/>
      <c r="C107" s="247"/>
      <c r="D107" s="247"/>
      <c r="E107" s="247"/>
      <c r="F107" s="247"/>
      <c r="G107" s="247"/>
      <c r="H107" s="247"/>
      <c r="I107" s="247"/>
      <c r="J107" s="247"/>
      <c r="K107" s="247"/>
      <c r="L107" s="247"/>
      <c r="M107" s="247"/>
      <c r="N107" s="247"/>
      <c r="O107" s="247"/>
      <c r="P107" s="247"/>
      <c r="Q107" s="140"/>
      <c r="R107" s="247"/>
      <c r="S107" s="247"/>
      <c r="T107" s="140"/>
      <c r="U107" s="247"/>
      <c r="V107" s="140"/>
      <c r="W107" s="247"/>
      <c r="X107" s="247"/>
      <c r="Y107" s="247"/>
      <c r="Z107" s="247"/>
      <c r="AA107" s="247"/>
      <c r="AB107" s="247"/>
      <c r="AC107" s="247"/>
    </row>
    <row r="108" spans="1:29" x14ac:dyDescent="0.15">
      <c r="A108" s="247"/>
      <c r="B108" s="247"/>
      <c r="C108" s="247"/>
      <c r="D108" s="247"/>
      <c r="E108" s="247"/>
      <c r="F108" s="247"/>
      <c r="G108" s="247"/>
      <c r="H108" s="247"/>
      <c r="I108" s="247"/>
      <c r="J108" s="247"/>
      <c r="K108" s="247"/>
      <c r="L108" s="247" t="s">
        <v>424</v>
      </c>
      <c r="M108" s="247"/>
      <c r="N108" s="247"/>
      <c r="O108" s="247"/>
      <c r="P108" s="247"/>
      <c r="Q108" s="140"/>
      <c r="R108" s="247"/>
      <c r="S108" s="247"/>
      <c r="T108" s="140"/>
      <c r="U108" s="247"/>
      <c r="V108" s="140"/>
      <c r="W108" s="247"/>
      <c r="X108" s="247"/>
      <c r="Y108" s="247"/>
      <c r="Z108" s="247"/>
      <c r="AA108" s="247"/>
      <c r="AB108" s="247"/>
      <c r="AC108" s="247"/>
    </row>
    <row r="109" spans="1:29" x14ac:dyDescent="0.15">
      <c r="K109" s="247"/>
    </row>
    <row r="110" spans="1:29" x14ac:dyDescent="0.15">
      <c r="K110" s="247"/>
    </row>
    <row r="111" spans="1:29" x14ac:dyDescent="0.15">
      <c r="K111" s="247"/>
    </row>
    <row r="112" spans="1:29" x14ac:dyDescent="0.15">
      <c r="K112" s="247"/>
    </row>
    <row r="113" spans="11:11" x14ac:dyDescent="0.15">
      <c r="K113" s="247"/>
    </row>
    <row r="114" spans="11:11" x14ac:dyDescent="0.15">
      <c r="K114" s="247"/>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P5:P13 N20:O22 P20:P37 N11:N13 O38:P88 O14:P19 N17:N19 N68:N7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A34" zoomScale="85" zoomScaleNormal="85" workbookViewId="0">
      <selection activeCell="N14" sqref="N14"/>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2</v>
      </c>
      <c r="D1" s="203" t="s">
        <v>3</v>
      </c>
      <c r="E1" s="241" t="s">
        <v>4</v>
      </c>
      <c r="F1" s="241" t="s">
        <v>5</v>
      </c>
      <c r="G1" s="241" t="s">
        <v>6</v>
      </c>
      <c r="H1" s="241" t="s">
        <v>7</v>
      </c>
      <c r="I1" s="241" t="s">
        <v>8</v>
      </c>
      <c r="J1" s="241" t="s">
        <v>9</v>
      </c>
      <c r="K1" s="241" t="s">
        <v>10</v>
      </c>
      <c r="L1" s="203" t="s">
        <v>11</v>
      </c>
      <c r="M1" s="203" t="s">
        <v>12</v>
      </c>
      <c r="N1" s="203" t="s">
        <v>246</v>
      </c>
      <c r="O1" s="203" t="s">
        <v>14</v>
      </c>
      <c r="P1" s="203" t="s">
        <v>247</v>
      </c>
      <c r="Q1" s="204" t="s">
        <v>16</v>
      </c>
      <c r="R1" s="203" t="s">
        <v>17</v>
      </c>
      <c r="S1" s="203" t="s">
        <v>18</v>
      </c>
      <c r="T1" s="204" t="s">
        <v>19</v>
      </c>
      <c r="U1" s="205" t="s">
        <v>248</v>
      </c>
      <c r="V1" s="206" t="s">
        <v>20</v>
      </c>
      <c r="W1" s="203" t="s">
        <v>21</v>
      </c>
      <c r="X1" s="241" t="s">
        <v>22</v>
      </c>
      <c r="Y1" s="241" t="s">
        <v>23</v>
      </c>
      <c r="Z1" s="241" t="s">
        <v>24</v>
      </c>
      <c r="AA1" s="242" t="s">
        <v>25</v>
      </c>
      <c r="AB1" s="207"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249</v>
      </c>
      <c r="AY1" s="214" t="s">
        <v>265</v>
      </c>
      <c r="AZ1" s="214" t="s">
        <v>32</v>
      </c>
      <c r="BA1" s="215" t="s">
        <v>266</v>
      </c>
    </row>
    <row r="2" spans="1:53" x14ac:dyDescent="0.15">
      <c r="A2" s="208" t="s">
        <v>59</v>
      </c>
      <c r="B2" s="237" t="s">
        <v>329</v>
      </c>
      <c r="C2" s="152">
        <v>2018</v>
      </c>
      <c r="D2" s="153" t="s">
        <v>336</v>
      </c>
      <c r="E2" s="208" t="s">
        <v>425</v>
      </c>
      <c r="F2" s="208" t="s">
        <v>294</v>
      </c>
      <c r="G2" s="208" t="s">
        <v>36</v>
      </c>
      <c r="H2" s="208" t="s">
        <v>157</v>
      </c>
      <c r="I2" s="208" t="s">
        <v>153</v>
      </c>
      <c r="J2" s="208" t="s">
        <v>38</v>
      </c>
      <c r="K2" s="208" t="s">
        <v>154</v>
      </c>
      <c r="L2" s="208">
        <v>1</v>
      </c>
      <c r="N2" s="208">
        <v>1</v>
      </c>
      <c r="O2" s="208">
        <v>0.53</v>
      </c>
      <c r="P2" s="208">
        <v>0.56000000000000005</v>
      </c>
      <c r="Q2" s="245">
        <f>IF(OR(O2="",P2=""),"",AVERAGE(O2,P2))</f>
        <v>0.54500000000000004</v>
      </c>
      <c r="R2" s="208">
        <v>15.7</v>
      </c>
      <c r="S2" s="208">
        <v>130</v>
      </c>
      <c r="T2" s="217">
        <f t="shared" ref="T2:T73" si="0">IF(H2="","",IF(OR(H2="GREEN",H2="GK"),IF(S2&gt;=$AX$2,VLOOKUP(S2,$AX$2:$AY$12,2,1),""),IF(S2&gt;=$AZ$2,VLOOKUP(S2,$AZ$2:$BA$12,2,1),"")))</f>
        <v>25</v>
      </c>
      <c r="U2" s="208">
        <v>128</v>
      </c>
      <c r="V2" s="217">
        <f t="shared" ref="V2:V70" si="1">IF(J2="","",IF(OR(J2="GREEN",J2="GK"),IF(U2&gt;=$AX$2,VLOOKUP(U2,$AX$2:$AY$12,2,1),""),IF(U2&gt;=$AZ$2,VLOOKUP(U2,$AZ$2:$BA$12,2,1),"")))</f>
        <v>27</v>
      </c>
      <c r="W2" s="208">
        <v>1</v>
      </c>
      <c r="X2" s="208" t="s">
        <v>39</v>
      </c>
      <c r="Y2" s="208" t="s">
        <v>90</v>
      </c>
      <c r="Z2" s="208" t="s">
        <v>84</v>
      </c>
      <c r="AA2" s="208" t="s">
        <v>102</v>
      </c>
      <c r="AB2" s="237" t="s">
        <v>426</v>
      </c>
      <c r="AE2" s="218" t="s">
        <v>35</v>
      </c>
      <c r="AG2" s="154" t="s">
        <v>301</v>
      </c>
      <c r="AH2" s="155" t="s">
        <v>293</v>
      </c>
      <c r="AJ2" s="248" t="s">
        <v>36</v>
      </c>
      <c r="AL2" s="219" t="s">
        <v>127</v>
      </c>
      <c r="AN2" s="156" t="s">
        <v>427</v>
      </c>
      <c r="AP2" s="219" t="s">
        <v>38</v>
      </c>
      <c r="AR2" s="219" t="s">
        <v>428</v>
      </c>
      <c r="AT2" s="248" t="s">
        <v>39</v>
      </c>
      <c r="AV2" s="224" t="s">
        <v>55</v>
      </c>
      <c r="AX2" s="157">
        <v>1</v>
      </c>
      <c r="AY2" s="158">
        <v>50</v>
      </c>
      <c r="AZ2" s="158">
        <v>1</v>
      </c>
      <c r="BA2" s="159">
        <v>50</v>
      </c>
    </row>
    <row r="3" spans="1:53" x14ac:dyDescent="0.15">
      <c r="A3" s="208" t="s">
        <v>59</v>
      </c>
      <c r="B3" s="237" t="s">
        <v>429</v>
      </c>
      <c r="C3" s="152">
        <v>2018</v>
      </c>
      <c r="D3" s="153" t="s">
        <v>430</v>
      </c>
      <c r="E3" s="208" t="s">
        <v>431</v>
      </c>
      <c r="F3" s="208" t="s">
        <v>294</v>
      </c>
      <c r="G3" s="208" t="s">
        <v>36</v>
      </c>
      <c r="H3" s="208" t="s">
        <v>157</v>
      </c>
      <c r="I3" s="208" t="s">
        <v>153</v>
      </c>
      <c r="J3" s="208" t="s">
        <v>38</v>
      </c>
      <c r="K3" s="208" t="s">
        <v>154</v>
      </c>
      <c r="L3" s="208">
        <v>2</v>
      </c>
      <c r="N3" s="208">
        <v>1</v>
      </c>
      <c r="O3" s="208">
        <v>0.37</v>
      </c>
      <c r="P3" s="208">
        <v>0.45</v>
      </c>
      <c r="Q3" s="245">
        <f t="shared" ref="Q3:Q73" si="2">IF(OR(O3="",P3=""),"",AVERAGE(O3,P3))</f>
        <v>0.41000000000000003</v>
      </c>
      <c r="R3" s="208">
        <v>17</v>
      </c>
      <c r="S3" s="208">
        <v>132</v>
      </c>
      <c r="T3" s="217">
        <f t="shared" si="0"/>
        <v>25</v>
      </c>
      <c r="U3" s="208">
        <v>128</v>
      </c>
      <c r="V3" s="217">
        <f t="shared" si="1"/>
        <v>27</v>
      </c>
      <c r="W3" s="208">
        <v>1</v>
      </c>
      <c r="X3" s="208" t="s">
        <v>39</v>
      </c>
      <c r="Y3" s="208" t="s">
        <v>90</v>
      </c>
      <c r="Z3" s="208" t="s">
        <v>84</v>
      </c>
      <c r="AA3" s="208" t="s">
        <v>102</v>
      </c>
      <c r="AB3" s="237" t="s">
        <v>432</v>
      </c>
      <c r="AE3" s="223" t="s">
        <v>41</v>
      </c>
      <c r="AG3" s="154" t="s">
        <v>302</v>
      </c>
      <c r="AH3" s="155" t="s">
        <v>294</v>
      </c>
      <c r="AJ3" s="224" t="s">
        <v>42</v>
      </c>
      <c r="AL3" s="224" t="s">
        <v>128</v>
      </c>
      <c r="AN3" s="224" t="s">
        <v>43</v>
      </c>
      <c r="AP3" s="224" t="s">
        <v>44</v>
      </c>
      <c r="AR3" s="238" t="s">
        <v>45</v>
      </c>
      <c r="AT3" s="224" t="s">
        <v>46</v>
      </c>
      <c r="AV3" s="224" t="s">
        <v>433</v>
      </c>
      <c r="AX3" s="225">
        <v>72</v>
      </c>
      <c r="AY3" s="226">
        <v>46</v>
      </c>
      <c r="AZ3" s="226">
        <v>71</v>
      </c>
      <c r="BA3" s="227">
        <v>42</v>
      </c>
    </row>
    <row r="4" spans="1:53" x14ac:dyDescent="0.15">
      <c r="A4" s="208" t="s">
        <v>59</v>
      </c>
      <c r="B4" s="237" t="s">
        <v>429</v>
      </c>
      <c r="C4" s="152">
        <v>2018</v>
      </c>
      <c r="D4" s="153" t="s">
        <v>430</v>
      </c>
      <c r="E4" s="208" t="s">
        <v>431</v>
      </c>
      <c r="F4" s="208" t="s">
        <v>294</v>
      </c>
      <c r="G4" s="208" t="s">
        <v>36</v>
      </c>
      <c r="H4" s="208" t="s">
        <v>157</v>
      </c>
      <c r="I4" s="208" t="s">
        <v>434</v>
      </c>
      <c r="J4" s="208" t="s">
        <v>38</v>
      </c>
      <c r="K4" s="208" t="s">
        <v>154</v>
      </c>
      <c r="L4" s="208">
        <v>3</v>
      </c>
      <c r="N4" s="208">
        <v>1</v>
      </c>
      <c r="O4" s="208">
        <v>0.44</v>
      </c>
      <c r="P4" s="208">
        <v>0.39</v>
      </c>
      <c r="Q4" s="245">
        <f t="shared" si="2"/>
        <v>0.41500000000000004</v>
      </c>
      <c r="R4" s="208">
        <v>17.3</v>
      </c>
      <c r="S4" s="208">
        <v>132</v>
      </c>
      <c r="T4" s="217">
        <f t="shared" si="0"/>
        <v>25</v>
      </c>
      <c r="U4" s="208">
        <v>128</v>
      </c>
      <c r="V4" s="217">
        <f t="shared" si="1"/>
        <v>27</v>
      </c>
      <c r="W4" s="208">
        <v>1</v>
      </c>
      <c r="X4" s="208" t="s">
        <v>39</v>
      </c>
      <c r="Y4" s="208" t="s">
        <v>90</v>
      </c>
      <c r="Z4" s="208" t="s">
        <v>84</v>
      </c>
      <c r="AA4" s="208" t="s">
        <v>102</v>
      </c>
      <c r="AB4" s="237" t="s">
        <v>432</v>
      </c>
      <c r="AE4" s="223" t="s">
        <v>34</v>
      </c>
      <c r="AG4" s="154" t="s">
        <v>303</v>
      </c>
      <c r="AH4" s="155" t="s">
        <v>295</v>
      </c>
      <c r="AJ4" s="228" t="s">
        <v>48</v>
      </c>
      <c r="AL4" s="228" t="s">
        <v>129</v>
      </c>
      <c r="AN4" s="229" t="s">
        <v>49</v>
      </c>
      <c r="AP4" s="224" t="s">
        <v>435</v>
      </c>
      <c r="AR4" s="238" t="s">
        <v>250</v>
      </c>
      <c r="AT4" s="229"/>
      <c r="AV4" s="224" t="s">
        <v>436</v>
      </c>
      <c r="AX4" s="225">
        <v>75</v>
      </c>
      <c r="AY4" s="226">
        <v>42</v>
      </c>
      <c r="AZ4" s="226">
        <v>76</v>
      </c>
      <c r="BA4" s="227">
        <v>39</v>
      </c>
    </row>
    <row r="5" spans="1:53" x14ac:dyDescent="0.15">
      <c r="A5" s="208" t="s">
        <v>59</v>
      </c>
      <c r="B5" s="237" t="s">
        <v>429</v>
      </c>
      <c r="C5" s="152">
        <v>2018</v>
      </c>
      <c r="D5" s="153" t="s">
        <v>430</v>
      </c>
      <c r="E5" s="208" t="s">
        <v>431</v>
      </c>
      <c r="F5" s="208" t="s">
        <v>294</v>
      </c>
      <c r="G5" s="208" t="s">
        <v>36</v>
      </c>
      <c r="H5" s="208" t="s">
        <v>155</v>
      </c>
      <c r="I5" s="208" t="s">
        <v>153</v>
      </c>
      <c r="J5" s="208" t="s">
        <v>38</v>
      </c>
      <c r="K5" s="208" t="s">
        <v>154</v>
      </c>
      <c r="L5" s="208">
        <v>1</v>
      </c>
      <c r="N5" s="208">
        <v>1</v>
      </c>
      <c r="O5" s="208">
        <v>0.45</v>
      </c>
      <c r="P5" s="208">
        <v>0.51</v>
      </c>
      <c r="Q5" s="245">
        <f t="shared" si="2"/>
        <v>0.48</v>
      </c>
      <c r="R5" s="208">
        <v>15.4</v>
      </c>
      <c r="S5" s="208">
        <v>134</v>
      </c>
      <c r="T5" s="217">
        <f t="shared" si="0"/>
        <v>25</v>
      </c>
      <c r="U5" s="208">
        <v>128</v>
      </c>
      <c r="V5" s="217">
        <f t="shared" si="1"/>
        <v>27</v>
      </c>
      <c r="W5" s="208">
        <v>1</v>
      </c>
      <c r="X5" s="208" t="s">
        <v>39</v>
      </c>
      <c r="Y5" s="208" t="s">
        <v>90</v>
      </c>
      <c r="Z5" s="208" t="s">
        <v>84</v>
      </c>
      <c r="AA5" s="208" t="s">
        <v>102</v>
      </c>
      <c r="AB5" s="237" t="s">
        <v>432</v>
      </c>
      <c r="AE5" s="223" t="s">
        <v>51</v>
      </c>
      <c r="AG5" s="154" t="s">
        <v>251</v>
      </c>
      <c r="AH5" s="155" t="s">
        <v>296</v>
      </c>
      <c r="AJ5" s="229"/>
      <c r="AL5" s="230" t="s">
        <v>437</v>
      </c>
      <c r="AN5" s="72" t="s">
        <v>438</v>
      </c>
      <c r="AP5" s="224" t="s">
        <v>439</v>
      </c>
      <c r="AR5" s="238" t="s">
        <v>54</v>
      </c>
      <c r="AV5" s="224" t="s">
        <v>440</v>
      </c>
      <c r="AX5" s="225">
        <v>84</v>
      </c>
      <c r="AY5" s="226">
        <v>39</v>
      </c>
      <c r="AZ5" s="226">
        <v>84</v>
      </c>
      <c r="BA5" s="227">
        <v>36</v>
      </c>
    </row>
    <row r="6" spans="1:53" x14ac:dyDescent="0.15">
      <c r="A6" s="208" t="s">
        <v>59</v>
      </c>
      <c r="B6" s="237" t="s">
        <v>429</v>
      </c>
      <c r="C6" s="152">
        <v>2018</v>
      </c>
      <c r="D6" s="153" t="s">
        <v>430</v>
      </c>
      <c r="E6" s="208" t="s">
        <v>431</v>
      </c>
      <c r="F6" s="208" t="s">
        <v>294</v>
      </c>
      <c r="G6" s="208" t="s">
        <v>36</v>
      </c>
      <c r="H6" s="208" t="s">
        <v>155</v>
      </c>
      <c r="I6" s="208" t="s">
        <v>153</v>
      </c>
      <c r="J6" s="208" t="s">
        <v>38</v>
      </c>
      <c r="K6" s="208" t="s">
        <v>154</v>
      </c>
      <c r="L6" s="208">
        <v>2</v>
      </c>
      <c r="N6" s="208">
        <v>1</v>
      </c>
      <c r="O6" s="208">
        <v>0.53</v>
      </c>
      <c r="P6" s="208">
        <v>0.48</v>
      </c>
      <c r="Q6" s="245">
        <f t="shared" si="2"/>
        <v>0.505</v>
      </c>
      <c r="R6" s="208">
        <v>13.7</v>
      </c>
      <c r="S6" s="208">
        <v>136</v>
      </c>
      <c r="T6" s="217">
        <f t="shared" si="0"/>
        <v>25</v>
      </c>
      <c r="U6" s="208">
        <v>128</v>
      </c>
      <c r="V6" s="217">
        <f t="shared" si="1"/>
        <v>27</v>
      </c>
      <c r="W6" s="208">
        <v>1</v>
      </c>
      <c r="X6" s="208" t="s">
        <v>39</v>
      </c>
      <c r="Y6" s="208" t="s">
        <v>90</v>
      </c>
      <c r="Z6" s="208" t="s">
        <v>84</v>
      </c>
      <c r="AA6" s="208" t="s">
        <v>102</v>
      </c>
      <c r="AB6" s="237" t="s">
        <v>432</v>
      </c>
      <c r="AE6" s="223" t="s">
        <v>56</v>
      </c>
      <c r="AG6" s="154" t="s">
        <v>304</v>
      </c>
      <c r="AH6" s="155" t="s">
        <v>297</v>
      </c>
      <c r="AL6" s="230" t="s">
        <v>441</v>
      </c>
      <c r="AN6" s="230" t="s">
        <v>442</v>
      </c>
      <c r="AP6" s="224" t="s">
        <v>53</v>
      </c>
      <c r="AR6" s="238" t="s">
        <v>158</v>
      </c>
      <c r="AV6" s="224" t="s">
        <v>60</v>
      </c>
      <c r="AX6" s="225">
        <v>97</v>
      </c>
      <c r="AY6" s="226">
        <v>36</v>
      </c>
      <c r="AZ6" s="226">
        <v>99</v>
      </c>
      <c r="BA6" s="227">
        <v>33</v>
      </c>
    </row>
    <row r="7" spans="1:53" x14ac:dyDescent="0.15">
      <c r="A7" s="208" t="s">
        <v>59</v>
      </c>
      <c r="B7" s="237" t="s">
        <v>358</v>
      </c>
      <c r="C7" s="152">
        <v>2018</v>
      </c>
      <c r="D7" s="153" t="s">
        <v>359</v>
      </c>
      <c r="E7" s="208" t="s">
        <v>443</v>
      </c>
      <c r="F7" s="208" t="s">
        <v>294</v>
      </c>
      <c r="G7" s="208" t="s">
        <v>36</v>
      </c>
      <c r="H7" s="208" t="s">
        <v>155</v>
      </c>
      <c r="I7" s="208" t="s">
        <v>153</v>
      </c>
      <c r="J7" s="208" t="s">
        <v>38</v>
      </c>
      <c r="K7" s="208" t="s">
        <v>154</v>
      </c>
      <c r="L7" s="208">
        <v>3</v>
      </c>
      <c r="N7" s="208">
        <v>1</v>
      </c>
      <c r="O7" s="208">
        <v>0.47</v>
      </c>
      <c r="P7" s="208">
        <v>0.48</v>
      </c>
      <c r="Q7" s="245">
        <f t="shared" si="2"/>
        <v>0.47499999999999998</v>
      </c>
      <c r="R7" s="208">
        <v>15.1</v>
      </c>
      <c r="S7" s="208">
        <v>132</v>
      </c>
      <c r="T7" s="217">
        <f t="shared" si="0"/>
        <v>25</v>
      </c>
      <c r="U7" s="208">
        <v>128</v>
      </c>
      <c r="V7" s="217">
        <f t="shared" si="1"/>
        <v>27</v>
      </c>
      <c r="W7" s="208">
        <v>1</v>
      </c>
      <c r="X7" s="208" t="s">
        <v>39</v>
      </c>
      <c r="Y7" s="208" t="s">
        <v>90</v>
      </c>
      <c r="Z7" s="208" t="s">
        <v>84</v>
      </c>
      <c r="AA7" s="208" t="s">
        <v>102</v>
      </c>
      <c r="AB7" s="237" t="s">
        <v>444</v>
      </c>
      <c r="AE7" s="223" t="s">
        <v>61</v>
      </c>
      <c r="AG7" s="154" t="s">
        <v>305</v>
      </c>
      <c r="AH7" s="155" t="s">
        <v>298</v>
      </c>
      <c r="AL7" s="235" t="s">
        <v>445</v>
      </c>
      <c r="AP7" s="224" t="s">
        <v>58</v>
      </c>
      <c r="AR7" s="231" t="s">
        <v>253</v>
      </c>
      <c r="AV7" s="224" t="s">
        <v>64</v>
      </c>
      <c r="AX7" s="225">
        <v>109</v>
      </c>
      <c r="AY7" s="226">
        <v>33</v>
      </c>
      <c r="AZ7" s="226">
        <v>113</v>
      </c>
      <c r="BA7" s="227">
        <v>30</v>
      </c>
    </row>
    <row r="8" spans="1:53" x14ac:dyDescent="0.15">
      <c r="A8" s="208" t="s">
        <v>59</v>
      </c>
      <c r="B8" s="237" t="s">
        <v>446</v>
      </c>
      <c r="C8" s="152">
        <v>2018</v>
      </c>
      <c r="D8" s="153" t="s">
        <v>447</v>
      </c>
      <c r="E8" s="208" t="s">
        <v>448</v>
      </c>
      <c r="F8" s="208" t="s">
        <v>294</v>
      </c>
      <c r="G8" s="208" t="s">
        <v>36</v>
      </c>
      <c r="H8" s="208" t="s">
        <v>129</v>
      </c>
      <c r="I8" s="208" t="s">
        <v>153</v>
      </c>
      <c r="J8" s="208" t="s">
        <v>259</v>
      </c>
      <c r="K8" s="208" t="s">
        <v>250</v>
      </c>
      <c r="L8" s="208">
        <v>1</v>
      </c>
      <c r="N8" s="208">
        <v>4</v>
      </c>
      <c r="O8" s="208">
        <v>0.56000000000000005</v>
      </c>
      <c r="P8" s="208">
        <v>0.55000000000000004</v>
      </c>
      <c r="Q8" s="245">
        <f t="shared" si="2"/>
        <v>0.55500000000000005</v>
      </c>
      <c r="R8" s="208">
        <v>16.600000000000001</v>
      </c>
      <c r="S8" s="208">
        <v>85</v>
      </c>
      <c r="T8" s="217">
        <f t="shared" si="0"/>
        <v>36</v>
      </c>
      <c r="U8" s="208">
        <v>398</v>
      </c>
      <c r="V8" s="217">
        <f t="shared" si="1"/>
        <v>16</v>
      </c>
      <c r="W8" s="208">
        <v>1</v>
      </c>
      <c r="X8" s="208" t="s">
        <v>46</v>
      </c>
      <c r="Y8" s="208" t="s">
        <v>90</v>
      </c>
      <c r="Z8" s="208" t="s">
        <v>84</v>
      </c>
      <c r="AA8" s="208" t="s">
        <v>102</v>
      </c>
      <c r="AB8" s="237" t="s">
        <v>449</v>
      </c>
      <c r="AE8" s="223" t="s">
        <v>59</v>
      </c>
      <c r="AG8" s="160" t="s">
        <v>306</v>
      </c>
      <c r="AH8" s="155" t="s">
        <v>299</v>
      </c>
      <c r="AL8" s="235" t="s">
        <v>450</v>
      </c>
      <c r="AP8" s="224" t="s">
        <v>62</v>
      </c>
      <c r="AR8" s="238" t="s">
        <v>81</v>
      </c>
      <c r="AV8" s="224" t="s">
        <v>97</v>
      </c>
      <c r="AX8" s="225">
        <v>119</v>
      </c>
      <c r="AY8" s="226">
        <v>30</v>
      </c>
      <c r="AZ8" s="226">
        <v>121</v>
      </c>
      <c r="BA8" s="227">
        <v>27</v>
      </c>
    </row>
    <row r="9" spans="1:53" x14ac:dyDescent="0.15">
      <c r="A9" s="208" t="s">
        <v>59</v>
      </c>
      <c r="B9" s="237" t="s">
        <v>446</v>
      </c>
      <c r="C9" s="152">
        <v>2018</v>
      </c>
      <c r="D9" s="153" t="s">
        <v>447</v>
      </c>
      <c r="E9" s="208" t="s">
        <v>448</v>
      </c>
      <c r="F9" s="208" t="s">
        <v>294</v>
      </c>
      <c r="G9" s="208" t="s">
        <v>36</v>
      </c>
      <c r="H9" s="208" t="s">
        <v>129</v>
      </c>
      <c r="I9" s="208" t="s">
        <v>153</v>
      </c>
      <c r="J9" s="208" t="s">
        <v>259</v>
      </c>
      <c r="K9" s="208" t="s">
        <v>250</v>
      </c>
      <c r="L9" s="208">
        <v>2</v>
      </c>
      <c r="N9" s="208">
        <v>4</v>
      </c>
      <c r="O9" s="208">
        <v>1.1000000000000001</v>
      </c>
      <c r="P9" s="208">
        <v>1.01</v>
      </c>
      <c r="Q9" s="245">
        <f t="shared" si="2"/>
        <v>1.0550000000000002</v>
      </c>
      <c r="R9" s="208">
        <v>11.7</v>
      </c>
      <c r="S9" s="208">
        <v>90</v>
      </c>
      <c r="T9" s="217">
        <f t="shared" si="0"/>
        <v>36</v>
      </c>
      <c r="U9" s="208">
        <v>398</v>
      </c>
      <c r="V9" s="217">
        <f t="shared" si="1"/>
        <v>16</v>
      </c>
      <c r="W9" s="208">
        <v>1</v>
      </c>
      <c r="X9" s="208" t="s">
        <v>46</v>
      </c>
      <c r="Y9" s="208" t="s">
        <v>90</v>
      </c>
      <c r="Z9" s="208" t="s">
        <v>84</v>
      </c>
      <c r="AA9" s="208" t="s">
        <v>102</v>
      </c>
      <c r="AB9" s="237" t="s">
        <v>449</v>
      </c>
      <c r="AE9" s="223" t="s">
        <v>98</v>
      </c>
      <c r="AG9" s="160" t="s">
        <v>307</v>
      </c>
      <c r="AH9" s="155" t="s">
        <v>299</v>
      </c>
      <c r="AL9" s="230"/>
      <c r="AP9" s="224" t="s">
        <v>255</v>
      </c>
      <c r="AR9" s="231" t="s">
        <v>89</v>
      </c>
      <c r="AV9" s="224" t="s">
        <v>102</v>
      </c>
      <c r="AX9" s="225">
        <v>128</v>
      </c>
      <c r="AY9" s="226">
        <v>27</v>
      </c>
      <c r="AZ9" s="226">
        <v>129</v>
      </c>
      <c r="BA9" s="227">
        <v>25</v>
      </c>
    </row>
    <row r="10" spans="1:53" x14ac:dyDescent="0.15">
      <c r="A10" s="208" t="s">
        <v>59</v>
      </c>
      <c r="B10" s="237" t="s">
        <v>351</v>
      </c>
      <c r="C10" s="152">
        <v>2018</v>
      </c>
      <c r="D10" s="153" t="s">
        <v>352</v>
      </c>
      <c r="E10" s="208" t="s">
        <v>451</v>
      </c>
      <c r="F10" s="208" t="s">
        <v>294</v>
      </c>
      <c r="G10" s="208" t="s">
        <v>36</v>
      </c>
      <c r="H10" s="208" t="s">
        <v>129</v>
      </c>
      <c r="I10" s="208" t="s">
        <v>153</v>
      </c>
      <c r="J10" s="208" t="s">
        <v>259</v>
      </c>
      <c r="K10" s="208" t="s">
        <v>250</v>
      </c>
      <c r="L10" s="208">
        <v>3</v>
      </c>
      <c r="N10" s="208">
        <v>4</v>
      </c>
      <c r="O10" s="208">
        <v>0.96</v>
      </c>
      <c r="P10" s="208">
        <v>1</v>
      </c>
      <c r="Q10" s="245">
        <f t="shared" si="2"/>
        <v>0.98</v>
      </c>
      <c r="R10" s="208">
        <v>12.4</v>
      </c>
      <c r="S10" s="208">
        <v>86</v>
      </c>
      <c r="T10" s="217">
        <f t="shared" si="0"/>
        <v>36</v>
      </c>
      <c r="U10" s="208">
        <v>398</v>
      </c>
      <c r="V10" s="217">
        <f t="shared" si="1"/>
        <v>16</v>
      </c>
      <c r="W10" s="208">
        <v>1</v>
      </c>
      <c r="X10" s="208" t="s">
        <v>46</v>
      </c>
      <c r="Y10" s="208" t="s">
        <v>90</v>
      </c>
      <c r="Z10" s="208" t="s">
        <v>84</v>
      </c>
      <c r="AA10" s="208" t="s">
        <v>102</v>
      </c>
      <c r="AB10" s="237" t="s">
        <v>452</v>
      </c>
      <c r="AE10" s="223" t="s">
        <v>103</v>
      </c>
      <c r="AG10" s="154" t="s">
        <v>308</v>
      </c>
      <c r="AH10" s="155" t="s">
        <v>296</v>
      </c>
      <c r="AL10" s="88"/>
      <c r="AP10" s="224" t="s">
        <v>100</v>
      </c>
      <c r="AR10" s="231" t="s">
        <v>123</v>
      </c>
      <c r="AV10" s="224" t="s">
        <v>106</v>
      </c>
      <c r="AX10" s="225">
        <v>138</v>
      </c>
      <c r="AY10" s="226">
        <v>25</v>
      </c>
      <c r="AZ10" s="226">
        <v>138</v>
      </c>
      <c r="BA10" s="227">
        <v>22</v>
      </c>
    </row>
    <row r="11" spans="1:53" x14ac:dyDescent="0.15">
      <c r="A11" s="208" t="s">
        <v>59</v>
      </c>
      <c r="B11" s="237" t="s">
        <v>351</v>
      </c>
      <c r="C11" s="152">
        <v>2018</v>
      </c>
      <c r="D11" s="153" t="s">
        <v>352</v>
      </c>
      <c r="E11" s="208" t="s">
        <v>301</v>
      </c>
      <c r="F11" s="208" t="s">
        <v>293</v>
      </c>
      <c r="G11" s="208" t="s">
        <v>36</v>
      </c>
      <c r="H11" s="208" t="s">
        <v>157</v>
      </c>
      <c r="I11" s="208" t="s">
        <v>153</v>
      </c>
      <c r="J11" s="208" t="s">
        <v>38</v>
      </c>
      <c r="K11" s="208" t="s">
        <v>154</v>
      </c>
      <c r="L11" s="208">
        <v>1</v>
      </c>
      <c r="N11" s="208">
        <v>4</v>
      </c>
      <c r="O11" s="208">
        <v>0.26</v>
      </c>
      <c r="P11" s="208">
        <v>0.22</v>
      </c>
      <c r="Q11" s="245">
        <f t="shared" si="2"/>
        <v>0.24</v>
      </c>
      <c r="R11" s="208">
        <v>14.8</v>
      </c>
      <c r="S11" s="208">
        <v>110</v>
      </c>
      <c r="T11" s="217">
        <f t="shared" si="0"/>
        <v>33</v>
      </c>
      <c r="U11" s="208">
        <v>297</v>
      </c>
      <c r="V11" s="217">
        <f t="shared" si="1"/>
        <v>16</v>
      </c>
      <c r="W11" s="208">
        <v>8</v>
      </c>
      <c r="X11" s="208" t="s">
        <v>39</v>
      </c>
      <c r="Y11" s="208" t="s">
        <v>84</v>
      </c>
      <c r="Z11" s="208" t="s">
        <v>261</v>
      </c>
      <c r="AA11" s="208" t="s">
        <v>102</v>
      </c>
      <c r="AB11" s="237" t="s">
        <v>453</v>
      </c>
      <c r="AE11" s="223" t="s">
        <v>65</v>
      </c>
      <c r="AG11" s="160" t="s">
        <v>309</v>
      </c>
      <c r="AH11" s="155" t="s">
        <v>300</v>
      </c>
      <c r="AL11" s="88"/>
      <c r="AP11" s="224" t="s">
        <v>254</v>
      </c>
      <c r="AR11" s="231" t="s">
        <v>256</v>
      </c>
      <c r="AV11" s="224" t="s">
        <v>454</v>
      </c>
      <c r="AX11" s="225">
        <v>151</v>
      </c>
      <c r="AY11" s="226">
        <v>22</v>
      </c>
      <c r="AZ11" s="226">
        <v>152</v>
      </c>
      <c r="BA11" s="227">
        <v>18</v>
      </c>
    </row>
    <row r="12" spans="1:53" x14ac:dyDescent="0.15">
      <c r="A12" s="208" t="s">
        <v>59</v>
      </c>
      <c r="B12" s="237" t="s">
        <v>455</v>
      </c>
      <c r="C12" s="152">
        <v>2018</v>
      </c>
      <c r="D12" s="153" t="s">
        <v>456</v>
      </c>
      <c r="E12" s="208" t="s">
        <v>301</v>
      </c>
      <c r="F12" s="208" t="s">
        <v>293</v>
      </c>
      <c r="G12" s="208" t="s">
        <v>36</v>
      </c>
      <c r="H12" s="208" t="s">
        <v>157</v>
      </c>
      <c r="I12" s="208" t="s">
        <v>153</v>
      </c>
      <c r="J12" s="208" t="s">
        <v>38</v>
      </c>
      <c r="K12" s="208" t="s">
        <v>154</v>
      </c>
      <c r="L12" s="208">
        <v>2</v>
      </c>
      <c r="N12" s="208">
        <v>4</v>
      </c>
      <c r="O12" s="208">
        <v>0.3</v>
      </c>
      <c r="P12" s="208">
        <v>0.28999999999999998</v>
      </c>
      <c r="Q12" s="245">
        <f t="shared" si="2"/>
        <v>0.29499999999999998</v>
      </c>
      <c r="R12" s="208">
        <v>14.9</v>
      </c>
      <c r="S12" s="208">
        <v>120</v>
      </c>
      <c r="T12" s="217">
        <f t="shared" si="0"/>
        <v>30</v>
      </c>
      <c r="U12" s="208">
        <v>297</v>
      </c>
      <c r="V12" s="217">
        <f t="shared" si="1"/>
        <v>16</v>
      </c>
      <c r="W12" s="208">
        <v>8</v>
      </c>
      <c r="X12" s="208" t="s">
        <v>39</v>
      </c>
      <c r="Y12" s="208" t="s">
        <v>84</v>
      </c>
      <c r="Z12" s="208" t="s">
        <v>261</v>
      </c>
      <c r="AA12" s="208" t="s">
        <v>102</v>
      </c>
      <c r="AB12" s="237" t="s">
        <v>453</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362</v>
      </c>
      <c r="C13" s="152">
        <v>2018</v>
      </c>
      <c r="D13" s="153" t="s">
        <v>363</v>
      </c>
      <c r="E13" s="208" t="s">
        <v>301</v>
      </c>
      <c r="F13" s="208" t="s">
        <v>293</v>
      </c>
      <c r="G13" s="208" t="s">
        <v>36</v>
      </c>
      <c r="H13" s="208" t="s">
        <v>157</v>
      </c>
      <c r="I13" s="208" t="s">
        <v>153</v>
      </c>
      <c r="J13" s="208" t="s">
        <v>38</v>
      </c>
      <c r="K13" s="208" t="s">
        <v>154</v>
      </c>
      <c r="L13" s="208">
        <v>3</v>
      </c>
      <c r="N13" s="208">
        <v>4</v>
      </c>
      <c r="O13" s="208">
        <v>0.35</v>
      </c>
      <c r="P13" s="208">
        <v>0.42</v>
      </c>
      <c r="Q13" s="245">
        <f t="shared" si="2"/>
        <v>0.38500000000000001</v>
      </c>
      <c r="R13" s="208">
        <v>14.9</v>
      </c>
      <c r="S13" s="208">
        <v>110</v>
      </c>
      <c r="T13" s="217">
        <f t="shared" si="0"/>
        <v>33</v>
      </c>
      <c r="U13" s="208">
        <v>297</v>
      </c>
      <c r="V13" s="217">
        <f t="shared" si="1"/>
        <v>16</v>
      </c>
      <c r="W13" s="208">
        <v>8</v>
      </c>
      <c r="X13" s="208" t="s">
        <v>39</v>
      </c>
      <c r="Y13" s="208" t="s">
        <v>84</v>
      </c>
      <c r="Z13" s="208" t="s">
        <v>261</v>
      </c>
      <c r="AA13" s="208" t="s">
        <v>102</v>
      </c>
      <c r="AB13" s="237" t="s">
        <v>453</v>
      </c>
      <c r="AE13" s="223" t="s">
        <v>73</v>
      </c>
      <c r="AG13" s="224"/>
      <c r="AH13" s="224"/>
      <c r="AP13" s="224" t="s">
        <v>71</v>
      </c>
      <c r="AR13" s="231" t="s">
        <v>103</v>
      </c>
      <c r="AV13" s="224" t="s">
        <v>75</v>
      </c>
    </row>
    <row r="14" spans="1:53" x14ac:dyDescent="0.15">
      <c r="A14" s="208" t="s">
        <v>59</v>
      </c>
      <c r="B14" s="237" t="s">
        <v>364</v>
      </c>
      <c r="C14" s="152">
        <v>2018</v>
      </c>
      <c r="D14" s="153" t="s">
        <v>365</v>
      </c>
      <c r="E14" s="208" t="s">
        <v>301</v>
      </c>
      <c r="F14" s="208" t="s">
        <v>293</v>
      </c>
      <c r="G14" s="208" t="s">
        <v>36</v>
      </c>
      <c r="H14" s="208" t="s">
        <v>155</v>
      </c>
      <c r="I14" s="208" t="s">
        <v>153</v>
      </c>
      <c r="J14" s="208" t="s">
        <v>38</v>
      </c>
      <c r="K14" s="208" t="s">
        <v>154</v>
      </c>
      <c r="L14" s="208">
        <v>1</v>
      </c>
      <c r="N14" s="208">
        <v>4</v>
      </c>
      <c r="O14" s="208">
        <v>0.56999999999999995</v>
      </c>
      <c r="P14" s="208">
        <v>0.77</v>
      </c>
      <c r="Q14" s="245">
        <f t="shared" si="2"/>
        <v>0.66999999999999993</v>
      </c>
      <c r="R14" s="208">
        <v>14.4</v>
      </c>
      <c r="S14" s="208">
        <v>106</v>
      </c>
      <c r="T14" s="217">
        <f t="shared" si="0"/>
        <v>33</v>
      </c>
      <c r="U14" s="208">
        <v>297</v>
      </c>
      <c r="V14" s="217">
        <f t="shared" si="1"/>
        <v>16</v>
      </c>
      <c r="W14" s="208">
        <v>6</v>
      </c>
      <c r="X14" s="208" t="s">
        <v>39</v>
      </c>
      <c r="Y14" s="208" t="s">
        <v>84</v>
      </c>
      <c r="Z14" s="208" t="s">
        <v>261</v>
      </c>
      <c r="AA14" s="208" t="s">
        <v>102</v>
      </c>
      <c r="AB14" s="237" t="s">
        <v>453</v>
      </c>
      <c r="AE14" s="223" t="s">
        <v>76</v>
      </c>
      <c r="AG14" s="224"/>
      <c r="AH14" s="224"/>
      <c r="AP14" s="224" t="s">
        <v>257</v>
      </c>
      <c r="AR14" s="231" t="s">
        <v>125</v>
      </c>
      <c r="AV14" s="224" t="s">
        <v>78</v>
      </c>
    </row>
    <row r="15" spans="1:53" x14ac:dyDescent="0.15">
      <c r="A15" s="208" t="s">
        <v>59</v>
      </c>
      <c r="B15" s="237" t="s">
        <v>457</v>
      </c>
      <c r="C15" s="152">
        <v>2018</v>
      </c>
      <c r="D15" s="153" t="s">
        <v>458</v>
      </c>
      <c r="E15" s="208" t="s">
        <v>301</v>
      </c>
      <c r="F15" s="208" t="s">
        <v>293</v>
      </c>
      <c r="G15" s="208" t="s">
        <v>36</v>
      </c>
      <c r="H15" s="208" t="s">
        <v>155</v>
      </c>
      <c r="I15" s="208" t="s">
        <v>153</v>
      </c>
      <c r="J15" s="208" t="s">
        <v>38</v>
      </c>
      <c r="K15" s="208" t="s">
        <v>154</v>
      </c>
      <c r="L15" s="208">
        <v>2</v>
      </c>
      <c r="N15" s="208">
        <v>4</v>
      </c>
      <c r="O15" s="208">
        <v>0.42</v>
      </c>
      <c r="P15" s="208">
        <v>0.55000000000000004</v>
      </c>
      <c r="Q15" s="245">
        <f t="shared" si="2"/>
        <v>0.48499999999999999</v>
      </c>
      <c r="R15" s="208">
        <v>12.9</v>
      </c>
      <c r="S15" s="208">
        <v>105</v>
      </c>
      <c r="T15" s="217">
        <f t="shared" si="0"/>
        <v>33</v>
      </c>
      <c r="U15" s="208">
        <v>297</v>
      </c>
      <c r="V15" s="217">
        <f t="shared" si="1"/>
        <v>16</v>
      </c>
      <c r="W15" s="208">
        <v>6</v>
      </c>
      <c r="X15" s="208" t="s">
        <v>39</v>
      </c>
      <c r="Y15" s="208" t="s">
        <v>84</v>
      </c>
      <c r="Z15" s="208" t="s">
        <v>261</v>
      </c>
      <c r="AA15" s="208" t="s">
        <v>102</v>
      </c>
      <c r="AB15" s="237" t="s">
        <v>453</v>
      </c>
      <c r="AE15" s="223" t="s">
        <v>79</v>
      </c>
      <c r="AG15" s="224"/>
      <c r="AH15" s="224"/>
      <c r="AP15" s="224" t="s">
        <v>258</v>
      </c>
      <c r="AR15" s="231" t="s">
        <v>94</v>
      </c>
      <c r="AV15" s="224" t="s">
        <v>107</v>
      </c>
    </row>
    <row r="16" spans="1:53" x14ac:dyDescent="0.15">
      <c r="A16" s="208" t="s">
        <v>59</v>
      </c>
      <c r="B16" s="237" t="s">
        <v>366</v>
      </c>
      <c r="C16" s="152">
        <v>2018</v>
      </c>
      <c r="D16" s="153" t="s">
        <v>367</v>
      </c>
      <c r="E16" s="208" t="s">
        <v>301</v>
      </c>
      <c r="F16" s="208" t="s">
        <v>293</v>
      </c>
      <c r="G16" s="208" t="s">
        <v>36</v>
      </c>
      <c r="H16" s="208" t="s">
        <v>155</v>
      </c>
      <c r="I16" s="208" t="s">
        <v>153</v>
      </c>
      <c r="J16" s="208" t="s">
        <v>38</v>
      </c>
      <c r="K16" s="208" t="s">
        <v>154</v>
      </c>
      <c r="L16" s="208">
        <v>3</v>
      </c>
      <c r="N16" s="208">
        <v>4</v>
      </c>
      <c r="O16" s="208">
        <v>0.55000000000000004</v>
      </c>
      <c r="P16" s="208">
        <v>0.67</v>
      </c>
      <c r="Q16" s="245">
        <f t="shared" si="2"/>
        <v>0.6100000000000001</v>
      </c>
      <c r="R16" s="208">
        <v>13.2</v>
      </c>
      <c r="S16" s="208">
        <v>107</v>
      </c>
      <c r="T16" s="217">
        <f t="shared" si="0"/>
        <v>33</v>
      </c>
      <c r="U16" s="208">
        <v>297</v>
      </c>
      <c r="V16" s="217">
        <f t="shared" si="1"/>
        <v>16</v>
      </c>
      <c r="W16" s="208">
        <v>6</v>
      </c>
      <c r="X16" s="208" t="s">
        <v>39</v>
      </c>
      <c r="Y16" s="208" t="s">
        <v>84</v>
      </c>
      <c r="Z16" s="208" t="s">
        <v>261</v>
      </c>
      <c r="AA16" s="208" t="s">
        <v>102</v>
      </c>
      <c r="AB16" s="237" t="s">
        <v>453</v>
      </c>
      <c r="AE16" s="223" t="s">
        <v>82</v>
      </c>
      <c r="AG16" s="229"/>
      <c r="AH16" s="229"/>
      <c r="AP16" s="224" t="s">
        <v>80</v>
      </c>
      <c r="AR16" s="238" t="s">
        <v>63</v>
      </c>
      <c r="AV16" s="224" t="s">
        <v>84</v>
      </c>
    </row>
    <row r="17" spans="1:48" x14ac:dyDescent="0.15">
      <c r="A17" s="208" t="s">
        <v>59</v>
      </c>
      <c r="B17" s="237" t="s">
        <v>457</v>
      </c>
      <c r="C17" s="152">
        <v>2018</v>
      </c>
      <c r="D17" s="153" t="s">
        <v>458</v>
      </c>
      <c r="E17" s="208" t="s">
        <v>251</v>
      </c>
      <c r="F17" s="208" t="s">
        <v>296</v>
      </c>
      <c r="G17" s="208" t="s">
        <v>36</v>
      </c>
      <c r="H17" s="208" t="s">
        <v>157</v>
      </c>
      <c r="I17" s="208" t="s">
        <v>153</v>
      </c>
      <c r="J17" s="208" t="s">
        <v>38</v>
      </c>
      <c r="K17" s="208" t="s">
        <v>154</v>
      </c>
      <c r="L17" s="208">
        <v>1</v>
      </c>
      <c r="N17" s="208">
        <v>3</v>
      </c>
      <c r="O17" s="208">
        <v>0.61</v>
      </c>
      <c r="P17" s="208">
        <v>0.64</v>
      </c>
      <c r="Q17" s="245">
        <f t="shared" si="2"/>
        <v>0.625</v>
      </c>
      <c r="R17" s="208">
        <v>14.1</v>
      </c>
      <c r="S17" s="208">
        <v>116</v>
      </c>
      <c r="T17" s="217">
        <f t="shared" si="0"/>
        <v>30</v>
      </c>
      <c r="U17" s="208">
        <v>399</v>
      </c>
      <c r="V17" s="217">
        <f t="shared" si="1"/>
        <v>16</v>
      </c>
      <c r="W17" s="208">
        <v>3</v>
      </c>
      <c r="X17" s="208" t="s">
        <v>39</v>
      </c>
      <c r="Y17" s="208" t="s">
        <v>90</v>
      </c>
      <c r="Z17" s="208" t="s">
        <v>84</v>
      </c>
      <c r="AA17" s="208" t="s">
        <v>102</v>
      </c>
      <c r="AB17" s="237" t="s">
        <v>453</v>
      </c>
      <c r="AE17" s="223" t="s">
        <v>85</v>
      </c>
      <c r="AP17" s="239" t="s">
        <v>110</v>
      </c>
      <c r="AR17" s="238" t="s">
        <v>96</v>
      </c>
      <c r="AV17" s="224" t="s">
        <v>86</v>
      </c>
    </row>
    <row r="18" spans="1:48" x14ac:dyDescent="0.15">
      <c r="A18" s="208" t="s">
        <v>59</v>
      </c>
      <c r="B18" s="237" t="s">
        <v>457</v>
      </c>
      <c r="C18" s="152">
        <v>2018</v>
      </c>
      <c r="D18" s="153" t="s">
        <v>458</v>
      </c>
      <c r="E18" s="208" t="s">
        <v>251</v>
      </c>
      <c r="F18" s="208" t="s">
        <v>296</v>
      </c>
      <c r="G18" s="208" t="s">
        <v>36</v>
      </c>
      <c r="H18" s="208" t="s">
        <v>157</v>
      </c>
      <c r="I18" s="208" t="s">
        <v>153</v>
      </c>
      <c r="J18" s="208" t="s">
        <v>38</v>
      </c>
      <c r="K18" s="208" t="s">
        <v>154</v>
      </c>
      <c r="L18" s="208">
        <v>2</v>
      </c>
      <c r="N18" s="208">
        <v>3</v>
      </c>
      <c r="O18" s="208">
        <v>0.6</v>
      </c>
      <c r="P18" s="208">
        <v>0.8</v>
      </c>
      <c r="Q18" s="245">
        <f t="shared" si="2"/>
        <v>0.7</v>
      </c>
      <c r="R18" s="208">
        <v>15.3</v>
      </c>
      <c r="S18" s="208">
        <v>130</v>
      </c>
      <c r="T18" s="217">
        <f t="shared" si="0"/>
        <v>25</v>
      </c>
      <c r="U18" s="208">
        <v>399</v>
      </c>
      <c r="V18" s="217">
        <f t="shared" si="1"/>
        <v>16</v>
      </c>
      <c r="W18" s="208">
        <v>3</v>
      </c>
      <c r="X18" s="208" t="s">
        <v>39</v>
      </c>
      <c r="Y18" s="208" t="s">
        <v>90</v>
      </c>
      <c r="Z18" s="208" t="s">
        <v>84</v>
      </c>
      <c r="AA18" s="208" t="s">
        <v>102</v>
      </c>
      <c r="AB18" s="237" t="s">
        <v>453</v>
      </c>
      <c r="AE18" s="223" t="s">
        <v>87</v>
      </c>
      <c r="AP18" s="239" t="s">
        <v>260</v>
      </c>
      <c r="AR18" s="238" t="s">
        <v>101</v>
      </c>
      <c r="AV18" s="224" t="s">
        <v>88</v>
      </c>
    </row>
    <row r="19" spans="1:48" x14ac:dyDescent="0.15">
      <c r="A19" s="208" t="s">
        <v>59</v>
      </c>
      <c r="B19" s="237" t="s">
        <v>358</v>
      </c>
      <c r="C19" s="152">
        <v>2018</v>
      </c>
      <c r="D19" s="153" t="s">
        <v>359</v>
      </c>
      <c r="E19" s="208" t="s">
        <v>251</v>
      </c>
      <c r="F19" s="208" t="s">
        <v>296</v>
      </c>
      <c r="G19" s="208" t="s">
        <v>36</v>
      </c>
      <c r="H19" s="208" t="s">
        <v>157</v>
      </c>
      <c r="I19" s="208" t="s">
        <v>153</v>
      </c>
      <c r="J19" s="208" t="s">
        <v>38</v>
      </c>
      <c r="K19" s="208" t="s">
        <v>154</v>
      </c>
      <c r="L19" s="208">
        <v>3</v>
      </c>
      <c r="N19" s="208">
        <v>3</v>
      </c>
      <c r="O19" s="208">
        <v>0.8</v>
      </c>
      <c r="P19" s="208">
        <v>0.77</v>
      </c>
      <c r="Q19" s="245">
        <f t="shared" si="2"/>
        <v>0.78500000000000003</v>
      </c>
      <c r="R19" s="208">
        <v>15.1</v>
      </c>
      <c r="S19" s="208">
        <v>122</v>
      </c>
      <c r="T19" s="217">
        <f t="shared" si="0"/>
        <v>27</v>
      </c>
      <c r="U19" s="208">
        <v>399</v>
      </c>
      <c r="V19" s="217">
        <f t="shared" si="1"/>
        <v>16</v>
      </c>
      <c r="W19" s="208">
        <v>3</v>
      </c>
      <c r="X19" s="208" t="s">
        <v>39</v>
      </c>
      <c r="Y19" s="208" t="s">
        <v>90</v>
      </c>
      <c r="Z19" s="208" t="s">
        <v>84</v>
      </c>
      <c r="AA19" s="208" t="s">
        <v>102</v>
      </c>
      <c r="AB19" s="237" t="s">
        <v>444</v>
      </c>
      <c r="AD19" s="237"/>
      <c r="AE19" s="236" t="s">
        <v>89</v>
      </c>
      <c r="AP19" s="239" t="s">
        <v>112</v>
      </c>
      <c r="AR19" s="231" t="s">
        <v>126</v>
      </c>
      <c r="AV19" s="224" t="s">
        <v>261</v>
      </c>
    </row>
    <row r="20" spans="1:48" x14ac:dyDescent="0.15">
      <c r="A20" s="208" t="s">
        <v>59</v>
      </c>
      <c r="B20" s="237" t="s">
        <v>457</v>
      </c>
      <c r="C20" s="152">
        <v>2018</v>
      </c>
      <c r="D20" s="153" t="s">
        <v>458</v>
      </c>
      <c r="E20" s="208" t="s">
        <v>251</v>
      </c>
      <c r="F20" s="208" t="s">
        <v>296</v>
      </c>
      <c r="G20" s="208" t="s">
        <v>36</v>
      </c>
      <c r="H20" s="208" t="s">
        <v>155</v>
      </c>
      <c r="I20" s="208" t="s">
        <v>153</v>
      </c>
      <c r="J20" s="208" t="s">
        <v>38</v>
      </c>
      <c r="K20" s="208" t="s">
        <v>154</v>
      </c>
      <c r="L20" s="208">
        <v>1</v>
      </c>
      <c r="N20" s="208">
        <v>1</v>
      </c>
      <c r="O20" s="208">
        <v>0.35</v>
      </c>
      <c r="P20" s="208">
        <v>0.35</v>
      </c>
      <c r="Q20" s="245">
        <f t="shared" si="2"/>
        <v>0.35</v>
      </c>
      <c r="R20" s="208">
        <v>15.6</v>
      </c>
      <c r="S20" s="208">
        <v>136</v>
      </c>
      <c r="T20" s="217">
        <f t="shared" si="0"/>
        <v>25</v>
      </c>
      <c r="U20" s="208">
        <v>149</v>
      </c>
      <c r="V20" s="217">
        <f t="shared" si="1"/>
        <v>22</v>
      </c>
      <c r="W20" s="208">
        <v>3</v>
      </c>
      <c r="X20" s="208" t="s">
        <v>39</v>
      </c>
      <c r="Y20" s="208" t="s">
        <v>90</v>
      </c>
      <c r="Z20" s="208" t="s">
        <v>84</v>
      </c>
      <c r="AA20" s="208" t="s">
        <v>102</v>
      </c>
      <c r="AB20" s="237" t="s">
        <v>453</v>
      </c>
      <c r="AD20" s="237"/>
      <c r="AE20" s="236"/>
      <c r="AP20" s="239" t="s">
        <v>113</v>
      </c>
      <c r="AR20" s="238" t="s">
        <v>105</v>
      </c>
      <c r="AV20" s="228" t="s">
        <v>459</v>
      </c>
    </row>
    <row r="21" spans="1:48" x14ac:dyDescent="0.15">
      <c r="A21" s="208" t="s">
        <v>59</v>
      </c>
      <c r="B21" s="237" t="s">
        <v>457</v>
      </c>
      <c r="C21" s="152">
        <v>2018</v>
      </c>
      <c r="D21" s="153" t="s">
        <v>458</v>
      </c>
      <c r="E21" s="208" t="s">
        <v>251</v>
      </c>
      <c r="F21" s="208" t="s">
        <v>296</v>
      </c>
      <c r="G21" s="208" t="s">
        <v>36</v>
      </c>
      <c r="H21" s="208" t="s">
        <v>155</v>
      </c>
      <c r="I21" s="208" t="s">
        <v>153</v>
      </c>
      <c r="J21" s="208" t="s">
        <v>38</v>
      </c>
      <c r="K21" s="208" t="s">
        <v>154</v>
      </c>
      <c r="L21" s="208">
        <v>2</v>
      </c>
      <c r="N21" s="208">
        <v>1</v>
      </c>
      <c r="O21" s="208">
        <v>0.28000000000000003</v>
      </c>
      <c r="P21" s="208">
        <v>0.32</v>
      </c>
      <c r="Q21" s="245">
        <f t="shared" si="2"/>
        <v>0.30000000000000004</v>
      </c>
      <c r="R21" s="208">
        <v>15.9</v>
      </c>
      <c r="S21" s="208">
        <v>162</v>
      </c>
      <c r="T21" s="217">
        <f t="shared" si="0"/>
        <v>18</v>
      </c>
      <c r="U21" s="208">
        <v>149</v>
      </c>
      <c r="V21" s="217">
        <f t="shared" si="1"/>
        <v>22</v>
      </c>
      <c r="W21" s="208">
        <v>3</v>
      </c>
      <c r="X21" s="208" t="s">
        <v>39</v>
      </c>
      <c r="Y21" s="208" t="s">
        <v>90</v>
      </c>
      <c r="Z21" s="208" t="s">
        <v>84</v>
      </c>
      <c r="AA21" s="208" t="s">
        <v>102</v>
      </c>
      <c r="AB21" s="237" t="s">
        <v>453</v>
      </c>
      <c r="AD21" s="237"/>
      <c r="AE21" s="229"/>
      <c r="AP21" s="239" t="s">
        <v>262</v>
      </c>
      <c r="AR21" s="238" t="s">
        <v>68</v>
      </c>
      <c r="AV21" s="228" t="s">
        <v>460</v>
      </c>
    </row>
    <row r="22" spans="1:48" x14ac:dyDescent="0.15">
      <c r="A22" s="208" t="s">
        <v>59</v>
      </c>
      <c r="B22" s="237" t="s">
        <v>457</v>
      </c>
      <c r="C22" s="152">
        <v>2018</v>
      </c>
      <c r="D22" s="153" t="s">
        <v>458</v>
      </c>
      <c r="E22" s="208" t="s">
        <v>251</v>
      </c>
      <c r="F22" s="208" t="s">
        <v>296</v>
      </c>
      <c r="G22" s="208" t="s">
        <v>36</v>
      </c>
      <c r="H22" s="208" t="s">
        <v>155</v>
      </c>
      <c r="I22" s="208" t="s">
        <v>153</v>
      </c>
      <c r="J22" s="208" t="s">
        <v>38</v>
      </c>
      <c r="K22" s="208" t="s">
        <v>154</v>
      </c>
      <c r="L22" s="208">
        <v>3</v>
      </c>
      <c r="N22" s="208">
        <v>1</v>
      </c>
      <c r="O22" s="208">
        <v>0.35</v>
      </c>
      <c r="P22" s="208">
        <v>0.28000000000000003</v>
      </c>
      <c r="Q22" s="245">
        <f t="shared" si="2"/>
        <v>0.315</v>
      </c>
      <c r="R22" s="208">
        <v>15.6</v>
      </c>
      <c r="S22" s="208">
        <v>137</v>
      </c>
      <c r="T22" s="217">
        <f t="shared" si="0"/>
        <v>25</v>
      </c>
      <c r="U22" s="208">
        <v>149</v>
      </c>
      <c r="V22" s="217">
        <f t="shared" si="1"/>
        <v>22</v>
      </c>
      <c r="W22" s="208">
        <v>3</v>
      </c>
      <c r="X22" s="208" t="s">
        <v>39</v>
      </c>
      <c r="Y22" s="208" t="s">
        <v>90</v>
      </c>
      <c r="Z22" s="208" t="s">
        <v>84</v>
      </c>
      <c r="AA22" s="208" t="s">
        <v>102</v>
      </c>
      <c r="AB22" s="237" t="s">
        <v>453</v>
      </c>
      <c r="AD22" s="237"/>
      <c r="AP22" s="239" t="s">
        <v>259</v>
      </c>
      <c r="AR22" s="238" t="s">
        <v>83</v>
      </c>
      <c r="AV22" s="228" t="s">
        <v>263</v>
      </c>
    </row>
    <row r="23" spans="1:48" x14ac:dyDescent="0.15">
      <c r="A23" s="208" t="s">
        <v>59</v>
      </c>
      <c r="B23" s="237" t="s">
        <v>457</v>
      </c>
      <c r="C23" s="152">
        <v>2018</v>
      </c>
      <c r="D23" s="153" t="s">
        <v>458</v>
      </c>
      <c r="E23" s="208" t="s">
        <v>308</v>
      </c>
      <c r="F23" s="208" t="s">
        <v>296</v>
      </c>
      <c r="G23" s="208" t="s">
        <v>36</v>
      </c>
      <c r="H23" s="208" t="s">
        <v>157</v>
      </c>
      <c r="I23" s="208" t="s">
        <v>153</v>
      </c>
      <c r="J23" s="208" t="s">
        <v>38</v>
      </c>
      <c r="K23" s="208" t="s">
        <v>154</v>
      </c>
      <c r="L23" s="208">
        <v>1</v>
      </c>
      <c r="N23" s="208">
        <v>4</v>
      </c>
      <c r="O23" s="208">
        <v>0.35</v>
      </c>
      <c r="P23" s="208">
        <v>0.4</v>
      </c>
      <c r="Q23" s="245">
        <f t="shared" si="2"/>
        <v>0.375</v>
      </c>
      <c r="R23" s="208">
        <v>15.9</v>
      </c>
      <c r="S23" s="208">
        <v>131</v>
      </c>
      <c r="T23" s="217">
        <f t="shared" si="0"/>
        <v>25</v>
      </c>
      <c r="U23" s="208">
        <v>645</v>
      </c>
      <c r="V23" s="217">
        <f t="shared" si="1"/>
        <v>16</v>
      </c>
      <c r="W23" s="208">
        <v>1</v>
      </c>
      <c r="X23" s="208" t="s">
        <v>46</v>
      </c>
      <c r="Y23" s="208" t="s">
        <v>90</v>
      </c>
      <c r="Z23" s="208" t="s">
        <v>78</v>
      </c>
      <c r="AA23" s="208" t="s">
        <v>102</v>
      </c>
      <c r="AB23" s="237" t="s">
        <v>453</v>
      </c>
      <c r="AP23" s="239" t="s">
        <v>461</v>
      </c>
      <c r="AR23" s="238" t="s">
        <v>61</v>
      </c>
      <c r="AV23" s="228" t="s">
        <v>462</v>
      </c>
    </row>
    <row r="24" spans="1:48" x14ac:dyDescent="0.15">
      <c r="A24" s="208" t="s">
        <v>59</v>
      </c>
      <c r="B24" s="237" t="s">
        <v>457</v>
      </c>
      <c r="C24" s="152">
        <v>2018</v>
      </c>
      <c r="D24" s="153" t="s">
        <v>458</v>
      </c>
      <c r="E24" s="208" t="s">
        <v>308</v>
      </c>
      <c r="F24" s="208" t="s">
        <v>296</v>
      </c>
      <c r="G24" s="208" t="s">
        <v>36</v>
      </c>
      <c r="H24" s="208" t="s">
        <v>157</v>
      </c>
      <c r="I24" s="208" t="s">
        <v>153</v>
      </c>
      <c r="J24" s="208" t="s">
        <v>38</v>
      </c>
      <c r="K24" s="208" t="s">
        <v>154</v>
      </c>
      <c r="L24" s="208">
        <v>2</v>
      </c>
      <c r="N24" s="208">
        <v>4</v>
      </c>
      <c r="O24" s="208">
        <v>0.43</v>
      </c>
      <c r="P24" s="208">
        <v>0.43</v>
      </c>
      <c r="Q24" s="245">
        <f t="shared" si="2"/>
        <v>0.43</v>
      </c>
      <c r="R24" s="208">
        <v>15.2</v>
      </c>
      <c r="S24" s="208">
        <v>137</v>
      </c>
      <c r="T24" s="217">
        <f t="shared" si="0"/>
        <v>25</v>
      </c>
      <c r="U24" s="208">
        <v>645</v>
      </c>
      <c r="V24" s="217">
        <f t="shared" si="1"/>
        <v>16</v>
      </c>
      <c r="W24" s="208">
        <v>1</v>
      </c>
      <c r="X24" s="208" t="s">
        <v>46</v>
      </c>
      <c r="Y24" s="208" t="s">
        <v>90</v>
      </c>
      <c r="Z24" s="208" t="s">
        <v>78</v>
      </c>
      <c r="AA24" s="208" t="s">
        <v>102</v>
      </c>
      <c r="AB24" s="237" t="s">
        <v>453</v>
      </c>
      <c r="AP24" s="239" t="s">
        <v>463</v>
      </c>
      <c r="AR24" s="238" t="s">
        <v>91</v>
      </c>
      <c r="AV24" s="228" t="s">
        <v>464</v>
      </c>
    </row>
    <row r="25" spans="1:48" x14ac:dyDescent="0.15">
      <c r="A25" s="208" t="s">
        <v>59</v>
      </c>
      <c r="B25" s="237" t="s">
        <v>457</v>
      </c>
      <c r="C25" s="152">
        <v>2018</v>
      </c>
      <c r="D25" s="153" t="s">
        <v>458</v>
      </c>
      <c r="E25" s="208" t="s">
        <v>308</v>
      </c>
      <c r="F25" s="208" t="s">
        <v>296</v>
      </c>
      <c r="G25" s="208" t="s">
        <v>36</v>
      </c>
      <c r="H25" s="208" t="s">
        <v>157</v>
      </c>
      <c r="I25" s="208" t="s">
        <v>153</v>
      </c>
      <c r="J25" s="208" t="s">
        <v>38</v>
      </c>
      <c r="K25" s="208" t="s">
        <v>154</v>
      </c>
      <c r="L25" s="208">
        <v>3</v>
      </c>
      <c r="N25" s="208">
        <v>4</v>
      </c>
      <c r="O25" s="208">
        <v>0.4</v>
      </c>
      <c r="P25" s="208">
        <v>0.45</v>
      </c>
      <c r="Q25" s="245">
        <f t="shared" si="2"/>
        <v>0.42500000000000004</v>
      </c>
      <c r="R25" s="208">
        <v>15.7</v>
      </c>
      <c r="S25" s="208">
        <v>130</v>
      </c>
      <c r="T25" s="217">
        <f t="shared" si="0"/>
        <v>25</v>
      </c>
      <c r="U25" s="208">
        <v>645</v>
      </c>
      <c r="V25" s="217">
        <f t="shared" si="1"/>
        <v>16</v>
      </c>
      <c r="W25" s="208">
        <v>1</v>
      </c>
      <c r="X25" s="208" t="s">
        <v>46</v>
      </c>
      <c r="Y25" s="208" t="s">
        <v>90</v>
      </c>
      <c r="Z25" s="208" t="s">
        <v>78</v>
      </c>
      <c r="AA25" s="208" t="s">
        <v>102</v>
      </c>
      <c r="AB25" s="237" t="s">
        <v>453</v>
      </c>
      <c r="AD25" s="237"/>
      <c r="AP25" s="239" t="s">
        <v>116</v>
      </c>
      <c r="AR25" s="42" t="s">
        <v>92</v>
      </c>
      <c r="AV25" s="228" t="s">
        <v>465</v>
      </c>
    </row>
    <row r="26" spans="1:48" x14ac:dyDescent="0.15">
      <c r="A26" s="208" t="s">
        <v>59</v>
      </c>
      <c r="B26" s="237" t="s">
        <v>457</v>
      </c>
      <c r="C26" s="152">
        <v>2018</v>
      </c>
      <c r="D26" s="153" t="s">
        <v>458</v>
      </c>
      <c r="E26" s="208" t="s">
        <v>308</v>
      </c>
      <c r="F26" s="208" t="s">
        <v>296</v>
      </c>
      <c r="G26" s="208" t="s">
        <v>36</v>
      </c>
      <c r="H26" s="208" t="s">
        <v>155</v>
      </c>
      <c r="I26" s="208" t="s">
        <v>153</v>
      </c>
      <c r="J26" s="208" t="s">
        <v>38</v>
      </c>
      <c r="K26" s="208" t="s">
        <v>154</v>
      </c>
      <c r="L26" s="208">
        <v>1</v>
      </c>
      <c r="N26" s="208">
        <v>4</v>
      </c>
      <c r="O26" s="208">
        <v>0.64</v>
      </c>
      <c r="P26" s="208">
        <v>0.81</v>
      </c>
      <c r="Q26" s="245">
        <f t="shared" si="2"/>
        <v>0.72500000000000009</v>
      </c>
      <c r="R26" s="208">
        <v>14.7</v>
      </c>
      <c r="S26" s="208">
        <v>100</v>
      </c>
      <c r="T26" s="217">
        <f t="shared" si="0"/>
        <v>33</v>
      </c>
      <c r="U26" s="208">
        <v>429</v>
      </c>
      <c r="V26" s="217">
        <f t="shared" si="1"/>
        <v>16</v>
      </c>
      <c r="W26" s="208">
        <v>1</v>
      </c>
      <c r="X26" s="208" t="s">
        <v>46</v>
      </c>
      <c r="Y26" s="208" t="s">
        <v>90</v>
      </c>
      <c r="Z26" s="208" t="s">
        <v>78</v>
      </c>
      <c r="AA26" s="208" t="s">
        <v>102</v>
      </c>
      <c r="AB26" s="237" t="s">
        <v>453</v>
      </c>
      <c r="AD26" s="237"/>
      <c r="AP26" s="239" t="s">
        <v>117</v>
      </c>
      <c r="AR26" s="228" t="s">
        <v>264</v>
      </c>
      <c r="AV26" s="228"/>
    </row>
    <row r="27" spans="1:48" x14ac:dyDescent="0.15">
      <c r="A27" s="208" t="s">
        <v>59</v>
      </c>
      <c r="B27" s="237" t="s">
        <v>457</v>
      </c>
      <c r="C27" s="152">
        <v>2018</v>
      </c>
      <c r="D27" s="153" t="s">
        <v>458</v>
      </c>
      <c r="E27" s="208" t="s">
        <v>308</v>
      </c>
      <c r="F27" s="208" t="s">
        <v>296</v>
      </c>
      <c r="G27" s="208" t="s">
        <v>36</v>
      </c>
      <c r="H27" s="208" t="s">
        <v>155</v>
      </c>
      <c r="I27" s="208" t="s">
        <v>153</v>
      </c>
      <c r="J27" s="208" t="s">
        <v>38</v>
      </c>
      <c r="K27" s="208" t="s">
        <v>154</v>
      </c>
      <c r="L27" s="208">
        <v>2</v>
      </c>
      <c r="N27" s="208">
        <v>4</v>
      </c>
      <c r="O27" s="208">
        <v>0.7</v>
      </c>
      <c r="P27" s="208">
        <v>0.65</v>
      </c>
      <c r="Q27" s="245">
        <f t="shared" si="2"/>
        <v>0.67500000000000004</v>
      </c>
      <c r="R27" s="208">
        <v>15.2</v>
      </c>
      <c r="S27" s="208">
        <v>109</v>
      </c>
      <c r="T27" s="217">
        <f t="shared" si="0"/>
        <v>33</v>
      </c>
      <c r="U27" s="208">
        <v>429</v>
      </c>
      <c r="V27" s="217">
        <f t="shared" si="1"/>
        <v>16</v>
      </c>
      <c r="W27" s="208">
        <v>1</v>
      </c>
      <c r="X27" s="208" t="s">
        <v>46</v>
      </c>
      <c r="Y27" s="208" t="s">
        <v>90</v>
      </c>
      <c r="Z27" s="208" t="s">
        <v>78</v>
      </c>
      <c r="AA27" s="208" t="s">
        <v>102</v>
      </c>
      <c r="AB27" s="237" t="s">
        <v>453</v>
      </c>
      <c r="AD27" s="237"/>
      <c r="AP27" s="239" t="s">
        <v>118</v>
      </c>
      <c r="AR27" s="229" t="s">
        <v>280</v>
      </c>
      <c r="AV27" s="228"/>
    </row>
    <row r="28" spans="1:48" x14ac:dyDescent="0.15">
      <c r="A28" s="208" t="s">
        <v>59</v>
      </c>
      <c r="B28" s="237" t="s">
        <v>457</v>
      </c>
      <c r="C28" s="152">
        <v>2018</v>
      </c>
      <c r="D28" s="153" t="s">
        <v>458</v>
      </c>
      <c r="E28" s="208" t="s">
        <v>308</v>
      </c>
      <c r="F28" s="208" t="s">
        <v>296</v>
      </c>
      <c r="G28" s="208" t="s">
        <v>36</v>
      </c>
      <c r="H28" s="208" t="s">
        <v>155</v>
      </c>
      <c r="I28" s="208" t="s">
        <v>153</v>
      </c>
      <c r="J28" s="208" t="s">
        <v>38</v>
      </c>
      <c r="K28" s="208" t="s">
        <v>154</v>
      </c>
      <c r="L28" s="208">
        <v>3</v>
      </c>
      <c r="N28" s="208">
        <v>4</v>
      </c>
      <c r="O28" s="208">
        <v>0.75</v>
      </c>
      <c r="P28" s="208">
        <v>0.68</v>
      </c>
      <c r="Q28" s="245">
        <f t="shared" si="2"/>
        <v>0.71500000000000008</v>
      </c>
      <c r="R28" s="208">
        <v>15.2</v>
      </c>
      <c r="S28" s="208">
        <v>99</v>
      </c>
      <c r="T28" s="217">
        <f t="shared" si="0"/>
        <v>33</v>
      </c>
      <c r="U28" s="208">
        <v>429</v>
      </c>
      <c r="V28" s="217">
        <f t="shared" si="1"/>
        <v>16</v>
      </c>
      <c r="W28" s="208">
        <v>1</v>
      </c>
      <c r="X28" s="208" t="s">
        <v>46</v>
      </c>
      <c r="Y28" s="208" t="s">
        <v>90</v>
      </c>
      <c r="Z28" s="208" t="s">
        <v>78</v>
      </c>
      <c r="AA28" s="208" t="s">
        <v>102</v>
      </c>
      <c r="AB28" s="237" t="s">
        <v>453</v>
      </c>
      <c r="AD28" s="237"/>
      <c r="AV28" s="228"/>
    </row>
    <row r="29" spans="1:48" x14ac:dyDescent="0.15">
      <c r="A29" s="208" t="s">
        <v>59</v>
      </c>
      <c r="B29" s="237" t="s">
        <v>457</v>
      </c>
      <c r="C29" s="152">
        <v>2018</v>
      </c>
      <c r="D29" s="153" t="s">
        <v>458</v>
      </c>
      <c r="E29" s="208" t="s">
        <v>307</v>
      </c>
      <c r="F29" s="208" t="s">
        <v>299</v>
      </c>
      <c r="G29" s="208" t="s">
        <v>36</v>
      </c>
      <c r="H29" s="208" t="s">
        <v>157</v>
      </c>
      <c r="I29" s="208" t="s">
        <v>153</v>
      </c>
      <c r="J29" s="208" t="s">
        <v>38</v>
      </c>
      <c r="K29" s="208" t="s">
        <v>154</v>
      </c>
      <c r="L29" s="208">
        <v>1</v>
      </c>
      <c r="N29" s="208">
        <v>1</v>
      </c>
      <c r="O29" s="208">
        <v>0.36</v>
      </c>
      <c r="P29" s="208">
        <v>0.53</v>
      </c>
      <c r="Q29" s="245">
        <f t="shared" si="2"/>
        <v>0.44500000000000001</v>
      </c>
      <c r="R29" s="208">
        <v>14.7</v>
      </c>
      <c r="S29" s="208">
        <v>132</v>
      </c>
      <c r="T29" s="217">
        <f t="shared" si="0"/>
        <v>25</v>
      </c>
      <c r="U29" s="208">
        <v>138</v>
      </c>
      <c r="V29" s="217">
        <f t="shared" si="1"/>
        <v>22</v>
      </c>
      <c r="W29" s="208">
        <v>1</v>
      </c>
      <c r="X29" s="208" t="s">
        <v>39</v>
      </c>
      <c r="Y29" s="208" t="s">
        <v>84</v>
      </c>
      <c r="Z29" s="208" t="s">
        <v>90</v>
      </c>
      <c r="AA29" s="208" t="s">
        <v>102</v>
      </c>
      <c r="AB29" s="237" t="s">
        <v>453</v>
      </c>
      <c r="AV29" s="228"/>
    </row>
    <row r="30" spans="1:48" x14ac:dyDescent="0.15">
      <c r="A30" s="208" t="s">
        <v>59</v>
      </c>
      <c r="B30" s="237" t="s">
        <v>457</v>
      </c>
      <c r="C30" s="152">
        <v>2018</v>
      </c>
      <c r="D30" s="153" t="s">
        <v>458</v>
      </c>
      <c r="E30" s="208" t="s">
        <v>307</v>
      </c>
      <c r="F30" s="208" t="s">
        <v>299</v>
      </c>
      <c r="G30" s="208" t="s">
        <v>36</v>
      </c>
      <c r="H30" s="208" t="s">
        <v>157</v>
      </c>
      <c r="I30" s="208" t="s">
        <v>153</v>
      </c>
      <c r="J30" s="208" t="s">
        <v>38</v>
      </c>
      <c r="K30" s="208" t="s">
        <v>154</v>
      </c>
      <c r="L30" s="208">
        <v>2</v>
      </c>
      <c r="N30" s="208">
        <v>1</v>
      </c>
      <c r="O30" s="208">
        <v>0.45</v>
      </c>
      <c r="P30" s="208">
        <v>0.47</v>
      </c>
      <c r="Q30" s="245">
        <f t="shared" si="2"/>
        <v>0.45999999999999996</v>
      </c>
      <c r="R30" s="208">
        <v>14.8</v>
      </c>
      <c r="S30" s="208">
        <v>133</v>
      </c>
      <c r="T30" s="217">
        <f t="shared" si="0"/>
        <v>25</v>
      </c>
      <c r="U30" s="208">
        <v>138</v>
      </c>
      <c r="V30" s="217">
        <f t="shared" si="1"/>
        <v>22</v>
      </c>
      <c r="W30" s="208">
        <v>1</v>
      </c>
      <c r="X30" s="208" t="s">
        <v>39</v>
      </c>
      <c r="Y30" s="208" t="s">
        <v>84</v>
      </c>
      <c r="Z30" s="208" t="s">
        <v>90</v>
      </c>
      <c r="AA30" s="208" t="s">
        <v>102</v>
      </c>
      <c r="AB30" s="237" t="s">
        <v>453</v>
      </c>
      <c r="AV30" s="228"/>
    </row>
    <row r="31" spans="1:48" x14ac:dyDescent="0.15">
      <c r="A31" s="208" t="s">
        <v>59</v>
      </c>
      <c r="B31" s="237" t="s">
        <v>457</v>
      </c>
      <c r="C31" s="152">
        <v>2018</v>
      </c>
      <c r="D31" s="153" t="s">
        <v>458</v>
      </c>
      <c r="E31" s="208" t="s">
        <v>307</v>
      </c>
      <c r="F31" s="208" t="s">
        <v>299</v>
      </c>
      <c r="G31" s="208" t="s">
        <v>36</v>
      </c>
      <c r="H31" s="208" t="s">
        <v>157</v>
      </c>
      <c r="I31" s="208" t="s">
        <v>153</v>
      </c>
      <c r="J31" s="208" t="s">
        <v>38</v>
      </c>
      <c r="K31" s="208" t="s">
        <v>154</v>
      </c>
      <c r="L31" s="208">
        <v>3</v>
      </c>
      <c r="N31" s="208">
        <v>1</v>
      </c>
      <c r="O31" s="208">
        <v>0.52</v>
      </c>
      <c r="P31" s="208">
        <v>0.49</v>
      </c>
      <c r="Q31" s="245">
        <f t="shared" si="2"/>
        <v>0.505</v>
      </c>
      <c r="R31" s="208">
        <v>16.3</v>
      </c>
      <c r="S31" s="208">
        <v>136</v>
      </c>
      <c r="T31" s="217">
        <f t="shared" si="0"/>
        <v>25</v>
      </c>
      <c r="U31" s="208">
        <v>138</v>
      </c>
      <c r="V31" s="217">
        <f t="shared" si="1"/>
        <v>22</v>
      </c>
      <c r="W31" s="208">
        <v>1</v>
      </c>
      <c r="X31" s="208" t="s">
        <v>39</v>
      </c>
      <c r="Y31" s="208" t="s">
        <v>84</v>
      </c>
      <c r="Z31" s="208" t="s">
        <v>90</v>
      </c>
      <c r="AA31" s="208" t="s">
        <v>102</v>
      </c>
      <c r="AB31" s="237" t="s">
        <v>453</v>
      </c>
      <c r="AV31" s="228"/>
    </row>
    <row r="32" spans="1:48" x14ac:dyDescent="0.15">
      <c r="A32" s="208" t="s">
        <v>59</v>
      </c>
      <c r="B32" s="237" t="s">
        <v>457</v>
      </c>
      <c r="C32" s="152">
        <v>2018</v>
      </c>
      <c r="D32" s="153" t="s">
        <v>458</v>
      </c>
      <c r="E32" s="208" t="s">
        <v>307</v>
      </c>
      <c r="F32" s="208" t="s">
        <v>299</v>
      </c>
      <c r="G32" s="208" t="s">
        <v>36</v>
      </c>
      <c r="H32" s="208" t="s">
        <v>155</v>
      </c>
      <c r="I32" s="208" t="s">
        <v>153</v>
      </c>
      <c r="J32" s="208" t="s">
        <v>38</v>
      </c>
      <c r="K32" s="208" t="s">
        <v>154</v>
      </c>
      <c r="L32" s="208">
        <v>1</v>
      </c>
      <c r="N32" s="208">
        <v>1</v>
      </c>
      <c r="O32" s="208">
        <v>0.87</v>
      </c>
      <c r="P32" s="208">
        <v>0.96</v>
      </c>
      <c r="Q32" s="245">
        <f t="shared" si="2"/>
        <v>0.91500000000000004</v>
      </c>
      <c r="R32" s="208">
        <v>15</v>
      </c>
      <c r="S32" s="208">
        <v>144</v>
      </c>
      <c r="T32" s="217">
        <f t="shared" si="0"/>
        <v>22</v>
      </c>
      <c r="U32" s="208">
        <v>138</v>
      </c>
      <c r="V32" s="217">
        <f t="shared" si="1"/>
        <v>22</v>
      </c>
      <c r="W32" s="208">
        <v>1</v>
      </c>
      <c r="X32" s="208" t="s">
        <v>39</v>
      </c>
      <c r="Y32" s="208" t="s">
        <v>84</v>
      </c>
      <c r="Z32" s="208" t="s">
        <v>90</v>
      </c>
      <c r="AA32" s="208" t="s">
        <v>102</v>
      </c>
      <c r="AB32" s="237" t="s">
        <v>453</v>
      </c>
      <c r="AV32" s="228"/>
    </row>
    <row r="33" spans="1:48" x14ac:dyDescent="0.15">
      <c r="A33" s="208" t="s">
        <v>59</v>
      </c>
      <c r="B33" s="237" t="s">
        <v>457</v>
      </c>
      <c r="C33" s="152">
        <v>2018</v>
      </c>
      <c r="D33" s="153" t="s">
        <v>458</v>
      </c>
      <c r="E33" s="208" t="s">
        <v>307</v>
      </c>
      <c r="F33" s="208" t="s">
        <v>299</v>
      </c>
      <c r="G33" s="208" t="s">
        <v>36</v>
      </c>
      <c r="H33" s="208" t="s">
        <v>155</v>
      </c>
      <c r="I33" s="208" t="s">
        <v>153</v>
      </c>
      <c r="J33" s="208" t="s">
        <v>38</v>
      </c>
      <c r="K33" s="208" t="s">
        <v>154</v>
      </c>
      <c r="L33" s="208">
        <v>2</v>
      </c>
      <c r="N33" s="208">
        <v>1</v>
      </c>
      <c r="O33" s="208">
        <v>1.02</v>
      </c>
      <c r="P33" s="208">
        <v>1.02</v>
      </c>
      <c r="Q33" s="245">
        <f t="shared" si="2"/>
        <v>1.02</v>
      </c>
      <c r="R33" s="208">
        <v>15.8</v>
      </c>
      <c r="S33" s="208">
        <v>138</v>
      </c>
      <c r="T33" s="217">
        <f t="shared" si="0"/>
        <v>22</v>
      </c>
      <c r="U33" s="208">
        <v>138</v>
      </c>
      <c r="V33" s="217">
        <f t="shared" si="1"/>
        <v>22</v>
      </c>
      <c r="W33" s="208">
        <v>1</v>
      </c>
      <c r="X33" s="208" t="s">
        <v>39</v>
      </c>
      <c r="Y33" s="208" t="s">
        <v>84</v>
      </c>
      <c r="Z33" s="208" t="s">
        <v>90</v>
      </c>
      <c r="AA33" s="208" t="s">
        <v>102</v>
      </c>
      <c r="AB33" s="237" t="s">
        <v>453</v>
      </c>
      <c r="AV33" s="228"/>
    </row>
    <row r="34" spans="1:48" x14ac:dyDescent="0.15">
      <c r="A34" s="208" t="s">
        <v>59</v>
      </c>
      <c r="B34" s="237" t="s">
        <v>457</v>
      </c>
      <c r="C34" s="152">
        <v>2018</v>
      </c>
      <c r="D34" s="153" t="s">
        <v>458</v>
      </c>
      <c r="E34" s="208" t="s">
        <v>307</v>
      </c>
      <c r="F34" s="208" t="s">
        <v>299</v>
      </c>
      <c r="G34" s="208" t="s">
        <v>36</v>
      </c>
      <c r="H34" s="208" t="s">
        <v>155</v>
      </c>
      <c r="I34" s="208" t="s">
        <v>153</v>
      </c>
      <c r="J34" s="208" t="s">
        <v>38</v>
      </c>
      <c r="K34" s="208" t="s">
        <v>154</v>
      </c>
      <c r="L34" s="208">
        <v>3</v>
      </c>
      <c r="N34" s="208">
        <v>1</v>
      </c>
      <c r="O34" s="208">
        <v>0.99</v>
      </c>
      <c r="P34" s="208">
        <v>0.97</v>
      </c>
      <c r="Q34" s="245">
        <f t="shared" si="2"/>
        <v>0.98</v>
      </c>
      <c r="R34" s="208">
        <v>15.7</v>
      </c>
      <c r="S34" s="208">
        <v>147</v>
      </c>
      <c r="T34" s="217">
        <f t="shared" si="0"/>
        <v>22</v>
      </c>
      <c r="U34" s="208">
        <v>138</v>
      </c>
      <c r="V34" s="217">
        <f t="shared" si="1"/>
        <v>22</v>
      </c>
      <c r="W34" s="208">
        <v>1</v>
      </c>
      <c r="X34" s="208" t="s">
        <v>39</v>
      </c>
      <c r="Y34" s="208" t="s">
        <v>84</v>
      </c>
      <c r="Z34" s="208" t="s">
        <v>90</v>
      </c>
      <c r="AA34" s="208" t="s">
        <v>102</v>
      </c>
      <c r="AB34" s="237" t="s">
        <v>453</v>
      </c>
      <c r="AV34" s="228"/>
    </row>
    <row r="35" spans="1:48" x14ac:dyDescent="0.15">
      <c r="A35" s="208" t="s">
        <v>59</v>
      </c>
      <c r="B35" s="237" t="s">
        <v>457</v>
      </c>
      <c r="C35" s="152">
        <v>2018</v>
      </c>
      <c r="D35" s="153" t="s">
        <v>458</v>
      </c>
      <c r="E35" s="208" t="s">
        <v>306</v>
      </c>
      <c r="F35" s="208" t="s">
        <v>299</v>
      </c>
      <c r="G35" s="208" t="s">
        <v>36</v>
      </c>
      <c r="H35" s="208" t="s">
        <v>157</v>
      </c>
      <c r="I35" s="208" t="s">
        <v>153</v>
      </c>
      <c r="J35" s="208" t="s">
        <v>38</v>
      </c>
      <c r="K35" s="208" t="s">
        <v>154</v>
      </c>
      <c r="L35" s="208">
        <v>1</v>
      </c>
      <c r="N35" s="208">
        <v>1</v>
      </c>
      <c r="O35" s="208">
        <v>0.65</v>
      </c>
      <c r="P35" s="208">
        <v>0.51</v>
      </c>
      <c r="Q35" s="245">
        <f t="shared" si="2"/>
        <v>0.58000000000000007</v>
      </c>
      <c r="R35" s="208">
        <v>15.6</v>
      </c>
      <c r="S35" s="208">
        <v>170</v>
      </c>
      <c r="T35" s="217">
        <f t="shared" si="0"/>
        <v>18</v>
      </c>
      <c r="U35" s="208">
        <v>138</v>
      </c>
      <c r="V35" s="217">
        <f t="shared" si="1"/>
        <v>22</v>
      </c>
      <c r="W35" s="208">
        <v>3</v>
      </c>
      <c r="X35" s="208" t="s">
        <v>46</v>
      </c>
      <c r="Y35" s="208" t="s">
        <v>90</v>
      </c>
      <c r="Z35" s="208" t="s">
        <v>102</v>
      </c>
      <c r="AA35" s="208" t="s">
        <v>69</v>
      </c>
      <c r="AB35" s="237" t="s">
        <v>453</v>
      </c>
      <c r="AV35" s="228"/>
    </row>
    <row r="36" spans="1:48" x14ac:dyDescent="0.15">
      <c r="A36" s="208" t="s">
        <v>59</v>
      </c>
      <c r="B36" s="237" t="s">
        <v>457</v>
      </c>
      <c r="C36" s="152">
        <v>2018</v>
      </c>
      <c r="D36" s="153" t="s">
        <v>458</v>
      </c>
      <c r="E36" s="208" t="s">
        <v>306</v>
      </c>
      <c r="F36" s="208" t="s">
        <v>299</v>
      </c>
      <c r="G36" s="208" t="s">
        <v>36</v>
      </c>
      <c r="H36" s="208" t="s">
        <v>157</v>
      </c>
      <c r="I36" s="208" t="s">
        <v>153</v>
      </c>
      <c r="J36" s="208" t="s">
        <v>38</v>
      </c>
      <c r="K36" s="208" t="s">
        <v>154</v>
      </c>
      <c r="L36" s="208">
        <v>2</v>
      </c>
      <c r="N36" s="208">
        <v>1</v>
      </c>
      <c r="O36" s="208">
        <v>0.5</v>
      </c>
      <c r="P36" s="208">
        <v>0.5</v>
      </c>
      <c r="Q36" s="245">
        <f t="shared" si="2"/>
        <v>0.5</v>
      </c>
      <c r="R36" s="208">
        <v>15.6</v>
      </c>
      <c r="S36" s="208">
        <v>160</v>
      </c>
      <c r="T36" s="217">
        <f t="shared" si="0"/>
        <v>18</v>
      </c>
      <c r="U36" s="208">
        <v>138</v>
      </c>
      <c r="V36" s="217">
        <f t="shared" si="1"/>
        <v>22</v>
      </c>
      <c r="W36" s="208">
        <v>3</v>
      </c>
      <c r="X36" s="208" t="s">
        <v>46</v>
      </c>
      <c r="Y36" s="208" t="s">
        <v>90</v>
      </c>
      <c r="Z36" s="208" t="s">
        <v>102</v>
      </c>
      <c r="AA36" s="208" t="s">
        <v>69</v>
      </c>
      <c r="AB36" s="237" t="s">
        <v>453</v>
      </c>
      <c r="AV36" s="228"/>
    </row>
    <row r="37" spans="1:48" x14ac:dyDescent="0.15">
      <c r="A37" s="208" t="s">
        <v>59</v>
      </c>
      <c r="B37" s="237" t="s">
        <v>457</v>
      </c>
      <c r="C37" s="152">
        <v>2018</v>
      </c>
      <c r="D37" s="153" t="s">
        <v>458</v>
      </c>
      <c r="E37" s="208" t="s">
        <v>306</v>
      </c>
      <c r="F37" s="208" t="s">
        <v>299</v>
      </c>
      <c r="G37" s="208" t="s">
        <v>36</v>
      </c>
      <c r="H37" s="208" t="s">
        <v>157</v>
      </c>
      <c r="I37" s="208" t="s">
        <v>153</v>
      </c>
      <c r="J37" s="208" t="s">
        <v>38</v>
      </c>
      <c r="K37" s="208" t="s">
        <v>154</v>
      </c>
      <c r="L37" s="208">
        <v>3</v>
      </c>
      <c r="N37" s="208">
        <v>1</v>
      </c>
      <c r="O37" s="208">
        <v>0.65</v>
      </c>
      <c r="P37" s="208">
        <v>0.62</v>
      </c>
      <c r="Q37" s="245">
        <f t="shared" si="2"/>
        <v>0.63500000000000001</v>
      </c>
      <c r="R37" s="208">
        <v>15.5</v>
      </c>
      <c r="S37" s="208">
        <v>159</v>
      </c>
      <c r="T37" s="217">
        <f t="shared" si="0"/>
        <v>18</v>
      </c>
      <c r="U37" s="208">
        <v>138</v>
      </c>
      <c r="V37" s="217">
        <f t="shared" si="1"/>
        <v>22</v>
      </c>
      <c r="W37" s="208">
        <v>3</v>
      </c>
      <c r="X37" s="208" t="s">
        <v>46</v>
      </c>
      <c r="Y37" s="208" t="s">
        <v>90</v>
      </c>
      <c r="Z37" s="208" t="s">
        <v>102</v>
      </c>
      <c r="AA37" s="208" t="s">
        <v>69</v>
      </c>
      <c r="AB37" s="237" t="s">
        <v>453</v>
      </c>
      <c r="AV37" s="228"/>
    </row>
    <row r="38" spans="1:48" x14ac:dyDescent="0.15">
      <c r="A38" s="208" t="s">
        <v>59</v>
      </c>
      <c r="B38" s="237" t="s">
        <v>457</v>
      </c>
      <c r="C38" s="152">
        <v>2018</v>
      </c>
      <c r="D38" s="153" t="s">
        <v>458</v>
      </c>
      <c r="E38" s="208" t="s">
        <v>306</v>
      </c>
      <c r="F38" s="208" t="s">
        <v>299</v>
      </c>
      <c r="G38" s="208" t="s">
        <v>36</v>
      </c>
      <c r="H38" s="208" t="s">
        <v>155</v>
      </c>
      <c r="I38" s="208" t="s">
        <v>153</v>
      </c>
      <c r="J38" s="208" t="s">
        <v>38</v>
      </c>
      <c r="K38" s="208" t="s">
        <v>154</v>
      </c>
      <c r="L38" s="208">
        <v>1</v>
      </c>
      <c r="N38" s="208">
        <v>3</v>
      </c>
      <c r="O38" s="208">
        <v>0.85</v>
      </c>
      <c r="P38" s="208">
        <v>0.75</v>
      </c>
      <c r="Q38" s="245">
        <f t="shared" si="2"/>
        <v>0.8</v>
      </c>
      <c r="R38" s="208">
        <v>15.6</v>
      </c>
      <c r="S38" s="208">
        <v>113</v>
      </c>
      <c r="T38" s="217">
        <f t="shared" si="0"/>
        <v>30</v>
      </c>
      <c r="U38" s="208">
        <v>213</v>
      </c>
      <c r="V38" s="217">
        <f t="shared" si="1"/>
        <v>16</v>
      </c>
      <c r="W38" s="208">
        <v>8</v>
      </c>
      <c r="X38" s="208" t="s">
        <v>39</v>
      </c>
      <c r="Y38" s="208" t="s">
        <v>90</v>
      </c>
      <c r="Z38" s="208" t="s">
        <v>102</v>
      </c>
      <c r="AA38" s="208" t="s">
        <v>69</v>
      </c>
      <c r="AB38" s="237" t="s">
        <v>453</v>
      </c>
      <c r="AV38" s="229"/>
    </row>
    <row r="39" spans="1:48" x14ac:dyDescent="0.15">
      <c r="A39" s="208" t="s">
        <v>59</v>
      </c>
      <c r="B39" s="237" t="s">
        <v>457</v>
      </c>
      <c r="C39" s="152">
        <v>2018</v>
      </c>
      <c r="D39" s="153" t="s">
        <v>458</v>
      </c>
      <c r="E39" s="208" t="s">
        <v>306</v>
      </c>
      <c r="F39" s="208" t="s">
        <v>299</v>
      </c>
      <c r="G39" s="208" t="s">
        <v>36</v>
      </c>
      <c r="H39" s="208" t="s">
        <v>155</v>
      </c>
      <c r="I39" s="208" t="s">
        <v>153</v>
      </c>
      <c r="J39" s="208" t="s">
        <v>38</v>
      </c>
      <c r="K39" s="208" t="s">
        <v>154</v>
      </c>
      <c r="L39" s="208">
        <v>2</v>
      </c>
      <c r="N39" s="208">
        <v>3</v>
      </c>
      <c r="O39" s="208">
        <v>0.51</v>
      </c>
      <c r="P39" s="208">
        <v>0.47</v>
      </c>
      <c r="Q39" s="245">
        <f t="shared" si="2"/>
        <v>0.49</v>
      </c>
      <c r="R39" s="208">
        <v>15.9</v>
      </c>
      <c r="S39" s="208">
        <v>120</v>
      </c>
      <c r="T39" s="217">
        <f t="shared" si="0"/>
        <v>30</v>
      </c>
      <c r="U39" s="208">
        <v>213</v>
      </c>
      <c r="V39" s="217">
        <f t="shared" si="1"/>
        <v>16</v>
      </c>
      <c r="W39" s="208">
        <v>8</v>
      </c>
      <c r="X39" s="208" t="s">
        <v>39</v>
      </c>
      <c r="Y39" s="208" t="s">
        <v>90</v>
      </c>
      <c r="Z39" s="208" t="s">
        <v>102</v>
      </c>
      <c r="AA39" s="208" t="s">
        <v>69</v>
      </c>
      <c r="AB39" s="237" t="s">
        <v>453</v>
      </c>
    </row>
    <row r="40" spans="1:48" x14ac:dyDescent="0.15">
      <c r="A40" s="208" t="s">
        <v>59</v>
      </c>
      <c r="B40" s="237" t="s">
        <v>457</v>
      </c>
      <c r="C40" s="152">
        <v>2018</v>
      </c>
      <c r="D40" s="153" t="s">
        <v>458</v>
      </c>
      <c r="E40" s="208" t="s">
        <v>306</v>
      </c>
      <c r="F40" s="208" t="s">
        <v>299</v>
      </c>
      <c r="G40" s="208" t="s">
        <v>36</v>
      </c>
      <c r="H40" s="208" t="s">
        <v>155</v>
      </c>
      <c r="I40" s="208" t="s">
        <v>153</v>
      </c>
      <c r="J40" s="208" t="s">
        <v>38</v>
      </c>
      <c r="K40" s="208" t="s">
        <v>154</v>
      </c>
      <c r="L40" s="208">
        <v>3</v>
      </c>
      <c r="N40" s="208">
        <v>3</v>
      </c>
      <c r="O40" s="208">
        <v>0.72</v>
      </c>
      <c r="P40" s="208">
        <v>0.81</v>
      </c>
      <c r="Q40" s="245">
        <f t="shared" si="2"/>
        <v>0.76500000000000001</v>
      </c>
      <c r="R40" s="208">
        <v>15.4</v>
      </c>
      <c r="S40" s="208">
        <v>117</v>
      </c>
      <c r="T40" s="217">
        <f t="shared" si="0"/>
        <v>30</v>
      </c>
      <c r="U40" s="208">
        <v>213</v>
      </c>
      <c r="V40" s="217">
        <f t="shared" si="1"/>
        <v>16</v>
      </c>
      <c r="W40" s="208">
        <v>8</v>
      </c>
      <c r="X40" s="208" t="s">
        <v>39</v>
      </c>
      <c r="Y40" s="208" t="s">
        <v>90</v>
      </c>
      <c r="Z40" s="208" t="s">
        <v>102</v>
      </c>
      <c r="AA40" s="208" t="s">
        <v>69</v>
      </c>
      <c r="AB40" s="237" t="s">
        <v>453</v>
      </c>
    </row>
    <row r="41" spans="1:48" x14ac:dyDescent="0.15">
      <c r="A41" s="208" t="s">
        <v>59</v>
      </c>
      <c r="B41" s="237" t="s">
        <v>457</v>
      </c>
      <c r="C41" s="152">
        <v>2018</v>
      </c>
      <c r="D41" s="153" t="s">
        <v>458</v>
      </c>
      <c r="E41" s="208" t="s">
        <v>305</v>
      </c>
      <c r="F41" s="208" t="s">
        <v>298</v>
      </c>
      <c r="G41" s="208" t="s">
        <v>36</v>
      </c>
      <c r="H41" s="208" t="s">
        <v>157</v>
      </c>
      <c r="I41" s="208" t="s">
        <v>153</v>
      </c>
      <c r="J41" s="208" t="s">
        <v>38</v>
      </c>
      <c r="K41" s="208" t="s">
        <v>154</v>
      </c>
      <c r="L41" s="208">
        <v>1</v>
      </c>
      <c r="N41" s="208">
        <v>3</v>
      </c>
      <c r="O41" s="208">
        <v>0.52</v>
      </c>
      <c r="P41" s="208">
        <v>0.61</v>
      </c>
      <c r="Q41" s="245">
        <f t="shared" si="2"/>
        <v>0.56499999999999995</v>
      </c>
      <c r="R41" s="208">
        <v>14.7</v>
      </c>
      <c r="S41" s="208">
        <v>135</v>
      </c>
      <c r="T41" s="217">
        <f t="shared" si="0"/>
        <v>25</v>
      </c>
      <c r="U41" s="208">
        <v>480</v>
      </c>
      <c r="V41" s="217">
        <f t="shared" si="1"/>
        <v>16</v>
      </c>
      <c r="W41" s="208">
        <v>14</v>
      </c>
      <c r="X41" s="208" t="s">
        <v>46</v>
      </c>
      <c r="Y41" s="208" t="s">
        <v>69</v>
      </c>
      <c r="Z41" s="208" t="s">
        <v>90</v>
      </c>
      <c r="AA41" s="208" t="s">
        <v>78</v>
      </c>
      <c r="AB41" s="237" t="s">
        <v>449</v>
      </c>
    </row>
    <row r="42" spans="1:48" x14ac:dyDescent="0.15">
      <c r="A42" s="208" t="s">
        <v>59</v>
      </c>
      <c r="B42" s="237" t="s">
        <v>446</v>
      </c>
      <c r="C42" s="152">
        <v>2018</v>
      </c>
      <c r="D42" s="153" t="s">
        <v>447</v>
      </c>
      <c r="E42" s="208" t="s">
        <v>305</v>
      </c>
      <c r="F42" s="208" t="s">
        <v>298</v>
      </c>
      <c r="G42" s="208" t="s">
        <v>36</v>
      </c>
      <c r="H42" s="208" t="s">
        <v>157</v>
      </c>
      <c r="I42" s="208" t="s">
        <v>153</v>
      </c>
      <c r="J42" s="208" t="s">
        <v>38</v>
      </c>
      <c r="K42" s="208" t="s">
        <v>154</v>
      </c>
      <c r="L42" s="208">
        <v>2</v>
      </c>
      <c r="N42" s="208">
        <v>3</v>
      </c>
      <c r="O42" s="208">
        <v>0.48</v>
      </c>
      <c r="P42" s="208">
        <v>0.6</v>
      </c>
      <c r="Q42" s="245">
        <f t="shared" si="2"/>
        <v>0.54</v>
      </c>
      <c r="R42" s="208">
        <v>16.7</v>
      </c>
      <c r="S42" s="208">
        <v>134</v>
      </c>
      <c r="T42" s="217">
        <f t="shared" si="0"/>
        <v>25</v>
      </c>
      <c r="U42" s="208">
        <v>480</v>
      </c>
      <c r="V42" s="217">
        <f t="shared" si="1"/>
        <v>16</v>
      </c>
      <c r="W42" s="208">
        <v>14</v>
      </c>
      <c r="X42" s="208" t="s">
        <v>46</v>
      </c>
      <c r="Y42" s="208" t="s">
        <v>69</v>
      </c>
      <c r="Z42" s="208" t="s">
        <v>90</v>
      </c>
      <c r="AA42" s="208" t="s">
        <v>78</v>
      </c>
      <c r="AB42" s="237" t="s">
        <v>449</v>
      </c>
    </row>
    <row r="43" spans="1:48" x14ac:dyDescent="0.15">
      <c r="A43" s="208" t="s">
        <v>59</v>
      </c>
      <c r="B43" s="237" t="s">
        <v>446</v>
      </c>
      <c r="C43" s="152">
        <v>2018</v>
      </c>
      <c r="D43" s="153" t="s">
        <v>447</v>
      </c>
      <c r="E43" s="208" t="s">
        <v>305</v>
      </c>
      <c r="F43" s="208" t="s">
        <v>298</v>
      </c>
      <c r="G43" s="208" t="s">
        <v>36</v>
      </c>
      <c r="H43" s="208" t="s">
        <v>157</v>
      </c>
      <c r="I43" s="208" t="s">
        <v>153</v>
      </c>
      <c r="J43" s="208" t="s">
        <v>38</v>
      </c>
      <c r="K43" s="208" t="s">
        <v>154</v>
      </c>
      <c r="L43" s="208">
        <v>3</v>
      </c>
      <c r="N43" s="208">
        <v>3</v>
      </c>
      <c r="O43" s="208">
        <v>0.51</v>
      </c>
      <c r="P43" s="208">
        <v>0.64</v>
      </c>
      <c r="Q43" s="245">
        <f t="shared" si="2"/>
        <v>0.57499999999999996</v>
      </c>
      <c r="R43" s="208">
        <v>16.100000000000001</v>
      </c>
      <c r="S43" s="208">
        <v>131</v>
      </c>
      <c r="T43" s="217">
        <f t="shared" si="0"/>
        <v>25</v>
      </c>
      <c r="U43" s="208">
        <v>480</v>
      </c>
      <c r="V43" s="217">
        <f t="shared" si="1"/>
        <v>16</v>
      </c>
      <c r="W43" s="208">
        <v>14</v>
      </c>
      <c r="X43" s="208" t="s">
        <v>46</v>
      </c>
      <c r="Y43" s="208" t="s">
        <v>69</v>
      </c>
      <c r="Z43" s="208" t="s">
        <v>90</v>
      </c>
      <c r="AA43" s="208" t="s">
        <v>78</v>
      </c>
      <c r="AB43" s="237" t="s">
        <v>449</v>
      </c>
    </row>
    <row r="44" spans="1:48" x14ac:dyDescent="0.15">
      <c r="A44" s="208" t="s">
        <v>59</v>
      </c>
      <c r="B44" s="237" t="s">
        <v>446</v>
      </c>
      <c r="C44" s="152">
        <v>2018</v>
      </c>
      <c r="D44" s="153" t="s">
        <v>447</v>
      </c>
      <c r="E44" s="208" t="s">
        <v>305</v>
      </c>
      <c r="F44" s="208" t="s">
        <v>298</v>
      </c>
      <c r="G44" s="208" t="s">
        <v>36</v>
      </c>
      <c r="H44" s="208" t="s">
        <v>155</v>
      </c>
      <c r="I44" s="208" t="s">
        <v>153</v>
      </c>
      <c r="J44" s="208" t="s">
        <v>38</v>
      </c>
      <c r="K44" s="208" t="s">
        <v>154</v>
      </c>
      <c r="L44" s="208">
        <v>1</v>
      </c>
      <c r="N44" s="208">
        <v>3</v>
      </c>
      <c r="O44" s="208">
        <v>0.73</v>
      </c>
      <c r="P44" s="208">
        <v>0.75</v>
      </c>
      <c r="Q44" s="245">
        <f t="shared" si="2"/>
        <v>0.74</v>
      </c>
      <c r="R44" s="208">
        <v>14</v>
      </c>
      <c r="S44" s="208">
        <v>136</v>
      </c>
      <c r="T44" s="217">
        <f t="shared" si="0"/>
        <v>25</v>
      </c>
      <c r="U44" s="208">
        <v>399</v>
      </c>
      <c r="V44" s="217">
        <f t="shared" si="1"/>
        <v>16</v>
      </c>
      <c r="W44" s="208">
        <v>9</v>
      </c>
      <c r="X44" s="208" t="s">
        <v>46</v>
      </c>
      <c r="Y44" s="208" t="s">
        <v>69</v>
      </c>
      <c r="Z44" s="208" t="s">
        <v>90</v>
      </c>
      <c r="AA44" s="208" t="s">
        <v>78</v>
      </c>
      <c r="AB44" s="237" t="s">
        <v>449</v>
      </c>
    </row>
    <row r="45" spans="1:48" x14ac:dyDescent="0.15">
      <c r="A45" s="208" t="s">
        <v>59</v>
      </c>
      <c r="B45" s="237" t="s">
        <v>446</v>
      </c>
      <c r="C45" s="152">
        <v>2018</v>
      </c>
      <c r="D45" s="153" t="s">
        <v>447</v>
      </c>
      <c r="E45" s="208" t="s">
        <v>305</v>
      </c>
      <c r="F45" s="208" t="s">
        <v>298</v>
      </c>
      <c r="G45" s="208" t="s">
        <v>36</v>
      </c>
      <c r="H45" s="208" t="s">
        <v>155</v>
      </c>
      <c r="I45" s="208" t="s">
        <v>153</v>
      </c>
      <c r="J45" s="208" t="s">
        <v>38</v>
      </c>
      <c r="K45" s="208" t="s">
        <v>154</v>
      </c>
      <c r="L45" s="208">
        <v>2</v>
      </c>
      <c r="N45" s="208">
        <v>3</v>
      </c>
      <c r="O45" s="208">
        <v>0.65</v>
      </c>
      <c r="P45" s="208">
        <v>0.57999999999999996</v>
      </c>
      <c r="Q45" s="245">
        <f t="shared" si="2"/>
        <v>0.61499999999999999</v>
      </c>
      <c r="R45" s="208">
        <v>15.6</v>
      </c>
      <c r="S45" s="208">
        <v>130</v>
      </c>
      <c r="T45" s="217">
        <f t="shared" si="0"/>
        <v>25</v>
      </c>
      <c r="U45" s="208">
        <v>399</v>
      </c>
      <c r="V45" s="217">
        <f t="shared" si="1"/>
        <v>16</v>
      </c>
      <c r="W45" s="208">
        <v>9</v>
      </c>
      <c r="X45" s="208" t="s">
        <v>46</v>
      </c>
      <c r="Y45" s="208" t="s">
        <v>69</v>
      </c>
      <c r="Z45" s="208" t="s">
        <v>90</v>
      </c>
      <c r="AA45" s="208" t="s">
        <v>78</v>
      </c>
      <c r="AB45" s="237" t="s">
        <v>449</v>
      </c>
    </row>
    <row r="46" spans="1:48" x14ac:dyDescent="0.15">
      <c r="A46" s="208" t="s">
        <v>59</v>
      </c>
      <c r="B46" s="237" t="s">
        <v>446</v>
      </c>
      <c r="C46" s="152">
        <v>2018</v>
      </c>
      <c r="D46" s="153" t="s">
        <v>447</v>
      </c>
      <c r="E46" s="208" t="s">
        <v>305</v>
      </c>
      <c r="F46" s="208" t="s">
        <v>298</v>
      </c>
      <c r="G46" s="208" t="s">
        <v>36</v>
      </c>
      <c r="H46" s="208" t="s">
        <v>155</v>
      </c>
      <c r="I46" s="208" t="s">
        <v>153</v>
      </c>
      <c r="J46" s="208" t="s">
        <v>38</v>
      </c>
      <c r="K46" s="208" t="s">
        <v>154</v>
      </c>
      <c r="L46" s="208">
        <v>3</v>
      </c>
      <c r="N46" s="208">
        <v>3</v>
      </c>
      <c r="O46" s="208">
        <v>0.66</v>
      </c>
      <c r="P46" s="208">
        <v>0.71</v>
      </c>
      <c r="Q46" s="245">
        <f t="shared" si="2"/>
        <v>0.68500000000000005</v>
      </c>
      <c r="R46" s="208">
        <v>15.5</v>
      </c>
      <c r="S46" s="208">
        <v>136</v>
      </c>
      <c r="T46" s="217">
        <f t="shared" si="0"/>
        <v>25</v>
      </c>
      <c r="U46" s="208">
        <v>399</v>
      </c>
      <c r="V46" s="217">
        <f t="shared" si="1"/>
        <v>16</v>
      </c>
      <c r="W46" s="208">
        <v>9</v>
      </c>
      <c r="X46" s="208" t="s">
        <v>46</v>
      </c>
      <c r="Y46" s="208" t="s">
        <v>69</v>
      </c>
      <c r="Z46" s="208" t="s">
        <v>90</v>
      </c>
      <c r="AA46" s="208" t="s">
        <v>78</v>
      </c>
      <c r="AB46" s="237" t="s">
        <v>449</v>
      </c>
    </row>
    <row r="47" spans="1:48" x14ac:dyDescent="0.15">
      <c r="A47" s="208" t="s">
        <v>59</v>
      </c>
      <c r="B47" s="237" t="s">
        <v>446</v>
      </c>
      <c r="C47" s="152">
        <v>2018</v>
      </c>
      <c r="D47" s="153" t="s">
        <v>447</v>
      </c>
      <c r="E47" s="208" t="s">
        <v>303</v>
      </c>
      <c r="F47" s="208" t="s">
        <v>295</v>
      </c>
      <c r="G47" s="208" t="s">
        <v>36</v>
      </c>
      <c r="H47" s="208" t="s">
        <v>157</v>
      </c>
      <c r="I47" s="208" t="s">
        <v>153</v>
      </c>
      <c r="J47" s="208" t="s">
        <v>38</v>
      </c>
      <c r="K47" s="208" t="s">
        <v>154</v>
      </c>
      <c r="L47" s="208">
        <v>1</v>
      </c>
      <c r="N47" s="208">
        <v>4</v>
      </c>
      <c r="O47" s="208">
        <v>0.5</v>
      </c>
      <c r="P47" s="208">
        <v>0.46</v>
      </c>
      <c r="Q47" s="245">
        <f t="shared" si="2"/>
        <v>0.48</v>
      </c>
      <c r="R47" s="208">
        <v>17.7</v>
      </c>
      <c r="S47" s="208">
        <v>105</v>
      </c>
      <c r="T47" s="217">
        <f t="shared" si="0"/>
        <v>33</v>
      </c>
      <c r="U47" s="208">
        <v>518</v>
      </c>
      <c r="V47" s="217">
        <f t="shared" si="1"/>
        <v>16</v>
      </c>
      <c r="W47" s="208">
        <v>1</v>
      </c>
      <c r="X47" s="208" t="s">
        <v>46</v>
      </c>
      <c r="Y47" s="208" t="s">
        <v>90</v>
      </c>
      <c r="Z47" s="208" t="s">
        <v>84</v>
      </c>
      <c r="AA47" s="208" t="s">
        <v>102</v>
      </c>
      <c r="AB47" s="237" t="s">
        <v>449</v>
      </c>
    </row>
    <row r="48" spans="1:48" x14ac:dyDescent="0.15">
      <c r="A48" s="208" t="s">
        <v>59</v>
      </c>
      <c r="B48" s="237" t="s">
        <v>446</v>
      </c>
      <c r="C48" s="152">
        <v>2018</v>
      </c>
      <c r="D48" s="153" t="s">
        <v>447</v>
      </c>
      <c r="E48" s="208" t="s">
        <v>303</v>
      </c>
      <c r="F48" s="208" t="s">
        <v>295</v>
      </c>
      <c r="G48" s="208" t="s">
        <v>36</v>
      </c>
      <c r="H48" s="208" t="s">
        <v>157</v>
      </c>
      <c r="I48" s="208" t="s">
        <v>153</v>
      </c>
      <c r="J48" s="208" t="s">
        <v>38</v>
      </c>
      <c r="K48" s="208" t="s">
        <v>154</v>
      </c>
      <c r="L48" s="208">
        <v>2</v>
      </c>
      <c r="N48" s="208">
        <v>4</v>
      </c>
      <c r="O48" s="208">
        <v>0.32</v>
      </c>
      <c r="P48" s="208">
        <v>0.27</v>
      </c>
      <c r="Q48" s="245">
        <f t="shared" si="2"/>
        <v>0.29500000000000004</v>
      </c>
      <c r="R48" s="208">
        <v>16</v>
      </c>
      <c r="S48" s="208">
        <v>99</v>
      </c>
      <c r="T48" s="217">
        <f t="shared" si="0"/>
        <v>33</v>
      </c>
      <c r="U48" s="208">
        <v>518</v>
      </c>
      <c r="V48" s="217">
        <f t="shared" si="1"/>
        <v>16</v>
      </c>
      <c r="W48" s="208">
        <v>1</v>
      </c>
      <c r="X48" s="208" t="s">
        <v>46</v>
      </c>
      <c r="Y48" s="208" t="s">
        <v>90</v>
      </c>
      <c r="Z48" s="208" t="s">
        <v>84</v>
      </c>
      <c r="AA48" s="208" t="s">
        <v>102</v>
      </c>
      <c r="AB48" s="237" t="s">
        <v>449</v>
      </c>
    </row>
    <row r="49" spans="1:28" x14ac:dyDescent="0.15">
      <c r="A49" s="208" t="s">
        <v>59</v>
      </c>
      <c r="B49" s="237" t="s">
        <v>446</v>
      </c>
      <c r="C49" s="152">
        <v>2018</v>
      </c>
      <c r="D49" s="153" t="s">
        <v>447</v>
      </c>
      <c r="E49" s="208" t="s">
        <v>303</v>
      </c>
      <c r="F49" s="208" t="s">
        <v>295</v>
      </c>
      <c r="G49" s="208" t="s">
        <v>36</v>
      </c>
      <c r="H49" s="208" t="s">
        <v>157</v>
      </c>
      <c r="I49" s="208" t="s">
        <v>153</v>
      </c>
      <c r="J49" s="208" t="s">
        <v>38</v>
      </c>
      <c r="K49" s="208" t="s">
        <v>154</v>
      </c>
      <c r="L49" s="208">
        <v>3</v>
      </c>
      <c r="N49" s="208">
        <v>4</v>
      </c>
      <c r="O49" s="208">
        <v>0.48</v>
      </c>
      <c r="P49" s="208">
        <v>0.41</v>
      </c>
      <c r="Q49" s="245">
        <f t="shared" si="2"/>
        <v>0.44499999999999995</v>
      </c>
      <c r="R49" s="208">
        <v>17.2</v>
      </c>
      <c r="S49" s="208">
        <v>102</v>
      </c>
      <c r="T49" s="217">
        <f t="shared" si="0"/>
        <v>33</v>
      </c>
      <c r="U49" s="208">
        <v>518</v>
      </c>
      <c r="V49" s="217">
        <f t="shared" si="1"/>
        <v>16</v>
      </c>
      <c r="W49" s="208">
        <v>1</v>
      </c>
      <c r="X49" s="208" t="s">
        <v>46</v>
      </c>
      <c r="Y49" s="208" t="s">
        <v>90</v>
      </c>
      <c r="Z49" s="208" t="s">
        <v>84</v>
      </c>
      <c r="AA49" s="208" t="s">
        <v>102</v>
      </c>
      <c r="AB49" s="237" t="s">
        <v>449</v>
      </c>
    </row>
    <row r="50" spans="1:28" x14ac:dyDescent="0.15">
      <c r="A50" s="208" t="s">
        <v>59</v>
      </c>
      <c r="B50" s="237" t="s">
        <v>446</v>
      </c>
      <c r="C50" s="152">
        <v>2018</v>
      </c>
      <c r="D50" s="153" t="s">
        <v>447</v>
      </c>
      <c r="E50" s="208" t="s">
        <v>303</v>
      </c>
      <c r="F50" s="208" t="s">
        <v>295</v>
      </c>
      <c r="G50" s="208" t="s">
        <v>36</v>
      </c>
      <c r="H50" s="208" t="s">
        <v>155</v>
      </c>
      <c r="I50" s="208" t="s">
        <v>153</v>
      </c>
      <c r="J50" s="208" t="s">
        <v>38</v>
      </c>
      <c r="K50" s="208" t="s">
        <v>154</v>
      </c>
      <c r="L50" s="208">
        <v>1</v>
      </c>
      <c r="N50" s="208">
        <v>1</v>
      </c>
      <c r="O50" s="208">
        <v>0.37</v>
      </c>
      <c r="P50" s="208">
        <v>0.33</v>
      </c>
      <c r="Q50" s="245">
        <f t="shared" si="2"/>
        <v>0.35</v>
      </c>
      <c r="R50" s="208">
        <v>14.3</v>
      </c>
      <c r="S50" s="208">
        <v>139</v>
      </c>
      <c r="T50" s="217">
        <f t="shared" si="0"/>
        <v>22</v>
      </c>
      <c r="U50" s="208">
        <v>138</v>
      </c>
      <c r="V50" s="217">
        <f t="shared" si="1"/>
        <v>22</v>
      </c>
      <c r="W50" s="208">
        <v>1</v>
      </c>
      <c r="X50" s="208" t="s">
        <v>46</v>
      </c>
      <c r="Y50" s="208" t="s">
        <v>90</v>
      </c>
      <c r="Z50" s="208" t="s">
        <v>84</v>
      </c>
      <c r="AA50" s="208" t="s">
        <v>102</v>
      </c>
      <c r="AB50" s="237" t="s">
        <v>449</v>
      </c>
    </row>
    <row r="51" spans="1:28" x14ac:dyDescent="0.15">
      <c r="A51" s="208" t="s">
        <v>59</v>
      </c>
      <c r="B51" s="237" t="s">
        <v>446</v>
      </c>
      <c r="C51" s="152">
        <v>2018</v>
      </c>
      <c r="D51" s="153" t="s">
        <v>447</v>
      </c>
      <c r="E51" s="208" t="s">
        <v>303</v>
      </c>
      <c r="F51" s="208" t="s">
        <v>295</v>
      </c>
      <c r="G51" s="208" t="s">
        <v>36</v>
      </c>
      <c r="H51" s="208" t="s">
        <v>155</v>
      </c>
      <c r="I51" s="208" t="s">
        <v>153</v>
      </c>
      <c r="J51" s="208" t="s">
        <v>38</v>
      </c>
      <c r="K51" s="208" t="s">
        <v>154</v>
      </c>
      <c r="L51" s="208">
        <v>2</v>
      </c>
      <c r="N51" s="208">
        <v>1</v>
      </c>
      <c r="O51" s="208">
        <v>0.4</v>
      </c>
      <c r="P51" s="208">
        <v>0.45</v>
      </c>
      <c r="Q51" s="245">
        <f t="shared" si="2"/>
        <v>0.42500000000000004</v>
      </c>
      <c r="R51" s="208">
        <v>15</v>
      </c>
      <c r="S51" s="208">
        <v>148</v>
      </c>
      <c r="T51" s="217">
        <f t="shared" si="0"/>
        <v>22</v>
      </c>
      <c r="U51" s="208">
        <v>138</v>
      </c>
      <c r="V51" s="217">
        <f t="shared" si="1"/>
        <v>22</v>
      </c>
      <c r="W51" s="208">
        <v>1</v>
      </c>
      <c r="X51" s="208" t="s">
        <v>46</v>
      </c>
      <c r="Y51" s="208" t="s">
        <v>90</v>
      </c>
      <c r="Z51" s="208" t="s">
        <v>84</v>
      </c>
      <c r="AA51" s="208" t="s">
        <v>102</v>
      </c>
      <c r="AB51" s="237" t="s">
        <v>449</v>
      </c>
    </row>
    <row r="52" spans="1:28" x14ac:dyDescent="0.15">
      <c r="A52" s="208" t="s">
        <v>59</v>
      </c>
      <c r="B52" s="237" t="s">
        <v>446</v>
      </c>
      <c r="C52" s="152">
        <v>2018</v>
      </c>
      <c r="D52" s="153" t="s">
        <v>447</v>
      </c>
      <c r="E52" s="208" t="s">
        <v>303</v>
      </c>
      <c r="F52" s="208" t="s">
        <v>295</v>
      </c>
      <c r="G52" s="208" t="s">
        <v>36</v>
      </c>
      <c r="H52" s="208" t="s">
        <v>155</v>
      </c>
      <c r="I52" s="208" t="s">
        <v>153</v>
      </c>
      <c r="J52" s="208" t="s">
        <v>38</v>
      </c>
      <c r="K52" s="208" t="s">
        <v>154</v>
      </c>
      <c r="L52" s="208">
        <v>3</v>
      </c>
      <c r="N52" s="208">
        <v>1</v>
      </c>
      <c r="O52" s="208">
        <v>0.4</v>
      </c>
      <c r="P52" s="208">
        <v>0.43</v>
      </c>
      <c r="Q52" s="245">
        <f t="shared" si="2"/>
        <v>0.41500000000000004</v>
      </c>
      <c r="R52" s="208">
        <v>15</v>
      </c>
      <c r="S52" s="208">
        <v>151</v>
      </c>
      <c r="T52" s="217">
        <f t="shared" si="0"/>
        <v>22</v>
      </c>
      <c r="U52" s="208">
        <v>138</v>
      </c>
      <c r="V52" s="217">
        <f t="shared" si="1"/>
        <v>22</v>
      </c>
      <c r="W52" s="208">
        <v>1</v>
      </c>
      <c r="X52" s="208" t="s">
        <v>46</v>
      </c>
      <c r="Y52" s="208" t="s">
        <v>90</v>
      </c>
      <c r="Z52" s="208" t="s">
        <v>84</v>
      </c>
      <c r="AA52" s="208" t="s">
        <v>102</v>
      </c>
      <c r="AB52" s="237" t="s">
        <v>449</v>
      </c>
    </row>
    <row r="53" spans="1:28" x14ac:dyDescent="0.15">
      <c r="A53" s="208" t="s">
        <v>59</v>
      </c>
      <c r="B53" s="237" t="s">
        <v>446</v>
      </c>
      <c r="C53" s="152">
        <v>2018</v>
      </c>
      <c r="D53" s="153" t="s">
        <v>447</v>
      </c>
      <c r="E53" s="208" t="s">
        <v>309</v>
      </c>
      <c r="F53" s="208" t="s">
        <v>300</v>
      </c>
      <c r="G53" s="208" t="s">
        <v>36</v>
      </c>
      <c r="H53" s="208" t="s">
        <v>157</v>
      </c>
      <c r="I53" s="208" t="s">
        <v>153</v>
      </c>
      <c r="J53" s="208" t="s">
        <v>38</v>
      </c>
      <c r="K53" s="208" t="s">
        <v>154</v>
      </c>
      <c r="L53" s="208">
        <v>1</v>
      </c>
      <c r="N53" s="208">
        <v>4</v>
      </c>
      <c r="O53" s="208">
        <v>0.4</v>
      </c>
      <c r="P53" s="208">
        <v>0.42</v>
      </c>
      <c r="Q53" s="245">
        <f t="shared" si="2"/>
        <v>0.41000000000000003</v>
      </c>
      <c r="R53" s="208">
        <v>16.5</v>
      </c>
      <c r="S53" s="208">
        <v>103</v>
      </c>
      <c r="T53" s="217">
        <f t="shared" si="0"/>
        <v>33</v>
      </c>
      <c r="U53" s="208">
        <v>480</v>
      </c>
      <c r="V53" s="217">
        <f t="shared" si="1"/>
        <v>16</v>
      </c>
      <c r="W53" s="208">
        <v>3</v>
      </c>
      <c r="X53" s="208" t="s">
        <v>46</v>
      </c>
      <c r="Y53" s="208" t="s">
        <v>90</v>
      </c>
      <c r="Z53" s="208" t="s">
        <v>78</v>
      </c>
      <c r="AA53" s="208" t="s">
        <v>84</v>
      </c>
      <c r="AB53" s="237" t="s">
        <v>449</v>
      </c>
    </row>
    <row r="54" spans="1:28" x14ac:dyDescent="0.15">
      <c r="A54" s="208" t="s">
        <v>59</v>
      </c>
      <c r="B54" s="237" t="s">
        <v>446</v>
      </c>
      <c r="C54" s="152">
        <v>2018</v>
      </c>
      <c r="D54" s="153" t="s">
        <v>447</v>
      </c>
      <c r="E54" s="208" t="s">
        <v>309</v>
      </c>
      <c r="F54" s="208" t="s">
        <v>300</v>
      </c>
      <c r="G54" s="208" t="s">
        <v>36</v>
      </c>
      <c r="H54" s="208" t="s">
        <v>157</v>
      </c>
      <c r="I54" s="208" t="s">
        <v>153</v>
      </c>
      <c r="J54" s="208" t="s">
        <v>38</v>
      </c>
      <c r="K54" s="208" t="s">
        <v>154</v>
      </c>
      <c r="L54" s="208">
        <v>2</v>
      </c>
      <c r="N54" s="208">
        <v>4</v>
      </c>
      <c r="O54" s="208">
        <v>0.35</v>
      </c>
      <c r="P54" s="208">
        <v>0.25</v>
      </c>
      <c r="Q54" s="245">
        <f t="shared" si="2"/>
        <v>0.3</v>
      </c>
      <c r="R54" s="208">
        <v>15.8</v>
      </c>
      <c r="S54" s="208">
        <v>100</v>
      </c>
      <c r="T54" s="217">
        <f t="shared" si="0"/>
        <v>33</v>
      </c>
      <c r="U54" s="208">
        <v>480</v>
      </c>
      <c r="V54" s="217">
        <f t="shared" si="1"/>
        <v>16</v>
      </c>
      <c r="W54" s="208">
        <v>3</v>
      </c>
      <c r="X54" s="208" t="s">
        <v>46</v>
      </c>
      <c r="Y54" s="208" t="s">
        <v>90</v>
      </c>
      <c r="Z54" s="208" t="s">
        <v>78</v>
      </c>
      <c r="AA54" s="208" t="s">
        <v>84</v>
      </c>
      <c r="AB54" s="237" t="s">
        <v>449</v>
      </c>
    </row>
    <row r="55" spans="1:28" x14ac:dyDescent="0.15">
      <c r="A55" s="208" t="s">
        <v>59</v>
      </c>
      <c r="B55" s="237" t="s">
        <v>446</v>
      </c>
      <c r="C55" s="152">
        <v>2018</v>
      </c>
      <c r="D55" s="153" t="s">
        <v>447</v>
      </c>
      <c r="E55" s="208" t="s">
        <v>309</v>
      </c>
      <c r="F55" s="208" t="s">
        <v>300</v>
      </c>
      <c r="G55" s="208" t="s">
        <v>36</v>
      </c>
      <c r="H55" s="208" t="s">
        <v>157</v>
      </c>
      <c r="I55" s="208" t="s">
        <v>153</v>
      </c>
      <c r="J55" s="208" t="s">
        <v>38</v>
      </c>
      <c r="K55" s="208" t="s">
        <v>154</v>
      </c>
      <c r="L55" s="208">
        <v>3</v>
      </c>
      <c r="N55" s="208">
        <v>4</v>
      </c>
      <c r="O55" s="208">
        <v>0.37</v>
      </c>
      <c r="P55" s="208">
        <v>0.41</v>
      </c>
      <c r="Q55" s="245">
        <f t="shared" si="2"/>
        <v>0.39</v>
      </c>
      <c r="R55" s="208">
        <v>15.5</v>
      </c>
      <c r="S55" s="208">
        <v>97</v>
      </c>
      <c r="T55" s="217">
        <f t="shared" si="0"/>
        <v>36</v>
      </c>
      <c r="U55" s="208">
        <v>480</v>
      </c>
      <c r="V55" s="217">
        <f t="shared" si="1"/>
        <v>16</v>
      </c>
      <c r="W55" s="208">
        <v>3</v>
      </c>
      <c r="X55" s="208" t="s">
        <v>46</v>
      </c>
      <c r="Y55" s="208" t="s">
        <v>90</v>
      </c>
      <c r="Z55" s="208" t="s">
        <v>78</v>
      </c>
      <c r="AA55" s="208" t="s">
        <v>84</v>
      </c>
      <c r="AB55" s="237" t="s">
        <v>449</v>
      </c>
    </row>
    <row r="56" spans="1:28" x14ac:dyDescent="0.15">
      <c r="A56" s="208" t="s">
        <v>59</v>
      </c>
      <c r="B56" s="237" t="s">
        <v>446</v>
      </c>
      <c r="C56" s="152">
        <v>2018</v>
      </c>
      <c r="D56" s="153" t="s">
        <v>447</v>
      </c>
      <c r="E56" s="208" t="s">
        <v>309</v>
      </c>
      <c r="F56" s="208" t="s">
        <v>300</v>
      </c>
      <c r="G56" s="208" t="s">
        <v>36</v>
      </c>
      <c r="H56" s="208" t="s">
        <v>155</v>
      </c>
      <c r="I56" s="208" t="s">
        <v>153</v>
      </c>
      <c r="J56" s="208" t="s">
        <v>38</v>
      </c>
      <c r="K56" s="208" t="s">
        <v>154</v>
      </c>
      <c r="L56" s="208">
        <v>1</v>
      </c>
      <c r="N56" s="208">
        <v>4</v>
      </c>
      <c r="O56" s="208">
        <v>0.37</v>
      </c>
      <c r="P56" s="208">
        <v>0.38</v>
      </c>
      <c r="Q56" s="245">
        <f t="shared" si="2"/>
        <v>0.375</v>
      </c>
      <c r="R56" s="208">
        <v>14.8</v>
      </c>
      <c r="S56" s="208">
        <v>139</v>
      </c>
      <c r="T56" s="217">
        <f t="shared" si="0"/>
        <v>22</v>
      </c>
      <c r="U56" s="208">
        <v>348</v>
      </c>
      <c r="V56" s="217">
        <f t="shared" si="1"/>
        <v>16</v>
      </c>
      <c r="W56" s="208">
        <v>3</v>
      </c>
      <c r="X56" s="208" t="s">
        <v>46</v>
      </c>
      <c r="Y56" s="208" t="s">
        <v>90</v>
      </c>
      <c r="Z56" s="208" t="s">
        <v>78</v>
      </c>
      <c r="AA56" s="208" t="s">
        <v>84</v>
      </c>
      <c r="AB56" s="237" t="s">
        <v>449</v>
      </c>
    </row>
    <row r="57" spans="1:28" x14ac:dyDescent="0.15">
      <c r="A57" s="208" t="s">
        <v>59</v>
      </c>
      <c r="B57" s="237" t="s">
        <v>446</v>
      </c>
      <c r="C57" s="152">
        <v>2018</v>
      </c>
      <c r="D57" s="153" t="s">
        <v>447</v>
      </c>
      <c r="E57" s="208" t="s">
        <v>309</v>
      </c>
      <c r="F57" s="208" t="s">
        <v>300</v>
      </c>
      <c r="G57" s="208" t="s">
        <v>36</v>
      </c>
      <c r="H57" s="208" t="s">
        <v>155</v>
      </c>
      <c r="I57" s="208" t="s">
        <v>153</v>
      </c>
      <c r="J57" s="208" t="s">
        <v>38</v>
      </c>
      <c r="K57" s="208" t="s">
        <v>154</v>
      </c>
      <c r="L57" s="208">
        <v>2</v>
      </c>
      <c r="N57" s="208">
        <v>4</v>
      </c>
      <c r="O57" s="208">
        <v>0.5</v>
      </c>
      <c r="P57" s="208">
        <v>0.55000000000000004</v>
      </c>
      <c r="Q57" s="245">
        <f t="shared" si="2"/>
        <v>0.52500000000000002</v>
      </c>
      <c r="R57" s="208">
        <v>14.4</v>
      </c>
      <c r="S57" s="208">
        <v>151</v>
      </c>
      <c r="T57" s="217">
        <f t="shared" si="0"/>
        <v>22</v>
      </c>
      <c r="U57" s="208">
        <v>348</v>
      </c>
      <c r="V57" s="217">
        <f t="shared" si="1"/>
        <v>16</v>
      </c>
      <c r="W57" s="208">
        <v>3</v>
      </c>
      <c r="X57" s="208" t="s">
        <v>46</v>
      </c>
      <c r="Y57" s="208" t="s">
        <v>90</v>
      </c>
      <c r="Z57" s="208" t="s">
        <v>78</v>
      </c>
      <c r="AA57" s="208" t="s">
        <v>84</v>
      </c>
      <c r="AB57" s="237" t="s">
        <v>449</v>
      </c>
    </row>
    <row r="58" spans="1:28" x14ac:dyDescent="0.15">
      <c r="A58" s="208" t="s">
        <v>59</v>
      </c>
      <c r="B58" s="237" t="s">
        <v>446</v>
      </c>
      <c r="C58" s="152">
        <v>2018</v>
      </c>
      <c r="D58" s="153" t="s">
        <v>447</v>
      </c>
      <c r="E58" s="208" t="s">
        <v>309</v>
      </c>
      <c r="F58" s="208" t="s">
        <v>300</v>
      </c>
      <c r="G58" s="208" t="s">
        <v>36</v>
      </c>
      <c r="H58" s="208" t="s">
        <v>155</v>
      </c>
      <c r="I58" s="208" t="s">
        <v>153</v>
      </c>
      <c r="J58" s="208" t="s">
        <v>38</v>
      </c>
      <c r="K58" s="208" t="s">
        <v>154</v>
      </c>
      <c r="L58" s="208">
        <v>3</v>
      </c>
      <c r="N58" s="208">
        <v>4</v>
      </c>
      <c r="O58" s="208">
        <v>0.6</v>
      </c>
      <c r="P58" s="208">
        <v>0.57999999999999996</v>
      </c>
      <c r="Q58" s="245">
        <f t="shared" si="2"/>
        <v>0.59</v>
      </c>
      <c r="R58" s="208">
        <v>14.2</v>
      </c>
      <c r="S58" s="208">
        <v>150</v>
      </c>
      <c r="T58" s="217">
        <f t="shared" si="0"/>
        <v>22</v>
      </c>
      <c r="U58" s="208">
        <v>348</v>
      </c>
      <c r="V58" s="217">
        <f t="shared" si="1"/>
        <v>16</v>
      </c>
      <c r="W58" s="208">
        <v>3</v>
      </c>
      <c r="X58" s="208" t="s">
        <v>46</v>
      </c>
      <c r="Y58" s="208" t="s">
        <v>90</v>
      </c>
      <c r="Z58" s="208" t="s">
        <v>78</v>
      </c>
      <c r="AA58" s="208" t="s">
        <v>84</v>
      </c>
      <c r="AB58" s="237" t="s">
        <v>449</v>
      </c>
    </row>
    <row r="59" spans="1:28" x14ac:dyDescent="0.15">
      <c r="A59" s="208" t="s">
        <v>59</v>
      </c>
      <c r="B59" s="237" t="s">
        <v>446</v>
      </c>
      <c r="C59" s="152">
        <v>2018</v>
      </c>
      <c r="D59" s="153" t="s">
        <v>447</v>
      </c>
      <c r="E59" s="208" t="s">
        <v>304</v>
      </c>
      <c r="F59" s="208" t="s">
        <v>297</v>
      </c>
      <c r="G59" s="208" t="s">
        <v>36</v>
      </c>
      <c r="H59" s="208" t="s">
        <v>157</v>
      </c>
      <c r="I59" s="208" t="s">
        <v>153</v>
      </c>
      <c r="J59" s="208" t="s">
        <v>38</v>
      </c>
      <c r="K59" s="208" t="s">
        <v>154</v>
      </c>
      <c r="L59" s="208">
        <v>1</v>
      </c>
      <c r="N59" s="208">
        <v>4</v>
      </c>
      <c r="O59" s="208">
        <v>0.56999999999999995</v>
      </c>
      <c r="P59" s="208">
        <v>0.63</v>
      </c>
      <c r="Q59" s="245">
        <f t="shared" si="2"/>
        <v>0.6</v>
      </c>
      <c r="R59" s="208">
        <v>16.399999999999999</v>
      </c>
      <c r="S59" s="208">
        <v>110</v>
      </c>
      <c r="T59" s="217">
        <f t="shared" si="0"/>
        <v>33</v>
      </c>
      <c r="U59" s="208">
        <v>494</v>
      </c>
      <c r="V59" s="217">
        <f t="shared" si="1"/>
        <v>16</v>
      </c>
      <c r="W59" s="208">
        <v>1</v>
      </c>
      <c r="X59" s="208" t="s">
        <v>46</v>
      </c>
      <c r="Y59" s="208" t="s">
        <v>78</v>
      </c>
      <c r="Z59" s="208" t="s">
        <v>102</v>
      </c>
      <c r="AA59" s="208" t="s">
        <v>69</v>
      </c>
      <c r="AB59" s="237" t="s">
        <v>449</v>
      </c>
    </row>
    <row r="60" spans="1:28" x14ac:dyDescent="0.15">
      <c r="A60" s="208" t="s">
        <v>59</v>
      </c>
      <c r="B60" s="237" t="s">
        <v>446</v>
      </c>
      <c r="C60" s="152">
        <v>2018</v>
      </c>
      <c r="D60" s="153" t="s">
        <v>447</v>
      </c>
      <c r="E60" s="208" t="s">
        <v>304</v>
      </c>
      <c r="F60" s="208" t="s">
        <v>297</v>
      </c>
      <c r="G60" s="208" t="s">
        <v>36</v>
      </c>
      <c r="H60" s="208" t="s">
        <v>157</v>
      </c>
      <c r="I60" s="208" t="s">
        <v>153</v>
      </c>
      <c r="J60" s="208" t="s">
        <v>38</v>
      </c>
      <c r="K60" s="208" t="s">
        <v>154</v>
      </c>
      <c r="L60" s="208">
        <v>2</v>
      </c>
      <c r="N60" s="208">
        <v>4</v>
      </c>
      <c r="O60" s="208">
        <v>0.43</v>
      </c>
      <c r="P60" s="208">
        <v>0.55000000000000004</v>
      </c>
      <c r="Q60" s="245">
        <f t="shared" si="2"/>
        <v>0.49</v>
      </c>
      <c r="R60" s="208">
        <v>15.1</v>
      </c>
      <c r="S60" s="208">
        <v>112</v>
      </c>
      <c r="T60" s="217">
        <f t="shared" si="0"/>
        <v>33</v>
      </c>
      <c r="U60" s="208">
        <v>494</v>
      </c>
      <c r="V60" s="217">
        <f t="shared" si="1"/>
        <v>16</v>
      </c>
      <c r="W60" s="208">
        <v>1</v>
      </c>
      <c r="X60" s="208" t="s">
        <v>46</v>
      </c>
      <c r="Y60" s="208" t="s">
        <v>78</v>
      </c>
      <c r="Z60" s="208" t="s">
        <v>102</v>
      </c>
      <c r="AA60" s="208" t="s">
        <v>69</v>
      </c>
      <c r="AB60" s="237" t="s">
        <v>449</v>
      </c>
    </row>
    <row r="61" spans="1:28" x14ac:dyDescent="0.15">
      <c r="A61" s="208" t="s">
        <v>59</v>
      </c>
      <c r="B61" s="237" t="s">
        <v>446</v>
      </c>
      <c r="C61" s="152">
        <v>2018</v>
      </c>
      <c r="D61" s="153" t="s">
        <v>447</v>
      </c>
      <c r="E61" s="208" t="s">
        <v>304</v>
      </c>
      <c r="F61" s="208" t="s">
        <v>297</v>
      </c>
      <c r="G61" s="208" t="s">
        <v>36</v>
      </c>
      <c r="H61" s="208" t="s">
        <v>157</v>
      </c>
      <c r="I61" s="208" t="s">
        <v>153</v>
      </c>
      <c r="J61" s="208" t="s">
        <v>38</v>
      </c>
      <c r="K61" s="208" t="s">
        <v>154</v>
      </c>
      <c r="L61" s="208">
        <v>3</v>
      </c>
      <c r="N61" s="208">
        <v>4</v>
      </c>
      <c r="O61" s="208">
        <v>0.46</v>
      </c>
      <c r="P61" s="208">
        <v>0.48</v>
      </c>
      <c r="Q61" s="245">
        <f t="shared" si="2"/>
        <v>0.47</v>
      </c>
      <c r="R61" s="208">
        <v>15.7</v>
      </c>
      <c r="S61" s="208">
        <v>96</v>
      </c>
      <c r="T61" s="217">
        <f t="shared" si="0"/>
        <v>36</v>
      </c>
      <c r="U61" s="208">
        <v>494</v>
      </c>
      <c r="V61" s="217">
        <f t="shared" si="1"/>
        <v>16</v>
      </c>
      <c r="W61" s="208">
        <v>1</v>
      </c>
      <c r="X61" s="208" t="s">
        <v>46</v>
      </c>
      <c r="Y61" s="208" t="s">
        <v>78</v>
      </c>
      <c r="Z61" s="208" t="s">
        <v>102</v>
      </c>
      <c r="AA61" s="208" t="s">
        <v>69</v>
      </c>
      <c r="AB61" s="237" t="s">
        <v>449</v>
      </c>
    </row>
    <row r="62" spans="1:28" x14ac:dyDescent="0.15">
      <c r="A62" s="208" t="s">
        <v>59</v>
      </c>
      <c r="B62" s="237" t="s">
        <v>446</v>
      </c>
      <c r="C62" s="152">
        <v>2018</v>
      </c>
      <c r="D62" s="153" t="s">
        <v>447</v>
      </c>
      <c r="E62" s="208" t="s">
        <v>304</v>
      </c>
      <c r="F62" s="208" t="s">
        <v>297</v>
      </c>
      <c r="G62" s="208" t="s">
        <v>36</v>
      </c>
      <c r="H62" s="208" t="s">
        <v>155</v>
      </c>
      <c r="I62" s="208" t="s">
        <v>153</v>
      </c>
      <c r="J62" s="208" t="s">
        <v>38</v>
      </c>
      <c r="K62" s="208" t="s">
        <v>154</v>
      </c>
      <c r="L62" s="208">
        <v>1</v>
      </c>
      <c r="N62" s="208">
        <v>4</v>
      </c>
      <c r="O62" s="208">
        <v>0.4</v>
      </c>
      <c r="P62" s="208">
        <v>0.37</v>
      </c>
      <c r="Q62" s="245">
        <f t="shared" si="2"/>
        <v>0.38500000000000001</v>
      </c>
      <c r="R62" s="208">
        <v>14.5</v>
      </c>
      <c r="S62" s="208">
        <v>95</v>
      </c>
      <c r="T62" s="217">
        <f t="shared" si="0"/>
        <v>36</v>
      </c>
      <c r="U62" s="208">
        <v>321</v>
      </c>
      <c r="V62" s="217">
        <f t="shared" si="1"/>
        <v>16</v>
      </c>
      <c r="W62" s="208">
        <v>8</v>
      </c>
      <c r="X62" s="208" t="s">
        <v>46</v>
      </c>
      <c r="Y62" s="208" t="s">
        <v>78</v>
      </c>
      <c r="Z62" s="208" t="s">
        <v>102</v>
      </c>
      <c r="AA62" s="208" t="s">
        <v>69</v>
      </c>
      <c r="AB62" s="237" t="s">
        <v>449</v>
      </c>
    </row>
    <row r="63" spans="1:28" x14ac:dyDescent="0.15">
      <c r="A63" s="208" t="s">
        <v>59</v>
      </c>
      <c r="B63" s="237" t="s">
        <v>446</v>
      </c>
      <c r="C63" s="152">
        <v>2018</v>
      </c>
      <c r="D63" s="153" t="s">
        <v>447</v>
      </c>
      <c r="E63" s="208" t="s">
        <v>304</v>
      </c>
      <c r="F63" s="208" t="s">
        <v>297</v>
      </c>
      <c r="G63" s="208" t="s">
        <v>36</v>
      </c>
      <c r="H63" s="208" t="s">
        <v>155</v>
      </c>
      <c r="I63" s="208" t="s">
        <v>153</v>
      </c>
      <c r="J63" s="208" t="s">
        <v>38</v>
      </c>
      <c r="K63" s="208" t="s">
        <v>154</v>
      </c>
      <c r="L63" s="208">
        <v>2</v>
      </c>
      <c r="N63" s="208">
        <v>4</v>
      </c>
      <c r="O63" s="208">
        <v>0.72</v>
      </c>
      <c r="P63" s="208">
        <v>0.75</v>
      </c>
      <c r="Q63" s="245">
        <f t="shared" si="2"/>
        <v>0.73499999999999999</v>
      </c>
      <c r="R63" s="208">
        <v>13.5</v>
      </c>
      <c r="S63" s="208">
        <v>90</v>
      </c>
      <c r="T63" s="217">
        <f t="shared" si="0"/>
        <v>36</v>
      </c>
      <c r="U63" s="208">
        <v>321</v>
      </c>
      <c r="V63" s="217">
        <f t="shared" si="1"/>
        <v>16</v>
      </c>
      <c r="W63" s="208">
        <v>8</v>
      </c>
      <c r="X63" s="208" t="s">
        <v>46</v>
      </c>
      <c r="Y63" s="208" t="s">
        <v>78</v>
      </c>
      <c r="Z63" s="208" t="s">
        <v>102</v>
      </c>
      <c r="AA63" s="208" t="s">
        <v>69</v>
      </c>
      <c r="AB63" s="237" t="s">
        <v>449</v>
      </c>
    </row>
    <row r="64" spans="1:28" x14ac:dyDescent="0.15">
      <c r="A64" s="208" t="s">
        <v>59</v>
      </c>
      <c r="B64" s="237" t="s">
        <v>446</v>
      </c>
      <c r="C64" s="152">
        <v>2018</v>
      </c>
      <c r="D64" s="153" t="s">
        <v>447</v>
      </c>
      <c r="E64" s="208" t="s">
        <v>304</v>
      </c>
      <c r="F64" s="208" t="s">
        <v>297</v>
      </c>
      <c r="G64" s="208" t="s">
        <v>36</v>
      </c>
      <c r="H64" s="208" t="s">
        <v>155</v>
      </c>
      <c r="I64" s="208" t="s">
        <v>153</v>
      </c>
      <c r="J64" s="208" t="s">
        <v>38</v>
      </c>
      <c r="K64" s="208" t="s">
        <v>154</v>
      </c>
      <c r="L64" s="208">
        <v>3</v>
      </c>
      <c r="N64" s="208">
        <v>4</v>
      </c>
      <c r="O64" s="208">
        <v>0.7</v>
      </c>
      <c r="P64" s="208">
        <v>0.71</v>
      </c>
      <c r="Q64" s="245">
        <f t="shared" si="2"/>
        <v>0.70499999999999996</v>
      </c>
      <c r="R64" s="208">
        <v>13.4</v>
      </c>
      <c r="S64" s="208">
        <v>86</v>
      </c>
      <c r="T64" s="217">
        <f t="shared" si="0"/>
        <v>36</v>
      </c>
      <c r="U64" s="208">
        <v>321</v>
      </c>
      <c r="V64" s="217">
        <f t="shared" si="1"/>
        <v>16</v>
      </c>
      <c r="W64" s="208">
        <v>8</v>
      </c>
      <c r="X64" s="208" t="s">
        <v>46</v>
      </c>
      <c r="Y64" s="208" t="s">
        <v>78</v>
      </c>
      <c r="Z64" s="208" t="s">
        <v>102</v>
      </c>
      <c r="AA64" s="208" t="s">
        <v>69</v>
      </c>
      <c r="AB64" s="237" t="s">
        <v>449</v>
      </c>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F2:JF61 J44:J492">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SS2:SS6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A2:A492">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SY2:SY6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G2:G492">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TA2:TA61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L59" sqref="L59"/>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466</v>
      </c>
      <c r="D1" s="203" t="s">
        <v>3</v>
      </c>
      <c r="E1" s="241" t="s">
        <v>4</v>
      </c>
      <c r="F1" s="241" t="s">
        <v>5</v>
      </c>
      <c r="G1" s="241" t="s">
        <v>6</v>
      </c>
      <c r="H1" s="241" t="s">
        <v>7</v>
      </c>
      <c r="I1" s="241" t="s">
        <v>8</v>
      </c>
      <c r="J1" s="241" t="s">
        <v>9</v>
      </c>
      <c r="K1" s="201" t="s">
        <v>10</v>
      </c>
      <c r="L1" s="203" t="s">
        <v>467</v>
      </c>
      <c r="M1" s="203" t="s">
        <v>12</v>
      </c>
      <c r="N1" s="203" t="s">
        <v>13</v>
      </c>
      <c r="O1" s="203" t="s">
        <v>468</v>
      </c>
      <c r="P1" s="203" t="s">
        <v>469</v>
      </c>
      <c r="Q1" s="204" t="s">
        <v>16</v>
      </c>
      <c r="R1" s="203" t="s">
        <v>470</v>
      </c>
      <c r="S1" s="203" t="s">
        <v>471</v>
      </c>
      <c r="T1" s="204" t="s">
        <v>19</v>
      </c>
      <c r="U1" s="205" t="s">
        <v>108</v>
      </c>
      <c r="V1" s="206" t="s">
        <v>20</v>
      </c>
      <c r="W1" s="203" t="s">
        <v>21</v>
      </c>
      <c r="X1" s="241" t="s">
        <v>22</v>
      </c>
      <c r="Y1" s="241" t="s">
        <v>23</v>
      </c>
      <c r="Z1" s="241" t="s">
        <v>24</v>
      </c>
      <c r="AA1" s="242" t="s">
        <v>25</v>
      </c>
      <c r="AB1" s="207" t="s">
        <v>472</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473</v>
      </c>
      <c r="AY1" s="214" t="s">
        <v>474</v>
      </c>
      <c r="AZ1" s="214" t="s">
        <v>475</v>
      </c>
      <c r="BA1" s="215" t="s">
        <v>476</v>
      </c>
    </row>
    <row r="2" spans="1:53" x14ac:dyDescent="0.15">
      <c r="A2" s="165" t="s">
        <v>34</v>
      </c>
      <c r="B2" s="165" t="s">
        <v>477</v>
      </c>
      <c r="C2" s="165">
        <v>2018</v>
      </c>
      <c r="D2" s="166" t="s">
        <v>478</v>
      </c>
      <c r="E2" s="165" t="s">
        <v>479</v>
      </c>
      <c r="F2" s="165" t="s">
        <v>267</v>
      </c>
      <c r="G2" s="167" t="s">
        <v>36</v>
      </c>
      <c r="H2" s="168" t="s">
        <v>155</v>
      </c>
      <c r="I2" s="137" t="s">
        <v>153</v>
      </c>
      <c r="J2" s="200" t="s">
        <v>38</v>
      </c>
      <c r="K2" s="137" t="s">
        <v>154</v>
      </c>
      <c r="L2" s="169">
        <v>1</v>
      </c>
      <c r="M2" s="170"/>
      <c r="N2" s="170">
        <v>1</v>
      </c>
      <c r="O2" s="170">
        <v>0.6</v>
      </c>
      <c r="P2" s="170">
        <v>0.55000000000000004</v>
      </c>
      <c r="Q2" s="171">
        <f t="shared" ref="Q2:Q65" si="0">IF(OR(O2="",P2=""),"",AVERAGE(O2,P2))</f>
        <v>0.57499999999999996</v>
      </c>
      <c r="R2" s="172">
        <v>15.1</v>
      </c>
      <c r="S2" s="168">
        <v>116</v>
      </c>
      <c r="T2" s="173">
        <f t="shared" ref="T2:T65" si="1">IF(H2="","",IF(OR(H2="GREEN",H2="GK"),IF(S2&gt;=$AX$2,VLOOKUP(S2,$AX$2:$AY$7,2,1),""),IF(S2&gt;=$AZ$2,VLOOKUP(S2,$AZ$2:$BA$7,2,1),"")))</f>
        <v>30</v>
      </c>
      <c r="U2" s="137">
        <v>128</v>
      </c>
      <c r="V2" s="173">
        <f t="shared" ref="V2:V65" si="2">IF(OR(N2="",U2="",T2=""),"",U2/N2*T2)</f>
        <v>3840</v>
      </c>
      <c r="W2" s="174">
        <v>4</v>
      </c>
      <c r="X2" s="175" t="s">
        <v>46</v>
      </c>
      <c r="Y2" s="175" t="s">
        <v>50</v>
      </c>
      <c r="Z2" s="175" t="s">
        <v>90</v>
      </c>
      <c r="AA2" s="176" t="s">
        <v>78</v>
      </c>
      <c r="AB2" s="55" t="s">
        <v>480</v>
      </c>
      <c r="AE2" s="218" t="s">
        <v>35</v>
      </c>
      <c r="AG2" s="243" t="s">
        <v>481</v>
      </c>
      <c r="AH2" s="243" t="s">
        <v>268</v>
      </c>
      <c r="AJ2" s="144" t="s">
        <v>36</v>
      </c>
      <c r="AL2" s="219" t="s">
        <v>127</v>
      </c>
      <c r="AN2" s="219" t="s">
        <v>37</v>
      </c>
      <c r="AO2" s="216"/>
      <c r="AP2" s="219" t="s">
        <v>38</v>
      </c>
      <c r="AQ2" s="216"/>
      <c r="AR2" s="219" t="s">
        <v>482</v>
      </c>
      <c r="AS2" s="216"/>
      <c r="AT2" s="219" t="s">
        <v>39</v>
      </c>
      <c r="AU2" s="216"/>
      <c r="AV2" s="248" t="s">
        <v>40</v>
      </c>
      <c r="AW2" s="216"/>
      <c r="AX2" s="220">
        <v>1</v>
      </c>
      <c r="AY2" s="221">
        <v>50</v>
      </c>
      <c r="AZ2" s="221">
        <v>1</v>
      </c>
      <c r="BA2" s="222">
        <v>50</v>
      </c>
    </row>
    <row r="3" spans="1:53" x14ac:dyDescent="0.15">
      <c r="A3" s="177" t="s">
        <v>34</v>
      </c>
      <c r="B3" s="177" t="s">
        <v>328</v>
      </c>
      <c r="C3" s="178">
        <v>2018</v>
      </c>
      <c r="D3" s="179" t="s">
        <v>483</v>
      </c>
      <c r="E3" s="177" t="s">
        <v>479</v>
      </c>
      <c r="F3" s="177" t="s">
        <v>267</v>
      </c>
      <c r="G3" s="180" t="s">
        <v>36</v>
      </c>
      <c r="H3" s="137" t="s">
        <v>155</v>
      </c>
      <c r="I3" s="137" t="s">
        <v>153</v>
      </c>
      <c r="J3" s="137" t="s">
        <v>38</v>
      </c>
      <c r="K3" s="137" t="s">
        <v>154</v>
      </c>
      <c r="L3" s="208">
        <v>2</v>
      </c>
      <c r="N3" s="208">
        <v>1</v>
      </c>
      <c r="O3" s="208">
        <v>0.55000000000000004</v>
      </c>
      <c r="P3" s="235">
        <v>0.6</v>
      </c>
      <c r="Q3" s="181">
        <f t="shared" si="0"/>
        <v>0.57499999999999996</v>
      </c>
      <c r="R3" s="182">
        <v>14.8</v>
      </c>
      <c r="S3" s="182">
        <v>122</v>
      </c>
      <c r="T3" s="217">
        <f t="shared" si="1"/>
        <v>30</v>
      </c>
      <c r="U3" s="183">
        <v>128</v>
      </c>
      <c r="V3" s="184">
        <f t="shared" si="2"/>
        <v>3840</v>
      </c>
      <c r="W3" s="185">
        <v>4</v>
      </c>
      <c r="X3" s="186" t="s">
        <v>46</v>
      </c>
      <c r="Y3" s="186" t="s">
        <v>50</v>
      </c>
      <c r="Z3" s="186" t="s">
        <v>90</v>
      </c>
      <c r="AA3" s="176" t="s">
        <v>78</v>
      </c>
      <c r="AB3" s="55" t="s">
        <v>330</v>
      </c>
      <c r="AE3" s="223" t="s">
        <v>41</v>
      </c>
      <c r="AG3" s="243" t="s">
        <v>269</v>
      </c>
      <c r="AH3" s="243" t="s">
        <v>270</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328</v>
      </c>
      <c r="C4" s="177">
        <v>2018</v>
      </c>
      <c r="D4" s="179" t="s">
        <v>483</v>
      </c>
      <c r="E4" s="177" t="s">
        <v>479</v>
      </c>
      <c r="F4" s="177" t="s">
        <v>267</v>
      </c>
      <c r="G4" s="180" t="s">
        <v>36</v>
      </c>
      <c r="H4" s="137" t="s">
        <v>155</v>
      </c>
      <c r="I4" s="137" t="s">
        <v>153</v>
      </c>
      <c r="J4" s="137" t="s">
        <v>38</v>
      </c>
      <c r="K4" s="137" t="s">
        <v>154</v>
      </c>
      <c r="L4" s="208">
        <v>3</v>
      </c>
      <c r="N4" s="208">
        <v>1</v>
      </c>
      <c r="O4" s="208">
        <v>0.55000000000000004</v>
      </c>
      <c r="P4" s="235">
        <v>0.5</v>
      </c>
      <c r="Q4" s="245">
        <f t="shared" si="0"/>
        <v>0.52500000000000002</v>
      </c>
      <c r="R4" s="188">
        <v>15.4</v>
      </c>
      <c r="S4" s="188">
        <v>123</v>
      </c>
      <c r="T4" s="217">
        <f t="shared" si="1"/>
        <v>30</v>
      </c>
      <c r="U4" s="189">
        <v>128</v>
      </c>
      <c r="V4" s="184">
        <f t="shared" si="2"/>
        <v>3840</v>
      </c>
      <c r="W4" s="190">
        <v>4</v>
      </c>
      <c r="X4" s="186" t="s">
        <v>46</v>
      </c>
      <c r="Y4" s="186" t="s">
        <v>50</v>
      </c>
      <c r="Z4" s="186" t="s">
        <v>90</v>
      </c>
      <c r="AA4" s="176" t="s">
        <v>78</v>
      </c>
      <c r="AB4" s="55" t="s">
        <v>330</v>
      </c>
      <c r="AE4" s="223" t="s">
        <v>34</v>
      </c>
      <c r="AG4" s="243" t="s">
        <v>484</v>
      </c>
      <c r="AH4" s="243" t="s">
        <v>271</v>
      </c>
      <c r="AJ4" s="191" t="s">
        <v>48</v>
      </c>
      <c r="AL4" s="228" t="s">
        <v>129</v>
      </c>
      <c r="AN4" s="229" t="s">
        <v>49</v>
      </c>
      <c r="AP4" s="224" t="s">
        <v>485</v>
      </c>
      <c r="AR4" s="238" t="s">
        <v>486</v>
      </c>
      <c r="AT4" s="229"/>
      <c r="AV4" s="224" t="s">
        <v>50</v>
      </c>
      <c r="AX4" s="225">
        <v>75</v>
      </c>
      <c r="AY4" s="226">
        <v>42</v>
      </c>
      <c r="AZ4" s="226">
        <v>76</v>
      </c>
      <c r="BA4" s="227">
        <v>39</v>
      </c>
    </row>
    <row r="5" spans="1:53" x14ac:dyDescent="0.15">
      <c r="A5" s="177" t="s">
        <v>34</v>
      </c>
      <c r="B5" s="177" t="s">
        <v>328</v>
      </c>
      <c r="C5" s="178">
        <v>2018</v>
      </c>
      <c r="D5" s="179" t="s">
        <v>483</v>
      </c>
      <c r="E5" s="177" t="s">
        <v>479</v>
      </c>
      <c r="F5" s="177" t="s">
        <v>267</v>
      </c>
      <c r="G5" s="180" t="s">
        <v>36</v>
      </c>
      <c r="H5" s="137" t="s">
        <v>157</v>
      </c>
      <c r="I5" s="137" t="s">
        <v>153</v>
      </c>
      <c r="J5" s="137" t="s">
        <v>38</v>
      </c>
      <c r="K5" s="137" t="s">
        <v>154</v>
      </c>
      <c r="L5" s="208">
        <v>1</v>
      </c>
      <c r="N5" s="208">
        <v>1</v>
      </c>
      <c r="O5" s="208">
        <v>0.85</v>
      </c>
      <c r="P5" s="237">
        <v>0.8</v>
      </c>
      <c r="Q5" s="245">
        <f t="shared" si="0"/>
        <v>0.82499999999999996</v>
      </c>
      <c r="R5" s="188">
        <v>15.7</v>
      </c>
      <c r="S5" s="188">
        <v>159</v>
      </c>
      <c r="T5" s="217">
        <f t="shared" si="1"/>
        <v>30</v>
      </c>
      <c r="U5" s="189">
        <v>138</v>
      </c>
      <c r="V5" s="184">
        <f t="shared" si="2"/>
        <v>4140</v>
      </c>
      <c r="W5" s="190">
        <v>4</v>
      </c>
      <c r="X5" s="186" t="s">
        <v>46</v>
      </c>
      <c r="Y5" s="186" t="s">
        <v>50</v>
      </c>
      <c r="Z5" s="186" t="s">
        <v>90</v>
      </c>
      <c r="AA5" s="176" t="s">
        <v>78</v>
      </c>
      <c r="AB5" s="55" t="s">
        <v>330</v>
      </c>
      <c r="AE5" s="223" t="s">
        <v>51</v>
      </c>
      <c r="AG5" s="243" t="s">
        <v>487</v>
      </c>
      <c r="AH5" s="243" t="s">
        <v>274</v>
      </c>
      <c r="AJ5" s="192"/>
      <c r="AL5" s="230" t="s">
        <v>488</v>
      </c>
      <c r="AN5" s="230" t="s">
        <v>489</v>
      </c>
      <c r="AP5" s="224" t="s">
        <v>490</v>
      </c>
      <c r="AR5" s="238" t="s">
        <v>54</v>
      </c>
      <c r="AT5" s="247"/>
      <c r="AV5" s="224" t="s">
        <v>55</v>
      </c>
      <c r="AX5" s="225">
        <v>84</v>
      </c>
      <c r="AY5" s="226">
        <v>39</v>
      </c>
      <c r="AZ5" s="226">
        <v>84</v>
      </c>
      <c r="BA5" s="227">
        <v>36</v>
      </c>
    </row>
    <row r="6" spans="1:53" x14ac:dyDescent="0.15">
      <c r="A6" s="177" t="s">
        <v>34</v>
      </c>
      <c r="B6" s="177" t="s">
        <v>328</v>
      </c>
      <c r="C6" s="177">
        <v>2018</v>
      </c>
      <c r="D6" s="179" t="s">
        <v>483</v>
      </c>
      <c r="E6" s="177" t="s">
        <v>479</v>
      </c>
      <c r="F6" s="177" t="s">
        <v>267</v>
      </c>
      <c r="G6" s="180" t="s">
        <v>36</v>
      </c>
      <c r="H6" s="137" t="s">
        <v>157</v>
      </c>
      <c r="I6" s="137" t="s">
        <v>153</v>
      </c>
      <c r="J6" s="137" t="s">
        <v>38</v>
      </c>
      <c r="K6" s="137" t="s">
        <v>154</v>
      </c>
      <c r="L6" s="208">
        <v>2</v>
      </c>
      <c r="N6" s="208">
        <v>1</v>
      </c>
      <c r="O6" s="208">
        <v>0.9</v>
      </c>
      <c r="P6" s="237">
        <v>1</v>
      </c>
      <c r="Q6" s="245">
        <f t="shared" si="0"/>
        <v>0.95</v>
      </c>
      <c r="R6" s="188">
        <v>14.6</v>
      </c>
      <c r="S6" s="188">
        <v>165</v>
      </c>
      <c r="T6" s="217">
        <f t="shared" si="1"/>
        <v>30</v>
      </c>
      <c r="U6" s="189">
        <v>138</v>
      </c>
      <c r="V6" s="184">
        <f t="shared" si="2"/>
        <v>4140</v>
      </c>
      <c r="W6" s="190">
        <v>4</v>
      </c>
      <c r="X6" s="186" t="s">
        <v>46</v>
      </c>
      <c r="Y6" s="186" t="s">
        <v>50</v>
      </c>
      <c r="Z6" s="186" t="s">
        <v>90</v>
      </c>
      <c r="AA6" s="176" t="s">
        <v>78</v>
      </c>
      <c r="AB6" s="55" t="s">
        <v>330</v>
      </c>
      <c r="AE6" s="223" t="s">
        <v>56</v>
      </c>
      <c r="AG6" s="243" t="s">
        <v>491</v>
      </c>
      <c r="AH6" s="243" t="s">
        <v>273</v>
      </c>
      <c r="AL6" s="230" t="s">
        <v>492</v>
      </c>
      <c r="AN6" s="230" t="s">
        <v>493</v>
      </c>
      <c r="AP6" s="224" t="s">
        <v>53</v>
      </c>
      <c r="AR6" s="238" t="s">
        <v>59</v>
      </c>
      <c r="AV6" s="224" t="s">
        <v>60</v>
      </c>
      <c r="AX6" s="225">
        <v>97</v>
      </c>
      <c r="AY6" s="226">
        <v>36</v>
      </c>
      <c r="AZ6" s="226">
        <v>99</v>
      </c>
      <c r="BA6" s="227">
        <v>33</v>
      </c>
    </row>
    <row r="7" spans="1:53" x14ac:dyDescent="0.15">
      <c r="A7" s="177" t="s">
        <v>34</v>
      </c>
      <c r="B7" s="177" t="s">
        <v>328</v>
      </c>
      <c r="C7" s="178">
        <v>2018</v>
      </c>
      <c r="D7" s="179" t="s">
        <v>483</v>
      </c>
      <c r="E7" s="177" t="s">
        <v>479</v>
      </c>
      <c r="F7" s="177" t="s">
        <v>267</v>
      </c>
      <c r="G7" s="180" t="s">
        <v>36</v>
      </c>
      <c r="H7" s="137" t="s">
        <v>157</v>
      </c>
      <c r="I7" s="137" t="s">
        <v>153</v>
      </c>
      <c r="J7" s="137" t="s">
        <v>38</v>
      </c>
      <c r="K7" s="137" t="s">
        <v>154</v>
      </c>
      <c r="L7" s="208">
        <v>3</v>
      </c>
      <c r="N7" s="208">
        <v>1</v>
      </c>
      <c r="O7" s="208">
        <v>0.7</v>
      </c>
      <c r="P7" s="237">
        <v>0.85</v>
      </c>
      <c r="Q7" s="245">
        <f t="shared" si="0"/>
        <v>0.77499999999999991</v>
      </c>
      <c r="R7" s="188">
        <v>14.7</v>
      </c>
      <c r="S7" s="188">
        <v>161</v>
      </c>
      <c r="T7" s="217">
        <f t="shared" si="1"/>
        <v>30</v>
      </c>
      <c r="U7" s="189">
        <v>138</v>
      </c>
      <c r="V7" s="184">
        <f t="shared" si="2"/>
        <v>4140</v>
      </c>
      <c r="W7" s="190">
        <v>4</v>
      </c>
      <c r="X7" s="186" t="s">
        <v>46</v>
      </c>
      <c r="Y7" s="186" t="s">
        <v>50</v>
      </c>
      <c r="Z7" s="186" t="s">
        <v>90</v>
      </c>
      <c r="AA7" s="176" t="s">
        <v>78</v>
      </c>
      <c r="AB7" s="55" t="s">
        <v>330</v>
      </c>
      <c r="AE7" s="223" t="s">
        <v>61</v>
      </c>
      <c r="AG7" s="243" t="s">
        <v>272</v>
      </c>
      <c r="AH7" s="243" t="s">
        <v>267</v>
      </c>
      <c r="AL7" s="235" t="s">
        <v>494</v>
      </c>
      <c r="AP7" s="224" t="s">
        <v>58</v>
      </c>
      <c r="AR7" s="231" t="s">
        <v>122</v>
      </c>
      <c r="AV7" s="224" t="s">
        <v>64</v>
      </c>
      <c r="AX7" s="225">
        <v>109</v>
      </c>
      <c r="AY7" s="226">
        <v>33</v>
      </c>
      <c r="AZ7" s="226">
        <v>113</v>
      </c>
      <c r="BA7" s="227">
        <v>30</v>
      </c>
    </row>
    <row r="8" spans="1:53" x14ac:dyDescent="0.15">
      <c r="A8" s="177" t="s">
        <v>34</v>
      </c>
      <c r="B8" s="177" t="s">
        <v>328</v>
      </c>
      <c r="C8" s="177">
        <v>2018</v>
      </c>
      <c r="D8" s="179" t="s">
        <v>483</v>
      </c>
      <c r="E8" s="178" t="s">
        <v>272</v>
      </c>
      <c r="F8" s="177" t="s">
        <v>273</v>
      </c>
      <c r="G8" s="180" t="s">
        <v>36</v>
      </c>
      <c r="H8" s="137" t="s">
        <v>155</v>
      </c>
      <c r="I8" s="137" t="s">
        <v>153</v>
      </c>
      <c r="J8" s="137" t="s">
        <v>38</v>
      </c>
      <c r="K8" s="137" t="s">
        <v>154</v>
      </c>
      <c r="L8" s="208">
        <v>1</v>
      </c>
      <c r="N8" s="208">
        <v>1</v>
      </c>
      <c r="O8" s="208">
        <v>0.35</v>
      </c>
      <c r="P8" s="208">
        <v>0.3</v>
      </c>
      <c r="Q8" s="245">
        <f t="shared" si="0"/>
        <v>0.32499999999999996</v>
      </c>
      <c r="R8" s="188">
        <v>16.7</v>
      </c>
      <c r="S8" s="188">
        <v>119</v>
      </c>
      <c r="T8" s="217">
        <f t="shared" si="1"/>
        <v>30</v>
      </c>
      <c r="U8" s="193">
        <v>138</v>
      </c>
      <c r="V8" s="184">
        <f t="shared" si="2"/>
        <v>4140</v>
      </c>
      <c r="W8" s="190">
        <v>4</v>
      </c>
      <c r="X8" s="186" t="s">
        <v>46</v>
      </c>
      <c r="Y8" s="194" t="s">
        <v>90</v>
      </c>
      <c r="Z8" s="186" t="s">
        <v>50</v>
      </c>
      <c r="AA8" s="176" t="s">
        <v>78</v>
      </c>
      <c r="AB8" s="55" t="s">
        <v>330</v>
      </c>
      <c r="AE8" s="223" t="s">
        <v>59</v>
      </c>
      <c r="AG8" s="243" t="s">
        <v>495</v>
      </c>
      <c r="AH8" s="243" t="s">
        <v>277</v>
      </c>
      <c r="AL8" s="235" t="s">
        <v>350</v>
      </c>
      <c r="AP8" s="224" t="s">
        <v>62</v>
      </c>
      <c r="AR8" s="238" t="s">
        <v>81</v>
      </c>
      <c r="AV8" s="224" t="s">
        <v>97</v>
      </c>
      <c r="AX8" s="225">
        <v>151</v>
      </c>
      <c r="AY8" s="226">
        <v>22</v>
      </c>
      <c r="AZ8" s="226">
        <v>152</v>
      </c>
      <c r="BA8" s="227">
        <v>18</v>
      </c>
    </row>
    <row r="9" spans="1:53" x14ac:dyDescent="0.15">
      <c r="A9" s="177" t="s">
        <v>34</v>
      </c>
      <c r="B9" s="177" t="s">
        <v>328</v>
      </c>
      <c r="C9" s="178">
        <v>2018</v>
      </c>
      <c r="D9" s="179" t="s">
        <v>483</v>
      </c>
      <c r="E9" s="178" t="s">
        <v>272</v>
      </c>
      <c r="F9" s="177" t="s">
        <v>273</v>
      </c>
      <c r="G9" s="180" t="s">
        <v>36</v>
      </c>
      <c r="H9" s="137" t="s">
        <v>155</v>
      </c>
      <c r="I9" s="137" t="s">
        <v>153</v>
      </c>
      <c r="J9" s="137" t="s">
        <v>38</v>
      </c>
      <c r="K9" s="137" t="s">
        <v>154</v>
      </c>
      <c r="L9" s="208">
        <v>2</v>
      </c>
      <c r="N9" s="208">
        <v>1</v>
      </c>
      <c r="O9" s="208">
        <v>0.5</v>
      </c>
      <c r="P9" s="208">
        <v>0.55000000000000004</v>
      </c>
      <c r="Q9" s="245">
        <f t="shared" si="0"/>
        <v>0.52500000000000002</v>
      </c>
      <c r="R9" s="188">
        <v>15.3</v>
      </c>
      <c r="S9" s="188">
        <v>136</v>
      </c>
      <c r="T9" s="217">
        <f t="shared" si="1"/>
        <v>30</v>
      </c>
      <c r="U9" s="193">
        <v>138</v>
      </c>
      <c r="V9" s="184">
        <f t="shared" si="2"/>
        <v>4140</v>
      </c>
      <c r="W9" s="190">
        <v>4</v>
      </c>
      <c r="X9" s="186" t="s">
        <v>46</v>
      </c>
      <c r="Y9" s="194" t="s">
        <v>90</v>
      </c>
      <c r="Z9" s="186" t="s">
        <v>50</v>
      </c>
      <c r="AA9" s="176" t="s">
        <v>78</v>
      </c>
      <c r="AB9" s="55" t="s">
        <v>330</v>
      </c>
      <c r="AE9" s="223" t="s">
        <v>98</v>
      </c>
      <c r="AG9" s="243" t="s">
        <v>496</v>
      </c>
      <c r="AH9" s="243" t="s">
        <v>278</v>
      </c>
      <c r="AL9" s="230"/>
      <c r="AP9" s="224" t="s">
        <v>95</v>
      </c>
      <c r="AR9" s="231" t="s">
        <v>89</v>
      </c>
      <c r="AV9" s="224" t="s">
        <v>102</v>
      </c>
      <c r="AX9" s="232">
        <v>180</v>
      </c>
      <c r="AY9" s="233">
        <v>18</v>
      </c>
      <c r="AZ9" s="233">
        <v>181</v>
      </c>
      <c r="BA9" s="234">
        <v>16</v>
      </c>
    </row>
    <row r="10" spans="1:53" x14ac:dyDescent="0.15">
      <c r="A10" s="177" t="s">
        <v>34</v>
      </c>
      <c r="B10" s="177" t="s">
        <v>328</v>
      </c>
      <c r="C10" s="177">
        <v>2018</v>
      </c>
      <c r="D10" s="179" t="s">
        <v>483</v>
      </c>
      <c r="E10" s="178" t="s">
        <v>272</v>
      </c>
      <c r="F10" s="177" t="s">
        <v>273</v>
      </c>
      <c r="G10" s="180" t="s">
        <v>36</v>
      </c>
      <c r="H10" s="137" t="s">
        <v>155</v>
      </c>
      <c r="I10" s="137" t="s">
        <v>153</v>
      </c>
      <c r="J10" s="137" t="s">
        <v>38</v>
      </c>
      <c r="K10" s="137" t="s">
        <v>154</v>
      </c>
      <c r="L10" s="208">
        <v>3</v>
      </c>
      <c r="N10" s="208">
        <v>1</v>
      </c>
      <c r="O10" s="208">
        <v>0.55000000000000004</v>
      </c>
      <c r="P10" s="208">
        <v>0.55000000000000004</v>
      </c>
      <c r="Q10" s="245">
        <f t="shared" si="0"/>
        <v>0.55000000000000004</v>
      </c>
      <c r="R10" s="188">
        <v>15.1</v>
      </c>
      <c r="S10" s="188">
        <v>141</v>
      </c>
      <c r="T10" s="217">
        <f t="shared" si="1"/>
        <v>30</v>
      </c>
      <c r="U10" s="193">
        <v>138</v>
      </c>
      <c r="V10" s="184">
        <f t="shared" si="2"/>
        <v>4140</v>
      </c>
      <c r="W10" s="190">
        <v>4</v>
      </c>
      <c r="X10" s="186" t="s">
        <v>46</v>
      </c>
      <c r="Y10" s="194" t="s">
        <v>90</v>
      </c>
      <c r="Z10" s="186" t="s">
        <v>50</v>
      </c>
      <c r="AA10" s="176" t="s">
        <v>78</v>
      </c>
      <c r="AB10" s="55" t="s">
        <v>330</v>
      </c>
      <c r="AE10" s="223" t="s">
        <v>103</v>
      </c>
      <c r="AG10" s="243" t="s">
        <v>497</v>
      </c>
      <c r="AH10" s="243" t="s">
        <v>498</v>
      </c>
      <c r="AL10" s="235"/>
      <c r="AP10" s="224" t="s">
        <v>100</v>
      </c>
      <c r="AR10" s="231" t="s">
        <v>123</v>
      </c>
      <c r="AV10" s="224" t="s">
        <v>106</v>
      </c>
    </row>
    <row r="11" spans="1:53" x14ac:dyDescent="0.15">
      <c r="A11" s="177" t="s">
        <v>34</v>
      </c>
      <c r="B11" s="177" t="s">
        <v>328</v>
      </c>
      <c r="C11" s="178">
        <v>2018</v>
      </c>
      <c r="D11" s="179" t="s">
        <v>483</v>
      </c>
      <c r="E11" s="178" t="s">
        <v>272</v>
      </c>
      <c r="F11" s="177" t="s">
        <v>273</v>
      </c>
      <c r="G11" s="180" t="s">
        <v>36</v>
      </c>
      <c r="H11" s="137" t="s">
        <v>157</v>
      </c>
      <c r="I11" s="137" t="s">
        <v>153</v>
      </c>
      <c r="J11" s="137" t="s">
        <v>38</v>
      </c>
      <c r="K11" s="137" t="s">
        <v>154</v>
      </c>
      <c r="L11" s="208">
        <v>1</v>
      </c>
      <c r="N11" s="208">
        <v>1</v>
      </c>
      <c r="O11" s="208">
        <v>0.6</v>
      </c>
      <c r="P11" s="208">
        <v>0.5</v>
      </c>
      <c r="Q11" s="245">
        <f t="shared" si="0"/>
        <v>0.55000000000000004</v>
      </c>
      <c r="R11" s="188">
        <v>15.6</v>
      </c>
      <c r="S11" s="188">
        <v>139</v>
      </c>
      <c r="T11" s="217">
        <f t="shared" si="1"/>
        <v>30</v>
      </c>
      <c r="U11" s="193">
        <v>148</v>
      </c>
      <c r="V11" s="184">
        <f t="shared" si="2"/>
        <v>4440</v>
      </c>
      <c r="W11" s="190">
        <v>4</v>
      </c>
      <c r="X11" s="186" t="s">
        <v>46</v>
      </c>
      <c r="Y11" s="194" t="s">
        <v>90</v>
      </c>
      <c r="Z11" s="186" t="s">
        <v>50</v>
      </c>
      <c r="AA11" s="195" t="s">
        <v>78</v>
      </c>
      <c r="AB11" s="55" t="s">
        <v>330</v>
      </c>
      <c r="AE11" s="223" t="s">
        <v>65</v>
      </c>
      <c r="AG11" s="238"/>
      <c r="AH11" s="238"/>
      <c r="AL11" s="235"/>
      <c r="AP11" s="224" t="s">
        <v>104</v>
      </c>
      <c r="AR11" s="231" t="s">
        <v>87</v>
      </c>
      <c r="AV11" s="224" t="s">
        <v>69</v>
      </c>
    </row>
    <row r="12" spans="1:53" x14ac:dyDescent="0.15">
      <c r="A12" s="177" t="s">
        <v>34</v>
      </c>
      <c r="B12" s="177" t="s">
        <v>328</v>
      </c>
      <c r="C12" s="177">
        <v>2018</v>
      </c>
      <c r="D12" s="179" t="s">
        <v>483</v>
      </c>
      <c r="E12" s="178" t="s">
        <v>272</v>
      </c>
      <c r="F12" s="177" t="s">
        <v>273</v>
      </c>
      <c r="G12" s="180" t="s">
        <v>36</v>
      </c>
      <c r="H12" s="137" t="s">
        <v>157</v>
      </c>
      <c r="I12" s="137" t="s">
        <v>153</v>
      </c>
      <c r="J12" s="137" t="s">
        <v>38</v>
      </c>
      <c r="K12" s="137" t="s">
        <v>154</v>
      </c>
      <c r="L12" s="208">
        <v>2</v>
      </c>
      <c r="N12" s="208">
        <v>1</v>
      </c>
      <c r="O12" s="208">
        <v>0.45</v>
      </c>
      <c r="P12" s="208">
        <v>0.5</v>
      </c>
      <c r="Q12" s="245">
        <f t="shared" si="0"/>
        <v>0.47499999999999998</v>
      </c>
      <c r="R12" s="188">
        <v>16.7</v>
      </c>
      <c r="S12" s="188">
        <v>138</v>
      </c>
      <c r="T12" s="217">
        <f t="shared" si="1"/>
        <v>30</v>
      </c>
      <c r="U12" s="193">
        <v>148</v>
      </c>
      <c r="V12" s="184">
        <f t="shared" si="2"/>
        <v>4440</v>
      </c>
      <c r="W12" s="190">
        <v>4</v>
      </c>
      <c r="X12" s="186" t="s">
        <v>46</v>
      </c>
      <c r="Y12" s="194" t="s">
        <v>90</v>
      </c>
      <c r="Z12" s="186" t="s">
        <v>50</v>
      </c>
      <c r="AA12" s="195" t="s">
        <v>78</v>
      </c>
      <c r="AB12" s="55" t="s">
        <v>330</v>
      </c>
      <c r="AE12" s="223" t="s">
        <v>70</v>
      </c>
      <c r="AG12" s="238"/>
      <c r="AH12" s="238"/>
      <c r="AL12" s="235"/>
      <c r="AP12" s="224" t="s">
        <v>67</v>
      </c>
      <c r="AR12" s="231" t="s">
        <v>124</v>
      </c>
      <c r="AV12" s="224" t="s">
        <v>72</v>
      </c>
    </row>
    <row r="13" spans="1:53" x14ac:dyDescent="0.15">
      <c r="A13" s="177" t="s">
        <v>34</v>
      </c>
      <c r="B13" s="177" t="s">
        <v>328</v>
      </c>
      <c r="C13" s="178">
        <v>2018</v>
      </c>
      <c r="D13" s="179" t="s">
        <v>483</v>
      </c>
      <c r="E13" s="178" t="s">
        <v>272</v>
      </c>
      <c r="F13" s="177" t="s">
        <v>273</v>
      </c>
      <c r="G13" s="180" t="s">
        <v>36</v>
      </c>
      <c r="H13" s="137" t="s">
        <v>157</v>
      </c>
      <c r="I13" s="137" t="s">
        <v>153</v>
      </c>
      <c r="J13" s="137" t="s">
        <v>38</v>
      </c>
      <c r="K13" s="137" t="s">
        <v>154</v>
      </c>
      <c r="L13" s="208">
        <v>3</v>
      </c>
      <c r="N13" s="208">
        <v>1</v>
      </c>
      <c r="O13" s="208">
        <v>0.55000000000000004</v>
      </c>
      <c r="P13" s="208">
        <v>0.5</v>
      </c>
      <c r="Q13" s="245">
        <f t="shared" si="0"/>
        <v>0.52500000000000002</v>
      </c>
      <c r="R13" s="188">
        <v>15.3</v>
      </c>
      <c r="S13" s="188">
        <v>138</v>
      </c>
      <c r="T13" s="217">
        <f t="shared" si="1"/>
        <v>30</v>
      </c>
      <c r="U13" s="193">
        <v>148</v>
      </c>
      <c r="V13" s="184">
        <f t="shared" si="2"/>
        <v>4440</v>
      </c>
      <c r="W13" s="190">
        <v>4</v>
      </c>
      <c r="X13" s="186" t="s">
        <v>46</v>
      </c>
      <c r="Y13" s="194" t="s">
        <v>90</v>
      </c>
      <c r="Z13" s="186" t="s">
        <v>50</v>
      </c>
      <c r="AA13" s="195" t="s">
        <v>78</v>
      </c>
      <c r="AB13" s="55" t="s">
        <v>330</v>
      </c>
      <c r="AE13" s="223" t="s">
        <v>73</v>
      </c>
      <c r="AG13" s="196"/>
      <c r="AH13" s="196"/>
      <c r="AP13" s="224" t="s">
        <v>71</v>
      </c>
      <c r="AR13" s="231" t="s">
        <v>103</v>
      </c>
      <c r="AV13" s="224" t="s">
        <v>75</v>
      </c>
    </row>
    <row r="14" spans="1:53" x14ac:dyDescent="0.15">
      <c r="A14" s="177" t="s">
        <v>34</v>
      </c>
      <c r="B14" s="177" t="s">
        <v>328</v>
      </c>
      <c r="C14" s="177">
        <v>2018</v>
      </c>
      <c r="D14" s="179" t="s">
        <v>483</v>
      </c>
      <c r="E14" s="178" t="s">
        <v>276</v>
      </c>
      <c r="F14" s="177" t="s">
        <v>273</v>
      </c>
      <c r="G14" s="180" t="s">
        <v>36</v>
      </c>
      <c r="H14" s="137" t="s">
        <v>155</v>
      </c>
      <c r="I14" s="137" t="s">
        <v>153</v>
      </c>
      <c r="J14" s="137" t="s">
        <v>38</v>
      </c>
      <c r="K14" s="137" t="s">
        <v>154</v>
      </c>
      <c r="L14" s="208">
        <v>1</v>
      </c>
      <c r="N14" s="208">
        <v>1</v>
      </c>
      <c r="O14" s="208">
        <v>1.1000000000000001</v>
      </c>
      <c r="P14" s="208">
        <v>0.9</v>
      </c>
      <c r="Q14" s="245">
        <f t="shared" si="0"/>
        <v>1</v>
      </c>
      <c r="R14" s="188">
        <v>12.9</v>
      </c>
      <c r="S14" s="188">
        <v>98</v>
      </c>
      <c r="T14" s="217">
        <f t="shared" si="1"/>
        <v>36</v>
      </c>
      <c r="U14" s="193">
        <v>98</v>
      </c>
      <c r="V14" s="184">
        <f t="shared" si="2"/>
        <v>3528</v>
      </c>
      <c r="W14" s="190">
        <v>1</v>
      </c>
      <c r="X14" s="186" t="s">
        <v>46</v>
      </c>
      <c r="Y14" s="194" t="s">
        <v>78</v>
      </c>
      <c r="Z14" s="194" t="s">
        <v>90</v>
      </c>
      <c r="AA14" s="195" t="s">
        <v>69</v>
      </c>
      <c r="AB14" s="55" t="s">
        <v>330</v>
      </c>
      <c r="AC14" s="235"/>
      <c r="AE14" s="223" t="s">
        <v>76</v>
      </c>
      <c r="AG14" s="247"/>
      <c r="AH14" s="247"/>
      <c r="AP14" s="224" t="s">
        <v>74</v>
      </c>
      <c r="AR14" s="231" t="s">
        <v>125</v>
      </c>
      <c r="AV14" s="224" t="s">
        <v>78</v>
      </c>
    </row>
    <row r="15" spans="1:53" x14ac:dyDescent="0.15">
      <c r="A15" s="177" t="s">
        <v>34</v>
      </c>
      <c r="B15" s="177" t="s">
        <v>328</v>
      </c>
      <c r="C15" s="178">
        <v>2018</v>
      </c>
      <c r="D15" s="179" t="s">
        <v>483</v>
      </c>
      <c r="E15" s="178" t="s">
        <v>276</v>
      </c>
      <c r="F15" s="177" t="s">
        <v>273</v>
      </c>
      <c r="G15" s="180" t="s">
        <v>36</v>
      </c>
      <c r="H15" s="137" t="s">
        <v>155</v>
      </c>
      <c r="I15" s="137" t="s">
        <v>153</v>
      </c>
      <c r="J15" s="137" t="s">
        <v>38</v>
      </c>
      <c r="K15" s="137" t="s">
        <v>154</v>
      </c>
      <c r="L15" s="208">
        <v>2</v>
      </c>
      <c r="N15" s="208">
        <v>1</v>
      </c>
      <c r="O15" s="208">
        <v>0.85</v>
      </c>
      <c r="P15" s="208">
        <v>0.9</v>
      </c>
      <c r="Q15" s="245">
        <f t="shared" si="0"/>
        <v>0.875</v>
      </c>
      <c r="R15" s="188">
        <v>13.6</v>
      </c>
      <c r="S15" s="188">
        <v>108</v>
      </c>
      <c r="T15" s="217">
        <f t="shared" si="1"/>
        <v>33</v>
      </c>
      <c r="U15" s="193">
        <v>98</v>
      </c>
      <c r="V15" s="184">
        <f t="shared" si="2"/>
        <v>3234</v>
      </c>
      <c r="W15" s="190">
        <v>1</v>
      </c>
      <c r="X15" s="186" t="s">
        <v>46</v>
      </c>
      <c r="Y15" s="194" t="s">
        <v>78</v>
      </c>
      <c r="Z15" s="194" t="s">
        <v>90</v>
      </c>
      <c r="AA15" s="195" t="s">
        <v>69</v>
      </c>
      <c r="AB15" s="55" t="s">
        <v>330</v>
      </c>
      <c r="AC15" s="235"/>
      <c r="AE15" s="223" t="s">
        <v>79</v>
      </c>
      <c r="AP15" s="224" t="s">
        <v>77</v>
      </c>
      <c r="AR15" s="231" t="s">
        <v>94</v>
      </c>
      <c r="AV15" s="224" t="s">
        <v>107</v>
      </c>
    </row>
    <row r="16" spans="1:53" x14ac:dyDescent="0.15">
      <c r="A16" s="177" t="s">
        <v>34</v>
      </c>
      <c r="B16" s="177" t="s">
        <v>328</v>
      </c>
      <c r="C16" s="177">
        <v>2018</v>
      </c>
      <c r="D16" s="179" t="s">
        <v>483</v>
      </c>
      <c r="E16" s="178" t="s">
        <v>276</v>
      </c>
      <c r="F16" s="177" t="s">
        <v>273</v>
      </c>
      <c r="G16" s="180" t="s">
        <v>36</v>
      </c>
      <c r="H16" s="137" t="s">
        <v>155</v>
      </c>
      <c r="I16" s="137" t="s">
        <v>153</v>
      </c>
      <c r="J16" s="137" t="s">
        <v>38</v>
      </c>
      <c r="K16" s="137" t="s">
        <v>154</v>
      </c>
      <c r="L16" s="208">
        <v>3</v>
      </c>
      <c r="N16" s="208">
        <v>1</v>
      </c>
      <c r="O16" s="208">
        <v>0.8</v>
      </c>
      <c r="P16" s="208">
        <v>0.85</v>
      </c>
      <c r="Q16" s="245">
        <f t="shared" si="0"/>
        <v>0.82499999999999996</v>
      </c>
      <c r="R16" s="188">
        <v>13.7</v>
      </c>
      <c r="S16" s="188">
        <v>108</v>
      </c>
      <c r="T16" s="217">
        <f t="shared" si="1"/>
        <v>33</v>
      </c>
      <c r="U16" s="193">
        <v>98</v>
      </c>
      <c r="V16" s="184">
        <f t="shared" si="2"/>
        <v>3234</v>
      </c>
      <c r="W16" s="190">
        <v>1</v>
      </c>
      <c r="X16" s="186" t="s">
        <v>46</v>
      </c>
      <c r="Y16" s="194" t="s">
        <v>78</v>
      </c>
      <c r="Z16" s="194" t="s">
        <v>90</v>
      </c>
      <c r="AA16" s="195" t="s">
        <v>69</v>
      </c>
      <c r="AB16" s="55" t="s">
        <v>330</v>
      </c>
      <c r="AC16" s="235"/>
      <c r="AE16" s="223" t="s">
        <v>82</v>
      </c>
      <c r="AP16" s="224" t="s">
        <v>80</v>
      </c>
      <c r="AR16" s="238" t="s">
        <v>63</v>
      </c>
      <c r="AV16" s="224" t="s">
        <v>84</v>
      </c>
    </row>
    <row r="17" spans="1:48" x14ac:dyDescent="0.15">
      <c r="A17" s="177" t="s">
        <v>34</v>
      </c>
      <c r="B17" s="177" t="s">
        <v>328</v>
      </c>
      <c r="C17" s="178">
        <v>2018</v>
      </c>
      <c r="D17" s="179" t="s">
        <v>483</v>
      </c>
      <c r="E17" s="178" t="s">
        <v>479</v>
      </c>
      <c r="F17" s="177" t="s">
        <v>499</v>
      </c>
      <c r="G17" s="180" t="s">
        <v>36</v>
      </c>
      <c r="H17" s="137" t="s">
        <v>155</v>
      </c>
      <c r="I17" s="137" t="s">
        <v>153</v>
      </c>
      <c r="J17" s="137" t="s">
        <v>38</v>
      </c>
      <c r="K17" s="137" t="s">
        <v>154</v>
      </c>
      <c r="L17" s="208">
        <v>1</v>
      </c>
      <c r="N17" s="208">
        <v>1</v>
      </c>
      <c r="O17" s="208">
        <v>0.55000000000000004</v>
      </c>
      <c r="P17" s="208">
        <v>0.6</v>
      </c>
      <c r="Q17" s="245">
        <f t="shared" si="0"/>
        <v>0.57499999999999996</v>
      </c>
      <c r="R17" s="188">
        <v>14.9</v>
      </c>
      <c r="S17" s="188">
        <v>100</v>
      </c>
      <c r="T17" s="217">
        <f t="shared" si="1"/>
        <v>33</v>
      </c>
      <c r="U17" s="193">
        <v>128</v>
      </c>
      <c r="V17" s="184">
        <f t="shared" si="2"/>
        <v>4224</v>
      </c>
      <c r="W17" s="190">
        <v>6</v>
      </c>
      <c r="X17" s="186" t="s">
        <v>46</v>
      </c>
      <c r="Y17" s="194" t="s">
        <v>78</v>
      </c>
      <c r="Z17" s="194" t="s">
        <v>90</v>
      </c>
      <c r="AA17" s="195" t="s">
        <v>102</v>
      </c>
      <c r="AB17" s="55" t="s">
        <v>330</v>
      </c>
      <c r="AC17" s="235"/>
      <c r="AE17" s="223" t="s">
        <v>85</v>
      </c>
      <c r="AP17" s="239" t="s">
        <v>110</v>
      </c>
      <c r="AR17" s="238" t="s">
        <v>96</v>
      </c>
      <c r="AV17" s="224" t="s">
        <v>86</v>
      </c>
    </row>
    <row r="18" spans="1:48" x14ac:dyDescent="0.15">
      <c r="A18" s="177" t="s">
        <v>34</v>
      </c>
      <c r="B18" s="177" t="s">
        <v>328</v>
      </c>
      <c r="C18" s="177">
        <v>2018</v>
      </c>
      <c r="D18" s="179" t="s">
        <v>483</v>
      </c>
      <c r="E18" s="178" t="s">
        <v>479</v>
      </c>
      <c r="F18" s="177" t="s">
        <v>499</v>
      </c>
      <c r="G18" s="180" t="s">
        <v>36</v>
      </c>
      <c r="H18" s="137" t="s">
        <v>155</v>
      </c>
      <c r="I18" s="137" t="s">
        <v>153</v>
      </c>
      <c r="J18" s="137" t="s">
        <v>38</v>
      </c>
      <c r="K18" s="137" t="s">
        <v>154</v>
      </c>
      <c r="L18" s="208">
        <v>2</v>
      </c>
      <c r="N18" s="208">
        <v>1</v>
      </c>
      <c r="O18" s="208">
        <v>0.55000000000000004</v>
      </c>
      <c r="P18" s="208">
        <v>0.6</v>
      </c>
      <c r="Q18" s="245">
        <f t="shared" si="0"/>
        <v>0.57499999999999996</v>
      </c>
      <c r="R18" s="188">
        <v>15.2</v>
      </c>
      <c r="S18" s="188">
        <v>114</v>
      </c>
      <c r="T18" s="217">
        <f t="shared" si="1"/>
        <v>30</v>
      </c>
      <c r="U18" s="193">
        <v>128</v>
      </c>
      <c r="V18" s="184">
        <f t="shared" si="2"/>
        <v>3840</v>
      </c>
      <c r="W18" s="190">
        <v>6</v>
      </c>
      <c r="X18" s="186" t="s">
        <v>46</v>
      </c>
      <c r="Y18" s="194" t="s">
        <v>78</v>
      </c>
      <c r="Z18" s="194" t="s">
        <v>90</v>
      </c>
      <c r="AA18" s="195" t="s">
        <v>102</v>
      </c>
      <c r="AB18" s="55" t="s">
        <v>330</v>
      </c>
      <c r="AC18" s="235"/>
      <c r="AE18" s="223" t="s">
        <v>87</v>
      </c>
      <c r="AP18" s="239" t="s">
        <v>111</v>
      </c>
      <c r="AR18" s="238" t="s">
        <v>101</v>
      </c>
      <c r="AV18" s="224" t="s">
        <v>88</v>
      </c>
    </row>
    <row r="19" spans="1:48" x14ac:dyDescent="0.15">
      <c r="A19" s="177" t="s">
        <v>34</v>
      </c>
      <c r="B19" s="177" t="s">
        <v>328</v>
      </c>
      <c r="C19" s="178">
        <v>2018</v>
      </c>
      <c r="D19" s="179" t="s">
        <v>483</v>
      </c>
      <c r="E19" s="178" t="s">
        <v>479</v>
      </c>
      <c r="F19" s="177" t="s">
        <v>499</v>
      </c>
      <c r="G19" s="180" t="s">
        <v>36</v>
      </c>
      <c r="H19" s="137" t="s">
        <v>155</v>
      </c>
      <c r="I19" s="137" t="s">
        <v>153</v>
      </c>
      <c r="J19" s="137" t="s">
        <v>38</v>
      </c>
      <c r="K19" s="137" t="s">
        <v>154</v>
      </c>
      <c r="L19" s="208">
        <v>3</v>
      </c>
      <c r="N19" s="208">
        <v>1</v>
      </c>
      <c r="O19" s="208">
        <v>0.55000000000000004</v>
      </c>
      <c r="P19" s="208">
        <v>0.55000000000000004</v>
      </c>
      <c r="Q19" s="245">
        <f t="shared" si="0"/>
        <v>0.55000000000000004</v>
      </c>
      <c r="R19" s="188">
        <v>15.3</v>
      </c>
      <c r="S19" s="188">
        <v>118</v>
      </c>
      <c r="T19" s="217">
        <f t="shared" si="1"/>
        <v>30</v>
      </c>
      <c r="U19" s="193">
        <v>128</v>
      </c>
      <c r="V19" s="184">
        <f t="shared" si="2"/>
        <v>3840</v>
      </c>
      <c r="W19" s="190">
        <v>6</v>
      </c>
      <c r="X19" s="186" t="s">
        <v>46</v>
      </c>
      <c r="Y19" s="194" t="s">
        <v>78</v>
      </c>
      <c r="Z19" s="194" t="s">
        <v>90</v>
      </c>
      <c r="AA19" s="195" t="s">
        <v>102</v>
      </c>
      <c r="AB19" s="55" t="s">
        <v>330</v>
      </c>
      <c r="AC19" s="235"/>
      <c r="AE19" s="236" t="s">
        <v>89</v>
      </c>
      <c r="AP19" s="239" t="s">
        <v>112</v>
      </c>
      <c r="AR19" s="231" t="s">
        <v>126</v>
      </c>
      <c r="AV19" s="224" t="s">
        <v>90</v>
      </c>
    </row>
    <row r="20" spans="1:48" x14ac:dyDescent="0.15">
      <c r="A20" s="177" t="s">
        <v>34</v>
      </c>
      <c r="B20" s="177" t="s">
        <v>328</v>
      </c>
      <c r="C20" s="177">
        <v>2018</v>
      </c>
      <c r="D20" s="179" t="s">
        <v>483</v>
      </c>
      <c r="E20" s="178" t="s">
        <v>479</v>
      </c>
      <c r="F20" s="177" t="s">
        <v>499</v>
      </c>
      <c r="G20" s="180" t="s">
        <v>36</v>
      </c>
      <c r="H20" s="137" t="s">
        <v>157</v>
      </c>
      <c r="I20" s="137" t="s">
        <v>153</v>
      </c>
      <c r="J20" s="137" t="s">
        <v>38</v>
      </c>
      <c r="K20" s="137" t="s">
        <v>154</v>
      </c>
      <c r="L20" s="208">
        <v>1</v>
      </c>
      <c r="N20" s="208">
        <v>1</v>
      </c>
      <c r="O20" s="208">
        <v>0.65</v>
      </c>
      <c r="P20" s="208">
        <v>0.7</v>
      </c>
      <c r="Q20" s="245">
        <f t="shared" si="0"/>
        <v>0.67500000000000004</v>
      </c>
      <c r="R20" s="188">
        <v>14.7</v>
      </c>
      <c r="S20" s="197">
        <v>152</v>
      </c>
      <c r="T20" s="217">
        <f t="shared" si="1"/>
        <v>30</v>
      </c>
      <c r="U20" s="193">
        <v>138</v>
      </c>
      <c r="V20" s="184">
        <f t="shared" si="2"/>
        <v>4140</v>
      </c>
      <c r="W20" s="190">
        <v>6</v>
      </c>
      <c r="X20" s="186" t="s">
        <v>46</v>
      </c>
      <c r="Y20" s="194" t="s">
        <v>78</v>
      </c>
      <c r="Z20" s="194" t="s">
        <v>90</v>
      </c>
      <c r="AA20" s="195" t="s">
        <v>102</v>
      </c>
      <c r="AB20" s="55" t="s">
        <v>330</v>
      </c>
      <c r="AE20" s="236"/>
      <c r="AP20" s="239" t="s">
        <v>113</v>
      </c>
      <c r="AR20" s="238" t="s">
        <v>105</v>
      </c>
      <c r="AV20" s="228" t="s">
        <v>370</v>
      </c>
    </row>
    <row r="21" spans="1:48" x14ac:dyDescent="0.15">
      <c r="A21" s="177" t="s">
        <v>34</v>
      </c>
      <c r="B21" s="177" t="s">
        <v>328</v>
      </c>
      <c r="C21" s="178">
        <v>2018</v>
      </c>
      <c r="D21" s="179" t="s">
        <v>483</v>
      </c>
      <c r="E21" s="178" t="s">
        <v>479</v>
      </c>
      <c r="F21" s="177" t="s">
        <v>499</v>
      </c>
      <c r="G21" s="180" t="s">
        <v>36</v>
      </c>
      <c r="H21" s="137" t="s">
        <v>157</v>
      </c>
      <c r="I21" s="137" t="s">
        <v>153</v>
      </c>
      <c r="J21" s="137" t="s">
        <v>38</v>
      </c>
      <c r="K21" s="137" t="s">
        <v>154</v>
      </c>
      <c r="L21" s="208">
        <v>2</v>
      </c>
      <c r="N21" s="208">
        <v>1</v>
      </c>
      <c r="O21" s="208">
        <v>0.6</v>
      </c>
      <c r="P21" s="208">
        <v>0.75</v>
      </c>
      <c r="Q21" s="245">
        <f t="shared" si="0"/>
        <v>0.67500000000000004</v>
      </c>
      <c r="R21" s="197">
        <v>14.4</v>
      </c>
      <c r="S21" s="188">
        <v>161</v>
      </c>
      <c r="T21" s="217">
        <f t="shared" si="1"/>
        <v>30</v>
      </c>
      <c r="U21" s="193">
        <v>138</v>
      </c>
      <c r="V21" s="184">
        <f t="shared" si="2"/>
        <v>4140</v>
      </c>
      <c r="W21" s="190">
        <v>6</v>
      </c>
      <c r="X21" s="186" t="s">
        <v>46</v>
      </c>
      <c r="Y21" s="194" t="s">
        <v>78</v>
      </c>
      <c r="Z21" s="194" t="s">
        <v>90</v>
      </c>
      <c r="AA21" s="195" t="s">
        <v>102</v>
      </c>
      <c r="AB21" s="55" t="s">
        <v>330</v>
      </c>
      <c r="AE21" s="229"/>
      <c r="AP21" s="239" t="s">
        <v>114</v>
      </c>
      <c r="AR21" s="238" t="s">
        <v>68</v>
      </c>
      <c r="AV21" s="228" t="s">
        <v>385</v>
      </c>
    </row>
    <row r="22" spans="1:48" x14ac:dyDescent="0.15">
      <c r="A22" s="177" t="s">
        <v>34</v>
      </c>
      <c r="B22" s="177" t="s">
        <v>328</v>
      </c>
      <c r="C22" s="177">
        <v>2018</v>
      </c>
      <c r="D22" s="179" t="s">
        <v>483</v>
      </c>
      <c r="E22" s="178" t="s">
        <v>479</v>
      </c>
      <c r="F22" s="177" t="s">
        <v>499</v>
      </c>
      <c r="G22" s="180" t="s">
        <v>36</v>
      </c>
      <c r="H22" s="137" t="s">
        <v>157</v>
      </c>
      <c r="I22" s="137" t="s">
        <v>153</v>
      </c>
      <c r="J22" s="137" t="s">
        <v>38</v>
      </c>
      <c r="K22" s="137" t="s">
        <v>154</v>
      </c>
      <c r="L22" s="208">
        <v>3</v>
      </c>
      <c r="N22" s="208">
        <v>1</v>
      </c>
      <c r="O22" s="208">
        <v>0.7</v>
      </c>
      <c r="P22" s="235">
        <v>0.8</v>
      </c>
      <c r="Q22" s="245">
        <f t="shared" si="0"/>
        <v>0.75</v>
      </c>
      <c r="R22" s="188">
        <v>14.6</v>
      </c>
      <c r="S22" s="188">
        <v>160</v>
      </c>
      <c r="T22" s="217">
        <f t="shared" si="1"/>
        <v>30</v>
      </c>
      <c r="U22" s="193">
        <v>138</v>
      </c>
      <c r="V22" s="184">
        <f t="shared" si="2"/>
        <v>4140</v>
      </c>
      <c r="W22" s="190">
        <v>6</v>
      </c>
      <c r="X22" s="186" t="s">
        <v>46</v>
      </c>
      <c r="Y22" s="194" t="s">
        <v>78</v>
      </c>
      <c r="Z22" s="194" t="s">
        <v>90</v>
      </c>
      <c r="AA22" s="195" t="s">
        <v>102</v>
      </c>
      <c r="AB22" s="55" t="s">
        <v>330</v>
      </c>
      <c r="AP22" s="239" t="s">
        <v>115</v>
      </c>
      <c r="AR22" s="238" t="s">
        <v>83</v>
      </c>
      <c r="AV22" s="224"/>
    </row>
    <row r="23" spans="1:48" x14ac:dyDescent="0.15">
      <c r="A23" s="177" t="s">
        <v>34</v>
      </c>
      <c r="B23" s="177" t="s">
        <v>328</v>
      </c>
      <c r="C23" s="178">
        <v>2018</v>
      </c>
      <c r="D23" s="179" t="s">
        <v>483</v>
      </c>
      <c r="E23" s="178" t="s">
        <v>269</v>
      </c>
      <c r="F23" s="177" t="s">
        <v>270</v>
      </c>
      <c r="G23" s="180" t="s">
        <v>42</v>
      </c>
      <c r="H23" s="137" t="s">
        <v>155</v>
      </c>
      <c r="I23" s="137" t="s">
        <v>153</v>
      </c>
      <c r="J23" s="137" t="s">
        <v>38</v>
      </c>
      <c r="K23" s="137" t="s">
        <v>154</v>
      </c>
      <c r="L23" s="208">
        <v>1</v>
      </c>
      <c r="N23" s="208">
        <v>1</v>
      </c>
      <c r="O23" s="208">
        <v>0.7</v>
      </c>
      <c r="P23" s="235">
        <v>0.6</v>
      </c>
      <c r="Q23" s="245">
        <f t="shared" si="0"/>
        <v>0.64999999999999991</v>
      </c>
      <c r="R23" s="188">
        <v>14.3</v>
      </c>
      <c r="S23" s="188">
        <v>135</v>
      </c>
      <c r="T23" s="217">
        <f t="shared" si="1"/>
        <v>30</v>
      </c>
      <c r="U23" s="193">
        <v>127</v>
      </c>
      <c r="V23" s="184">
        <f t="shared" si="2"/>
        <v>3810</v>
      </c>
      <c r="W23" s="190">
        <v>6</v>
      </c>
      <c r="X23" s="186" t="s">
        <v>46</v>
      </c>
      <c r="Y23" s="194" t="s">
        <v>50</v>
      </c>
      <c r="Z23" s="194" t="s">
        <v>102</v>
      </c>
      <c r="AA23" s="195" t="s">
        <v>90</v>
      </c>
      <c r="AB23" s="55" t="s">
        <v>330</v>
      </c>
      <c r="AP23" s="239" t="s">
        <v>372</v>
      </c>
      <c r="AR23" s="238" t="s">
        <v>61</v>
      </c>
      <c r="AV23" s="224"/>
    </row>
    <row r="24" spans="1:48" x14ac:dyDescent="0.15">
      <c r="A24" s="177" t="s">
        <v>34</v>
      </c>
      <c r="B24" s="177" t="s">
        <v>328</v>
      </c>
      <c r="C24" s="177">
        <v>2018</v>
      </c>
      <c r="D24" s="179" t="s">
        <v>483</v>
      </c>
      <c r="E24" s="178" t="s">
        <v>269</v>
      </c>
      <c r="F24" s="177" t="s">
        <v>270</v>
      </c>
      <c r="G24" s="180" t="s">
        <v>42</v>
      </c>
      <c r="H24" s="137" t="s">
        <v>155</v>
      </c>
      <c r="I24" s="137" t="s">
        <v>153</v>
      </c>
      <c r="J24" s="137" t="s">
        <v>38</v>
      </c>
      <c r="K24" s="137" t="s">
        <v>154</v>
      </c>
      <c r="L24" s="208">
        <v>2</v>
      </c>
      <c r="N24" s="208">
        <v>1</v>
      </c>
      <c r="O24" s="208">
        <v>0.55000000000000004</v>
      </c>
      <c r="P24" s="235">
        <v>0.6</v>
      </c>
      <c r="Q24" s="245">
        <f t="shared" si="0"/>
        <v>0.57499999999999996</v>
      </c>
      <c r="R24" s="188">
        <v>14.6</v>
      </c>
      <c r="S24" s="188">
        <v>139</v>
      </c>
      <c r="T24" s="217">
        <f t="shared" si="1"/>
        <v>30</v>
      </c>
      <c r="U24" s="193">
        <v>127</v>
      </c>
      <c r="V24" s="184">
        <f t="shared" si="2"/>
        <v>3810</v>
      </c>
      <c r="W24" s="190">
        <v>6</v>
      </c>
      <c r="X24" s="186" t="s">
        <v>46</v>
      </c>
      <c r="Y24" s="194" t="s">
        <v>50</v>
      </c>
      <c r="Z24" s="194" t="s">
        <v>102</v>
      </c>
      <c r="AA24" s="195" t="s">
        <v>90</v>
      </c>
      <c r="AB24" s="55" t="s">
        <v>330</v>
      </c>
      <c r="AP24" s="239" t="s">
        <v>373</v>
      </c>
      <c r="AR24" s="238" t="s">
        <v>91</v>
      </c>
      <c r="AV24" s="224"/>
    </row>
    <row r="25" spans="1:48" x14ac:dyDescent="0.15">
      <c r="A25" s="177" t="s">
        <v>34</v>
      </c>
      <c r="B25" s="177" t="s">
        <v>328</v>
      </c>
      <c r="C25" s="178">
        <v>2018</v>
      </c>
      <c r="D25" s="179" t="s">
        <v>483</v>
      </c>
      <c r="E25" s="178" t="s">
        <v>269</v>
      </c>
      <c r="F25" s="177" t="s">
        <v>270</v>
      </c>
      <c r="G25" s="180" t="s">
        <v>42</v>
      </c>
      <c r="H25" s="137" t="s">
        <v>155</v>
      </c>
      <c r="I25" s="137" t="s">
        <v>153</v>
      </c>
      <c r="J25" s="137" t="s">
        <v>38</v>
      </c>
      <c r="K25" s="137" t="s">
        <v>154</v>
      </c>
      <c r="L25" s="208">
        <v>3</v>
      </c>
      <c r="N25" s="208">
        <v>1</v>
      </c>
      <c r="O25" s="208">
        <v>0.6</v>
      </c>
      <c r="P25" s="235">
        <v>0.55000000000000004</v>
      </c>
      <c r="Q25" s="245">
        <f t="shared" si="0"/>
        <v>0.57499999999999996</v>
      </c>
      <c r="R25" s="188">
        <v>14.8</v>
      </c>
      <c r="S25" s="188">
        <v>150</v>
      </c>
      <c r="T25" s="217">
        <f t="shared" si="1"/>
        <v>30</v>
      </c>
      <c r="U25" s="193">
        <v>127</v>
      </c>
      <c r="V25" s="184">
        <f t="shared" si="2"/>
        <v>3810</v>
      </c>
      <c r="W25" s="190">
        <v>6</v>
      </c>
      <c r="X25" s="186" t="s">
        <v>46</v>
      </c>
      <c r="Y25" s="194" t="s">
        <v>50</v>
      </c>
      <c r="Z25" s="194" t="s">
        <v>102</v>
      </c>
      <c r="AA25" s="195" t="s">
        <v>90</v>
      </c>
      <c r="AB25" s="55" t="s">
        <v>330</v>
      </c>
      <c r="AP25" s="239" t="s">
        <v>116</v>
      </c>
      <c r="AR25" s="42" t="s">
        <v>92</v>
      </c>
      <c r="AV25" s="224"/>
    </row>
    <row r="26" spans="1:48" x14ac:dyDescent="0.15">
      <c r="A26" s="177" t="s">
        <v>34</v>
      </c>
      <c r="B26" s="177" t="s">
        <v>328</v>
      </c>
      <c r="C26" s="177">
        <v>2018</v>
      </c>
      <c r="D26" s="179" t="s">
        <v>483</v>
      </c>
      <c r="E26" s="178" t="s">
        <v>269</v>
      </c>
      <c r="F26" s="177" t="s">
        <v>270</v>
      </c>
      <c r="G26" s="180" t="s">
        <v>42</v>
      </c>
      <c r="H26" s="137" t="s">
        <v>157</v>
      </c>
      <c r="I26" s="137" t="s">
        <v>153</v>
      </c>
      <c r="J26" s="137" t="s">
        <v>38</v>
      </c>
      <c r="K26" s="137" t="s">
        <v>154</v>
      </c>
      <c r="L26" s="208">
        <v>1</v>
      </c>
      <c r="N26" s="208">
        <v>1</v>
      </c>
      <c r="O26" s="208">
        <v>0.7</v>
      </c>
      <c r="P26" s="237">
        <v>0.65</v>
      </c>
      <c r="Q26" s="245">
        <f t="shared" si="0"/>
        <v>0.67500000000000004</v>
      </c>
      <c r="R26" s="188">
        <v>16.5</v>
      </c>
      <c r="S26" s="188">
        <v>170</v>
      </c>
      <c r="T26" s="217">
        <f t="shared" si="1"/>
        <v>30</v>
      </c>
      <c r="U26" s="193">
        <v>127</v>
      </c>
      <c r="V26" s="184">
        <f t="shared" si="2"/>
        <v>3810</v>
      </c>
      <c r="W26" s="190">
        <v>6</v>
      </c>
      <c r="X26" s="186" t="s">
        <v>46</v>
      </c>
      <c r="Y26" s="195" t="s">
        <v>50</v>
      </c>
      <c r="Z26" s="194" t="s">
        <v>102</v>
      </c>
      <c r="AA26" s="194" t="s">
        <v>90</v>
      </c>
      <c r="AB26" s="55" t="s">
        <v>330</v>
      </c>
      <c r="AP26" s="239" t="s">
        <v>117</v>
      </c>
      <c r="AR26" s="224" t="s">
        <v>280</v>
      </c>
      <c r="AV26" s="228"/>
    </row>
    <row r="27" spans="1:48" x14ac:dyDescent="0.15">
      <c r="A27" s="177" t="s">
        <v>34</v>
      </c>
      <c r="B27" s="177" t="s">
        <v>328</v>
      </c>
      <c r="C27" s="178">
        <v>2018</v>
      </c>
      <c r="D27" s="179" t="s">
        <v>483</v>
      </c>
      <c r="E27" s="178" t="s">
        <v>269</v>
      </c>
      <c r="F27" s="177" t="s">
        <v>270</v>
      </c>
      <c r="G27" s="180" t="s">
        <v>42</v>
      </c>
      <c r="H27" s="137" t="s">
        <v>157</v>
      </c>
      <c r="I27" s="137" t="s">
        <v>153</v>
      </c>
      <c r="J27" s="137" t="s">
        <v>38</v>
      </c>
      <c r="K27" s="137" t="s">
        <v>154</v>
      </c>
      <c r="L27" s="208">
        <v>2</v>
      </c>
      <c r="N27" s="208">
        <v>1</v>
      </c>
      <c r="O27" s="235">
        <v>0.65</v>
      </c>
      <c r="P27" s="237">
        <v>0.7</v>
      </c>
      <c r="Q27" s="245">
        <f t="shared" si="0"/>
        <v>0.67500000000000004</v>
      </c>
      <c r="R27" s="188">
        <v>16.7</v>
      </c>
      <c r="S27" s="188">
        <v>161</v>
      </c>
      <c r="T27" s="217">
        <f t="shared" si="1"/>
        <v>30</v>
      </c>
      <c r="U27" s="193">
        <v>127</v>
      </c>
      <c r="V27" s="184">
        <f t="shared" si="2"/>
        <v>3810</v>
      </c>
      <c r="W27" s="190">
        <v>6</v>
      </c>
      <c r="X27" s="186" t="s">
        <v>46</v>
      </c>
      <c r="Y27" s="195" t="s">
        <v>50</v>
      </c>
      <c r="Z27" s="194" t="s">
        <v>102</v>
      </c>
      <c r="AA27" s="194" t="s">
        <v>90</v>
      </c>
      <c r="AB27" s="55" t="s">
        <v>330</v>
      </c>
      <c r="AP27" s="239" t="s">
        <v>118</v>
      </c>
      <c r="AR27" s="224"/>
    </row>
    <row r="28" spans="1:48" x14ac:dyDescent="0.15">
      <c r="A28" s="177" t="s">
        <v>34</v>
      </c>
      <c r="B28" s="177" t="s">
        <v>328</v>
      </c>
      <c r="C28" s="177">
        <v>2018</v>
      </c>
      <c r="D28" s="179" t="s">
        <v>483</v>
      </c>
      <c r="E28" s="178" t="s">
        <v>269</v>
      </c>
      <c r="F28" s="177" t="s">
        <v>270</v>
      </c>
      <c r="G28" s="180" t="s">
        <v>42</v>
      </c>
      <c r="H28" s="137" t="s">
        <v>157</v>
      </c>
      <c r="I28" s="137" t="s">
        <v>153</v>
      </c>
      <c r="J28" s="137" t="s">
        <v>38</v>
      </c>
      <c r="K28" s="137" t="s">
        <v>154</v>
      </c>
      <c r="L28" s="208">
        <v>3</v>
      </c>
      <c r="N28" s="208">
        <v>1</v>
      </c>
      <c r="O28" s="235">
        <v>0.8</v>
      </c>
      <c r="P28" s="208">
        <v>0.75</v>
      </c>
      <c r="Q28" s="245">
        <f t="shared" si="0"/>
        <v>0.77500000000000002</v>
      </c>
      <c r="R28" s="188">
        <v>15.8</v>
      </c>
      <c r="S28" s="188">
        <v>154</v>
      </c>
      <c r="T28" s="217">
        <f t="shared" si="1"/>
        <v>30</v>
      </c>
      <c r="U28" s="193">
        <v>127</v>
      </c>
      <c r="V28" s="184">
        <f t="shared" si="2"/>
        <v>3810</v>
      </c>
      <c r="W28" s="190">
        <v>6</v>
      </c>
      <c r="X28" s="186" t="s">
        <v>46</v>
      </c>
      <c r="Y28" s="195" t="s">
        <v>50</v>
      </c>
      <c r="Z28" s="194" t="s">
        <v>102</v>
      </c>
      <c r="AA28" s="194" t="s">
        <v>90</v>
      </c>
      <c r="AB28" s="55" t="s">
        <v>330</v>
      </c>
      <c r="AR28" s="224"/>
    </row>
    <row r="29" spans="1:48" x14ac:dyDescent="0.15">
      <c r="A29" s="177" t="s">
        <v>34</v>
      </c>
      <c r="B29" s="177" t="s">
        <v>328</v>
      </c>
      <c r="C29" s="177">
        <v>2018</v>
      </c>
      <c r="D29" s="179" t="s">
        <v>483</v>
      </c>
      <c r="E29" s="178" t="s">
        <v>500</v>
      </c>
      <c r="F29" s="177" t="s">
        <v>270</v>
      </c>
      <c r="G29" s="180" t="s">
        <v>42</v>
      </c>
      <c r="H29" s="137" t="s">
        <v>155</v>
      </c>
      <c r="I29" s="137" t="s">
        <v>153</v>
      </c>
      <c r="J29" s="137" t="s">
        <v>38</v>
      </c>
      <c r="K29" s="137" t="s">
        <v>154</v>
      </c>
      <c r="L29" s="208">
        <v>1</v>
      </c>
      <c r="N29" s="208">
        <v>1</v>
      </c>
      <c r="O29" s="208">
        <v>0.55000000000000004</v>
      </c>
      <c r="P29" s="208">
        <v>0.6</v>
      </c>
      <c r="Q29" s="245">
        <f t="shared" si="0"/>
        <v>0.57499999999999996</v>
      </c>
      <c r="R29" s="188">
        <v>14.9</v>
      </c>
      <c r="S29" s="188">
        <v>140</v>
      </c>
      <c r="T29" s="217">
        <f t="shared" si="1"/>
        <v>30</v>
      </c>
      <c r="U29" s="193">
        <v>129</v>
      </c>
      <c r="V29" s="184">
        <f t="shared" si="2"/>
        <v>3870</v>
      </c>
      <c r="W29" s="190">
        <v>2</v>
      </c>
      <c r="X29" s="186" t="s">
        <v>46</v>
      </c>
      <c r="Y29" s="195" t="s">
        <v>78</v>
      </c>
      <c r="Z29" s="194" t="s">
        <v>86</v>
      </c>
      <c r="AA29" s="194" t="s">
        <v>50</v>
      </c>
      <c r="AB29" s="55" t="s">
        <v>330</v>
      </c>
      <c r="AR29" s="229"/>
    </row>
    <row r="30" spans="1:48" x14ac:dyDescent="0.15">
      <c r="A30" s="177" t="s">
        <v>34</v>
      </c>
      <c r="B30" s="177" t="s">
        <v>328</v>
      </c>
      <c r="C30" s="178">
        <v>2018</v>
      </c>
      <c r="D30" s="179" t="s">
        <v>483</v>
      </c>
      <c r="E30" s="178" t="s">
        <v>500</v>
      </c>
      <c r="F30" s="177" t="s">
        <v>270</v>
      </c>
      <c r="G30" s="180" t="s">
        <v>42</v>
      </c>
      <c r="H30" s="137" t="s">
        <v>155</v>
      </c>
      <c r="I30" s="137" t="s">
        <v>153</v>
      </c>
      <c r="J30" s="137" t="s">
        <v>38</v>
      </c>
      <c r="K30" s="137" t="s">
        <v>154</v>
      </c>
      <c r="L30" s="208">
        <v>2</v>
      </c>
      <c r="N30" s="208">
        <v>1</v>
      </c>
      <c r="O30" s="208">
        <v>0.5</v>
      </c>
      <c r="P30" s="208">
        <v>0.6</v>
      </c>
      <c r="Q30" s="245">
        <f t="shared" si="0"/>
        <v>0.55000000000000004</v>
      </c>
      <c r="R30" s="188">
        <v>15.1</v>
      </c>
      <c r="S30" s="188">
        <v>137</v>
      </c>
      <c r="T30" s="217">
        <f t="shared" si="1"/>
        <v>30</v>
      </c>
      <c r="U30" s="193">
        <v>129</v>
      </c>
      <c r="V30" s="184">
        <f t="shared" si="2"/>
        <v>3870</v>
      </c>
      <c r="W30" s="190">
        <v>2</v>
      </c>
      <c r="X30" s="186" t="s">
        <v>46</v>
      </c>
      <c r="Y30" s="195" t="s">
        <v>78</v>
      </c>
      <c r="Z30" s="194" t="s">
        <v>86</v>
      </c>
      <c r="AA30" s="194" t="s">
        <v>50</v>
      </c>
      <c r="AB30" s="55" t="s">
        <v>330</v>
      </c>
    </row>
    <row r="31" spans="1:48" x14ac:dyDescent="0.15">
      <c r="A31" s="177" t="s">
        <v>34</v>
      </c>
      <c r="B31" s="177" t="s">
        <v>328</v>
      </c>
      <c r="C31" s="177">
        <v>2018</v>
      </c>
      <c r="D31" s="179" t="s">
        <v>483</v>
      </c>
      <c r="E31" s="178" t="s">
        <v>500</v>
      </c>
      <c r="F31" s="177" t="s">
        <v>270</v>
      </c>
      <c r="G31" s="180" t="s">
        <v>42</v>
      </c>
      <c r="H31" s="137" t="s">
        <v>155</v>
      </c>
      <c r="I31" s="137" t="s">
        <v>153</v>
      </c>
      <c r="J31" s="137" t="s">
        <v>38</v>
      </c>
      <c r="K31" s="137" t="s">
        <v>154</v>
      </c>
      <c r="L31" s="208">
        <v>3</v>
      </c>
      <c r="N31" s="208">
        <v>1</v>
      </c>
      <c r="O31" s="208">
        <v>0.6</v>
      </c>
      <c r="P31" s="208">
        <v>0.6</v>
      </c>
      <c r="Q31" s="245">
        <f t="shared" si="0"/>
        <v>0.6</v>
      </c>
      <c r="R31" s="188">
        <v>14.4</v>
      </c>
      <c r="S31" s="188">
        <v>136</v>
      </c>
      <c r="T31" s="217">
        <f t="shared" si="1"/>
        <v>30</v>
      </c>
      <c r="U31" s="193">
        <v>129</v>
      </c>
      <c r="V31" s="184">
        <f t="shared" si="2"/>
        <v>3870</v>
      </c>
      <c r="W31" s="190">
        <v>2</v>
      </c>
      <c r="X31" s="186" t="s">
        <v>46</v>
      </c>
      <c r="Y31" s="195" t="s">
        <v>78</v>
      </c>
      <c r="Z31" s="194" t="s">
        <v>86</v>
      </c>
      <c r="AA31" s="194" t="s">
        <v>50</v>
      </c>
      <c r="AB31" s="55" t="s">
        <v>330</v>
      </c>
    </row>
    <row r="32" spans="1:48" ht="14.25" customHeight="1" x14ac:dyDescent="0.15">
      <c r="A32" s="177" t="s">
        <v>34</v>
      </c>
      <c r="B32" s="177" t="s">
        <v>328</v>
      </c>
      <c r="C32" s="178">
        <v>2018</v>
      </c>
      <c r="D32" s="179" t="s">
        <v>483</v>
      </c>
      <c r="E32" s="178" t="s">
        <v>500</v>
      </c>
      <c r="F32" s="177" t="s">
        <v>270</v>
      </c>
      <c r="G32" s="180" t="s">
        <v>42</v>
      </c>
      <c r="H32" s="137" t="s">
        <v>157</v>
      </c>
      <c r="I32" s="137" t="s">
        <v>153</v>
      </c>
      <c r="J32" s="137" t="s">
        <v>38</v>
      </c>
      <c r="K32" s="137" t="s">
        <v>154</v>
      </c>
      <c r="L32" s="208">
        <v>1</v>
      </c>
      <c r="N32" s="208">
        <v>1</v>
      </c>
      <c r="O32" s="208">
        <v>0.45</v>
      </c>
      <c r="P32" s="208">
        <v>0.55000000000000004</v>
      </c>
      <c r="Q32" s="245">
        <f t="shared" si="0"/>
        <v>0.5</v>
      </c>
      <c r="R32" s="188">
        <v>14.6</v>
      </c>
      <c r="S32" s="188">
        <v>146</v>
      </c>
      <c r="T32" s="217">
        <f t="shared" si="1"/>
        <v>30</v>
      </c>
      <c r="U32" s="193">
        <v>129</v>
      </c>
      <c r="V32" s="184">
        <f t="shared" si="2"/>
        <v>3870</v>
      </c>
      <c r="W32" s="190">
        <v>2</v>
      </c>
      <c r="X32" s="186" t="s">
        <v>46</v>
      </c>
      <c r="Y32" s="195" t="s">
        <v>78</v>
      </c>
      <c r="Z32" s="194" t="s">
        <v>86</v>
      </c>
      <c r="AA32" s="194" t="s">
        <v>50</v>
      </c>
      <c r="AB32" s="55" t="s">
        <v>330</v>
      </c>
    </row>
    <row r="33" spans="1:28" x14ac:dyDescent="0.15">
      <c r="A33" s="177" t="s">
        <v>34</v>
      </c>
      <c r="B33" s="177" t="s">
        <v>328</v>
      </c>
      <c r="C33" s="177">
        <v>2018</v>
      </c>
      <c r="D33" s="179" t="s">
        <v>483</v>
      </c>
      <c r="E33" s="178" t="s">
        <v>500</v>
      </c>
      <c r="F33" s="177" t="s">
        <v>270</v>
      </c>
      <c r="G33" s="180" t="s">
        <v>42</v>
      </c>
      <c r="H33" s="137" t="s">
        <v>157</v>
      </c>
      <c r="I33" s="137" t="s">
        <v>153</v>
      </c>
      <c r="J33" s="137" t="s">
        <v>38</v>
      </c>
      <c r="K33" s="137" t="s">
        <v>154</v>
      </c>
      <c r="L33" s="208">
        <v>2</v>
      </c>
      <c r="N33" s="208">
        <v>1</v>
      </c>
      <c r="O33" s="208">
        <v>0.5</v>
      </c>
      <c r="P33" s="208">
        <v>0.5</v>
      </c>
      <c r="Q33" s="245">
        <f t="shared" si="0"/>
        <v>0.5</v>
      </c>
      <c r="R33" s="188">
        <v>15.1</v>
      </c>
      <c r="S33" s="188">
        <v>149</v>
      </c>
      <c r="T33" s="217">
        <f t="shared" si="1"/>
        <v>30</v>
      </c>
      <c r="U33" s="193">
        <v>129</v>
      </c>
      <c r="V33" s="184">
        <f t="shared" si="2"/>
        <v>3870</v>
      </c>
      <c r="W33" s="190">
        <v>2</v>
      </c>
      <c r="X33" s="186" t="s">
        <v>46</v>
      </c>
      <c r="Y33" s="195" t="s">
        <v>78</v>
      </c>
      <c r="Z33" s="194" t="s">
        <v>86</v>
      </c>
      <c r="AA33" s="194" t="s">
        <v>50</v>
      </c>
      <c r="AB33" s="55" t="s">
        <v>330</v>
      </c>
    </row>
    <row r="34" spans="1:28" x14ac:dyDescent="0.15">
      <c r="A34" s="177" t="s">
        <v>34</v>
      </c>
      <c r="B34" s="177" t="s">
        <v>328</v>
      </c>
      <c r="C34" s="178">
        <v>2018</v>
      </c>
      <c r="D34" s="179" t="s">
        <v>483</v>
      </c>
      <c r="E34" s="178" t="s">
        <v>500</v>
      </c>
      <c r="F34" s="177" t="s">
        <v>270</v>
      </c>
      <c r="G34" s="180" t="s">
        <v>42</v>
      </c>
      <c r="H34" s="137" t="s">
        <v>157</v>
      </c>
      <c r="I34" s="137" t="s">
        <v>153</v>
      </c>
      <c r="J34" s="137" t="s">
        <v>38</v>
      </c>
      <c r="K34" s="137" t="s">
        <v>154</v>
      </c>
      <c r="L34" s="208">
        <v>3</v>
      </c>
      <c r="N34" s="208">
        <v>1</v>
      </c>
      <c r="O34" s="208">
        <v>0.5</v>
      </c>
      <c r="P34" s="235">
        <v>0.55000000000000004</v>
      </c>
      <c r="Q34" s="245">
        <f t="shared" si="0"/>
        <v>0.52500000000000002</v>
      </c>
      <c r="R34" s="188">
        <v>15.3</v>
      </c>
      <c r="S34" s="188">
        <v>145</v>
      </c>
      <c r="T34" s="217">
        <f t="shared" si="1"/>
        <v>30</v>
      </c>
      <c r="U34" s="193">
        <v>129</v>
      </c>
      <c r="V34" s="184">
        <f t="shared" si="2"/>
        <v>3870</v>
      </c>
      <c r="W34" s="190">
        <v>2</v>
      </c>
      <c r="X34" s="186" t="s">
        <v>46</v>
      </c>
      <c r="Y34" s="195" t="s">
        <v>78</v>
      </c>
      <c r="Z34" s="194" t="s">
        <v>86</v>
      </c>
      <c r="AA34" s="194" t="s">
        <v>50</v>
      </c>
      <c r="AB34" s="55" t="s">
        <v>330</v>
      </c>
    </row>
    <row r="35" spans="1:28" x14ac:dyDescent="0.15">
      <c r="A35" s="177" t="s">
        <v>34</v>
      </c>
      <c r="B35" s="177" t="s">
        <v>328</v>
      </c>
      <c r="C35" s="177">
        <v>2018</v>
      </c>
      <c r="D35" s="179" t="s">
        <v>483</v>
      </c>
      <c r="E35" s="178" t="s">
        <v>269</v>
      </c>
      <c r="F35" s="177" t="s">
        <v>278</v>
      </c>
      <c r="G35" s="180" t="s">
        <v>42</v>
      </c>
      <c r="H35" s="137" t="s">
        <v>155</v>
      </c>
      <c r="I35" s="137" t="s">
        <v>153</v>
      </c>
      <c r="J35" s="137" t="s">
        <v>38</v>
      </c>
      <c r="K35" s="137" t="s">
        <v>154</v>
      </c>
      <c r="L35" s="208">
        <v>1</v>
      </c>
      <c r="N35" s="208">
        <v>1</v>
      </c>
      <c r="O35" s="208">
        <v>0.65</v>
      </c>
      <c r="P35" s="208">
        <v>0.7</v>
      </c>
      <c r="Q35" s="245">
        <f t="shared" si="0"/>
        <v>0.67500000000000004</v>
      </c>
      <c r="R35" s="188">
        <v>14.5</v>
      </c>
      <c r="S35" s="188">
        <v>142</v>
      </c>
      <c r="T35" s="217">
        <f t="shared" si="1"/>
        <v>30</v>
      </c>
      <c r="U35" s="193">
        <v>127</v>
      </c>
      <c r="V35" s="184">
        <f t="shared" si="2"/>
        <v>3810</v>
      </c>
      <c r="W35" s="190">
        <v>6</v>
      </c>
      <c r="X35" s="186" t="s">
        <v>46</v>
      </c>
      <c r="Y35" s="194" t="s">
        <v>50</v>
      </c>
      <c r="Z35" s="194" t="s">
        <v>84</v>
      </c>
      <c r="AA35" s="194" t="s">
        <v>90</v>
      </c>
      <c r="AB35" s="55" t="s">
        <v>330</v>
      </c>
    </row>
    <row r="36" spans="1:28" x14ac:dyDescent="0.15">
      <c r="A36" s="177" t="s">
        <v>34</v>
      </c>
      <c r="B36" s="177" t="s">
        <v>328</v>
      </c>
      <c r="C36" s="178">
        <v>2018</v>
      </c>
      <c r="D36" s="179" t="s">
        <v>483</v>
      </c>
      <c r="E36" s="178" t="s">
        <v>269</v>
      </c>
      <c r="F36" s="177" t="s">
        <v>278</v>
      </c>
      <c r="G36" s="180" t="s">
        <v>42</v>
      </c>
      <c r="H36" s="137" t="s">
        <v>155</v>
      </c>
      <c r="I36" s="137" t="s">
        <v>153</v>
      </c>
      <c r="J36" s="137" t="s">
        <v>38</v>
      </c>
      <c r="K36" s="137" t="s">
        <v>154</v>
      </c>
      <c r="L36" s="208">
        <v>2</v>
      </c>
      <c r="N36" s="208">
        <v>1</v>
      </c>
      <c r="O36" s="208">
        <v>0.8</v>
      </c>
      <c r="P36" s="208">
        <v>0.75</v>
      </c>
      <c r="Q36" s="245">
        <f t="shared" si="0"/>
        <v>0.77500000000000002</v>
      </c>
      <c r="R36" s="188">
        <v>14.2</v>
      </c>
      <c r="S36" s="188">
        <v>136</v>
      </c>
      <c r="T36" s="217">
        <f t="shared" si="1"/>
        <v>30</v>
      </c>
      <c r="U36" s="193">
        <v>127</v>
      </c>
      <c r="V36" s="184">
        <f t="shared" si="2"/>
        <v>3810</v>
      </c>
      <c r="W36" s="190">
        <v>6</v>
      </c>
      <c r="X36" s="186" t="s">
        <v>46</v>
      </c>
      <c r="Y36" s="194" t="s">
        <v>50</v>
      </c>
      <c r="Z36" s="194" t="s">
        <v>84</v>
      </c>
      <c r="AA36" s="194" t="s">
        <v>90</v>
      </c>
      <c r="AB36" s="55" t="s">
        <v>330</v>
      </c>
    </row>
    <row r="37" spans="1:28" x14ac:dyDescent="0.15">
      <c r="A37" s="177" t="s">
        <v>34</v>
      </c>
      <c r="B37" s="177" t="s">
        <v>328</v>
      </c>
      <c r="C37" s="177">
        <v>2018</v>
      </c>
      <c r="D37" s="179" t="s">
        <v>483</v>
      </c>
      <c r="E37" s="178" t="s">
        <v>269</v>
      </c>
      <c r="F37" s="177" t="s">
        <v>278</v>
      </c>
      <c r="G37" s="180" t="s">
        <v>42</v>
      </c>
      <c r="H37" s="137" t="s">
        <v>155</v>
      </c>
      <c r="I37" s="137" t="s">
        <v>153</v>
      </c>
      <c r="J37" s="137" t="s">
        <v>38</v>
      </c>
      <c r="K37" s="137" t="s">
        <v>154</v>
      </c>
      <c r="L37" s="208">
        <v>3</v>
      </c>
      <c r="N37" s="208">
        <v>1</v>
      </c>
      <c r="O37" s="208">
        <v>0.5</v>
      </c>
      <c r="P37" s="208">
        <v>0.6</v>
      </c>
      <c r="Q37" s="245">
        <f t="shared" si="0"/>
        <v>0.55000000000000004</v>
      </c>
      <c r="R37" s="188">
        <v>14.9</v>
      </c>
      <c r="S37" s="188">
        <v>141</v>
      </c>
      <c r="T37" s="217">
        <f t="shared" si="1"/>
        <v>30</v>
      </c>
      <c r="U37" s="193">
        <v>127</v>
      </c>
      <c r="V37" s="184">
        <f t="shared" si="2"/>
        <v>3810</v>
      </c>
      <c r="W37" s="190">
        <v>6</v>
      </c>
      <c r="X37" s="186" t="s">
        <v>46</v>
      </c>
      <c r="Y37" s="194" t="s">
        <v>50</v>
      </c>
      <c r="Z37" s="194" t="s">
        <v>84</v>
      </c>
      <c r="AA37" s="194" t="s">
        <v>90</v>
      </c>
      <c r="AB37" s="55" t="s">
        <v>330</v>
      </c>
    </row>
    <row r="38" spans="1:28" x14ac:dyDescent="0.15">
      <c r="A38" s="177" t="s">
        <v>34</v>
      </c>
      <c r="B38" s="177" t="s">
        <v>328</v>
      </c>
      <c r="C38" s="178">
        <v>2018</v>
      </c>
      <c r="D38" s="179" t="s">
        <v>483</v>
      </c>
      <c r="E38" s="178" t="s">
        <v>269</v>
      </c>
      <c r="F38" s="177" t="s">
        <v>278</v>
      </c>
      <c r="G38" s="180" t="s">
        <v>42</v>
      </c>
      <c r="H38" s="137" t="s">
        <v>157</v>
      </c>
      <c r="I38" s="137" t="s">
        <v>153</v>
      </c>
      <c r="J38" s="137" t="s">
        <v>38</v>
      </c>
      <c r="K38" s="137" t="s">
        <v>154</v>
      </c>
      <c r="L38" s="208">
        <v>1</v>
      </c>
      <c r="N38" s="208">
        <v>1</v>
      </c>
      <c r="O38" s="208">
        <v>0.55000000000000004</v>
      </c>
      <c r="P38" s="208">
        <v>0.6</v>
      </c>
      <c r="Q38" s="245">
        <f t="shared" si="0"/>
        <v>0.57499999999999996</v>
      </c>
      <c r="R38" s="188">
        <v>15.5</v>
      </c>
      <c r="S38" s="188">
        <v>139</v>
      </c>
      <c r="T38" s="217">
        <f t="shared" si="1"/>
        <v>30</v>
      </c>
      <c r="U38" s="193">
        <v>127</v>
      </c>
      <c r="V38" s="184">
        <f t="shared" si="2"/>
        <v>3810</v>
      </c>
      <c r="W38" s="190">
        <v>6</v>
      </c>
      <c r="X38" s="186" t="s">
        <v>46</v>
      </c>
      <c r="Y38" s="194" t="s">
        <v>50</v>
      </c>
      <c r="Z38" s="194" t="s">
        <v>84</v>
      </c>
      <c r="AA38" s="194" t="s">
        <v>90</v>
      </c>
      <c r="AB38" s="55" t="s">
        <v>330</v>
      </c>
    </row>
    <row r="39" spans="1:28" x14ac:dyDescent="0.15">
      <c r="A39" s="177" t="s">
        <v>34</v>
      </c>
      <c r="B39" s="177" t="s">
        <v>328</v>
      </c>
      <c r="C39" s="177">
        <v>2018</v>
      </c>
      <c r="D39" s="179" t="s">
        <v>483</v>
      </c>
      <c r="E39" s="178" t="s">
        <v>269</v>
      </c>
      <c r="F39" s="177" t="s">
        <v>278</v>
      </c>
      <c r="G39" s="180" t="s">
        <v>42</v>
      </c>
      <c r="H39" s="137" t="s">
        <v>157</v>
      </c>
      <c r="I39" s="137" t="s">
        <v>153</v>
      </c>
      <c r="J39" s="137" t="s">
        <v>38</v>
      </c>
      <c r="K39" s="137" t="s">
        <v>154</v>
      </c>
      <c r="L39" s="208">
        <v>2</v>
      </c>
      <c r="N39" s="208">
        <v>1</v>
      </c>
      <c r="O39" s="208">
        <v>0.6</v>
      </c>
      <c r="P39" s="208">
        <v>0.55000000000000004</v>
      </c>
      <c r="Q39" s="245">
        <f t="shared" si="0"/>
        <v>0.57499999999999996</v>
      </c>
      <c r="R39" s="188">
        <v>15.5</v>
      </c>
      <c r="S39" s="188">
        <v>150</v>
      </c>
      <c r="T39" s="217">
        <f t="shared" si="1"/>
        <v>30</v>
      </c>
      <c r="U39" s="193">
        <v>127</v>
      </c>
      <c r="V39" s="184">
        <f t="shared" si="2"/>
        <v>3810</v>
      </c>
      <c r="W39" s="190">
        <v>6</v>
      </c>
      <c r="X39" s="186" t="s">
        <v>46</v>
      </c>
      <c r="Y39" s="194" t="s">
        <v>50</v>
      </c>
      <c r="Z39" s="194" t="s">
        <v>84</v>
      </c>
      <c r="AA39" s="194" t="s">
        <v>90</v>
      </c>
      <c r="AB39" s="55" t="s">
        <v>330</v>
      </c>
    </row>
    <row r="40" spans="1:28" ht="12.75" customHeight="1" x14ac:dyDescent="0.15">
      <c r="A40" s="177" t="s">
        <v>34</v>
      </c>
      <c r="B40" s="177" t="s">
        <v>328</v>
      </c>
      <c r="C40" s="178">
        <v>2018</v>
      </c>
      <c r="D40" s="179" t="s">
        <v>483</v>
      </c>
      <c r="E40" s="178" t="s">
        <v>269</v>
      </c>
      <c r="F40" s="177" t="s">
        <v>278</v>
      </c>
      <c r="G40" s="180" t="s">
        <v>42</v>
      </c>
      <c r="H40" s="137" t="s">
        <v>157</v>
      </c>
      <c r="I40" s="137" t="s">
        <v>153</v>
      </c>
      <c r="J40" s="137" t="s">
        <v>38</v>
      </c>
      <c r="K40" s="137" t="s">
        <v>154</v>
      </c>
      <c r="L40" s="208">
        <v>3</v>
      </c>
      <c r="N40" s="208">
        <v>1</v>
      </c>
      <c r="O40" s="208">
        <v>0.6</v>
      </c>
      <c r="P40" s="208">
        <v>0.65</v>
      </c>
      <c r="Q40" s="245">
        <f t="shared" si="0"/>
        <v>0.625</v>
      </c>
      <c r="R40" s="188">
        <v>16.3</v>
      </c>
      <c r="S40" s="188">
        <v>159</v>
      </c>
      <c r="T40" s="217">
        <f t="shared" si="1"/>
        <v>30</v>
      </c>
      <c r="U40" s="193">
        <v>127</v>
      </c>
      <c r="V40" s="184">
        <f t="shared" si="2"/>
        <v>3810</v>
      </c>
      <c r="W40" s="190">
        <v>6</v>
      </c>
      <c r="X40" s="186" t="s">
        <v>46</v>
      </c>
      <c r="Y40" s="194" t="s">
        <v>50</v>
      </c>
      <c r="Z40" s="194" t="s">
        <v>84</v>
      </c>
      <c r="AA40" s="194" t="s">
        <v>90</v>
      </c>
      <c r="AB40" s="55" t="s">
        <v>330</v>
      </c>
    </row>
    <row r="41" spans="1:28" ht="12.75" customHeight="1" x14ac:dyDescent="0.15">
      <c r="A41" s="137" t="s">
        <v>34</v>
      </c>
      <c r="B41" s="177" t="s">
        <v>328</v>
      </c>
      <c r="C41" s="178">
        <v>2018</v>
      </c>
      <c r="D41" s="179" t="s">
        <v>483</v>
      </c>
      <c r="E41" s="178" t="s">
        <v>139</v>
      </c>
      <c r="F41" s="177" t="s">
        <v>278</v>
      </c>
      <c r="G41" s="180" t="s">
        <v>36</v>
      </c>
      <c r="H41" s="137" t="s">
        <v>155</v>
      </c>
      <c r="I41" s="137" t="s">
        <v>153</v>
      </c>
      <c r="J41" s="137" t="s">
        <v>38</v>
      </c>
      <c r="K41" s="137" t="s">
        <v>154</v>
      </c>
      <c r="L41" s="208">
        <v>1</v>
      </c>
      <c r="N41" s="208">
        <v>1</v>
      </c>
      <c r="O41" s="208">
        <v>0.5</v>
      </c>
      <c r="P41" s="208">
        <v>0.45</v>
      </c>
      <c r="Q41" s="245">
        <f t="shared" si="0"/>
        <v>0.47499999999999998</v>
      </c>
      <c r="R41" s="188">
        <v>14.3</v>
      </c>
      <c r="S41" s="188">
        <v>143</v>
      </c>
      <c r="T41" s="217">
        <f t="shared" si="1"/>
        <v>30</v>
      </c>
      <c r="U41" s="193">
        <v>129</v>
      </c>
      <c r="V41" s="184">
        <f t="shared" si="2"/>
        <v>3870</v>
      </c>
      <c r="W41" s="247">
        <v>8</v>
      </c>
      <c r="X41" s="186" t="s">
        <v>46</v>
      </c>
      <c r="Y41" s="198" t="s">
        <v>50</v>
      </c>
      <c r="Z41" s="198" t="s">
        <v>84</v>
      </c>
      <c r="AA41" s="198" t="s">
        <v>90</v>
      </c>
      <c r="AB41" s="55" t="s">
        <v>330</v>
      </c>
    </row>
    <row r="42" spans="1:28" ht="12.75" customHeight="1" x14ac:dyDescent="0.15">
      <c r="A42" s="137" t="s">
        <v>34</v>
      </c>
      <c r="B42" s="177" t="s">
        <v>328</v>
      </c>
      <c r="C42" s="178">
        <v>2018</v>
      </c>
      <c r="D42" s="179" t="s">
        <v>483</v>
      </c>
      <c r="E42" s="178" t="s">
        <v>139</v>
      </c>
      <c r="F42" s="177" t="s">
        <v>278</v>
      </c>
      <c r="G42" s="180" t="s">
        <v>36</v>
      </c>
      <c r="H42" s="137" t="s">
        <v>155</v>
      </c>
      <c r="I42" s="137" t="s">
        <v>153</v>
      </c>
      <c r="J42" s="137" t="s">
        <v>38</v>
      </c>
      <c r="K42" s="137" t="s">
        <v>154</v>
      </c>
      <c r="L42" s="208">
        <v>2</v>
      </c>
      <c r="N42" s="208">
        <v>1</v>
      </c>
      <c r="O42" s="208">
        <v>0.6</v>
      </c>
      <c r="P42" s="208">
        <v>0.55000000000000004</v>
      </c>
      <c r="Q42" s="245">
        <f t="shared" si="0"/>
        <v>0.57499999999999996</v>
      </c>
      <c r="R42" s="188">
        <v>13.8</v>
      </c>
      <c r="S42" s="188">
        <v>136</v>
      </c>
      <c r="T42" s="217">
        <f t="shared" si="1"/>
        <v>30</v>
      </c>
      <c r="U42" s="193">
        <v>129</v>
      </c>
      <c r="V42" s="184">
        <f t="shared" si="2"/>
        <v>3870</v>
      </c>
      <c r="W42" s="247">
        <v>8</v>
      </c>
      <c r="X42" s="186" t="s">
        <v>46</v>
      </c>
      <c r="Y42" s="198" t="s">
        <v>50</v>
      </c>
      <c r="Z42" s="198" t="s">
        <v>84</v>
      </c>
      <c r="AA42" s="198" t="s">
        <v>90</v>
      </c>
      <c r="AB42" s="55" t="s">
        <v>330</v>
      </c>
    </row>
    <row r="43" spans="1:28" ht="12.75" customHeight="1" x14ac:dyDescent="0.15">
      <c r="A43" s="137" t="s">
        <v>34</v>
      </c>
      <c r="B43" s="177" t="s">
        <v>328</v>
      </c>
      <c r="C43" s="178">
        <v>2018</v>
      </c>
      <c r="D43" s="179" t="s">
        <v>483</v>
      </c>
      <c r="E43" s="178" t="s">
        <v>139</v>
      </c>
      <c r="F43" s="177" t="s">
        <v>278</v>
      </c>
      <c r="G43" s="180" t="s">
        <v>36</v>
      </c>
      <c r="H43" s="137" t="s">
        <v>155</v>
      </c>
      <c r="I43" s="137" t="s">
        <v>153</v>
      </c>
      <c r="J43" s="137" t="s">
        <v>38</v>
      </c>
      <c r="K43" s="137" t="s">
        <v>154</v>
      </c>
      <c r="L43" s="208">
        <v>3</v>
      </c>
      <c r="N43" s="208">
        <v>1</v>
      </c>
      <c r="O43" s="208">
        <v>0.5</v>
      </c>
      <c r="P43" s="208">
        <v>0.55000000000000004</v>
      </c>
      <c r="Q43" s="245">
        <f t="shared" si="0"/>
        <v>0.52500000000000002</v>
      </c>
      <c r="R43" s="188">
        <v>14.5</v>
      </c>
      <c r="S43" s="188">
        <v>138</v>
      </c>
      <c r="T43" s="217">
        <f t="shared" si="1"/>
        <v>30</v>
      </c>
      <c r="U43" s="193">
        <v>129</v>
      </c>
      <c r="V43" s="184">
        <f t="shared" si="2"/>
        <v>3870</v>
      </c>
      <c r="W43" s="247">
        <v>8</v>
      </c>
      <c r="X43" s="186" t="s">
        <v>46</v>
      </c>
      <c r="Y43" s="198" t="s">
        <v>50</v>
      </c>
      <c r="Z43" s="198" t="s">
        <v>84</v>
      </c>
      <c r="AA43" s="198" t="s">
        <v>90</v>
      </c>
      <c r="AB43" s="55" t="s">
        <v>330</v>
      </c>
    </row>
    <row r="44" spans="1:28" x14ac:dyDescent="0.15">
      <c r="A44" s="208" t="s">
        <v>34</v>
      </c>
      <c r="B44" s="177" t="s">
        <v>328</v>
      </c>
      <c r="C44" s="178">
        <v>2018</v>
      </c>
      <c r="D44" s="179" t="s">
        <v>483</v>
      </c>
      <c r="E44" s="178" t="s">
        <v>139</v>
      </c>
      <c r="F44" s="177" t="s">
        <v>278</v>
      </c>
      <c r="G44" s="180" t="s">
        <v>36</v>
      </c>
      <c r="H44" s="137" t="s">
        <v>157</v>
      </c>
      <c r="I44" s="137" t="s">
        <v>153</v>
      </c>
      <c r="J44" s="247" t="s">
        <v>38</v>
      </c>
      <c r="K44" s="137" t="s">
        <v>154</v>
      </c>
      <c r="L44" s="208">
        <v>1</v>
      </c>
      <c r="N44" s="208">
        <v>1</v>
      </c>
      <c r="O44" s="208">
        <v>0.55000000000000004</v>
      </c>
      <c r="P44" s="208">
        <v>0.6</v>
      </c>
      <c r="Q44" s="245">
        <f t="shared" si="0"/>
        <v>0.57499999999999996</v>
      </c>
      <c r="R44" s="188">
        <v>17.5</v>
      </c>
      <c r="S44" s="188">
        <v>165</v>
      </c>
      <c r="T44" s="217">
        <f t="shared" si="1"/>
        <v>30</v>
      </c>
      <c r="U44" s="193">
        <v>178</v>
      </c>
      <c r="V44" s="217">
        <f t="shared" si="2"/>
        <v>5340</v>
      </c>
      <c r="W44" s="208">
        <v>8</v>
      </c>
      <c r="X44" s="186" t="s">
        <v>46</v>
      </c>
      <c r="Y44" s="198" t="s">
        <v>50</v>
      </c>
      <c r="Z44" s="198" t="s">
        <v>84</v>
      </c>
      <c r="AA44" s="198" t="s">
        <v>90</v>
      </c>
      <c r="AB44" s="55" t="s">
        <v>330</v>
      </c>
    </row>
    <row r="45" spans="1:28" x14ac:dyDescent="0.15">
      <c r="A45" s="208" t="s">
        <v>34</v>
      </c>
      <c r="B45" s="177" t="s">
        <v>328</v>
      </c>
      <c r="C45" s="177">
        <v>2018</v>
      </c>
      <c r="D45" s="179" t="s">
        <v>483</v>
      </c>
      <c r="E45" s="178" t="s">
        <v>139</v>
      </c>
      <c r="F45" s="177" t="s">
        <v>278</v>
      </c>
      <c r="G45" s="180" t="s">
        <v>36</v>
      </c>
      <c r="H45" s="137" t="s">
        <v>157</v>
      </c>
      <c r="I45" s="137" t="s">
        <v>153</v>
      </c>
      <c r="J45" s="247" t="s">
        <v>38</v>
      </c>
      <c r="K45" s="137" t="s">
        <v>154</v>
      </c>
      <c r="L45" s="208">
        <v>2</v>
      </c>
      <c r="N45" s="208">
        <v>1</v>
      </c>
      <c r="O45" s="208">
        <v>0.6</v>
      </c>
      <c r="P45" s="208">
        <v>0.55000000000000004</v>
      </c>
      <c r="Q45" s="245">
        <f t="shared" si="0"/>
        <v>0.57499999999999996</v>
      </c>
      <c r="R45" s="188">
        <v>18.7</v>
      </c>
      <c r="S45" s="188">
        <v>176</v>
      </c>
      <c r="T45" s="217">
        <f t="shared" si="1"/>
        <v>30</v>
      </c>
      <c r="U45" s="193">
        <v>178</v>
      </c>
      <c r="V45" s="217">
        <f t="shared" si="2"/>
        <v>5340</v>
      </c>
      <c r="W45" s="208">
        <v>8</v>
      </c>
      <c r="X45" s="186" t="s">
        <v>46</v>
      </c>
      <c r="Y45" s="198" t="s">
        <v>50</v>
      </c>
      <c r="Z45" s="198" t="s">
        <v>84</v>
      </c>
      <c r="AA45" s="198" t="s">
        <v>90</v>
      </c>
      <c r="AB45" s="55" t="s">
        <v>330</v>
      </c>
    </row>
    <row r="46" spans="1:28" x14ac:dyDescent="0.15">
      <c r="A46" s="208" t="s">
        <v>34</v>
      </c>
      <c r="B46" s="177" t="s">
        <v>328</v>
      </c>
      <c r="C46" s="178">
        <v>2018</v>
      </c>
      <c r="D46" s="179" t="s">
        <v>483</v>
      </c>
      <c r="E46" s="178" t="s">
        <v>139</v>
      </c>
      <c r="F46" s="177" t="s">
        <v>278</v>
      </c>
      <c r="G46" s="180" t="s">
        <v>36</v>
      </c>
      <c r="H46" s="137" t="s">
        <v>157</v>
      </c>
      <c r="I46" s="137" t="s">
        <v>153</v>
      </c>
      <c r="J46" s="247" t="s">
        <v>38</v>
      </c>
      <c r="K46" s="137" t="s">
        <v>154</v>
      </c>
      <c r="L46" s="208">
        <v>3</v>
      </c>
      <c r="N46" s="208">
        <v>1</v>
      </c>
      <c r="O46" s="208">
        <v>0.6</v>
      </c>
      <c r="P46" s="208">
        <v>0.6</v>
      </c>
      <c r="Q46" s="245">
        <f t="shared" si="0"/>
        <v>0.6</v>
      </c>
      <c r="R46" s="188">
        <v>17.399999999999999</v>
      </c>
      <c r="S46" s="188">
        <v>156</v>
      </c>
      <c r="T46" s="217">
        <f t="shared" si="1"/>
        <v>30</v>
      </c>
      <c r="U46" s="193">
        <v>178</v>
      </c>
      <c r="V46" s="217">
        <f t="shared" si="2"/>
        <v>5340</v>
      </c>
      <c r="W46" s="208">
        <v>8</v>
      </c>
      <c r="X46" s="186" t="s">
        <v>46</v>
      </c>
      <c r="Y46" s="198" t="s">
        <v>50</v>
      </c>
      <c r="Z46" s="198" t="s">
        <v>84</v>
      </c>
      <c r="AA46" s="198" t="s">
        <v>90</v>
      </c>
      <c r="AB46" s="55" t="s">
        <v>330</v>
      </c>
    </row>
    <row r="47" spans="1:28" x14ac:dyDescent="0.15">
      <c r="A47" s="208" t="s">
        <v>34</v>
      </c>
      <c r="B47" s="235" t="s">
        <v>328</v>
      </c>
      <c r="C47" s="208">
        <v>2018</v>
      </c>
      <c r="D47" s="199" t="s">
        <v>483</v>
      </c>
      <c r="E47" s="208" t="s">
        <v>133</v>
      </c>
      <c r="F47" s="177" t="s">
        <v>271</v>
      </c>
      <c r="G47" s="180" t="s">
        <v>36</v>
      </c>
      <c r="H47" s="137" t="s">
        <v>155</v>
      </c>
      <c r="I47" s="137" t="s">
        <v>153</v>
      </c>
      <c r="J47" s="247" t="s">
        <v>38</v>
      </c>
      <c r="K47" s="137" t="s">
        <v>154</v>
      </c>
      <c r="L47" s="208">
        <v>1</v>
      </c>
      <c r="N47" s="208">
        <v>1</v>
      </c>
      <c r="O47" s="208">
        <v>0.85</v>
      </c>
      <c r="P47" s="208">
        <v>0.8</v>
      </c>
      <c r="Q47" s="245">
        <f t="shared" si="0"/>
        <v>0.82499999999999996</v>
      </c>
      <c r="R47" s="188">
        <v>16.100000000000001</v>
      </c>
      <c r="S47" s="188">
        <v>171</v>
      </c>
      <c r="T47" s="217">
        <f t="shared" si="1"/>
        <v>30</v>
      </c>
      <c r="U47" s="208">
        <v>105</v>
      </c>
      <c r="V47" s="217">
        <f t="shared" si="2"/>
        <v>3150</v>
      </c>
      <c r="W47" s="208">
        <v>22</v>
      </c>
      <c r="X47" s="186" t="s">
        <v>46</v>
      </c>
      <c r="Y47" s="208" t="s">
        <v>90</v>
      </c>
      <c r="Z47" s="208" t="s">
        <v>50</v>
      </c>
      <c r="AA47" s="208" t="s">
        <v>84</v>
      </c>
      <c r="AB47" s="55" t="s">
        <v>330</v>
      </c>
    </row>
    <row r="48" spans="1:28" x14ac:dyDescent="0.15">
      <c r="A48" s="208" t="s">
        <v>34</v>
      </c>
      <c r="B48" s="235" t="s">
        <v>328</v>
      </c>
      <c r="C48" s="208">
        <v>2018</v>
      </c>
      <c r="D48" s="199" t="s">
        <v>483</v>
      </c>
      <c r="E48" s="208" t="s">
        <v>133</v>
      </c>
      <c r="F48" s="177" t="s">
        <v>271</v>
      </c>
      <c r="G48" s="180" t="s">
        <v>36</v>
      </c>
      <c r="H48" s="137" t="s">
        <v>155</v>
      </c>
      <c r="I48" s="137" t="s">
        <v>153</v>
      </c>
      <c r="J48" s="247" t="s">
        <v>38</v>
      </c>
      <c r="K48" s="137" t="s">
        <v>154</v>
      </c>
      <c r="L48" s="208">
        <v>2</v>
      </c>
      <c r="N48" s="208">
        <v>1</v>
      </c>
      <c r="O48" s="208">
        <v>1.2</v>
      </c>
      <c r="P48" s="208">
        <v>0.95</v>
      </c>
      <c r="Q48" s="245">
        <f t="shared" si="0"/>
        <v>1.075</v>
      </c>
      <c r="R48" s="188">
        <v>14.3</v>
      </c>
      <c r="S48" s="188">
        <v>163</v>
      </c>
      <c r="T48" s="217">
        <f t="shared" si="1"/>
        <v>30</v>
      </c>
      <c r="U48" s="208">
        <v>105</v>
      </c>
      <c r="V48" s="217">
        <f t="shared" si="2"/>
        <v>3150</v>
      </c>
      <c r="W48" s="208">
        <v>22</v>
      </c>
      <c r="X48" s="186" t="s">
        <v>46</v>
      </c>
      <c r="Y48" s="208" t="s">
        <v>90</v>
      </c>
      <c r="Z48" s="208" t="s">
        <v>50</v>
      </c>
      <c r="AA48" s="208" t="s">
        <v>84</v>
      </c>
      <c r="AB48" s="55" t="s">
        <v>330</v>
      </c>
    </row>
    <row r="49" spans="1:28" x14ac:dyDescent="0.15">
      <c r="A49" s="208" t="s">
        <v>34</v>
      </c>
      <c r="B49" s="235" t="s">
        <v>328</v>
      </c>
      <c r="C49" s="208">
        <v>2018</v>
      </c>
      <c r="D49" s="199" t="s">
        <v>483</v>
      </c>
      <c r="E49" s="208" t="s">
        <v>133</v>
      </c>
      <c r="F49" s="177" t="s">
        <v>271</v>
      </c>
      <c r="G49" s="180" t="s">
        <v>36</v>
      </c>
      <c r="H49" s="137" t="s">
        <v>155</v>
      </c>
      <c r="I49" s="137" t="s">
        <v>153</v>
      </c>
      <c r="J49" s="247" t="s">
        <v>38</v>
      </c>
      <c r="K49" s="137" t="s">
        <v>154</v>
      </c>
      <c r="L49" s="208">
        <v>3</v>
      </c>
      <c r="N49" s="208">
        <v>1</v>
      </c>
      <c r="O49" s="208">
        <v>0.85</v>
      </c>
      <c r="P49" s="208">
        <v>0.9</v>
      </c>
      <c r="Q49" s="245">
        <f t="shared" si="0"/>
        <v>0.875</v>
      </c>
      <c r="R49" s="188">
        <v>14.5</v>
      </c>
      <c r="S49" s="188">
        <v>150</v>
      </c>
      <c r="T49" s="217">
        <f t="shared" si="1"/>
        <v>30</v>
      </c>
      <c r="U49" s="208">
        <v>105</v>
      </c>
      <c r="V49" s="217">
        <f t="shared" si="2"/>
        <v>3150</v>
      </c>
      <c r="W49" s="208">
        <v>22</v>
      </c>
      <c r="X49" s="186" t="s">
        <v>46</v>
      </c>
      <c r="Y49" s="208" t="s">
        <v>90</v>
      </c>
      <c r="Z49" s="208" t="s">
        <v>50</v>
      </c>
      <c r="AA49" s="208" t="s">
        <v>84</v>
      </c>
      <c r="AB49" s="55" t="s">
        <v>330</v>
      </c>
    </row>
    <row r="50" spans="1:28" x14ac:dyDescent="0.15">
      <c r="A50" s="208" t="s">
        <v>34</v>
      </c>
      <c r="B50" s="208" t="s">
        <v>328</v>
      </c>
      <c r="C50" s="208">
        <v>2018</v>
      </c>
      <c r="D50" s="199" t="s">
        <v>483</v>
      </c>
      <c r="E50" s="208" t="s">
        <v>133</v>
      </c>
      <c r="F50" s="177" t="s">
        <v>271</v>
      </c>
      <c r="G50" s="180" t="s">
        <v>36</v>
      </c>
      <c r="H50" s="247" t="s">
        <v>157</v>
      </c>
      <c r="I50" s="247" t="s">
        <v>153</v>
      </c>
      <c r="J50" s="247" t="s">
        <v>38</v>
      </c>
      <c r="K50" s="137" t="s">
        <v>154</v>
      </c>
      <c r="L50" s="208">
        <v>1</v>
      </c>
      <c r="N50" s="208">
        <v>1</v>
      </c>
      <c r="O50" s="208">
        <v>0.6</v>
      </c>
      <c r="P50" s="208">
        <v>0.55000000000000004</v>
      </c>
      <c r="Q50" s="245">
        <f t="shared" si="0"/>
        <v>0.57499999999999996</v>
      </c>
      <c r="R50" s="208">
        <v>15.5</v>
      </c>
      <c r="S50" s="208">
        <v>143</v>
      </c>
      <c r="T50" s="217">
        <f t="shared" si="1"/>
        <v>30</v>
      </c>
      <c r="U50" s="208">
        <v>149</v>
      </c>
      <c r="V50" s="217">
        <f t="shared" si="2"/>
        <v>4470</v>
      </c>
      <c r="W50" s="208">
        <v>22</v>
      </c>
      <c r="X50" s="186" t="s">
        <v>46</v>
      </c>
      <c r="Y50" s="208" t="s">
        <v>90</v>
      </c>
      <c r="Z50" s="208" t="s">
        <v>50</v>
      </c>
      <c r="AA50" s="208" t="s">
        <v>84</v>
      </c>
      <c r="AB50" s="208" t="s">
        <v>330</v>
      </c>
    </row>
    <row r="51" spans="1:28" x14ac:dyDescent="0.15">
      <c r="A51" s="208" t="s">
        <v>34</v>
      </c>
      <c r="B51" s="208" t="s">
        <v>328</v>
      </c>
      <c r="C51" s="208">
        <v>2018</v>
      </c>
      <c r="D51" s="199" t="s">
        <v>483</v>
      </c>
      <c r="E51" s="208" t="s">
        <v>133</v>
      </c>
      <c r="F51" s="177" t="s">
        <v>271</v>
      </c>
      <c r="G51" s="180" t="s">
        <v>36</v>
      </c>
      <c r="H51" s="247" t="s">
        <v>157</v>
      </c>
      <c r="I51" s="247" t="s">
        <v>153</v>
      </c>
      <c r="J51" s="247" t="s">
        <v>38</v>
      </c>
      <c r="K51" s="137" t="s">
        <v>154</v>
      </c>
      <c r="L51" s="208">
        <v>2</v>
      </c>
      <c r="N51" s="208">
        <v>1</v>
      </c>
      <c r="O51" s="208">
        <v>0.55000000000000004</v>
      </c>
      <c r="P51" s="208">
        <v>0.6</v>
      </c>
      <c r="Q51" s="245">
        <f t="shared" si="0"/>
        <v>0.57499999999999996</v>
      </c>
      <c r="R51" s="208">
        <v>15.4</v>
      </c>
      <c r="S51" s="208">
        <v>156</v>
      </c>
      <c r="T51" s="217">
        <f t="shared" si="1"/>
        <v>30</v>
      </c>
      <c r="U51" s="208">
        <v>149</v>
      </c>
      <c r="V51" s="217">
        <f t="shared" si="2"/>
        <v>4470</v>
      </c>
      <c r="W51" s="208">
        <v>22</v>
      </c>
      <c r="X51" s="186" t="s">
        <v>46</v>
      </c>
      <c r="Y51" s="208" t="s">
        <v>90</v>
      </c>
      <c r="Z51" s="208" t="s">
        <v>50</v>
      </c>
      <c r="AA51" s="208" t="s">
        <v>84</v>
      </c>
      <c r="AB51" s="208" t="s">
        <v>330</v>
      </c>
    </row>
    <row r="52" spans="1:28" x14ac:dyDescent="0.15">
      <c r="A52" s="208" t="s">
        <v>34</v>
      </c>
      <c r="B52" s="208" t="s">
        <v>328</v>
      </c>
      <c r="C52" s="208">
        <v>2018</v>
      </c>
      <c r="D52" s="199" t="s">
        <v>483</v>
      </c>
      <c r="E52" s="208" t="s">
        <v>133</v>
      </c>
      <c r="F52" s="177" t="s">
        <v>271</v>
      </c>
      <c r="G52" s="180" t="s">
        <v>36</v>
      </c>
      <c r="H52" s="247" t="s">
        <v>157</v>
      </c>
      <c r="I52" s="247" t="s">
        <v>153</v>
      </c>
      <c r="J52" s="247" t="s">
        <v>38</v>
      </c>
      <c r="K52" s="137" t="s">
        <v>154</v>
      </c>
      <c r="L52" s="208">
        <v>3</v>
      </c>
      <c r="N52" s="208">
        <v>1</v>
      </c>
      <c r="O52" s="208">
        <v>0.6</v>
      </c>
      <c r="P52" s="208">
        <v>0.6</v>
      </c>
      <c r="Q52" s="245">
        <f t="shared" si="0"/>
        <v>0.6</v>
      </c>
      <c r="R52" s="208">
        <v>15.2</v>
      </c>
      <c r="S52" s="208">
        <v>149</v>
      </c>
      <c r="T52" s="217">
        <f t="shared" si="1"/>
        <v>30</v>
      </c>
      <c r="U52" s="208">
        <v>149</v>
      </c>
      <c r="V52" s="217">
        <f t="shared" si="2"/>
        <v>4470</v>
      </c>
      <c r="W52" s="208">
        <v>22</v>
      </c>
      <c r="X52" s="186" t="s">
        <v>46</v>
      </c>
      <c r="Y52" s="208" t="s">
        <v>90</v>
      </c>
      <c r="Z52" s="208" t="s">
        <v>50</v>
      </c>
      <c r="AA52" s="208" t="s">
        <v>84</v>
      </c>
      <c r="AB52" s="208" t="s">
        <v>330</v>
      </c>
    </row>
    <row r="53" spans="1:28" x14ac:dyDescent="0.15">
      <c r="A53" s="208" t="s">
        <v>34</v>
      </c>
      <c r="B53" s="208" t="s">
        <v>328</v>
      </c>
      <c r="C53" s="208">
        <v>2018</v>
      </c>
      <c r="D53" s="199" t="s">
        <v>483</v>
      </c>
      <c r="E53" s="208" t="s">
        <v>195</v>
      </c>
      <c r="F53" s="177" t="s">
        <v>274</v>
      </c>
      <c r="G53" s="180" t="s">
        <v>36</v>
      </c>
      <c r="H53" s="247" t="s">
        <v>155</v>
      </c>
      <c r="I53" s="247" t="s">
        <v>153</v>
      </c>
      <c r="J53" s="247" t="s">
        <v>38</v>
      </c>
      <c r="K53" s="137" t="s">
        <v>154</v>
      </c>
      <c r="L53" s="208">
        <v>1</v>
      </c>
      <c r="N53" s="208">
        <v>5</v>
      </c>
      <c r="O53" s="208">
        <v>0.6</v>
      </c>
      <c r="P53" s="208">
        <v>0.55000000000000004</v>
      </c>
      <c r="Q53" s="245">
        <f t="shared" si="0"/>
        <v>0.57499999999999996</v>
      </c>
      <c r="R53" s="208">
        <v>14.4</v>
      </c>
      <c r="S53" s="208">
        <v>92</v>
      </c>
      <c r="T53" s="217">
        <f t="shared" si="1"/>
        <v>36</v>
      </c>
      <c r="U53" s="208">
        <v>280</v>
      </c>
      <c r="V53" s="217">
        <f t="shared" si="2"/>
        <v>2016</v>
      </c>
      <c r="W53" s="208">
        <v>4</v>
      </c>
      <c r="X53" s="186" t="s">
        <v>46</v>
      </c>
      <c r="Y53" s="208" t="s">
        <v>78</v>
      </c>
      <c r="Z53" s="208" t="s">
        <v>90</v>
      </c>
      <c r="AA53" s="208" t="s">
        <v>84</v>
      </c>
      <c r="AB53" s="208" t="s">
        <v>330</v>
      </c>
    </row>
    <row r="54" spans="1:28" x14ac:dyDescent="0.15">
      <c r="A54" s="208" t="s">
        <v>34</v>
      </c>
      <c r="B54" s="208" t="s">
        <v>328</v>
      </c>
      <c r="C54" s="208">
        <v>2018</v>
      </c>
      <c r="D54" s="199" t="s">
        <v>483</v>
      </c>
      <c r="E54" s="208" t="s">
        <v>195</v>
      </c>
      <c r="F54" s="177" t="s">
        <v>274</v>
      </c>
      <c r="G54" s="180" t="s">
        <v>36</v>
      </c>
      <c r="H54" s="247" t="s">
        <v>155</v>
      </c>
      <c r="I54" s="247" t="s">
        <v>153</v>
      </c>
      <c r="J54" s="247" t="s">
        <v>38</v>
      </c>
      <c r="K54" s="137" t="s">
        <v>154</v>
      </c>
      <c r="L54" s="208">
        <v>2</v>
      </c>
      <c r="N54" s="208">
        <v>5</v>
      </c>
      <c r="O54" s="208">
        <v>0.35</v>
      </c>
      <c r="P54" s="208">
        <v>0.3</v>
      </c>
      <c r="Q54" s="245">
        <f t="shared" si="0"/>
        <v>0.32499999999999996</v>
      </c>
      <c r="R54" s="208">
        <v>13.2</v>
      </c>
      <c r="S54" s="208">
        <v>86</v>
      </c>
      <c r="T54" s="217">
        <f t="shared" si="1"/>
        <v>36</v>
      </c>
      <c r="U54" s="208">
        <v>280</v>
      </c>
      <c r="V54" s="217">
        <f t="shared" si="2"/>
        <v>2016</v>
      </c>
      <c r="W54" s="208">
        <v>4</v>
      </c>
      <c r="X54" s="186" t="s">
        <v>46</v>
      </c>
      <c r="Y54" s="208" t="s">
        <v>78</v>
      </c>
      <c r="Z54" s="208" t="s">
        <v>90</v>
      </c>
      <c r="AA54" s="208" t="s">
        <v>84</v>
      </c>
      <c r="AB54" s="208" t="s">
        <v>330</v>
      </c>
    </row>
    <row r="55" spans="1:28" x14ac:dyDescent="0.15">
      <c r="A55" s="208" t="s">
        <v>34</v>
      </c>
      <c r="B55" s="208" t="s">
        <v>328</v>
      </c>
      <c r="C55" s="208">
        <v>2018</v>
      </c>
      <c r="D55" s="199" t="s">
        <v>483</v>
      </c>
      <c r="E55" s="208" t="s">
        <v>195</v>
      </c>
      <c r="F55" s="177" t="s">
        <v>274</v>
      </c>
      <c r="G55" s="180" t="s">
        <v>36</v>
      </c>
      <c r="H55" s="247" t="s">
        <v>155</v>
      </c>
      <c r="I55" s="247" t="s">
        <v>153</v>
      </c>
      <c r="J55" s="247" t="s">
        <v>38</v>
      </c>
      <c r="K55" s="137" t="s">
        <v>154</v>
      </c>
      <c r="L55" s="208">
        <v>3</v>
      </c>
      <c r="N55" s="208">
        <v>5</v>
      </c>
      <c r="O55" s="208">
        <v>0.5</v>
      </c>
      <c r="P55" s="208">
        <v>0.55000000000000004</v>
      </c>
      <c r="Q55" s="245">
        <f t="shared" si="0"/>
        <v>0.52500000000000002</v>
      </c>
      <c r="R55" s="208">
        <v>14.6</v>
      </c>
      <c r="S55" s="208">
        <v>81</v>
      </c>
      <c r="T55" s="217">
        <f t="shared" si="1"/>
        <v>39</v>
      </c>
      <c r="U55" s="208">
        <v>280</v>
      </c>
      <c r="V55" s="217">
        <f t="shared" si="2"/>
        <v>2184</v>
      </c>
      <c r="W55" s="208">
        <v>4</v>
      </c>
      <c r="X55" s="186" t="s">
        <v>46</v>
      </c>
      <c r="Y55" s="208" t="s">
        <v>78</v>
      </c>
      <c r="Z55" s="208" t="s">
        <v>90</v>
      </c>
      <c r="AA55" s="208" t="s">
        <v>84</v>
      </c>
      <c r="AB55" s="208" t="s">
        <v>330</v>
      </c>
    </row>
    <row r="56" spans="1:28" x14ac:dyDescent="0.15">
      <c r="A56" s="208" t="s">
        <v>34</v>
      </c>
      <c r="B56" s="208" t="s">
        <v>328</v>
      </c>
      <c r="C56" s="208">
        <v>2018</v>
      </c>
      <c r="D56" s="199" t="s">
        <v>483</v>
      </c>
      <c r="E56" s="208" t="s">
        <v>195</v>
      </c>
      <c r="F56" s="177" t="s">
        <v>274</v>
      </c>
      <c r="G56" s="180" t="s">
        <v>36</v>
      </c>
      <c r="H56" s="247" t="s">
        <v>157</v>
      </c>
      <c r="I56" s="247" t="s">
        <v>153</v>
      </c>
      <c r="J56" s="247" t="s">
        <v>38</v>
      </c>
      <c r="K56" s="137" t="s">
        <v>154</v>
      </c>
      <c r="L56" s="208">
        <v>1</v>
      </c>
      <c r="N56" s="208">
        <v>1</v>
      </c>
      <c r="O56" s="208">
        <v>0.7</v>
      </c>
      <c r="P56" s="208">
        <v>0.6</v>
      </c>
      <c r="Q56" s="245">
        <f t="shared" si="0"/>
        <v>0.64999999999999991</v>
      </c>
      <c r="R56" s="208">
        <v>15</v>
      </c>
      <c r="S56" s="208">
        <v>164</v>
      </c>
      <c r="T56" s="217">
        <f t="shared" si="1"/>
        <v>30</v>
      </c>
      <c r="U56" s="208">
        <v>158</v>
      </c>
      <c r="V56" s="217">
        <f t="shared" si="2"/>
        <v>4740</v>
      </c>
      <c r="W56" s="208">
        <v>4</v>
      </c>
      <c r="X56" s="186" t="s">
        <v>46</v>
      </c>
      <c r="Y56" s="208" t="s">
        <v>78</v>
      </c>
      <c r="Z56" s="208" t="s">
        <v>90</v>
      </c>
      <c r="AA56" s="208" t="s">
        <v>84</v>
      </c>
      <c r="AB56" s="208" t="s">
        <v>330</v>
      </c>
    </row>
    <row r="57" spans="1:28" x14ac:dyDescent="0.15">
      <c r="A57" s="208" t="s">
        <v>34</v>
      </c>
      <c r="B57" s="208" t="s">
        <v>328</v>
      </c>
      <c r="C57" s="208">
        <v>2018</v>
      </c>
      <c r="D57" s="199" t="s">
        <v>483</v>
      </c>
      <c r="E57" s="208" t="s">
        <v>195</v>
      </c>
      <c r="F57" s="177" t="s">
        <v>274</v>
      </c>
      <c r="G57" s="180" t="s">
        <v>36</v>
      </c>
      <c r="H57" s="247" t="s">
        <v>157</v>
      </c>
      <c r="I57" s="247" t="s">
        <v>153</v>
      </c>
      <c r="J57" s="247" t="s">
        <v>38</v>
      </c>
      <c r="K57" s="137" t="s">
        <v>154</v>
      </c>
      <c r="L57" s="208">
        <v>2</v>
      </c>
      <c r="N57" s="208">
        <v>1</v>
      </c>
      <c r="O57" s="208">
        <v>0.5</v>
      </c>
      <c r="P57" s="208">
        <v>0.55000000000000004</v>
      </c>
      <c r="Q57" s="245">
        <f t="shared" si="0"/>
        <v>0.52500000000000002</v>
      </c>
      <c r="R57" s="208">
        <v>14.5</v>
      </c>
      <c r="S57" s="208">
        <v>155</v>
      </c>
      <c r="T57" s="217">
        <f t="shared" si="1"/>
        <v>30</v>
      </c>
      <c r="U57" s="208">
        <v>158</v>
      </c>
      <c r="V57" s="217">
        <f t="shared" si="2"/>
        <v>4740</v>
      </c>
      <c r="W57" s="208">
        <v>4</v>
      </c>
      <c r="X57" s="186" t="s">
        <v>46</v>
      </c>
      <c r="Y57" s="208" t="s">
        <v>78</v>
      </c>
      <c r="Z57" s="208" t="s">
        <v>90</v>
      </c>
      <c r="AA57" s="208" t="s">
        <v>84</v>
      </c>
      <c r="AB57" s="208" t="s">
        <v>330</v>
      </c>
    </row>
    <row r="58" spans="1:28" x14ac:dyDescent="0.15">
      <c r="A58" s="208" t="s">
        <v>34</v>
      </c>
      <c r="B58" s="208" t="s">
        <v>328</v>
      </c>
      <c r="C58" s="208">
        <v>2018</v>
      </c>
      <c r="D58" s="199" t="s">
        <v>483</v>
      </c>
      <c r="E58" s="208" t="s">
        <v>195</v>
      </c>
      <c r="F58" s="177" t="s">
        <v>274</v>
      </c>
      <c r="G58" s="180" t="s">
        <v>36</v>
      </c>
      <c r="H58" s="247" t="s">
        <v>157</v>
      </c>
      <c r="I58" s="247" t="s">
        <v>153</v>
      </c>
      <c r="J58" s="247" t="s">
        <v>38</v>
      </c>
      <c r="K58" s="137" t="s">
        <v>154</v>
      </c>
      <c r="L58" s="208">
        <v>3</v>
      </c>
      <c r="N58" s="208">
        <v>1</v>
      </c>
      <c r="O58" s="208">
        <v>0.55000000000000004</v>
      </c>
      <c r="P58" s="208">
        <v>0.6</v>
      </c>
      <c r="Q58" s="245">
        <f t="shared" si="0"/>
        <v>0.57499999999999996</v>
      </c>
      <c r="R58" s="208">
        <v>14.1</v>
      </c>
      <c r="S58" s="208">
        <v>153</v>
      </c>
      <c r="T58" s="217">
        <f t="shared" si="1"/>
        <v>30</v>
      </c>
      <c r="U58" s="208">
        <v>158</v>
      </c>
      <c r="V58" s="217">
        <f t="shared" si="2"/>
        <v>4740</v>
      </c>
      <c r="W58" s="208">
        <v>4</v>
      </c>
      <c r="X58" s="186" t="s">
        <v>46</v>
      </c>
      <c r="Y58" s="208" t="s">
        <v>78</v>
      </c>
      <c r="Z58" s="208" t="s">
        <v>90</v>
      </c>
      <c r="AA58" s="208" t="s">
        <v>84</v>
      </c>
      <c r="AB58" s="208" t="s">
        <v>330</v>
      </c>
    </row>
    <row r="59" spans="1:28" x14ac:dyDescent="0.15">
      <c r="D59" s="199"/>
      <c r="F59" s="177"/>
      <c r="G59" s="180"/>
      <c r="H59" s="247"/>
      <c r="I59" s="247"/>
      <c r="J59" s="247"/>
      <c r="K59" s="137"/>
      <c r="Q59" s="245" t="str">
        <f t="shared" si="0"/>
        <v/>
      </c>
      <c r="T59" s="217" t="str">
        <f t="shared" si="1"/>
        <v/>
      </c>
      <c r="V59" s="217" t="str">
        <f t="shared" si="2"/>
        <v/>
      </c>
      <c r="X59" s="186"/>
    </row>
    <row r="60" spans="1:28" x14ac:dyDescent="0.15">
      <c r="D60" s="199"/>
      <c r="F60" s="177"/>
      <c r="G60" s="180"/>
      <c r="H60" s="247"/>
      <c r="I60" s="247"/>
      <c r="J60" s="247"/>
      <c r="K60" s="137"/>
      <c r="Q60" s="245" t="str">
        <f t="shared" si="0"/>
        <v/>
      </c>
      <c r="T60" s="217" t="str">
        <f t="shared" si="1"/>
        <v/>
      </c>
      <c r="V60" s="217" t="str">
        <f t="shared" si="2"/>
        <v/>
      </c>
      <c r="X60" s="186"/>
    </row>
    <row r="61" spans="1:28" x14ac:dyDescent="0.15">
      <c r="D61" s="199"/>
      <c r="F61" s="177"/>
      <c r="G61" s="180"/>
      <c r="H61" s="247"/>
      <c r="I61" s="247"/>
      <c r="J61" s="247"/>
      <c r="K61" s="137"/>
      <c r="Q61" s="245" t="str">
        <f t="shared" si="0"/>
        <v/>
      </c>
      <c r="T61" s="217" t="str">
        <f t="shared" si="1"/>
        <v/>
      </c>
      <c r="V61" s="217" t="str">
        <f t="shared" si="2"/>
        <v/>
      </c>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85" zoomScaleNormal="85" workbookViewId="0">
      <selection activeCell="K13" sqref="K13"/>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2</v>
      </c>
      <c r="D1" s="203" t="s">
        <v>3</v>
      </c>
      <c r="E1" s="241" t="s">
        <v>4</v>
      </c>
      <c r="F1" s="241" t="s">
        <v>5</v>
      </c>
      <c r="G1" s="241" t="s">
        <v>6</v>
      </c>
      <c r="H1" s="241" t="s">
        <v>7</v>
      </c>
      <c r="I1" s="241" t="s">
        <v>8</v>
      </c>
      <c r="J1" s="241" t="s">
        <v>9</v>
      </c>
      <c r="K1" s="241" t="s">
        <v>10</v>
      </c>
      <c r="L1" s="203" t="s">
        <v>11</v>
      </c>
      <c r="M1" s="203" t="s">
        <v>12</v>
      </c>
      <c r="N1" s="203" t="s">
        <v>13</v>
      </c>
      <c r="O1" s="203" t="s">
        <v>14</v>
      </c>
      <c r="P1" s="203" t="s">
        <v>247</v>
      </c>
      <c r="Q1" s="204" t="s">
        <v>16</v>
      </c>
      <c r="R1" s="203" t="s">
        <v>17</v>
      </c>
      <c r="S1" s="203" t="s">
        <v>18</v>
      </c>
      <c r="T1" s="204" t="s">
        <v>19</v>
      </c>
      <c r="U1" s="205" t="s">
        <v>248</v>
      </c>
      <c r="V1" s="206" t="s">
        <v>20</v>
      </c>
      <c r="W1" s="203" t="s">
        <v>21</v>
      </c>
      <c r="X1" s="241" t="s">
        <v>22</v>
      </c>
      <c r="Y1" s="241" t="s">
        <v>23</v>
      </c>
      <c r="Z1" s="241" t="s">
        <v>310</v>
      </c>
      <c r="AA1" s="242" t="s">
        <v>25</v>
      </c>
      <c r="AB1" s="207" t="s">
        <v>26</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249</v>
      </c>
      <c r="AY1" s="214" t="s">
        <v>265</v>
      </c>
      <c r="AZ1" s="214" t="s">
        <v>32</v>
      </c>
      <c r="BA1" s="215" t="s">
        <v>266</v>
      </c>
    </row>
    <row r="2" spans="1:53" s="216" customFormat="1" x14ac:dyDescent="0.15">
      <c r="A2" s="216" t="s">
        <v>34</v>
      </c>
      <c r="B2" s="208" t="s">
        <v>328</v>
      </c>
      <c r="C2" s="208">
        <v>2018</v>
      </c>
      <c r="D2" s="250" t="s">
        <v>389</v>
      </c>
      <c r="E2" s="237" t="s">
        <v>195</v>
      </c>
      <c r="F2" s="237" t="s">
        <v>320</v>
      </c>
      <c r="G2" s="216" t="s">
        <v>36</v>
      </c>
      <c r="H2" s="208" t="s">
        <v>155</v>
      </c>
      <c r="I2" s="216" t="s">
        <v>153</v>
      </c>
      <c r="J2" s="216" t="s">
        <v>38</v>
      </c>
      <c r="K2" s="216" t="s">
        <v>154</v>
      </c>
      <c r="L2" s="216">
        <v>1</v>
      </c>
      <c r="N2" s="216">
        <v>1</v>
      </c>
      <c r="O2" s="216">
        <v>0.65</v>
      </c>
      <c r="P2" s="216">
        <v>0.65</v>
      </c>
      <c r="Q2" s="245">
        <f t="shared" ref="Q2:Q83" si="0">IF(OR(O2="",P2=""),"",AVERAGE(O2,P2))</f>
        <v>0.65</v>
      </c>
      <c r="R2" s="216">
        <v>12.5</v>
      </c>
      <c r="S2" s="216">
        <v>151</v>
      </c>
      <c r="T2" s="217">
        <f t="shared" ref="T2:T83" si="1">IF(H2="","",IF(OR(H2="GREEN",H2="GK"),IF(S2&gt;=$AX$2,VLOOKUP(S2,$AX$2:$AY$9,2,1),""),IF(S2&gt;=$AZ$2,VLOOKUP(S2,$AZ$2:$BA$9,2,1),"")))</f>
        <v>30</v>
      </c>
      <c r="U2" s="216">
        <v>105</v>
      </c>
      <c r="V2" s="217">
        <f t="shared" ref="V2:V83" si="2">IF(OR(N2="",U2="",T2=""),"",U2/N2*T2)</f>
        <v>3150</v>
      </c>
      <c r="W2" s="216">
        <v>4</v>
      </c>
      <c r="X2" s="216" t="s">
        <v>39</v>
      </c>
      <c r="Y2" s="216" t="s">
        <v>78</v>
      </c>
      <c r="Z2" s="216" t="s">
        <v>84</v>
      </c>
      <c r="AA2" s="216" t="s">
        <v>90</v>
      </c>
      <c r="AB2" s="216" t="s">
        <v>330</v>
      </c>
      <c r="AE2" s="218" t="s">
        <v>35</v>
      </c>
      <c r="AG2" s="251" t="s">
        <v>276</v>
      </c>
      <c r="AH2" s="243" t="s">
        <v>311</v>
      </c>
      <c r="AJ2" s="219" t="s">
        <v>36</v>
      </c>
      <c r="AL2" s="219" t="s">
        <v>127</v>
      </c>
      <c r="AN2" s="219" t="s">
        <v>37</v>
      </c>
      <c r="AP2" s="219" t="s">
        <v>38</v>
      </c>
      <c r="AR2" s="219" t="s">
        <v>120</v>
      </c>
      <c r="AT2" s="219" t="s">
        <v>39</v>
      </c>
      <c r="AV2" s="248" t="s">
        <v>40</v>
      </c>
      <c r="AX2" s="220">
        <v>1</v>
      </c>
      <c r="AY2" s="221">
        <v>50</v>
      </c>
      <c r="AZ2" s="221">
        <v>1</v>
      </c>
      <c r="BA2" s="222">
        <v>50</v>
      </c>
    </row>
    <row r="3" spans="1:53" x14ac:dyDescent="0.15">
      <c r="A3" s="216" t="s">
        <v>34</v>
      </c>
      <c r="B3" s="208" t="s">
        <v>328</v>
      </c>
      <c r="C3" s="208">
        <v>2018</v>
      </c>
      <c r="D3" s="250" t="s">
        <v>389</v>
      </c>
      <c r="E3" s="237" t="s">
        <v>195</v>
      </c>
      <c r="F3" s="237" t="s">
        <v>320</v>
      </c>
      <c r="G3" s="216" t="s">
        <v>36</v>
      </c>
      <c r="H3" s="208" t="s">
        <v>155</v>
      </c>
      <c r="I3" s="216" t="s">
        <v>153</v>
      </c>
      <c r="J3" s="216" t="s">
        <v>38</v>
      </c>
      <c r="K3" s="216" t="s">
        <v>154</v>
      </c>
      <c r="L3" s="208">
        <v>2</v>
      </c>
      <c r="N3" s="208">
        <v>1</v>
      </c>
      <c r="O3" s="208">
        <v>0.75</v>
      </c>
      <c r="P3" s="208">
        <v>0.85</v>
      </c>
      <c r="Q3" s="245">
        <f t="shared" si="0"/>
        <v>0.8</v>
      </c>
      <c r="R3" s="208">
        <v>12.9</v>
      </c>
      <c r="S3" s="208">
        <v>146</v>
      </c>
      <c r="T3" s="217">
        <f t="shared" si="1"/>
        <v>30</v>
      </c>
      <c r="U3" s="208">
        <v>105</v>
      </c>
      <c r="V3" s="217">
        <f t="shared" si="2"/>
        <v>3150</v>
      </c>
      <c r="W3" s="216">
        <v>4</v>
      </c>
      <c r="X3" s="216" t="s">
        <v>39</v>
      </c>
      <c r="Y3" s="216" t="s">
        <v>78</v>
      </c>
      <c r="Z3" s="216" t="s">
        <v>84</v>
      </c>
      <c r="AA3" s="216" t="s">
        <v>90</v>
      </c>
      <c r="AB3" s="216" t="s">
        <v>330</v>
      </c>
      <c r="AC3" s="216"/>
      <c r="AE3" s="223" t="s">
        <v>41</v>
      </c>
      <c r="AG3" s="252" t="s">
        <v>312</v>
      </c>
      <c r="AH3" s="243" t="s">
        <v>313</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328</v>
      </c>
      <c r="C4" s="208">
        <v>2018</v>
      </c>
      <c r="D4" s="250" t="s">
        <v>389</v>
      </c>
      <c r="E4" s="237" t="s">
        <v>195</v>
      </c>
      <c r="F4" s="237" t="s">
        <v>320</v>
      </c>
      <c r="G4" s="216" t="s">
        <v>36</v>
      </c>
      <c r="H4" s="208" t="s">
        <v>155</v>
      </c>
      <c r="I4" s="216" t="s">
        <v>153</v>
      </c>
      <c r="J4" s="216" t="s">
        <v>38</v>
      </c>
      <c r="K4" s="216" t="s">
        <v>154</v>
      </c>
      <c r="L4" s="208">
        <v>3</v>
      </c>
      <c r="N4" s="208">
        <v>1</v>
      </c>
      <c r="O4" s="208">
        <v>0.75</v>
      </c>
      <c r="P4" s="208">
        <v>0.65</v>
      </c>
      <c r="Q4" s="245">
        <f t="shared" si="0"/>
        <v>0.7</v>
      </c>
      <c r="R4" s="208">
        <v>13.5</v>
      </c>
      <c r="S4" s="208">
        <v>136</v>
      </c>
      <c r="T4" s="217">
        <f t="shared" si="1"/>
        <v>30</v>
      </c>
      <c r="U4" s="208">
        <v>105</v>
      </c>
      <c r="V4" s="217">
        <f t="shared" si="2"/>
        <v>3150</v>
      </c>
      <c r="W4" s="208">
        <v>4</v>
      </c>
      <c r="X4" s="216" t="s">
        <v>39</v>
      </c>
      <c r="Y4" s="216" t="s">
        <v>78</v>
      </c>
      <c r="Z4" s="216" t="s">
        <v>84</v>
      </c>
      <c r="AA4" s="216" t="s">
        <v>90</v>
      </c>
      <c r="AB4" s="216" t="s">
        <v>330</v>
      </c>
      <c r="AC4" s="216"/>
      <c r="AE4" s="223" t="s">
        <v>34</v>
      </c>
      <c r="AG4" s="252" t="s">
        <v>314</v>
      </c>
      <c r="AH4" s="243" t="s">
        <v>315</v>
      </c>
      <c r="AJ4" s="228" t="s">
        <v>48</v>
      </c>
      <c r="AL4" s="228" t="s">
        <v>129</v>
      </c>
      <c r="AN4" s="229" t="s">
        <v>49</v>
      </c>
      <c r="AP4" s="224" t="s">
        <v>163</v>
      </c>
      <c r="AR4" s="238" t="s">
        <v>121</v>
      </c>
      <c r="AT4" s="229"/>
      <c r="AV4" s="224" t="s">
        <v>50</v>
      </c>
      <c r="AX4" s="225">
        <v>75</v>
      </c>
      <c r="AY4" s="226">
        <v>42</v>
      </c>
      <c r="AZ4" s="226">
        <v>76</v>
      </c>
      <c r="BA4" s="227">
        <v>39</v>
      </c>
    </row>
    <row r="5" spans="1:53" x14ac:dyDescent="0.15">
      <c r="A5" s="216" t="s">
        <v>34</v>
      </c>
      <c r="B5" s="208" t="s">
        <v>328</v>
      </c>
      <c r="C5" s="208">
        <v>2018</v>
      </c>
      <c r="D5" s="250" t="s">
        <v>389</v>
      </c>
      <c r="E5" s="237" t="s">
        <v>195</v>
      </c>
      <c r="F5" s="237" t="s">
        <v>320</v>
      </c>
      <c r="G5" s="216" t="s">
        <v>36</v>
      </c>
      <c r="H5" s="208" t="s">
        <v>155</v>
      </c>
      <c r="I5" s="216" t="s">
        <v>153</v>
      </c>
      <c r="J5" s="216" t="s">
        <v>38</v>
      </c>
      <c r="K5" s="216" t="s">
        <v>154</v>
      </c>
      <c r="L5" s="216">
        <v>1</v>
      </c>
      <c r="N5" s="208">
        <v>5</v>
      </c>
      <c r="O5" s="208">
        <v>0.75</v>
      </c>
      <c r="P5" s="208">
        <v>0.65</v>
      </c>
      <c r="Q5" s="245">
        <f t="shared" si="0"/>
        <v>0.7</v>
      </c>
      <c r="R5" s="208">
        <v>14.4</v>
      </c>
      <c r="S5" s="208">
        <v>83</v>
      </c>
      <c r="T5" s="217">
        <f t="shared" si="1"/>
        <v>39</v>
      </c>
      <c r="U5" s="208">
        <v>302</v>
      </c>
      <c r="V5" s="217">
        <f t="shared" si="2"/>
        <v>2355.6</v>
      </c>
      <c r="W5" s="208">
        <v>4</v>
      </c>
      <c r="X5" s="216" t="s">
        <v>39</v>
      </c>
      <c r="Y5" s="216" t="s">
        <v>78</v>
      </c>
      <c r="Z5" s="216" t="s">
        <v>84</v>
      </c>
      <c r="AA5" s="216" t="s">
        <v>90</v>
      </c>
      <c r="AB5" s="216" t="s">
        <v>330</v>
      </c>
      <c r="AE5" s="223" t="s">
        <v>51</v>
      </c>
      <c r="AG5" s="252" t="s">
        <v>316</v>
      </c>
      <c r="AH5" s="243" t="s">
        <v>317</v>
      </c>
      <c r="AJ5" s="229"/>
      <c r="AL5" s="230" t="s">
        <v>66</v>
      </c>
      <c r="AN5" s="230" t="s">
        <v>252</v>
      </c>
      <c r="AP5" s="224" t="s">
        <v>119</v>
      </c>
      <c r="AR5" s="238" t="s">
        <v>54</v>
      </c>
      <c r="AV5" s="224" t="s">
        <v>55</v>
      </c>
      <c r="AX5" s="225">
        <v>84</v>
      </c>
      <c r="AY5" s="226">
        <v>39</v>
      </c>
      <c r="AZ5" s="226">
        <v>84</v>
      </c>
      <c r="BA5" s="227">
        <v>36</v>
      </c>
    </row>
    <row r="6" spans="1:53" x14ac:dyDescent="0.15">
      <c r="A6" s="216" t="s">
        <v>34</v>
      </c>
      <c r="B6" s="208" t="s">
        <v>328</v>
      </c>
      <c r="C6" s="208">
        <v>2018</v>
      </c>
      <c r="D6" s="250" t="s">
        <v>389</v>
      </c>
      <c r="E6" s="237" t="s">
        <v>195</v>
      </c>
      <c r="F6" s="237" t="s">
        <v>320</v>
      </c>
      <c r="G6" s="216" t="s">
        <v>36</v>
      </c>
      <c r="H6" s="208" t="s">
        <v>155</v>
      </c>
      <c r="I6" s="216" t="s">
        <v>153</v>
      </c>
      <c r="J6" s="216" t="s">
        <v>38</v>
      </c>
      <c r="K6" s="216" t="s">
        <v>154</v>
      </c>
      <c r="L6" s="208">
        <v>2</v>
      </c>
      <c r="N6" s="208">
        <v>5</v>
      </c>
      <c r="O6" s="208">
        <v>0.6</v>
      </c>
      <c r="P6" s="208">
        <v>0.45</v>
      </c>
      <c r="Q6" s="245">
        <f t="shared" si="0"/>
        <v>0.52500000000000002</v>
      </c>
      <c r="R6" s="208">
        <v>12.5</v>
      </c>
      <c r="S6" s="208">
        <v>88</v>
      </c>
      <c r="T6" s="217">
        <f t="shared" si="1"/>
        <v>36</v>
      </c>
      <c r="U6" s="208">
        <v>302</v>
      </c>
      <c r="V6" s="217">
        <f t="shared" si="2"/>
        <v>2174.4</v>
      </c>
      <c r="W6" s="208">
        <v>4</v>
      </c>
      <c r="X6" s="216" t="s">
        <v>39</v>
      </c>
      <c r="Y6" s="216" t="s">
        <v>78</v>
      </c>
      <c r="Z6" s="216" t="s">
        <v>84</v>
      </c>
      <c r="AA6" s="216" t="s">
        <v>90</v>
      </c>
      <c r="AB6" s="216" t="s">
        <v>330</v>
      </c>
      <c r="AE6" s="223" t="s">
        <v>56</v>
      </c>
      <c r="AG6" s="252" t="s">
        <v>318</v>
      </c>
      <c r="AH6" s="243" t="s">
        <v>319</v>
      </c>
      <c r="AL6" s="230" t="s">
        <v>237</v>
      </c>
      <c r="AN6" s="230" t="s">
        <v>57</v>
      </c>
      <c r="AP6" s="224" t="s">
        <v>53</v>
      </c>
      <c r="AR6" s="238" t="s">
        <v>59</v>
      </c>
      <c r="AV6" s="224" t="s">
        <v>60</v>
      </c>
      <c r="AX6" s="225">
        <v>97</v>
      </c>
      <c r="AY6" s="226">
        <v>36</v>
      </c>
      <c r="AZ6" s="226">
        <v>99</v>
      </c>
      <c r="BA6" s="227">
        <v>33</v>
      </c>
    </row>
    <row r="7" spans="1:53" x14ac:dyDescent="0.15">
      <c r="A7" s="216" t="s">
        <v>34</v>
      </c>
      <c r="B7" s="208" t="s">
        <v>328</v>
      </c>
      <c r="C7" s="208">
        <v>2018</v>
      </c>
      <c r="D7" s="250" t="s">
        <v>389</v>
      </c>
      <c r="E7" s="237" t="s">
        <v>195</v>
      </c>
      <c r="F7" s="237" t="s">
        <v>320</v>
      </c>
      <c r="G7" s="216" t="s">
        <v>36</v>
      </c>
      <c r="H7" s="208" t="s">
        <v>155</v>
      </c>
      <c r="I7" s="216" t="s">
        <v>153</v>
      </c>
      <c r="J7" s="216" t="s">
        <v>38</v>
      </c>
      <c r="K7" s="216" t="s">
        <v>154</v>
      </c>
      <c r="L7" s="208">
        <v>3</v>
      </c>
      <c r="N7" s="208">
        <v>5</v>
      </c>
      <c r="O7" s="208">
        <v>0.7</v>
      </c>
      <c r="P7" s="208">
        <v>0.5</v>
      </c>
      <c r="Q7" s="245">
        <f t="shared" si="0"/>
        <v>0.6</v>
      </c>
      <c r="R7" s="208">
        <v>10.199999999999999</v>
      </c>
      <c r="S7" s="208">
        <v>84</v>
      </c>
      <c r="T7" s="217">
        <f t="shared" si="1"/>
        <v>36</v>
      </c>
      <c r="U7" s="208">
        <v>302</v>
      </c>
      <c r="V7" s="217">
        <f t="shared" si="2"/>
        <v>2174.4</v>
      </c>
      <c r="W7" s="208">
        <v>4</v>
      </c>
      <c r="X7" s="216" t="s">
        <v>39</v>
      </c>
      <c r="Y7" s="216" t="s">
        <v>78</v>
      </c>
      <c r="Z7" s="216" t="s">
        <v>84</v>
      </c>
      <c r="AA7" s="216" t="s">
        <v>90</v>
      </c>
      <c r="AB7" s="216" t="s">
        <v>330</v>
      </c>
      <c r="AE7" s="223" t="s">
        <v>61</v>
      </c>
      <c r="AG7" s="252" t="s">
        <v>195</v>
      </c>
      <c r="AH7" s="243" t="s">
        <v>320</v>
      </c>
      <c r="AL7" s="235" t="s">
        <v>275</v>
      </c>
      <c r="AP7" s="224" t="s">
        <v>58</v>
      </c>
      <c r="AR7" s="231" t="s">
        <v>122</v>
      </c>
      <c r="AV7" s="224" t="s">
        <v>64</v>
      </c>
      <c r="AX7" s="225">
        <v>109</v>
      </c>
      <c r="AY7" s="226">
        <v>33</v>
      </c>
      <c r="AZ7" s="226">
        <v>113</v>
      </c>
      <c r="BA7" s="227">
        <v>30</v>
      </c>
    </row>
    <row r="8" spans="1:53" x14ac:dyDescent="0.15">
      <c r="A8" s="216" t="s">
        <v>34</v>
      </c>
      <c r="B8" s="208" t="s">
        <v>328</v>
      </c>
      <c r="C8" s="208">
        <v>2018</v>
      </c>
      <c r="D8" s="250" t="s">
        <v>402</v>
      </c>
      <c r="E8" s="237" t="s">
        <v>195</v>
      </c>
      <c r="F8" s="237" t="s">
        <v>320</v>
      </c>
      <c r="G8" s="216" t="s">
        <v>36</v>
      </c>
      <c r="H8" s="208" t="s">
        <v>157</v>
      </c>
      <c r="I8" s="216" t="s">
        <v>153</v>
      </c>
      <c r="J8" s="216" t="s">
        <v>38</v>
      </c>
      <c r="K8" s="216" t="s">
        <v>154</v>
      </c>
      <c r="L8" s="216">
        <v>1</v>
      </c>
      <c r="N8" s="208">
        <v>1</v>
      </c>
      <c r="O8" s="208">
        <v>0.55000000000000004</v>
      </c>
      <c r="P8" s="208">
        <v>0.45</v>
      </c>
      <c r="Q8" s="245">
        <f t="shared" si="0"/>
        <v>0.5</v>
      </c>
      <c r="R8" s="208">
        <v>14</v>
      </c>
      <c r="S8" s="208">
        <v>153</v>
      </c>
      <c r="T8" s="217">
        <f t="shared" si="1"/>
        <v>18</v>
      </c>
      <c r="U8" s="208">
        <v>149</v>
      </c>
      <c r="V8" s="217">
        <f t="shared" si="2"/>
        <v>2682</v>
      </c>
      <c r="W8" s="208">
        <v>4</v>
      </c>
      <c r="X8" s="216" t="s">
        <v>39</v>
      </c>
      <c r="Y8" s="216" t="s">
        <v>78</v>
      </c>
      <c r="Z8" s="216" t="s">
        <v>84</v>
      </c>
      <c r="AA8" s="216" t="s">
        <v>90</v>
      </c>
      <c r="AB8" s="216" t="s">
        <v>330</v>
      </c>
      <c r="AE8" s="223" t="s">
        <v>59</v>
      </c>
      <c r="AG8" s="252" t="s">
        <v>321</v>
      </c>
      <c r="AH8" s="243" t="s">
        <v>322</v>
      </c>
      <c r="AL8" s="235" t="s">
        <v>350</v>
      </c>
      <c r="AP8" s="224" t="s">
        <v>62</v>
      </c>
      <c r="AR8" s="238" t="s">
        <v>81</v>
      </c>
      <c r="AV8" s="224" t="s">
        <v>97</v>
      </c>
      <c r="AX8" s="225">
        <v>151</v>
      </c>
      <c r="AY8" s="226">
        <v>22</v>
      </c>
      <c r="AZ8" s="226">
        <v>152</v>
      </c>
      <c r="BA8" s="227">
        <v>18</v>
      </c>
    </row>
    <row r="9" spans="1:53" x14ac:dyDescent="0.15">
      <c r="A9" s="216" t="s">
        <v>34</v>
      </c>
      <c r="B9" s="208" t="s">
        <v>328</v>
      </c>
      <c r="C9" s="208">
        <v>2018</v>
      </c>
      <c r="D9" s="250" t="s">
        <v>402</v>
      </c>
      <c r="E9" s="237" t="s">
        <v>195</v>
      </c>
      <c r="F9" s="237" t="s">
        <v>320</v>
      </c>
      <c r="G9" s="216" t="s">
        <v>36</v>
      </c>
      <c r="H9" s="208" t="s">
        <v>157</v>
      </c>
      <c r="I9" s="216" t="s">
        <v>153</v>
      </c>
      <c r="J9" s="216" t="s">
        <v>38</v>
      </c>
      <c r="K9" s="216" t="s">
        <v>154</v>
      </c>
      <c r="L9" s="208">
        <v>2</v>
      </c>
      <c r="N9" s="208">
        <v>1</v>
      </c>
      <c r="O9" s="208">
        <v>0.5</v>
      </c>
      <c r="P9" s="208">
        <v>0.5</v>
      </c>
      <c r="Q9" s="245">
        <f t="shared" si="0"/>
        <v>0.5</v>
      </c>
      <c r="R9" s="208">
        <v>15.7</v>
      </c>
      <c r="S9" s="208">
        <v>160</v>
      </c>
      <c r="T9" s="217">
        <f t="shared" si="1"/>
        <v>18</v>
      </c>
      <c r="U9" s="208">
        <v>149</v>
      </c>
      <c r="V9" s="217">
        <f t="shared" si="2"/>
        <v>2682</v>
      </c>
      <c r="W9" s="208">
        <v>4</v>
      </c>
      <c r="X9" s="216" t="s">
        <v>39</v>
      </c>
      <c r="Y9" s="216" t="s">
        <v>78</v>
      </c>
      <c r="Z9" s="216" t="s">
        <v>84</v>
      </c>
      <c r="AA9" s="216" t="s">
        <v>90</v>
      </c>
      <c r="AB9" s="216" t="s">
        <v>330</v>
      </c>
      <c r="AE9" s="223" t="s">
        <v>98</v>
      </c>
      <c r="AG9" s="252" t="s">
        <v>279</v>
      </c>
      <c r="AH9" s="243" t="s">
        <v>323</v>
      </c>
      <c r="AL9" s="230"/>
      <c r="AP9" s="224" t="s">
        <v>95</v>
      </c>
      <c r="AR9" s="231" t="s">
        <v>89</v>
      </c>
      <c r="AV9" s="224" t="s">
        <v>102</v>
      </c>
      <c r="AX9" s="232">
        <v>180</v>
      </c>
      <c r="AY9" s="233">
        <v>18</v>
      </c>
      <c r="AZ9" s="233">
        <v>181</v>
      </c>
      <c r="BA9" s="234">
        <v>16</v>
      </c>
    </row>
    <row r="10" spans="1:53" x14ac:dyDescent="0.15">
      <c r="A10" s="216" t="s">
        <v>34</v>
      </c>
      <c r="B10" s="208" t="s">
        <v>328</v>
      </c>
      <c r="C10" s="208">
        <v>2018</v>
      </c>
      <c r="D10" s="250" t="s">
        <v>404</v>
      </c>
      <c r="E10" s="237" t="s">
        <v>195</v>
      </c>
      <c r="F10" s="237" t="s">
        <v>320</v>
      </c>
      <c r="G10" s="216" t="s">
        <v>36</v>
      </c>
      <c r="H10" s="208" t="s">
        <v>157</v>
      </c>
      <c r="I10" s="216" t="s">
        <v>153</v>
      </c>
      <c r="J10" s="216" t="s">
        <v>38</v>
      </c>
      <c r="K10" s="216" t="s">
        <v>154</v>
      </c>
      <c r="L10" s="208">
        <v>3</v>
      </c>
      <c r="N10" s="208">
        <v>1</v>
      </c>
      <c r="O10" s="208">
        <v>0.45</v>
      </c>
      <c r="P10" s="208">
        <v>0.45</v>
      </c>
      <c r="Q10" s="245">
        <f t="shared" si="0"/>
        <v>0.45</v>
      </c>
      <c r="R10" s="208">
        <v>16.2</v>
      </c>
      <c r="S10" s="208">
        <v>159</v>
      </c>
      <c r="T10" s="217">
        <f t="shared" si="1"/>
        <v>18</v>
      </c>
      <c r="U10" s="208">
        <v>149</v>
      </c>
      <c r="V10" s="217">
        <f t="shared" si="2"/>
        <v>2682</v>
      </c>
      <c r="W10" s="208">
        <v>4</v>
      </c>
      <c r="X10" s="216" t="s">
        <v>39</v>
      </c>
      <c r="Y10" s="216" t="s">
        <v>78</v>
      </c>
      <c r="Z10" s="216" t="s">
        <v>84</v>
      </c>
      <c r="AA10" s="216" t="s">
        <v>90</v>
      </c>
      <c r="AB10" s="216" t="s">
        <v>330</v>
      </c>
      <c r="AE10" s="223" t="s">
        <v>103</v>
      </c>
      <c r="AG10" s="252" t="s">
        <v>324</v>
      </c>
      <c r="AH10" s="243" t="s">
        <v>325</v>
      </c>
      <c r="AL10" s="235"/>
      <c r="AP10" s="224" t="s">
        <v>100</v>
      </c>
      <c r="AR10" s="231" t="s">
        <v>123</v>
      </c>
      <c r="AV10" s="224" t="s">
        <v>106</v>
      </c>
    </row>
    <row r="11" spans="1:53" x14ac:dyDescent="0.15">
      <c r="A11" s="216" t="s">
        <v>34</v>
      </c>
      <c r="B11" s="208" t="s">
        <v>328</v>
      </c>
      <c r="C11" s="208">
        <v>2018</v>
      </c>
      <c r="D11" s="250" t="s">
        <v>404</v>
      </c>
      <c r="E11" s="237" t="s">
        <v>324</v>
      </c>
      <c r="F11" s="237" t="s">
        <v>325</v>
      </c>
      <c r="G11" s="216" t="s">
        <v>36</v>
      </c>
      <c r="H11" s="208" t="s">
        <v>155</v>
      </c>
      <c r="I11" s="216" t="s">
        <v>153</v>
      </c>
      <c r="J11" s="216" t="s">
        <v>38</v>
      </c>
      <c r="K11" s="216" t="s">
        <v>154</v>
      </c>
      <c r="L11" s="216">
        <v>1</v>
      </c>
      <c r="N11" s="208">
        <v>1</v>
      </c>
      <c r="O11" s="208">
        <v>0.65</v>
      </c>
      <c r="P11" s="208">
        <v>0.65</v>
      </c>
      <c r="Q11" s="245">
        <f t="shared" si="0"/>
        <v>0.65</v>
      </c>
      <c r="R11" s="208">
        <v>16.600000000000001</v>
      </c>
      <c r="S11" s="208">
        <v>141</v>
      </c>
      <c r="T11" s="217">
        <f t="shared" si="1"/>
        <v>30</v>
      </c>
      <c r="U11" s="208">
        <v>136</v>
      </c>
      <c r="V11" s="217">
        <f t="shared" si="2"/>
        <v>4080</v>
      </c>
      <c r="W11" s="208">
        <v>2</v>
      </c>
      <c r="X11" s="216" t="s">
        <v>46</v>
      </c>
      <c r="Y11" s="216" t="s">
        <v>69</v>
      </c>
      <c r="Z11" s="216" t="s">
        <v>50</v>
      </c>
      <c r="AA11" s="216" t="s">
        <v>90</v>
      </c>
      <c r="AB11" s="216" t="s">
        <v>330</v>
      </c>
      <c r="AE11" s="223" t="s">
        <v>65</v>
      </c>
      <c r="AG11" s="252" t="s">
        <v>159</v>
      </c>
      <c r="AH11" s="243" t="s">
        <v>326</v>
      </c>
      <c r="AL11" s="235"/>
      <c r="AP11" s="224" t="s">
        <v>104</v>
      </c>
      <c r="AR11" s="231" t="s">
        <v>87</v>
      </c>
      <c r="AV11" s="224" t="s">
        <v>69</v>
      </c>
    </row>
    <row r="12" spans="1:53" x14ac:dyDescent="0.15">
      <c r="A12" s="216" t="s">
        <v>34</v>
      </c>
      <c r="B12" s="208" t="s">
        <v>328</v>
      </c>
      <c r="C12" s="208">
        <v>2018</v>
      </c>
      <c r="D12" s="250" t="s">
        <v>407</v>
      </c>
      <c r="E12" s="237" t="s">
        <v>324</v>
      </c>
      <c r="F12" s="237" t="s">
        <v>325</v>
      </c>
      <c r="G12" s="216" t="s">
        <v>36</v>
      </c>
      <c r="H12" s="208" t="s">
        <v>155</v>
      </c>
      <c r="I12" s="216" t="s">
        <v>153</v>
      </c>
      <c r="J12" s="216" t="s">
        <v>38</v>
      </c>
      <c r="K12" s="216" t="s">
        <v>154</v>
      </c>
      <c r="L12" s="208">
        <v>2</v>
      </c>
      <c r="N12" s="208">
        <v>1</v>
      </c>
      <c r="O12" s="208">
        <v>0.5</v>
      </c>
      <c r="P12" s="208">
        <v>0.45</v>
      </c>
      <c r="Q12" s="245">
        <f t="shared" si="0"/>
        <v>0.47499999999999998</v>
      </c>
      <c r="R12" s="208">
        <v>14.2</v>
      </c>
      <c r="S12" s="208">
        <v>139</v>
      </c>
      <c r="T12" s="217">
        <f t="shared" si="1"/>
        <v>30</v>
      </c>
      <c r="U12" s="208">
        <v>136</v>
      </c>
      <c r="V12" s="217">
        <f t="shared" si="2"/>
        <v>4080</v>
      </c>
      <c r="W12" s="208">
        <v>2</v>
      </c>
      <c r="X12" s="216" t="s">
        <v>46</v>
      </c>
      <c r="Y12" s="216" t="s">
        <v>69</v>
      </c>
      <c r="Z12" s="216" t="s">
        <v>50</v>
      </c>
      <c r="AA12" s="216" t="s">
        <v>90</v>
      </c>
      <c r="AB12" s="216" t="s">
        <v>330</v>
      </c>
      <c r="AE12" s="223" t="s">
        <v>70</v>
      </c>
      <c r="AG12" s="244"/>
      <c r="AH12" s="224"/>
      <c r="AL12" s="235"/>
      <c r="AP12" s="224" t="s">
        <v>67</v>
      </c>
      <c r="AR12" s="231" t="s">
        <v>124</v>
      </c>
      <c r="AV12" s="224" t="s">
        <v>72</v>
      </c>
    </row>
    <row r="13" spans="1:53" x14ac:dyDescent="0.15">
      <c r="A13" s="216" t="s">
        <v>34</v>
      </c>
      <c r="B13" s="208" t="s">
        <v>328</v>
      </c>
      <c r="C13" s="208">
        <v>2018</v>
      </c>
      <c r="D13" s="250" t="s">
        <v>410</v>
      </c>
      <c r="E13" s="237" t="s">
        <v>324</v>
      </c>
      <c r="F13" s="237" t="s">
        <v>325</v>
      </c>
      <c r="G13" s="216" t="s">
        <v>36</v>
      </c>
      <c r="H13" s="208" t="s">
        <v>155</v>
      </c>
      <c r="I13" s="216" t="s">
        <v>153</v>
      </c>
      <c r="J13" s="216" t="s">
        <v>38</v>
      </c>
      <c r="K13" s="216" t="s">
        <v>501</v>
      </c>
      <c r="L13" s="208">
        <v>3</v>
      </c>
      <c r="N13" s="208">
        <v>1</v>
      </c>
      <c r="O13" s="208">
        <v>0.55000000000000004</v>
      </c>
      <c r="P13" s="208">
        <v>0.45</v>
      </c>
      <c r="Q13" s="245">
        <f t="shared" si="0"/>
        <v>0.5</v>
      </c>
      <c r="R13" s="208">
        <v>14.3</v>
      </c>
      <c r="S13" s="208">
        <v>136</v>
      </c>
      <c r="T13" s="217">
        <f t="shared" si="1"/>
        <v>30</v>
      </c>
      <c r="U13" s="208">
        <v>136</v>
      </c>
      <c r="V13" s="217">
        <f t="shared" si="2"/>
        <v>4080</v>
      </c>
      <c r="W13" s="208">
        <v>2</v>
      </c>
      <c r="X13" s="216" t="s">
        <v>46</v>
      </c>
      <c r="Y13" s="216" t="s">
        <v>69</v>
      </c>
      <c r="Z13" s="216" t="s">
        <v>50</v>
      </c>
      <c r="AA13" s="216" t="s">
        <v>90</v>
      </c>
      <c r="AB13" s="216" t="s">
        <v>330</v>
      </c>
      <c r="AE13" s="223" t="s">
        <v>73</v>
      </c>
      <c r="AG13" s="253"/>
      <c r="AH13" s="229"/>
      <c r="AP13" s="224" t="s">
        <v>71</v>
      </c>
      <c r="AR13" s="231" t="s">
        <v>103</v>
      </c>
      <c r="AV13" s="224" t="s">
        <v>75</v>
      </c>
    </row>
    <row r="14" spans="1:53" x14ac:dyDescent="0.15">
      <c r="A14" s="216" t="s">
        <v>34</v>
      </c>
      <c r="B14" s="208" t="s">
        <v>328</v>
      </c>
      <c r="C14" s="208">
        <v>2018</v>
      </c>
      <c r="D14" s="250" t="s">
        <v>413</v>
      </c>
      <c r="E14" s="237" t="s">
        <v>324</v>
      </c>
      <c r="F14" s="237" t="s">
        <v>325</v>
      </c>
      <c r="G14" s="216" t="s">
        <v>36</v>
      </c>
      <c r="H14" s="208" t="s">
        <v>155</v>
      </c>
      <c r="I14" s="216" t="s">
        <v>153</v>
      </c>
      <c r="J14" s="216" t="s">
        <v>38</v>
      </c>
      <c r="K14" s="216" t="s">
        <v>154</v>
      </c>
      <c r="L14" s="216">
        <v>1</v>
      </c>
      <c r="N14" s="208">
        <v>5</v>
      </c>
      <c r="O14" s="208">
        <v>0.5</v>
      </c>
      <c r="P14" s="208">
        <v>0.6</v>
      </c>
      <c r="Q14" s="245">
        <f t="shared" si="0"/>
        <v>0.55000000000000004</v>
      </c>
      <c r="R14" s="208">
        <v>13</v>
      </c>
      <c r="S14" s="208">
        <v>81</v>
      </c>
      <c r="T14" s="217">
        <f t="shared" si="1"/>
        <v>39</v>
      </c>
      <c r="U14" s="208">
        <v>322</v>
      </c>
      <c r="V14" s="217">
        <f t="shared" si="2"/>
        <v>2511.6000000000004</v>
      </c>
      <c r="W14" s="208">
        <v>2</v>
      </c>
      <c r="X14" s="216" t="s">
        <v>46</v>
      </c>
      <c r="Y14" s="216" t="s">
        <v>69</v>
      </c>
      <c r="Z14" s="216" t="s">
        <v>50</v>
      </c>
      <c r="AA14" s="216" t="s">
        <v>90</v>
      </c>
      <c r="AB14" s="216" t="s">
        <v>330</v>
      </c>
      <c r="AE14" s="223" t="s">
        <v>76</v>
      </c>
      <c r="AG14" s="254"/>
      <c r="AL14" s="247"/>
      <c r="AP14" s="224" t="s">
        <v>74</v>
      </c>
      <c r="AR14" s="231" t="s">
        <v>125</v>
      </c>
      <c r="AV14" s="224" t="s">
        <v>78</v>
      </c>
    </row>
    <row r="15" spans="1:53" x14ac:dyDescent="0.15">
      <c r="A15" s="216" t="s">
        <v>34</v>
      </c>
      <c r="B15" s="208" t="s">
        <v>328</v>
      </c>
      <c r="C15" s="208">
        <v>2018</v>
      </c>
      <c r="D15" s="250" t="s">
        <v>413</v>
      </c>
      <c r="E15" s="237" t="s">
        <v>324</v>
      </c>
      <c r="F15" s="237" t="s">
        <v>325</v>
      </c>
      <c r="G15" s="216" t="s">
        <v>36</v>
      </c>
      <c r="H15" s="208" t="s">
        <v>155</v>
      </c>
      <c r="I15" s="216" t="s">
        <v>153</v>
      </c>
      <c r="J15" s="216" t="s">
        <v>38</v>
      </c>
      <c r="K15" s="216" t="s">
        <v>154</v>
      </c>
      <c r="L15" s="208">
        <v>2</v>
      </c>
      <c r="N15" s="208">
        <v>5</v>
      </c>
      <c r="O15" s="208">
        <v>0.65</v>
      </c>
      <c r="P15" s="208">
        <v>0.65</v>
      </c>
      <c r="Q15" s="245">
        <f t="shared" si="0"/>
        <v>0.65</v>
      </c>
      <c r="R15" s="208">
        <v>13.9</v>
      </c>
      <c r="S15" s="208">
        <v>86</v>
      </c>
      <c r="T15" s="217">
        <f t="shared" si="1"/>
        <v>36</v>
      </c>
      <c r="U15" s="208">
        <v>322</v>
      </c>
      <c r="V15" s="217">
        <f t="shared" si="2"/>
        <v>2318.4</v>
      </c>
      <c r="W15" s="208">
        <v>2</v>
      </c>
      <c r="X15" s="216" t="s">
        <v>46</v>
      </c>
      <c r="Y15" s="216" t="s">
        <v>69</v>
      </c>
      <c r="Z15" s="216" t="s">
        <v>50</v>
      </c>
      <c r="AA15" s="216" t="s">
        <v>90</v>
      </c>
      <c r="AB15" s="216" t="s">
        <v>330</v>
      </c>
      <c r="AE15" s="223" t="s">
        <v>79</v>
      </c>
      <c r="AL15" s="255"/>
      <c r="AP15" s="224" t="s">
        <v>77</v>
      </c>
      <c r="AR15" s="231" t="s">
        <v>94</v>
      </c>
      <c r="AV15" s="224" t="s">
        <v>107</v>
      </c>
    </row>
    <row r="16" spans="1:53" x14ac:dyDescent="0.15">
      <c r="A16" s="216" t="s">
        <v>34</v>
      </c>
      <c r="B16" s="208" t="s">
        <v>328</v>
      </c>
      <c r="C16" s="208">
        <v>2018</v>
      </c>
      <c r="D16" s="250" t="s">
        <v>417</v>
      </c>
      <c r="E16" s="237" t="s">
        <v>324</v>
      </c>
      <c r="F16" s="237" t="s">
        <v>325</v>
      </c>
      <c r="G16" s="216" t="s">
        <v>36</v>
      </c>
      <c r="H16" s="208" t="s">
        <v>155</v>
      </c>
      <c r="I16" s="216" t="s">
        <v>153</v>
      </c>
      <c r="J16" s="216" t="s">
        <v>38</v>
      </c>
      <c r="K16" s="216" t="s">
        <v>154</v>
      </c>
      <c r="L16" s="208">
        <v>3</v>
      </c>
      <c r="N16" s="208">
        <v>5</v>
      </c>
      <c r="O16" s="208">
        <v>0.6</v>
      </c>
      <c r="P16" s="208">
        <v>0.65</v>
      </c>
      <c r="Q16" s="245">
        <f t="shared" si="0"/>
        <v>0.625</v>
      </c>
      <c r="R16" s="208">
        <v>14.8</v>
      </c>
      <c r="S16" s="208">
        <v>85</v>
      </c>
      <c r="T16" s="217">
        <f t="shared" si="1"/>
        <v>36</v>
      </c>
      <c r="U16" s="208">
        <v>322</v>
      </c>
      <c r="V16" s="217">
        <f t="shared" si="2"/>
        <v>2318.4</v>
      </c>
      <c r="W16" s="208">
        <v>2</v>
      </c>
      <c r="X16" s="216" t="s">
        <v>46</v>
      </c>
      <c r="Y16" s="216" t="s">
        <v>69</v>
      </c>
      <c r="Z16" s="216" t="s">
        <v>50</v>
      </c>
      <c r="AA16" s="216" t="s">
        <v>90</v>
      </c>
      <c r="AB16" s="216" t="s">
        <v>330</v>
      </c>
      <c r="AE16" s="223" t="s">
        <v>82</v>
      </c>
      <c r="AL16" s="255"/>
      <c r="AP16" s="224" t="s">
        <v>80</v>
      </c>
      <c r="AR16" s="238" t="s">
        <v>63</v>
      </c>
      <c r="AV16" s="224" t="s">
        <v>84</v>
      </c>
    </row>
    <row r="17" spans="1:48" x14ac:dyDescent="0.15">
      <c r="A17" s="216" t="s">
        <v>34</v>
      </c>
      <c r="B17" s="208" t="s">
        <v>328</v>
      </c>
      <c r="C17" s="208">
        <v>2018</v>
      </c>
      <c r="D17" s="250" t="s">
        <v>417</v>
      </c>
      <c r="E17" s="237" t="s">
        <v>324</v>
      </c>
      <c r="F17" s="237" t="s">
        <v>325</v>
      </c>
      <c r="G17" s="216" t="s">
        <v>36</v>
      </c>
      <c r="H17" s="208" t="s">
        <v>157</v>
      </c>
      <c r="I17" s="216" t="s">
        <v>153</v>
      </c>
      <c r="J17" s="216" t="s">
        <v>38</v>
      </c>
      <c r="K17" s="216" t="s">
        <v>154</v>
      </c>
      <c r="L17" s="216">
        <v>1</v>
      </c>
      <c r="N17" s="208">
        <v>1</v>
      </c>
      <c r="O17" s="208">
        <v>1.25</v>
      </c>
      <c r="P17" s="208">
        <v>1.25</v>
      </c>
      <c r="Q17" s="245">
        <f t="shared" si="0"/>
        <v>1.25</v>
      </c>
      <c r="R17" s="208">
        <v>14</v>
      </c>
      <c r="S17" s="208">
        <v>135</v>
      </c>
      <c r="T17" s="217">
        <f t="shared" si="1"/>
        <v>30</v>
      </c>
      <c r="U17" s="208">
        <v>136</v>
      </c>
      <c r="V17" s="217">
        <f t="shared" si="2"/>
        <v>4080</v>
      </c>
      <c r="W17" s="208">
        <v>1</v>
      </c>
      <c r="X17" s="216" t="s">
        <v>46</v>
      </c>
      <c r="Y17" s="216" t="s">
        <v>69</v>
      </c>
      <c r="Z17" s="216" t="s">
        <v>50</v>
      </c>
      <c r="AA17" s="216" t="s">
        <v>90</v>
      </c>
      <c r="AB17" s="216" t="s">
        <v>330</v>
      </c>
      <c r="AE17" s="223" t="s">
        <v>85</v>
      </c>
      <c r="AL17" s="255"/>
      <c r="AP17" s="239" t="s">
        <v>110</v>
      </c>
      <c r="AR17" s="238" t="s">
        <v>96</v>
      </c>
      <c r="AV17" s="224" t="s">
        <v>86</v>
      </c>
    </row>
    <row r="18" spans="1:48" x14ac:dyDescent="0.15">
      <c r="A18" s="216" t="s">
        <v>34</v>
      </c>
      <c r="B18" s="208" t="s">
        <v>328</v>
      </c>
      <c r="C18" s="208">
        <v>2018</v>
      </c>
      <c r="D18" s="250" t="s">
        <v>417</v>
      </c>
      <c r="E18" s="237" t="s">
        <v>324</v>
      </c>
      <c r="F18" s="237" t="s">
        <v>325</v>
      </c>
      <c r="G18" s="216" t="s">
        <v>36</v>
      </c>
      <c r="H18" s="208" t="s">
        <v>157</v>
      </c>
      <c r="I18" s="216" t="s">
        <v>153</v>
      </c>
      <c r="J18" s="216" t="s">
        <v>38</v>
      </c>
      <c r="K18" s="216" t="s">
        <v>154</v>
      </c>
      <c r="L18" s="208">
        <v>2</v>
      </c>
      <c r="N18" s="208">
        <v>1</v>
      </c>
      <c r="O18" s="208">
        <v>0.8</v>
      </c>
      <c r="P18" s="208">
        <v>1</v>
      </c>
      <c r="Q18" s="245">
        <f t="shared" si="0"/>
        <v>0.9</v>
      </c>
      <c r="R18" s="208">
        <v>16.399999999999999</v>
      </c>
      <c r="S18" s="208">
        <v>138</v>
      </c>
      <c r="T18" s="217">
        <f t="shared" si="1"/>
        <v>30</v>
      </c>
      <c r="U18" s="208">
        <v>136</v>
      </c>
      <c r="V18" s="217">
        <f t="shared" si="2"/>
        <v>4080</v>
      </c>
      <c r="W18" s="208">
        <v>1</v>
      </c>
      <c r="X18" s="216" t="s">
        <v>46</v>
      </c>
      <c r="Y18" s="216" t="s">
        <v>69</v>
      </c>
      <c r="Z18" s="216" t="s">
        <v>50</v>
      </c>
      <c r="AA18" s="216" t="s">
        <v>90</v>
      </c>
      <c r="AB18" s="216" t="s">
        <v>330</v>
      </c>
      <c r="AE18" s="223" t="s">
        <v>87</v>
      </c>
      <c r="AL18" s="216"/>
      <c r="AP18" s="239" t="s">
        <v>111</v>
      </c>
      <c r="AR18" s="238" t="s">
        <v>101</v>
      </c>
      <c r="AV18" s="224" t="s">
        <v>88</v>
      </c>
    </row>
    <row r="19" spans="1:48" x14ac:dyDescent="0.15">
      <c r="A19" s="216" t="s">
        <v>34</v>
      </c>
      <c r="B19" s="208" t="s">
        <v>328</v>
      </c>
      <c r="C19" s="208">
        <v>2018</v>
      </c>
      <c r="D19" s="250" t="s">
        <v>407</v>
      </c>
      <c r="E19" s="237" t="s">
        <v>324</v>
      </c>
      <c r="F19" s="237" t="s">
        <v>325</v>
      </c>
      <c r="G19" s="216" t="s">
        <v>36</v>
      </c>
      <c r="H19" s="208" t="s">
        <v>157</v>
      </c>
      <c r="I19" s="216" t="s">
        <v>153</v>
      </c>
      <c r="J19" s="216" t="s">
        <v>38</v>
      </c>
      <c r="K19" s="216" t="s">
        <v>154</v>
      </c>
      <c r="L19" s="208">
        <v>3</v>
      </c>
      <c r="N19" s="208">
        <v>1</v>
      </c>
      <c r="O19" s="208">
        <v>1.3</v>
      </c>
      <c r="P19" s="208">
        <v>1.1000000000000001</v>
      </c>
      <c r="Q19" s="245">
        <f t="shared" si="0"/>
        <v>1.2000000000000002</v>
      </c>
      <c r="R19" s="208">
        <v>16.5</v>
      </c>
      <c r="S19" s="208">
        <v>141</v>
      </c>
      <c r="T19" s="217">
        <f t="shared" si="1"/>
        <v>30</v>
      </c>
      <c r="U19" s="208">
        <v>136</v>
      </c>
      <c r="V19" s="217">
        <f t="shared" si="2"/>
        <v>4080</v>
      </c>
      <c r="W19" s="208">
        <v>1</v>
      </c>
      <c r="X19" s="216" t="s">
        <v>46</v>
      </c>
      <c r="Y19" s="216" t="s">
        <v>69</v>
      </c>
      <c r="Z19" s="216" t="s">
        <v>50</v>
      </c>
      <c r="AA19" s="216" t="s">
        <v>90</v>
      </c>
      <c r="AB19" s="216" t="s">
        <v>330</v>
      </c>
      <c r="AE19" s="236" t="s">
        <v>89</v>
      </c>
      <c r="AP19" s="239" t="s">
        <v>112</v>
      </c>
      <c r="AR19" s="231" t="s">
        <v>126</v>
      </c>
      <c r="AV19" s="224" t="s">
        <v>90</v>
      </c>
    </row>
    <row r="20" spans="1:48" x14ac:dyDescent="0.15">
      <c r="A20" s="216" t="s">
        <v>34</v>
      </c>
      <c r="B20" s="208" t="s">
        <v>328</v>
      </c>
      <c r="C20" s="208">
        <v>2018</v>
      </c>
      <c r="D20" s="250" t="s">
        <v>407</v>
      </c>
      <c r="E20" s="237" t="s">
        <v>279</v>
      </c>
      <c r="F20" s="237" t="s">
        <v>323</v>
      </c>
      <c r="G20" s="216" t="s">
        <v>36</v>
      </c>
      <c r="H20" s="208" t="s">
        <v>155</v>
      </c>
      <c r="I20" s="216" t="s">
        <v>153</v>
      </c>
      <c r="J20" s="216" t="s">
        <v>38</v>
      </c>
      <c r="K20" s="216" t="s">
        <v>154</v>
      </c>
      <c r="L20" s="216">
        <v>1</v>
      </c>
      <c r="N20" s="208">
        <v>1</v>
      </c>
      <c r="O20" s="208">
        <v>1.05</v>
      </c>
      <c r="P20" s="208">
        <v>0.9</v>
      </c>
      <c r="Q20" s="245">
        <f t="shared" si="0"/>
        <v>0.97500000000000009</v>
      </c>
      <c r="R20" s="208">
        <v>13.7</v>
      </c>
      <c r="S20" s="208">
        <v>118</v>
      </c>
      <c r="T20" s="217">
        <f t="shared" si="1"/>
        <v>30</v>
      </c>
      <c r="U20" s="208">
        <v>128</v>
      </c>
      <c r="V20" s="217">
        <f t="shared" si="2"/>
        <v>3840</v>
      </c>
      <c r="W20" s="208">
        <v>3</v>
      </c>
      <c r="X20" s="216" t="s">
        <v>39</v>
      </c>
      <c r="Y20" s="216" t="s">
        <v>90</v>
      </c>
      <c r="Z20" s="216" t="s">
        <v>50</v>
      </c>
      <c r="AA20" s="216" t="s">
        <v>78</v>
      </c>
      <c r="AB20" s="216" t="s">
        <v>330</v>
      </c>
      <c r="AP20" s="239" t="s">
        <v>113</v>
      </c>
      <c r="AR20" s="238" t="s">
        <v>105</v>
      </c>
      <c r="AV20" s="228" t="s">
        <v>370</v>
      </c>
    </row>
    <row r="21" spans="1:48" x14ac:dyDescent="0.15">
      <c r="A21" s="216" t="s">
        <v>34</v>
      </c>
      <c r="B21" s="208" t="s">
        <v>328</v>
      </c>
      <c r="C21" s="208">
        <v>2018</v>
      </c>
      <c r="D21" s="250" t="s">
        <v>407</v>
      </c>
      <c r="E21" s="237" t="s">
        <v>279</v>
      </c>
      <c r="F21" s="237" t="s">
        <v>323</v>
      </c>
      <c r="G21" s="216" t="s">
        <v>36</v>
      </c>
      <c r="H21" s="208" t="s">
        <v>155</v>
      </c>
      <c r="I21" s="216" t="s">
        <v>153</v>
      </c>
      <c r="J21" s="216" t="s">
        <v>38</v>
      </c>
      <c r="K21" s="216" t="s">
        <v>154</v>
      </c>
      <c r="L21" s="208">
        <v>2</v>
      </c>
      <c r="N21" s="208">
        <v>1</v>
      </c>
      <c r="O21" s="208">
        <v>0.6</v>
      </c>
      <c r="P21" s="208">
        <v>0.6</v>
      </c>
      <c r="Q21" s="245">
        <f t="shared" si="0"/>
        <v>0.6</v>
      </c>
      <c r="R21" s="208">
        <v>13.9</v>
      </c>
      <c r="S21" s="208">
        <v>119</v>
      </c>
      <c r="T21" s="217">
        <f t="shared" si="1"/>
        <v>30</v>
      </c>
      <c r="U21" s="208">
        <v>128</v>
      </c>
      <c r="V21" s="217">
        <f t="shared" si="2"/>
        <v>3840</v>
      </c>
      <c r="W21" s="208">
        <v>3</v>
      </c>
      <c r="X21" s="216" t="s">
        <v>39</v>
      </c>
      <c r="Y21" s="216" t="s">
        <v>90</v>
      </c>
      <c r="Z21" s="216" t="s">
        <v>50</v>
      </c>
      <c r="AA21" s="216" t="s">
        <v>78</v>
      </c>
      <c r="AB21" s="216" t="s">
        <v>330</v>
      </c>
      <c r="AP21" s="239" t="s">
        <v>114</v>
      </c>
      <c r="AR21" s="238" t="s">
        <v>68</v>
      </c>
      <c r="AV21" s="228" t="s">
        <v>385</v>
      </c>
    </row>
    <row r="22" spans="1:48" x14ac:dyDescent="0.15">
      <c r="A22" s="216" t="s">
        <v>34</v>
      </c>
      <c r="B22" s="208" t="s">
        <v>328</v>
      </c>
      <c r="C22" s="208">
        <v>2018</v>
      </c>
      <c r="D22" s="250" t="s">
        <v>407</v>
      </c>
      <c r="E22" s="237" t="s">
        <v>279</v>
      </c>
      <c r="F22" s="237" t="s">
        <v>323</v>
      </c>
      <c r="G22" s="216" t="s">
        <v>36</v>
      </c>
      <c r="H22" s="208" t="s">
        <v>155</v>
      </c>
      <c r="I22" s="216" t="s">
        <v>153</v>
      </c>
      <c r="J22" s="216" t="s">
        <v>38</v>
      </c>
      <c r="K22" s="216" t="s">
        <v>154</v>
      </c>
      <c r="L22" s="208">
        <v>3</v>
      </c>
      <c r="N22" s="208">
        <v>1</v>
      </c>
      <c r="O22" s="208">
        <v>0.6</v>
      </c>
      <c r="P22" s="208">
        <v>0.7</v>
      </c>
      <c r="Q22" s="245">
        <f t="shared" si="0"/>
        <v>0.64999999999999991</v>
      </c>
      <c r="R22" s="208">
        <v>14</v>
      </c>
      <c r="S22" s="208">
        <v>121</v>
      </c>
      <c r="T22" s="217">
        <f t="shared" si="1"/>
        <v>30</v>
      </c>
      <c r="U22" s="208">
        <v>128</v>
      </c>
      <c r="V22" s="217">
        <f t="shared" si="2"/>
        <v>3840</v>
      </c>
      <c r="W22" s="208">
        <v>3</v>
      </c>
      <c r="X22" s="216" t="s">
        <v>39</v>
      </c>
      <c r="Y22" s="216" t="s">
        <v>90</v>
      </c>
      <c r="Z22" s="216" t="s">
        <v>50</v>
      </c>
      <c r="AA22" s="216" t="s">
        <v>78</v>
      </c>
      <c r="AB22" s="216" t="s">
        <v>330</v>
      </c>
      <c r="AP22" s="239" t="s">
        <v>115</v>
      </c>
      <c r="AR22" s="238" t="s">
        <v>83</v>
      </c>
      <c r="AV22" s="228"/>
    </row>
    <row r="23" spans="1:48" x14ac:dyDescent="0.15">
      <c r="A23" s="216" t="s">
        <v>34</v>
      </c>
      <c r="B23" s="208" t="s">
        <v>328</v>
      </c>
      <c r="C23" s="208">
        <v>2018</v>
      </c>
      <c r="D23" s="250" t="s">
        <v>407</v>
      </c>
      <c r="E23" s="237" t="s">
        <v>279</v>
      </c>
      <c r="F23" s="237" t="s">
        <v>323</v>
      </c>
      <c r="G23" s="216" t="s">
        <v>36</v>
      </c>
      <c r="H23" s="208" t="s">
        <v>155</v>
      </c>
      <c r="I23" s="216" t="s">
        <v>153</v>
      </c>
      <c r="J23" s="216" t="s">
        <v>38</v>
      </c>
      <c r="K23" s="216" t="s">
        <v>154</v>
      </c>
      <c r="L23" s="216">
        <v>1</v>
      </c>
      <c r="N23" s="208">
        <v>4</v>
      </c>
      <c r="O23" s="208">
        <v>0.2</v>
      </c>
      <c r="P23" s="208">
        <v>0.2</v>
      </c>
      <c r="Q23" s="245">
        <f t="shared" si="0"/>
        <v>0.2</v>
      </c>
      <c r="R23" s="208">
        <v>11.4</v>
      </c>
      <c r="S23" s="208">
        <v>98</v>
      </c>
      <c r="T23" s="217">
        <f t="shared" si="1"/>
        <v>36</v>
      </c>
      <c r="U23" s="208">
        <v>358</v>
      </c>
      <c r="V23" s="217">
        <f t="shared" si="2"/>
        <v>3222</v>
      </c>
      <c r="W23" s="208">
        <v>3</v>
      </c>
      <c r="X23" s="216" t="s">
        <v>39</v>
      </c>
      <c r="Y23" s="216" t="s">
        <v>90</v>
      </c>
      <c r="Z23" s="216" t="s">
        <v>50</v>
      </c>
      <c r="AA23" s="216" t="s">
        <v>78</v>
      </c>
      <c r="AB23" s="216" t="s">
        <v>330</v>
      </c>
      <c r="AP23" s="239" t="s">
        <v>117</v>
      </c>
      <c r="AR23" s="238" t="s">
        <v>280</v>
      </c>
    </row>
    <row r="24" spans="1:48" x14ac:dyDescent="0.15">
      <c r="A24" s="216" t="s">
        <v>34</v>
      </c>
      <c r="B24" s="208" t="s">
        <v>328</v>
      </c>
      <c r="C24" s="208">
        <v>2018</v>
      </c>
      <c r="D24" s="250" t="s">
        <v>407</v>
      </c>
      <c r="E24" s="237" t="s">
        <v>279</v>
      </c>
      <c r="F24" s="237" t="s">
        <v>323</v>
      </c>
      <c r="G24" s="216" t="s">
        <v>36</v>
      </c>
      <c r="H24" s="208" t="s">
        <v>155</v>
      </c>
      <c r="I24" s="216" t="s">
        <v>153</v>
      </c>
      <c r="J24" s="216" t="s">
        <v>38</v>
      </c>
      <c r="K24" s="216" t="s">
        <v>154</v>
      </c>
      <c r="L24" s="208">
        <v>2</v>
      </c>
      <c r="N24" s="208">
        <v>4</v>
      </c>
      <c r="O24" s="208">
        <v>0.2</v>
      </c>
      <c r="P24" s="208">
        <v>0.45</v>
      </c>
      <c r="Q24" s="245">
        <f t="shared" si="0"/>
        <v>0.32500000000000001</v>
      </c>
      <c r="R24" s="208">
        <v>14.2</v>
      </c>
      <c r="S24" s="208">
        <v>97</v>
      </c>
      <c r="T24" s="217">
        <f t="shared" si="1"/>
        <v>36</v>
      </c>
      <c r="U24" s="208">
        <v>358</v>
      </c>
      <c r="V24" s="217">
        <f t="shared" si="2"/>
        <v>3222</v>
      </c>
      <c r="W24" s="208">
        <v>3</v>
      </c>
      <c r="X24" s="216" t="s">
        <v>39</v>
      </c>
      <c r="Y24" s="216" t="s">
        <v>90</v>
      </c>
      <c r="Z24" s="216" t="s">
        <v>50</v>
      </c>
      <c r="AA24" s="216" t="s">
        <v>78</v>
      </c>
      <c r="AB24" s="216" t="s">
        <v>330</v>
      </c>
      <c r="AP24" s="239" t="s">
        <v>118</v>
      </c>
    </row>
    <row r="25" spans="1:48" x14ac:dyDescent="0.15">
      <c r="A25" s="216" t="s">
        <v>34</v>
      </c>
      <c r="B25" s="208" t="s">
        <v>328</v>
      </c>
      <c r="C25" s="208">
        <v>2018</v>
      </c>
      <c r="D25" s="250" t="s">
        <v>407</v>
      </c>
      <c r="E25" s="237" t="s">
        <v>279</v>
      </c>
      <c r="F25" s="237" t="s">
        <v>323</v>
      </c>
      <c r="G25" s="216" t="s">
        <v>36</v>
      </c>
      <c r="H25" s="208" t="s">
        <v>155</v>
      </c>
      <c r="I25" s="216" t="s">
        <v>153</v>
      </c>
      <c r="J25" s="216" t="s">
        <v>38</v>
      </c>
      <c r="K25" s="216" t="s">
        <v>154</v>
      </c>
      <c r="L25" s="208">
        <v>3</v>
      </c>
      <c r="N25" s="208">
        <v>4</v>
      </c>
      <c r="O25" s="208">
        <v>0.55000000000000004</v>
      </c>
      <c r="P25" s="208">
        <v>0.6</v>
      </c>
      <c r="Q25" s="245">
        <f t="shared" si="0"/>
        <v>0.57499999999999996</v>
      </c>
      <c r="R25" s="208">
        <v>14.2</v>
      </c>
      <c r="S25" s="208">
        <v>98</v>
      </c>
      <c r="T25" s="217">
        <f t="shared" si="1"/>
        <v>36</v>
      </c>
      <c r="U25" s="208">
        <v>358</v>
      </c>
      <c r="V25" s="217">
        <f t="shared" si="2"/>
        <v>3222</v>
      </c>
      <c r="W25" s="208">
        <v>3</v>
      </c>
      <c r="X25" s="216" t="s">
        <v>39</v>
      </c>
      <c r="Y25" s="216" t="s">
        <v>90</v>
      </c>
      <c r="Z25" s="216" t="s">
        <v>50</v>
      </c>
      <c r="AA25" s="216" t="s">
        <v>78</v>
      </c>
      <c r="AB25" s="216" t="s">
        <v>330</v>
      </c>
    </row>
    <row r="26" spans="1:48" x14ac:dyDescent="0.15">
      <c r="A26" s="216" t="s">
        <v>34</v>
      </c>
      <c r="B26" s="208" t="s">
        <v>328</v>
      </c>
      <c r="C26" s="208">
        <v>2018</v>
      </c>
      <c r="D26" s="250" t="s">
        <v>407</v>
      </c>
      <c r="E26" s="237" t="s">
        <v>279</v>
      </c>
      <c r="F26" s="237" t="s">
        <v>323</v>
      </c>
      <c r="G26" s="216" t="s">
        <v>36</v>
      </c>
      <c r="H26" s="208" t="s">
        <v>157</v>
      </c>
      <c r="I26" s="216" t="s">
        <v>153</v>
      </c>
      <c r="J26" s="216" t="s">
        <v>38</v>
      </c>
      <c r="K26" s="216" t="s">
        <v>154</v>
      </c>
      <c r="L26" s="216">
        <v>1</v>
      </c>
      <c r="N26" s="208">
        <v>1</v>
      </c>
      <c r="O26" s="208">
        <v>0.45</v>
      </c>
      <c r="P26" s="208">
        <v>0.7</v>
      </c>
      <c r="Q26" s="245">
        <f t="shared" si="0"/>
        <v>0.57499999999999996</v>
      </c>
      <c r="R26" s="208">
        <v>13.7</v>
      </c>
      <c r="S26" s="208">
        <v>150</v>
      </c>
      <c r="T26" s="217">
        <f t="shared" si="1"/>
        <v>30</v>
      </c>
      <c r="U26" s="208">
        <v>138</v>
      </c>
      <c r="V26" s="217">
        <f t="shared" si="2"/>
        <v>4140</v>
      </c>
      <c r="W26" s="208">
        <v>2</v>
      </c>
      <c r="X26" s="216" t="s">
        <v>39</v>
      </c>
      <c r="Y26" s="216" t="s">
        <v>90</v>
      </c>
      <c r="Z26" s="216" t="s">
        <v>50</v>
      </c>
      <c r="AA26" s="216" t="s">
        <v>78</v>
      </c>
      <c r="AB26" s="216" t="s">
        <v>330</v>
      </c>
    </row>
    <row r="27" spans="1:48" x14ac:dyDescent="0.15">
      <c r="A27" s="216" t="s">
        <v>34</v>
      </c>
      <c r="B27" s="208" t="s">
        <v>328</v>
      </c>
      <c r="C27" s="208">
        <v>2018</v>
      </c>
      <c r="D27" s="250" t="s">
        <v>407</v>
      </c>
      <c r="E27" s="237" t="s">
        <v>279</v>
      </c>
      <c r="F27" s="237" t="s">
        <v>323</v>
      </c>
      <c r="G27" s="216" t="s">
        <v>36</v>
      </c>
      <c r="H27" s="208" t="s">
        <v>157</v>
      </c>
      <c r="I27" s="216" t="s">
        <v>153</v>
      </c>
      <c r="J27" s="216" t="s">
        <v>38</v>
      </c>
      <c r="K27" s="216" t="s">
        <v>154</v>
      </c>
      <c r="L27" s="208">
        <v>2</v>
      </c>
      <c r="N27" s="208">
        <v>1</v>
      </c>
      <c r="O27" s="208">
        <v>0.55000000000000004</v>
      </c>
      <c r="P27" s="208">
        <v>0.2</v>
      </c>
      <c r="Q27" s="245">
        <f t="shared" si="0"/>
        <v>0.375</v>
      </c>
      <c r="R27" s="208">
        <v>15.1</v>
      </c>
      <c r="S27" s="208">
        <v>137</v>
      </c>
      <c r="T27" s="217">
        <f t="shared" si="1"/>
        <v>30</v>
      </c>
      <c r="U27" s="208">
        <v>138</v>
      </c>
      <c r="V27" s="217">
        <f t="shared" si="2"/>
        <v>4140</v>
      </c>
      <c r="W27" s="208">
        <v>2</v>
      </c>
      <c r="X27" s="216" t="s">
        <v>39</v>
      </c>
      <c r="Y27" s="216" t="s">
        <v>90</v>
      </c>
      <c r="Z27" s="216" t="s">
        <v>50</v>
      </c>
      <c r="AA27" s="216" t="s">
        <v>78</v>
      </c>
      <c r="AB27" s="216" t="s">
        <v>330</v>
      </c>
    </row>
    <row r="28" spans="1:48" x14ac:dyDescent="0.15">
      <c r="A28" s="216" t="s">
        <v>34</v>
      </c>
      <c r="B28" s="208" t="s">
        <v>328</v>
      </c>
      <c r="C28" s="208">
        <v>2018</v>
      </c>
      <c r="D28" s="250" t="s">
        <v>407</v>
      </c>
      <c r="E28" s="237" t="s">
        <v>279</v>
      </c>
      <c r="F28" s="237" t="s">
        <v>323</v>
      </c>
      <c r="G28" s="216" t="s">
        <v>36</v>
      </c>
      <c r="H28" s="208" t="s">
        <v>157</v>
      </c>
      <c r="I28" s="216" t="s">
        <v>153</v>
      </c>
      <c r="J28" s="216" t="s">
        <v>38</v>
      </c>
      <c r="K28" s="216" t="s">
        <v>154</v>
      </c>
      <c r="L28" s="208">
        <v>3</v>
      </c>
      <c r="N28" s="208">
        <v>1</v>
      </c>
      <c r="O28" s="208">
        <v>0.65</v>
      </c>
      <c r="P28" s="208">
        <v>0.8</v>
      </c>
      <c r="Q28" s="245">
        <f t="shared" si="0"/>
        <v>0.72500000000000009</v>
      </c>
      <c r="R28" s="208">
        <v>14.5</v>
      </c>
      <c r="S28" s="208">
        <v>146</v>
      </c>
      <c r="T28" s="217">
        <f t="shared" si="1"/>
        <v>30</v>
      </c>
      <c r="U28" s="208">
        <v>138</v>
      </c>
      <c r="V28" s="217">
        <f t="shared" si="2"/>
        <v>4140</v>
      </c>
      <c r="W28" s="208">
        <v>2</v>
      </c>
      <c r="X28" s="216" t="s">
        <v>39</v>
      </c>
      <c r="Y28" s="216" t="s">
        <v>90</v>
      </c>
      <c r="Z28" s="216" t="s">
        <v>50</v>
      </c>
      <c r="AA28" s="216" t="s">
        <v>78</v>
      </c>
      <c r="AB28" s="216" t="s">
        <v>330</v>
      </c>
    </row>
    <row r="29" spans="1:48" x14ac:dyDescent="0.15">
      <c r="A29" s="216" t="s">
        <v>34</v>
      </c>
      <c r="B29" s="208" t="s">
        <v>328</v>
      </c>
      <c r="C29" s="208">
        <v>2018</v>
      </c>
      <c r="D29" s="250" t="s">
        <v>407</v>
      </c>
      <c r="E29" s="237" t="s">
        <v>279</v>
      </c>
      <c r="F29" s="237" t="s">
        <v>323</v>
      </c>
      <c r="G29" s="216" t="s">
        <v>36</v>
      </c>
      <c r="H29" s="208" t="s">
        <v>157</v>
      </c>
      <c r="I29" s="216" t="s">
        <v>153</v>
      </c>
      <c r="J29" s="216" t="s">
        <v>38</v>
      </c>
      <c r="K29" s="216" t="s">
        <v>154</v>
      </c>
      <c r="L29" s="216">
        <v>1</v>
      </c>
      <c r="N29" s="208">
        <v>4</v>
      </c>
      <c r="O29" s="208">
        <v>0.6</v>
      </c>
      <c r="P29" s="208">
        <v>0.55000000000000004</v>
      </c>
      <c r="Q29" s="245">
        <f t="shared" si="0"/>
        <v>0.57499999999999996</v>
      </c>
      <c r="R29" s="208">
        <v>15.4</v>
      </c>
      <c r="S29" s="208">
        <v>129</v>
      </c>
      <c r="T29" s="217">
        <f t="shared" si="1"/>
        <v>30</v>
      </c>
      <c r="U29" s="208">
        <v>498</v>
      </c>
      <c r="V29" s="217">
        <f t="shared" si="2"/>
        <v>3735</v>
      </c>
      <c r="W29" s="208">
        <v>2</v>
      </c>
      <c r="X29" s="216" t="s">
        <v>39</v>
      </c>
      <c r="Y29" s="216" t="s">
        <v>90</v>
      </c>
      <c r="Z29" s="216" t="s">
        <v>50</v>
      </c>
      <c r="AA29" s="216" t="s">
        <v>78</v>
      </c>
      <c r="AB29" s="216" t="s">
        <v>330</v>
      </c>
    </row>
    <row r="30" spans="1:48" x14ac:dyDescent="0.15">
      <c r="A30" s="216" t="s">
        <v>34</v>
      </c>
      <c r="B30" s="208" t="s">
        <v>328</v>
      </c>
      <c r="C30" s="208">
        <v>2018</v>
      </c>
      <c r="D30" s="250" t="s">
        <v>407</v>
      </c>
      <c r="E30" s="237" t="s">
        <v>279</v>
      </c>
      <c r="F30" s="237" t="s">
        <v>323</v>
      </c>
      <c r="G30" s="216" t="s">
        <v>36</v>
      </c>
      <c r="H30" s="208" t="s">
        <v>157</v>
      </c>
      <c r="I30" s="216" t="s">
        <v>153</v>
      </c>
      <c r="J30" s="216" t="s">
        <v>38</v>
      </c>
      <c r="K30" s="216" t="s">
        <v>154</v>
      </c>
      <c r="L30" s="208">
        <v>2</v>
      </c>
      <c r="N30" s="208">
        <v>4</v>
      </c>
      <c r="O30" s="208">
        <v>0.55000000000000004</v>
      </c>
      <c r="P30" s="208">
        <v>0.55000000000000004</v>
      </c>
      <c r="Q30" s="245">
        <f t="shared" si="0"/>
        <v>0.55000000000000004</v>
      </c>
      <c r="R30" s="208">
        <v>15.4</v>
      </c>
      <c r="S30" s="208">
        <v>129</v>
      </c>
      <c r="T30" s="217">
        <f t="shared" si="1"/>
        <v>30</v>
      </c>
      <c r="U30" s="208">
        <v>498</v>
      </c>
      <c r="V30" s="217">
        <f t="shared" si="2"/>
        <v>3735</v>
      </c>
      <c r="W30" s="208">
        <v>2</v>
      </c>
      <c r="X30" s="216" t="s">
        <v>39</v>
      </c>
      <c r="Y30" s="216" t="s">
        <v>90</v>
      </c>
      <c r="Z30" s="216" t="s">
        <v>50</v>
      </c>
      <c r="AA30" s="216" t="s">
        <v>78</v>
      </c>
      <c r="AB30" s="216" t="s">
        <v>330</v>
      </c>
    </row>
    <row r="31" spans="1:48" x14ac:dyDescent="0.15">
      <c r="A31" s="216" t="s">
        <v>34</v>
      </c>
      <c r="B31" s="208" t="s">
        <v>328</v>
      </c>
      <c r="C31" s="208">
        <v>2018</v>
      </c>
      <c r="D31" s="250" t="s">
        <v>407</v>
      </c>
      <c r="E31" s="237" t="s">
        <v>279</v>
      </c>
      <c r="F31" s="237" t="s">
        <v>323</v>
      </c>
      <c r="G31" s="216" t="s">
        <v>36</v>
      </c>
      <c r="H31" s="208" t="s">
        <v>157</v>
      </c>
      <c r="I31" s="216" t="s">
        <v>153</v>
      </c>
      <c r="J31" s="216" t="s">
        <v>38</v>
      </c>
      <c r="K31" s="216" t="s">
        <v>154</v>
      </c>
      <c r="L31" s="208">
        <v>3</v>
      </c>
      <c r="N31" s="208">
        <v>4</v>
      </c>
      <c r="O31" s="208">
        <v>0.2</v>
      </c>
      <c r="P31" s="208">
        <v>0.5</v>
      </c>
      <c r="Q31" s="245">
        <f t="shared" si="0"/>
        <v>0.35</v>
      </c>
      <c r="R31" s="208">
        <v>16.3</v>
      </c>
      <c r="S31" s="208">
        <v>132</v>
      </c>
      <c r="T31" s="217">
        <f t="shared" si="1"/>
        <v>30</v>
      </c>
      <c r="U31" s="208">
        <v>498</v>
      </c>
      <c r="V31" s="217">
        <f t="shared" si="2"/>
        <v>3735</v>
      </c>
      <c r="W31" s="208">
        <v>2</v>
      </c>
      <c r="X31" s="216" t="s">
        <v>39</v>
      </c>
      <c r="Y31" s="216" t="s">
        <v>90</v>
      </c>
      <c r="Z31" s="216" t="s">
        <v>50</v>
      </c>
      <c r="AA31" s="216" t="s">
        <v>78</v>
      </c>
      <c r="AB31" s="216" t="s">
        <v>330</v>
      </c>
    </row>
    <row r="32" spans="1:48" x14ac:dyDescent="0.15">
      <c r="A32" s="216" t="s">
        <v>34</v>
      </c>
      <c r="B32" s="208" t="s">
        <v>328</v>
      </c>
      <c r="C32" s="208">
        <v>2018</v>
      </c>
      <c r="D32" s="250" t="s">
        <v>407</v>
      </c>
      <c r="E32" s="237" t="s">
        <v>321</v>
      </c>
      <c r="F32" s="237" t="s">
        <v>322</v>
      </c>
      <c r="G32" s="216" t="s">
        <v>36</v>
      </c>
      <c r="H32" s="208" t="s">
        <v>155</v>
      </c>
      <c r="I32" s="216" t="s">
        <v>153</v>
      </c>
      <c r="J32" s="216" t="s">
        <v>38</v>
      </c>
      <c r="K32" s="216" t="s">
        <v>154</v>
      </c>
      <c r="L32" s="216">
        <v>1</v>
      </c>
      <c r="N32" s="208">
        <v>1</v>
      </c>
      <c r="O32" s="208">
        <v>0.75</v>
      </c>
      <c r="P32" s="208">
        <v>0.8</v>
      </c>
      <c r="Q32" s="245">
        <f t="shared" si="0"/>
        <v>0.77500000000000002</v>
      </c>
      <c r="R32" s="208">
        <v>14.6</v>
      </c>
      <c r="S32" s="208">
        <v>127</v>
      </c>
      <c r="T32" s="217">
        <f t="shared" si="1"/>
        <v>30</v>
      </c>
      <c r="U32" s="208">
        <v>116</v>
      </c>
      <c r="V32" s="217">
        <f t="shared" si="2"/>
        <v>3480</v>
      </c>
      <c r="W32" s="208">
        <v>1</v>
      </c>
      <c r="X32" s="216" t="s">
        <v>46</v>
      </c>
      <c r="Y32" s="216" t="s">
        <v>69</v>
      </c>
      <c r="Z32" s="216" t="s">
        <v>84</v>
      </c>
      <c r="AA32" s="216" t="s">
        <v>78</v>
      </c>
      <c r="AB32" s="216" t="s">
        <v>330</v>
      </c>
    </row>
    <row r="33" spans="1:28" x14ac:dyDescent="0.15">
      <c r="A33" s="216" t="s">
        <v>34</v>
      </c>
      <c r="B33" s="208" t="s">
        <v>328</v>
      </c>
      <c r="C33" s="208">
        <v>2018</v>
      </c>
      <c r="D33" s="250" t="s">
        <v>407</v>
      </c>
      <c r="E33" s="237" t="s">
        <v>321</v>
      </c>
      <c r="F33" s="237" t="s">
        <v>322</v>
      </c>
      <c r="G33" s="216" t="s">
        <v>36</v>
      </c>
      <c r="H33" s="208" t="s">
        <v>155</v>
      </c>
      <c r="I33" s="216" t="s">
        <v>153</v>
      </c>
      <c r="J33" s="216" t="s">
        <v>38</v>
      </c>
      <c r="K33" s="216" t="s">
        <v>154</v>
      </c>
      <c r="L33" s="208">
        <v>2</v>
      </c>
      <c r="N33" s="208">
        <v>1</v>
      </c>
      <c r="O33" s="208">
        <v>0.75</v>
      </c>
      <c r="P33" s="208">
        <v>0.6</v>
      </c>
      <c r="Q33" s="245">
        <f t="shared" si="0"/>
        <v>0.67500000000000004</v>
      </c>
      <c r="R33" s="208">
        <v>13</v>
      </c>
      <c r="S33" s="208">
        <v>131</v>
      </c>
      <c r="T33" s="217">
        <f t="shared" si="1"/>
        <v>30</v>
      </c>
      <c r="U33" s="208">
        <v>116</v>
      </c>
      <c r="V33" s="217">
        <f t="shared" si="2"/>
        <v>3480</v>
      </c>
      <c r="W33" s="208">
        <v>1</v>
      </c>
      <c r="X33" s="216" t="s">
        <v>46</v>
      </c>
      <c r="Y33" s="216" t="s">
        <v>69</v>
      </c>
      <c r="Z33" s="216" t="s">
        <v>84</v>
      </c>
      <c r="AA33" s="216" t="s">
        <v>78</v>
      </c>
      <c r="AB33" s="216" t="s">
        <v>330</v>
      </c>
    </row>
    <row r="34" spans="1:28" x14ac:dyDescent="0.15">
      <c r="A34" s="216" t="s">
        <v>34</v>
      </c>
      <c r="B34" s="208" t="s">
        <v>328</v>
      </c>
      <c r="C34" s="208">
        <v>2018</v>
      </c>
      <c r="D34" s="250" t="s">
        <v>407</v>
      </c>
      <c r="E34" s="237" t="s">
        <v>321</v>
      </c>
      <c r="F34" s="237" t="s">
        <v>322</v>
      </c>
      <c r="G34" s="216" t="s">
        <v>36</v>
      </c>
      <c r="H34" s="208" t="s">
        <v>155</v>
      </c>
      <c r="I34" s="216" t="s">
        <v>153</v>
      </c>
      <c r="J34" s="216" t="s">
        <v>38</v>
      </c>
      <c r="K34" s="216" t="s">
        <v>154</v>
      </c>
      <c r="L34" s="208">
        <v>3</v>
      </c>
      <c r="N34" s="208">
        <v>1</v>
      </c>
      <c r="O34" s="208">
        <v>0.6</v>
      </c>
      <c r="P34" s="208">
        <v>0.6</v>
      </c>
      <c r="Q34" s="245">
        <f>IF(OR(O34="",P34=""),"",AVERAGE(O34,P34))</f>
        <v>0.6</v>
      </c>
      <c r="R34" s="208">
        <v>12.8</v>
      </c>
      <c r="S34" s="208">
        <v>129</v>
      </c>
      <c r="T34" s="217">
        <f t="shared" si="1"/>
        <v>30</v>
      </c>
      <c r="U34" s="208">
        <v>116</v>
      </c>
      <c r="V34" s="217">
        <f t="shared" si="2"/>
        <v>3480</v>
      </c>
      <c r="W34" s="208">
        <v>1</v>
      </c>
      <c r="X34" s="216" t="s">
        <v>46</v>
      </c>
      <c r="Y34" s="216" t="s">
        <v>69</v>
      </c>
      <c r="Z34" s="216" t="s">
        <v>84</v>
      </c>
      <c r="AA34" s="216" t="s">
        <v>78</v>
      </c>
      <c r="AB34" s="216" t="s">
        <v>330</v>
      </c>
    </row>
    <row r="35" spans="1:28" x14ac:dyDescent="0.15">
      <c r="A35" s="216" t="s">
        <v>34</v>
      </c>
      <c r="B35" s="208" t="s">
        <v>328</v>
      </c>
      <c r="C35" s="208">
        <v>2018</v>
      </c>
      <c r="D35" s="250" t="s">
        <v>407</v>
      </c>
      <c r="E35" s="237" t="s">
        <v>321</v>
      </c>
      <c r="F35" s="237" t="s">
        <v>322</v>
      </c>
      <c r="G35" s="216" t="s">
        <v>36</v>
      </c>
      <c r="H35" s="208" t="s">
        <v>157</v>
      </c>
      <c r="I35" s="216" t="s">
        <v>153</v>
      </c>
      <c r="J35" s="216" t="s">
        <v>38</v>
      </c>
      <c r="K35" s="216" t="s">
        <v>154</v>
      </c>
      <c r="L35" s="216">
        <v>1</v>
      </c>
      <c r="N35" s="208">
        <v>1</v>
      </c>
      <c r="O35" s="208">
        <v>0.6</v>
      </c>
      <c r="P35" s="208">
        <v>0.5</v>
      </c>
      <c r="Q35" s="245">
        <f t="shared" ref="Q35:Q36" si="3">IF(OR(O35="",P35=""),"",AVERAGE(O35,P35))</f>
        <v>0.55000000000000004</v>
      </c>
      <c r="R35" s="208">
        <v>14.6</v>
      </c>
      <c r="S35" s="208">
        <v>159</v>
      </c>
      <c r="T35" s="217">
        <f t="shared" si="1"/>
        <v>18</v>
      </c>
      <c r="U35" s="208">
        <v>116</v>
      </c>
      <c r="V35" s="217">
        <f t="shared" si="2"/>
        <v>2088</v>
      </c>
      <c r="W35" s="208">
        <v>4</v>
      </c>
      <c r="X35" s="216" t="s">
        <v>46</v>
      </c>
      <c r="Y35" s="216" t="s">
        <v>69</v>
      </c>
      <c r="Z35" s="216" t="s">
        <v>84</v>
      </c>
      <c r="AA35" s="216" t="s">
        <v>78</v>
      </c>
      <c r="AB35" s="216" t="s">
        <v>330</v>
      </c>
    </row>
    <row r="36" spans="1:28" x14ac:dyDescent="0.15">
      <c r="A36" s="216" t="s">
        <v>34</v>
      </c>
      <c r="B36" s="208" t="s">
        <v>328</v>
      </c>
      <c r="C36" s="208">
        <v>2018</v>
      </c>
      <c r="D36" s="250" t="s">
        <v>407</v>
      </c>
      <c r="E36" s="237" t="s">
        <v>321</v>
      </c>
      <c r="F36" s="237" t="s">
        <v>322</v>
      </c>
      <c r="G36" s="216" t="s">
        <v>36</v>
      </c>
      <c r="H36" s="208" t="s">
        <v>157</v>
      </c>
      <c r="I36" s="216" t="s">
        <v>153</v>
      </c>
      <c r="J36" s="216" t="s">
        <v>38</v>
      </c>
      <c r="K36" s="216" t="s">
        <v>154</v>
      </c>
      <c r="L36" s="208">
        <v>2</v>
      </c>
      <c r="N36" s="208">
        <v>1</v>
      </c>
      <c r="O36" s="208">
        <v>0.65</v>
      </c>
      <c r="P36" s="208">
        <v>0.65</v>
      </c>
      <c r="Q36" s="245">
        <f t="shared" si="3"/>
        <v>0.65</v>
      </c>
      <c r="R36" s="208">
        <v>14.4</v>
      </c>
      <c r="S36" s="208">
        <v>159</v>
      </c>
      <c r="T36" s="217">
        <f t="shared" si="1"/>
        <v>18</v>
      </c>
      <c r="U36" s="208">
        <v>116</v>
      </c>
      <c r="V36" s="217">
        <f t="shared" si="2"/>
        <v>2088</v>
      </c>
      <c r="W36" s="208">
        <v>4</v>
      </c>
      <c r="X36" s="216" t="s">
        <v>46</v>
      </c>
      <c r="Y36" s="216" t="s">
        <v>69</v>
      </c>
      <c r="Z36" s="216" t="s">
        <v>84</v>
      </c>
      <c r="AA36" s="216" t="s">
        <v>78</v>
      </c>
      <c r="AB36" s="216" t="s">
        <v>330</v>
      </c>
    </row>
    <row r="37" spans="1:28" x14ac:dyDescent="0.15">
      <c r="A37" s="216" t="s">
        <v>34</v>
      </c>
      <c r="B37" s="208" t="s">
        <v>328</v>
      </c>
      <c r="C37" s="208">
        <v>2018</v>
      </c>
      <c r="D37" s="250" t="s">
        <v>407</v>
      </c>
      <c r="E37" s="237" t="s">
        <v>321</v>
      </c>
      <c r="F37" s="237" t="s">
        <v>322</v>
      </c>
      <c r="G37" s="216" t="s">
        <v>36</v>
      </c>
      <c r="H37" s="208" t="s">
        <v>157</v>
      </c>
      <c r="I37" s="216" t="s">
        <v>153</v>
      </c>
      <c r="J37" s="216" t="s">
        <v>38</v>
      </c>
      <c r="K37" s="216" t="s">
        <v>154</v>
      </c>
      <c r="L37" s="208">
        <v>3</v>
      </c>
      <c r="N37" s="208">
        <v>1</v>
      </c>
      <c r="O37" s="208">
        <v>0.65</v>
      </c>
      <c r="P37" s="208">
        <v>0.6</v>
      </c>
      <c r="Q37" s="245">
        <f>IF(OR(O37="",P37=""),"",AVERAGE(O37,P37))</f>
        <v>0.625</v>
      </c>
      <c r="R37" s="208">
        <v>15.1</v>
      </c>
      <c r="S37" s="208">
        <v>163</v>
      </c>
      <c r="T37" s="217">
        <f t="shared" si="1"/>
        <v>18</v>
      </c>
      <c r="U37" s="208">
        <v>116</v>
      </c>
      <c r="V37" s="217">
        <f t="shared" si="2"/>
        <v>2088</v>
      </c>
      <c r="W37" s="208">
        <v>4</v>
      </c>
      <c r="X37" s="216" t="s">
        <v>46</v>
      </c>
      <c r="Y37" s="216" t="s">
        <v>69</v>
      </c>
      <c r="Z37" s="216" t="s">
        <v>84</v>
      </c>
      <c r="AA37" s="216" t="s">
        <v>78</v>
      </c>
      <c r="AB37" s="216" t="s">
        <v>330</v>
      </c>
    </row>
    <row r="38" spans="1:28" x14ac:dyDescent="0.15">
      <c r="A38" s="216" t="s">
        <v>34</v>
      </c>
      <c r="B38" s="208" t="s">
        <v>328</v>
      </c>
      <c r="C38" s="208">
        <v>2018</v>
      </c>
      <c r="D38" s="250" t="s">
        <v>407</v>
      </c>
      <c r="E38" s="237" t="s">
        <v>159</v>
      </c>
      <c r="F38" s="237" t="s">
        <v>326</v>
      </c>
      <c r="G38" s="216" t="s">
        <v>36</v>
      </c>
      <c r="H38" s="208" t="s">
        <v>155</v>
      </c>
      <c r="I38" s="216" t="s">
        <v>153</v>
      </c>
      <c r="J38" s="216" t="s">
        <v>38</v>
      </c>
      <c r="K38" s="216" t="s">
        <v>154</v>
      </c>
      <c r="L38" s="216">
        <v>1</v>
      </c>
      <c r="N38" s="208">
        <v>1</v>
      </c>
      <c r="O38" s="208">
        <v>0.5</v>
      </c>
      <c r="P38" s="208">
        <v>0.2</v>
      </c>
      <c r="Q38" s="245">
        <f t="shared" ref="Q38:Q39" si="4">IF(OR(O38="",P38=""),"",AVERAGE(O38,P38))</f>
        <v>0.35</v>
      </c>
      <c r="R38" s="208">
        <v>14</v>
      </c>
      <c r="S38" s="208">
        <v>139</v>
      </c>
      <c r="T38" s="217">
        <f t="shared" si="1"/>
        <v>30</v>
      </c>
      <c r="U38" s="208">
        <v>137</v>
      </c>
      <c r="V38" s="217">
        <f t="shared" si="2"/>
        <v>4110</v>
      </c>
      <c r="W38" s="208">
        <v>3</v>
      </c>
      <c r="X38" s="216" t="s">
        <v>46</v>
      </c>
      <c r="Y38" s="216" t="s">
        <v>50</v>
      </c>
      <c r="Z38" s="216" t="s">
        <v>69</v>
      </c>
      <c r="AA38" s="216" t="s">
        <v>84</v>
      </c>
      <c r="AB38" s="216" t="s">
        <v>330</v>
      </c>
    </row>
    <row r="39" spans="1:28" x14ac:dyDescent="0.15">
      <c r="A39" s="216" t="s">
        <v>34</v>
      </c>
      <c r="B39" s="208" t="s">
        <v>328</v>
      </c>
      <c r="C39" s="208">
        <v>2018</v>
      </c>
      <c r="D39" s="250" t="s">
        <v>407</v>
      </c>
      <c r="E39" s="237" t="s">
        <v>159</v>
      </c>
      <c r="F39" s="237" t="s">
        <v>326</v>
      </c>
      <c r="G39" s="216" t="s">
        <v>36</v>
      </c>
      <c r="H39" s="208" t="s">
        <v>155</v>
      </c>
      <c r="I39" s="216" t="s">
        <v>153</v>
      </c>
      <c r="J39" s="216" t="s">
        <v>38</v>
      </c>
      <c r="K39" s="216" t="s">
        <v>154</v>
      </c>
      <c r="L39" s="208">
        <v>2</v>
      </c>
      <c r="N39" s="208">
        <v>1</v>
      </c>
      <c r="O39" s="208">
        <v>0.2</v>
      </c>
      <c r="P39" s="208">
        <v>0.2</v>
      </c>
      <c r="Q39" s="245">
        <f t="shared" si="4"/>
        <v>0.2</v>
      </c>
      <c r="R39" s="208">
        <v>14.3</v>
      </c>
      <c r="S39" s="208">
        <v>145</v>
      </c>
      <c r="T39" s="217">
        <f t="shared" si="1"/>
        <v>30</v>
      </c>
      <c r="U39" s="208">
        <v>137</v>
      </c>
      <c r="V39" s="217">
        <f t="shared" si="2"/>
        <v>4110</v>
      </c>
      <c r="W39" s="208">
        <v>3</v>
      </c>
      <c r="X39" s="216" t="s">
        <v>46</v>
      </c>
      <c r="Y39" s="216" t="s">
        <v>50</v>
      </c>
      <c r="Z39" s="216" t="s">
        <v>69</v>
      </c>
      <c r="AA39" s="216" t="s">
        <v>84</v>
      </c>
      <c r="AB39" s="216" t="s">
        <v>330</v>
      </c>
    </row>
    <row r="40" spans="1:28" x14ac:dyDescent="0.15">
      <c r="A40" s="216" t="s">
        <v>34</v>
      </c>
      <c r="B40" s="208" t="s">
        <v>328</v>
      </c>
      <c r="C40" s="208">
        <v>2018</v>
      </c>
      <c r="D40" s="250" t="s">
        <v>407</v>
      </c>
      <c r="E40" s="237" t="s">
        <v>159</v>
      </c>
      <c r="F40" s="237" t="s">
        <v>326</v>
      </c>
      <c r="G40" s="216" t="s">
        <v>36</v>
      </c>
      <c r="H40" s="208" t="s">
        <v>155</v>
      </c>
      <c r="I40" s="216" t="s">
        <v>153</v>
      </c>
      <c r="J40" s="216" t="s">
        <v>38</v>
      </c>
      <c r="K40" s="216" t="s">
        <v>154</v>
      </c>
      <c r="L40" s="208">
        <v>3</v>
      </c>
      <c r="N40" s="208">
        <v>1</v>
      </c>
      <c r="O40" s="208">
        <v>0.5</v>
      </c>
      <c r="P40" s="208">
        <v>0.7</v>
      </c>
      <c r="Q40" s="245">
        <f>IF(OR(O40="",P40=""),"",AVERAGE(O40,P40))</f>
        <v>0.6</v>
      </c>
      <c r="R40" s="208">
        <v>14.3</v>
      </c>
      <c r="S40" s="208">
        <v>148</v>
      </c>
      <c r="T40" s="217">
        <f t="shared" si="1"/>
        <v>30</v>
      </c>
      <c r="U40" s="208">
        <v>137</v>
      </c>
      <c r="V40" s="217">
        <f t="shared" si="2"/>
        <v>4110</v>
      </c>
      <c r="W40" s="208">
        <v>3</v>
      </c>
      <c r="X40" s="216" t="s">
        <v>46</v>
      </c>
      <c r="Y40" s="216" t="s">
        <v>50</v>
      </c>
      <c r="Z40" s="216" t="s">
        <v>69</v>
      </c>
      <c r="AA40" s="216" t="s">
        <v>84</v>
      </c>
      <c r="AB40" s="216" t="s">
        <v>330</v>
      </c>
    </row>
    <row r="41" spans="1:28" x14ac:dyDescent="0.15">
      <c r="A41" s="216" t="s">
        <v>34</v>
      </c>
      <c r="B41" s="208" t="s">
        <v>328</v>
      </c>
      <c r="C41" s="208">
        <v>2018</v>
      </c>
      <c r="D41" s="250" t="s">
        <v>407</v>
      </c>
      <c r="E41" s="237" t="s">
        <v>159</v>
      </c>
      <c r="F41" s="237" t="s">
        <v>326</v>
      </c>
      <c r="G41" s="216" t="s">
        <v>36</v>
      </c>
      <c r="H41" s="208" t="s">
        <v>155</v>
      </c>
      <c r="I41" s="216" t="s">
        <v>153</v>
      </c>
      <c r="J41" s="216" t="s">
        <v>38</v>
      </c>
      <c r="K41" s="216" t="s">
        <v>154</v>
      </c>
      <c r="L41" s="216">
        <v>1</v>
      </c>
      <c r="N41" s="208">
        <v>4</v>
      </c>
      <c r="O41" s="208">
        <v>0.5</v>
      </c>
      <c r="P41" s="208">
        <v>0.45</v>
      </c>
      <c r="Q41" s="245">
        <f t="shared" si="0"/>
        <v>0.47499999999999998</v>
      </c>
      <c r="R41" s="208">
        <v>14</v>
      </c>
      <c r="S41" s="208">
        <v>142</v>
      </c>
      <c r="T41" s="217">
        <f t="shared" si="1"/>
        <v>30</v>
      </c>
      <c r="U41" s="208">
        <v>515</v>
      </c>
      <c r="V41" s="217">
        <f t="shared" si="2"/>
        <v>3862.5</v>
      </c>
      <c r="W41" s="208">
        <v>3</v>
      </c>
      <c r="X41" s="216" t="s">
        <v>46</v>
      </c>
      <c r="Y41" s="216" t="s">
        <v>50</v>
      </c>
      <c r="Z41" s="216" t="s">
        <v>69</v>
      </c>
      <c r="AA41" s="216" t="s">
        <v>84</v>
      </c>
      <c r="AB41" s="216" t="s">
        <v>330</v>
      </c>
    </row>
    <row r="42" spans="1:28" x14ac:dyDescent="0.15">
      <c r="A42" s="216" t="s">
        <v>34</v>
      </c>
      <c r="B42" s="208" t="s">
        <v>328</v>
      </c>
      <c r="C42" s="208">
        <v>2018</v>
      </c>
      <c r="D42" s="250" t="s">
        <v>407</v>
      </c>
      <c r="E42" s="237" t="s">
        <v>159</v>
      </c>
      <c r="F42" s="237" t="s">
        <v>326</v>
      </c>
      <c r="G42" s="216" t="s">
        <v>36</v>
      </c>
      <c r="H42" s="208" t="s">
        <v>155</v>
      </c>
      <c r="I42" s="216" t="s">
        <v>153</v>
      </c>
      <c r="J42" s="216" t="s">
        <v>38</v>
      </c>
      <c r="K42" s="216" t="s">
        <v>154</v>
      </c>
      <c r="L42" s="208">
        <v>2</v>
      </c>
      <c r="N42" s="208">
        <v>4</v>
      </c>
      <c r="O42" s="208">
        <v>0.5</v>
      </c>
      <c r="P42" s="208">
        <v>0.55000000000000004</v>
      </c>
      <c r="Q42" s="245">
        <f t="shared" si="0"/>
        <v>0.52500000000000002</v>
      </c>
      <c r="R42" s="208">
        <v>13.9</v>
      </c>
      <c r="S42" s="208">
        <v>143</v>
      </c>
      <c r="T42" s="217">
        <f t="shared" si="1"/>
        <v>30</v>
      </c>
      <c r="U42" s="208">
        <v>515</v>
      </c>
      <c r="V42" s="217">
        <f t="shared" si="2"/>
        <v>3862.5</v>
      </c>
      <c r="W42" s="208">
        <v>3</v>
      </c>
      <c r="X42" s="216" t="s">
        <v>46</v>
      </c>
      <c r="Y42" s="216" t="s">
        <v>50</v>
      </c>
      <c r="Z42" s="216" t="s">
        <v>69</v>
      </c>
      <c r="AA42" s="216" t="s">
        <v>84</v>
      </c>
      <c r="AB42" s="216" t="s">
        <v>330</v>
      </c>
    </row>
    <row r="43" spans="1:28" x14ac:dyDescent="0.15">
      <c r="A43" s="216" t="s">
        <v>34</v>
      </c>
      <c r="B43" s="208" t="s">
        <v>328</v>
      </c>
      <c r="C43" s="208">
        <v>2018</v>
      </c>
      <c r="D43" s="250" t="s">
        <v>407</v>
      </c>
      <c r="E43" s="237" t="s">
        <v>159</v>
      </c>
      <c r="F43" s="237" t="s">
        <v>326</v>
      </c>
      <c r="G43" s="216" t="s">
        <v>36</v>
      </c>
      <c r="H43" s="208" t="s">
        <v>155</v>
      </c>
      <c r="I43" s="216" t="s">
        <v>153</v>
      </c>
      <c r="J43" s="216" t="s">
        <v>38</v>
      </c>
      <c r="K43" s="216" t="s">
        <v>154</v>
      </c>
      <c r="L43" s="208">
        <v>3</v>
      </c>
      <c r="N43" s="208">
        <v>4</v>
      </c>
      <c r="O43" s="208">
        <v>0.6</v>
      </c>
      <c r="P43" s="208">
        <v>0.55000000000000004</v>
      </c>
      <c r="Q43" s="245">
        <f t="shared" si="0"/>
        <v>0.57499999999999996</v>
      </c>
      <c r="R43" s="208">
        <v>14.4</v>
      </c>
      <c r="S43" s="208">
        <v>137</v>
      </c>
      <c r="T43" s="217">
        <f t="shared" si="1"/>
        <v>30</v>
      </c>
      <c r="U43" s="208">
        <v>515</v>
      </c>
      <c r="V43" s="217">
        <f t="shared" si="2"/>
        <v>3862.5</v>
      </c>
      <c r="W43" s="208">
        <v>3</v>
      </c>
      <c r="X43" s="216" t="s">
        <v>46</v>
      </c>
      <c r="Y43" s="216" t="s">
        <v>50</v>
      </c>
      <c r="Z43" s="216" t="s">
        <v>69</v>
      </c>
      <c r="AA43" s="216" t="s">
        <v>84</v>
      </c>
      <c r="AB43" s="216" t="s">
        <v>330</v>
      </c>
    </row>
    <row r="44" spans="1:28" x14ac:dyDescent="0.15">
      <c r="A44" s="216" t="s">
        <v>34</v>
      </c>
      <c r="B44" s="208" t="s">
        <v>328</v>
      </c>
      <c r="C44" s="208">
        <v>2018</v>
      </c>
      <c r="D44" s="250" t="s">
        <v>407</v>
      </c>
      <c r="E44" s="237" t="s">
        <v>159</v>
      </c>
      <c r="F44" s="237" t="s">
        <v>326</v>
      </c>
      <c r="G44" s="216" t="s">
        <v>36</v>
      </c>
      <c r="H44" s="208" t="s">
        <v>157</v>
      </c>
      <c r="I44" s="216" t="s">
        <v>153</v>
      </c>
      <c r="J44" s="216" t="s">
        <v>38</v>
      </c>
      <c r="K44" s="216" t="s">
        <v>154</v>
      </c>
      <c r="L44" s="216">
        <v>1</v>
      </c>
      <c r="N44" s="208">
        <v>1</v>
      </c>
      <c r="O44" s="208">
        <v>0.2</v>
      </c>
      <c r="P44" s="208">
        <v>0.2</v>
      </c>
      <c r="Q44" s="245">
        <f t="shared" si="0"/>
        <v>0.2</v>
      </c>
      <c r="R44" s="208">
        <v>16.899999999999999</v>
      </c>
      <c r="S44" s="208">
        <v>147</v>
      </c>
      <c r="T44" s="217">
        <f t="shared" si="1"/>
        <v>30</v>
      </c>
      <c r="U44" s="208">
        <v>137</v>
      </c>
      <c r="V44" s="217">
        <f t="shared" si="2"/>
        <v>4110</v>
      </c>
      <c r="W44" s="208">
        <v>3</v>
      </c>
      <c r="X44" s="216" t="s">
        <v>46</v>
      </c>
      <c r="Y44" s="216" t="s">
        <v>50</v>
      </c>
      <c r="Z44" s="216" t="s">
        <v>69</v>
      </c>
      <c r="AA44" s="216" t="s">
        <v>84</v>
      </c>
      <c r="AB44" s="216" t="s">
        <v>330</v>
      </c>
    </row>
    <row r="45" spans="1:28" x14ac:dyDescent="0.15">
      <c r="A45" s="216" t="s">
        <v>34</v>
      </c>
      <c r="B45" s="208" t="s">
        <v>328</v>
      </c>
      <c r="C45" s="208">
        <v>2018</v>
      </c>
      <c r="D45" s="250" t="s">
        <v>407</v>
      </c>
      <c r="E45" s="237" t="s">
        <v>159</v>
      </c>
      <c r="F45" s="237" t="s">
        <v>326</v>
      </c>
      <c r="G45" s="216" t="s">
        <v>36</v>
      </c>
      <c r="H45" s="208" t="s">
        <v>157</v>
      </c>
      <c r="I45" s="216" t="s">
        <v>153</v>
      </c>
      <c r="J45" s="216" t="s">
        <v>38</v>
      </c>
      <c r="K45" s="216" t="s">
        <v>154</v>
      </c>
      <c r="L45" s="208">
        <v>2</v>
      </c>
      <c r="N45" s="208">
        <v>1</v>
      </c>
      <c r="O45" s="208">
        <v>0.2</v>
      </c>
      <c r="P45" s="208">
        <v>0.55000000000000004</v>
      </c>
      <c r="Q45" s="245">
        <f t="shared" si="0"/>
        <v>0.375</v>
      </c>
      <c r="R45" s="208">
        <v>16.100000000000001</v>
      </c>
      <c r="S45" s="208">
        <v>176</v>
      </c>
      <c r="T45" s="217">
        <f t="shared" si="1"/>
        <v>18</v>
      </c>
      <c r="U45" s="208">
        <v>137</v>
      </c>
      <c r="V45" s="217">
        <f t="shared" si="2"/>
        <v>2466</v>
      </c>
      <c r="W45" s="208">
        <v>3</v>
      </c>
      <c r="X45" s="216" t="s">
        <v>46</v>
      </c>
      <c r="Y45" s="216" t="s">
        <v>50</v>
      </c>
      <c r="Z45" s="216" t="s">
        <v>69</v>
      </c>
      <c r="AA45" s="216" t="s">
        <v>84</v>
      </c>
      <c r="AB45" s="216" t="s">
        <v>330</v>
      </c>
    </row>
    <row r="46" spans="1:28" x14ac:dyDescent="0.15">
      <c r="A46" s="216" t="s">
        <v>34</v>
      </c>
      <c r="B46" s="208" t="s">
        <v>328</v>
      </c>
      <c r="C46" s="208">
        <v>2018</v>
      </c>
      <c r="D46" s="250" t="s">
        <v>407</v>
      </c>
      <c r="E46" s="237" t="s">
        <v>159</v>
      </c>
      <c r="F46" s="237" t="s">
        <v>326</v>
      </c>
      <c r="G46" s="216" t="s">
        <v>36</v>
      </c>
      <c r="H46" s="208" t="s">
        <v>157</v>
      </c>
      <c r="I46" s="216" t="s">
        <v>153</v>
      </c>
      <c r="J46" s="216" t="s">
        <v>38</v>
      </c>
      <c r="K46" s="216" t="s">
        <v>154</v>
      </c>
      <c r="L46" s="208">
        <v>3</v>
      </c>
      <c r="N46" s="208">
        <v>1</v>
      </c>
      <c r="O46" s="208">
        <v>0.6</v>
      </c>
      <c r="P46" s="208">
        <v>0.75</v>
      </c>
      <c r="Q46" s="245">
        <f t="shared" si="0"/>
        <v>0.67500000000000004</v>
      </c>
      <c r="R46" s="208">
        <v>13.9</v>
      </c>
      <c r="S46" s="208">
        <v>152</v>
      </c>
      <c r="T46" s="217">
        <f t="shared" si="1"/>
        <v>18</v>
      </c>
      <c r="U46" s="208">
        <v>137</v>
      </c>
      <c r="V46" s="217">
        <f t="shared" si="2"/>
        <v>2466</v>
      </c>
      <c r="W46" s="208">
        <v>3</v>
      </c>
      <c r="X46" s="216" t="s">
        <v>46</v>
      </c>
      <c r="Y46" s="216" t="s">
        <v>50</v>
      </c>
      <c r="Z46" s="216" t="s">
        <v>69</v>
      </c>
      <c r="AA46" s="216" t="s">
        <v>84</v>
      </c>
      <c r="AB46" s="216" t="s">
        <v>330</v>
      </c>
    </row>
    <row r="47" spans="1:28" x14ac:dyDescent="0.15">
      <c r="A47" s="216" t="s">
        <v>34</v>
      </c>
      <c r="B47" s="208" t="s">
        <v>328</v>
      </c>
      <c r="C47" s="208">
        <v>2018</v>
      </c>
      <c r="D47" s="250" t="s">
        <v>407</v>
      </c>
      <c r="E47" s="237" t="s">
        <v>159</v>
      </c>
      <c r="F47" s="237" t="s">
        <v>326</v>
      </c>
      <c r="G47" s="216" t="s">
        <v>36</v>
      </c>
      <c r="H47" s="208" t="s">
        <v>157</v>
      </c>
      <c r="I47" s="216" t="s">
        <v>153</v>
      </c>
      <c r="J47" s="216" t="s">
        <v>38</v>
      </c>
      <c r="K47" s="216" t="s">
        <v>154</v>
      </c>
      <c r="L47" s="216">
        <v>1</v>
      </c>
      <c r="N47" s="208">
        <v>4</v>
      </c>
      <c r="O47" s="208">
        <v>0.45</v>
      </c>
      <c r="P47" s="208">
        <v>0.5</v>
      </c>
      <c r="Q47" s="245">
        <f t="shared" si="0"/>
        <v>0.47499999999999998</v>
      </c>
      <c r="R47" s="208">
        <v>15.3</v>
      </c>
      <c r="S47" s="208">
        <v>113</v>
      </c>
      <c r="T47" s="217">
        <f t="shared" si="1"/>
        <v>30</v>
      </c>
      <c r="U47" s="208">
        <v>515</v>
      </c>
      <c r="V47" s="217">
        <f t="shared" si="2"/>
        <v>3862.5</v>
      </c>
      <c r="W47" s="208">
        <v>3</v>
      </c>
      <c r="X47" s="216" t="s">
        <v>46</v>
      </c>
      <c r="Y47" s="216" t="s">
        <v>50</v>
      </c>
      <c r="Z47" s="216" t="s">
        <v>69</v>
      </c>
      <c r="AA47" s="216" t="s">
        <v>84</v>
      </c>
      <c r="AB47" s="216" t="s">
        <v>330</v>
      </c>
    </row>
    <row r="48" spans="1:28" x14ac:dyDescent="0.15">
      <c r="A48" s="216" t="s">
        <v>34</v>
      </c>
      <c r="B48" s="208" t="s">
        <v>328</v>
      </c>
      <c r="C48" s="208">
        <v>2018</v>
      </c>
      <c r="D48" s="250" t="s">
        <v>407</v>
      </c>
      <c r="E48" s="237" t="s">
        <v>159</v>
      </c>
      <c r="F48" s="237" t="s">
        <v>326</v>
      </c>
      <c r="G48" s="216" t="s">
        <v>36</v>
      </c>
      <c r="H48" s="208" t="s">
        <v>157</v>
      </c>
      <c r="I48" s="216" t="s">
        <v>153</v>
      </c>
      <c r="J48" s="216" t="s">
        <v>38</v>
      </c>
      <c r="K48" s="216" t="s">
        <v>154</v>
      </c>
      <c r="L48" s="208">
        <v>2</v>
      </c>
      <c r="N48" s="208">
        <v>4</v>
      </c>
      <c r="O48" s="208">
        <v>0.55000000000000004</v>
      </c>
      <c r="P48" s="208">
        <v>0.6</v>
      </c>
      <c r="Q48" s="245">
        <f t="shared" si="0"/>
        <v>0.57499999999999996</v>
      </c>
      <c r="R48" s="208">
        <v>13.7</v>
      </c>
      <c r="S48" s="208">
        <v>117</v>
      </c>
      <c r="T48" s="217">
        <f t="shared" si="1"/>
        <v>30</v>
      </c>
      <c r="U48" s="208">
        <v>515</v>
      </c>
      <c r="V48" s="217">
        <f t="shared" si="2"/>
        <v>3862.5</v>
      </c>
      <c r="W48" s="208">
        <v>3</v>
      </c>
      <c r="X48" s="216" t="s">
        <v>46</v>
      </c>
      <c r="Y48" s="216" t="s">
        <v>50</v>
      </c>
      <c r="Z48" s="216" t="s">
        <v>69</v>
      </c>
      <c r="AA48" s="216" t="s">
        <v>84</v>
      </c>
      <c r="AB48" s="216" t="s">
        <v>330</v>
      </c>
    </row>
    <row r="49" spans="1:28" x14ac:dyDescent="0.15">
      <c r="A49" s="216" t="s">
        <v>34</v>
      </c>
      <c r="B49" s="208" t="s">
        <v>328</v>
      </c>
      <c r="C49" s="208">
        <v>2018</v>
      </c>
      <c r="D49" s="250" t="s">
        <v>407</v>
      </c>
      <c r="E49" s="237" t="s">
        <v>159</v>
      </c>
      <c r="F49" s="237" t="s">
        <v>326</v>
      </c>
      <c r="G49" s="216" t="s">
        <v>36</v>
      </c>
      <c r="H49" s="208" t="s">
        <v>157</v>
      </c>
      <c r="I49" s="216" t="s">
        <v>153</v>
      </c>
      <c r="J49" s="216" t="s">
        <v>38</v>
      </c>
      <c r="K49" s="216" t="s">
        <v>154</v>
      </c>
      <c r="L49" s="208">
        <v>3</v>
      </c>
      <c r="N49" s="208">
        <v>4</v>
      </c>
      <c r="O49" s="208">
        <v>0.7</v>
      </c>
      <c r="P49" s="208">
        <v>0.65</v>
      </c>
      <c r="Q49" s="245">
        <f t="shared" si="0"/>
        <v>0.67500000000000004</v>
      </c>
      <c r="R49" s="208">
        <v>14.7</v>
      </c>
      <c r="S49" s="208">
        <v>114</v>
      </c>
      <c r="T49" s="217">
        <f t="shared" si="1"/>
        <v>30</v>
      </c>
      <c r="U49" s="208">
        <v>515</v>
      </c>
      <c r="V49" s="217">
        <f t="shared" si="2"/>
        <v>3862.5</v>
      </c>
      <c r="W49" s="208">
        <v>3</v>
      </c>
      <c r="X49" s="216" t="s">
        <v>46</v>
      </c>
      <c r="Y49" s="216" t="s">
        <v>50</v>
      </c>
      <c r="Z49" s="216" t="s">
        <v>69</v>
      </c>
      <c r="AA49" s="216" t="s">
        <v>84</v>
      </c>
      <c r="AB49" s="216" t="s">
        <v>330</v>
      </c>
    </row>
    <row r="50" spans="1:28" x14ac:dyDescent="0.15">
      <c r="A50" s="216" t="s">
        <v>34</v>
      </c>
      <c r="B50" s="208" t="s">
        <v>328</v>
      </c>
      <c r="C50" s="208">
        <v>2018</v>
      </c>
      <c r="D50" s="250" t="s">
        <v>407</v>
      </c>
      <c r="E50" s="237" t="s">
        <v>276</v>
      </c>
      <c r="F50" s="237" t="s">
        <v>311</v>
      </c>
      <c r="G50" s="216" t="s">
        <v>36</v>
      </c>
      <c r="H50" s="208" t="s">
        <v>155</v>
      </c>
      <c r="I50" s="216" t="s">
        <v>153</v>
      </c>
      <c r="J50" s="216" t="s">
        <v>38</v>
      </c>
      <c r="K50" s="216" t="s">
        <v>154</v>
      </c>
      <c r="L50" s="216">
        <v>1</v>
      </c>
      <c r="N50" s="208">
        <v>1</v>
      </c>
      <c r="O50" s="208">
        <v>0.6</v>
      </c>
      <c r="P50" s="208">
        <v>0.7</v>
      </c>
      <c r="Q50" s="245">
        <f t="shared" si="0"/>
        <v>0.64999999999999991</v>
      </c>
      <c r="R50" s="208">
        <v>14</v>
      </c>
      <c r="S50" s="208">
        <v>121</v>
      </c>
      <c r="T50" s="217">
        <f t="shared" si="1"/>
        <v>30</v>
      </c>
      <c r="U50" s="208">
        <v>105</v>
      </c>
      <c r="V50" s="217">
        <f t="shared" si="2"/>
        <v>3150</v>
      </c>
      <c r="W50" s="208">
        <v>3</v>
      </c>
      <c r="X50" s="216" t="s">
        <v>46</v>
      </c>
      <c r="Y50" s="216" t="s">
        <v>84</v>
      </c>
      <c r="Z50" s="216" t="s">
        <v>50</v>
      </c>
      <c r="AA50" s="216" t="s">
        <v>78</v>
      </c>
      <c r="AB50" s="216" t="s">
        <v>330</v>
      </c>
    </row>
    <row r="51" spans="1:28" x14ac:dyDescent="0.15">
      <c r="A51" s="216" t="s">
        <v>34</v>
      </c>
      <c r="B51" s="208" t="s">
        <v>328</v>
      </c>
      <c r="C51" s="208">
        <v>2018</v>
      </c>
      <c r="D51" s="250" t="s">
        <v>407</v>
      </c>
      <c r="E51" s="237" t="s">
        <v>276</v>
      </c>
      <c r="F51" s="237" t="s">
        <v>311</v>
      </c>
      <c r="G51" s="216" t="s">
        <v>36</v>
      </c>
      <c r="H51" s="208" t="s">
        <v>155</v>
      </c>
      <c r="I51" s="216" t="s">
        <v>153</v>
      </c>
      <c r="J51" s="216" t="s">
        <v>38</v>
      </c>
      <c r="K51" s="216" t="s">
        <v>154</v>
      </c>
      <c r="L51" s="208">
        <v>2</v>
      </c>
      <c r="N51" s="208">
        <v>1</v>
      </c>
      <c r="O51" s="208">
        <v>0.6</v>
      </c>
      <c r="P51" s="208">
        <v>0.7</v>
      </c>
      <c r="Q51" s="245">
        <f t="shared" si="0"/>
        <v>0.64999999999999991</v>
      </c>
      <c r="R51" s="208">
        <v>14.5</v>
      </c>
      <c r="S51" s="208">
        <v>121</v>
      </c>
      <c r="T51" s="217">
        <f t="shared" si="1"/>
        <v>30</v>
      </c>
      <c r="U51" s="208">
        <v>105</v>
      </c>
      <c r="V51" s="217">
        <f t="shared" si="2"/>
        <v>3150</v>
      </c>
      <c r="W51" s="208">
        <v>3</v>
      </c>
      <c r="X51" s="216" t="s">
        <v>46</v>
      </c>
      <c r="Y51" s="216" t="s">
        <v>84</v>
      </c>
      <c r="Z51" s="216" t="s">
        <v>50</v>
      </c>
      <c r="AA51" s="216" t="s">
        <v>78</v>
      </c>
      <c r="AB51" s="216" t="s">
        <v>330</v>
      </c>
    </row>
    <row r="52" spans="1:28" x14ac:dyDescent="0.15">
      <c r="A52" s="216" t="s">
        <v>34</v>
      </c>
      <c r="B52" s="208" t="s">
        <v>328</v>
      </c>
      <c r="C52" s="208">
        <v>2018</v>
      </c>
      <c r="D52" s="250" t="s">
        <v>407</v>
      </c>
      <c r="E52" s="237" t="s">
        <v>276</v>
      </c>
      <c r="F52" s="237" t="s">
        <v>311</v>
      </c>
      <c r="G52" s="216" t="s">
        <v>36</v>
      </c>
      <c r="H52" s="208" t="s">
        <v>155</v>
      </c>
      <c r="I52" s="216" t="s">
        <v>153</v>
      </c>
      <c r="J52" s="216" t="s">
        <v>38</v>
      </c>
      <c r="K52" s="216" t="s">
        <v>154</v>
      </c>
      <c r="L52" s="208">
        <v>3</v>
      </c>
      <c r="N52" s="208">
        <v>1</v>
      </c>
      <c r="O52" s="208">
        <v>0.6</v>
      </c>
      <c r="P52" s="208">
        <v>0.65</v>
      </c>
      <c r="Q52" s="245">
        <f t="shared" si="0"/>
        <v>0.625</v>
      </c>
      <c r="R52" s="208">
        <v>14.2</v>
      </c>
      <c r="S52" s="208">
        <v>123</v>
      </c>
      <c r="T52" s="217">
        <f t="shared" si="1"/>
        <v>30</v>
      </c>
      <c r="U52" s="208">
        <v>105</v>
      </c>
      <c r="V52" s="217">
        <f t="shared" si="2"/>
        <v>3150</v>
      </c>
      <c r="W52" s="208">
        <v>3</v>
      </c>
      <c r="X52" s="216" t="s">
        <v>46</v>
      </c>
      <c r="Y52" s="216" t="s">
        <v>84</v>
      </c>
      <c r="Z52" s="216" t="s">
        <v>50</v>
      </c>
      <c r="AA52" s="216" t="s">
        <v>78</v>
      </c>
      <c r="AB52" s="216" t="s">
        <v>330</v>
      </c>
    </row>
    <row r="53" spans="1:28" x14ac:dyDescent="0.15">
      <c r="A53" s="216" t="s">
        <v>34</v>
      </c>
      <c r="B53" s="208" t="s">
        <v>328</v>
      </c>
      <c r="C53" s="208">
        <v>2018</v>
      </c>
      <c r="D53" s="250" t="s">
        <v>407</v>
      </c>
      <c r="E53" s="237" t="s">
        <v>276</v>
      </c>
      <c r="F53" s="237" t="s">
        <v>311</v>
      </c>
      <c r="G53" s="216" t="s">
        <v>36</v>
      </c>
      <c r="H53" s="208" t="s">
        <v>155</v>
      </c>
      <c r="I53" s="216" t="s">
        <v>153</v>
      </c>
      <c r="J53" s="216" t="s">
        <v>38</v>
      </c>
      <c r="K53" s="216" t="s">
        <v>154</v>
      </c>
      <c r="L53" s="216">
        <v>1</v>
      </c>
      <c r="N53" s="208">
        <v>8</v>
      </c>
      <c r="O53" s="208">
        <v>1</v>
      </c>
      <c r="P53" s="208">
        <v>0.8</v>
      </c>
      <c r="Q53" s="245">
        <f t="shared" si="0"/>
        <v>0.9</v>
      </c>
      <c r="R53" s="208">
        <v>12.2</v>
      </c>
      <c r="S53" s="208">
        <v>102</v>
      </c>
      <c r="T53" s="217">
        <f t="shared" si="1"/>
        <v>33</v>
      </c>
      <c r="U53" s="208">
        <v>429</v>
      </c>
      <c r="V53" s="217">
        <f t="shared" si="2"/>
        <v>1769.625</v>
      </c>
      <c r="W53" s="208">
        <v>3</v>
      </c>
      <c r="X53" s="216" t="s">
        <v>46</v>
      </c>
      <c r="Y53" s="216" t="s">
        <v>84</v>
      </c>
      <c r="Z53" s="216" t="s">
        <v>50</v>
      </c>
      <c r="AA53" s="216" t="s">
        <v>78</v>
      </c>
      <c r="AB53" s="216" t="s">
        <v>330</v>
      </c>
    </row>
    <row r="54" spans="1:28" x14ac:dyDescent="0.15">
      <c r="A54" s="216" t="s">
        <v>34</v>
      </c>
      <c r="B54" s="208" t="s">
        <v>328</v>
      </c>
      <c r="C54" s="208">
        <v>2018</v>
      </c>
      <c r="D54" s="250" t="s">
        <v>407</v>
      </c>
      <c r="E54" s="237" t="s">
        <v>276</v>
      </c>
      <c r="F54" s="237" t="s">
        <v>311</v>
      </c>
      <c r="G54" s="216" t="s">
        <v>36</v>
      </c>
      <c r="H54" s="208" t="s">
        <v>155</v>
      </c>
      <c r="I54" s="216" t="s">
        <v>153</v>
      </c>
      <c r="J54" s="216" t="s">
        <v>38</v>
      </c>
      <c r="K54" s="216" t="s">
        <v>154</v>
      </c>
      <c r="L54" s="208">
        <v>2</v>
      </c>
      <c r="N54" s="208">
        <v>8</v>
      </c>
      <c r="O54" s="208">
        <v>0.75</v>
      </c>
      <c r="P54" s="208">
        <v>0.75</v>
      </c>
      <c r="Q54" s="245">
        <f t="shared" si="0"/>
        <v>0.75</v>
      </c>
      <c r="R54" s="208">
        <v>13.8</v>
      </c>
      <c r="S54" s="208">
        <v>105</v>
      </c>
      <c r="T54" s="217">
        <f t="shared" si="1"/>
        <v>33</v>
      </c>
      <c r="U54" s="208">
        <v>429</v>
      </c>
      <c r="V54" s="217">
        <f t="shared" si="2"/>
        <v>1769.625</v>
      </c>
      <c r="W54" s="208">
        <v>3</v>
      </c>
      <c r="X54" s="216" t="s">
        <v>46</v>
      </c>
      <c r="Y54" s="216" t="s">
        <v>84</v>
      </c>
      <c r="Z54" s="216" t="s">
        <v>50</v>
      </c>
      <c r="AA54" s="216" t="s">
        <v>78</v>
      </c>
      <c r="AB54" s="216" t="s">
        <v>330</v>
      </c>
    </row>
    <row r="55" spans="1:28" x14ac:dyDescent="0.15">
      <c r="A55" s="216" t="s">
        <v>34</v>
      </c>
      <c r="B55" s="208" t="s">
        <v>328</v>
      </c>
      <c r="C55" s="208">
        <v>2018</v>
      </c>
      <c r="D55" s="250" t="s">
        <v>407</v>
      </c>
      <c r="E55" s="237" t="s">
        <v>276</v>
      </c>
      <c r="F55" s="237" t="s">
        <v>311</v>
      </c>
      <c r="G55" s="216" t="s">
        <v>36</v>
      </c>
      <c r="H55" s="208" t="s">
        <v>155</v>
      </c>
      <c r="I55" s="216" t="s">
        <v>153</v>
      </c>
      <c r="J55" s="216" t="s">
        <v>38</v>
      </c>
      <c r="K55" s="216" t="s">
        <v>154</v>
      </c>
      <c r="L55" s="208">
        <v>3</v>
      </c>
      <c r="N55" s="208">
        <v>8</v>
      </c>
      <c r="O55" s="208">
        <v>1.2</v>
      </c>
      <c r="P55" s="208">
        <v>1.2</v>
      </c>
      <c r="Q55" s="245">
        <f t="shared" si="0"/>
        <v>1.2</v>
      </c>
      <c r="R55" s="208">
        <v>11.5</v>
      </c>
      <c r="S55" s="208">
        <v>96</v>
      </c>
      <c r="T55" s="217">
        <f t="shared" si="1"/>
        <v>36</v>
      </c>
      <c r="U55" s="208">
        <v>429</v>
      </c>
      <c r="V55" s="217">
        <f t="shared" si="2"/>
        <v>1930.5</v>
      </c>
      <c r="W55" s="208">
        <v>3</v>
      </c>
      <c r="X55" s="216" t="s">
        <v>46</v>
      </c>
      <c r="Y55" s="216" t="s">
        <v>84</v>
      </c>
      <c r="Z55" s="216" t="s">
        <v>50</v>
      </c>
      <c r="AA55" s="216" t="s">
        <v>78</v>
      </c>
      <c r="AB55" s="216" t="s">
        <v>330</v>
      </c>
    </row>
    <row r="56" spans="1:28" x14ac:dyDescent="0.15">
      <c r="A56" s="216" t="s">
        <v>34</v>
      </c>
      <c r="B56" s="208" t="s">
        <v>328</v>
      </c>
      <c r="C56" s="208">
        <v>2018</v>
      </c>
      <c r="D56" s="250" t="s">
        <v>407</v>
      </c>
      <c r="E56" s="237" t="s">
        <v>276</v>
      </c>
      <c r="F56" s="237" t="s">
        <v>311</v>
      </c>
      <c r="G56" s="216" t="s">
        <v>36</v>
      </c>
      <c r="H56" s="208" t="s">
        <v>157</v>
      </c>
      <c r="I56" s="216" t="s">
        <v>153</v>
      </c>
      <c r="J56" s="216" t="s">
        <v>38</v>
      </c>
      <c r="K56" s="216" t="s">
        <v>154</v>
      </c>
      <c r="L56" s="216">
        <v>1</v>
      </c>
      <c r="N56" s="208">
        <v>1</v>
      </c>
      <c r="O56" s="208">
        <v>0.6</v>
      </c>
      <c r="P56" s="208">
        <v>0.55000000000000004</v>
      </c>
      <c r="Q56" s="245">
        <f t="shared" si="0"/>
        <v>0.57499999999999996</v>
      </c>
      <c r="R56" s="208">
        <v>15.4</v>
      </c>
      <c r="S56" s="208">
        <v>158</v>
      </c>
      <c r="T56" s="217">
        <f t="shared" si="1"/>
        <v>18</v>
      </c>
      <c r="U56" s="208">
        <v>105</v>
      </c>
      <c r="V56" s="217">
        <f t="shared" si="2"/>
        <v>1890</v>
      </c>
      <c r="W56" s="208">
        <v>2</v>
      </c>
      <c r="X56" s="216" t="s">
        <v>46</v>
      </c>
      <c r="Y56" s="216" t="s">
        <v>84</v>
      </c>
      <c r="Z56" s="216" t="s">
        <v>50</v>
      </c>
      <c r="AA56" s="216" t="s">
        <v>78</v>
      </c>
      <c r="AB56" s="216" t="s">
        <v>330</v>
      </c>
    </row>
    <row r="57" spans="1:28" x14ac:dyDescent="0.15">
      <c r="A57" s="216" t="s">
        <v>34</v>
      </c>
      <c r="B57" s="208" t="s">
        <v>328</v>
      </c>
      <c r="C57" s="208">
        <v>2018</v>
      </c>
      <c r="D57" s="250" t="s">
        <v>407</v>
      </c>
      <c r="E57" s="237" t="s">
        <v>276</v>
      </c>
      <c r="F57" s="237" t="s">
        <v>311</v>
      </c>
      <c r="G57" s="216" t="s">
        <v>36</v>
      </c>
      <c r="H57" s="208" t="s">
        <v>157</v>
      </c>
      <c r="I57" s="216" t="s">
        <v>153</v>
      </c>
      <c r="J57" s="216" t="s">
        <v>38</v>
      </c>
      <c r="K57" s="216" t="s">
        <v>154</v>
      </c>
      <c r="L57" s="208">
        <v>2</v>
      </c>
      <c r="N57" s="208">
        <v>1</v>
      </c>
      <c r="O57" s="208">
        <v>0.6</v>
      </c>
      <c r="P57" s="208">
        <v>0.7</v>
      </c>
      <c r="Q57" s="245">
        <f t="shared" si="0"/>
        <v>0.64999999999999991</v>
      </c>
      <c r="R57" s="208">
        <v>14.6</v>
      </c>
      <c r="S57" s="208">
        <v>158</v>
      </c>
      <c r="T57" s="217">
        <f t="shared" si="1"/>
        <v>18</v>
      </c>
      <c r="U57" s="208">
        <v>105</v>
      </c>
      <c r="V57" s="217">
        <f t="shared" si="2"/>
        <v>1890</v>
      </c>
      <c r="W57" s="208">
        <v>2</v>
      </c>
      <c r="X57" s="216" t="s">
        <v>46</v>
      </c>
      <c r="Y57" s="216" t="s">
        <v>84</v>
      </c>
      <c r="Z57" s="216" t="s">
        <v>50</v>
      </c>
      <c r="AA57" s="216" t="s">
        <v>78</v>
      </c>
      <c r="AB57" s="216" t="s">
        <v>330</v>
      </c>
    </row>
    <row r="58" spans="1:28" x14ac:dyDescent="0.15">
      <c r="A58" s="216" t="s">
        <v>34</v>
      </c>
      <c r="B58" s="208" t="s">
        <v>328</v>
      </c>
      <c r="C58" s="208">
        <v>2018</v>
      </c>
      <c r="D58" s="250" t="s">
        <v>407</v>
      </c>
      <c r="E58" s="237" t="s">
        <v>276</v>
      </c>
      <c r="F58" s="237" t="s">
        <v>311</v>
      </c>
      <c r="G58" s="216" t="s">
        <v>36</v>
      </c>
      <c r="H58" s="208" t="s">
        <v>157</v>
      </c>
      <c r="I58" s="216" t="s">
        <v>153</v>
      </c>
      <c r="J58" s="216" t="s">
        <v>38</v>
      </c>
      <c r="K58" s="216" t="s">
        <v>154</v>
      </c>
      <c r="L58" s="208">
        <v>3</v>
      </c>
      <c r="N58" s="208">
        <v>1</v>
      </c>
      <c r="O58" s="208">
        <v>0.45</v>
      </c>
      <c r="P58" s="208">
        <v>0.65</v>
      </c>
      <c r="Q58" s="245">
        <f t="shared" si="0"/>
        <v>0.55000000000000004</v>
      </c>
      <c r="R58" s="208">
        <v>14.7</v>
      </c>
      <c r="S58" s="208">
        <v>159</v>
      </c>
      <c r="T58" s="217">
        <f t="shared" si="1"/>
        <v>18</v>
      </c>
      <c r="U58" s="208">
        <v>105</v>
      </c>
      <c r="V58" s="217">
        <f t="shared" si="2"/>
        <v>1890</v>
      </c>
      <c r="W58" s="208">
        <v>2</v>
      </c>
      <c r="X58" s="216" t="s">
        <v>46</v>
      </c>
      <c r="Y58" s="216" t="s">
        <v>84</v>
      </c>
      <c r="Z58" s="216" t="s">
        <v>50</v>
      </c>
      <c r="AA58" s="216" t="s">
        <v>78</v>
      </c>
      <c r="AB58" s="216" t="s">
        <v>330</v>
      </c>
    </row>
    <row r="59" spans="1:28" x14ac:dyDescent="0.15">
      <c r="A59" s="216" t="s">
        <v>34</v>
      </c>
      <c r="B59" s="208" t="s">
        <v>328</v>
      </c>
      <c r="C59" s="208">
        <v>2018</v>
      </c>
      <c r="D59" s="250" t="s">
        <v>407</v>
      </c>
      <c r="E59" s="237" t="s">
        <v>312</v>
      </c>
      <c r="F59" s="237" t="s">
        <v>313</v>
      </c>
      <c r="G59" s="216" t="s">
        <v>36</v>
      </c>
      <c r="H59" s="208" t="s">
        <v>155</v>
      </c>
      <c r="I59" s="216" t="s">
        <v>153</v>
      </c>
      <c r="J59" s="216" t="s">
        <v>38</v>
      </c>
      <c r="K59" s="216" t="s">
        <v>154</v>
      </c>
      <c r="L59" s="216">
        <v>1</v>
      </c>
      <c r="N59" s="208">
        <v>1</v>
      </c>
      <c r="O59" s="208">
        <v>0.5</v>
      </c>
      <c r="P59" s="208">
        <v>0.6</v>
      </c>
      <c r="Q59" s="245">
        <f t="shared" si="0"/>
        <v>0.55000000000000004</v>
      </c>
      <c r="R59" s="208">
        <v>14</v>
      </c>
      <c r="S59" s="208">
        <v>130</v>
      </c>
      <c r="T59" s="217">
        <f t="shared" si="1"/>
        <v>30</v>
      </c>
      <c r="U59" s="208">
        <v>138</v>
      </c>
      <c r="V59" s="217">
        <f t="shared" si="2"/>
        <v>4140</v>
      </c>
      <c r="W59" s="208">
        <v>2</v>
      </c>
      <c r="X59" s="216" t="s">
        <v>39</v>
      </c>
      <c r="Y59" s="216" t="s">
        <v>84</v>
      </c>
      <c r="Z59" s="216" t="s">
        <v>90</v>
      </c>
      <c r="AA59" s="216" t="s">
        <v>69</v>
      </c>
      <c r="AB59" s="216" t="s">
        <v>330</v>
      </c>
    </row>
    <row r="60" spans="1:28" x14ac:dyDescent="0.15">
      <c r="A60" s="216" t="s">
        <v>34</v>
      </c>
      <c r="B60" s="208" t="s">
        <v>328</v>
      </c>
      <c r="C60" s="208">
        <v>2018</v>
      </c>
      <c r="D60" s="250" t="s">
        <v>407</v>
      </c>
      <c r="E60" s="237" t="s">
        <v>312</v>
      </c>
      <c r="F60" s="237" t="s">
        <v>313</v>
      </c>
      <c r="G60" s="216" t="s">
        <v>36</v>
      </c>
      <c r="H60" s="208" t="s">
        <v>155</v>
      </c>
      <c r="I60" s="216" t="s">
        <v>153</v>
      </c>
      <c r="J60" s="216" t="s">
        <v>38</v>
      </c>
      <c r="K60" s="216" t="s">
        <v>154</v>
      </c>
      <c r="L60" s="208">
        <v>2</v>
      </c>
      <c r="N60" s="208">
        <v>1</v>
      </c>
      <c r="O60" s="208">
        <v>0.5</v>
      </c>
      <c r="P60" s="208">
        <v>0.5</v>
      </c>
      <c r="Q60" s="245">
        <f t="shared" si="0"/>
        <v>0.5</v>
      </c>
      <c r="R60" s="208">
        <v>14</v>
      </c>
      <c r="S60" s="208">
        <v>137</v>
      </c>
      <c r="T60" s="217">
        <f t="shared" si="1"/>
        <v>30</v>
      </c>
      <c r="U60" s="208">
        <v>138</v>
      </c>
      <c r="V60" s="217">
        <f t="shared" si="2"/>
        <v>4140</v>
      </c>
      <c r="W60" s="208">
        <v>2</v>
      </c>
      <c r="X60" s="216" t="s">
        <v>39</v>
      </c>
      <c r="Y60" s="216" t="s">
        <v>84</v>
      </c>
      <c r="Z60" s="216" t="s">
        <v>90</v>
      </c>
      <c r="AA60" s="216" t="s">
        <v>69</v>
      </c>
      <c r="AB60" s="216" t="s">
        <v>330</v>
      </c>
    </row>
    <row r="61" spans="1:28" x14ac:dyDescent="0.15">
      <c r="A61" s="216" t="s">
        <v>34</v>
      </c>
      <c r="B61" s="208" t="s">
        <v>328</v>
      </c>
      <c r="C61" s="208">
        <v>2018</v>
      </c>
      <c r="D61" s="250" t="s">
        <v>407</v>
      </c>
      <c r="E61" s="237" t="s">
        <v>312</v>
      </c>
      <c r="F61" s="237" t="s">
        <v>313</v>
      </c>
      <c r="G61" s="216" t="s">
        <v>36</v>
      </c>
      <c r="H61" s="208" t="s">
        <v>155</v>
      </c>
      <c r="I61" s="216" t="s">
        <v>153</v>
      </c>
      <c r="J61" s="216" t="s">
        <v>38</v>
      </c>
      <c r="K61" s="216" t="s">
        <v>154</v>
      </c>
      <c r="L61" s="208">
        <v>3</v>
      </c>
      <c r="N61" s="208">
        <v>1</v>
      </c>
      <c r="O61" s="208">
        <v>0.9</v>
      </c>
      <c r="P61" s="208">
        <v>1.05</v>
      </c>
      <c r="Q61" s="245">
        <f t="shared" si="0"/>
        <v>0.97500000000000009</v>
      </c>
      <c r="R61" s="208">
        <v>14.9</v>
      </c>
      <c r="S61" s="208">
        <v>131</v>
      </c>
      <c r="T61" s="217">
        <f t="shared" si="1"/>
        <v>30</v>
      </c>
      <c r="U61" s="208">
        <v>138</v>
      </c>
      <c r="V61" s="217">
        <f t="shared" si="2"/>
        <v>4140</v>
      </c>
      <c r="W61" s="208">
        <v>2</v>
      </c>
      <c r="X61" s="216" t="s">
        <v>39</v>
      </c>
      <c r="Y61" s="216" t="s">
        <v>84</v>
      </c>
      <c r="Z61" s="216" t="s">
        <v>90</v>
      </c>
      <c r="AA61" s="216" t="s">
        <v>69</v>
      </c>
      <c r="AB61" s="216" t="s">
        <v>330</v>
      </c>
    </row>
    <row r="62" spans="1:28" x14ac:dyDescent="0.15">
      <c r="A62" s="216" t="s">
        <v>34</v>
      </c>
      <c r="B62" s="208" t="s">
        <v>328</v>
      </c>
      <c r="C62" s="208">
        <v>2018</v>
      </c>
      <c r="D62" s="250" t="s">
        <v>407</v>
      </c>
      <c r="E62" s="237" t="s">
        <v>312</v>
      </c>
      <c r="F62" s="237" t="s">
        <v>313</v>
      </c>
      <c r="G62" s="216" t="s">
        <v>36</v>
      </c>
      <c r="H62" s="208" t="s">
        <v>155</v>
      </c>
      <c r="I62" s="216" t="s">
        <v>153</v>
      </c>
      <c r="J62" s="216" t="s">
        <v>38</v>
      </c>
      <c r="K62" s="216" t="s">
        <v>154</v>
      </c>
      <c r="L62" s="216">
        <v>1</v>
      </c>
      <c r="N62" s="208">
        <v>5</v>
      </c>
      <c r="O62" s="208">
        <v>0.75</v>
      </c>
      <c r="P62" s="208">
        <v>0.7</v>
      </c>
      <c r="Q62" s="245">
        <f t="shared" si="0"/>
        <v>0.72499999999999998</v>
      </c>
      <c r="R62" s="208">
        <v>13.9</v>
      </c>
      <c r="S62" s="208">
        <v>118</v>
      </c>
      <c r="T62" s="217">
        <f t="shared" si="1"/>
        <v>30</v>
      </c>
      <c r="U62" s="208">
        <v>430</v>
      </c>
      <c r="V62" s="217">
        <f t="shared" si="2"/>
        <v>2580</v>
      </c>
      <c r="W62" s="208">
        <v>2</v>
      </c>
      <c r="X62" s="216" t="s">
        <v>39</v>
      </c>
      <c r="Y62" s="216" t="s">
        <v>84</v>
      </c>
      <c r="Z62" s="216" t="s">
        <v>90</v>
      </c>
      <c r="AA62" s="216" t="s">
        <v>69</v>
      </c>
      <c r="AB62" s="216" t="s">
        <v>330</v>
      </c>
    </row>
    <row r="63" spans="1:28" x14ac:dyDescent="0.15">
      <c r="A63" s="216" t="s">
        <v>34</v>
      </c>
      <c r="B63" s="208" t="s">
        <v>328</v>
      </c>
      <c r="C63" s="208">
        <v>2018</v>
      </c>
      <c r="D63" s="250" t="s">
        <v>407</v>
      </c>
      <c r="E63" s="237" t="s">
        <v>312</v>
      </c>
      <c r="F63" s="237" t="s">
        <v>313</v>
      </c>
      <c r="G63" s="216" t="s">
        <v>36</v>
      </c>
      <c r="H63" s="208" t="s">
        <v>155</v>
      </c>
      <c r="I63" s="216" t="s">
        <v>153</v>
      </c>
      <c r="J63" s="216" t="s">
        <v>38</v>
      </c>
      <c r="K63" s="216" t="s">
        <v>154</v>
      </c>
      <c r="L63" s="208">
        <v>2</v>
      </c>
      <c r="N63" s="208">
        <v>5</v>
      </c>
      <c r="O63" s="208">
        <v>0.65</v>
      </c>
      <c r="P63" s="208">
        <v>0.7</v>
      </c>
      <c r="Q63" s="245">
        <f t="shared" si="0"/>
        <v>0.67500000000000004</v>
      </c>
      <c r="R63" s="208">
        <v>11.2</v>
      </c>
      <c r="S63" s="208">
        <v>89</v>
      </c>
      <c r="T63" s="217">
        <f t="shared" si="1"/>
        <v>36</v>
      </c>
      <c r="U63" s="208">
        <v>430</v>
      </c>
      <c r="V63" s="217">
        <f t="shared" si="2"/>
        <v>3096</v>
      </c>
      <c r="W63" s="208">
        <v>2</v>
      </c>
      <c r="X63" s="216" t="s">
        <v>39</v>
      </c>
      <c r="Y63" s="216" t="s">
        <v>84</v>
      </c>
      <c r="Z63" s="216" t="s">
        <v>90</v>
      </c>
      <c r="AA63" s="216" t="s">
        <v>69</v>
      </c>
      <c r="AB63" s="216" t="s">
        <v>330</v>
      </c>
    </row>
    <row r="64" spans="1:28" x14ac:dyDescent="0.15">
      <c r="A64" s="216" t="s">
        <v>34</v>
      </c>
      <c r="B64" s="208" t="s">
        <v>328</v>
      </c>
      <c r="C64" s="208">
        <v>2018</v>
      </c>
      <c r="D64" s="250" t="s">
        <v>407</v>
      </c>
      <c r="E64" s="237" t="s">
        <v>312</v>
      </c>
      <c r="F64" s="237" t="s">
        <v>313</v>
      </c>
      <c r="G64" s="216" t="s">
        <v>36</v>
      </c>
      <c r="H64" s="208" t="s">
        <v>155</v>
      </c>
      <c r="I64" s="216" t="s">
        <v>153</v>
      </c>
      <c r="J64" s="216" t="s">
        <v>38</v>
      </c>
      <c r="K64" s="216" t="s">
        <v>154</v>
      </c>
      <c r="L64" s="208">
        <v>3</v>
      </c>
      <c r="N64" s="208">
        <v>5</v>
      </c>
      <c r="O64" s="208">
        <v>0.9</v>
      </c>
      <c r="P64" s="208">
        <v>0.75</v>
      </c>
      <c r="Q64" s="245">
        <f t="shared" si="0"/>
        <v>0.82499999999999996</v>
      </c>
      <c r="R64" s="208">
        <v>14.3</v>
      </c>
      <c r="S64" s="208">
        <v>86</v>
      </c>
      <c r="T64" s="217">
        <f t="shared" si="1"/>
        <v>36</v>
      </c>
      <c r="U64" s="208">
        <v>430</v>
      </c>
      <c r="V64" s="217">
        <f t="shared" si="2"/>
        <v>3096</v>
      </c>
      <c r="W64" s="208">
        <v>2</v>
      </c>
      <c r="X64" s="216" t="s">
        <v>39</v>
      </c>
      <c r="Y64" s="216" t="s">
        <v>84</v>
      </c>
      <c r="Z64" s="216" t="s">
        <v>90</v>
      </c>
      <c r="AA64" s="216" t="s">
        <v>69</v>
      </c>
      <c r="AB64" s="216" t="s">
        <v>330</v>
      </c>
    </row>
    <row r="65" spans="1:28" x14ac:dyDescent="0.15">
      <c r="A65" s="216" t="s">
        <v>34</v>
      </c>
      <c r="B65" s="208" t="s">
        <v>328</v>
      </c>
      <c r="C65" s="208">
        <v>2018</v>
      </c>
      <c r="D65" s="250" t="s">
        <v>407</v>
      </c>
      <c r="E65" s="237" t="s">
        <v>312</v>
      </c>
      <c r="F65" s="237" t="s">
        <v>313</v>
      </c>
      <c r="G65" s="216" t="s">
        <v>36</v>
      </c>
      <c r="H65" s="208" t="s">
        <v>157</v>
      </c>
      <c r="I65" s="216" t="s">
        <v>153</v>
      </c>
      <c r="J65" s="216" t="s">
        <v>38</v>
      </c>
      <c r="K65" s="216" t="s">
        <v>154</v>
      </c>
      <c r="L65" s="216">
        <v>1</v>
      </c>
      <c r="N65" s="208">
        <v>1</v>
      </c>
      <c r="O65" s="208">
        <v>0.65</v>
      </c>
      <c r="P65" s="208">
        <v>0.55000000000000004</v>
      </c>
      <c r="Q65" s="245">
        <f t="shared" si="0"/>
        <v>0.60000000000000009</v>
      </c>
      <c r="R65" s="208">
        <v>14.8</v>
      </c>
      <c r="S65" s="208">
        <v>148</v>
      </c>
      <c r="T65" s="217">
        <f t="shared" si="1"/>
        <v>30</v>
      </c>
      <c r="U65" s="208">
        <v>171</v>
      </c>
      <c r="V65" s="217">
        <f t="shared" si="2"/>
        <v>5130</v>
      </c>
      <c r="W65" s="208">
        <v>2</v>
      </c>
      <c r="X65" s="216" t="s">
        <v>39</v>
      </c>
      <c r="Y65" s="216" t="s">
        <v>84</v>
      </c>
      <c r="Z65" s="216" t="s">
        <v>90</v>
      </c>
      <c r="AA65" s="216" t="s">
        <v>69</v>
      </c>
      <c r="AB65" s="216" t="s">
        <v>330</v>
      </c>
    </row>
    <row r="66" spans="1:28" x14ac:dyDescent="0.15">
      <c r="A66" s="216" t="s">
        <v>34</v>
      </c>
      <c r="B66" s="208" t="s">
        <v>328</v>
      </c>
      <c r="C66" s="208">
        <v>2018</v>
      </c>
      <c r="D66" s="250" t="s">
        <v>407</v>
      </c>
      <c r="E66" s="237" t="s">
        <v>312</v>
      </c>
      <c r="F66" s="237" t="s">
        <v>313</v>
      </c>
      <c r="G66" s="216" t="s">
        <v>36</v>
      </c>
      <c r="H66" s="208" t="s">
        <v>157</v>
      </c>
      <c r="I66" s="216" t="s">
        <v>153</v>
      </c>
      <c r="J66" s="216" t="s">
        <v>38</v>
      </c>
      <c r="K66" s="216" t="s">
        <v>154</v>
      </c>
      <c r="L66" s="208">
        <v>2</v>
      </c>
      <c r="N66" s="208">
        <v>1</v>
      </c>
      <c r="O66" s="208">
        <v>0.55000000000000004</v>
      </c>
      <c r="P66" s="208">
        <v>0.55000000000000004</v>
      </c>
      <c r="Q66" s="245">
        <f t="shared" si="0"/>
        <v>0.55000000000000004</v>
      </c>
      <c r="R66" s="208">
        <v>15</v>
      </c>
      <c r="S66" s="208">
        <v>173</v>
      </c>
      <c r="T66" s="217">
        <f t="shared" si="1"/>
        <v>18</v>
      </c>
      <c r="U66" s="208">
        <v>171</v>
      </c>
      <c r="V66" s="217">
        <f t="shared" si="2"/>
        <v>3078</v>
      </c>
      <c r="W66" s="208">
        <v>2</v>
      </c>
      <c r="X66" s="216" t="s">
        <v>39</v>
      </c>
      <c r="Y66" s="216" t="s">
        <v>84</v>
      </c>
      <c r="Z66" s="216" t="s">
        <v>90</v>
      </c>
      <c r="AA66" s="216" t="s">
        <v>69</v>
      </c>
      <c r="AB66" s="216" t="s">
        <v>330</v>
      </c>
    </row>
    <row r="67" spans="1:28" x14ac:dyDescent="0.15">
      <c r="A67" s="216" t="s">
        <v>34</v>
      </c>
      <c r="B67" s="208" t="s">
        <v>328</v>
      </c>
      <c r="C67" s="208">
        <v>2018</v>
      </c>
      <c r="D67" s="250" t="s">
        <v>407</v>
      </c>
      <c r="E67" s="237" t="s">
        <v>312</v>
      </c>
      <c r="F67" s="237" t="s">
        <v>313</v>
      </c>
      <c r="G67" s="216" t="s">
        <v>36</v>
      </c>
      <c r="H67" s="208" t="s">
        <v>157</v>
      </c>
      <c r="I67" s="216" t="s">
        <v>153</v>
      </c>
      <c r="J67" s="216" t="s">
        <v>38</v>
      </c>
      <c r="K67" s="216" t="s">
        <v>154</v>
      </c>
      <c r="L67" s="208">
        <v>3</v>
      </c>
      <c r="N67" s="208">
        <v>1</v>
      </c>
      <c r="O67" s="208">
        <v>0.6</v>
      </c>
      <c r="P67" s="208">
        <v>0.75</v>
      </c>
      <c r="Q67" s="245">
        <f t="shared" si="0"/>
        <v>0.67500000000000004</v>
      </c>
      <c r="R67" s="208">
        <v>13.8</v>
      </c>
      <c r="S67" s="208">
        <v>170</v>
      </c>
      <c r="T67" s="217">
        <f t="shared" si="1"/>
        <v>18</v>
      </c>
      <c r="U67" s="208">
        <v>171</v>
      </c>
      <c r="V67" s="217">
        <f t="shared" si="2"/>
        <v>3078</v>
      </c>
      <c r="W67" s="208">
        <v>2</v>
      </c>
      <c r="X67" s="216" t="s">
        <v>39</v>
      </c>
      <c r="Y67" s="216" t="s">
        <v>84</v>
      </c>
      <c r="Z67" s="216" t="s">
        <v>90</v>
      </c>
      <c r="AA67" s="216" t="s">
        <v>69</v>
      </c>
      <c r="AB67" s="216" t="s">
        <v>330</v>
      </c>
    </row>
    <row r="68" spans="1:28" x14ac:dyDescent="0.15">
      <c r="A68" s="216" t="s">
        <v>34</v>
      </c>
      <c r="B68" s="208" t="s">
        <v>328</v>
      </c>
      <c r="C68" s="208">
        <v>2018</v>
      </c>
      <c r="D68" s="250" t="s">
        <v>407</v>
      </c>
      <c r="E68" s="237" t="s">
        <v>312</v>
      </c>
      <c r="F68" s="237" t="s">
        <v>313</v>
      </c>
      <c r="G68" s="216" t="s">
        <v>36</v>
      </c>
      <c r="H68" s="208" t="s">
        <v>157</v>
      </c>
      <c r="I68" s="216" t="s">
        <v>153</v>
      </c>
      <c r="J68" s="216" t="s">
        <v>38</v>
      </c>
      <c r="K68" s="216" t="s">
        <v>154</v>
      </c>
      <c r="L68" s="216">
        <v>1</v>
      </c>
      <c r="N68" s="208">
        <v>4</v>
      </c>
      <c r="O68" s="208">
        <v>0.55000000000000004</v>
      </c>
      <c r="P68" s="208">
        <v>0.5</v>
      </c>
      <c r="Q68" s="245">
        <f t="shared" si="0"/>
        <v>0.52500000000000002</v>
      </c>
      <c r="R68" s="208">
        <v>14.7</v>
      </c>
      <c r="S68" s="208">
        <v>104</v>
      </c>
      <c r="T68" s="217">
        <f t="shared" si="1"/>
        <v>33</v>
      </c>
      <c r="U68" s="208">
        <v>626</v>
      </c>
      <c r="V68" s="217">
        <f t="shared" si="2"/>
        <v>5164.5</v>
      </c>
      <c r="W68" s="208">
        <v>2</v>
      </c>
      <c r="X68" s="216" t="s">
        <v>39</v>
      </c>
      <c r="Y68" s="216" t="s">
        <v>84</v>
      </c>
      <c r="Z68" s="216" t="s">
        <v>90</v>
      </c>
      <c r="AA68" s="216" t="s">
        <v>69</v>
      </c>
      <c r="AB68" s="216" t="s">
        <v>330</v>
      </c>
    </row>
    <row r="69" spans="1:28" x14ac:dyDescent="0.15">
      <c r="A69" s="216" t="s">
        <v>34</v>
      </c>
      <c r="B69" s="208" t="s">
        <v>328</v>
      </c>
      <c r="C69" s="208">
        <v>2018</v>
      </c>
      <c r="D69" s="250" t="s">
        <v>407</v>
      </c>
      <c r="E69" s="237" t="s">
        <v>312</v>
      </c>
      <c r="F69" s="237" t="s">
        <v>313</v>
      </c>
      <c r="G69" s="216" t="s">
        <v>36</v>
      </c>
      <c r="H69" s="208" t="s">
        <v>157</v>
      </c>
      <c r="I69" s="216" t="s">
        <v>153</v>
      </c>
      <c r="J69" s="216" t="s">
        <v>38</v>
      </c>
      <c r="K69" s="216" t="s">
        <v>154</v>
      </c>
      <c r="L69" s="208">
        <v>2</v>
      </c>
      <c r="N69" s="208">
        <v>4</v>
      </c>
      <c r="O69" s="208">
        <v>0.65</v>
      </c>
      <c r="P69" s="208">
        <v>0.8</v>
      </c>
      <c r="Q69" s="245">
        <f t="shared" si="0"/>
        <v>0.72500000000000009</v>
      </c>
      <c r="R69" s="208">
        <v>14.2</v>
      </c>
      <c r="S69" s="208">
        <v>113</v>
      </c>
      <c r="T69" s="217">
        <f t="shared" si="1"/>
        <v>30</v>
      </c>
      <c r="U69" s="208">
        <v>626</v>
      </c>
      <c r="V69" s="217">
        <f t="shared" si="2"/>
        <v>4695</v>
      </c>
      <c r="W69" s="208">
        <v>2</v>
      </c>
      <c r="X69" s="216" t="s">
        <v>39</v>
      </c>
      <c r="Y69" s="216" t="s">
        <v>84</v>
      </c>
      <c r="Z69" s="216" t="s">
        <v>90</v>
      </c>
      <c r="AA69" s="216" t="s">
        <v>69</v>
      </c>
      <c r="AB69" s="216" t="s">
        <v>330</v>
      </c>
    </row>
    <row r="70" spans="1:28" x14ac:dyDescent="0.15">
      <c r="A70" s="216" t="s">
        <v>34</v>
      </c>
      <c r="B70" s="208" t="s">
        <v>328</v>
      </c>
      <c r="C70" s="208">
        <v>2018</v>
      </c>
      <c r="D70" s="250" t="s">
        <v>407</v>
      </c>
      <c r="E70" s="237" t="s">
        <v>312</v>
      </c>
      <c r="F70" s="237" t="s">
        <v>313</v>
      </c>
      <c r="G70" s="216" t="s">
        <v>36</v>
      </c>
      <c r="H70" s="208" t="s">
        <v>157</v>
      </c>
      <c r="I70" s="216" t="s">
        <v>153</v>
      </c>
      <c r="J70" s="216" t="s">
        <v>38</v>
      </c>
      <c r="K70" s="216" t="s">
        <v>154</v>
      </c>
      <c r="L70" s="208">
        <v>3</v>
      </c>
      <c r="N70" s="208">
        <v>4</v>
      </c>
      <c r="O70" s="208">
        <v>0.55000000000000004</v>
      </c>
      <c r="P70" s="208">
        <v>0.5</v>
      </c>
      <c r="Q70" s="245">
        <f t="shared" si="0"/>
        <v>0.52500000000000002</v>
      </c>
      <c r="R70" s="208">
        <v>14.5</v>
      </c>
      <c r="S70" s="208">
        <v>113</v>
      </c>
      <c r="T70" s="217">
        <f t="shared" si="1"/>
        <v>30</v>
      </c>
      <c r="U70" s="208">
        <v>626</v>
      </c>
      <c r="V70" s="217">
        <f t="shared" si="2"/>
        <v>4695</v>
      </c>
      <c r="W70" s="208">
        <v>2</v>
      </c>
      <c r="X70" s="216" t="s">
        <v>39</v>
      </c>
      <c r="Y70" s="216" t="s">
        <v>84</v>
      </c>
      <c r="Z70" s="216" t="s">
        <v>90</v>
      </c>
      <c r="AA70" s="216" t="s">
        <v>69</v>
      </c>
      <c r="AB70" s="216" t="s">
        <v>330</v>
      </c>
    </row>
    <row r="71" spans="1:28" x14ac:dyDescent="0.15">
      <c r="A71" s="216" t="s">
        <v>34</v>
      </c>
      <c r="B71" s="208" t="s">
        <v>328</v>
      </c>
      <c r="C71" s="208">
        <v>2018</v>
      </c>
      <c r="D71" s="250" t="s">
        <v>407</v>
      </c>
      <c r="E71" s="237" t="s">
        <v>314</v>
      </c>
      <c r="F71" s="237" t="s">
        <v>315</v>
      </c>
      <c r="G71" s="216" t="s">
        <v>36</v>
      </c>
      <c r="H71" s="208" t="s">
        <v>155</v>
      </c>
      <c r="I71" s="216" t="s">
        <v>153</v>
      </c>
      <c r="J71" s="216" t="s">
        <v>38</v>
      </c>
      <c r="K71" s="216" t="s">
        <v>154</v>
      </c>
      <c r="L71" s="216">
        <v>1</v>
      </c>
      <c r="N71" s="208">
        <v>1</v>
      </c>
      <c r="O71" s="208">
        <v>0.75</v>
      </c>
      <c r="P71" s="208">
        <v>0.75</v>
      </c>
      <c r="Q71" s="245">
        <f t="shared" si="0"/>
        <v>0.75</v>
      </c>
      <c r="R71" s="208">
        <v>14.6</v>
      </c>
      <c r="S71" s="208">
        <v>158</v>
      </c>
      <c r="T71" s="217">
        <f t="shared" si="1"/>
        <v>18</v>
      </c>
      <c r="U71" s="208">
        <v>138</v>
      </c>
      <c r="V71" s="217">
        <f t="shared" si="2"/>
        <v>2484</v>
      </c>
      <c r="W71" s="208">
        <v>4</v>
      </c>
      <c r="X71" s="216" t="s">
        <v>46</v>
      </c>
      <c r="Y71" s="216" t="s">
        <v>50</v>
      </c>
      <c r="Z71" s="216" t="s">
        <v>102</v>
      </c>
      <c r="AA71" s="216" t="s">
        <v>90</v>
      </c>
      <c r="AB71" s="216" t="s">
        <v>330</v>
      </c>
    </row>
    <row r="72" spans="1:28" x14ac:dyDescent="0.15">
      <c r="A72" s="216" t="s">
        <v>34</v>
      </c>
      <c r="B72" s="208" t="s">
        <v>328</v>
      </c>
      <c r="C72" s="208">
        <v>2018</v>
      </c>
      <c r="D72" s="250" t="s">
        <v>407</v>
      </c>
      <c r="E72" s="237" t="s">
        <v>314</v>
      </c>
      <c r="F72" s="237" t="s">
        <v>315</v>
      </c>
      <c r="G72" s="216" t="s">
        <v>36</v>
      </c>
      <c r="H72" s="208" t="s">
        <v>155</v>
      </c>
      <c r="I72" s="216" t="s">
        <v>153</v>
      </c>
      <c r="J72" s="216" t="s">
        <v>38</v>
      </c>
      <c r="K72" s="216" t="s">
        <v>154</v>
      </c>
      <c r="L72" s="208">
        <v>2</v>
      </c>
      <c r="N72" s="208">
        <v>1</v>
      </c>
      <c r="O72" s="208">
        <v>0.5</v>
      </c>
      <c r="P72" s="208">
        <v>0.55000000000000004</v>
      </c>
      <c r="Q72" s="245">
        <f t="shared" si="0"/>
        <v>0.52500000000000002</v>
      </c>
      <c r="R72" s="208">
        <v>14.8</v>
      </c>
      <c r="S72" s="208">
        <v>154</v>
      </c>
      <c r="T72" s="217">
        <f t="shared" si="1"/>
        <v>18</v>
      </c>
      <c r="U72" s="208">
        <v>138</v>
      </c>
      <c r="V72" s="217">
        <f t="shared" si="2"/>
        <v>2484</v>
      </c>
      <c r="W72" s="208">
        <v>4</v>
      </c>
      <c r="X72" s="216" t="s">
        <v>46</v>
      </c>
      <c r="Y72" s="216" t="s">
        <v>50</v>
      </c>
      <c r="Z72" s="216" t="s">
        <v>102</v>
      </c>
      <c r="AA72" s="216" t="s">
        <v>90</v>
      </c>
      <c r="AB72" s="216" t="s">
        <v>330</v>
      </c>
    </row>
    <row r="73" spans="1:28" x14ac:dyDescent="0.15">
      <c r="A73" s="216" t="s">
        <v>34</v>
      </c>
      <c r="B73" s="208" t="s">
        <v>328</v>
      </c>
      <c r="C73" s="208">
        <v>2018</v>
      </c>
      <c r="D73" s="250" t="s">
        <v>407</v>
      </c>
      <c r="E73" s="237" t="s">
        <v>314</v>
      </c>
      <c r="F73" s="237" t="s">
        <v>315</v>
      </c>
      <c r="G73" s="216" t="s">
        <v>36</v>
      </c>
      <c r="H73" s="208" t="s">
        <v>155</v>
      </c>
      <c r="I73" s="216" t="s">
        <v>153</v>
      </c>
      <c r="J73" s="216" t="s">
        <v>38</v>
      </c>
      <c r="K73" s="216" t="s">
        <v>154</v>
      </c>
      <c r="L73" s="208">
        <v>3</v>
      </c>
      <c r="N73" s="208">
        <v>1</v>
      </c>
      <c r="O73" s="208">
        <v>0.8</v>
      </c>
      <c r="P73" s="208">
        <v>0.7</v>
      </c>
      <c r="Q73" s="245">
        <f t="shared" si="0"/>
        <v>0.75</v>
      </c>
      <c r="R73" s="208">
        <v>15.3</v>
      </c>
      <c r="S73" s="208">
        <v>166</v>
      </c>
      <c r="T73" s="217">
        <f t="shared" si="1"/>
        <v>18</v>
      </c>
      <c r="U73" s="208">
        <v>138</v>
      </c>
      <c r="V73" s="217">
        <f t="shared" si="2"/>
        <v>2484</v>
      </c>
      <c r="W73" s="208">
        <v>4</v>
      </c>
      <c r="X73" s="216" t="s">
        <v>46</v>
      </c>
      <c r="Y73" s="216" t="s">
        <v>50</v>
      </c>
      <c r="Z73" s="216" t="s">
        <v>102</v>
      </c>
      <c r="AA73" s="216" t="s">
        <v>90</v>
      </c>
      <c r="AB73" s="216" t="s">
        <v>330</v>
      </c>
    </row>
    <row r="74" spans="1:28" x14ac:dyDescent="0.15">
      <c r="A74" s="216" t="s">
        <v>34</v>
      </c>
      <c r="B74" s="208" t="s">
        <v>328</v>
      </c>
      <c r="C74" s="208">
        <v>2018</v>
      </c>
      <c r="D74" s="250" t="s">
        <v>407</v>
      </c>
      <c r="E74" s="237" t="s">
        <v>314</v>
      </c>
      <c r="F74" s="237" t="s">
        <v>315</v>
      </c>
      <c r="G74" s="216" t="s">
        <v>36</v>
      </c>
      <c r="H74" s="208" t="s">
        <v>155</v>
      </c>
      <c r="I74" s="216" t="s">
        <v>153</v>
      </c>
      <c r="J74" s="216" t="s">
        <v>38</v>
      </c>
      <c r="K74" s="216" t="s">
        <v>154</v>
      </c>
      <c r="L74" s="216">
        <v>1</v>
      </c>
      <c r="N74" s="208">
        <v>4</v>
      </c>
      <c r="O74" s="208">
        <v>0.65</v>
      </c>
      <c r="P74" s="208">
        <v>0.7</v>
      </c>
      <c r="Q74" s="245">
        <f t="shared" si="0"/>
        <v>0.67500000000000004</v>
      </c>
      <c r="R74" s="208">
        <v>11</v>
      </c>
      <c r="S74" s="208">
        <v>92</v>
      </c>
      <c r="T74" s="217">
        <f t="shared" si="1"/>
        <v>36</v>
      </c>
      <c r="U74" s="208">
        <v>321</v>
      </c>
      <c r="V74" s="217">
        <f t="shared" si="2"/>
        <v>2889</v>
      </c>
      <c r="W74" s="208">
        <v>4</v>
      </c>
      <c r="X74" s="216" t="s">
        <v>46</v>
      </c>
      <c r="Y74" s="216" t="s">
        <v>50</v>
      </c>
      <c r="Z74" s="216" t="s">
        <v>102</v>
      </c>
      <c r="AA74" s="216" t="s">
        <v>90</v>
      </c>
      <c r="AB74" s="216" t="s">
        <v>330</v>
      </c>
    </row>
    <row r="75" spans="1:28" x14ac:dyDescent="0.15">
      <c r="A75" s="216" t="s">
        <v>34</v>
      </c>
      <c r="B75" s="208" t="s">
        <v>328</v>
      </c>
      <c r="C75" s="208">
        <v>2018</v>
      </c>
      <c r="D75" s="250" t="s">
        <v>407</v>
      </c>
      <c r="E75" s="237" t="s">
        <v>314</v>
      </c>
      <c r="F75" s="237" t="s">
        <v>315</v>
      </c>
      <c r="G75" s="216" t="s">
        <v>36</v>
      </c>
      <c r="H75" s="208" t="s">
        <v>155</v>
      </c>
      <c r="I75" s="216" t="s">
        <v>153</v>
      </c>
      <c r="J75" s="216" t="s">
        <v>38</v>
      </c>
      <c r="K75" s="216" t="s">
        <v>154</v>
      </c>
      <c r="L75" s="208">
        <v>2</v>
      </c>
      <c r="N75" s="208">
        <v>4</v>
      </c>
      <c r="O75" s="208">
        <v>0.65</v>
      </c>
      <c r="P75" s="208">
        <v>0.75</v>
      </c>
      <c r="Q75" s="245">
        <f t="shared" si="0"/>
        <v>0.7</v>
      </c>
      <c r="R75" s="208">
        <v>12.4</v>
      </c>
      <c r="S75" s="208">
        <v>91</v>
      </c>
      <c r="T75" s="217">
        <f t="shared" si="1"/>
        <v>36</v>
      </c>
      <c r="U75" s="208">
        <v>321</v>
      </c>
      <c r="V75" s="217">
        <f t="shared" si="2"/>
        <v>2889</v>
      </c>
      <c r="W75" s="208">
        <v>4</v>
      </c>
      <c r="X75" s="216" t="s">
        <v>46</v>
      </c>
      <c r="Y75" s="216" t="s">
        <v>50</v>
      </c>
      <c r="Z75" s="216" t="s">
        <v>102</v>
      </c>
      <c r="AA75" s="216" t="s">
        <v>90</v>
      </c>
      <c r="AB75" s="216" t="s">
        <v>330</v>
      </c>
    </row>
    <row r="76" spans="1:28" x14ac:dyDescent="0.15">
      <c r="A76" s="216" t="s">
        <v>34</v>
      </c>
      <c r="B76" s="208" t="s">
        <v>328</v>
      </c>
      <c r="C76" s="208">
        <v>2018</v>
      </c>
      <c r="D76" s="250" t="s">
        <v>407</v>
      </c>
      <c r="E76" s="237" t="s">
        <v>314</v>
      </c>
      <c r="F76" s="237" t="s">
        <v>315</v>
      </c>
      <c r="G76" s="216" t="s">
        <v>36</v>
      </c>
      <c r="H76" s="208" t="s">
        <v>155</v>
      </c>
      <c r="I76" s="216" t="s">
        <v>153</v>
      </c>
      <c r="J76" s="216" t="s">
        <v>38</v>
      </c>
      <c r="K76" s="216" t="s">
        <v>154</v>
      </c>
      <c r="L76" s="208">
        <v>3</v>
      </c>
      <c r="N76" s="208">
        <v>4</v>
      </c>
      <c r="O76" s="208">
        <v>0.6</v>
      </c>
      <c r="P76" s="208">
        <v>0.75</v>
      </c>
      <c r="Q76" s="245">
        <f t="shared" si="0"/>
        <v>0.67500000000000004</v>
      </c>
      <c r="R76" s="208">
        <v>11.8</v>
      </c>
      <c r="S76" s="208">
        <v>95</v>
      </c>
      <c r="T76" s="217">
        <f t="shared" si="1"/>
        <v>36</v>
      </c>
      <c r="U76" s="208">
        <v>321</v>
      </c>
      <c r="V76" s="217">
        <f t="shared" si="2"/>
        <v>2889</v>
      </c>
      <c r="W76" s="208">
        <v>4</v>
      </c>
      <c r="X76" s="216" t="s">
        <v>46</v>
      </c>
      <c r="Y76" s="216" t="s">
        <v>50</v>
      </c>
      <c r="Z76" s="216" t="s">
        <v>102</v>
      </c>
      <c r="AA76" s="216" t="s">
        <v>90</v>
      </c>
      <c r="AB76" s="216" t="s">
        <v>330</v>
      </c>
    </row>
    <row r="77" spans="1:28" x14ac:dyDescent="0.15">
      <c r="A77" s="216" t="s">
        <v>34</v>
      </c>
      <c r="B77" s="208" t="s">
        <v>328</v>
      </c>
      <c r="C77" s="208">
        <v>2018</v>
      </c>
      <c r="D77" s="250" t="s">
        <v>407</v>
      </c>
      <c r="E77" s="237" t="s">
        <v>314</v>
      </c>
      <c r="F77" s="237" t="s">
        <v>315</v>
      </c>
      <c r="G77" s="216" t="s">
        <v>36</v>
      </c>
      <c r="H77" s="208" t="s">
        <v>157</v>
      </c>
      <c r="I77" s="216" t="s">
        <v>153</v>
      </c>
      <c r="J77" s="216" t="s">
        <v>38</v>
      </c>
      <c r="K77" s="216" t="s">
        <v>154</v>
      </c>
      <c r="L77" s="216">
        <v>1</v>
      </c>
      <c r="N77" s="208">
        <v>1</v>
      </c>
      <c r="O77" s="208">
        <v>0.2</v>
      </c>
      <c r="P77" s="208">
        <v>0.45</v>
      </c>
      <c r="Q77" s="245">
        <f t="shared" si="0"/>
        <v>0.32500000000000001</v>
      </c>
      <c r="R77" s="208">
        <v>13.4</v>
      </c>
      <c r="S77" s="208">
        <v>136</v>
      </c>
      <c r="T77" s="217">
        <f t="shared" si="1"/>
        <v>30</v>
      </c>
      <c r="U77" s="208">
        <v>138</v>
      </c>
      <c r="V77" s="217">
        <f t="shared" si="2"/>
        <v>4140</v>
      </c>
      <c r="W77" s="208">
        <v>2</v>
      </c>
      <c r="X77" s="216" t="s">
        <v>46</v>
      </c>
      <c r="Y77" s="216" t="s">
        <v>50</v>
      </c>
      <c r="Z77" s="216" t="s">
        <v>102</v>
      </c>
      <c r="AA77" s="216" t="s">
        <v>90</v>
      </c>
      <c r="AB77" s="216" t="s">
        <v>330</v>
      </c>
    </row>
    <row r="78" spans="1:28" x14ac:dyDescent="0.15">
      <c r="A78" s="216" t="s">
        <v>34</v>
      </c>
      <c r="B78" s="208" t="s">
        <v>328</v>
      </c>
      <c r="C78" s="208">
        <v>2018</v>
      </c>
      <c r="D78" s="250" t="s">
        <v>407</v>
      </c>
      <c r="E78" s="237" t="s">
        <v>314</v>
      </c>
      <c r="F78" s="237" t="s">
        <v>315</v>
      </c>
      <c r="G78" s="216" t="s">
        <v>36</v>
      </c>
      <c r="H78" s="208" t="s">
        <v>157</v>
      </c>
      <c r="I78" s="216" t="s">
        <v>153</v>
      </c>
      <c r="J78" s="216" t="s">
        <v>38</v>
      </c>
      <c r="K78" s="216" t="s">
        <v>154</v>
      </c>
      <c r="L78" s="208">
        <v>2</v>
      </c>
      <c r="N78" s="208">
        <v>1</v>
      </c>
      <c r="O78" s="208">
        <v>0.2</v>
      </c>
      <c r="P78" s="208">
        <v>0.45</v>
      </c>
      <c r="Q78" s="245">
        <f t="shared" si="0"/>
        <v>0.32500000000000001</v>
      </c>
      <c r="R78" s="208">
        <v>14</v>
      </c>
      <c r="S78" s="208">
        <v>144</v>
      </c>
      <c r="T78" s="217">
        <f t="shared" si="1"/>
        <v>30</v>
      </c>
      <c r="U78" s="208">
        <v>138</v>
      </c>
      <c r="V78" s="217">
        <f t="shared" si="2"/>
        <v>4140</v>
      </c>
      <c r="W78" s="208">
        <v>2</v>
      </c>
      <c r="X78" s="216" t="s">
        <v>46</v>
      </c>
      <c r="Y78" s="216" t="s">
        <v>50</v>
      </c>
      <c r="Z78" s="216" t="s">
        <v>102</v>
      </c>
      <c r="AA78" s="216" t="s">
        <v>90</v>
      </c>
      <c r="AB78" s="216" t="s">
        <v>330</v>
      </c>
    </row>
    <row r="79" spans="1:28" x14ac:dyDescent="0.15">
      <c r="A79" s="216" t="s">
        <v>34</v>
      </c>
      <c r="B79" s="208" t="s">
        <v>328</v>
      </c>
      <c r="C79" s="208">
        <v>2018</v>
      </c>
      <c r="D79" s="250" t="s">
        <v>407</v>
      </c>
      <c r="E79" s="237" t="s">
        <v>314</v>
      </c>
      <c r="F79" s="237" t="s">
        <v>315</v>
      </c>
      <c r="G79" s="216" t="s">
        <v>36</v>
      </c>
      <c r="H79" s="208" t="s">
        <v>157</v>
      </c>
      <c r="I79" s="216" t="s">
        <v>153</v>
      </c>
      <c r="J79" s="216" t="s">
        <v>38</v>
      </c>
      <c r="K79" s="216" t="s">
        <v>154</v>
      </c>
      <c r="L79" s="208">
        <v>3</v>
      </c>
      <c r="N79" s="208">
        <v>1</v>
      </c>
      <c r="O79" s="208">
        <v>0.45</v>
      </c>
      <c r="P79" s="208">
        <v>0.45</v>
      </c>
      <c r="Q79" s="245">
        <f t="shared" si="0"/>
        <v>0.45</v>
      </c>
      <c r="R79" s="208">
        <v>12</v>
      </c>
      <c r="S79" s="208">
        <v>137</v>
      </c>
      <c r="T79" s="217">
        <f t="shared" si="1"/>
        <v>30</v>
      </c>
      <c r="U79" s="208">
        <v>138</v>
      </c>
      <c r="V79" s="217">
        <f t="shared" si="2"/>
        <v>4140</v>
      </c>
      <c r="W79" s="208">
        <v>2</v>
      </c>
      <c r="X79" s="216" t="s">
        <v>46</v>
      </c>
      <c r="Y79" s="216" t="s">
        <v>50</v>
      </c>
      <c r="Z79" s="216" t="s">
        <v>102</v>
      </c>
      <c r="AA79" s="216" t="s">
        <v>90</v>
      </c>
      <c r="AB79" s="216" t="s">
        <v>330</v>
      </c>
    </row>
    <row r="80" spans="1:28" x14ac:dyDescent="0.15">
      <c r="A80" s="216" t="s">
        <v>34</v>
      </c>
      <c r="B80" s="208" t="s">
        <v>328</v>
      </c>
      <c r="C80" s="208">
        <v>2018</v>
      </c>
      <c r="D80" s="250" t="s">
        <v>407</v>
      </c>
      <c r="E80" s="237" t="s">
        <v>316</v>
      </c>
      <c r="F80" s="237" t="s">
        <v>317</v>
      </c>
      <c r="G80" s="216" t="s">
        <v>36</v>
      </c>
      <c r="H80" s="208" t="s">
        <v>155</v>
      </c>
      <c r="I80" s="216" t="s">
        <v>153</v>
      </c>
      <c r="J80" s="216" t="s">
        <v>38</v>
      </c>
      <c r="K80" s="216" t="s">
        <v>154</v>
      </c>
      <c r="L80" s="216">
        <v>1</v>
      </c>
      <c r="N80" s="208">
        <v>1</v>
      </c>
      <c r="O80" s="208">
        <v>0.2</v>
      </c>
      <c r="P80" s="208">
        <v>0.2</v>
      </c>
      <c r="Q80" s="245">
        <f t="shared" si="0"/>
        <v>0.2</v>
      </c>
      <c r="R80" s="208">
        <v>13.9</v>
      </c>
      <c r="S80" s="208">
        <v>126</v>
      </c>
      <c r="T80" s="217">
        <f t="shared" si="1"/>
        <v>30</v>
      </c>
      <c r="U80" s="208">
        <v>97</v>
      </c>
      <c r="V80" s="217">
        <f t="shared" si="2"/>
        <v>2910</v>
      </c>
      <c r="W80" s="208">
        <v>4</v>
      </c>
      <c r="X80" s="216" t="s">
        <v>46</v>
      </c>
      <c r="Y80" s="216" t="s">
        <v>50</v>
      </c>
      <c r="Z80" s="216" t="s">
        <v>78</v>
      </c>
      <c r="AA80" s="208" t="s">
        <v>84</v>
      </c>
      <c r="AB80" s="216" t="s">
        <v>330</v>
      </c>
    </row>
    <row r="81" spans="1:28" x14ac:dyDescent="0.15">
      <c r="A81" s="216" t="s">
        <v>34</v>
      </c>
      <c r="B81" s="208" t="s">
        <v>328</v>
      </c>
      <c r="C81" s="208">
        <v>2018</v>
      </c>
      <c r="D81" s="250" t="s">
        <v>407</v>
      </c>
      <c r="E81" s="237" t="s">
        <v>316</v>
      </c>
      <c r="F81" s="237" t="s">
        <v>317</v>
      </c>
      <c r="G81" s="216" t="s">
        <v>36</v>
      </c>
      <c r="H81" s="208" t="s">
        <v>155</v>
      </c>
      <c r="I81" s="216" t="s">
        <v>153</v>
      </c>
      <c r="J81" s="216" t="s">
        <v>38</v>
      </c>
      <c r="K81" s="216" t="s">
        <v>154</v>
      </c>
      <c r="L81" s="208">
        <v>2</v>
      </c>
      <c r="N81" s="208">
        <v>1</v>
      </c>
      <c r="O81" s="208">
        <v>0.2</v>
      </c>
      <c r="P81" s="208">
        <v>0.2</v>
      </c>
      <c r="Q81" s="245">
        <f t="shared" si="0"/>
        <v>0.2</v>
      </c>
      <c r="R81" s="208">
        <v>11.2</v>
      </c>
      <c r="S81" s="208">
        <v>127</v>
      </c>
      <c r="T81" s="217">
        <f t="shared" si="1"/>
        <v>30</v>
      </c>
      <c r="U81" s="208">
        <v>97</v>
      </c>
      <c r="V81" s="217">
        <f t="shared" si="2"/>
        <v>2910</v>
      </c>
      <c r="W81" s="208">
        <v>4</v>
      </c>
      <c r="X81" s="216" t="s">
        <v>46</v>
      </c>
      <c r="Y81" s="216" t="s">
        <v>50</v>
      </c>
      <c r="Z81" s="216" t="s">
        <v>78</v>
      </c>
      <c r="AA81" s="208" t="s">
        <v>84</v>
      </c>
      <c r="AB81" s="216" t="s">
        <v>330</v>
      </c>
    </row>
    <row r="82" spans="1:28" x14ac:dyDescent="0.15">
      <c r="A82" s="216" t="s">
        <v>34</v>
      </c>
      <c r="B82" s="208" t="s">
        <v>328</v>
      </c>
      <c r="C82" s="208">
        <v>2018</v>
      </c>
      <c r="D82" s="250" t="s">
        <v>407</v>
      </c>
      <c r="E82" s="237" t="s">
        <v>316</v>
      </c>
      <c r="F82" s="237" t="s">
        <v>317</v>
      </c>
      <c r="G82" s="216" t="s">
        <v>36</v>
      </c>
      <c r="H82" s="208" t="s">
        <v>155</v>
      </c>
      <c r="I82" s="216" t="s">
        <v>153</v>
      </c>
      <c r="J82" s="216" t="s">
        <v>38</v>
      </c>
      <c r="K82" s="216" t="s">
        <v>154</v>
      </c>
      <c r="L82" s="208">
        <v>3</v>
      </c>
      <c r="N82" s="208">
        <v>1</v>
      </c>
      <c r="O82" s="208">
        <v>0.45</v>
      </c>
      <c r="P82" s="208">
        <v>0.2</v>
      </c>
      <c r="Q82" s="245">
        <f t="shared" si="0"/>
        <v>0.32500000000000001</v>
      </c>
      <c r="R82" s="208">
        <v>13.7</v>
      </c>
      <c r="S82" s="208">
        <v>132</v>
      </c>
      <c r="T82" s="217">
        <f t="shared" si="1"/>
        <v>30</v>
      </c>
      <c r="U82" s="208">
        <v>97</v>
      </c>
      <c r="V82" s="217">
        <f t="shared" si="2"/>
        <v>2910</v>
      </c>
      <c r="W82" s="208">
        <v>4</v>
      </c>
      <c r="X82" s="216" t="s">
        <v>46</v>
      </c>
      <c r="Y82" s="216" t="s">
        <v>50</v>
      </c>
      <c r="Z82" s="216" t="s">
        <v>78</v>
      </c>
      <c r="AA82" s="208" t="s">
        <v>84</v>
      </c>
      <c r="AB82" s="216" t="s">
        <v>330</v>
      </c>
    </row>
    <row r="83" spans="1:28" x14ac:dyDescent="0.15">
      <c r="A83" s="216" t="s">
        <v>34</v>
      </c>
      <c r="B83" s="208" t="s">
        <v>328</v>
      </c>
      <c r="C83" s="208">
        <v>2018</v>
      </c>
      <c r="D83" s="250" t="s">
        <v>407</v>
      </c>
      <c r="E83" s="237" t="s">
        <v>316</v>
      </c>
      <c r="F83" s="237" t="s">
        <v>317</v>
      </c>
      <c r="G83" s="216" t="s">
        <v>36</v>
      </c>
      <c r="H83" s="208" t="s">
        <v>155</v>
      </c>
      <c r="I83" s="216" t="s">
        <v>153</v>
      </c>
      <c r="J83" s="216" t="s">
        <v>38</v>
      </c>
      <c r="K83" s="216" t="s">
        <v>154</v>
      </c>
      <c r="L83" s="216">
        <v>1</v>
      </c>
      <c r="N83" s="208">
        <v>4</v>
      </c>
      <c r="O83" s="208">
        <v>0.5</v>
      </c>
      <c r="P83" s="208">
        <v>0.45</v>
      </c>
      <c r="Q83" s="245">
        <f t="shared" si="0"/>
        <v>0.47499999999999998</v>
      </c>
      <c r="R83" s="208">
        <v>12.7</v>
      </c>
      <c r="S83" s="208">
        <v>90</v>
      </c>
      <c r="T83" s="217">
        <f t="shared" si="1"/>
        <v>36</v>
      </c>
      <c r="U83" s="208">
        <v>322</v>
      </c>
      <c r="V83" s="217">
        <f t="shared" si="2"/>
        <v>2898</v>
      </c>
      <c r="W83" s="208">
        <v>4</v>
      </c>
      <c r="X83" s="216" t="s">
        <v>46</v>
      </c>
      <c r="Y83" s="216" t="s">
        <v>50</v>
      </c>
      <c r="Z83" s="216" t="s">
        <v>78</v>
      </c>
      <c r="AA83" s="208" t="s">
        <v>84</v>
      </c>
      <c r="AB83" s="216" t="s">
        <v>330</v>
      </c>
    </row>
    <row r="84" spans="1:28" x14ac:dyDescent="0.15">
      <c r="A84" s="216" t="s">
        <v>34</v>
      </c>
      <c r="B84" s="208" t="s">
        <v>328</v>
      </c>
      <c r="C84" s="208">
        <v>2018</v>
      </c>
      <c r="D84" s="250" t="s">
        <v>407</v>
      </c>
      <c r="E84" s="237" t="s">
        <v>316</v>
      </c>
      <c r="F84" s="237" t="s">
        <v>317</v>
      </c>
      <c r="G84" s="216" t="s">
        <v>36</v>
      </c>
      <c r="H84" s="208" t="s">
        <v>155</v>
      </c>
      <c r="I84" s="216" t="s">
        <v>153</v>
      </c>
      <c r="J84" s="216" t="s">
        <v>38</v>
      </c>
      <c r="K84" s="216" t="s">
        <v>154</v>
      </c>
      <c r="L84" s="208">
        <v>2</v>
      </c>
      <c r="N84" s="208">
        <v>4</v>
      </c>
      <c r="O84" s="208">
        <v>0.2</v>
      </c>
      <c r="P84" s="208">
        <v>0.2</v>
      </c>
      <c r="Q84" s="245">
        <f t="shared" ref="Q84:Q103" si="5">IF(OR(O84="",P84=""),"",AVERAGE(O84,P84))</f>
        <v>0.2</v>
      </c>
      <c r="R84" s="208">
        <v>13.1</v>
      </c>
      <c r="S84" s="208">
        <v>93</v>
      </c>
      <c r="T84" s="217">
        <f t="shared" ref="T84:T104" si="6">IF(H84="","",IF(OR(H84="GREEN",H84="GK"),IF(S84&gt;=$AX$2,VLOOKUP(S84,$AX$2:$AY$9,2,1),""),IF(S84&gt;=$AZ$2,VLOOKUP(S84,$AZ$2:$BA$9,2,1),"")))</f>
        <v>36</v>
      </c>
      <c r="U84" s="208">
        <v>322</v>
      </c>
      <c r="V84" s="217">
        <f t="shared" ref="V84:V107" si="7">IF(OR(N84="",U84="",T84=""),"",U84/N84*T84)</f>
        <v>2898</v>
      </c>
      <c r="W84" s="208">
        <v>4</v>
      </c>
      <c r="X84" s="216" t="s">
        <v>46</v>
      </c>
      <c r="Y84" s="216" t="s">
        <v>50</v>
      </c>
      <c r="Z84" s="216" t="s">
        <v>78</v>
      </c>
      <c r="AA84" s="208" t="s">
        <v>84</v>
      </c>
      <c r="AB84" s="216" t="s">
        <v>330</v>
      </c>
    </row>
    <row r="85" spans="1:28" x14ac:dyDescent="0.15">
      <c r="A85" s="216" t="s">
        <v>34</v>
      </c>
      <c r="B85" s="208" t="s">
        <v>328</v>
      </c>
      <c r="C85" s="208">
        <v>2018</v>
      </c>
      <c r="D85" s="250" t="s">
        <v>407</v>
      </c>
      <c r="E85" s="237" t="s">
        <v>316</v>
      </c>
      <c r="F85" s="237" t="s">
        <v>317</v>
      </c>
      <c r="G85" s="216" t="s">
        <v>36</v>
      </c>
      <c r="H85" s="208" t="s">
        <v>155</v>
      </c>
      <c r="I85" s="216" t="s">
        <v>153</v>
      </c>
      <c r="J85" s="216" t="s">
        <v>38</v>
      </c>
      <c r="K85" s="216" t="s">
        <v>154</v>
      </c>
      <c r="L85" s="208">
        <v>3</v>
      </c>
      <c r="N85" s="208">
        <v>4</v>
      </c>
      <c r="O85" s="208">
        <v>0.45</v>
      </c>
      <c r="P85" s="208">
        <v>0.6</v>
      </c>
      <c r="Q85" s="245">
        <f t="shared" si="5"/>
        <v>0.52500000000000002</v>
      </c>
      <c r="R85" s="208">
        <v>10</v>
      </c>
      <c r="S85" s="208">
        <v>92</v>
      </c>
      <c r="T85" s="217">
        <f t="shared" si="6"/>
        <v>36</v>
      </c>
      <c r="U85" s="208">
        <v>322</v>
      </c>
      <c r="V85" s="217">
        <f t="shared" si="7"/>
        <v>2898</v>
      </c>
      <c r="W85" s="208">
        <v>4</v>
      </c>
      <c r="X85" s="216" t="s">
        <v>46</v>
      </c>
      <c r="Y85" s="216" t="s">
        <v>50</v>
      </c>
      <c r="Z85" s="216" t="s">
        <v>78</v>
      </c>
      <c r="AA85" s="208" t="s">
        <v>84</v>
      </c>
      <c r="AB85" s="216" t="s">
        <v>330</v>
      </c>
    </row>
    <row r="86" spans="1:28" x14ac:dyDescent="0.15">
      <c r="A86" s="216" t="s">
        <v>34</v>
      </c>
      <c r="B86" s="208" t="s">
        <v>328</v>
      </c>
      <c r="C86" s="208">
        <v>2018</v>
      </c>
      <c r="D86" s="250" t="s">
        <v>407</v>
      </c>
      <c r="E86" s="237" t="s">
        <v>316</v>
      </c>
      <c r="F86" s="237" t="s">
        <v>317</v>
      </c>
      <c r="G86" s="216" t="s">
        <v>36</v>
      </c>
      <c r="H86" s="208" t="s">
        <v>157</v>
      </c>
      <c r="I86" s="216" t="s">
        <v>153</v>
      </c>
      <c r="J86" s="216" t="s">
        <v>38</v>
      </c>
      <c r="K86" s="216" t="s">
        <v>154</v>
      </c>
      <c r="L86" s="216">
        <v>1</v>
      </c>
      <c r="N86" s="208">
        <v>1</v>
      </c>
      <c r="O86" s="208">
        <v>0.5</v>
      </c>
      <c r="P86" s="208">
        <v>0.5</v>
      </c>
      <c r="Q86" s="245">
        <f t="shared" si="5"/>
        <v>0.5</v>
      </c>
      <c r="R86" s="208">
        <v>15.4</v>
      </c>
      <c r="S86" s="208">
        <v>154</v>
      </c>
      <c r="T86" s="217">
        <f t="shared" si="6"/>
        <v>18</v>
      </c>
      <c r="U86" s="208">
        <v>107</v>
      </c>
      <c r="V86" s="217">
        <f t="shared" si="7"/>
        <v>1926</v>
      </c>
      <c r="W86" s="208">
        <v>4</v>
      </c>
      <c r="X86" s="216" t="s">
        <v>46</v>
      </c>
      <c r="Y86" s="216" t="s">
        <v>50</v>
      </c>
      <c r="Z86" s="216" t="s">
        <v>78</v>
      </c>
      <c r="AA86" s="208" t="s">
        <v>84</v>
      </c>
      <c r="AB86" s="216" t="s">
        <v>330</v>
      </c>
    </row>
    <row r="87" spans="1:28" x14ac:dyDescent="0.15">
      <c r="A87" s="216" t="s">
        <v>34</v>
      </c>
      <c r="B87" s="208" t="s">
        <v>328</v>
      </c>
      <c r="C87" s="208">
        <v>2018</v>
      </c>
      <c r="D87" s="250" t="s">
        <v>407</v>
      </c>
      <c r="E87" s="237" t="s">
        <v>316</v>
      </c>
      <c r="F87" s="237" t="s">
        <v>317</v>
      </c>
      <c r="G87" s="216" t="s">
        <v>36</v>
      </c>
      <c r="H87" s="208" t="s">
        <v>157</v>
      </c>
      <c r="I87" s="216" t="s">
        <v>153</v>
      </c>
      <c r="J87" s="216" t="s">
        <v>38</v>
      </c>
      <c r="K87" s="216" t="s">
        <v>154</v>
      </c>
      <c r="L87" s="208">
        <v>2</v>
      </c>
      <c r="N87" s="208">
        <v>1</v>
      </c>
      <c r="O87" s="208">
        <v>0.55000000000000004</v>
      </c>
      <c r="P87" s="208">
        <v>0.5</v>
      </c>
      <c r="Q87" s="245">
        <f t="shared" si="5"/>
        <v>0.52500000000000002</v>
      </c>
      <c r="R87" s="208">
        <v>15.4</v>
      </c>
      <c r="S87" s="208">
        <v>151</v>
      </c>
      <c r="T87" s="217">
        <f t="shared" si="6"/>
        <v>30</v>
      </c>
      <c r="U87" s="208">
        <v>107</v>
      </c>
      <c r="V87" s="217">
        <f t="shared" si="7"/>
        <v>3210</v>
      </c>
      <c r="W87" s="208">
        <v>4</v>
      </c>
      <c r="X87" s="216" t="s">
        <v>46</v>
      </c>
      <c r="Y87" s="216" t="s">
        <v>50</v>
      </c>
      <c r="Z87" s="216" t="s">
        <v>78</v>
      </c>
      <c r="AA87" s="208" t="s">
        <v>84</v>
      </c>
      <c r="AB87" s="216" t="s">
        <v>330</v>
      </c>
    </row>
    <row r="88" spans="1:28" x14ac:dyDescent="0.15">
      <c r="A88" s="216" t="s">
        <v>34</v>
      </c>
      <c r="B88" s="208" t="s">
        <v>328</v>
      </c>
      <c r="C88" s="208">
        <v>2018</v>
      </c>
      <c r="D88" s="250" t="s">
        <v>407</v>
      </c>
      <c r="E88" s="237" t="s">
        <v>316</v>
      </c>
      <c r="F88" s="237" t="s">
        <v>317</v>
      </c>
      <c r="G88" s="216" t="s">
        <v>36</v>
      </c>
      <c r="H88" s="208" t="s">
        <v>157</v>
      </c>
      <c r="I88" s="216" t="s">
        <v>153</v>
      </c>
      <c r="J88" s="216" t="s">
        <v>38</v>
      </c>
      <c r="K88" s="216" t="s">
        <v>154</v>
      </c>
      <c r="L88" s="208">
        <v>3</v>
      </c>
      <c r="N88" s="208">
        <v>1</v>
      </c>
      <c r="O88" s="208">
        <v>0.7</v>
      </c>
      <c r="P88" s="208">
        <v>0.65</v>
      </c>
      <c r="Q88" s="245">
        <f t="shared" si="5"/>
        <v>0.67500000000000004</v>
      </c>
      <c r="R88" s="208">
        <v>15.1</v>
      </c>
      <c r="S88" s="208">
        <v>156</v>
      </c>
      <c r="T88" s="217">
        <f t="shared" si="6"/>
        <v>18</v>
      </c>
      <c r="U88" s="208">
        <v>107</v>
      </c>
      <c r="V88" s="217">
        <f t="shared" si="7"/>
        <v>1926</v>
      </c>
      <c r="W88" s="208">
        <v>4</v>
      </c>
      <c r="X88" s="216" t="s">
        <v>46</v>
      </c>
      <c r="Y88" s="216" t="s">
        <v>50</v>
      </c>
      <c r="Z88" s="216" t="s">
        <v>78</v>
      </c>
      <c r="AA88" s="208" t="s">
        <v>84</v>
      </c>
      <c r="AB88" s="216" t="s">
        <v>330</v>
      </c>
    </row>
    <row r="89" spans="1:28" x14ac:dyDescent="0.15">
      <c r="A89" s="216" t="s">
        <v>34</v>
      </c>
      <c r="B89" s="208" t="s">
        <v>328</v>
      </c>
      <c r="C89" s="208">
        <v>2018</v>
      </c>
      <c r="D89" s="250" t="s">
        <v>407</v>
      </c>
      <c r="E89" s="237" t="s">
        <v>318</v>
      </c>
      <c r="F89" s="237" t="s">
        <v>319</v>
      </c>
      <c r="G89" s="216" t="s">
        <v>36</v>
      </c>
      <c r="H89" s="208" t="s">
        <v>155</v>
      </c>
      <c r="I89" s="216" t="s">
        <v>153</v>
      </c>
      <c r="J89" s="216" t="s">
        <v>38</v>
      </c>
      <c r="K89" s="216" t="s">
        <v>154</v>
      </c>
      <c r="L89" s="216">
        <v>1</v>
      </c>
      <c r="N89" s="208">
        <v>1</v>
      </c>
      <c r="O89" s="208">
        <v>0.65</v>
      </c>
      <c r="P89" s="208">
        <v>0.7</v>
      </c>
      <c r="Q89" s="245">
        <f t="shared" si="5"/>
        <v>0.67500000000000004</v>
      </c>
      <c r="R89" s="208">
        <v>15.6</v>
      </c>
      <c r="S89" s="208">
        <v>138</v>
      </c>
      <c r="T89" s="217">
        <f t="shared" si="6"/>
        <v>30</v>
      </c>
      <c r="U89" s="208">
        <v>105</v>
      </c>
      <c r="V89" s="217">
        <f t="shared" si="7"/>
        <v>3150</v>
      </c>
      <c r="W89" s="208">
        <v>7</v>
      </c>
      <c r="X89" s="216" t="s">
        <v>46</v>
      </c>
      <c r="Y89" s="208" t="s">
        <v>78</v>
      </c>
      <c r="Z89" s="208" t="s">
        <v>90</v>
      </c>
      <c r="AA89" s="208" t="s">
        <v>69</v>
      </c>
      <c r="AB89" s="216" t="s">
        <v>330</v>
      </c>
    </row>
    <row r="90" spans="1:28" x14ac:dyDescent="0.15">
      <c r="A90" s="216" t="s">
        <v>34</v>
      </c>
      <c r="B90" s="208" t="s">
        <v>328</v>
      </c>
      <c r="C90" s="208">
        <v>2018</v>
      </c>
      <c r="D90" s="250" t="s">
        <v>407</v>
      </c>
      <c r="E90" s="237" t="s">
        <v>318</v>
      </c>
      <c r="F90" s="237" t="s">
        <v>319</v>
      </c>
      <c r="G90" s="216" t="s">
        <v>36</v>
      </c>
      <c r="H90" s="208" t="s">
        <v>155</v>
      </c>
      <c r="I90" s="216" t="s">
        <v>153</v>
      </c>
      <c r="J90" s="216" t="s">
        <v>38</v>
      </c>
      <c r="K90" s="216" t="s">
        <v>154</v>
      </c>
      <c r="L90" s="208">
        <v>2</v>
      </c>
      <c r="N90" s="208">
        <v>1</v>
      </c>
      <c r="O90" s="208">
        <v>1</v>
      </c>
      <c r="P90" s="208">
        <v>0.9</v>
      </c>
      <c r="Q90" s="245">
        <f t="shared" si="5"/>
        <v>0.95</v>
      </c>
      <c r="R90" s="208">
        <v>10.4</v>
      </c>
      <c r="S90" s="208">
        <v>129</v>
      </c>
      <c r="T90" s="217">
        <f t="shared" si="6"/>
        <v>30</v>
      </c>
      <c r="U90" s="208">
        <v>105</v>
      </c>
      <c r="V90" s="217">
        <f t="shared" si="7"/>
        <v>3150</v>
      </c>
      <c r="W90" s="208">
        <v>7</v>
      </c>
      <c r="X90" s="216" t="s">
        <v>46</v>
      </c>
      <c r="Y90" s="208" t="s">
        <v>78</v>
      </c>
      <c r="Z90" s="208" t="s">
        <v>90</v>
      </c>
      <c r="AA90" s="208" t="s">
        <v>69</v>
      </c>
      <c r="AB90" s="216" t="s">
        <v>330</v>
      </c>
    </row>
    <row r="91" spans="1:28" x14ac:dyDescent="0.15">
      <c r="A91" s="216" t="s">
        <v>34</v>
      </c>
      <c r="B91" s="208" t="s">
        <v>328</v>
      </c>
      <c r="C91" s="208">
        <v>2018</v>
      </c>
      <c r="D91" s="250" t="s">
        <v>407</v>
      </c>
      <c r="E91" s="237" t="s">
        <v>318</v>
      </c>
      <c r="F91" s="237" t="s">
        <v>319</v>
      </c>
      <c r="G91" s="216" t="s">
        <v>36</v>
      </c>
      <c r="H91" s="208" t="s">
        <v>155</v>
      </c>
      <c r="I91" s="216" t="s">
        <v>153</v>
      </c>
      <c r="J91" s="216" t="s">
        <v>38</v>
      </c>
      <c r="K91" s="216" t="s">
        <v>154</v>
      </c>
      <c r="L91" s="208">
        <v>3</v>
      </c>
      <c r="N91" s="208">
        <v>1</v>
      </c>
      <c r="O91" s="208">
        <v>0.6</v>
      </c>
      <c r="P91" s="208">
        <v>0.6</v>
      </c>
      <c r="Q91" s="245">
        <f t="shared" si="5"/>
        <v>0.6</v>
      </c>
      <c r="R91" s="208">
        <v>13.8</v>
      </c>
      <c r="S91" s="208">
        <v>132</v>
      </c>
      <c r="T91" s="217">
        <f t="shared" si="6"/>
        <v>30</v>
      </c>
      <c r="U91" s="208">
        <v>105</v>
      </c>
      <c r="V91" s="217">
        <f t="shared" si="7"/>
        <v>3150</v>
      </c>
      <c r="W91" s="208">
        <v>7</v>
      </c>
      <c r="X91" s="216" t="s">
        <v>46</v>
      </c>
      <c r="Y91" s="208" t="s">
        <v>78</v>
      </c>
      <c r="Z91" s="208" t="s">
        <v>90</v>
      </c>
      <c r="AA91" s="208" t="s">
        <v>69</v>
      </c>
      <c r="AB91" s="216" t="s">
        <v>330</v>
      </c>
    </row>
    <row r="92" spans="1:28" x14ac:dyDescent="0.15">
      <c r="A92" s="216" t="s">
        <v>34</v>
      </c>
      <c r="B92" s="208" t="s">
        <v>328</v>
      </c>
      <c r="C92" s="208">
        <v>2018</v>
      </c>
      <c r="D92" s="250" t="s">
        <v>407</v>
      </c>
      <c r="E92" s="237" t="s">
        <v>318</v>
      </c>
      <c r="F92" s="237" t="s">
        <v>319</v>
      </c>
      <c r="G92" s="216" t="s">
        <v>36</v>
      </c>
      <c r="H92" s="208" t="s">
        <v>155</v>
      </c>
      <c r="I92" s="216" t="s">
        <v>153</v>
      </c>
      <c r="J92" s="216" t="s">
        <v>38</v>
      </c>
      <c r="K92" s="216" t="s">
        <v>154</v>
      </c>
      <c r="L92" s="216">
        <v>1</v>
      </c>
      <c r="N92" s="208">
        <v>4</v>
      </c>
      <c r="O92" s="208">
        <v>0.65</v>
      </c>
      <c r="P92" s="208">
        <v>0.6</v>
      </c>
      <c r="Q92" s="245">
        <f t="shared" si="5"/>
        <v>0.625</v>
      </c>
      <c r="R92" s="208">
        <v>14.3</v>
      </c>
      <c r="S92" s="208">
        <v>135</v>
      </c>
      <c r="T92" s="217">
        <f t="shared" si="6"/>
        <v>30</v>
      </c>
      <c r="U92" s="208">
        <v>380</v>
      </c>
      <c r="V92" s="217">
        <f t="shared" si="7"/>
        <v>2850</v>
      </c>
      <c r="W92" s="208">
        <v>7</v>
      </c>
      <c r="X92" s="216" t="s">
        <v>46</v>
      </c>
      <c r="Y92" s="208" t="s">
        <v>78</v>
      </c>
      <c r="Z92" s="208" t="s">
        <v>90</v>
      </c>
      <c r="AA92" s="208" t="s">
        <v>69</v>
      </c>
      <c r="AB92" s="216" t="s">
        <v>330</v>
      </c>
    </row>
    <row r="93" spans="1:28" x14ac:dyDescent="0.15">
      <c r="A93" s="216" t="s">
        <v>34</v>
      </c>
      <c r="B93" s="208" t="s">
        <v>328</v>
      </c>
      <c r="C93" s="208">
        <v>2018</v>
      </c>
      <c r="D93" s="250" t="s">
        <v>407</v>
      </c>
      <c r="E93" s="237" t="s">
        <v>318</v>
      </c>
      <c r="F93" s="237" t="s">
        <v>319</v>
      </c>
      <c r="G93" s="216" t="s">
        <v>36</v>
      </c>
      <c r="H93" s="208" t="s">
        <v>155</v>
      </c>
      <c r="I93" s="216" t="s">
        <v>153</v>
      </c>
      <c r="J93" s="216" t="s">
        <v>38</v>
      </c>
      <c r="K93" s="216" t="s">
        <v>154</v>
      </c>
      <c r="L93" s="208">
        <v>2</v>
      </c>
      <c r="N93" s="208">
        <v>4</v>
      </c>
      <c r="O93" s="208">
        <v>0.85</v>
      </c>
      <c r="P93" s="208">
        <v>0.85</v>
      </c>
      <c r="Q93" s="245">
        <f t="shared" si="5"/>
        <v>0.85</v>
      </c>
      <c r="R93" s="208">
        <v>11.8</v>
      </c>
      <c r="S93" s="208">
        <v>134</v>
      </c>
      <c r="T93" s="217">
        <f t="shared" si="6"/>
        <v>30</v>
      </c>
      <c r="U93" s="208">
        <v>380</v>
      </c>
      <c r="V93" s="217">
        <f t="shared" si="7"/>
        <v>2850</v>
      </c>
      <c r="W93" s="208">
        <v>7</v>
      </c>
      <c r="X93" s="216" t="s">
        <v>46</v>
      </c>
      <c r="Y93" s="208" t="s">
        <v>78</v>
      </c>
      <c r="Z93" s="208" t="s">
        <v>90</v>
      </c>
      <c r="AA93" s="208" t="s">
        <v>69</v>
      </c>
      <c r="AB93" s="216" t="s">
        <v>330</v>
      </c>
    </row>
    <row r="94" spans="1:28" x14ac:dyDescent="0.15">
      <c r="A94" s="216" t="s">
        <v>34</v>
      </c>
      <c r="B94" s="208" t="s">
        <v>328</v>
      </c>
      <c r="C94" s="208">
        <v>2018</v>
      </c>
      <c r="D94" s="250" t="s">
        <v>407</v>
      </c>
      <c r="E94" s="237" t="s">
        <v>318</v>
      </c>
      <c r="F94" s="237" t="s">
        <v>319</v>
      </c>
      <c r="G94" s="216" t="s">
        <v>36</v>
      </c>
      <c r="H94" s="208" t="s">
        <v>155</v>
      </c>
      <c r="I94" s="216" t="s">
        <v>153</v>
      </c>
      <c r="J94" s="216" t="s">
        <v>38</v>
      </c>
      <c r="K94" s="216" t="s">
        <v>154</v>
      </c>
      <c r="L94" s="208">
        <v>3</v>
      </c>
      <c r="N94" s="208">
        <v>4</v>
      </c>
      <c r="O94" s="208">
        <v>0.65</v>
      </c>
      <c r="P94" s="208">
        <v>0.75</v>
      </c>
      <c r="Q94" s="245">
        <f t="shared" si="5"/>
        <v>0.7</v>
      </c>
      <c r="R94" s="208">
        <v>14.7</v>
      </c>
      <c r="S94" s="208">
        <v>132</v>
      </c>
      <c r="T94" s="217">
        <f t="shared" si="6"/>
        <v>30</v>
      </c>
      <c r="U94" s="208">
        <v>380</v>
      </c>
      <c r="V94" s="217">
        <f t="shared" si="7"/>
        <v>2850</v>
      </c>
      <c r="W94" s="208">
        <v>7</v>
      </c>
      <c r="X94" s="216" t="s">
        <v>46</v>
      </c>
      <c r="Y94" s="208" t="s">
        <v>78</v>
      </c>
      <c r="Z94" s="208" t="s">
        <v>90</v>
      </c>
      <c r="AA94" s="208" t="s">
        <v>69</v>
      </c>
      <c r="AB94" s="216" t="s">
        <v>330</v>
      </c>
    </row>
    <row r="95" spans="1:28" x14ac:dyDescent="0.15">
      <c r="A95" s="216" t="s">
        <v>34</v>
      </c>
      <c r="B95" s="208" t="s">
        <v>328</v>
      </c>
      <c r="C95" s="208">
        <v>2018</v>
      </c>
      <c r="D95" s="250" t="s">
        <v>407</v>
      </c>
      <c r="E95" s="237" t="s">
        <v>318</v>
      </c>
      <c r="F95" s="237" t="s">
        <v>319</v>
      </c>
      <c r="G95" s="216" t="s">
        <v>36</v>
      </c>
      <c r="H95" s="208" t="s">
        <v>155</v>
      </c>
      <c r="I95" s="216" t="s">
        <v>156</v>
      </c>
      <c r="J95" s="216" t="s">
        <v>38</v>
      </c>
      <c r="K95" s="216" t="s">
        <v>154</v>
      </c>
      <c r="L95" s="216">
        <v>1</v>
      </c>
      <c r="N95" s="208">
        <v>4</v>
      </c>
      <c r="O95" s="208">
        <v>0.95</v>
      </c>
      <c r="P95" s="208">
        <v>0.9</v>
      </c>
      <c r="Q95" s="245">
        <f t="shared" si="5"/>
        <v>0.92500000000000004</v>
      </c>
      <c r="R95" s="208">
        <v>12.5</v>
      </c>
      <c r="S95" s="208">
        <v>116</v>
      </c>
      <c r="T95" s="217">
        <f t="shared" si="6"/>
        <v>30</v>
      </c>
      <c r="U95" s="208">
        <v>378</v>
      </c>
      <c r="V95" s="217">
        <f t="shared" si="7"/>
        <v>2835</v>
      </c>
      <c r="W95" s="208">
        <v>7</v>
      </c>
      <c r="X95" s="216" t="s">
        <v>46</v>
      </c>
      <c r="Y95" s="208" t="s">
        <v>78</v>
      </c>
      <c r="Z95" s="208" t="s">
        <v>90</v>
      </c>
      <c r="AA95" s="208" t="s">
        <v>69</v>
      </c>
      <c r="AB95" s="216" t="s">
        <v>330</v>
      </c>
    </row>
    <row r="96" spans="1:28" x14ac:dyDescent="0.15">
      <c r="A96" s="216" t="s">
        <v>34</v>
      </c>
      <c r="B96" s="208" t="s">
        <v>328</v>
      </c>
      <c r="C96" s="208">
        <v>2018</v>
      </c>
      <c r="D96" s="250" t="s">
        <v>407</v>
      </c>
      <c r="E96" s="237" t="s">
        <v>318</v>
      </c>
      <c r="F96" s="237" t="s">
        <v>319</v>
      </c>
      <c r="G96" s="216" t="s">
        <v>36</v>
      </c>
      <c r="H96" s="208" t="s">
        <v>155</v>
      </c>
      <c r="I96" s="216" t="s">
        <v>156</v>
      </c>
      <c r="J96" s="216" t="s">
        <v>38</v>
      </c>
      <c r="K96" s="216" t="s">
        <v>154</v>
      </c>
      <c r="L96" s="208">
        <v>2</v>
      </c>
      <c r="N96" s="208">
        <v>4</v>
      </c>
      <c r="O96" s="208">
        <v>1</v>
      </c>
      <c r="P96" s="208">
        <v>0.95</v>
      </c>
      <c r="Q96" s="245">
        <f t="shared" si="5"/>
        <v>0.97499999999999998</v>
      </c>
      <c r="R96" s="208">
        <v>10.1</v>
      </c>
      <c r="S96" s="208">
        <v>109</v>
      </c>
      <c r="T96" s="217">
        <f t="shared" si="6"/>
        <v>33</v>
      </c>
      <c r="U96" s="208">
        <v>378</v>
      </c>
      <c r="V96" s="217">
        <f t="shared" si="7"/>
        <v>3118.5</v>
      </c>
      <c r="W96" s="208">
        <v>7</v>
      </c>
      <c r="X96" s="216" t="s">
        <v>46</v>
      </c>
      <c r="Y96" s="208" t="s">
        <v>78</v>
      </c>
      <c r="Z96" s="208" t="s">
        <v>90</v>
      </c>
      <c r="AA96" s="208" t="s">
        <v>69</v>
      </c>
      <c r="AB96" s="216" t="s">
        <v>330</v>
      </c>
    </row>
    <row r="97" spans="1:28" x14ac:dyDescent="0.15">
      <c r="A97" s="216" t="s">
        <v>34</v>
      </c>
      <c r="B97" s="208" t="s">
        <v>328</v>
      </c>
      <c r="C97" s="208">
        <v>2018</v>
      </c>
      <c r="D97" s="250" t="s">
        <v>407</v>
      </c>
      <c r="E97" s="237" t="s">
        <v>318</v>
      </c>
      <c r="F97" s="237" t="s">
        <v>319</v>
      </c>
      <c r="G97" s="216" t="s">
        <v>36</v>
      </c>
      <c r="H97" s="208" t="s">
        <v>155</v>
      </c>
      <c r="I97" s="216" t="s">
        <v>156</v>
      </c>
      <c r="J97" s="216" t="s">
        <v>38</v>
      </c>
      <c r="K97" s="216" t="s">
        <v>154</v>
      </c>
      <c r="L97" s="208">
        <v>3</v>
      </c>
      <c r="N97" s="208">
        <v>4</v>
      </c>
      <c r="O97" s="208">
        <v>0.85</v>
      </c>
      <c r="P97" s="208">
        <v>0.85</v>
      </c>
      <c r="Q97" s="245">
        <f t="shared" si="5"/>
        <v>0.85</v>
      </c>
      <c r="R97" s="208">
        <v>13.1</v>
      </c>
      <c r="S97" s="208">
        <v>110</v>
      </c>
      <c r="T97" s="217">
        <f t="shared" si="6"/>
        <v>33</v>
      </c>
      <c r="U97" s="208">
        <v>378</v>
      </c>
      <c r="V97" s="217">
        <f t="shared" si="7"/>
        <v>3118.5</v>
      </c>
      <c r="W97" s="208">
        <v>7</v>
      </c>
      <c r="X97" s="216" t="s">
        <v>46</v>
      </c>
      <c r="Y97" s="208" t="s">
        <v>78</v>
      </c>
      <c r="Z97" s="208" t="s">
        <v>90</v>
      </c>
      <c r="AA97" s="208" t="s">
        <v>69</v>
      </c>
      <c r="AB97" s="216" t="s">
        <v>330</v>
      </c>
    </row>
    <row r="98" spans="1:28" x14ac:dyDescent="0.15">
      <c r="A98" s="216" t="s">
        <v>34</v>
      </c>
      <c r="B98" s="208" t="s">
        <v>328</v>
      </c>
      <c r="C98" s="208">
        <v>2018</v>
      </c>
      <c r="D98" s="250" t="s">
        <v>407</v>
      </c>
      <c r="E98" s="237" t="s">
        <v>318</v>
      </c>
      <c r="F98" s="237" t="s">
        <v>319</v>
      </c>
      <c r="G98" s="216" t="s">
        <v>36</v>
      </c>
      <c r="H98" s="208" t="s">
        <v>157</v>
      </c>
      <c r="I98" s="216" t="s">
        <v>153</v>
      </c>
      <c r="J98" s="216" t="s">
        <v>38</v>
      </c>
      <c r="K98" s="216" t="s">
        <v>154</v>
      </c>
      <c r="L98" s="216">
        <v>1</v>
      </c>
      <c r="N98" s="208">
        <v>1</v>
      </c>
      <c r="O98" s="208">
        <v>0.5</v>
      </c>
      <c r="P98" s="208">
        <v>0.65</v>
      </c>
      <c r="Q98" s="245">
        <f t="shared" si="5"/>
        <v>0.57499999999999996</v>
      </c>
      <c r="R98" s="208">
        <v>14.5</v>
      </c>
      <c r="S98" s="208">
        <v>142</v>
      </c>
      <c r="T98" s="217">
        <f t="shared" si="6"/>
        <v>30</v>
      </c>
      <c r="U98" s="208">
        <v>105</v>
      </c>
      <c r="V98" s="217">
        <f t="shared" si="7"/>
        <v>3150</v>
      </c>
      <c r="W98" s="208">
        <v>2</v>
      </c>
      <c r="X98" s="216" t="s">
        <v>46</v>
      </c>
      <c r="Y98" s="208" t="s">
        <v>78</v>
      </c>
      <c r="Z98" s="208" t="s">
        <v>90</v>
      </c>
      <c r="AA98" s="208" t="s">
        <v>69</v>
      </c>
      <c r="AB98" s="216" t="s">
        <v>330</v>
      </c>
    </row>
    <row r="99" spans="1:28" x14ac:dyDescent="0.15">
      <c r="A99" s="216" t="s">
        <v>34</v>
      </c>
      <c r="B99" s="208" t="s">
        <v>328</v>
      </c>
      <c r="C99" s="208">
        <v>2018</v>
      </c>
      <c r="D99" s="250" t="s">
        <v>407</v>
      </c>
      <c r="E99" s="237" t="s">
        <v>318</v>
      </c>
      <c r="F99" s="237" t="s">
        <v>319</v>
      </c>
      <c r="G99" s="216" t="s">
        <v>36</v>
      </c>
      <c r="H99" s="208" t="s">
        <v>157</v>
      </c>
      <c r="I99" s="216" t="s">
        <v>153</v>
      </c>
      <c r="J99" s="216" t="s">
        <v>38</v>
      </c>
      <c r="K99" s="216" t="s">
        <v>154</v>
      </c>
      <c r="L99" s="208">
        <v>2</v>
      </c>
      <c r="N99" s="208">
        <v>1</v>
      </c>
      <c r="O99" s="208">
        <v>0.55000000000000004</v>
      </c>
      <c r="P99" s="208">
        <v>0.6</v>
      </c>
      <c r="Q99" s="245">
        <f t="shared" si="5"/>
        <v>0.57499999999999996</v>
      </c>
      <c r="R99" s="208">
        <v>14.2</v>
      </c>
      <c r="S99" s="208">
        <v>112</v>
      </c>
      <c r="T99" s="217">
        <f t="shared" si="6"/>
        <v>33</v>
      </c>
      <c r="U99" s="208">
        <v>105</v>
      </c>
      <c r="V99" s="217">
        <f t="shared" si="7"/>
        <v>3465</v>
      </c>
      <c r="W99" s="208">
        <v>2</v>
      </c>
      <c r="X99" s="216" t="s">
        <v>46</v>
      </c>
      <c r="Y99" s="208" t="s">
        <v>78</v>
      </c>
      <c r="Z99" s="208" t="s">
        <v>90</v>
      </c>
      <c r="AA99" s="208" t="s">
        <v>69</v>
      </c>
      <c r="AB99" s="216" t="s">
        <v>330</v>
      </c>
    </row>
    <row r="100" spans="1:28" x14ac:dyDescent="0.15">
      <c r="A100" s="216" t="s">
        <v>34</v>
      </c>
      <c r="B100" s="208" t="s">
        <v>328</v>
      </c>
      <c r="C100" s="208">
        <v>2018</v>
      </c>
      <c r="D100" s="250" t="s">
        <v>407</v>
      </c>
      <c r="E100" s="237" t="s">
        <v>318</v>
      </c>
      <c r="F100" s="237" t="s">
        <v>319</v>
      </c>
      <c r="G100" s="216" t="s">
        <v>36</v>
      </c>
      <c r="H100" s="208" t="s">
        <v>157</v>
      </c>
      <c r="I100" s="216" t="s">
        <v>153</v>
      </c>
      <c r="J100" s="216" t="s">
        <v>38</v>
      </c>
      <c r="K100" s="216" t="s">
        <v>154</v>
      </c>
      <c r="L100" s="208">
        <v>3</v>
      </c>
      <c r="N100" s="208">
        <v>1</v>
      </c>
      <c r="O100" s="208">
        <v>0.65</v>
      </c>
      <c r="P100" s="208">
        <v>0.55000000000000004</v>
      </c>
      <c r="Q100" s="245">
        <f t="shared" si="5"/>
        <v>0.60000000000000009</v>
      </c>
      <c r="R100" s="208">
        <v>15.3</v>
      </c>
      <c r="S100" s="208">
        <v>112</v>
      </c>
      <c r="T100" s="217">
        <f t="shared" si="6"/>
        <v>33</v>
      </c>
      <c r="U100" s="208">
        <v>105</v>
      </c>
      <c r="V100" s="217">
        <f t="shared" si="7"/>
        <v>3465</v>
      </c>
      <c r="W100" s="208">
        <v>2</v>
      </c>
      <c r="X100" s="216" t="s">
        <v>46</v>
      </c>
      <c r="Y100" s="208" t="s">
        <v>78</v>
      </c>
      <c r="Z100" s="208" t="s">
        <v>90</v>
      </c>
      <c r="AA100" s="208" t="s">
        <v>69</v>
      </c>
      <c r="AB100" s="216" t="s">
        <v>330</v>
      </c>
    </row>
    <row r="101" spans="1:28" x14ac:dyDescent="0.15">
      <c r="A101" s="216" t="s">
        <v>34</v>
      </c>
      <c r="B101" s="208" t="s">
        <v>328</v>
      </c>
      <c r="C101" s="208">
        <v>2018</v>
      </c>
      <c r="D101" s="250" t="s">
        <v>407</v>
      </c>
      <c r="E101" s="237" t="s">
        <v>318</v>
      </c>
      <c r="F101" s="237" t="s">
        <v>319</v>
      </c>
      <c r="G101" s="216" t="s">
        <v>36</v>
      </c>
      <c r="H101" s="208" t="s">
        <v>157</v>
      </c>
      <c r="I101" s="216" t="s">
        <v>153</v>
      </c>
      <c r="J101" s="216" t="s">
        <v>38</v>
      </c>
      <c r="K101" s="216" t="s">
        <v>154</v>
      </c>
      <c r="L101" s="216">
        <v>1</v>
      </c>
      <c r="N101" s="208">
        <v>4</v>
      </c>
      <c r="O101" s="208">
        <v>0.5</v>
      </c>
      <c r="P101" s="208">
        <v>0.45</v>
      </c>
      <c r="Q101" s="245">
        <f t="shared" si="5"/>
        <v>0.47499999999999998</v>
      </c>
      <c r="R101" s="208">
        <v>14.9</v>
      </c>
      <c r="S101" s="208">
        <v>105</v>
      </c>
      <c r="T101" s="217">
        <f t="shared" si="6"/>
        <v>33</v>
      </c>
      <c r="U101" s="208">
        <v>410</v>
      </c>
      <c r="V101" s="217">
        <f t="shared" si="7"/>
        <v>3382.5</v>
      </c>
      <c r="W101" s="208">
        <v>2</v>
      </c>
      <c r="X101" s="216" t="s">
        <v>46</v>
      </c>
      <c r="Y101" s="208" t="s">
        <v>78</v>
      </c>
      <c r="Z101" s="208" t="s">
        <v>90</v>
      </c>
      <c r="AA101" s="208" t="s">
        <v>69</v>
      </c>
      <c r="AB101" s="216" t="s">
        <v>330</v>
      </c>
    </row>
    <row r="102" spans="1:28" x14ac:dyDescent="0.15">
      <c r="A102" s="216" t="s">
        <v>34</v>
      </c>
      <c r="B102" s="208" t="s">
        <v>328</v>
      </c>
      <c r="C102" s="208">
        <v>2018</v>
      </c>
      <c r="D102" s="250" t="s">
        <v>407</v>
      </c>
      <c r="E102" s="237" t="s">
        <v>318</v>
      </c>
      <c r="F102" s="237" t="s">
        <v>319</v>
      </c>
      <c r="G102" s="216" t="s">
        <v>36</v>
      </c>
      <c r="H102" s="208" t="s">
        <v>157</v>
      </c>
      <c r="I102" s="216" t="s">
        <v>153</v>
      </c>
      <c r="J102" s="216" t="s">
        <v>38</v>
      </c>
      <c r="K102" s="216" t="s">
        <v>154</v>
      </c>
      <c r="L102" s="208">
        <v>2</v>
      </c>
      <c r="N102" s="208">
        <v>4</v>
      </c>
      <c r="O102" s="208">
        <v>0.2</v>
      </c>
      <c r="P102" s="208">
        <v>0.2</v>
      </c>
      <c r="Q102" s="245">
        <f t="shared" si="5"/>
        <v>0.2</v>
      </c>
      <c r="R102" s="208">
        <v>14.4</v>
      </c>
      <c r="S102" s="208">
        <v>106</v>
      </c>
      <c r="T102" s="217">
        <f t="shared" si="6"/>
        <v>33</v>
      </c>
      <c r="U102" s="208">
        <v>410</v>
      </c>
      <c r="V102" s="217">
        <f t="shared" si="7"/>
        <v>3382.5</v>
      </c>
      <c r="W102" s="208">
        <v>2</v>
      </c>
      <c r="X102" s="216" t="s">
        <v>46</v>
      </c>
      <c r="Y102" s="208" t="s">
        <v>78</v>
      </c>
      <c r="Z102" s="208" t="s">
        <v>90</v>
      </c>
      <c r="AA102" s="208" t="s">
        <v>69</v>
      </c>
      <c r="AB102" s="216" t="s">
        <v>330</v>
      </c>
    </row>
    <row r="103" spans="1:28" x14ac:dyDescent="0.15">
      <c r="A103" s="216" t="s">
        <v>34</v>
      </c>
      <c r="B103" s="208" t="s">
        <v>328</v>
      </c>
      <c r="C103" s="208">
        <v>2018</v>
      </c>
      <c r="D103" s="250" t="s">
        <v>407</v>
      </c>
      <c r="E103" s="237" t="s">
        <v>318</v>
      </c>
      <c r="F103" s="237" t="s">
        <v>319</v>
      </c>
      <c r="G103" s="216" t="s">
        <v>36</v>
      </c>
      <c r="H103" s="208" t="s">
        <v>157</v>
      </c>
      <c r="I103" s="216" t="s">
        <v>153</v>
      </c>
      <c r="J103" s="216" t="s">
        <v>38</v>
      </c>
      <c r="K103" s="216" t="s">
        <v>154</v>
      </c>
      <c r="L103" s="208">
        <v>3</v>
      </c>
      <c r="N103" s="208">
        <v>4</v>
      </c>
      <c r="O103" s="208">
        <v>0.2</v>
      </c>
      <c r="P103" s="208">
        <v>0.2</v>
      </c>
      <c r="Q103" s="245">
        <f t="shared" si="5"/>
        <v>0.2</v>
      </c>
      <c r="R103" s="208">
        <v>14.7</v>
      </c>
      <c r="S103" s="208">
        <v>106</v>
      </c>
      <c r="T103" s="217">
        <f t="shared" si="6"/>
        <v>33</v>
      </c>
      <c r="U103" s="208">
        <v>410</v>
      </c>
      <c r="V103" s="217">
        <f t="shared" si="7"/>
        <v>3382.5</v>
      </c>
      <c r="W103" s="208">
        <v>2</v>
      </c>
      <c r="X103" s="216" t="s">
        <v>46</v>
      </c>
      <c r="Y103" s="208" t="s">
        <v>78</v>
      </c>
      <c r="Z103" s="208" t="s">
        <v>90</v>
      </c>
      <c r="AA103" s="208" t="s">
        <v>69</v>
      </c>
      <c r="AB103" s="216" t="s">
        <v>330</v>
      </c>
    </row>
    <row r="104" spans="1:28" x14ac:dyDescent="0.15">
      <c r="K104" s="216"/>
      <c r="T104" s="217" t="str">
        <f t="shared" si="6"/>
        <v/>
      </c>
      <c r="V104" s="217" t="str">
        <f t="shared" si="7"/>
        <v/>
      </c>
    </row>
    <row r="105" spans="1:28" x14ac:dyDescent="0.15">
      <c r="K105" s="216"/>
      <c r="V105" s="217" t="str">
        <f t="shared" si="7"/>
        <v/>
      </c>
    </row>
    <row r="106" spans="1:28" x14ac:dyDescent="0.15">
      <c r="K106" s="216"/>
      <c r="V106" s="217" t="str">
        <f t="shared" si="7"/>
        <v/>
      </c>
    </row>
    <row r="107" spans="1:28" x14ac:dyDescent="0.15">
      <c r="K107" s="216"/>
      <c r="V107" s="217" t="str">
        <f t="shared" si="7"/>
        <v/>
      </c>
    </row>
    <row r="108" spans="1:28" x14ac:dyDescent="0.15">
      <c r="K108" s="216"/>
    </row>
    <row r="109" spans="1:28" x14ac:dyDescent="0.15">
      <c r="K109" s="216"/>
    </row>
    <row r="110" spans="1:28" x14ac:dyDescent="0.15">
      <c r="K110" s="216"/>
    </row>
    <row r="111" spans="1:28" x14ac:dyDescent="0.15">
      <c r="K111" s="216"/>
    </row>
    <row r="112" spans="1:28"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row r="750" spans="11:11" x14ac:dyDescent="0.15">
      <c r="K750" s="216"/>
    </row>
    <row r="751" spans="11:11" x14ac:dyDescent="0.15">
      <c r="K751" s="216"/>
    </row>
    <row r="752" spans="11:11" x14ac:dyDescent="0.15">
      <c r="K752" s="216"/>
    </row>
    <row r="753" spans="11:11" x14ac:dyDescent="0.15">
      <c r="K753" s="216"/>
    </row>
    <row r="754" spans="11:11" x14ac:dyDescent="0.15">
      <c r="K754" s="216"/>
    </row>
    <row r="755" spans="11:11" x14ac:dyDescent="0.15">
      <c r="K755" s="216"/>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3"/>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07DA51-3B0B-45CB-8896-EC88351EFD9B}"/>
</file>

<file path=customXml/itemProps2.xml><?xml version="1.0" encoding="utf-8"?>
<ds:datastoreItem xmlns:ds="http://schemas.openxmlformats.org/officeDocument/2006/customXml" ds:itemID="{5180917A-FB85-47D4-ABCA-D0F0E6ECCD9A}"/>
</file>

<file path=customXml/itemProps3.xml><?xml version="1.0" encoding="utf-8"?>
<ds:datastoreItem xmlns:ds="http://schemas.openxmlformats.org/officeDocument/2006/customXml" ds:itemID="{B07FE7F2-0070-4A98-B87E-2805B66E39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2018-10-15T05:02:16Z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