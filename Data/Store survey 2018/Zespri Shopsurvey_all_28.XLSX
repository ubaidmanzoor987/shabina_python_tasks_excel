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worksheets/sheet1.xml" ContentType="application/vnd.openxmlformats-officedocument.spreadsheetml.worksheet+xml"/>
  <Override PartName="/xl/theme/theme1.xml" ContentType="application/vnd.openxmlformats-officedocument.them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tyles.xml" ContentType="application/vnd.openxmlformats-officedocument.spreadsheetml.styl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externalLinks/externalLink6.xml" ContentType="application/vnd.openxmlformats-officedocument.spreadsheetml.externalLink+xml"/>
  <Override PartName="/xl/externalLinks/externalLink5.xml" ContentType="application/vnd.openxmlformats-officedocument.spreadsheetml.externalLink+xml"/>
  <Override PartName="/xl/externalLinks/externalLink4.xml" ContentType="application/vnd.openxmlformats-officedocument.spreadsheetml.externalLink+xml"/>
  <Override PartName="/xl/externalLinks/externalLink3.xml" ContentType="application/vnd.openxmlformats-officedocument.spreadsheetml.externalLink+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15" windowWidth="28800" windowHeight="6420"/>
  </bookViews>
  <sheets>
    <sheet name="sapporo" sheetId="17" r:id="rId1"/>
    <sheet name="miyagi" sheetId="26" r:id="rId2"/>
    <sheet name="nagoya" sheetId="27" r:id="rId3"/>
    <sheet name="osaka" sheetId="28" r:id="rId4"/>
    <sheet name="hiroshima" sheetId="29" r:id="rId5"/>
    <sheet name="fukuoka" sheetId="30" r:id="rId6"/>
    <sheet name="tokyo-east(ota)" sheetId="31" r:id="rId7"/>
    <sheet name="tokyo-west(kato)" sheetId="32" r:id="rId8"/>
  </sheets>
  <externalReferences>
    <externalReference r:id="rId9"/>
    <externalReference r:id="rId10"/>
    <externalReference r:id="rId11"/>
    <externalReference r:id="rId12"/>
    <externalReference r:id="rId13"/>
    <externalReference r:id="rId14"/>
  </externalReferences>
  <definedNames>
    <definedName name="_xlnm._FilterDatabase" localSheetId="5" hidden="1">fukuoka!$A$1:$BA$152</definedName>
    <definedName name="_xlnm._FilterDatabase" localSheetId="4" hidden="1">hiroshima!$A$1:$BA$1</definedName>
    <definedName name="_xlnm._FilterDatabase" localSheetId="1" hidden="1">miyagi!$A$1:$BA$130</definedName>
    <definedName name="_xlnm._FilterDatabase" localSheetId="2" hidden="1">nagoya!$A$1:$BA$52</definedName>
    <definedName name="_xlnm._FilterDatabase" localSheetId="0" hidden="1">sapporo!$A$1:$BA$120</definedName>
    <definedName name="_xlnm._FilterDatabase" localSheetId="6" hidden="1">'tokyo-east(ota)'!$A$1:$BA$1</definedName>
    <definedName name="_xlnm._FilterDatabase" localSheetId="7" hidden="1">'tokyo-west(kato)'!$A$1:$BA$84</definedName>
    <definedName name="aaa" localSheetId="5">#REF!</definedName>
    <definedName name="aaa" localSheetId="4">#REF!</definedName>
    <definedName name="aaa" localSheetId="1">#REF!</definedName>
    <definedName name="aaa" localSheetId="2">#REF!</definedName>
    <definedName name="aaa" localSheetId="0">#REF!</definedName>
    <definedName name="aaa" localSheetId="6">#REF!</definedName>
    <definedName name="aaa" localSheetId="7">#REF!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0">#REF!</definedName>
    <definedName name="Brand" localSheetId="6">#REF!</definedName>
    <definedName name="Brand" localSheetId="7">#REF!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0">#REF!</definedName>
    <definedName name="District" localSheetId="6">#REF!</definedName>
    <definedName name="District" localSheetId="7">#REF!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0">#REF!</definedName>
    <definedName name="Fruit" localSheetId="6">#REF!</definedName>
    <definedName name="Fruit" localSheetId="7">#REF!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0">#REF!</definedName>
    <definedName name="GoldSIZE" localSheetId="6">#REF!</definedName>
    <definedName name="GoldSIZE" localSheetId="7">#REF!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0">#REF!</definedName>
    <definedName name="GreenSIZE" localSheetId="6">#REF!</definedName>
    <definedName name="GreenSIZE" localSheetId="7">#REF!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0">#REF!</definedName>
    <definedName name="GrowingMethod" localSheetId="6">#REF!</definedName>
    <definedName name="GrowingMethod" localSheetId="7">#REF!</definedName>
    <definedName name="GrowingMethod">#REF!</definedName>
    <definedName name="hiroshima" localSheetId="5">#REF!</definedName>
    <definedName name="hiroshima" localSheetId="6">#REF!</definedName>
    <definedName name="hiroshima" localSheetId="7">#REF!</definedName>
    <definedName name="hiroshima">#REF!</definedName>
    <definedName name="kk" localSheetId="5">#REF!</definedName>
    <definedName name="kk" localSheetId="1">#REF!</definedName>
    <definedName name="kk" localSheetId="2">#REF!</definedName>
    <definedName name="kk" localSheetId="6">#REF!</definedName>
    <definedName name="kk" localSheetId="7">#REF!</definedName>
    <definedName name="kk">#REF!</definedName>
    <definedName name="ｌｌｌｌｌ" localSheetId="5">#REF!</definedName>
    <definedName name="ｌｌｌｌｌ" localSheetId="6">#REF!</definedName>
    <definedName name="ｌｌｌｌｌ" localSheetId="7">#REF!</definedName>
    <definedName name="ｌｌｌｌｌ">#REF!</definedName>
    <definedName name="miyagi" localSheetId="5">#REF!</definedName>
    <definedName name="miyagi" localSheetId="6">#REF!</definedName>
    <definedName name="miyagi" localSheetId="7">#REF!</definedName>
    <definedName name="miyagi">#REF!</definedName>
    <definedName name="miyagi2" localSheetId="5">#REF!</definedName>
    <definedName name="miyagi2" localSheetId="6">#REF!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0">#REF!</definedName>
    <definedName name="Origin" localSheetId="6">#REF!</definedName>
    <definedName name="Origin" localSheetId="7">#REF!</definedName>
    <definedName name="Origin">#REF!</definedName>
    <definedName name="_xlnm.Print_Area" localSheetId="4">hiroshima!$E$1:$S$75</definedName>
    <definedName name="_xlnm.Print_Area" localSheetId="6">'tokyo-east(ota)'!$A$1:$AH$49</definedName>
    <definedName name="Shelf" localSheetId="5">#REF!</definedName>
    <definedName name="Shelf" localSheetId="4">#REF!</definedName>
    <definedName name="Shelf" localSheetId="1">#REF!</definedName>
    <definedName name="Shelf" localSheetId="2">#REF!</definedName>
    <definedName name="Shelf" localSheetId="0">#REF!</definedName>
    <definedName name="Shelf" localSheetId="6">#REF!</definedName>
    <definedName name="Shelf" localSheetId="7">#REF!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0">#REF!</definedName>
    <definedName name="Shop" localSheetId="6">#REF!</definedName>
    <definedName name="Shop" localSheetId="7">#REF!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0">#REF!</definedName>
    <definedName name="ShopName1" localSheetId="6">#REF!</definedName>
    <definedName name="ShopName1" localSheetId="7">#REF!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0">#REF!</definedName>
    <definedName name="ShopName2" localSheetId="6">#REF!</definedName>
    <definedName name="ShopName2" localSheetId="7">#REF!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0">#REF!</definedName>
    <definedName name="Variety" localSheetId="6">#REF!</definedName>
    <definedName name="Variety" localSheetId="7">#REF!</definedName>
    <definedName name="Variety">#REF!</definedName>
    <definedName name="yaginuma" localSheetId="5">#REF!</definedName>
    <definedName name="yaginuma" localSheetId="6">#REF!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0">#REF!</definedName>
    <definedName name="検索店舗名" localSheetId="6">#REF!</definedName>
    <definedName name="検索店舗名" localSheetId="7">#REF!</definedName>
    <definedName name="検索店舗名">#REF!</definedName>
    <definedName name="栽培方法" localSheetId="5">#REF!</definedName>
    <definedName name="栽培方法" localSheetId="2">nagoya!$AN$1:$AN$6</definedName>
    <definedName name="栽培方法" localSheetId="6">#REF!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0">#REF!</definedName>
    <definedName name="販売ユニット個数" localSheetId="6">#REF!</definedName>
    <definedName name="販売ユニット個数" localSheetId="7">#REF!</definedName>
    <definedName name="販売ユニット個数">#REF!</definedName>
  </definedNames>
  <calcPr calcId="145621"/>
</workbook>
</file>

<file path=xl/calcChain.xml><?xml version="1.0" encoding="utf-8"?>
<calcChain xmlns="http://schemas.openxmlformats.org/spreadsheetml/2006/main">
  <c r="T123" i="32" l="1"/>
  <c r="T122" i="32"/>
  <c r="T121" i="32"/>
  <c r="V121" i="32" s="1"/>
  <c r="V120" i="32"/>
  <c r="T120" i="32"/>
  <c r="T119" i="32"/>
  <c r="V119" i="32" s="1"/>
  <c r="V118" i="32"/>
  <c r="T118" i="32"/>
  <c r="T117" i="32"/>
  <c r="V117" i="32" s="1"/>
  <c r="V116" i="32"/>
  <c r="T116" i="32"/>
  <c r="T115" i="32"/>
  <c r="V115" i="32" s="1"/>
  <c r="Q115" i="32"/>
  <c r="T114" i="32"/>
  <c r="V114" i="32" s="1"/>
  <c r="Q114" i="32"/>
  <c r="V113" i="32"/>
  <c r="T113" i="32"/>
  <c r="Q113" i="32"/>
  <c r="V112" i="32"/>
  <c r="T112" i="32"/>
  <c r="Q112" i="32"/>
  <c r="T111" i="32"/>
  <c r="V111" i="32" s="1"/>
  <c r="Q111" i="32"/>
  <c r="T110" i="32"/>
  <c r="V110" i="32" s="1"/>
  <c r="Q110" i="32"/>
  <c r="V109" i="32"/>
  <c r="T109" i="32"/>
  <c r="Q109" i="32"/>
  <c r="T108" i="32"/>
  <c r="V108" i="32" s="1"/>
  <c r="Q108" i="32"/>
  <c r="T107" i="32"/>
  <c r="V107" i="32" s="1"/>
  <c r="Q107" i="32"/>
  <c r="T106" i="32"/>
  <c r="V106" i="32" s="1"/>
  <c r="Q106" i="32"/>
  <c r="V105" i="32"/>
  <c r="T105" i="32"/>
  <c r="Q105" i="32"/>
  <c r="V104" i="32"/>
  <c r="T104" i="32"/>
  <c r="Q104" i="32"/>
  <c r="T103" i="32"/>
  <c r="V103" i="32" s="1"/>
  <c r="Q103" i="32"/>
  <c r="T102" i="32"/>
  <c r="V102" i="32" s="1"/>
  <c r="Q102" i="32"/>
  <c r="V101" i="32"/>
  <c r="T101" i="32"/>
  <c r="Q101" i="32"/>
  <c r="T100" i="32"/>
  <c r="V100" i="32" s="1"/>
  <c r="Q100" i="32"/>
  <c r="T99" i="32"/>
  <c r="V99" i="32" s="1"/>
  <c r="Q99" i="32"/>
  <c r="T98" i="32"/>
  <c r="V98" i="32" s="1"/>
  <c r="Q98" i="32"/>
  <c r="V97" i="32"/>
  <c r="T97" i="32"/>
  <c r="Q97" i="32"/>
  <c r="V96" i="32"/>
  <c r="T96" i="32"/>
  <c r="Q96" i="32"/>
  <c r="T95" i="32"/>
  <c r="V95" i="32" s="1"/>
  <c r="Q95" i="32"/>
  <c r="T94" i="32"/>
  <c r="V94" i="32" s="1"/>
  <c r="Q94" i="32"/>
  <c r="V93" i="32"/>
  <c r="T93" i="32"/>
  <c r="Q93" i="32"/>
  <c r="T92" i="32"/>
  <c r="V92" i="32" s="1"/>
  <c r="Q92" i="32"/>
  <c r="T91" i="32"/>
  <c r="V91" i="32" s="1"/>
  <c r="Q91" i="32"/>
  <c r="T90" i="32"/>
  <c r="V90" i="32" s="1"/>
  <c r="Q90" i="32"/>
  <c r="V89" i="32"/>
  <c r="T89" i="32"/>
  <c r="Q89" i="32"/>
  <c r="V88" i="32"/>
  <c r="T88" i="32"/>
  <c r="Q88" i="32"/>
  <c r="T87" i="32"/>
  <c r="V87" i="32" s="1"/>
  <c r="Q87" i="32"/>
  <c r="T86" i="32"/>
  <c r="V86" i="32" s="1"/>
  <c r="Q86" i="32"/>
  <c r="V85" i="32"/>
  <c r="T85" i="32"/>
  <c r="Q85" i="32"/>
  <c r="T84" i="32"/>
  <c r="V84" i="32" s="1"/>
  <c r="Q84" i="32"/>
  <c r="T83" i="32"/>
  <c r="V83" i="32" s="1"/>
  <c r="Q83" i="32"/>
  <c r="T82" i="32"/>
  <c r="V82" i="32" s="1"/>
  <c r="Q82" i="32"/>
  <c r="V81" i="32"/>
  <c r="T81" i="32"/>
  <c r="Q81" i="32"/>
  <c r="V80" i="32"/>
  <c r="T80" i="32"/>
  <c r="Q80" i="32"/>
  <c r="T79" i="32"/>
  <c r="V79" i="32" s="1"/>
  <c r="Q79" i="32"/>
  <c r="T78" i="32"/>
  <c r="V78" i="32" s="1"/>
  <c r="Q78" i="32"/>
  <c r="V77" i="32"/>
  <c r="T77" i="32"/>
  <c r="Q77" i="32"/>
  <c r="T76" i="32"/>
  <c r="V76" i="32" s="1"/>
  <c r="Q76" i="32"/>
  <c r="T75" i="32"/>
  <c r="V75" i="32" s="1"/>
  <c r="Q75" i="32"/>
  <c r="T74" i="32"/>
  <c r="V74" i="32" s="1"/>
  <c r="Q74" i="32"/>
  <c r="V73" i="32"/>
  <c r="T73" i="32"/>
  <c r="Q73" i="32"/>
  <c r="V72" i="32"/>
  <c r="T72" i="32"/>
  <c r="Q72" i="32"/>
  <c r="T71" i="32"/>
  <c r="V71" i="32" s="1"/>
  <c r="Q71" i="32"/>
  <c r="T70" i="32"/>
  <c r="V70" i="32" s="1"/>
  <c r="Q70" i="32"/>
  <c r="V69" i="32"/>
  <c r="T69" i="32"/>
  <c r="Q69" i="32"/>
  <c r="T68" i="32"/>
  <c r="V68" i="32" s="1"/>
  <c r="Q68" i="32"/>
  <c r="T67" i="32"/>
  <c r="V67" i="32" s="1"/>
  <c r="Q67" i="32"/>
  <c r="T66" i="32"/>
  <c r="V66" i="32" s="1"/>
  <c r="Q66" i="32"/>
  <c r="V65" i="32"/>
  <c r="T65" i="32"/>
  <c r="Q65" i="32"/>
  <c r="V64" i="32"/>
  <c r="T64" i="32"/>
  <c r="Q64" i="32"/>
  <c r="T63" i="32"/>
  <c r="V63" i="32" s="1"/>
  <c r="Q63" i="32"/>
  <c r="T62" i="32"/>
  <c r="V62" i="32" s="1"/>
  <c r="Q62" i="32"/>
  <c r="V61" i="32"/>
  <c r="T61" i="32"/>
  <c r="Q61" i="32"/>
  <c r="T60" i="32"/>
  <c r="V60" i="32" s="1"/>
  <c r="Q60" i="32"/>
  <c r="T59" i="32"/>
  <c r="V59" i="32" s="1"/>
  <c r="Q59" i="32"/>
  <c r="T58" i="32"/>
  <c r="V58" i="32" s="1"/>
  <c r="Q58" i="32"/>
  <c r="V57" i="32"/>
  <c r="T57" i="32"/>
  <c r="Q57" i="32"/>
  <c r="V56" i="32"/>
  <c r="T56" i="32"/>
  <c r="Q56" i="32"/>
  <c r="T55" i="32"/>
  <c r="V55" i="32" s="1"/>
  <c r="Q55" i="32"/>
  <c r="T54" i="32"/>
  <c r="V54" i="32" s="1"/>
  <c r="Q54" i="32"/>
  <c r="V53" i="32"/>
  <c r="T53" i="32"/>
  <c r="Q53" i="32"/>
  <c r="T52" i="32"/>
  <c r="V52" i="32" s="1"/>
  <c r="Q52" i="32"/>
  <c r="T51" i="32"/>
  <c r="V51" i="32" s="1"/>
  <c r="Q51" i="32"/>
  <c r="T50" i="32"/>
  <c r="V50" i="32" s="1"/>
  <c r="Q50" i="32"/>
  <c r="V49" i="32"/>
  <c r="T49" i="32"/>
  <c r="Q49" i="32"/>
  <c r="V48" i="32"/>
  <c r="T48" i="32"/>
  <c r="Q48" i="32"/>
  <c r="T47" i="32"/>
  <c r="V47" i="32" s="1"/>
  <c r="Q47" i="32"/>
  <c r="T46" i="32"/>
  <c r="V46" i="32" s="1"/>
  <c r="Q46" i="32"/>
  <c r="V45" i="32"/>
  <c r="T45" i="32"/>
  <c r="Q45" i="32"/>
  <c r="T44" i="32"/>
  <c r="V44" i="32" s="1"/>
  <c r="Q44" i="32"/>
  <c r="T43" i="32"/>
  <c r="V43" i="32" s="1"/>
  <c r="Q43" i="32"/>
  <c r="V42" i="32"/>
  <c r="T42" i="32"/>
  <c r="Q42" i="32"/>
  <c r="V41" i="32"/>
  <c r="T41" i="32"/>
  <c r="Q41" i="32"/>
  <c r="V40" i="32"/>
  <c r="T40" i="32"/>
  <c r="Q40" i="32"/>
  <c r="T39" i="32"/>
  <c r="V39" i="32" s="1"/>
  <c r="Q39" i="32"/>
  <c r="T38" i="32"/>
  <c r="V38" i="32" s="1"/>
  <c r="Q38" i="32"/>
  <c r="V37" i="32"/>
  <c r="T37" i="32"/>
  <c r="Q37" i="32"/>
  <c r="T36" i="32"/>
  <c r="V36" i="32" s="1"/>
  <c r="Q36" i="32"/>
  <c r="T35" i="32"/>
  <c r="V35" i="32" s="1"/>
  <c r="Q35" i="32"/>
  <c r="V34" i="32"/>
  <c r="T34" i="32"/>
  <c r="Q34" i="32"/>
  <c r="V33" i="32"/>
  <c r="T33" i="32"/>
  <c r="Q33" i="32"/>
  <c r="V32" i="32"/>
  <c r="T32" i="32"/>
  <c r="Q32" i="32"/>
  <c r="T31" i="32"/>
  <c r="V31" i="32" s="1"/>
  <c r="Q31" i="32"/>
  <c r="T30" i="32"/>
  <c r="V30" i="32" s="1"/>
  <c r="Q30" i="32"/>
  <c r="V29" i="32"/>
  <c r="T29" i="32"/>
  <c r="Q29" i="32"/>
  <c r="T28" i="32"/>
  <c r="V28" i="32" s="1"/>
  <c r="Q28" i="32"/>
  <c r="T27" i="32"/>
  <c r="V27" i="32" s="1"/>
  <c r="Q27" i="32"/>
  <c r="V26" i="32"/>
  <c r="T26" i="32"/>
  <c r="Q26" i="32"/>
  <c r="V25" i="32"/>
  <c r="T25" i="32"/>
  <c r="Q25" i="32"/>
  <c r="V24" i="32"/>
  <c r="T24" i="32"/>
  <c r="Q24" i="32"/>
  <c r="T23" i="32"/>
  <c r="V23" i="32" s="1"/>
  <c r="Q23" i="32"/>
  <c r="T22" i="32"/>
  <c r="V22" i="32" s="1"/>
  <c r="Q22" i="32"/>
  <c r="V21" i="32"/>
  <c r="T21" i="32"/>
  <c r="Q21" i="32"/>
  <c r="T20" i="32"/>
  <c r="V20" i="32" s="1"/>
  <c r="Q20" i="32"/>
  <c r="T19" i="32"/>
  <c r="V19" i="32" s="1"/>
  <c r="Q19" i="32"/>
  <c r="V18" i="32"/>
  <c r="T18" i="32"/>
  <c r="Q18" i="32"/>
  <c r="V17" i="32"/>
  <c r="T17" i="32"/>
  <c r="Q17" i="32"/>
  <c r="V16" i="32"/>
  <c r="T16" i="32"/>
  <c r="Q16" i="32"/>
  <c r="T15" i="32"/>
  <c r="V15" i="32" s="1"/>
  <c r="Q15" i="32"/>
  <c r="T14" i="32"/>
  <c r="V14" i="32" s="1"/>
  <c r="Q14" i="32"/>
  <c r="V13" i="32"/>
  <c r="T13" i="32"/>
  <c r="Q13" i="32"/>
  <c r="T12" i="32"/>
  <c r="V12" i="32" s="1"/>
  <c r="Q12" i="32"/>
  <c r="T11" i="32"/>
  <c r="V11" i="32" s="1"/>
  <c r="Q11" i="32"/>
  <c r="V10" i="32"/>
  <c r="T10" i="32"/>
  <c r="Q10" i="32"/>
  <c r="V9" i="32"/>
  <c r="T9" i="32"/>
  <c r="Q9" i="32"/>
  <c r="V8" i="32"/>
  <c r="T8" i="32"/>
  <c r="Q8" i="32"/>
  <c r="T7" i="32"/>
  <c r="V7" i="32" s="1"/>
  <c r="Q7" i="32"/>
  <c r="T6" i="32"/>
  <c r="V6" i="32" s="1"/>
  <c r="Q6" i="32"/>
  <c r="V5" i="32"/>
  <c r="T5" i="32"/>
  <c r="Q5" i="32"/>
  <c r="T4" i="32"/>
  <c r="V4" i="32" s="1"/>
  <c r="Q4" i="32"/>
  <c r="T3" i="32"/>
  <c r="V3" i="32" s="1"/>
  <c r="Q3" i="32"/>
  <c r="V2" i="32"/>
  <c r="T2" i="32"/>
  <c r="Q2" i="32"/>
  <c r="T91" i="31" l="1"/>
  <c r="V91" i="31" s="1"/>
  <c r="Q91" i="31"/>
  <c r="T90" i="31"/>
  <c r="V90" i="31" s="1"/>
  <c r="Q90" i="31"/>
  <c r="T89" i="31"/>
  <c r="V89" i="31" s="1"/>
  <c r="Q89" i="31"/>
  <c r="T88" i="31"/>
  <c r="V88" i="31" s="1"/>
  <c r="Q88" i="31"/>
  <c r="T87" i="31"/>
  <c r="V87" i="31" s="1"/>
  <c r="Q87" i="31"/>
  <c r="V86" i="31"/>
  <c r="T86" i="31"/>
  <c r="Q86" i="31"/>
  <c r="T85" i="31"/>
  <c r="V85" i="31" s="1"/>
  <c r="Q85" i="31"/>
  <c r="V84" i="31"/>
  <c r="T84" i="31"/>
  <c r="Q84" i="31"/>
  <c r="T83" i="31"/>
  <c r="V83" i="31" s="1"/>
  <c r="Q83" i="31"/>
  <c r="T82" i="31"/>
  <c r="V82" i="31" s="1"/>
  <c r="Q82" i="31"/>
  <c r="T81" i="31"/>
  <c r="V81" i="31" s="1"/>
  <c r="Q81" i="31"/>
  <c r="T80" i="31"/>
  <c r="V80" i="31" s="1"/>
  <c r="Q80" i="31"/>
  <c r="T79" i="31"/>
  <c r="V79" i="31" s="1"/>
  <c r="Q79" i="31"/>
  <c r="V78" i="31"/>
  <c r="T78" i="31"/>
  <c r="Q78" i="31"/>
  <c r="T77" i="31"/>
  <c r="V77" i="31" s="1"/>
  <c r="Q77" i="31"/>
  <c r="V76" i="31"/>
  <c r="T76" i="31"/>
  <c r="Q76" i="31"/>
  <c r="T75" i="31"/>
  <c r="V75" i="31" s="1"/>
  <c r="Q75" i="31"/>
  <c r="T74" i="31"/>
  <c r="V74" i="31" s="1"/>
  <c r="Q74" i="31"/>
  <c r="T73" i="31"/>
  <c r="V73" i="31" s="1"/>
  <c r="Q73" i="31"/>
  <c r="T72" i="31"/>
  <c r="V72" i="31" s="1"/>
  <c r="Q72" i="31"/>
  <c r="T71" i="31"/>
  <c r="V71" i="31" s="1"/>
  <c r="Q71" i="31"/>
  <c r="V70" i="31"/>
  <c r="T70" i="31"/>
  <c r="Q70" i="31"/>
  <c r="T69" i="31"/>
  <c r="V69" i="31" s="1"/>
  <c r="Q69" i="31"/>
  <c r="V68" i="31"/>
  <c r="T68" i="31"/>
  <c r="Q68" i="31"/>
  <c r="T67" i="31"/>
  <c r="V67" i="31" s="1"/>
  <c r="Q67" i="31"/>
  <c r="T66" i="31"/>
  <c r="V66" i="31" s="1"/>
  <c r="Q66" i="31"/>
  <c r="T65" i="31"/>
  <c r="V65" i="31" s="1"/>
  <c r="Q65" i="31"/>
  <c r="T64" i="31"/>
  <c r="V64" i="31" s="1"/>
  <c r="Q64" i="31"/>
  <c r="T63" i="31"/>
  <c r="V63" i="31" s="1"/>
  <c r="Q63" i="31"/>
  <c r="V62" i="31"/>
  <c r="T62" i="31"/>
  <c r="Q62" i="31"/>
  <c r="T61" i="31"/>
  <c r="V61" i="31" s="1"/>
  <c r="Q61" i="31"/>
  <c r="V60" i="31"/>
  <c r="T60" i="31"/>
  <c r="Q60" i="31"/>
  <c r="T59" i="31"/>
  <c r="V59" i="31" s="1"/>
  <c r="Q59" i="31"/>
  <c r="T58" i="31"/>
  <c r="V58" i="31" s="1"/>
  <c r="Q58" i="31"/>
  <c r="T57" i="31"/>
  <c r="V57" i="31" s="1"/>
  <c r="Q57" i="31"/>
  <c r="T56" i="31"/>
  <c r="V56" i="31" s="1"/>
  <c r="Q56" i="31"/>
  <c r="T55" i="31"/>
  <c r="V55" i="31" s="1"/>
  <c r="Q55" i="31"/>
  <c r="V54" i="31"/>
  <c r="T54" i="31"/>
  <c r="Q54" i="31"/>
  <c r="T53" i="31"/>
  <c r="V53" i="31" s="1"/>
  <c r="Q53" i="31"/>
  <c r="V52" i="31"/>
  <c r="T52" i="31"/>
  <c r="Q52" i="31"/>
  <c r="T51" i="31"/>
  <c r="V51" i="31" s="1"/>
  <c r="Q51" i="31"/>
  <c r="T50" i="31"/>
  <c r="V50" i="31" s="1"/>
  <c r="Q50" i="31"/>
  <c r="T49" i="31"/>
  <c r="V49" i="31" s="1"/>
  <c r="Q49" i="31"/>
  <c r="T48" i="31"/>
  <c r="V48" i="31" s="1"/>
  <c r="Q48" i="31"/>
  <c r="T47" i="31"/>
  <c r="V47" i="31" s="1"/>
  <c r="Q47" i="31"/>
  <c r="V46" i="31"/>
  <c r="T46" i="31"/>
  <c r="Q46" i="31"/>
  <c r="T45" i="31"/>
  <c r="V45" i="31" s="1"/>
  <c r="Q45" i="31"/>
  <c r="V44" i="31"/>
  <c r="T44" i="31"/>
  <c r="Q44" i="31"/>
  <c r="T43" i="31"/>
  <c r="V43" i="31" s="1"/>
  <c r="Q43" i="31"/>
  <c r="T42" i="31"/>
  <c r="V42" i="31" s="1"/>
  <c r="Q42" i="31"/>
  <c r="T41" i="31"/>
  <c r="V41" i="31" s="1"/>
  <c r="Q41" i="31"/>
  <c r="T40" i="31"/>
  <c r="V40" i="31" s="1"/>
  <c r="Q40" i="31"/>
  <c r="T39" i="31"/>
  <c r="V39" i="31" s="1"/>
  <c r="Q39" i="31"/>
  <c r="V38" i="31"/>
  <c r="T38" i="31"/>
  <c r="Q38" i="31"/>
  <c r="T37" i="31"/>
  <c r="V37" i="31" s="1"/>
  <c r="Q37" i="31"/>
  <c r="V36" i="31"/>
  <c r="T36" i="31"/>
  <c r="Q36" i="31"/>
  <c r="T35" i="31"/>
  <c r="V35" i="31" s="1"/>
  <c r="Q35" i="31"/>
  <c r="T34" i="31"/>
  <c r="V34" i="31" s="1"/>
  <c r="Q34" i="31"/>
  <c r="T33" i="31"/>
  <c r="V33" i="31" s="1"/>
  <c r="Q33" i="31"/>
  <c r="T32" i="31"/>
  <c r="V32" i="31" s="1"/>
  <c r="Q32" i="31"/>
  <c r="T31" i="31"/>
  <c r="V31" i="31" s="1"/>
  <c r="Q31" i="31"/>
  <c r="V30" i="31"/>
  <c r="T30" i="31"/>
  <c r="Q30" i="31"/>
  <c r="T29" i="31"/>
  <c r="V29" i="31" s="1"/>
  <c r="Q29" i="31"/>
  <c r="V28" i="31"/>
  <c r="T28" i="31"/>
  <c r="Q28" i="31"/>
  <c r="T27" i="31"/>
  <c r="V27" i="31" s="1"/>
  <c r="Q27" i="31"/>
  <c r="T26" i="31"/>
  <c r="V26" i="31" s="1"/>
  <c r="Q26" i="31"/>
  <c r="T25" i="31"/>
  <c r="V25" i="31" s="1"/>
  <c r="Q25" i="31"/>
  <c r="T24" i="31"/>
  <c r="V24" i="31" s="1"/>
  <c r="Q24" i="31"/>
  <c r="T23" i="31"/>
  <c r="V23" i="31" s="1"/>
  <c r="Q23" i="31"/>
  <c r="V22" i="31"/>
  <c r="T22" i="31"/>
  <c r="Q22" i="31"/>
  <c r="T21" i="31"/>
  <c r="V21" i="31" s="1"/>
  <c r="Q21" i="31"/>
  <c r="V20" i="31"/>
  <c r="T20" i="31"/>
  <c r="Q20" i="31"/>
  <c r="T19" i="31"/>
  <c r="V19" i="31" s="1"/>
  <c r="Q19" i="31"/>
  <c r="T18" i="31"/>
  <c r="V18" i="31" s="1"/>
  <c r="Q18" i="31"/>
  <c r="T17" i="31"/>
  <c r="V17" i="31" s="1"/>
  <c r="Q17" i="31"/>
  <c r="T16" i="31"/>
  <c r="V16" i="31" s="1"/>
  <c r="Q16" i="31"/>
  <c r="T15" i="31"/>
  <c r="V15" i="31" s="1"/>
  <c r="Q15" i="31"/>
  <c r="T14" i="31"/>
  <c r="Q14" i="31"/>
  <c r="T13" i="31"/>
  <c r="V13" i="31" s="1"/>
  <c r="Q13" i="31"/>
  <c r="T12" i="31"/>
  <c r="V12" i="31" s="1"/>
  <c r="Q12" i="31"/>
  <c r="V11" i="31"/>
  <c r="T11" i="31"/>
  <c r="Q11" i="31"/>
  <c r="T10" i="31"/>
  <c r="V10" i="31" s="1"/>
  <c r="Q10" i="31"/>
  <c r="V9" i="31"/>
  <c r="T9" i="31"/>
  <c r="Q9" i="31"/>
  <c r="T8" i="31"/>
  <c r="V8" i="31" s="1"/>
  <c r="Q8" i="31"/>
  <c r="T7" i="31"/>
  <c r="V7" i="31" s="1"/>
  <c r="Q7" i="31"/>
  <c r="T6" i="31"/>
  <c r="V6" i="31" s="1"/>
  <c r="Q6" i="31"/>
  <c r="T5" i="31"/>
  <c r="V5" i="31" s="1"/>
  <c r="Q5" i="31"/>
  <c r="T4" i="31"/>
  <c r="V4" i="31" s="1"/>
  <c r="Q4" i="31"/>
  <c r="V3" i="31"/>
  <c r="T3" i="31"/>
  <c r="Q3" i="31"/>
  <c r="T2" i="31"/>
  <c r="V2" i="31" s="1"/>
  <c r="Q2" i="31"/>
  <c r="V152" i="30" l="1"/>
  <c r="T152" i="30"/>
  <c r="Q152" i="30"/>
  <c r="V151" i="30"/>
  <c r="T151" i="30"/>
  <c r="Q151" i="30"/>
  <c r="V150" i="30"/>
  <c r="T150" i="30"/>
  <c r="Q150" i="30"/>
  <c r="V149" i="30"/>
  <c r="T149" i="30"/>
  <c r="Q149" i="30"/>
  <c r="V148" i="30"/>
  <c r="T148" i="30"/>
  <c r="Q148" i="30"/>
  <c r="V147" i="30"/>
  <c r="T147" i="30"/>
  <c r="Q147" i="30"/>
  <c r="V146" i="30"/>
  <c r="T146" i="30"/>
  <c r="Q146" i="30"/>
  <c r="V145" i="30"/>
  <c r="T145" i="30"/>
  <c r="Q145" i="30"/>
  <c r="V144" i="30"/>
  <c r="T144" i="30"/>
  <c r="Q144" i="30"/>
  <c r="V143" i="30"/>
  <c r="T143" i="30"/>
  <c r="Q143" i="30"/>
  <c r="V142" i="30"/>
  <c r="T142" i="30"/>
  <c r="Q142" i="30"/>
  <c r="V141" i="30"/>
  <c r="T141" i="30"/>
  <c r="Q141" i="30"/>
  <c r="V140" i="30"/>
  <c r="T140" i="30"/>
  <c r="Q140" i="30"/>
  <c r="V139" i="30"/>
  <c r="T139" i="30"/>
  <c r="Q139" i="30"/>
  <c r="V138" i="30"/>
  <c r="T138" i="30"/>
  <c r="Q138" i="30"/>
  <c r="V137" i="30"/>
  <c r="T137" i="30"/>
  <c r="Q137" i="30"/>
  <c r="V136" i="30"/>
  <c r="T136" i="30"/>
  <c r="Q136" i="30"/>
  <c r="V135" i="30"/>
  <c r="T135" i="30"/>
  <c r="Q135" i="30"/>
  <c r="V134" i="30"/>
  <c r="T134" i="30"/>
  <c r="Q134" i="30"/>
  <c r="V133" i="30"/>
  <c r="T133" i="30"/>
  <c r="Q133" i="30"/>
  <c r="V132" i="30"/>
  <c r="T132" i="30"/>
  <c r="Q132" i="30"/>
  <c r="V131" i="30"/>
  <c r="T131" i="30"/>
  <c r="Q131" i="30"/>
  <c r="V130" i="30"/>
  <c r="T130" i="30"/>
  <c r="Q130" i="30"/>
  <c r="V129" i="30"/>
  <c r="T129" i="30"/>
  <c r="Q129" i="30"/>
  <c r="V128" i="30"/>
  <c r="T128" i="30"/>
  <c r="Q128" i="30"/>
  <c r="V127" i="30"/>
  <c r="T127" i="30"/>
  <c r="Q127" i="30"/>
  <c r="V126" i="30"/>
  <c r="T126" i="30"/>
  <c r="Q126" i="30"/>
  <c r="V125" i="30"/>
  <c r="T125" i="30"/>
  <c r="Q125" i="30"/>
  <c r="V124" i="30"/>
  <c r="T124" i="30"/>
  <c r="Q124" i="30"/>
  <c r="V123" i="30"/>
  <c r="T123" i="30"/>
  <c r="Q123" i="30"/>
  <c r="V122" i="30"/>
  <c r="T122" i="30"/>
  <c r="Q122" i="30"/>
  <c r="V121" i="30"/>
  <c r="T121" i="30"/>
  <c r="Q121" i="30"/>
  <c r="V120" i="30"/>
  <c r="T120" i="30"/>
  <c r="Q120" i="30"/>
  <c r="V119" i="30"/>
  <c r="T119" i="30"/>
  <c r="Q119" i="30"/>
  <c r="V118" i="30"/>
  <c r="T118" i="30"/>
  <c r="Q118" i="30"/>
  <c r="V117" i="30"/>
  <c r="T117" i="30"/>
  <c r="Q117" i="30"/>
  <c r="V116" i="30"/>
  <c r="T116" i="30"/>
  <c r="Q116" i="30"/>
  <c r="V115" i="30"/>
  <c r="T115" i="30"/>
  <c r="Q115" i="30"/>
  <c r="V114" i="30"/>
  <c r="T114" i="30"/>
  <c r="Q114" i="30"/>
  <c r="V113" i="30"/>
  <c r="T113" i="30"/>
  <c r="Q113" i="30"/>
  <c r="V112" i="30"/>
  <c r="T112" i="30"/>
  <c r="Q112" i="30"/>
  <c r="V111" i="30"/>
  <c r="T111" i="30"/>
  <c r="Q111" i="30"/>
  <c r="V110" i="30"/>
  <c r="T110" i="30"/>
  <c r="Q110" i="30"/>
  <c r="V109" i="30"/>
  <c r="T109" i="30"/>
  <c r="Q109" i="30"/>
  <c r="V108" i="30"/>
  <c r="T108" i="30"/>
  <c r="Q108" i="30"/>
  <c r="V107" i="30"/>
  <c r="T107" i="30"/>
  <c r="Q107" i="30"/>
  <c r="V106" i="30"/>
  <c r="T106" i="30"/>
  <c r="Q106" i="30"/>
  <c r="V105" i="30"/>
  <c r="T105" i="30"/>
  <c r="Q105" i="30"/>
  <c r="V104" i="30"/>
  <c r="T104" i="30"/>
  <c r="Q104" i="30"/>
  <c r="V103" i="30"/>
  <c r="T103" i="30"/>
  <c r="Q103" i="30"/>
  <c r="V102" i="30"/>
  <c r="T102" i="30"/>
  <c r="Q102" i="30"/>
  <c r="V101" i="30"/>
  <c r="T101" i="30"/>
  <c r="Q101" i="30"/>
  <c r="T73" i="30"/>
  <c r="Q73" i="30"/>
  <c r="T72" i="30"/>
  <c r="Q72" i="30"/>
  <c r="T71" i="30"/>
  <c r="Q71" i="30"/>
  <c r="V70" i="30"/>
  <c r="T70" i="30"/>
  <c r="Q70" i="30"/>
  <c r="V69" i="30"/>
  <c r="T69" i="30"/>
  <c r="Q69" i="30"/>
  <c r="V68" i="30"/>
  <c r="T68" i="30"/>
  <c r="Q68" i="30"/>
  <c r="V67" i="30"/>
  <c r="T67" i="30"/>
  <c r="Q67" i="30"/>
  <c r="V66" i="30"/>
  <c r="T66" i="30"/>
  <c r="Q66" i="30"/>
  <c r="V65" i="30"/>
  <c r="T65" i="30"/>
  <c r="Q65" i="30"/>
  <c r="V64" i="30"/>
  <c r="T64" i="30"/>
  <c r="Q64" i="30"/>
  <c r="V63" i="30"/>
  <c r="T63" i="30"/>
  <c r="Q63" i="30"/>
  <c r="V62" i="30"/>
  <c r="T62" i="30"/>
  <c r="Q62" i="30"/>
  <c r="V61" i="30"/>
  <c r="T61" i="30"/>
  <c r="Q61" i="30"/>
  <c r="V60" i="30"/>
  <c r="T60" i="30"/>
  <c r="Q60" i="30"/>
  <c r="V59" i="30"/>
  <c r="T59" i="30"/>
  <c r="Q59" i="30"/>
  <c r="V58" i="30"/>
  <c r="T58" i="30"/>
  <c r="Q58" i="30"/>
  <c r="V57" i="30"/>
  <c r="T57" i="30"/>
  <c r="Q57" i="30"/>
  <c r="V56" i="30"/>
  <c r="T56" i="30"/>
  <c r="Q56" i="30"/>
  <c r="V55" i="30"/>
  <c r="T55" i="30"/>
  <c r="Q55" i="30"/>
  <c r="V54" i="30"/>
  <c r="T54" i="30"/>
  <c r="Q54" i="30"/>
  <c r="V53" i="30"/>
  <c r="T53" i="30"/>
  <c r="Q53" i="30"/>
  <c r="V52" i="30"/>
  <c r="T52" i="30"/>
  <c r="Q52" i="30"/>
  <c r="V51" i="30"/>
  <c r="T51" i="30"/>
  <c r="Q51" i="30"/>
  <c r="V50" i="30"/>
  <c r="T50" i="30"/>
  <c r="Q50" i="30"/>
  <c r="V49" i="30"/>
  <c r="T49" i="30"/>
  <c r="Q49" i="30"/>
  <c r="V48" i="30"/>
  <c r="T48" i="30"/>
  <c r="Q48" i="30"/>
  <c r="V47" i="30"/>
  <c r="T47" i="30"/>
  <c r="Q47" i="30"/>
  <c r="V46" i="30"/>
  <c r="T46" i="30"/>
  <c r="Q46" i="30"/>
  <c r="V45" i="30"/>
  <c r="T45" i="30"/>
  <c r="Q45" i="30"/>
  <c r="V44" i="30"/>
  <c r="T44" i="30"/>
  <c r="Q44" i="30"/>
  <c r="V43" i="30"/>
  <c r="T43" i="30"/>
  <c r="Q43" i="30"/>
  <c r="V42" i="30"/>
  <c r="T42" i="30"/>
  <c r="Q42" i="30"/>
  <c r="V41" i="30"/>
  <c r="T41" i="30"/>
  <c r="Q41" i="30"/>
  <c r="V40" i="30"/>
  <c r="T40" i="30"/>
  <c r="Q40" i="30"/>
  <c r="V39" i="30"/>
  <c r="T39" i="30"/>
  <c r="Q39" i="30"/>
  <c r="V38" i="30"/>
  <c r="T38" i="30"/>
  <c r="Q38" i="30"/>
  <c r="V37" i="30"/>
  <c r="T37" i="30"/>
  <c r="Q37" i="30"/>
  <c r="V36" i="30"/>
  <c r="T36" i="30"/>
  <c r="Q36" i="30"/>
  <c r="V35" i="30"/>
  <c r="T35" i="30"/>
  <c r="Q35" i="30"/>
  <c r="V34" i="30"/>
  <c r="T34" i="30"/>
  <c r="Q34" i="30"/>
  <c r="V33" i="30"/>
  <c r="T33" i="30"/>
  <c r="Q33" i="30"/>
  <c r="V32" i="30"/>
  <c r="T32" i="30"/>
  <c r="Q32" i="30"/>
  <c r="V31" i="30"/>
  <c r="T31" i="30"/>
  <c r="Q31" i="30"/>
  <c r="V30" i="30"/>
  <c r="T30" i="30"/>
  <c r="Q30" i="30"/>
  <c r="V29" i="30"/>
  <c r="T29" i="30"/>
  <c r="Q29" i="30"/>
  <c r="V28" i="30"/>
  <c r="T28" i="30"/>
  <c r="Q28" i="30"/>
  <c r="V27" i="30"/>
  <c r="T27" i="30"/>
  <c r="Q27" i="30"/>
  <c r="V26" i="30"/>
  <c r="T26" i="30"/>
  <c r="Q26" i="30"/>
  <c r="V25" i="30"/>
  <c r="T25" i="30"/>
  <c r="Q25" i="30"/>
  <c r="V24" i="30"/>
  <c r="T24" i="30"/>
  <c r="Q24" i="30"/>
  <c r="V23" i="30"/>
  <c r="T23" i="30"/>
  <c r="Q23" i="30"/>
  <c r="V22" i="30"/>
  <c r="T22" i="30"/>
  <c r="Q22" i="30"/>
  <c r="V21" i="30"/>
  <c r="T21" i="30"/>
  <c r="Q21" i="30"/>
  <c r="V20" i="30"/>
  <c r="T20" i="30"/>
  <c r="Q20" i="30"/>
  <c r="V19" i="30"/>
  <c r="T19" i="30"/>
  <c r="Q19" i="30"/>
  <c r="V18" i="30"/>
  <c r="T18" i="30"/>
  <c r="Q18" i="30"/>
  <c r="V17" i="30"/>
  <c r="T17" i="30"/>
  <c r="Q17" i="30"/>
  <c r="V16" i="30"/>
  <c r="T16" i="30"/>
  <c r="Q16" i="30"/>
  <c r="V15" i="30"/>
  <c r="T15" i="30"/>
  <c r="Q15" i="30"/>
  <c r="V14" i="30"/>
  <c r="T14" i="30"/>
  <c r="Q14" i="30"/>
  <c r="V13" i="30"/>
  <c r="T13" i="30"/>
  <c r="Q13" i="30"/>
  <c r="V12" i="30"/>
  <c r="T12" i="30"/>
  <c r="Q12" i="30"/>
  <c r="V11" i="30"/>
  <c r="T11" i="30"/>
  <c r="Q11" i="30"/>
  <c r="V10" i="30"/>
  <c r="T10" i="30"/>
  <c r="Q10" i="30"/>
  <c r="V9" i="30"/>
  <c r="T9" i="30"/>
  <c r="Q9" i="30"/>
  <c r="V8" i="30"/>
  <c r="T8" i="30"/>
  <c r="Q8" i="30"/>
  <c r="V7" i="30"/>
  <c r="T7" i="30"/>
  <c r="Q7" i="30"/>
  <c r="V6" i="30"/>
  <c r="T6" i="30"/>
  <c r="Q6" i="30"/>
  <c r="V5" i="30"/>
  <c r="T5" i="30"/>
  <c r="Q5" i="30"/>
  <c r="V4" i="30"/>
  <c r="T4" i="30"/>
  <c r="Q4" i="30"/>
  <c r="V3" i="30"/>
  <c r="T3" i="30"/>
  <c r="Q3" i="30"/>
  <c r="V2" i="30"/>
  <c r="T2" i="30"/>
  <c r="Q2" i="30"/>
  <c r="T85" i="29" l="1"/>
  <c r="V85" i="29" s="1"/>
  <c r="Q85" i="29"/>
  <c r="T84" i="29"/>
  <c r="V84" i="29" s="1"/>
  <c r="Q84" i="29"/>
  <c r="T83" i="29"/>
  <c r="V83" i="29" s="1"/>
  <c r="Q83" i="29"/>
  <c r="T82" i="29"/>
  <c r="V82" i="29" s="1"/>
  <c r="Q82" i="29"/>
  <c r="V81" i="29"/>
  <c r="T81" i="29"/>
  <c r="Q81" i="29"/>
  <c r="V80" i="29"/>
  <c r="T80" i="29"/>
  <c r="Q80" i="29"/>
  <c r="T76" i="29"/>
  <c r="V76" i="29" s="1"/>
  <c r="Q76" i="29"/>
  <c r="T75" i="29"/>
  <c r="V75" i="29" s="1"/>
  <c r="Q75" i="29"/>
  <c r="T74" i="29"/>
  <c r="V74" i="29" s="1"/>
  <c r="Q74" i="29"/>
  <c r="T73" i="29"/>
  <c r="V73" i="29" s="1"/>
  <c r="Q73" i="29"/>
  <c r="T72" i="29"/>
  <c r="V72" i="29" s="1"/>
  <c r="Q72" i="29"/>
  <c r="T71" i="29"/>
  <c r="V71" i="29" s="1"/>
  <c r="Q71" i="29"/>
  <c r="V70" i="29"/>
  <c r="T70" i="29"/>
  <c r="Q70" i="29"/>
  <c r="V69" i="29"/>
  <c r="T69" i="29"/>
  <c r="Q69" i="29"/>
  <c r="T68" i="29"/>
  <c r="V68" i="29" s="1"/>
  <c r="Q68" i="29"/>
  <c r="T67" i="29"/>
  <c r="V67" i="29" s="1"/>
  <c r="Q67" i="29"/>
  <c r="T66" i="29"/>
  <c r="V66" i="29" s="1"/>
  <c r="Q66" i="29"/>
  <c r="T65" i="29"/>
  <c r="V65" i="29" s="1"/>
  <c r="Q65" i="29"/>
  <c r="T64" i="29"/>
  <c r="V64" i="29" s="1"/>
  <c r="Q64" i="29"/>
  <c r="T63" i="29"/>
  <c r="V63" i="29" s="1"/>
  <c r="Q63" i="29"/>
  <c r="V62" i="29"/>
  <c r="T62" i="29"/>
  <c r="Q62" i="29"/>
  <c r="V61" i="29"/>
  <c r="T61" i="29"/>
  <c r="Q61" i="29"/>
  <c r="T60" i="29"/>
  <c r="V60" i="29" s="1"/>
  <c r="Q60" i="29"/>
  <c r="T59" i="29"/>
  <c r="V59" i="29" s="1"/>
  <c r="Q59" i="29"/>
  <c r="T58" i="29"/>
  <c r="V58" i="29" s="1"/>
  <c r="Q58" i="29"/>
  <c r="T57" i="29"/>
  <c r="V57" i="29" s="1"/>
  <c r="Q57" i="29"/>
  <c r="T56" i="29"/>
  <c r="V56" i="29" s="1"/>
  <c r="Q56" i="29"/>
  <c r="T55" i="29"/>
  <c r="V55" i="29" s="1"/>
  <c r="Q55" i="29"/>
  <c r="V54" i="29"/>
  <c r="T54" i="29"/>
  <c r="Q54" i="29"/>
  <c r="V53" i="29"/>
  <c r="T53" i="29"/>
  <c r="Q53" i="29"/>
  <c r="T52" i="29"/>
  <c r="V52" i="29" s="1"/>
  <c r="Q52" i="29"/>
  <c r="T51" i="29"/>
  <c r="V51" i="29" s="1"/>
  <c r="Q51" i="29"/>
  <c r="T50" i="29"/>
  <c r="V50" i="29" s="1"/>
  <c r="Q50" i="29"/>
  <c r="T49" i="29"/>
  <c r="V49" i="29" s="1"/>
  <c r="Q49" i="29"/>
  <c r="T48" i="29"/>
  <c r="V48" i="29" s="1"/>
  <c r="Q48" i="29"/>
  <c r="T47" i="29"/>
  <c r="V47" i="29" s="1"/>
  <c r="Q47" i="29"/>
  <c r="V46" i="29"/>
  <c r="T46" i="29"/>
  <c r="Q46" i="29"/>
  <c r="V45" i="29"/>
  <c r="T45" i="29"/>
  <c r="Q45" i="29"/>
  <c r="T44" i="29"/>
  <c r="V44" i="29" s="1"/>
  <c r="Q44" i="29"/>
  <c r="T43" i="29"/>
  <c r="V43" i="29" s="1"/>
  <c r="Q43" i="29"/>
  <c r="T42" i="29"/>
  <c r="V42" i="29" s="1"/>
  <c r="Q42" i="29"/>
  <c r="T41" i="29"/>
  <c r="V41" i="29" s="1"/>
  <c r="Q41" i="29"/>
  <c r="T40" i="29"/>
  <c r="V40" i="29" s="1"/>
  <c r="Q40" i="29"/>
  <c r="T39" i="29"/>
  <c r="V39" i="29" s="1"/>
  <c r="Q39" i="29"/>
  <c r="V38" i="29"/>
  <c r="T38" i="29"/>
  <c r="Q38" i="29"/>
  <c r="V37" i="29"/>
  <c r="T37" i="29"/>
  <c r="Q37" i="29"/>
  <c r="T36" i="29"/>
  <c r="V36" i="29" s="1"/>
  <c r="Q36" i="29"/>
  <c r="T35" i="29"/>
  <c r="V35" i="29" s="1"/>
  <c r="Q35" i="29"/>
  <c r="T34" i="29"/>
  <c r="V34" i="29" s="1"/>
  <c r="Q34" i="29"/>
  <c r="T33" i="29"/>
  <c r="V33" i="29" s="1"/>
  <c r="Q33" i="29"/>
  <c r="T32" i="29"/>
  <c r="V32" i="29" s="1"/>
  <c r="Q32" i="29"/>
  <c r="T31" i="29"/>
  <c r="V31" i="29" s="1"/>
  <c r="Q31" i="29"/>
  <c r="V30" i="29"/>
  <c r="T30" i="29"/>
  <c r="Q30" i="29"/>
  <c r="V29" i="29"/>
  <c r="T29" i="29"/>
  <c r="Q29" i="29"/>
  <c r="T28" i="29"/>
  <c r="V28" i="29" s="1"/>
  <c r="Q28" i="29"/>
  <c r="T27" i="29"/>
  <c r="V27" i="29" s="1"/>
  <c r="Q27" i="29"/>
  <c r="T26" i="29"/>
  <c r="V26" i="29" s="1"/>
  <c r="Q26" i="29"/>
  <c r="T25" i="29"/>
  <c r="V25" i="29" s="1"/>
  <c r="Q25" i="29"/>
  <c r="T24" i="29"/>
  <c r="V24" i="29" s="1"/>
  <c r="Q24" i="29"/>
  <c r="T23" i="29"/>
  <c r="V23" i="29" s="1"/>
  <c r="Q23" i="29"/>
  <c r="V22" i="29"/>
  <c r="T22" i="29"/>
  <c r="Q22" i="29"/>
  <c r="V21" i="29"/>
  <c r="T21" i="29"/>
  <c r="Q21" i="29"/>
  <c r="T20" i="29"/>
  <c r="V20" i="29" s="1"/>
  <c r="Q20" i="29"/>
  <c r="T19" i="29"/>
  <c r="V19" i="29" s="1"/>
  <c r="Q19" i="29"/>
  <c r="T18" i="29"/>
  <c r="V18" i="29" s="1"/>
  <c r="Q18" i="29"/>
  <c r="T17" i="29"/>
  <c r="V17" i="29" s="1"/>
  <c r="Q17" i="29"/>
  <c r="T16" i="29"/>
  <c r="V16" i="29" s="1"/>
  <c r="Q16" i="29"/>
  <c r="T15" i="29"/>
  <c r="V15" i="29" s="1"/>
  <c r="Q15" i="29"/>
  <c r="V14" i="29"/>
  <c r="T14" i="29"/>
  <c r="Q14" i="29"/>
  <c r="V13" i="29"/>
  <c r="T13" i="29"/>
  <c r="Q13" i="29"/>
  <c r="T12" i="29"/>
  <c r="V12" i="29" s="1"/>
  <c r="Q12" i="29"/>
  <c r="T11" i="29"/>
  <c r="V11" i="29" s="1"/>
  <c r="Q11" i="29"/>
  <c r="T10" i="29"/>
  <c r="V10" i="29" s="1"/>
  <c r="Q10" i="29"/>
  <c r="T9" i="29"/>
  <c r="V9" i="29" s="1"/>
  <c r="Q9" i="29"/>
  <c r="T8" i="29"/>
  <c r="V8" i="29" s="1"/>
  <c r="Q8" i="29"/>
  <c r="T7" i="29"/>
  <c r="V7" i="29" s="1"/>
  <c r="Q7" i="29"/>
  <c r="V6" i="29"/>
  <c r="T6" i="29"/>
  <c r="Q6" i="29"/>
  <c r="V5" i="29"/>
  <c r="T5" i="29"/>
  <c r="Q5" i="29"/>
  <c r="T4" i="29"/>
  <c r="V4" i="29" s="1"/>
  <c r="Q4" i="29"/>
  <c r="T3" i="29"/>
  <c r="V3" i="29" s="1"/>
  <c r="Q3" i="29"/>
  <c r="T2" i="29"/>
  <c r="V2" i="29" s="1"/>
  <c r="Q2" i="29"/>
  <c r="V85" i="28" l="1"/>
  <c r="T85" i="28"/>
  <c r="Q85" i="28"/>
  <c r="T84" i="28"/>
  <c r="V84" i="28" s="1"/>
  <c r="Q84" i="28"/>
  <c r="T83" i="28"/>
  <c r="V83" i="28" s="1"/>
  <c r="Q83" i="28"/>
  <c r="T82" i="28"/>
  <c r="V82" i="28" s="1"/>
  <c r="Q82" i="28"/>
  <c r="V81" i="28"/>
  <c r="T81" i="28"/>
  <c r="Q81" i="28"/>
  <c r="T80" i="28"/>
  <c r="V80" i="28" s="1"/>
  <c r="Q80" i="28"/>
  <c r="T79" i="28"/>
  <c r="V79" i="28" s="1"/>
  <c r="Q79" i="28"/>
  <c r="V78" i="28"/>
  <c r="T78" i="28"/>
  <c r="Q78" i="28"/>
  <c r="V77" i="28"/>
  <c r="T77" i="28"/>
  <c r="Q77" i="28"/>
  <c r="T76" i="28"/>
  <c r="V76" i="28" s="1"/>
  <c r="Q76" i="28"/>
  <c r="T75" i="28"/>
  <c r="V75" i="28" s="1"/>
  <c r="Q75" i="28"/>
  <c r="T74" i="28"/>
  <c r="V74" i="28" s="1"/>
  <c r="Q74" i="28"/>
  <c r="V73" i="28"/>
  <c r="T73" i="28"/>
  <c r="Q73" i="28"/>
  <c r="T72" i="28"/>
  <c r="V72" i="28" s="1"/>
  <c r="Q72" i="28"/>
  <c r="T71" i="28"/>
  <c r="V71" i="28" s="1"/>
  <c r="Q71" i="28"/>
  <c r="V70" i="28"/>
  <c r="T70" i="28"/>
  <c r="Q70" i="28"/>
  <c r="V69" i="28"/>
  <c r="T69" i="28"/>
  <c r="Q69" i="28"/>
  <c r="T68" i="28"/>
  <c r="V68" i="28" s="1"/>
  <c r="Q68" i="28"/>
  <c r="T67" i="28"/>
  <c r="V67" i="28" s="1"/>
  <c r="Q67" i="28"/>
  <c r="T66" i="28"/>
  <c r="V66" i="28" s="1"/>
  <c r="Q66" i="28"/>
  <c r="V65" i="28"/>
  <c r="T65" i="28"/>
  <c r="Q65" i="28"/>
  <c r="T64" i="28"/>
  <c r="V64" i="28" s="1"/>
  <c r="Q64" i="28"/>
  <c r="T63" i="28"/>
  <c r="V63" i="28" s="1"/>
  <c r="Q63" i="28"/>
  <c r="V62" i="28"/>
  <c r="T62" i="28"/>
  <c r="Q62" i="28"/>
  <c r="V61" i="28"/>
  <c r="T61" i="28"/>
  <c r="Q61" i="28"/>
  <c r="T60" i="28"/>
  <c r="V60" i="28" s="1"/>
  <c r="Q60" i="28"/>
  <c r="T59" i="28"/>
  <c r="V59" i="28" s="1"/>
  <c r="Q59" i="28"/>
  <c r="T58" i="28"/>
  <c r="V58" i="28" s="1"/>
  <c r="Q58" i="28"/>
  <c r="V57" i="28"/>
  <c r="T57" i="28"/>
  <c r="Q57" i="28"/>
  <c r="T56" i="28"/>
  <c r="V56" i="28" s="1"/>
  <c r="Q56" i="28"/>
  <c r="T55" i="28"/>
  <c r="V55" i="28" s="1"/>
  <c r="Q55" i="28"/>
  <c r="V54" i="28"/>
  <c r="T54" i="28"/>
  <c r="Q54" i="28"/>
  <c r="V53" i="28"/>
  <c r="T53" i="28"/>
  <c r="Q53" i="28"/>
  <c r="T52" i="28"/>
  <c r="V52" i="28" s="1"/>
  <c r="Q52" i="28"/>
  <c r="T51" i="28"/>
  <c r="V51" i="28" s="1"/>
  <c r="Q51" i="28"/>
  <c r="T50" i="28"/>
  <c r="V50" i="28" s="1"/>
  <c r="Q50" i="28"/>
  <c r="V49" i="28"/>
  <c r="T49" i="28"/>
  <c r="Q49" i="28"/>
  <c r="T48" i="28"/>
  <c r="V48" i="28" s="1"/>
  <c r="Q48" i="28"/>
  <c r="T47" i="28"/>
  <c r="V47" i="28" s="1"/>
  <c r="Q47" i="28"/>
  <c r="V46" i="28"/>
  <c r="T46" i="28"/>
  <c r="Q46" i="28"/>
  <c r="V45" i="28"/>
  <c r="T45" i="28"/>
  <c r="Q45" i="28"/>
  <c r="T44" i="28"/>
  <c r="V44" i="28" s="1"/>
  <c r="Q44" i="28"/>
  <c r="T43" i="28"/>
  <c r="V43" i="28" s="1"/>
  <c r="Q43" i="28"/>
  <c r="T42" i="28"/>
  <c r="V42" i="28" s="1"/>
  <c r="Q42" i="28"/>
  <c r="V41" i="28"/>
  <c r="T41" i="28"/>
  <c r="Q41" i="28"/>
  <c r="T40" i="28"/>
  <c r="V40" i="28" s="1"/>
  <c r="Q40" i="28"/>
  <c r="T39" i="28"/>
  <c r="V39" i="28" s="1"/>
  <c r="Q39" i="28"/>
  <c r="V38" i="28"/>
  <c r="T38" i="28"/>
  <c r="Q38" i="28"/>
  <c r="V37" i="28"/>
  <c r="T37" i="28"/>
  <c r="Q37" i="28"/>
  <c r="T36" i="28"/>
  <c r="V36" i="28" s="1"/>
  <c r="Q36" i="28"/>
  <c r="T35" i="28"/>
  <c r="V35" i="28" s="1"/>
  <c r="Q35" i="28"/>
  <c r="T34" i="28"/>
  <c r="V34" i="28" s="1"/>
  <c r="Q34" i="28"/>
  <c r="V33" i="28"/>
  <c r="T33" i="28"/>
  <c r="Q33" i="28"/>
  <c r="T32" i="28"/>
  <c r="V32" i="28" s="1"/>
  <c r="Q32" i="28"/>
  <c r="T31" i="28"/>
  <c r="V31" i="28" s="1"/>
  <c r="Q31" i="28"/>
  <c r="V30" i="28"/>
  <c r="T30" i="28"/>
  <c r="Q30" i="28"/>
  <c r="V29" i="28"/>
  <c r="T29" i="28"/>
  <c r="Q29" i="28"/>
  <c r="T28" i="28"/>
  <c r="V28" i="28" s="1"/>
  <c r="Q28" i="28"/>
  <c r="T27" i="28"/>
  <c r="V27" i="28" s="1"/>
  <c r="Q27" i="28"/>
  <c r="T26" i="28"/>
  <c r="V26" i="28" s="1"/>
  <c r="Q26" i="28"/>
  <c r="V25" i="28"/>
  <c r="T25" i="28"/>
  <c r="Q25" i="28"/>
  <c r="T24" i="28"/>
  <c r="V24" i="28" s="1"/>
  <c r="Q24" i="28"/>
  <c r="T23" i="28"/>
  <c r="V23" i="28" s="1"/>
  <c r="Q23" i="28"/>
  <c r="V22" i="28"/>
  <c r="T22" i="28"/>
  <c r="Q22" i="28"/>
  <c r="V21" i="28"/>
  <c r="T21" i="28"/>
  <c r="Q21" i="28"/>
  <c r="T20" i="28"/>
  <c r="V20" i="28" s="1"/>
  <c r="Q20" i="28"/>
  <c r="T19" i="28"/>
  <c r="V19" i="28" s="1"/>
  <c r="Q19" i="28"/>
  <c r="T18" i="28"/>
  <c r="V18" i="28" s="1"/>
  <c r="Q18" i="28"/>
  <c r="V17" i="28"/>
  <c r="T17" i="28"/>
  <c r="Q17" i="28"/>
  <c r="T16" i="28"/>
  <c r="V16" i="28" s="1"/>
  <c r="Q16" i="28"/>
  <c r="T15" i="28"/>
  <c r="V15" i="28" s="1"/>
  <c r="Q15" i="28"/>
  <c r="V14" i="28"/>
  <c r="T14" i="28"/>
  <c r="Q14" i="28"/>
  <c r="V13" i="28"/>
  <c r="T13" i="28"/>
  <c r="Q13" i="28"/>
  <c r="T12" i="28"/>
  <c r="V12" i="28" s="1"/>
  <c r="Q12" i="28"/>
  <c r="T11" i="28"/>
  <c r="V11" i="28" s="1"/>
  <c r="Q11" i="28"/>
  <c r="T10" i="28"/>
  <c r="V10" i="28" s="1"/>
  <c r="Q10" i="28"/>
  <c r="V9" i="28"/>
  <c r="T9" i="28"/>
  <c r="Q9" i="28"/>
  <c r="T8" i="28"/>
  <c r="V8" i="28" s="1"/>
  <c r="Q8" i="28"/>
  <c r="T7" i="28"/>
  <c r="V7" i="28" s="1"/>
  <c r="Q7" i="28"/>
  <c r="V6" i="28"/>
  <c r="T6" i="28"/>
  <c r="Q6" i="28"/>
  <c r="V5" i="28"/>
  <c r="T5" i="28"/>
  <c r="Q5" i="28"/>
  <c r="T4" i="28"/>
  <c r="V4" i="28" s="1"/>
  <c r="Q4" i="28"/>
  <c r="T3" i="28"/>
  <c r="V3" i="28" s="1"/>
  <c r="Q3" i="28"/>
  <c r="T2" i="28"/>
  <c r="V2" i="28" s="1"/>
  <c r="Q2" i="28"/>
  <c r="T64" i="27" l="1"/>
  <c r="V64" i="27" s="1"/>
  <c r="Q64" i="27"/>
  <c r="T63" i="27"/>
  <c r="V63" i="27" s="1"/>
  <c r="Q63" i="27"/>
  <c r="T62" i="27"/>
  <c r="V62" i="27" s="1"/>
  <c r="Q62" i="27"/>
  <c r="T61" i="27"/>
  <c r="V61" i="27" s="1"/>
  <c r="Q61" i="27"/>
  <c r="T60" i="27"/>
  <c r="V60" i="27" s="1"/>
  <c r="Q60" i="27"/>
  <c r="T59" i="27"/>
  <c r="V59" i="27" s="1"/>
  <c r="Q59" i="27"/>
  <c r="T58" i="27"/>
  <c r="V58" i="27" s="1"/>
  <c r="Q58" i="27"/>
  <c r="V57" i="27"/>
  <c r="T57" i="27"/>
  <c r="Q57" i="27"/>
  <c r="T56" i="27"/>
  <c r="V56" i="27" s="1"/>
  <c r="Q56" i="27"/>
  <c r="T55" i="27"/>
  <c r="V55" i="27" s="1"/>
  <c r="Q55" i="27"/>
  <c r="T54" i="27"/>
  <c r="V54" i="27" s="1"/>
  <c r="Q54" i="27"/>
  <c r="T53" i="27"/>
  <c r="V53" i="27" s="1"/>
  <c r="Q53" i="27"/>
  <c r="T52" i="27"/>
  <c r="V52" i="27" s="1"/>
  <c r="Q52" i="27"/>
  <c r="T51" i="27"/>
  <c r="V51" i="27" s="1"/>
  <c r="Q51" i="27"/>
  <c r="T50" i="27"/>
  <c r="V50" i="27" s="1"/>
  <c r="Q50" i="27"/>
  <c r="V49" i="27"/>
  <c r="T49" i="27"/>
  <c r="Q49" i="27"/>
  <c r="T48" i="27"/>
  <c r="V48" i="27" s="1"/>
  <c r="Q48" i="27"/>
  <c r="T47" i="27"/>
  <c r="V47" i="27" s="1"/>
  <c r="Q47" i="27"/>
  <c r="T46" i="27"/>
  <c r="V46" i="27" s="1"/>
  <c r="Q46" i="27"/>
  <c r="T45" i="27"/>
  <c r="V45" i="27" s="1"/>
  <c r="Q45" i="27"/>
  <c r="T44" i="27"/>
  <c r="V44" i="27" s="1"/>
  <c r="Q44" i="27"/>
  <c r="T43" i="27"/>
  <c r="V43" i="27" s="1"/>
  <c r="Q43" i="27"/>
  <c r="T42" i="27"/>
  <c r="V42" i="27" s="1"/>
  <c r="Q42" i="27"/>
  <c r="V41" i="27"/>
  <c r="T41" i="27"/>
  <c r="Q41" i="27"/>
  <c r="T40" i="27"/>
  <c r="V40" i="27" s="1"/>
  <c r="Q40" i="27"/>
  <c r="T39" i="27"/>
  <c r="V39" i="27" s="1"/>
  <c r="Q39" i="27"/>
  <c r="T38" i="27"/>
  <c r="V38" i="27" s="1"/>
  <c r="Q38" i="27"/>
  <c r="T37" i="27"/>
  <c r="V37" i="27" s="1"/>
  <c r="Q37" i="27"/>
  <c r="T36" i="27"/>
  <c r="V36" i="27" s="1"/>
  <c r="Q36" i="27"/>
  <c r="T35" i="27"/>
  <c r="V35" i="27" s="1"/>
  <c r="Q35" i="27"/>
  <c r="T34" i="27"/>
  <c r="V34" i="27" s="1"/>
  <c r="Q34" i="27"/>
  <c r="V33" i="27"/>
  <c r="T33" i="27"/>
  <c r="Q33" i="27"/>
  <c r="T32" i="27"/>
  <c r="V32" i="27" s="1"/>
  <c r="Q32" i="27"/>
  <c r="T31" i="27"/>
  <c r="V31" i="27" s="1"/>
  <c r="Q31" i="27"/>
  <c r="T30" i="27"/>
  <c r="V30" i="27" s="1"/>
  <c r="Q30" i="27"/>
  <c r="T29" i="27"/>
  <c r="V29" i="27" s="1"/>
  <c r="Q29" i="27"/>
  <c r="T28" i="27"/>
  <c r="V28" i="27" s="1"/>
  <c r="Q28" i="27"/>
  <c r="T27" i="27"/>
  <c r="V27" i="27" s="1"/>
  <c r="Q27" i="27"/>
  <c r="T26" i="27"/>
  <c r="V26" i="27" s="1"/>
  <c r="Q26" i="27"/>
  <c r="V25" i="27"/>
  <c r="T25" i="27"/>
  <c r="Q25" i="27"/>
  <c r="T24" i="27"/>
  <c r="V24" i="27" s="1"/>
  <c r="Q24" i="27"/>
  <c r="T23" i="27"/>
  <c r="V23" i="27" s="1"/>
  <c r="Q23" i="27"/>
  <c r="T22" i="27"/>
  <c r="V22" i="27" s="1"/>
  <c r="Q22" i="27"/>
  <c r="T21" i="27"/>
  <c r="V21" i="27" s="1"/>
  <c r="Q21" i="27"/>
  <c r="T20" i="27"/>
  <c r="V20" i="27" s="1"/>
  <c r="Q20" i="27"/>
  <c r="T19" i="27"/>
  <c r="V19" i="27" s="1"/>
  <c r="Q19" i="27"/>
  <c r="T18" i="27"/>
  <c r="V18" i="27" s="1"/>
  <c r="Q18" i="27"/>
  <c r="V17" i="27"/>
  <c r="T17" i="27"/>
  <c r="Q17" i="27"/>
  <c r="T16" i="27"/>
  <c r="V16" i="27" s="1"/>
  <c r="Q16" i="27"/>
  <c r="T15" i="27"/>
  <c r="V15" i="27" s="1"/>
  <c r="Q15" i="27"/>
  <c r="T14" i="27"/>
  <c r="V14" i="27" s="1"/>
  <c r="Q14" i="27"/>
  <c r="T13" i="27"/>
  <c r="V13" i="27" s="1"/>
  <c r="Q13" i="27"/>
  <c r="T12" i="27"/>
  <c r="V12" i="27" s="1"/>
  <c r="Q12" i="27"/>
  <c r="T11" i="27"/>
  <c r="V11" i="27" s="1"/>
  <c r="Q11" i="27"/>
  <c r="T10" i="27"/>
  <c r="V10" i="27" s="1"/>
  <c r="Q10" i="27"/>
  <c r="V9" i="27"/>
  <c r="T9" i="27"/>
  <c r="Q9" i="27"/>
  <c r="T8" i="27"/>
  <c r="V8" i="27" s="1"/>
  <c r="Q8" i="27"/>
  <c r="T7" i="27"/>
  <c r="V7" i="27" s="1"/>
  <c r="Q7" i="27"/>
  <c r="T6" i="27"/>
  <c r="V6" i="27" s="1"/>
  <c r="Q6" i="27"/>
  <c r="T5" i="27"/>
  <c r="V5" i="27" s="1"/>
  <c r="Q5" i="27"/>
  <c r="T4" i="27"/>
  <c r="V4" i="27" s="1"/>
  <c r="Q4" i="27"/>
  <c r="T3" i="27"/>
  <c r="V3" i="27" s="1"/>
  <c r="Q3" i="27"/>
  <c r="T2" i="27"/>
  <c r="V2" i="27" s="1"/>
  <c r="Q2" i="27"/>
  <c r="T127" i="26" l="1"/>
  <c r="V127" i="26" s="1"/>
  <c r="Q127" i="26"/>
  <c r="T126" i="26"/>
  <c r="V126" i="26" s="1"/>
  <c r="Q126" i="26"/>
  <c r="T125" i="26"/>
  <c r="V125" i="26" s="1"/>
  <c r="Q125" i="26"/>
  <c r="T124" i="26"/>
  <c r="V124" i="26" s="1"/>
  <c r="Q124" i="26"/>
  <c r="V123" i="26"/>
  <c r="T123" i="26"/>
  <c r="Q123" i="26"/>
  <c r="V122" i="26"/>
  <c r="T122" i="26"/>
  <c r="Q122" i="26"/>
  <c r="T121" i="26"/>
  <c r="V121" i="26" s="1"/>
  <c r="Q121" i="26"/>
  <c r="T120" i="26"/>
  <c r="V120" i="26" s="1"/>
  <c r="Q120" i="26"/>
  <c r="T119" i="26"/>
  <c r="V119" i="26" s="1"/>
  <c r="Q119" i="26"/>
  <c r="T118" i="26"/>
  <c r="V118" i="26" s="1"/>
  <c r="Q118" i="26"/>
  <c r="T117" i="26"/>
  <c r="V117" i="26" s="1"/>
  <c r="Q117" i="26"/>
  <c r="T116" i="26"/>
  <c r="V116" i="26" s="1"/>
  <c r="Q116" i="26"/>
  <c r="V115" i="26"/>
  <c r="T115" i="26"/>
  <c r="Q115" i="26"/>
  <c r="V114" i="26"/>
  <c r="T114" i="26"/>
  <c r="Q114" i="26"/>
  <c r="T113" i="26"/>
  <c r="V113" i="26" s="1"/>
  <c r="Q113" i="26"/>
  <c r="T112" i="26"/>
  <c r="V112" i="26" s="1"/>
  <c r="Q112" i="26"/>
  <c r="T111" i="26"/>
  <c r="V111" i="26" s="1"/>
  <c r="Q111" i="26"/>
  <c r="T110" i="26"/>
  <c r="V110" i="26" s="1"/>
  <c r="Q110" i="26"/>
  <c r="T109" i="26"/>
  <c r="V109" i="26" s="1"/>
  <c r="Q109" i="26"/>
  <c r="T108" i="26"/>
  <c r="V108" i="26" s="1"/>
  <c r="Q108" i="26"/>
  <c r="V107" i="26"/>
  <c r="T107" i="26"/>
  <c r="Q107" i="26"/>
  <c r="V106" i="26"/>
  <c r="T106" i="26"/>
  <c r="Q106" i="26"/>
  <c r="T105" i="26"/>
  <c r="V105" i="26" s="1"/>
  <c r="Q105" i="26"/>
  <c r="T104" i="26"/>
  <c r="V104" i="26" s="1"/>
  <c r="Q104" i="26"/>
  <c r="T103" i="26"/>
  <c r="V103" i="26" s="1"/>
  <c r="Q103" i="26"/>
  <c r="T102" i="26"/>
  <c r="V102" i="26" s="1"/>
  <c r="Q102" i="26"/>
  <c r="T101" i="26"/>
  <c r="V101" i="26" s="1"/>
  <c r="Q101" i="26"/>
  <c r="T100" i="26"/>
  <c r="V100" i="26" s="1"/>
  <c r="Q100" i="26"/>
  <c r="V99" i="26"/>
  <c r="T99" i="26"/>
  <c r="Q99" i="26"/>
  <c r="V98" i="26"/>
  <c r="T98" i="26"/>
  <c r="Q98" i="26"/>
  <c r="T97" i="26"/>
  <c r="V97" i="26" s="1"/>
  <c r="Q97" i="26"/>
  <c r="T96" i="26"/>
  <c r="V96" i="26" s="1"/>
  <c r="Q96" i="26"/>
  <c r="T95" i="26"/>
  <c r="V95" i="26" s="1"/>
  <c r="Q95" i="26"/>
  <c r="T94" i="26"/>
  <c r="V94" i="26" s="1"/>
  <c r="Q94" i="26"/>
  <c r="T93" i="26"/>
  <c r="V93" i="26" s="1"/>
  <c r="Q93" i="26"/>
  <c r="T92" i="26"/>
  <c r="V92" i="26" s="1"/>
  <c r="Q92" i="26"/>
  <c r="V91" i="26"/>
  <c r="T91" i="26"/>
  <c r="Q91" i="26"/>
  <c r="V90" i="26"/>
  <c r="T90" i="26"/>
  <c r="Q90" i="26"/>
  <c r="T89" i="26"/>
  <c r="V89" i="26" s="1"/>
  <c r="Q89" i="26"/>
  <c r="T88" i="26"/>
  <c r="V88" i="26" s="1"/>
  <c r="Q88" i="26"/>
  <c r="T87" i="26"/>
  <c r="V87" i="26" s="1"/>
  <c r="Q87" i="26"/>
  <c r="T86" i="26"/>
  <c r="V86" i="26" s="1"/>
  <c r="Q86" i="26"/>
  <c r="T85" i="26"/>
  <c r="V85" i="26" s="1"/>
  <c r="Q85" i="26"/>
  <c r="T84" i="26"/>
  <c r="V84" i="26" s="1"/>
  <c r="Q84" i="26"/>
  <c r="V83" i="26"/>
  <c r="T83" i="26"/>
  <c r="Q83" i="26"/>
  <c r="V82" i="26"/>
  <c r="T82" i="26"/>
  <c r="Q82" i="26"/>
  <c r="T81" i="26"/>
  <c r="V81" i="26" s="1"/>
  <c r="Q81" i="26"/>
  <c r="T80" i="26"/>
  <c r="V80" i="26" s="1"/>
  <c r="Q80" i="26"/>
  <c r="T79" i="26"/>
  <c r="V79" i="26" s="1"/>
  <c r="Q79" i="26"/>
  <c r="T78" i="26"/>
  <c r="V78" i="26" s="1"/>
  <c r="Q78" i="26"/>
  <c r="T77" i="26"/>
  <c r="V77" i="26" s="1"/>
  <c r="Q77" i="26"/>
  <c r="T76" i="26"/>
  <c r="V76" i="26" s="1"/>
  <c r="Q76" i="26"/>
  <c r="V75" i="26"/>
  <c r="T75" i="26"/>
  <c r="Q75" i="26"/>
  <c r="V74" i="26"/>
  <c r="T74" i="26"/>
  <c r="Q74" i="26"/>
  <c r="T73" i="26"/>
  <c r="V73" i="26" s="1"/>
  <c r="Q73" i="26"/>
  <c r="T72" i="26"/>
  <c r="V72" i="26" s="1"/>
  <c r="Q72" i="26"/>
  <c r="T71" i="26"/>
  <c r="V71" i="26" s="1"/>
  <c r="Q71" i="26"/>
  <c r="T70" i="26"/>
  <c r="V70" i="26" s="1"/>
  <c r="Q70" i="26"/>
  <c r="T69" i="26"/>
  <c r="V69" i="26" s="1"/>
  <c r="Q69" i="26"/>
  <c r="T68" i="26"/>
  <c r="V68" i="26" s="1"/>
  <c r="Q68" i="26"/>
  <c r="V67" i="26"/>
  <c r="T67" i="26"/>
  <c r="Q67" i="26"/>
  <c r="V66" i="26"/>
  <c r="T66" i="26"/>
  <c r="Q66" i="26"/>
  <c r="T65" i="26"/>
  <c r="V65" i="26" s="1"/>
  <c r="Q65" i="26"/>
  <c r="T64" i="26"/>
  <c r="V64" i="26" s="1"/>
  <c r="Q64" i="26"/>
  <c r="T63" i="26"/>
  <c r="V63" i="26" s="1"/>
  <c r="Q63" i="26"/>
  <c r="T62" i="26"/>
  <c r="V62" i="26" s="1"/>
  <c r="Q62" i="26"/>
  <c r="T61" i="26"/>
  <c r="V61" i="26" s="1"/>
  <c r="Q61" i="26"/>
  <c r="T60" i="26"/>
  <c r="V60" i="26" s="1"/>
  <c r="Q60" i="26"/>
  <c r="V59" i="26"/>
  <c r="T59" i="26"/>
  <c r="Q59" i="26"/>
  <c r="V58" i="26"/>
  <c r="T58" i="26"/>
  <c r="Q58" i="26"/>
  <c r="T57" i="26"/>
  <c r="V57" i="26" s="1"/>
  <c r="Q57" i="26"/>
  <c r="T56" i="26"/>
  <c r="V56" i="26" s="1"/>
  <c r="Q56" i="26"/>
  <c r="T55" i="26"/>
  <c r="V55" i="26" s="1"/>
  <c r="Q55" i="26"/>
  <c r="T54" i="26"/>
  <c r="V54" i="26" s="1"/>
  <c r="Q54" i="26"/>
  <c r="T53" i="26"/>
  <c r="V53" i="26" s="1"/>
  <c r="Q53" i="26"/>
  <c r="T52" i="26"/>
  <c r="V52" i="26" s="1"/>
  <c r="Q52" i="26"/>
  <c r="V51" i="26"/>
  <c r="T51" i="26"/>
  <c r="Q51" i="26"/>
  <c r="V50" i="26"/>
  <c r="T50" i="26"/>
  <c r="Q50" i="26"/>
  <c r="T49" i="26"/>
  <c r="V49" i="26" s="1"/>
  <c r="Q49" i="26"/>
  <c r="T48" i="26"/>
  <c r="V48" i="26" s="1"/>
  <c r="Q48" i="26"/>
  <c r="T47" i="26"/>
  <c r="V47" i="26" s="1"/>
  <c r="Q47" i="26"/>
  <c r="T46" i="26"/>
  <c r="V46" i="26" s="1"/>
  <c r="Q46" i="26"/>
  <c r="T45" i="26"/>
  <c r="V45" i="26" s="1"/>
  <c r="Q45" i="26"/>
  <c r="T44" i="26"/>
  <c r="V44" i="26" s="1"/>
  <c r="Q44" i="26"/>
  <c r="V43" i="26"/>
  <c r="T43" i="26"/>
  <c r="Q43" i="26"/>
  <c r="V42" i="26"/>
  <c r="T42" i="26"/>
  <c r="Q42" i="26"/>
  <c r="T41" i="26"/>
  <c r="V41" i="26" s="1"/>
  <c r="Q41" i="26"/>
  <c r="T40" i="26"/>
  <c r="V40" i="26" s="1"/>
  <c r="Q40" i="26"/>
  <c r="T39" i="26"/>
  <c r="V39" i="26" s="1"/>
  <c r="Q39" i="26"/>
  <c r="T38" i="26"/>
  <c r="V38" i="26" s="1"/>
  <c r="Q38" i="26"/>
  <c r="T37" i="26"/>
  <c r="V37" i="26" s="1"/>
  <c r="Q37" i="26"/>
  <c r="T36" i="26"/>
  <c r="V36" i="26" s="1"/>
  <c r="Q36" i="26"/>
  <c r="V35" i="26"/>
  <c r="T35" i="26"/>
  <c r="Q35" i="26"/>
  <c r="V34" i="26"/>
  <c r="T34" i="26"/>
  <c r="Q34" i="26"/>
  <c r="T33" i="26"/>
  <c r="V33" i="26" s="1"/>
  <c r="Q33" i="26"/>
  <c r="T32" i="26"/>
  <c r="V32" i="26" s="1"/>
  <c r="Q32" i="26"/>
  <c r="T31" i="26"/>
  <c r="V31" i="26" s="1"/>
  <c r="Q31" i="26"/>
  <c r="T30" i="26"/>
  <c r="V30" i="26" s="1"/>
  <c r="Q30" i="26"/>
  <c r="T29" i="26"/>
  <c r="V29" i="26" s="1"/>
  <c r="Q29" i="26"/>
  <c r="T28" i="26"/>
  <c r="V28" i="26" s="1"/>
  <c r="Q28" i="26"/>
  <c r="V27" i="26"/>
  <c r="T27" i="26"/>
  <c r="Q27" i="26"/>
  <c r="V26" i="26"/>
  <c r="T26" i="26"/>
  <c r="Q26" i="26"/>
  <c r="T25" i="26"/>
  <c r="V25" i="26" s="1"/>
  <c r="Q25" i="26"/>
  <c r="T24" i="26"/>
  <c r="V24" i="26" s="1"/>
  <c r="Q24" i="26"/>
  <c r="T23" i="26"/>
  <c r="V23" i="26" s="1"/>
  <c r="Q23" i="26"/>
  <c r="T22" i="26"/>
  <c r="V22" i="26" s="1"/>
  <c r="Q22" i="26"/>
  <c r="T21" i="26"/>
  <c r="V21" i="26" s="1"/>
  <c r="Q21" i="26"/>
  <c r="T20" i="26"/>
  <c r="V20" i="26" s="1"/>
  <c r="Q20" i="26"/>
  <c r="V19" i="26"/>
  <c r="T19" i="26"/>
  <c r="Q19" i="26"/>
  <c r="V18" i="26"/>
  <c r="T18" i="26"/>
  <c r="Q18" i="26"/>
  <c r="T17" i="26"/>
  <c r="V17" i="26" s="1"/>
  <c r="Q17" i="26"/>
  <c r="T16" i="26"/>
  <c r="V16" i="26" s="1"/>
  <c r="Q16" i="26"/>
  <c r="T15" i="26"/>
  <c r="V15" i="26" s="1"/>
  <c r="Q15" i="26"/>
  <c r="T14" i="26"/>
  <c r="V14" i="26" s="1"/>
  <c r="Q14" i="26"/>
  <c r="T13" i="26"/>
  <c r="V13" i="26" s="1"/>
  <c r="Q13" i="26"/>
  <c r="T12" i="26"/>
  <c r="V12" i="26" s="1"/>
  <c r="Q12" i="26"/>
  <c r="V11" i="26"/>
  <c r="T11" i="26"/>
  <c r="Q11" i="26"/>
  <c r="V10" i="26"/>
  <c r="T10" i="26"/>
  <c r="Q10" i="26"/>
  <c r="T9" i="26"/>
  <c r="V9" i="26" s="1"/>
  <c r="Q9" i="26"/>
  <c r="T8" i="26"/>
  <c r="V8" i="26" s="1"/>
  <c r="Q8" i="26"/>
  <c r="T7" i="26"/>
  <c r="V7" i="26" s="1"/>
  <c r="Q7" i="26"/>
  <c r="T6" i="26"/>
  <c r="V6" i="26" s="1"/>
  <c r="Q6" i="26"/>
  <c r="T5" i="26"/>
  <c r="V5" i="26" s="1"/>
  <c r="Q5" i="26"/>
  <c r="T4" i="26"/>
  <c r="V4" i="26" s="1"/>
  <c r="Q4" i="26"/>
  <c r="V3" i="26"/>
  <c r="T3" i="26"/>
  <c r="Q3" i="26"/>
  <c r="V2" i="26"/>
  <c r="T2" i="26"/>
  <c r="Q2" i="26"/>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<sst xmlns="http://schemas.openxmlformats.org/spreadsheetml/2006/main" count="10968" uniqueCount="499">
  <si>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</si>
  <si>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</si>
  <si>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</si>
  <si>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</si>
  <si>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</si>
  <si>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</si>
  <si>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</si>
  <si>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</si>
  <si>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</si>
  <si>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</si>
  <si>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</si>
  <si>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</si>
  <si>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</si>
  <si>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</si>
  <si>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</si>
  <si>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</si>
  <si>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</si>
  <si>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</si>
  <si>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</si>
  <si>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</si>
  <si>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</si>
  <si>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</si>
  <si>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</si>
  <si>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</si>
  <si>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</si>
  <si>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</si>
  <si>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</si>
  <si>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</si>
  <si>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</si>
  <si>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</si>
  <si>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</si>
  <si>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</si>
  <si>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</si>
  <si>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</si>
  <si>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</si>
  <si>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</si>
  <si>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</si>
  <si>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</si>
  <si>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</si>
  <si>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</si>
  <si>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</si>
  <si>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</si>
  <si>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</si>
  <si>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</si>
  <si>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</si>
  <si>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</si>
  <si>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</si>
  <si>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</si>
  <si>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</si>
  <si>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</si>
  <si>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</si>
  <si>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</si>
  <si>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</si>
  <si>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</si>
  <si>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</si>
  <si>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</si>
  <si>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</si>
  <si>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</si>
  <si>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</si>
  <si>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</si>
  <si>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</si>
  <si>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</si>
  <si>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</si>
  <si>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</si>
  <si>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</si>
  <si>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</si>
  <si>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</si>
  <si>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</si>
  <si>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</si>
  <si>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</si>
  <si>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</si>
  <si>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</si>
  <si>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</si>
  <si>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</si>
  <si>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</si>
  <si>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</si>
  <si>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</si>
  <si>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</si>
  <si>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</si>
  <si>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</si>
  <si>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</si>
  <si>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</si>
  <si>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</si>
  <si>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</si>
  <si>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</si>
  <si>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</si>
  <si>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</si>
  <si>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</si>
  <si>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</si>
  <si>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</si>
  <si>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</si>
  <si>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</si>
  <si>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</si>
  <si>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</si>
  <si>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</si>
  <si>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</si>
  <si>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</si>
  <si>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</si>
  <si>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</si>
  <si>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</si>
  <si>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</si>
  <si>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</si>
  <si>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</si>
  <si>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</si>
  <si>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</si>
  <si>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</si>
  <si>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</si>
  <si>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</si>
  <si>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</si>
  <si>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</si>
  <si>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</si>
  <si>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</si>
  <si>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</si>
  <si>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</si>
  <si>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</si>
  <si>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</si>
  <si>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</si>
  <si>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</si>
  <si>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</si>
  <si>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</si>
  <si>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</si>
  <si>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</si>
  <si>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</si>
  <si>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</si>
  <si>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</si>
  <si>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</si>
  <si>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</si>
  <si>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</si>
  <si>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</si>
  <si>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</si>
  <si>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</si>
  <si>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</si>
  <si>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</si>
  <si>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</si>
  <si>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</si>
  <si>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</si>
  <si>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</si>
  <si>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</si>
  <si>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</si>
  <si>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</si>
  <si>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トライアル</t>
  </si>
  <si>
    <t>ホクレンショップ</t>
  </si>
  <si>
    <t>スーパーアークス</t>
  </si>
  <si>
    <t>東光ストア</t>
  </si>
  <si>
    <t>ラルズマート</t>
  </si>
  <si>
    <t>とんでん店</t>
    <rPh sb="4" eb="5">
      <t>テン</t>
    </rPh>
    <phoneticPr fontId="3"/>
  </si>
  <si>
    <t>屯田店</t>
    <rPh sb="2" eb="3">
      <t>テン</t>
    </rPh>
    <phoneticPr fontId="3"/>
  </si>
  <si>
    <t>篠路店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</si>
  <si>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</si>
  <si>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</si>
  <si>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</si>
  <si>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</si>
  <si>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</si>
  <si>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</si>
  <si>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</si>
  <si>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CK</t>
  </si>
  <si>
    <t>ﾆｭｰｼﾞｰﾗﾝﾄﾞ</t>
  </si>
  <si>
    <t>HW</t>
  </si>
  <si>
    <t>OB</t>
  </si>
  <si>
    <t>検体
番号</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</si>
  <si>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</si>
  <si>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</si>
  <si>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</si>
  <si>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</si>
  <si>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GA</t>
  </si>
  <si>
    <t>大阪</t>
    <phoneticPr fontId="4"/>
  </si>
  <si>
    <t>HW</t>
    <phoneticPr fontId="4"/>
  </si>
  <si>
    <t>CK</t>
    <phoneticPr fontId="4"/>
  </si>
  <si>
    <t>GK</t>
    <phoneticPr fontId="4"/>
  </si>
  <si>
    <t>OB</t>
    <phoneticPr fontId="4"/>
  </si>
  <si>
    <t>佐賀</t>
    <rPh sb="0" eb="2">
      <t>サガ</t>
    </rPh>
    <phoneticPr fontId="3"/>
  </si>
  <si>
    <t>ラフランス</t>
  </si>
  <si>
    <t>西友</t>
  </si>
  <si>
    <t>Gold
SIZE</t>
    <phoneticPr fontId="4"/>
  </si>
  <si>
    <t>日進岩藤店</t>
    <rPh sb="0" eb="2">
      <t>ニッシン</t>
    </rPh>
    <phoneticPr fontId="4"/>
  </si>
  <si>
    <t>アオキスーパー</t>
    <phoneticPr fontId="4"/>
  </si>
  <si>
    <t>日進店</t>
    <rPh sb="0" eb="2">
      <t>ニッシン</t>
    </rPh>
    <rPh sb="2" eb="3">
      <t>ミセ</t>
    </rPh>
    <phoneticPr fontId="4"/>
  </si>
  <si>
    <t>その他レッド</t>
    <rPh sb="2" eb="3">
      <t>タ</t>
    </rPh>
    <phoneticPr fontId="4"/>
  </si>
  <si>
    <t>D'lish</t>
    <phoneticPr fontId="4"/>
  </si>
  <si>
    <t>中国</t>
    <phoneticPr fontId="4"/>
  </si>
  <si>
    <t>カネスエ</t>
    <phoneticPr fontId="4"/>
  </si>
  <si>
    <t>Del Monte</t>
    <phoneticPr fontId="4"/>
  </si>
  <si>
    <t>マックスバリュ</t>
    <phoneticPr fontId="4"/>
  </si>
  <si>
    <t>藤が丘店</t>
    <rPh sb="0" eb="1">
      <t>フジ</t>
    </rPh>
    <rPh sb="2" eb="3">
      <t>オカ</t>
    </rPh>
    <rPh sb="3" eb="4">
      <t>ミセ</t>
    </rPh>
    <phoneticPr fontId="4"/>
  </si>
  <si>
    <t>HE</t>
    <phoneticPr fontId="4"/>
  </si>
  <si>
    <t>旬楽膳</t>
    <rPh sb="0" eb="1">
      <t>シュン</t>
    </rPh>
    <rPh sb="1" eb="2">
      <t>ラク</t>
    </rPh>
    <rPh sb="2" eb="3">
      <t>ゼン</t>
    </rPh>
    <phoneticPr fontId="4"/>
  </si>
  <si>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</si>
  <si>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</si>
  <si>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</si>
  <si>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</si>
  <si>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</si>
  <si>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</si>
  <si>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</si>
  <si>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</si>
  <si>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</si>
  <si>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</si>
  <si>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</si>
  <si>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</si>
  <si>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t>Green
Other
SIZE</t>
  </si>
  <si>
    <t>Gold
SIZE</t>
  </si>
  <si>
    <t>コノミヤ</t>
  </si>
  <si>
    <t>深井店</t>
  </si>
  <si>
    <t>上野芝店</t>
  </si>
  <si>
    <t>その他グリーン</t>
  </si>
  <si>
    <t>デイリーカナート</t>
  </si>
  <si>
    <t>向ヶ丘店</t>
  </si>
  <si>
    <t>その他ゴールド</t>
  </si>
  <si>
    <t>松源</t>
  </si>
  <si>
    <t>北条店</t>
  </si>
  <si>
    <t>その他レッド</t>
  </si>
  <si>
    <t>減農薬栽培</t>
  </si>
  <si>
    <t>D'lish</t>
  </si>
  <si>
    <t>中国</t>
  </si>
  <si>
    <t>ライフ</t>
  </si>
  <si>
    <t>Del Monte</t>
  </si>
  <si>
    <t>キンショー</t>
  </si>
  <si>
    <t>東湊店</t>
  </si>
  <si>
    <t>GK</t>
  </si>
  <si>
    <t>万代</t>
  </si>
  <si>
    <t>HE</t>
  </si>
  <si>
    <t>長野</t>
  </si>
  <si>
    <t>イズミヤ</t>
  </si>
  <si>
    <t>泉北店</t>
  </si>
  <si>
    <t>岩手</t>
  </si>
  <si>
    <t>ダイエーグルメシティ</t>
  </si>
  <si>
    <t>長崎</t>
  </si>
  <si>
    <t>福島</t>
  </si>
  <si>
    <t>和歌山</t>
  </si>
  <si>
    <t>佐賀</t>
  </si>
  <si>
    <t>埼玉</t>
  </si>
  <si>
    <t>群馬</t>
  </si>
  <si>
    <t>千葉</t>
  </si>
  <si>
    <t>熊本</t>
  </si>
  <si>
    <t>岐阜</t>
  </si>
  <si>
    <t>兵庫</t>
  </si>
  <si>
    <t>京都</t>
  </si>
  <si>
    <t>ＪＡ大分</t>
  </si>
  <si>
    <t>ＪＡ山梨</t>
  </si>
  <si>
    <t>ＪＡ香川</t>
  </si>
  <si>
    <t>山梨</t>
  </si>
  <si>
    <t>ＪＡ徳島</t>
  </si>
  <si>
    <t>いちじく</t>
  </si>
  <si>
    <t>ＪＡ広島</t>
  </si>
  <si>
    <t>ＪＡ山形</t>
  </si>
  <si>
    <t>キラキラ</t>
  </si>
  <si>
    <t>グリーンアイ</t>
  </si>
  <si>
    <t>ＪＡ大阪</t>
  </si>
  <si>
    <t>ＪＡ神奈川</t>
  </si>
  <si>
    <t>ＪＡ石川</t>
  </si>
  <si>
    <t>県名</t>
    <phoneticPr fontId="3"/>
  </si>
  <si>
    <t>チェーン名</t>
    <phoneticPr fontId="3"/>
  </si>
  <si>
    <t>鉄砲町店</t>
    <rPh sb="3" eb="4">
      <t>テン</t>
    </rPh>
    <phoneticPr fontId="3"/>
  </si>
  <si>
    <t>福や</t>
  </si>
  <si>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</si>
  <si>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</si>
  <si>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</si>
  <si>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</si>
  <si>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</si>
  <si>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</si>
  <si>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Del Monte</t>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</si>
  <si>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</si>
  <si>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</si>
  <si>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</si>
  <si>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</si>
  <si>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</si>
  <si>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</si>
  <si>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</si>
  <si>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</si>
  <si>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</si>
  <si>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</si>
  <si>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硬度
１</t>
    <phoneticPr fontId="4"/>
  </si>
  <si>
    <t>福岡</t>
    <rPh sb="0" eb="2">
      <t>フクオカ</t>
    </rPh>
    <phoneticPr fontId="4"/>
  </si>
  <si>
    <t>西鉄ストア</t>
    <rPh sb="0" eb="2">
      <t>ニシテツ</t>
    </rPh>
    <phoneticPr fontId="3"/>
  </si>
  <si>
    <t>韓国</t>
    <rPh sb="0" eb="2">
      <t>カンコク</t>
    </rPh>
    <phoneticPr fontId="4"/>
  </si>
  <si>
    <t>JA全農ふくれん</t>
    <rPh sb="2" eb="4">
      <t>ゼンノウ</t>
    </rPh>
    <phoneticPr fontId="3"/>
  </si>
  <si>
    <t>JA伊万里</t>
    <rPh sb="2" eb="5">
      <t>イマリ</t>
    </rPh>
    <phoneticPr fontId="3"/>
  </si>
  <si>
    <t>栃木</t>
    <rPh sb="0" eb="2">
      <t>トチギ</t>
    </rPh>
    <phoneticPr fontId="4"/>
  </si>
  <si>
    <t>山神農園</t>
    <rPh sb="0" eb="4">
      <t>ヤマガミノウエン</t>
    </rPh>
    <phoneticPr fontId="3"/>
  </si>
  <si>
    <t>喜芳園</t>
    <rPh sb="0" eb="1">
      <t>ヨロコ</t>
    </rPh>
    <rPh sb="1" eb="2">
      <t>ヨシモト</t>
    </rPh>
    <rPh sb="2" eb="3">
      <t>¥</t>
    </rPh>
    <phoneticPr fontId="3"/>
  </si>
  <si>
    <t>ＪＡ八女</t>
    <rPh sb="2" eb="4">
      <t>ヤメ</t>
    </rPh>
    <phoneticPr fontId="4"/>
  </si>
  <si>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</si>
  <si>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</si>
  <si>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</si>
  <si>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甘夏</t>
    <rPh sb="0" eb="2">
      <t>アマナツ</t>
    </rPh>
    <phoneticPr fontId="3"/>
  </si>
  <si>
    <t>山口</t>
    <rPh sb="0" eb="2">
      <t>ヤマグチ</t>
    </rPh>
    <phoneticPr fontId="3"/>
  </si>
  <si>
    <t>シーズン</t>
    <phoneticPr fontId="4"/>
  </si>
  <si>
    <t>Weight</t>
    <phoneticPr fontId="4"/>
  </si>
  <si>
    <t>久が原食品館</t>
    <rPh sb="0" eb="1">
      <t>ヒサ</t>
    </rPh>
    <rPh sb="2" eb="3">
      <t>ハラ</t>
    </rPh>
    <rPh sb="3" eb="5">
      <t>ショクヒン</t>
    </rPh>
    <rPh sb="5" eb="6">
      <t>カン</t>
    </rPh>
    <phoneticPr fontId="4"/>
  </si>
  <si>
    <t>大森館</t>
    <rPh sb="2" eb="3">
      <t>カン</t>
    </rPh>
    <phoneticPr fontId="4"/>
  </si>
  <si>
    <t>西友</t>
    <rPh sb="0" eb="2">
      <t>セイユウ</t>
    </rPh>
    <phoneticPr fontId="4"/>
  </si>
  <si>
    <t>大森店</t>
    <rPh sb="0" eb="2">
      <t>オオモリ</t>
    </rPh>
    <rPh sb="2" eb="3">
      <t>テン</t>
    </rPh>
    <phoneticPr fontId="4"/>
  </si>
  <si>
    <t>品川シーサイド店</t>
    <rPh sb="0" eb="2">
      <t>シナガワ</t>
    </rPh>
    <rPh sb="7" eb="8">
      <t>テン</t>
    </rPh>
    <phoneticPr fontId="4"/>
  </si>
  <si>
    <t>東急ストア</t>
    <rPh sb="0" eb="2">
      <t>トウキュウ</t>
    </rPh>
    <phoneticPr fontId="4"/>
  </si>
  <si>
    <t>蒲田店</t>
    <rPh sb="0" eb="2">
      <t>カマタ</t>
    </rPh>
    <rPh sb="2" eb="3">
      <t>テン</t>
    </rPh>
    <phoneticPr fontId="4"/>
  </si>
  <si>
    <t>大崎ﾆｭｰｼﾃｨ店</t>
    <rPh sb="0" eb="2">
      <t>オオサキ</t>
    </rPh>
    <rPh sb="8" eb="9">
      <t>テン</t>
    </rPh>
    <phoneticPr fontId="4"/>
  </si>
  <si>
    <t>マルエツ</t>
  </si>
  <si>
    <t>品川店</t>
    <rPh sb="0" eb="2">
      <t>シナガワ</t>
    </rPh>
    <rPh sb="2" eb="3">
      <t>テン</t>
    </rPh>
    <phoneticPr fontId="4"/>
  </si>
  <si>
    <t>大井町店</t>
    <rPh sb="0" eb="4">
      <t>オオイマチテン</t>
    </rPh>
    <phoneticPr fontId="4"/>
  </si>
  <si>
    <t>サミットストア</t>
  </si>
  <si>
    <t>宮崎</t>
    <rPh sb="0" eb="2">
      <t>ミヤザキ</t>
    </rPh>
    <phoneticPr fontId="3"/>
  </si>
  <si>
    <t>みやぎ生協</t>
  </si>
  <si>
    <t>ウジエ</t>
  </si>
  <si>
    <t>ザ・ビッグ</t>
  </si>
  <si>
    <t>ヨークベニマル</t>
  </si>
  <si>
    <t>ヤマザワ</t>
  </si>
  <si>
    <t>利府店</t>
  </si>
  <si>
    <t>杉の入店</t>
  </si>
  <si>
    <t>塩釜店</t>
  </si>
  <si>
    <t>利府野中店</t>
  </si>
  <si>
    <t>塩釜北浜店</t>
  </si>
  <si>
    <t>塩釜中の島店</t>
  </si>
  <si>
    <t>高砂駅前店</t>
  </si>
  <si>
    <t>野間</t>
    <rPh sb="0" eb="2">
      <t>ノマ</t>
    </rPh>
    <phoneticPr fontId="3"/>
  </si>
  <si>
    <t>野間大池</t>
    <rPh sb="0" eb="2">
      <t>ノマ</t>
    </rPh>
    <rPh sb="2" eb="4">
      <t>オオイケ</t>
    </rPh>
    <phoneticPr fontId="3"/>
  </si>
  <si>
    <t>美野島</t>
    <rPh sb="0" eb="1">
      <t>ミ</t>
    </rPh>
    <rPh sb="1" eb="2">
      <t>ノ</t>
    </rPh>
    <rPh sb="2" eb="3">
      <t>シマ</t>
    </rPh>
    <phoneticPr fontId="3"/>
  </si>
  <si>
    <t>高宮</t>
    <rPh sb="0" eb="2">
      <t>タカミヤ</t>
    </rPh>
    <phoneticPr fontId="3"/>
  </si>
  <si>
    <t>博多駅南</t>
    <rPh sb="0" eb="3">
      <t>ハカタエキ</t>
    </rPh>
    <rPh sb="3" eb="4">
      <t>ミナミ</t>
    </rPh>
    <phoneticPr fontId="3"/>
  </si>
  <si>
    <t>清水</t>
    <rPh sb="0" eb="2">
      <t>シミズ</t>
    </rPh>
    <phoneticPr fontId="3"/>
  </si>
  <si>
    <t>大橋</t>
    <rPh sb="0" eb="2">
      <t>オオハシ</t>
    </rPh>
    <phoneticPr fontId="3"/>
  </si>
  <si>
    <t>住吉</t>
    <rPh sb="0" eb="2">
      <t>スミヨシ</t>
    </rPh>
    <phoneticPr fontId="3"/>
  </si>
  <si>
    <t>サニー</t>
  </si>
  <si>
    <t>マルショク</t>
  </si>
  <si>
    <t>マミーズ</t>
  </si>
  <si>
    <t>レッドキャベツ</t>
  </si>
  <si>
    <t>マルキョウ</t>
  </si>
  <si>
    <t>マックスバリュ</t>
  </si>
  <si>
    <t>ダイキョーバリュー</t>
  </si>
  <si>
    <t>ボンラパス</t>
  </si>
  <si>
    <t>ニューヨークストア</t>
  </si>
  <si>
    <t>U/P JPY</t>
    <phoneticPr fontId="4"/>
  </si>
  <si>
    <t>２番人気
果実</t>
    <phoneticPr fontId="3"/>
  </si>
  <si>
    <t>松江店</t>
  </si>
  <si>
    <t>オリンピック</t>
  </si>
  <si>
    <t>西一之江店</t>
  </si>
  <si>
    <t>ヤマイチ</t>
  </si>
  <si>
    <t>今井店</t>
  </si>
  <si>
    <t>コモディイイダ</t>
  </si>
  <si>
    <t>西瑞江店</t>
  </si>
  <si>
    <t>いなげや</t>
  </si>
  <si>
    <t>江戸川春江店</t>
  </si>
  <si>
    <t>鹿骨店</t>
  </si>
  <si>
    <t>東武ストア</t>
  </si>
  <si>
    <t>新小岩店</t>
  </si>
  <si>
    <t>本一色店</t>
  </si>
  <si>
    <t>ビッグ・エー</t>
  </si>
  <si>
    <t>江戸川本一色店</t>
  </si>
  <si>
    <t>江戸川中央店</t>
  </si>
  <si>
    <t>北海道</t>
    <rPh sb="0" eb="3">
      <t>ホッカイドウ</t>
    </rPh>
    <phoneticPr fontId="3"/>
  </si>
  <si>
    <t>JP</t>
  </si>
  <si>
    <t>JP</t>
    <phoneticPr fontId="3"/>
  </si>
  <si>
    <t>JPY</t>
  </si>
  <si>
    <t>JPY</t>
    <phoneticPr fontId="3"/>
  </si>
  <si>
    <t>10.07.2018</t>
  </si>
  <si>
    <t>10.07.2018</t>
    <phoneticPr fontId="3"/>
  </si>
  <si>
    <t>糖度</t>
    <phoneticPr fontId="4"/>
  </si>
  <si>
    <t>09.07.2018</t>
    <phoneticPr fontId="3"/>
  </si>
  <si>
    <t>09.07.2018</t>
  </si>
  <si>
    <t>GA</t>
    <phoneticPr fontId="4"/>
  </si>
  <si>
    <t>いちじく</t>
    <phoneticPr fontId="4"/>
  </si>
  <si>
    <t>ラフランス</t>
    <phoneticPr fontId="3"/>
  </si>
  <si>
    <t>JPY</t>
    <phoneticPr fontId="3"/>
  </si>
  <si>
    <t>13.07.2018</t>
    <phoneticPr fontId="3"/>
  </si>
  <si>
    <t>アオキスーパー</t>
  </si>
  <si>
    <t>ピアゴ</t>
    <phoneticPr fontId="4"/>
  </si>
  <si>
    <t>長久手南店</t>
    <phoneticPr fontId="4"/>
  </si>
  <si>
    <t>長久手店</t>
    <phoneticPr fontId="4"/>
  </si>
  <si>
    <t>アピタ</t>
    <phoneticPr fontId="4"/>
  </si>
  <si>
    <t>JP</t>
    <phoneticPr fontId="3"/>
  </si>
  <si>
    <t>13.07.2018</t>
    <phoneticPr fontId="3"/>
  </si>
  <si>
    <t>カネトク</t>
    <phoneticPr fontId="4"/>
  </si>
  <si>
    <t>JP</t>
    <phoneticPr fontId="3"/>
  </si>
  <si>
    <t>13.07.2018</t>
    <phoneticPr fontId="3"/>
  </si>
  <si>
    <t>マックスバリュ</t>
    <phoneticPr fontId="4"/>
  </si>
  <si>
    <t>長久手店</t>
    <phoneticPr fontId="4"/>
  </si>
  <si>
    <t>アピタ</t>
    <phoneticPr fontId="4"/>
  </si>
  <si>
    <t>JP</t>
    <phoneticPr fontId="3"/>
  </si>
  <si>
    <t>13.07.2018</t>
    <phoneticPr fontId="3"/>
  </si>
  <si>
    <t>アオキスーパー</t>
    <phoneticPr fontId="4"/>
  </si>
  <si>
    <t>長久手店</t>
    <phoneticPr fontId="4"/>
  </si>
  <si>
    <t>JP</t>
    <phoneticPr fontId="3"/>
  </si>
  <si>
    <t>13.07.2018</t>
    <phoneticPr fontId="3"/>
  </si>
  <si>
    <t>JP</t>
    <phoneticPr fontId="3"/>
  </si>
  <si>
    <t>13.07.2018</t>
    <phoneticPr fontId="3"/>
  </si>
  <si>
    <t>ピアゴ</t>
  </si>
  <si>
    <t>長久手南店</t>
  </si>
  <si>
    <t>JP</t>
    <phoneticPr fontId="3"/>
  </si>
  <si>
    <t>13.07.2018</t>
    <phoneticPr fontId="3"/>
  </si>
  <si>
    <t>カネスエ</t>
  </si>
  <si>
    <t>長久手店</t>
  </si>
  <si>
    <t>ラフランス</t>
    <phoneticPr fontId="4"/>
  </si>
  <si>
    <t>キラキラ</t>
    <phoneticPr fontId="4"/>
  </si>
  <si>
    <t>グリーンアイ</t>
    <phoneticPr fontId="4"/>
  </si>
  <si>
    <t>カネトク</t>
  </si>
  <si>
    <t>アピタ</t>
  </si>
  <si>
    <t/>
  </si>
  <si>
    <t>14.07.2018</t>
  </si>
  <si>
    <t>津久野店</t>
  </si>
  <si>
    <t>宮崎</t>
  </si>
  <si>
    <t>品種</t>
    <phoneticPr fontId="3"/>
  </si>
  <si>
    <t>JPY</t>
    <phoneticPr fontId="3"/>
  </si>
  <si>
    <t>JPY</t>
    <phoneticPr fontId="3"/>
  </si>
  <si>
    <t>広島</t>
    <phoneticPr fontId="3"/>
  </si>
  <si>
    <t>バナナ</t>
    <phoneticPr fontId="4"/>
  </si>
  <si>
    <t>JPY</t>
    <phoneticPr fontId="3"/>
  </si>
  <si>
    <t>パパイヤ</t>
    <phoneticPr fontId="4"/>
  </si>
  <si>
    <t>JPY</t>
    <phoneticPr fontId="3"/>
  </si>
  <si>
    <t>びわ</t>
    <phoneticPr fontId="4"/>
  </si>
  <si>
    <t>JPY</t>
    <phoneticPr fontId="3"/>
  </si>
  <si>
    <t>メロン</t>
    <phoneticPr fontId="4"/>
  </si>
  <si>
    <t>桃</t>
    <phoneticPr fontId="4"/>
  </si>
  <si>
    <t>JPY</t>
    <phoneticPr fontId="3"/>
  </si>
  <si>
    <t>ブドウ</t>
    <phoneticPr fontId="4"/>
  </si>
  <si>
    <t>ラフランス</t>
    <phoneticPr fontId="4"/>
  </si>
  <si>
    <t>りんご</t>
    <phoneticPr fontId="4"/>
  </si>
  <si>
    <t>みかん</t>
    <phoneticPr fontId="4"/>
  </si>
  <si>
    <t>マンゴー</t>
    <phoneticPr fontId="3"/>
  </si>
  <si>
    <t>ひこさか</t>
    <phoneticPr fontId="3"/>
  </si>
  <si>
    <t>販売
ユニット
個数</t>
    <phoneticPr fontId="4"/>
  </si>
  <si>
    <t>11.07.2018</t>
    <phoneticPr fontId="3"/>
  </si>
  <si>
    <t>マルショク</t>
    <phoneticPr fontId="3"/>
  </si>
  <si>
    <t>JPY</t>
    <phoneticPr fontId="4"/>
  </si>
  <si>
    <t>一般栽培</t>
    <phoneticPr fontId="4"/>
  </si>
  <si>
    <t>ﾆｭｰｼﾞｰﾗﾝﾄﾞ</t>
    <phoneticPr fontId="4"/>
  </si>
  <si>
    <t>JP</t>
    <phoneticPr fontId="3"/>
  </si>
  <si>
    <t>11.07.2018</t>
    <phoneticPr fontId="3"/>
  </si>
  <si>
    <t>マルショク</t>
    <phoneticPr fontId="3"/>
  </si>
  <si>
    <t>JPY</t>
    <phoneticPr fontId="4"/>
  </si>
  <si>
    <t>バナナ</t>
    <phoneticPr fontId="3"/>
  </si>
  <si>
    <t>CK</t>
    <phoneticPr fontId="3"/>
  </si>
  <si>
    <t>D'lish</t>
    <phoneticPr fontId="4"/>
  </si>
  <si>
    <t>りんご</t>
    <phoneticPr fontId="3"/>
  </si>
  <si>
    <t>HW</t>
    <phoneticPr fontId="4"/>
  </si>
  <si>
    <t>CK</t>
    <phoneticPr fontId="4"/>
  </si>
  <si>
    <t>Del Monte</t>
    <phoneticPr fontId="4"/>
  </si>
  <si>
    <t>いちご</t>
    <phoneticPr fontId="3"/>
  </si>
  <si>
    <t>GK</t>
    <phoneticPr fontId="4"/>
  </si>
  <si>
    <t>OB</t>
    <phoneticPr fontId="4"/>
  </si>
  <si>
    <t>11.07.2018</t>
    <phoneticPr fontId="3"/>
  </si>
  <si>
    <t>マルショク</t>
    <phoneticPr fontId="3"/>
  </si>
  <si>
    <t>JPY</t>
    <phoneticPr fontId="4"/>
  </si>
  <si>
    <t>HE</t>
    <phoneticPr fontId="4"/>
  </si>
  <si>
    <t>JP</t>
    <phoneticPr fontId="3"/>
  </si>
  <si>
    <t>11.07.2018</t>
    <phoneticPr fontId="3"/>
  </si>
  <si>
    <t>GA</t>
    <phoneticPr fontId="4"/>
  </si>
  <si>
    <t>11.07.2018</t>
    <phoneticPr fontId="3"/>
  </si>
  <si>
    <t>オレンジ</t>
    <phoneticPr fontId="3"/>
  </si>
  <si>
    <t>JP</t>
    <phoneticPr fontId="3"/>
  </si>
  <si>
    <t>11.07.2018</t>
    <phoneticPr fontId="3"/>
  </si>
  <si>
    <t>11.07.2018</t>
    <phoneticPr fontId="3"/>
  </si>
  <si>
    <t>11.07.2018</t>
    <phoneticPr fontId="3"/>
  </si>
  <si>
    <t>JPY</t>
    <phoneticPr fontId="4"/>
  </si>
  <si>
    <t>11.07.2018</t>
    <phoneticPr fontId="3"/>
  </si>
  <si>
    <t>JPY</t>
    <phoneticPr fontId="4"/>
  </si>
  <si>
    <t>JP</t>
    <phoneticPr fontId="3"/>
  </si>
  <si>
    <t>11.07.2018</t>
    <phoneticPr fontId="3"/>
  </si>
  <si>
    <t>JPY</t>
    <phoneticPr fontId="4"/>
  </si>
  <si>
    <t>いちじく</t>
    <phoneticPr fontId="4"/>
  </si>
  <si>
    <t>ラフランス</t>
    <phoneticPr fontId="3"/>
  </si>
  <si>
    <t>キラキラ</t>
    <phoneticPr fontId="4"/>
  </si>
  <si>
    <t>プラム</t>
    <phoneticPr fontId="3"/>
  </si>
  <si>
    <t>グリーンアイ</t>
    <phoneticPr fontId="4"/>
  </si>
  <si>
    <t>ぽんかん</t>
    <phoneticPr fontId="3"/>
  </si>
  <si>
    <t>アメリカンチェリー</t>
    <phoneticPr fontId="3"/>
  </si>
  <si>
    <t>JPY</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</si>
  <si>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</si>
  <si>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</si>
  <si>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</si>
  <si>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</si>
  <si>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</si>
  <si>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</si>
  <si>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</si>
  <si>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</si>
  <si>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</si>
  <si>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</si>
  <si>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</si>
  <si>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</si>
  <si>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12.07.2018</t>
    <phoneticPr fontId="3"/>
  </si>
  <si>
    <t>サミット</t>
  </si>
  <si>
    <t>JPY</t>
    <phoneticPr fontId="3"/>
  </si>
  <si>
    <t>カドヤ</t>
    <phoneticPr fontId="4"/>
  </si>
  <si>
    <t>ﾆｭｰｼﾞｰﾗﾝﾄﾞ</t>
    <phoneticPr fontId="4"/>
  </si>
  <si>
    <t>12.07.2018</t>
  </si>
  <si>
    <t>イオン</t>
    <phoneticPr fontId="4"/>
  </si>
  <si>
    <t>D'lish</t>
    <phoneticPr fontId="4"/>
  </si>
  <si>
    <t>中国</t>
    <phoneticPr fontId="4"/>
  </si>
  <si>
    <t>ライフ</t>
    <phoneticPr fontId="4"/>
  </si>
  <si>
    <t>HW</t>
    <phoneticPr fontId="4"/>
  </si>
  <si>
    <t>CK</t>
    <phoneticPr fontId="4"/>
  </si>
  <si>
    <t>Del Monte</t>
    <phoneticPr fontId="3"/>
  </si>
  <si>
    <t>マルエツ</t>
    <phoneticPr fontId="4"/>
  </si>
  <si>
    <t>GK</t>
    <phoneticPr fontId="4"/>
  </si>
  <si>
    <t>OB</t>
    <phoneticPr fontId="4"/>
  </si>
  <si>
    <t>HE</t>
    <phoneticPr fontId="4"/>
  </si>
  <si>
    <t>サミット</t>
    <phoneticPr fontId="4"/>
  </si>
  <si>
    <t>イトーヨーカドー</t>
    <phoneticPr fontId="4"/>
  </si>
  <si>
    <t>サミット</t>
    <phoneticPr fontId="4"/>
  </si>
  <si>
    <t>大森西店</t>
    <phoneticPr fontId="4"/>
  </si>
  <si>
    <t>大森西店</t>
  </si>
  <si>
    <t>カドヤ</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</si>
</sst>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name val="ＭＳ Ｐゴシック"/>
      <family val="3"/>
      <charset val="128"/>
      <scheme val="minor"/>
    </font>
    <font>
      <sz val="10"/>
      <name val="ＭＳ ゴシック"/>
      <family val="3"/>
      <charset val="128"/>
    </font>
    <font>
      <sz val="11"/>
      <name val="ＭＳ Ｐゴシック"/>
      <family val="2"/>
      <charset val="128"/>
      <scheme val="minor"/>
    </font>
    <font>
      <sz val="11"/>
      <color indexed="8"/>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7">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theme="0" tint="-0.14990691854609822"/>
      </top>
      <bottom/>
      <diagonal/>
    </border>
    <border>
      <left style="thin">
        <color theme="0" tint="-0.14993743705557422"/>
      </left>
      <right style="thin">
        <color theme="0" tint="-0.14993743705557422"/>
      </right>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269">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14" fontId="14" fillId="0" borderId="0" xfId="1" applyNumberFormat="1" applyFont="1" applyFill="1" applyAlignment="1">
      <alignment horizontal="right"/>
    </xf>
    <xf numFmtId="0" fontId="1" fillId="2" borderId="0" xfId="1" applyFont="1" applyFill="1"/>
    <xf numFmtId="0" fontId="1" fillId="2" borderId="0" xfId="1" applyNumberFormat="1" applyFont="1" applyFill="1"/>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0" fontId="15" fillId="0" borderId="12" xfId="0"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0" fontId="1" fillId="0" borderId="16" xfId="1" applyFont="1" applyBorder="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6" fillId="0" borderId="0" xfId="1" applyFont="1"/>
    <xf numFmtId="0" fontId="1" fillId="3" borderId="0" xfId="1" applyFont="1" applyFill="1"/>
    <xf numFmtId="0" fontId="1" fillId="3" borderId="0" xfId="1" applyNumberFormat="1" applyFont="1" applyFill="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178" fontId="1" fillId="2" borderId="0" xfId="1" applyNumberFormat="1" applyFon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7" fillId="0" borderId="0" xfId="1" applyNumberFormat="1" applyFont="1" applyFill="1"/>
    <xf numFmtId="0" fontId="1" fillId="0" borderId="12" xfId="1" applyFont="1" applyFill="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9" xfId="5" applyFont="1" applyBorder="1" applyAlignment="1">
      <alignment wrapText="1"/>
    </xf>
    <xf numFmtId="0" fontId="1" fillId="0" borderId="20" xfId="5" applyFont="1" applyBorder="1" applyAlignment="1">
      <alignment wrapText="1"/>
    </xf>
    <xf numFmtId="0" fontId="1" fillId="0" borderId="21" xfId="5" applyFont="1" applyBorder="1" applyAlignment="1">
      <alignment wrapText="1"/>
    </xf>
    <xf numFmtId="0" fontId="1" fillId="0" borderId="16" xfId="5" applyFont="1" applyFill="1" applyBorder="1" applyAlignment="1"/>
    <xf numFmtId="0" fontId="10" fillId="0" borderId="16" xfId="5" applyFont="1" applyBorder="1" applyAlignment="1"/>
    <xf numFmtId="0" fontId="1" fillId="0" borderId="0" xfId="5" applyFill="1" applyAlignment="1"/>
    <xf numFmtId="14" fontId="0" fillId="0" borderId="0" xfId="5" applyNumberFormat="1" applyFont="1" applyFill="1" applyAlignment="1"/>
    <xf numFmtId="0" fontId="1" fillId="2" borderId="0" xfId="5" applyFill="1" applyAlignment="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4" xfId="1" applyFont="1" applyBorder="1" applyAlignment="1">
      <alignment horizontal="left" wrapText="1"/>
    </xf>
    <xf numFmtId="0" fontId="1" fillId="4" borderId="0" xfId="1" applyFill="1" applyBorder="1"/>
    <xf numFmtId="14" fontId="1" fillId="4" borderId="0" xfId="1" applyNumberFormat="1" applyFont="1" applyFill="1" applyBorder="1"/>
    <xf numFmtId="178" fontId="1" fillId="2" borderId="0" xfId="1" applyNumberFormat="1" applyFill="1" applyBorder="1"/>
    <xf numFmtId="0" fontId="1" fillId="2" borderId="0" xfId="1" applyFill="1" applyBorder="1"/>
    <xf numFmtId="1" fontId="1" fillId="2" borderId="0" xfId="1" applyNumberFormat="1" applyFill="1" applyBorder="1"/>
    <xf numFmtId="0" fontId="0" fillId="0" borderId="0" xfId="1" applyFont="1" applyBorder="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xf numFmtId="0" fontId="1" fillId="0" borderId="0" xfId="1" applyFont="1" applyAlignment="1">
      <alignment horizontal="center"/>
    </xf>
    <xf numFmtId="14" fontId="17" fillId="0" borderId="0" xfId="1" applyNumberFormat="1" applyFont="1" applyAlignment="1">
      <alignment horizontal="center"/>
    </xf>
    <xf numFmtId="0" fontId="16" fillId="0" borderId="1" xfId="0" applyFont="1" applyFill="1" applyBorder="1">
      <alignment vertical="center"/>
    </xf>
    <xf numFmtId="0" fontId="14" fillId="0" borderId="4" xfId="0" applyFont="1" applyFill="1" applyBorder="1">
      <alignment vertical="center"/>
    </xf>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4" fillId="0" borderId="1" xfId="0" applyFont="1" applyFill="1" applyBorder="1">
      <alignment vertical="center"/>
    </xf>
    <xf numFmtId="0" fontId="14" fillId="0" borderId="6" xfId="0" applyFont="1" applyFill="1" applyBorder="1">
      <alignment vertical="center"/>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5" xfId="1" applyFill="1" applyBorder="1"/>
    <xf numFmtId="14" fontId="0" fillId="4" borderId="26" xfId="1" applyNumberFormat="1" applyFont="1" applyFill="1" applyBorder="1"/>
    <xf numFmtId="0" fontId="1" fillId="4" borderId="27" xfId="1" applyFill="1" applyBorder="1"/>
    <xf numFmtId="0" fontId="1" fillId="4" borderId="28" xfId="1" applyFill="1" applyBorder="1"/>
    <xf numFmtId="0" fontId="1" fillId="4" borderId="29" xfId="1" applyFill="1" applyBorder="1"/>
    <xf numFmtId="0" fontId="1" fillId="4" borderId="30" xfId="1" applyFill="1" applyBorder="1"/>
    <xf numFmtId="178" fontId="1" fillId="3" borderId="28" xfId="1" applyNumberFormat="1" applyFill="1" applyBorder="1"/>
    <xf numFmtId="0" fontId="1" fillId="4" borderId="31" xfId="1" applyFill="1" applyBorder="1"/>
    <xf numFmtId="0" fontId="1" fillId="3" borderId="32" xfId="1" applyFill="1" applyBorder="1"/>
    <xf numFmtId="0" fontId="1" fillId="4" borderId="33" xfId="1" applyFill="1" applyBorder="1"/>
    <xf numFmtId="0" fontId="1" fillId="4" borderId="34" xfId="1" applyFill="1" applyBorder="1"/>
    <xf numFmtId="0" fontId="1" fillId="4" borderId="34" xfId="1" applyFont="1" applyFill="1" applyBorder="1"/>
    <xf numFmtId="0" fontId="1" fillId="4" borderId="35" xfId="1" applyFill="1" applyBorder="1"/>
    <xf numFmtId="0" fontId="1" fillId="0" borderId="35" xfId="1" applyBorder="1"/>
    <xf numFmtId="14" fontId="0" fillId="4" borderId="36" xfId="1" applyNumberFormat="1" applyFont="1" applyFill="1" applyBorder="1"/>
    <xf numFmtId="0" fontId="1" fillId="4" borderId="37" xfId="1" applyFill="1" applyBorder="1"/>
    <xf numFmtId="178" fontId="1" fillId="3" borderId="38" xfId="1" applyNumberFormat="1" applyFill="1" applyBorder="1"/>
    <xf numFmtId="0" fontId="1" fillId="0" borderId="39" xfId="1" applyBorder="1"/>
    <xf numFmtId="0" fontId="1" fillId="0" borderId="40" xfId="1" applyFill="1" applyBorder="1"/>
    <xf numFmtId="0" fontId="1" fillId="3" borderId="0" xfId="1" applyFill="1" applyBorder="1"/>
    <xf numFmtId="0" fontId="1" fillId="0" borderId="41" xfId="1" applyFill="1" applyBorder="1"/>
    <xf numFmtId="0" fontId="1" fillId="4" borderId="42" xfId="1" applyFill="1" applyBorder="1"/>
    <xf numFmtId="0" fontId="1" fillId="4" borderId="12" xfId="1" applyFill="1" applyBorder="1"/>
    <xf numFmtId="0" fontId="1" fillId="0" borderId="43" xfId="1" applyBorder="1"/>
    <xf numFmtId="0" fontId="1" fillId="4" borderId="40" xfId="1" applyFill="1" applyBorder="1"/>
    <xf numFmtId="0" fontId="1" fillId="0" borderId="41" xfId="1" applyBorder="1"/>
    <xf numFmtId="0" fontId="1" fillId="4" borderId="16" xfId="1" applyFill="1" applyBorder="1"/>
    <xf numFmtId="0" fontId="1" fillId="4" borderId="17" xfId="1" applyFill="1" applyBorder="1"/>
    <xf numFmtId="0" fontId="1" fillId="0" borderId="40" xfId="1" applyBorder="1"/>
    <xf numFmtId="0" fontId="1" fillId="0" borderId="42" xfId="1" applyBorder="1"/>
    <xf numFmtId="0" fontId="1" fillId="0" borderId="42" xfId="1" applyFont="1" applyBorder="1"/>
    <xf numFmtId="0" fontId="1" fillId="0" borderId="17" xfId="1" applyFill="1" applyBorder="1"/>
    <xf numFmtId="0" fontId="1" fillId="0" borderId="43" xfId="1" applyFont="1" applyBorder="1"/>
    <xf numFmtId="0" fontId="1" fillId="0" borderId="34" xfId="1" applyBorder="1"/>
    <xf numFmtId="14" fontId="0" fillId="0" borderId="0" xfId="1" applyNumberFormat="1" applyFont="1"/>
    <xf numFmtId="0" fontId="1" fillId="4" borderId="32" xfId="1" applyFill="1" applyBorder="1"/>
    <xf numFmtId="49" fontId="2" fillId="5" borderId="44" xfId="1" applyNumberFormat="1" applyFont="1" applyFill="1" applyBorder="1" applyAlignment="1">
      <alignment horizontal="center" vertical="center" wrapText="1"/>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8" xfId="1" applyFont="1" applyFill="1" applyBorder="1"/>
    <xf numFmtId="0" fontId="1" fillId="0" borderId="17" xfId="1" applyFont="1" applyBorder="1"/>
    <xf numFmtId="178" fontId="1" fillId="2" borderId="0" xfId="1" applyNumberFormat="1" applyFill="1"/>
    <xf numFmtId="0" fontId="1" fillId="0" borderId="0" xfId="5" applyFont="1" applyFill="1" applyAlignment="1"/>
    <xf numFmtId="0" fontId="1" fillId="0" borderId="0" xfId="1" applyBorder="1"/>
    <xf numFmtId="0" fontId="1" fillId="0" borderId="8" xfId="1" applyBorder="1"/>
    <xf numFmtId="0" fontId="1" fillId="0" borderId="0" xfId="1" applyFont="1" applyBorder="1"/>
    <xf numFmtId="0" fontId="11" fillId="0" borderId="0" xfId="7">
      <alignment vertical="center"/>
    </xf>
    <xf numFmtId="178" fontId="1" fillId="3" borderId="0" xfId="1" applyNumberFormat="1" applyFont="1" applyFill="1"/>
    <xf numFmtId="0" fontId="10" fillId="0" borderId="0" xfId="1" applyFont="1" applyBorder="1"/>
    <xf numFmtId="0" fontId="1" fillId="0" borderId="0" xfId="1" applyFont="1" applyFill="1" applyBorder="1"/>
    <xf numFmtId="0" fontId="14" fillId="0" borderId="0" xfId="1" applyFont="1" applyFill="1"/>
    <xf numFmtId="0" fontId="11" fillId="0" borderId="0" xfId="2">
      <alignment vertical="center"/>
    </xf>
    <xf numFmtId="14" fontId="0" fillId="4" borderId="45" xfId="1" applyNumberFormat="1" applyFont="1" applyFill="1" applyBorder="1"/>
    <xf numFmtId="14" fontId="0" fillId="4" borderId="46" xfId="1" applyNumberFormat="1" applyFont="1" applyFill="1" applyBorder="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5" fillId="0" borderId="3" xfId="1" applyNumberFormat="1" applyFont="1" applyBorder="1" applyAlignment="1">
      <alignment horizontal="center" vertical="center" wrapText="1"/>
    </xf>
    <xf numFmtId="49" fontId="7" fillId="0" borderId="5" xfId="1" applyNumberFormat="1" applyFont="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0" fillId="0" borderId="7" xfId="1" applyFont="1" applyBorder="1"/>
    <xf numFmtId="0" fontId="1" fillId="0" borderId="7" xfId="1" applyBorder="1" applyProtection="1">
      <protection locked="0"/>
    </xf>
    <xf numFmtId="0" fontId="1" fillId="0" borderId="8" xfId="1" applyBorder="1" applyProtection="1">
      <protection locked="0"/>
    </xf>
  </cellXfs>
  <cellStyles count="8">
    <cellStyle name="桁区切り[0]" xfId="3"/>
    <cellStyle name="通貨[0]" xfId="4"/>
    <cellStyle name="標準" xfId="0" builtinId="0"/>
    <cellStyle name="標準 2" xfId="1"/>
    <cellStyle name="標準 2 2" xfId="5"/>
    <cellStyle name="標準 3" xfId="2"/>
    <cellStyle name="標準 3 2" xfId="7"/>
    <cellStyle name="標準 4"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2.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miyagi_2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espri%20Shopsurvey_nagoya_28.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espri%20Shopsurvey_hiroshima_28.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espri%20Shopsurvey_fukuoka_28.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2467;&#12500;&#12540;Zespri%20Shopsurvey_ota_28.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Zespri%20Shopsurvey_kato_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kuoka"/>
    </sheetNames>
    <sheetDataSet>
      <sheetData sheetId="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east(ota)"/>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west(kato)"/>
    </sheetNames>
    <sheetDataSet>
      <sheetData sheetId="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0"/>
  <sheetViews>
    <sheetView tabSelected="1" zoomScale="85" zoomScaleNormal="85" workbookViewId="0">
      <selection activeCell="AB2" sqref="AB2"/>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347</v>
      </c>
      <c r="B2" s="15" t="s">
        <v>349</v>
      </c>
      <c r="C2" s="15">
        <v>2018</v>
      </c>
      <c r="D2" s="50" t="s">
        <v>353</v>
      </c>
      <c r="E2" s="15" t="s">
        <v>142</v>
      </c>
      <c r="F2" s="15" t="s">
        <v>151</v>
      </c>
      <c r="G2" s="15" t="s">
        <v>36</v>
      </c>
      <c r="H2" s="15" t="s">
        <v>157</v>
      </c>
      <c r="I2" s="15" t="s">
        <v>155</v>
      </c>
      <c r="J2" s="15" t="s">
        <v>38</v>
      </c>
      <c r="K2" s="7" t="s">
        <v>156</v>
      </c>
      <c r="L2" s="7">
        <v>1</v>
      </c>
      <c r="N2" s="47">
        <v>1</v>
      </c>
      <c r="O2" s="15">
        <v>0.5</v>
      </c>
      <c r="P2" s="15">
        <v>0.5</v>
      </c>
      <c r="Q2" s="51">
        <f t="shared" ref="Q2:Q65" si="0">IF(OR(O2="",P2=""),"",AVERAGE(O2,P2))</f>
        <v>0.5</v>
      </c>
      <c r="R2" s="15">
        <v>13.9</v>
      </c>
      <c r="S2" s="15">
        <v>118</v>
      </c>
      <c r="T2" s="38">
        <f t="shared" ref="T2:T59" si="1">IF(H2="","",IF(OR(H2="GREEN",H2="GK"),IF(S2&gt;=$AX$2,VLOOKUP(S2,$AX$2:$AY$12,2,1),""),IF(S2&gt;=$AZ$2,VLOOKUP(S2,$AZ$2:$BA$12,2,1),"")))</f>
        <v>30</v>
      </c>
      <c r="U2" s="15">
        <v>105</v>
      </c>
      <c r="V2" s="38">
        <f t="shared" ref="V2:V65" si="2">IF(OR(N2="",U2="",T2=""),"",U2/N2*T2)</f>
        <v>3150</v>
      </c>
      <c r="W2" s="15">
        <v>8</v>
      </c>
      <c r="X2" s="15" t="s">
        <v>46</v>
      </c>
      <c r="Y2" s="15" t="s">
        <v>97</v>
      </c>
      <c r="Z2" s="15" t="s">
        <v>55</v>
      </c>
      <c r="AA2" s="15" t="s">
        <v>88</v>
      </c>
      <c r="AB2" s="39" t="s">
        <v>360</v>
      </c>
      <c r="AE2" s="17" t="s">
        <v>35</v>
      </c>
      <c r="AG2" s="49" t="s">
        <v>131</v>
      </c>
      <c r="AH2" s="49" t="s">
        <v>145</v>
      </c>
      <c r="AJ2" s="18" t="s">
        <v>36</v>
      </c>
      <c r="AL2" s="18" t="s">
        <v>127</v>
      </c>
      <c r="AN2" s="18" t="s">
        <v>37</v>
      </c>
      <c r="AP2" s="18" t="s">
        <v>38</v>
      </c>
      <c r="AR2" s="18" t="s">
        <v>120</v>
      </c>
      <c r="AT2" s="18" t="s">
        <v>39</v>
      </c>
      <c r="AV2" s="18" t="s">
        <v>40</v>
      </c>
      <c r="AX2" s="19">
        <v>1</v>
      </c>
      <c r="AY2" s="20">
        <v>50</v>
      </c>
      <c r="AZ2" s="20">
        <v>1</v>
      </c>
      <c r="BA2" s="21">
        <v>50</v>
      </c>
    </row>
    <row r="3" spans="1:53" x14ac:dyDescent="0.15">
      <c r="A3" s="15" t="s">
        <v>347</v>
      </c>
      <c r="B3" s="15" t="s">
        <v>348</v>
      </c>
      <c r="C3" s="15">
        <v>2018</v>
      </c>
      <c r="D3" s="37" t="s">
        <v>352</v>
      </c>
      <c r="E3" s="15" t="s">
        <v>142</v>
      </c>
      <c r="F3" s="7" t="s">
        <v>151</v>
      </c>
      <c r="G3" s="7" t="s">
        <v>36</v>
      </c>
      <c r="H3" s="15" t="s">
        <v>157</v>
      </c>
      <c r="I3" s="7" t="s">
        <v>155</v>
      </c>
      <c r="J3" s="15" t="s">
        <v>38</v>
      </c>
      <c r="K3" s="7" t="s">
        <v>156</v>
      </c>
      <c r="L3" s="7">
        <v>2</v>
      </c>
      <c r="N3" s="7">
        <v>1</v>
      </c>
      <c r="O3" s="34">
        <v>0.6</v>
      </c>
      <c r="P3" s="7">
        <v>0.75</v>
      </c>
      <c r="Q3" s="52">
        <f t="shared" si="0"/>
        <v>0.67500000000000004</v>
      </c>
      <c r="R3" s="7">
        <v>14.8</v>
      </c>
      <c r="S3" s="7">
        <v>128</v>
      </c>
      <c r="T3" s="16">
        <f t="shared" si="1"/>
        <v>27</v>
      </c>
      <c r="U3" s="15">
        <v>105</v>
      </c>
      <c r="V3" s="16">
        <f t="shared" si="2"/>
        <v>2835</v>
      </c>
      <c r="W3" s="15">
        <v>8</v>
      </c>
      <c r="X3" s="15" t="s">
        <v>46</v>
      </c>
      <c r="Y3" s="216" t="s">
        <v>97</v>
      </c>
      <c r="Z3" s="216" t="s">
        <v>55</v>
      </c>
      <c r="AA3" s="216" t="s">
        <v>88</v>
      </c>
      <c r="AB3" s="39" t="s">
        <v>350</v>
      </c>
      <c r="AE3" s="22" t="s">
        <v>41</v>
      </c>
      <c r="AG3" s="49" t="s">
        <v>139</v>
      </c>
      <c r="AH3" s="49" t="s">
        <v>146</v>
      </c>
      <c r="AJ3" s="23" t="s">
        <v>42</v>
      </c>
      <c r="AL3" s="23" t="s">
        <v>128</v>
      </c>
      <c r="AN3" s="23" t="s">
        <v>43</v>
      </c>
      <c r="AP3" s="23" t="s">
        <v>44</v>
      </c>
      <c r="AR3" s="41" t="s">
        <v>45</v>
      </c>
      <c r="AT3" s="23" t="s">
        <v>46</v>
      </c>
      <c r="AV3" s="23" t="s">
        <v>47</v>
      </c>
      <c r="AX3" s="24">
        <v>72</v>
      </c>
      <c r="AY3" s="25">
        <v>46</v>
      </c>
      <c r="AZ3" s="25">
        <v>71</v>
      </c>
      <c r="BA3" s="26">
        <v>42</v>
      </c>
    </row>
    <row r="4" spans="1:53" x14ac:dyDescent="0.15">
      <c r="A4" s="15" t="s">
        <v>347</v>
      </c>
      <c r="B4" s="15" t="s">
        <v>348</v>
      </c>
      <c r="C4" s="15">
        <v>2018</v>
      </c>
      <c r="D4" s="37" t="s">
        <v>352</v>
      </c>
      <c r="E4" s="15" t="s">
        <v>142</v>
      </c>
      <c r="F4" s="7" t="s">
        <v>151</v>
      </c>
      <c r="G4" s="7" t="s">
        <v>36</v>
      </c>
      <c r="H4" s="15" t="s">
        <v>157</v>
      </c>
      <c r="I4" s="208" t="s">
        <v>155</v>
      </c>
      <c r="J4" s="15" t="s">
        <v>38</v>
      </c>
      <c r="K4" s="7" t="s">
        <v>156</v>
      </c>
      <c r="L4" s="7">
        <v>3</v>
      </c>
      <c r="N4" s="7">
        <v>1</v>
      </c>
      <c r="O4" s="7">
        <v>0.75</v>
      </c>
      <c r="P4" s="7">
        <v>0.75</v>
      </c>
      <c r="Q4" s="52">
        <f t="shared" si="0"/>
        <v>0.75</v>
      </c>
      <c r="R4" s="7">
        <v>13.8</v>
      </c>
      <c r="S4" s="7">
        <v>121</v>
      </c>
      <c r="T4" s="16">
        <f t="shared" si="1"/>
        <v>27</v>
      </c>
      <c r="U4" s="15">
        <v>105</v>
      </c>
      <c r="V4" s="16">
        <f t="shared" si="2"/>
        <v>2835</v>
      </c>
      <c r="W4" s="15">
        <v>8</v>
      </c>
      <c r="X4" s="15" t="s">
        <v>46</v>
      </c>
      <c r="Y4" s="216" t="s">
        <v>97</v>
      </c>
      <c r="Z4" s="216" t="s">
        <v>55</v>
      </c>
      <c r="AA4" s="216" t="s">
        <v>88</v>
      </c>
      <c r="AB4" s="39" t="s">
        <v>350</v>
      </c>
      <c r="AE4" s="22" t="s">
        <v>34</v>
      </c>
      <c r="AG4" s="49" t="s">
        <v>140</v>
      </c>
      <c r="AH4" s="49" t="s">
        <v>147</v>
      </c>
      <c r="AJ4" s="27" t="s">
        <v>48</v>
      </c>
      <c r="AL4" s="27" t="s">
        <v>129</v>
      </c>
      <c r="AN4" s="28" t="s">
        <v>49</v>
      </c>
      <c r="AP4" s="23" t="s">
        <v>93</v>
      </c>
      <c r="AR4" s="41" t="s">
        <v>121</v>
      </c>
      <c r="AT4" s="28"/>
      <c r="AV4" s="23" t="s">
        <v>50</v>
      </c>
      <c r="AX4" s="24">
        <v>75</v>
      </c>
      <c r="AY4" s="25">
        <v>42</v>
      </c>
      <c r="AZ4" s="25">
        <v>76</v>
      </c>
      <c r="BA4" s="26">
        <v>39</v>
      </c>
    </row>
    <row r="5" spans="1:53" x14ac:dyDescent="0.15">
      <c r="A5" s="15" t="s">
        <v>347</v>
      </c>
      <c r="B5" s="15" t="s">
        <v>348</v>
      </c>
      <c r="C5" s="15">
        <v>2018</v>
      </c>
      <c r="D5" s="37" t="s">
        <v>352</v>
      </c>
      <c r="E5" s="15" t="s">
        <v>142</v>
      </c>
      <c r="F5" s="15" t="s">
        <v>151</v>
      </c>
      <c r="G5" s="7" t="s">
        <v>36</v>
      </c>
      <c r="H5" s="15" t="s">
        <v>164</v>
      </c>
      <c r="I5" s="208" t="s">
        <v>155</v>
      </c>
      <c r="J5" s="15" t="s">
        <v>38</v>
      </c>
      <c r="K5" s="7" t="s">
        <v>156</v>
      </c>
      <c r="L5" s="7">
        <v>1</v>
      </c>
      <c r="N5" s="7">
        <v>1</v>
      </c>
      <c r="O5" s="7">
        <v>0.5</v>
      </c>
      <c r="P5" s="7">
        <v>0.5</v>
      </c>
      <c r="Q5" s="52">
        <f t="shared" si="0"/>
        <v>0.5</v>
      </c>
      <c r="R5" s="7">
        <v>18.5</v>
      </c>
      <c r="S5" s="7">
        <v>147</v>
      </c>
      <c r="T5" s="16">
        <f t="shared" si="1"/>
        <v>22</v>
      </c>
      <c r="U5" s="15">
        <v>145</v>
      </c>
      <c r="V5" s="16">
        <f t="shared" si="2"/>
        <v>3190</v>
      </c>
      <c r="W5" s="15">
        <v>16</v>
      </c>
      <c r="X5" s="15" t="s">
        <v>46</v>
      </c>
      <c r="Y5" s="216" t="s">
        <v>97</v>
      </c>
      <c r="Z5" s="216" t="s">
        <v>55</v>
      </c>
      <c r="AA5" s="216" t="s">
        <v>88</v>
      </c>
      <c r="AB5" s="39" t="s">
        <v>350</v>
      </c>
      <c r="AE5" s="22" t="s">
        <v>51</v>
      </c>
      <c r="AG5" s="49" t="s">
        <v>130</v>
      </c>
      <c r="AH5" s="49" t="s">
        <v>148</v>
      </c>
      <c r="AJ5" s="28"/>
      <c r="AL5" s="29" t="s">
        <v>66</v>
      </c>
      <c r="AN5" s="29" t="s">
        <v>52</v>
      </c>
      <c r="AP5" s="23" t="s">
        <v>119</v>
      </c>
      <c r="AR5" s="41" t="s">
        <v>54</v>
      </c>
      <c r="AV5" s="23" t="s">
        <v>55</v>
      </c>
      <c r="AX5" s="24">
        <v>84</v>
      </c>
      <c r="AY5" s="25">
        <v>39</v>
      </c>
      <c r="AZ5" s="25">
        <v>84</v>
      </c>
      <c r="BA5" s="26">
        <v>36</v>
      </c>
    </row>
    <row r="6" spans="1:53" x14ac:dyDescent="0.15">
      <c r="A6" s="15" t="s">
        <v>347</v>
      </c>
      <c r="B6" s="15" t="s">
        <v>348</v>
      </c>
      <c r="C6" s="15">
        <v>2018</v>
      </c>
      <c r="D6" s="37" t="s">
        <v>352</v>
      </c>
      <c r="E6" s="15" t="s">
        <v>142</v>
      </c>
      <c r="F6" s="7" t="s">
        <v>151</v>
      </c>
      <c r="G6" s="7" t="s">
        <v>36</v>
      </c>
      <c r="H6" s="216" t="s">
        <v>164</v>
      </c>
      <c r="I6" s="208" t="s">
        <v>155</v>
      </c>
      <c r="J6" s="216" t="s">
        <v>38</v>
      </c>
      <c r="K6" s="208" t="s">
        <v>156</v>
      </c>
      <c r="L6" s="7">
        <v>2</v>
      </c>
      <c r="N6" s="7">
        <v>1</v>
      </c>
      <c r="O6" s="7">
        <v>0.5</v>
      </c>
      <c r="P6" s="7">
        <v>0.5</v>
      </c>
      <c r="Q6" s="52">
        <f t="shared" si="0"/>
        <v>0.5</v>
      </c>
      <c r="R6" s="7">
        <v>16.899999999999999</v>
      </c>
      <c r="S6" s="7">
        <v>140</v>
      </c>
      <c r="T6" s="16">
        <f t="shared" si="1"/>
        <v>22</v>
      </c>
      <c r="U6" s="216">
        <v>145</v>
      </c>
      <c r="V6" s="16">
        <f t="shared" si="2"/>
        <v>3190</v>
      </c>
      <c r="W6" s="15">
        <v>16</v>
      </c>
      <c r="X6" s="15" t="s">
        <v>46</v>
      </c>
      <c r="Y6" s="216" t="s">
        <v>97</v>
      </c>
      <c r="Z6" s="216" t="s">
        <v>55</v>
      </c>
      <c r="AA6" s="216" t="s">
        <v>88</v>
      </c>
      <c r="AB6" s="39" t="s">
        <v>350</v>
      </c>
      <c r="AE6" s="22" t="s">
        <v>56</v>
      </c>
      <c r="AG6" s="49" t="s">
        <v>132</v>
      </c>
      <c r="AH6" s="49" t="s">
        <v>149</v>
      </c>
      <c r="AL6" s="29" t="s">
        <v>99</v>
      </c>
      <c r="AN6" s="29" t="s">
        <v>57</v>
      </c>
      <c r="AP6" s="23" t="s">
        <v>53</v>
      </c>
      <c r="AR6" s="41" t="s">
        <v>59</v>
      </c>
      <c r="AV6" s="23" t="s">
        <v>60</v>
      </c>
      <c r="AX6" s="24">
        <v>97</v>
      </c>
      <c r="AY6" s="25">
        <v>36</v>
      </c>
      <c r="AZ6" s="25">
        <v>99</v>
      </c>
      <c r="BA6" s="26">
        <v>33</v>
      </c>
    </row>
    <row r="7" spans="1:53" ht="12" customHeight="1" x14ac:dyDescent="0.15">
      <c r="A7" s="15" t="s">
        <v>347</v>
      </c>
      <c r="B7" s="15" t="s">
        <v>348</v>
      </c>
      <c r="C7" s="15">
        <v>2018</v>
      </c>
      <c r="D7" s="37" t="s">
        <v>352</v>
      </c>
      <c r="E7" s="15" t="s">
        <v>142</v>
      </c>
      <c r="F7" s="7" t="s">
        <v>151</v>
      </c>
      <c r="G7" s="7" t="s">
        <v>36</v>
      </c>
      <c r="H7" s="216" t="s">
        <v>164</v>
      </c>
      <c r="I7" s="208" t="s">
        <v>155</v>
      </c>
      <c r="J7" s="216" t="s">
        <v>38</v>
      </c>
      <c r="K7" s="208" t="s">
        <v>156</v>
      </c>
      <c r="L7" s="7">
        <v>3</v>
      </c>
      <c r="N7" s="7">
        <v>1</v>
      </c>
      <c r="O7" s="7">
        <v>0.55000000000000004</v>
      </c>
      <c r="P7" s="7">
        <v>0.65</v>
      </c>
      <c r="Q7" s="52">
        <f t="shared" si="0"/>
        <v>0.60000000000000009</v>
      </c>
      <c r="R7" s="34">
        <v>17.100000000000001</v>
      </c>
      <c r="S7" s="7">
        <v>148</v>
      </c>
      <c r="T7" s="16">
        <f t="shared" si="1"/>
        <v>22</v>
      </c>
      <c r="U7" s="216">
        <v>145</v>
      </c>
      <c r="V7" s="16">
        <f t="shared" si="2"/>
        <v>3190</v>
      </c>
      <c r="W7" s="15">
        <v>16</v>
      </c>
      <c r="X7" s="15" t="s">
        <v>46</v>
      </c>
      <c r="Y7" s="216" t="s">
        <v>97</v>
      </c>
      <c r="Z7" s="216" t="s">
        <v>55</v>
      </c>
      <c r="AA7" s="216" t="s">
        <v>88</v>
      </c>
      <c r="AB7" s="39" t="s">
        <v>350</v>
      </c>
      <c r="AE7" s="22" t="s">
        <v>61</v>
      </c>
      <c r="AG7" s="49" t="s">
        <v>141</v>
      </c>
      <c r="AH7" s="49" t="s">
        <v>150</v>
      </c>
      <c r="AL7" s="34" t="s">
        <v>109</v>
      </c>
      <c r="AP7" s="23" t="s">
        <v>58</v>
      </c>
      <c r="AR7" s="30" t="s">
        <v>122</v>
      </c>
      <c r="AV7" s="23" t="s">
        <v>64</v>
      </c>
      <c r="AX7" s="24">
        <v>109</v>
      </c>
      <c r="AY7" s="25">
        <v>33</v>
      </c>
      <c r="AZ7" s="25">
        <v>113</v>
      </c>
      <c r="BA7" s="26">
        <v>30</v>
      </c>
    </row>
    <row r="8" spans="1:53" ht="12.75" customHeight="1" x14ac:dyDescent="0.15">
      <c r="A8" s="15" t="s">
        <v>347</v>
      </c>
      <c r="B8" s="15" t="s">
        <v>348</v>
      </c>
      <c r="C8" s="15">
        <v>2018</v>
      </c>
      <c r="D8" s="37" t="s">
        <v>352</v>
      </c>
      <c r="E8" s="15" t="s">
        <v>133</v>
      </c>
      <c r="F8" s="7" t="s">
        <v>152</v>
      </c>
      <c r="G8" s="7" t="s">
        <v>36</v>
      </c>
      <c r="H8" s="15" t="s">
        <v>157</v>
      </c>
      <c r="I8" s="208" t="s">
        <v>155</v>
      </c>
      <c r="J8" s="15" t="s">
        <v>38</v>
      </c>
      <c r="K8" s="7" t="s">
        <v>156</v>
      </c>
      <c r="L8" s="7">
        <v>1</v>
      </c>
      <c r="N8" s="7">
        <v>1</v>
      </c>
      <c r="O8" s="7">
        <v>0.5</v>
      </c>
      <c r="P8" s="7">
        <v>0.5</v>
      </c>
      <c r="Q8" s="52">
        <f t="shared" si="0"/>
        <v>0.5</v>
      </c>
      <c r="R8" s="34">
        <v>14.1</v>
      </c>
      <c r="S8" s="7">
        <v>115</v>
      </c>
      <c r="T8" s="16">
        <f t="shared" si="1"/>
        <v>30</v>
      </c>
      <c r="U8" s="15">
        <v>102</v>
      </c>
      <c r="V8" s="16">
        <f t="shared" si="2"/>
        <v>3060</v>
      </c>
      <c r="W8" s="15">
        <v>6</v>
      </c>
      <c r="X8" s="15" t="s">
        <v>46</v>
      </c>
      <c r="Y8" s="216" t="s">
        <v>86</v>
      </c>
      <c r="Z8" s="216" t="s">
        <v>55</v>
      </c>
      <c r="AA8" s="216" t="s">
        <v>69</v>
      </c>
      <c r="AB8" s="39" t="s">
        <v>350</v>
      </c>
      <c r="AE8" s="22" t="s">
        <v>59</v>
      </c>
      <c r="AG8" s="49" t="s">
        <v>142</v>
      </c>
      <c r="AH8" s="49" t="s">
        <v>151</v>
      </c>
      <c r="AL8" s="34" t="s">
        <v>134</v>
      </c>
      <c r="AP8" s="23" t="s">
        <v>62</v>
      </c>
      <c r="AR8" s="41" t="s">
        <v>81</v>
      </c>
      <c r="AV8" s="23" t="s">
        <v>97</v>
      </c>
      <c r="AX8" s="24">
        <v>119</v>
      </c>
      <c r="AY8" s="25">
        <v>30</v>
      </c>
      <c r="AZ8" s="25">
        <v>121</v>
      </c>
      <c r="BA8" s="26">
        <v>27</v>
      </c>
    </row>
    <row r="9" spans="1:53" x14ac:dyDescent="0.15">
      <c r="A9" s="15" t="s">
        <v>347</v>
      </c>
      <c r="B9" s="15" t="s">
        <v>348</v>
      </c>
      <c r="C9" s="15">
        <v>2018</v>
      </c>
      <c r="D9" s="37" t="s">
        <v>352</v>
      </c>
      <c r="E9" s="15" t="s">
        <v>133</v>
      </c>
      <c r="F9" s="7" t="s">
        <v>152</v>
      </c>
      <c r="G9" s="7" t="s">
        <v>36</v>
      </c>
      <c r="H9" s="216" t="s">
        <v>157</v>
      </c>
      <c r="I9" s="208" t="s">
        <v>155</v>
      </c>
      <c r="J9" s="216" t="s">
        <v>38</v>
      </c>
      <c r="K9" s="208" t="s">
        <v>156</v>
      </c>
      <c r="L9" s="7">
        <v>2</v>
      </c>
      <c r="N9" s="7">
        <v>1</v>
      </c>
      <c r="O9" s="7">
        <v>0.5</v>
      </c>
      <c r="P9" s="7">
        <v>0.5</v>
      </c>
      <c r="Q9" s="52">
        <f t="shared" si="0"/>
        <v>0.5</v>
      </c>
      <c r="R9" s="7">
        <v>13</v>
      </c>
      <c r="S9" s="7">
        <v>118</v>
      </c>
      <c r="T9" s="16">
        <f t="shared" si="1"/>
        <v>30</v>
      </c>
      <c r="U9" s="216">
        <v>102</v>
      </c>
      <c r="V9" s="16">
        <f t="shared" si="2"/>
        <v>3060</v>
      </c>
      <c r="W9" s="15">
        <v>6</v>
      </c>
      <c r="X9" s="15" t="s">
        <v>46</v>
      </c>
      <c r="Y9" s="216" t="s">
        <v>86</v>
      </c>
      <c r="Z9" s="216" t="s">
        <v>55</v>
      </c>
      <c r="AA9" s="216" t="s">
        <v>69</v>
      </c>
      <c r="AB9" s="39" t="s">
        <v>350</v>
      </c>
      <c r="AE9" s="22" t="s">
        <v>98</v>
      </c>
      <c r="AG9" s="49" t="s">
        <v>133</v>
      </c>
      <c r="AH9" s="49" t="s">
        <v>152</v>
      </c>
      <c r="AL9" s="34"/>
      <c r="AP9" s="23" t="s">
        <v>95</v>
      </c>
      <c r="AR9" s="30" t="s">
        <v>89</v>
      </c>
      <c r="AV9" s="23" t="s">
        <v>102</v>
      </c>
      <c r="AX9" s="24">
        <v>128</v>
      </c>
      <c r="AY9" s="25">
        <v>27</v>
      </c>
      <c r="AZ9" s="25">
        <v>129</v>
      </c>
      <c r="BA9" s="26">
        <v>25</v>
      </c>
    </row>
    <row r="10" spans="1:53" x14ac:dyDescent="0.15">
      <c r="A10" s="15" t="s">
        <v>347</v>
      </c>
      <c r="B10" s="15" t="s">
        <v>348</v>
      </c>
      <c r="C10" s="15">
        <v>2018</v>
      </c>
      <c r="D10" s="37" t="s">
        <v>352</v>
      </c>
      <c r="E10" s="15" t="s">
        <v>133</v>
      </c>
      <c r="F10" s="7" t="s">
        <v>152</v>
      </c>
      <c r="G10" s="7" t="s">
        <v>36</v>
      </c>
      <c r="H10" s="216" t="s">
        <v>157</v>
      </c>
      <c r="I10" s="208" t="s">
        <v>155</v>
      </c>
      <c r="J10" s="216" t="s">
        <v>38</v>
      </c>
      <c r="K10" s="208" t="s">
        <v>156</v>
      </c>
      <c r="L10" s="7">
        <v>3</v>
      </c>
      <c r="N10" s="7">
        <v>1</v>
      </c>
      <c r="O10" s="7">
        <v>0.5</v>
      </c>
      <c r="P10" s="7">
        <v>0.5</v>
      </c>
      <c r="Q10" s="52">
        <f t="shared" si="0"/>
        <v>0.5</v>
      </c>
      <c r="R10" s="7">
        <v>14.1</v>
      </c>
      <c r="S10" s="7">
        <v>120</v>
      </c>
      <c r="T10" s="16">
        <f t="shared" si="1"/>
        <v>30</v>
      </c>
      <c r="U10" s="216">
        <v>102</v>
      </c>
      <c r="V10" s="16">
        <f t="shared" si="2"/>
        <v>3060</v>
      </c>
      <c r="W10" s="15">
        <v>6</v>
      </c>
      <c r="X10" s="15" t="s">
        <v>46</v>
      </c>
      <c r="Y10" s="216" t="s">
        <v>86</v>
      </c>
      <c r="Z10" s="216" t="s">
        <v>55</v>
      </c>
      <c r="AA10" s="216" t="s">
        <v>69</v>
      </c>
      <c r="AB10" s="39" t="s">
        <v>350</v>
      </c>
      <c r="AE10" s="22" t="s">
        <v>103</v>
      </c>
      <c r="AG10" s="49" t="s">
        <v>143</v>
      </c>
      <c r="AH10" s="49" t="s">
        <v>153</v>
      </c>
      <c r="AP10" s="23" t="s">
        <v>100</v>
      </c>
      <c r="AR10" s="30" t="s">
        <v>123</v>
      </c>
      <c r="AV10" s="23" t="s">
        <v>106</v>
      </c>
      <c r="AX10" s="24">
        <v>138</v>
      </c>
      <c r="AY10" s="25">
        <v>25</v>
      </c>
      <c r="AZ10" s="25">
        <v>138</v>
      </c>
      <c r="BA10" s="26">
        <v>22</v>
      </c>
    </row>
    <row r="11" spans="1:53" x14ac:dyDescent="0.15">
      <c r="A11" s="15" t="s">
        <v>347</v>
      </c>
      <c r="B11" s="15" t="s">
        <v>348</v>
      </c>
      <c r="C11" s="15">
        <v>2018</v>
      </c>
      <c r="D11" s="37" t="s">
        <v>352</v>
      </c>
      <c r="E11" s="15" t="s">
        <v>133</v>
      </c>
      <c r="F11" s="7" t="s">
        <v>152</v>
      </c>
      <c r="G11" s="7" t="s">
        <v>36</v>
      </c>
      <c r="H11" s="216" t="s">
        <v>164</v>
      </c>
      <c r="I11" s="7" t="s">
        <v>155</v>
      </c>
      <c r="J11" s="15" t="s">
        <v>38</v>
      </c>
      <c r="K11" s="7" t="s">
        <v>156</v>
      </c>
      <c r="L11" s="7">
        <v>1</v>
      </c>
      <c r="N11" s="7">
        <v>1</v>
      </c>
      <c r="O11" s="7">
        <v>0.5</v>
      </c>
      <c r="P11" s="7">
        <v>0.55000000000000004</v>
      </c>
      <c r="Q11" s="52">
        <f t="shared" si="0"/>
        <v>0.52500000000000002</v>
      </c>
      <c r="R11" s="7">
        <v>17.2</v>
      </c>
      <c r="S11" s="7">
        <v>137</v>
      </c>
      <c r="T11" s="16">
        <f t="shared" si="1"/>
        <v>25</v>
      </c>
      <c r="U11" s="7">
        <v>102</v>
      </c>
      <c r="V11" s="16">
        <f t="shared" si="2"/>
        <v>2550</v>
      </c>
      <c r="W11" s="7">
        <v>17</v>
      </c>
      <c r="X11" s="15" t="s">
        <v>46</v>
      </c>
      <c r="Y11" s="216" t="s">
        <v>86</v>
      </c>
      <c r="Z11" s="216" t="s">
        <v>55</v>
      </c>
      <c r="AA11" s="216" t="s">
        <v>69</v>
      </c>
      <c r="AB11" s="39" t="s">
        <v>350</v>
      </c>
      <c r="AE11" s="22" t="s">
        <v>65</v>
      </c>
      <c r="AG11" s="49" t="s">
        <v>144</v>
      </c>
      <c r="AH11" s="49" t="s">
        <v>154</v>
      </c>
      <c r="AP11" s="23" t="s">
        <v>104</v>
      </c>
      <c r="AR11" s="30" t="s">
        <v>87</v>
      </c>
      <c r="AV11" s="23" t="s">
        <v>69</v>
      </c>
      <c r="AX11" s="24">
        <v>151</v>
      </c>
      <c r="AY11" s="25">
        <v>22</v>
      </c>
      <c r="AZ11" s="25">
        <v>152</v>
      </c>
      <c r="BA11" s="26">
        <v>18</v>
      </c>
    </row>
    <row r="12" spans="1:53" x14ac:dyDescent="0.15">
      <c r="A12" s="15" t="s">
        <v>347</v>
      </c>
      <c r="B12" s="15" t="s">
        <v>348</v>
      </c>
      <c r="C12" s="15">
        <v>2018</v>
      </c>
      <c r="D12" s="37" t="s">
        <v>352</v>
      </c>
      <c r="E12" s="15" t="s">
        <v>133</v>
      </c>
      <c r="F12" s="7" t="s">
        <v>152</v>
      </c>
      <c r="G12" s="7" t="s">
        <v>36</v>
      </c>
      <c r="H12" s="216" t="s">
        <v>164</v>
      </c>
      <c r="I12" s="208" t="s">
        <v>155</v>
      </c>
      <c r="J12" s="216" t="s">
        <v>38</v>
      </c>
      <c r="K12" s="208" t="s">
        <v>156</v>
      </c>
      <c r="L12" s="7">
        <v>2</v>
      </c>
      <c r="N12" s="7">
        <v>1</v>
      </c>
      <c r="O12" s="7">
        <v>0.5</v>
      </c>
      <c r="P12" s="7">
        <v>0.55000000000000004</v>
      </c>
      <c r="Q12" s="52">
        <f t="shared" si="0"/>
        <v>0.52500000000000002</v>
      </c>
      <c r="R12" s="34">
        <v>15.8</v>
      </c>
      <c r="S12" s="7">
        <v>135</v>
      </c>
      <c r="T12" s="16">
        <f t="shared" si="1"/>
        <v>25</v>
      </c>
      <c r="U12" s="208">
        <v>102</v>
      </c>
      <c r="V12" s="16">
        <f t="shared" si="2"/>
        <v>2550</v>
      </c>
      <c r="W12" s="7">
        <v>17</v>
      </c>
      <c r="X12" s="15" t="s">
        <v>46</v>
      </c>
      <c r="Y12" s="216" t="s">
        <v>86</v>
      </c>
      <c r="Z12" s="216" t="s">
        <v>55</v>
      </c>
      <c r="AA12" s="216" t="s">
        <v>69</v>
      </c>
      <c r="AB12" s="39" t="s">
        <v>350</v>
      </c>
      <c r="AE12" s="22" t="s">
        <v>70</v>
      </c>
      <c r="AG12" s="40"/>
      <c r="AH12" s="40"/>
      <c r="AP12" s="23" t="s">
        <v>67</v>
      </c>
      <c r="AR12" s="30" t="s">
        <v>124</v>
      </c>
      <c r="AV12" s="23" t="s">
        <v>72</v>
      </c>
      <c r="AX12" s="31">
        <v>180</v>
      </c>
      <c r="AY12" s="32">
        <v>18</v>
      </c>
      <c r="AZ12" s="32">
        <v>181</v>
      </c>
      <c r="BA12" s="33">
        <v>16</v>
      </c>
    </row>
    <row r="13" spans="1:53" x14ac:dyDescent="0.15">
      <c r="A13" s="15" t="s">
        <v>347</v>
      </c>
      <c r="B13" s="15" t="s">
        <v>348</v>
      </c>
      <c r="C13" s="15">
        <v>2018</v>
      </c>
      <c r="D13" s="37" t="s">
        <v>352</v>
      </c>
      <c r="E13" s="15" t="s">
        <v>133</v>
      </c>
      <c r="F13" s="7" t="s">
        <v>152</v>
      </c>
      <c r="G13" s="7" t="s">
        <v>36</v>
      </c>
      <c r="H13" s="216" t="s">
        <v>164</v>
      </c>
      <c r="I13" s="208" t="s">
        <v>155</v>
      </c>
      <c r="J13" s="216" t="s">
        <v>38</v>
      </c>
      <c r="K13" s="208" t="s">
        <v>156</v>
      </c>
      <c r="L13" s="7">
        <v>3</v>
      </c>
      <c r="N13" s="7">
        <v>1</v>
      </c>
      <c r="O13" s="7">
        <v>0.7</v>
      </c>
      <c r="P13" s="7">
        <v>0.7</v>
      </c>
      <c r="Q13" s="52">
        <f t="shared" si="0"/>
        <v>0.7</v>
      </c>
      <c r="R13" s="7">
        <v>17.5</v>
      </c>
      <c r="S13" s="7">
        <v>126</v>
      </c>
      <c r="T13" s="16">
        <f t="shared" si="1"/>
        <v>27</v>
      </c>
      <c r="U13" s="208">
        <v>102</v>
      </c>
      <c r="V13" s="16">
        <f t="shared" si="2"/>
        <v>2754</v>
      </c>
      <c r="W13" s="7">
        <v>17</v>
      </c>
      <c r="X13" s="15" t="s">
        <v>46</v>
      </c>
      <c r="Y13" s="216" t="s">
        <v>86</v>
      </c>
      <c r="Z13" s="216" t="s">
        <v>55</v>
      </c>
      <c r="AA13" s="216" t="s">
        <v>69</v>
      </c>
      <c r="AB13" s="39" t="s">
        <v>350</v>
      </c>
      <c r="AE13" s="22" t="s">
        <v>73</v>
      </c>
      <c r="AG13" s="23"/>
      <c r="AH13" s="23"/>
      <c r="AP13" s="23" t="s">
        <v>71</v>
      </c>
      <c r="AR13" s="30" t="s">
        <v>103</v>
      </c>
      <c r="AV13" s="23" t="s">
        <v>75</v>
      </c>
    </row>
    <row r="14" spans="1:53" x14ac:dyDescent="0.15">
      <c r="A14" s="15" t="s">
        <v>347</v>
      </c>
      <c r="B14" s="15" t="s">
        <v>348</v>
      </c>
      <c r="C14" s="15">
        <v>2018</v>
      </c>
      <c r="D14" s="37" t="s">
        <v>352</v>
      </c>
      <c r="E14" s="15" t="s">
        <v>143</v>
      </c>
      <c r="F14" s="7" t="s">
        <v>153</v>
      </c>
      <c r="G14" s="7" t="s">
        <v>36</v>
      </c>
      <c r="H14" s="15" t="s">
        <v>157</v>
      </c>
      <c r="I14" s="7" t="s">
        <v>155</v>
      </c>
      <c r="J14" s="15" t="s">
        <v>38</v>
      </c>
      <c r="K14" s="7" t="s">
        <v>156</v>
      </c>
      <c r="L14" s="7">
        <v>1</v>
      </c>
      <c r="N14" s="7">
        <v>1</v>
      </c>
      <c r="O14" s="7">
        <v>0.5</v>
      </c>
      <c r="P14" s="7">
        <v>0.5</v>
      </c>
      <c r="Q14" s="52">
        <f t="shared" si="0"/>
        <v>0.5</v>
      </c>
      <c r="R14" s="7">
        <v>12.6</v>
      </c>
      <c r="S14" s="7">
        <v>118</v>
      </c>
      <c r="T14" s="16">
        <f t="shared" si="1"/>
        <v>30</v>
      </c>
      <c r="U14" s="7">
        <v>149</v>
      </c>
      <c r="V14" s="16">
        <f t="shared" si="2"/>
        <v>4470</v>
      </c>
      <c r="W14" s="7">
        <v>6</v>
      </c>
      <c r="X14" s="15" t="s">
        <v>46</v>
      </c>
      <c r="Y14" s="216" t="s">
        <v>55</v>
      </c>
      <c r="Z14" s="216" t="s">
        <v>86</v>
      </c>
      <c r="AA14" s="15" t="s">
        <v>88</v>
      </c>
      <c r="AB14" s="39" t="s">
        <v>350</v>
      </c>
      <c r="AE14" s="22" t="s">
        <v>76</v>
      </c>
      <c r="AG14" s="23"/>
      <c r="AH14" s="23"/>
      <c r="AP14" s="23" t="s">
        <v>74</v>
      </c>
      <c r="AR14" s="30" t="s">
        <v>125</v>
      </c>
      <c r="AV14" s="23" t="s">
        <v>78</v>
      </c>
    </row>
    <row r="15" spans="1:53" x14ac:dyDescent="0.15">
      <c r="A15" s="15" t="s">
        <v>347</v>
      </c>
      <c r="B15" s="15" t="s">
        <v>348</v>
      </c>
      <c r="C15" s="15">
        <v>2018</v>
      </c>
      <c r="D15" s="37" t="s">
        <v>352</v>
      </c>
      <c r="E15" s="15" t="s">
        <v>143</v>
      </c>
      <c r="F15" s="7" t="s">
        <v>153</v>
      </c>
      <c r="G15" s="7" t="s">
        <v>36</v>
      </c>
      <c r="H15" s="216" t="s">
        <v>157</v>
      </c>
      <c r="I15" s="208" t="s">
        <v>155</v>
      </c>
      <c r="J15" s="216" t="s">
        <v>38</v>
      </c>
      <c r="K15" s="208" t="s">
        <v>156</v>
      </c>
      <c r="L15" s="7">
        <v>2</v>
      </c>
      <c r="N15" s="7">
        <v>1</v>
      </c>
      <c r="O15" s="7">
        <v>0.5</v>
      </c>
      <c r="P15" s="7">
        <v>0.5</v>
      </c>
      <c r="Q15" s="52">
        <f t="shared" si="0"/>
        <v>0.5</v>
      </c>
      <c r="R15" s="7">
        <v>15.8</v>
      </c>
      <c r="S15" s="7">
        <v>119</v>
      </c>
      <c r="T15" s="16">
        <f t="shared" si="1"/>
        <v>30</v>
      </c>
      <c r="U15" s="208">
        <v>149</v>
      </c>
      <c r="V15" s="16">
        <f t="shared" si="2"/>
        <v>4470</v>
      </c>
      <c r="W15" s="7">
        <v>6</v>
      </c>
      <c r="X15" s="15" t="s">
        <v>46</v>
      </c>
      <c r="Y15" s="216" t="s">
        <v>55</v>
      </c>
      <c r="Z15" s="216" t="s">
        <v>86</v>
      </c>
      <c r="AA15" s="216" t="s">
        <v>88</v>
      </c>
      <c r="AB15" s="39" t="s">
        <v>350</v>
      </c>
      <c r="AE15" s="22" t="s">
        <v>79</v>
      </c>
      <c r="AG15" s="23"/>
      <c r="AH15" s="23"/>
      <c r="AP15" s="23" t="s">
        <v>77</v>
      </c>
      <c r="AR15" s="30" t="s">
        <v>94</v>
      </c>
      <c r="AV15" s="23" t="s">
        <v>107</v>
      </c>
    </row>
    <row r="16" spans="1:53" x14ac:dyDescent="0.15">
      <c r="A16" s="15" t="s">
        <v>347</v>
      </c>
      <c r="B16" s="15" t="s">
        <v>348</v>
      </c>
      <c r="C16" s="15">
        <v>2018</v>
      </c>
      <c r="D16" s="37" t="s">
        <v>352</v>
      </c>
      <c r="E16" s="15" t="s">
        <v>143</v>
      </c>
      <c r="F16" s="7" t="s">
        <v>153</v>
      </c>
      <c r="G16" s="7" t="s">
        <v>36</v>
      </c>
      <c r="H16" s="216" t="s">
        <v>157</v>
      </c>
      <c r="I16" s="208" t="s">
        <v>155</v>
      </c>
      <c r="J16" s="216" t="s">
        <v>38</v>
      </c>
      <c r="K16" s="208" t="s">
        <v>156</v>
      </c>
      <c r="L16" s="7">
        <v>3</v>
      </c>
      <c r="N16" s="7">
        <v>1</v>
      </c>
      <c r="O16" s="7">
        <v>0.5</v>
      </c>
      <c r="P16" s="7">
        <v>0.5</v>
      </c>
      <c r="Q16" s="52">
        <f t="shared" si="0"/>
        <v>0.5</v>
      </c>
      <c r="R16" s="7">
        <v>14.8</v>
      </c>
      <c r="S16" s="7">
        <v>117</v>
      </c>
      <c r="T16" s="16">
        <f t="shared" si="1"/>
        <v>30</v>
      </c>
      <c r="U16" s="208">
        <v>149</v>
      </c>
      <c r="V16" s="16">
        <f t="shared" si="2"/>
        <v>4470</v>
      </c>
      <c r="W16" s="7">
        <v>6</v>
      </c>
      <c r="X16" s="15" t="s">
        <v>46</v>
      </c>
      <c r="Y16" s="216" t="s">
        <v>55</v>
      </c>
      <c r="Z16" s="216" t="s">
        <v>86</v>
      </c>
      <c r="AA16" s="216" t="s">
        <v>88</v>
      </c>
      <c r="AB16" s="39" t="s">
        <v>350</v>
      </c>
      <c r="AE16" s="22" t="s">
        <v>82</v>
      </c>
      <c r="AG16" s="28"/>
      <c r="AH16" s="28"/>
      <c r="AP16" s="23" t="s">
        <v>80</v>
      </c>
      <c r="AR16" s="41" t="s">
        <v>63</v>
      </c>
      <c r="AV16" s="23" t="s">
        <v>84</v>
      </c>
    </row>
    <row r="17" spans="1:48" x14ac:dyDescent="0.15">
      <c r="A17" s="15" t="s">
        <v>347</v>
      </c>
      <c r="B17" s="15" t="s">
        <v>348</v>
      </c>
      <c r="C17" s="15">
        <v>2018</v>
      </c>
      <c r="D17" s="37" t="s">
        <v>352</v>
      </c>
      <c r="E17" s="15" t="s">
        <v>143</v>
      </c>
      <c r="F17" s="7" t="s">
        <v>153</v>
      </c>
      <c r="G17" s="7" t="s">
        <v>36</v>
      </c>
      <c r="H17" s="15" t="s">
        <v>164</v>
      </c>
      <c r="I17" s="208" t="s">
        <v>155</v>
      </c>
      <c r="J17" s="216" t="s">
        <v>38</v>
      </c>
      <c r="K17" s="208" t="s">
        <v>156</v>
      </c>
      <c r="L17" s="7">
        <v>1</v>
      </c>
      <c r="N17" s="7">
        <v>1</v>
      </c>
      <c r="O17" s="7">
        <v>0.5</v>
      </c>
      <c r="P17" s="7">
        <v>0.5</v>
      </c>
      <c r="Q17" s="52">
        <f t="shared" si="0"/>
        <v>0.5</v>
      </c>
      <c r="R17" s="7">
        <v>14.7</v>
      </c>
      <c r="S17" s="7">
        <v>144</v>
      </c>
      <c r="T17" s="16">
        <f t="shared" si="1"/>
        <v>22</v>
      </c>
      <c r="U17" s="7">
        <v>170</v>
      </c>
      <c r="V17" s="16">
        <f t="shared" si="2"/>
        <v>3740</v>
      </c>
      <c r="W17" s="7">
        <v>4</v>
      </c>
      <c r="X17" s="15" t="s">
        <v>46</v>
      </c>
      <c r="Y17" s="216" t="s">
        <v>55</v>
      </c>
      <c r="Z17" s="216" t="s">
        <v>86</v>
      </c>
      <c r="AA17" s="216" t="s">
        <v>88</v>
      </c>
      <c r="AB17" s="39" t="s">
        <v>350</v>
      </c>
      <c r="AE17" s="22" t="s">
        <v>85</v>
      </c>
      <c r="AP17" s="43" t="s">
        <v>110</v>
      </c>
      <c r="AR17" s="41" t="s">
        <v>96</v>
      </c>
      <c r="AV17" s="23" t="s">
        <v>86</v>
      </c>
    </row>
    <row r="18" spans="1:48" x14ac:dyDescent="0.15">
      <c r="A18" s="15" t="s">
        <v>347</v>
      </c>
      <c r="B18" s="15" t="s">
        <v>348</v>
      </c>
      <c r="C18" s="15">
        <v>2018</v>
      </c>
      <c r="D18" s="37" t="s">
        <v>352</v>
      </c>
      <c r="E18" s="15" t="s">
        <v>143</v>
      </c>
      <c r="F18" s="7" t="s">
        <v>153</v>
      </c>
      <c r="G18" s="7" t="s">
        <v>36</v>
      </c>
      <c r="H18" s="216" t="s">
        <v>164</v>
      </c>
      <c r="I18" s="208" t="s">
        <v>155</v>
      </c>
      <c r="J18" s="216" t="s">
        <v>38</v>
      </c>
      <c r="K18" s="208" t="s">
        <v>156</v>
      </c>
      <c r="L18" s="7">
        <v>2</v>
      </c>
      <c r="N18" s="7">
        <v>1</v>
      </c>
      <c r="O18" s="7">
        <v>0.5</v>
      </c>
      <c r="P18" s="7">
        <v>0.5</v>
      </c>
      <c r="Q18" s="52">
        <f t="shared" si="0"/>
        <v>0.5</v>
      </c>
      <c r="R18" s="7">
        <v>14.5</v>
      </c>
      <c r="S18" s="7">
        <v>137</v>
      </c>
      <c r="T18" s="16">
        <f t="shared" si="1"/>
        <v>25</v>
      </c>
      <c r="U18" s="208">
        <v>170</v>
      </c>
      <c r="V18" s="16">
        <f t="shared" si="2"/>
        <v>4250</v>
      </c>
      <c r="W18" s="7">
        <v>4</v>
      </c>
      <c r="X18" s="15" t="s">
        <v>46</v>
      </c>
      <c r="Y18" s="216" t="s">
        <v>55</v>
      </c>
      <c r="Z18" s="216" t="s">
        <v>86</v>
      </c>
      <c r="AA18" s="216" t="s">
        <v>88</v>
      </c>
      <c r="AB18" s="39" t="s">
        <v>350</v>
      </c>
      <c r="AE18" s="22" t="s">
        <v>87</v>
      </c>
      <c r="AP18" s="43" t="s">
        <v>111</v>
      </c>
      <c r="AR18" s="41" t="s">
        <v>101</v>
      </c>
      <c r="AV18" s="23" t="s">
        <v>88</v>
      </c>
    </row>
    <row r="19" spans="1:48" x14ac:dyDescent="0.15">
      <c r="A19" s="15" t="s">
        <v>347</v>
      </c>
      <c r="B19" s="15" t="s">
        <v>348</v>
      </c>
      <c r="C19" s="15">
        <v>2018</v>
      </c>
      <c r="D19" s="37" t="s">
        <v>352</v>
      </c>
      <c r="E19" s="15" t="s">
        <v>143</v>
      </c>
      <c r="F19" s="7" t="s">
        <v>153</v>
      </c>
      <c r="G19" s="7" t="s">
        <v>36</v>
      </c>
      <c r="H19" s="216" t="s">
        <v>164</v>
      </c>
      <c r="I19" s="208" t="s">
        <v>155</v>
      </c>
      <c r="J19" s="216" t="s">
        <v>38</v>
      </c>
      <c r="K19" s="208" t="s">
        <v>156</v>
      </c>
      <c r="L19" s="7">
        <v>3</v>
      </c>
      <c r="N19" s="7">
        <v>1</v>
      </c>
      <c r="O19" s="7">
        <v>0.5</v>
      </c>
      <c r="P19" s="7">
        <v>0.55000000000000004</v>
      </c>
      <c r="Q19" s="52">
        <f t="shared" si="0"/>
        <v>0.52500000000000002</v>
      </c>
      <c r="R19" s="7">
        <v>15.2</v>
      </c>
      <c r="S19" s="7">
        <v>137</v>
      </c>
      <c r="T19" s="16">
        <f t="shared" si="1"/>
        <v>25</v>
      </c>
      <c r="U19" s="208">
        <v>170</v>
      </c>
      <c r="V19" s="16">
        <f t="shared" si="2"/>
        <v>4250</v>
      </c>
      <c r="W19" s="7">
        <v>4</v>
      </c>
      <c r="X19" s="15" t="s">
        <v>46</v>
      </c>
      <c r="Y19" s="216" t="s">
        <v>55</v>
      </c>
      <c r="Z19" s="216" t="s">
        <v>86</v>
      </c>
      <c r="AA19" s="216" t="s">
        <v>88</v>
      </c>
      <c r="AB19" s="39" t="s">
        <v>350</v>
      </c>
      <c r="AE19" s="35" t="s">
        <v>89</v>
      </c>
      <c r="AP19" s="43" t="s">
        <v>112</v>
      </c>
      <c r="AR19" s="30" t="s">
        <v>126</v>
      </c>
      <c r="AV19" s="23" t="s">
        <v>90</v>
      </c>
    </row>
    <row r="20" spans="1:48" x14ac:dyDescent="0.15">
      <c r="A20" s="15" t="s">
        <v>347</v>
      </c>
      <c r="B20" s="15" t="s">
        <v>348</v>
      </c>
      <c r="C20" s="15">
        <v>2018</v>
      </c>
      <c r="D20" s="37" t="s">
        <v>352</v>
      </c>
      <c r="E20" s="15" t="s">
        <v>144</v>
      </c>
      <c r="F20" s="7" t="s">
        <v>154</v>
      </c>
      <c r="G20" s="7" t="s">
        <v>36</v>
      </c>
      <c r="H20" s="15" t="s">
        <v>157</v>
      </c>
      <c r="I20" s="208" t="s">
        <v>155</v>
      </c>
      <c r="J20" s="15" t="s">
        <v>38</v>
      </c>
      <c r="K20" s="7" t="s">
        <v>156</v>
      </c>
      <c r="L20" s="7">
        <v>1</v>
      </c>
      <c r="N20" s="7">
        <v>1</v>
      </c>
      <c r="O20" s="7">
        <v>0.6</v>
      </c>
      <c r="P20" s="34">
        <v>0.75</v>
      </c>
      <c r="Q20" s="52">
        <f t="shared" si="0"/>
        <v>0.67500000000000004</v>
      </c>
      <c r="R20" s="7">
        <v>13.6</v>
      </c>
      <c r="S20" s="7">
        <v>118</v>
      </c>
      <c r="T20" s="16">
        <f t="shared" si="1"/>
        <v>30</v>
      </c>
      <c r="U20" s="7">
        <v>105</v>
      </c>
      <c r="V20" s="16">
        <f t="shared" si="2"/>
        <v>3150</v>
      </c>
      <c r="W20" s="7">
        <v>3</v>
      </c>
      <c r="X20" s="15" t="s">
        <v>46</v>
      </c>
      <c r="Y20" s="216" t="s">
        <v>55</v>
      </c>
      <c r="Z20" s="216" t="s">
        <v>86</v>
      </c>
      <c r="AA20" s="15" t="s">
        <v>97</v>
      </c>
      <c r="AB20" s="39" t="s">
        <v>350</v>
      </c>
      <c r="AE20" s="22"/>
      <c r="AP20" s="43" t="s">
        <v>113</v>
      </c>
      <c r="AR20" s="41" t="s">
        <v>105</v>
      </c>
      <c r="AV20" s="27" t="s">
        <v>135</v>
      </c>
    </row>
    <row r="21" spans="1:48" x14ac:dyDescent="0.15">
      <c r="A21" s="15" t="s">
        <v>347</v>
      </c>
      <c r="B21" s="15" t="s">
        <v>348</v>
      </c>
      <c r="C21" s="15">
        <v>2018</v>
      </c>
      <c r="D21" s="37" t="s">
        <v>352</v>
      </c>
      <c r="E21" s="15" t="s">
        <v>144</v>
      </c>
      <c r="F21" s="7" t="s">
        <v>154</v>
      </c>
      <c r="G21" s="7" t="s">
        <v>36</v>
      </c>
      <c r="H21" s="216" t="s">
        <v>157</v>
      </c>
      <c r="I21" s="208" t="s">
        <v>155</v>
      </c>
      <c r="J21" s="216" t="s">
        <v>38</v>
      </c>
      <c r="K21" s="208" t="s">
        <v>156</v>
      </c>
      <c r="L21" s="7">
        <v>2</v>
      </c>
      <c r="N21" s="7">
        <v>1</v>
      </c>
      <c r="O21" s="7">
        <v>0.6</v>
      </c>
      <c r="P21" s="7">
        <v>0.7</v>
      </c>
      <c r="Q21" s="52">
        <f t="shared" si="0"/>
        <v>0.64999999999999991</v>
      </c>
      <c r="R21" s="7">
        <v>15.4</v>
      </c>
      <c r="S21" s="7">
        <v>123</v>
      </c>
      <c r="T21" s="16">
        <f t="shared" si="1"/>
        <v>27</v>
      </c>
      <c r="U21" s="208">
        <v>105</v>
      </c>
      <c r="V21" s="16">
        <f t="shared" si="2"/>
        <v>2835</v>
      </c>
      <c r="W21" s="7">
        <v>3</v>
      </c>
      <c r="X21" s="15" t="s">
        <v>46</v>
      </c>
      <c r="Y21" s="216" t="s">
        <v>55</v>
      </c>
      <c r="Z21" s="216" t="s">
        <v>86</v>
      </c>
      <c r="AA21" s="216" t="s">
        <v>97</v>
      </c>
      <c r="AB21" s="39" t="s">
        <v>350</v>
      </c>
      <c r="AE21" s="22"/>
      <c r="AP21" s="43" t="s">
        <v>114</v>
      </c>
      <c r="AR21" s="41" t="s">
        <v>68</v>
      </c>
      <c r="AV21" s="27" t="s">
        <v>136</v>
      </c>
    </row>
    <row r="22" spans="1:48" x14ac:dyDescent="0.15">
      <c r="A22" s="15" t="s">
        <v>347</v>
      </c>
      <c r="B22" s="15" t="s">
        <v>348</v>
      </c>
      <c r="C22" s="15">
        <v>2018</v>
      </c>
      <c r="D22" s="37" t="s">
        <v>352</v>
      </c>
      <c r="E22" s="15" t="s">
        <v>144</v>
      </c>
      <c r="F22" s="7" t="s">
        <v>154</v>
      </c>
      <c r="G22" s="7" t="s">
        <v>36</v>
      </c>
      <c r="H22" s="216" t="s">
        <v>157</v>
      </c>
      <c r="I22" s="208" t="s">
        <v>155</v>
      </c>
      <c r="J22" s="216" t="s">
        <v>38</v>
      </c>
      <c r="K22" s="208" t="s">
        <v>156</v>
      </c>
      <c r="L22" s="7">
        <v>3</v>
      </c>
      <c r="N22" s="7">
        <v>1</v>
      </c>
      <c r="O22" s="34">
        <v>0.7</v>
      </c>
      <c r="P22" s="7">
        <v>0.75</v>
      </c>
      <c r="Q22" s="52">
        <f t="shared" si="0"/>
        <v>0.72499999999999998</v>
      </c>
      <c r="R22" s="7">
        <v>16.399999999999999</v>
      </c>
      <c r="S22" s="7">
        <v>118</v>
      </c>
      <c r="T22" s="16">
        <f t="shared" si="1"/>
        <v>30</v>
      </c>
      <c r="U22" s="208">
        <v>105</v>
      </c>
      <c r="V22" s="16">
        <f t="shared" si="2"/>
        <v>3150</v>
      </c>
      <c r="W22" s="7">
        <v>3</v>
      </c>
      <c r="X22" s="15" t="s">
        <v>46</v>
      </c>
      <c r="Y22" s="216" t="s">
        <v>55</v>
      </c>
      <c r="Z22" s="216" t="s">
        <v>86</v>
      </c>
      <c r="AA22" s="216" t="s">
        <v>97</v>
      </c>
      <c r="AB22" s="39" t="s">
        <v>350</v>
      </c>
      <c r="AE22" s="35"/>
      <c r="AP22" s="43" t="s">
        <v>115</v>
      </c>
      <c r="AR22" s="41" t="s">
        <v>83</v>
      </c>
      <c r="AV22" s="27"/>
    </row>
    <row r="23" spans="1:48" x14ac:dyDescent="0.15">
      <c r="A23" s="15" t="s">
        <v>347</v>
      </c>
      <c r="B23" s="15" t="s">
        <v>348</v>
      </c>
      <c r="C23" s="15">
        <v>2018</v>
      </c>
      <c r="D23" s="37" t="s">
        <v>352</v>
      </c>
      <c r="E23" s="7" t="s">
        <v>144</v>
      </c>
      <c r="F23" s="7" t="s">
        <v>154</v>
      </c>
      <c r="G23" s="7" t="s">
        <v>36</v>
      </c>
      <c r="H23" s="15" t="s">
        <v>164</v>
      </c>
      <c r="I23" s="208" t="s">
        <v>155</v>
      </c>
      <c r="J23" s="15" t="s">
        <v>38</v>
      </c>
      <c r="K23" s="7" t="s">
        <v>156</v>
      </c>
      <c r="L23" s="7">
        <v>1</v>
      </c>
      <c r="N23" s="7">
        <v>1</v>
      </c>
      <c r="O23" s="34">
        <v>0.75</v>
      </c>
      <c r="P23" s="7">
        <v>0.75</v>
      </c>
      <c r="Q23" s="52">
        <f t="shared" si="0"/>
        <v>0.75</v>
      </c>
      <c r="R23" s="7">
        <v>18.600000000000001</v>
      </c>
      <c r="S23" s="7">
        <v>137</v>
      </c>
      <c r="T23" s="16">
        <f t="shared" si="1"/>
        <v>25</v>
      </c>
      <c r="U23" s="7">
        <v>149</v>
      </c>
      <c r="V23" s="16">
        <f t="shared" si="2"/>
        <v>3725</v>
      </c>
      <c r="W23" s="7">
        <v>4</v>
      </c>
      <c r="X23" s="15" t="s">
        <v>46</v>
      </c>
      <c r="Y23" s="216" t="s">
        <v>55</v>
      </c>
      <c r="Z23" s="216" t="s">
        <v>86</v>
      </c>
      <c r="AA23" s="216" t="s">
        <v>97</v>
      </c>
      <c r="AB23" s="39" t="s">
        <v>350</v>
      </c>
      <c r="AE23" s="22"/>
      <c r="AP23" s="43" t="s">
        <v>137</v>
      </c>
      <c r="AR23" s="41" t="s">
        <v>61</v>
      </c>
      <c r="AV23" s="27"/>
    </row>
    <row r="24" spans="1:48" x14ac:dyDescent="0.15">
      <c r="A24" s="15" t="s">
        <v>347</v>
      </c>
      <c r="B24" s="15" t="s">
        <v>348</v>
      </c>
      <c r="C24" s="15">
        <v>2018</v>
      </c>
      <c r="D24" s="37" t="s">
        <v>352</v>
      </c>
      <c r="E24" s="7" t="s">
        <v>144</v>
      </c>
      <c r="F24" s="7" t="s">
        <v>154</v>
      </c>
      <c r="G24" s="7" t="s">
        <v>36</v>
      </c>
      <c r="H24" s="216" t="s">
        <v>164</v>
      </c>
      <c r="I24" s="208" t="s">
        <v>155</v>
      </c>
      <c r="J24" s="15" t="s">
        <v>38</v>
      </c>
      <c r="K24" s="7" t="s">
        <v>156</v>
      </c>
      <c r="L24" s="7">
        <v>2</v>
      </c>
      <c r="N24" s="7">
        <v>1</v>
      </c>
      <c r="O24" s="7">
        <v>0.6</v>
      </c>
      <c r="P24" s="7">
        <v>0.65</v>
      </c>
      <c r="Q24" s="52">
        <f t="shared" si="0"/>
        <v>0.625</v>
      </c>
      <c r="R24" s="7">
        <v>19.5</v>
      </c>
      <c r="S24" s="7">
        <v>137</v>
      </c>
      <c r="T24" s="16">
        <f t="shared" si="1"/>
        <v>25</v>
      </c>
      <c r="U24" s="208">
        <v>149</v>
      </c>
      <c r="V24" s="16">
        <f t="shared" si="2"/>
        <v>3725</v>
      </c>
      <c r="W24" s="7">
        <v>4</v>
      </c>
      <c r="X24" s="15" t="s">
        <v>46</v>
      </c>
      <c r="Y24" s="216" t="s">
        <v>55</v>
      </c>
      <c r="Z24" s="216" t="s">
        <v>86</v>
      </c>
      <c r="AA24" s="216" t="s">
        <v>97</v>
      </c>
      <c r="AB24" s="39" t="s">
        <v>350</v>
      </c>
      <c r="AE24" s="22"/>
      <c r="AP24" s="43" t="s">
        <v>138</v>
      </c>
      <c r="AR24" s="41" t="s">
        <v>91</v>
      </c>
      <c r="AV24" s="27"/>
    </row>
    <row r="25" spans="1:48" x14ac:dyDescent="0.15">
      <c r="A25" s="15" t="s">
        <v>347</v>
      </c>
      <c r="B25" s="15" t="s">
        <v>348</v>
      </c>
      <c r="C25" s="15">
        <v>2018</v>
      </c>
      <c r="D25" s="37" t="s">
        <v>352</v>
      </c>
      <c r="E25" s="7" t="s">
        <v>144</v>
      </c>
      <c r="F25" s="7" t="s">
        <v>154</v>
      </c>
      <c r="G25" s="7" t="s">
        <v>36</v>
      </c>
      <c r="H25" s="216" t="s">
        <v>164</v>
      </c>
      <c r="I25" s="208" t="s">
        <v>155</v>
      </c>
      <c r="J25" s="15" t="s">
        <v>38</v>
      </c>
      <c r="K25" s="7" t="s">
        <v>156</v>
      </c>
      <c r="L25" s="7">
        <v>3</v>
      </c>
      <c r="N25" s="7">
        <v>1</v>
      </c>
      <c r="O25" s="7">
        <v>0.8</v>
      </c>
      <c r="P25" s="7">
        <v>0.9</v>
      </c>
      <c r="Q25" s="52">
        <f t="shared" si="0"/>
        <v>0.85000000000000009</v>
      </c>
      <c r="R25" s="7">
        <v>18.100000000000001</v>
      </c>
      <c r="S25" s="7">
        <v>136</v>
      </c>
      <c r="T25" s="16">
        <f t="shared" si="1"/>
        <v>25</v>
      </c>
      <c r="U25" s="208">
        <v>149</v>
      </c>
      <c r="V25" s="16">
        <f t="shared" si="2"/>
        <v>3725</v>
      </c>
      <c r="W25" s="7">
        <v>4</v>
      </c>
      <c r="X25" s="15" t="s">
        <v>46</v>
      </c>
      <c r="Y25" s="216" t="s">
        <v>55</v>
      </c>
      <c r="Z25" s="216" t="s">
        <v>86</v>
      </c>
      <c r="AA25" s="216" t="s">
        <v>97</v>
      </c>
      <c r="AB25" s="39" t="s">
        <v>350</v>
      </c>
      <c r="AE25" s="35"/>
      <c r="AP25" s="43" t="s">
        <v>116</v>
      </c>
      <c r="AR25" s="42" t="s">
        <v>92</v>
      </c>
      <c r="AV25" s="27"/>
    </row>
    <row r="26" spans="1:48" x14ac:dyDescent="0.15">
      <c r="A26" s="15" t="s">
        <v>347</v>
      </c>
      <c r="B26" s="15" t="s">
        <v>348</v>
      </c>
      <c r="C26" s="15">
        <v>2018</v>
      </c>
      <c r="D26" s="37" t="s">
        <v>352</v>
      </c>
      <c r="E26" s="7" t="s">
        <v>131</v>
      </c>
      <c r="F26" s="7" t="s">
        <v>145</v>
      </c>
      <c r="G26" s="7" t="s">
        <v>36</v>
      </c>
      <c r="H26" s="15" t="s">
        <v>157</v>
      </c>
      <c r="I26" s="208" t="s">
        <v>155</v>
      </c>
      <c r="J26" s="15" t="s">
        <v>38</v>
      </c>
      <c r="K26" s="7" t="s">
        <v>156</v>
      </c>
      <c r="L26" s="7">
        <v>1</v>
      </c>
      <c r="N26" s="7">
        <v>1</v>
      </c>
      <c r="O26" s="7">
        <v>0.5</v>
      </c>
      <c r="P26" s="7">
        <v>0.55000000000000004</v>
      </c>
      <c r="Q26" s="52">
        <f t="shared" si="0"/>
        <v>0.52500000000000002</v>
      </c>
      <c r="R26" s="7">
        <v>16</v>
      </c>
      <c r="S26" s="7">
        <v>155</v>
      </c>
      <c r="T26" s="16">
        <f t="shared" si="1"/>
        <v>18</v>
      </c>
      <c r="U26" s="7">
        <v>107</v>
      </c>
      <c r="V26" s="16">
        <f t="shared" si="2"/>
        <v>1926</v>
      </c>
      <c r="W26" s="7">
        <v>3</v>
      </c>
      <c r="X26" s="15" t="s">
        <v>46</v>
      </c>
      <c r="Y26" s="216" t="s">
        <v>86</v>
      </c>
      <c r="Z26" s="216" t="s">
        <v>55</v>
      </c>
      <c r="AA26" s="216" t="s">
        <v>88</v>
      </c>
      <c r="AB26" s="39" t="s">
        <v>350</v>
      </c>
      <c r="AE26" s="35"/>
      <c r="AP26" s="43" t="s">
        <v>117</v>
      </c>
      <c r="AR26" s="23" t="s">
        <v>299</v>
      </c>
      <c r="AV26" s="28"/>
    </row>
    <row r="27" spans="1:48" x14ac:dyDescent="0.15">
      <c r="A27" s="15" t="s">
        <v>347</v>
      </c>
      <c r="B27" s="15" t="s">
        <v>348</v>
      </c>
      <c r="C27" s="15">
        <v>2018</v>
      </c>
      <c r="D27" s="37" t="s">
        <v>352</v>
      </c>
      <c r="E27" s="7" t="s">
        <v>131</v>
      </c>
      <c r="F27" s="7" t="s">
        <v>145</v>
      </c>
      <c r="G27" s="7" t="s">
        <v>36</v>
      </c>
      <c r="H27" s="216" t="s">
        <v>157</v>
      </c>
      <c r="I27" s="208" t="s">
        <v>155</v>
      </c>
      <c r="J27" s="15" t="s">
        <v>38</v>
      </c>
      <c r="K27" s="7" t="s">
        <v>156</v>
      </c>
      <c r="L27" s="7">
        <v>2</v>
      </c>
      <c r="N27" s="7">
        <v>1</v>
      </c>
      <c r="O27" s="7">
        <v>0.65</v>
      </c>
      <c r="P27" s="7">
        <v>0.5</v>
      </c>
      <c r="Q27" s="52">
        <f t="shared" si="0"/>
        <v>0.57499999999999996</v>
      </c>
      <c r="R27" s="7">
        <v>15.3</v>
      </c>
      <c r="S27" s="7">
        <v>164</v>
      </c>
      <c r="T27" s="16">
        <f t="shared" si="1"/>
        <v>18</v>
      </c>
      <c r="U27" s="208">
        <v>107</v>
      </c>
      <c r="V27" s="16">
        <f t="shared" si="2"/>
        <v>1926</v>
      </c>
      <c r="W27" s="7">
        <v>3</v>
      </c>
      <c r="X27" s="15" t="s">
        <v>46</v>
      </c>
      <c r="Y27" s="216" t="s">
        <v>86</v>
      </c>
      <c r="Z27" s="216" t="s">
        <v>55</v>
      </c>
      <c r="AA27" s="216" t="s">
        <v>88</v>
      </c>
      <c r="AB27" s="39" t="s">
        <v>350</v>
      </c>
      <c r="AE27" s="28"/>
      <c r="AP27" s="43" t="s">
        <v>118</v>
      </c>
      <c r="AR27" s="23"/>
    </row>
    <row r="28" spans="1:48" x14ac:dyDescent="0.15">
      <c r="A28" s="15" t="s">
        <v>347</v>
      </c>
      <c r="B28" s="15" t="s">
        <v>348</v>
      </c>
      <c r="C28" s="15">
        <v>2018</v>
      </c>
      <c r="D28" s="37" t="s">
        <v>352</v>
      </c>
      <c r="E28" s="7" t="s">
        <v>131</v>
      </c>
      <c r="F28" s="7" t="s">
        <v>145</v>
      </c>
      <c r="G28" s="7" t="s">
        <v>36</v>
      </c>
      <c r="H28" s="216" t="s">
        <v>157</v>
      </c>
      <c r="I28" s="208" t="s">
        <v>155</v>
      </c>
      <c r="J28" s="15" t="s">
        <v>38</v>
      </c>
      <c r="K28" s="7" t="s">
        <v>156</v>
      </c>
      <c r="L28" s="7">
        <v>3</v>
      </c>
      <c r="N28" s="7">
        <v>1</v>
      </c>
      <c r="O28" s="7">
        <v>0.6</v>
      </c>
      <c r="P28" s="7">
        <v>0.7</v>
      </c>
      <c r="Q28" s="52">
        <f t="shared" si="0"/>
        <v>0.64999999999999991</v>
      </c>
      <c r="R28" s="7">
        <v>13.7</v>
      </c>
      <c r="S28" s="7">
        <v>164</v>
      </c>
      <c r="T28" s="16">
        <f t="shared" si="1"/>
        <v>18</v>
      </c>
      <c r="U28" s="208">
        <v>107</v>
      </c>
      <c r="V28" s="16">
        <f t="shared" si="2"/>
        <v>1926</v>
      </c>
      <c r="W28" s="7">
        <v>3</v>
      </c>
      <c r="X28" s="15" t="s">
        <v>46</v>
      </c>
      <c r="Y28" s="216" t="s">
        <v>86</v>
      </c>
      <c r="Z28" s="216" t="s">
        <v>55</v>
      </c>
      <c r="AA28" s="216" t="s">
        <v>88</v>
      </c>
      <c r="AB28" s="39" t="s">
        <v>350</v>
      </c>
      <c r="AP28" s="27"/>
      <c r="AR28" s="23"/>
    </row>
    <row r="29" spans="1:48" x14ac:dyDescent="0.15">
      <c r="A29" s="15" t="s">
        <v>347</v>
      </c>
      <c r="B29" s="15" t="s">
        <v>348</v>
      </c>
      <c r="C29" s="15">
        <v>2018</v>
      </c>
      <c r="D29" s="37" t="s">
        <v>352</v>
      </c>
      <c r="E29" s="7" t="s">
        <v>131</v>
      </c>
      <c r="F29" s="7" t="s">
        <v>145</v>
      </c>
      <c r="G29" s="7" t="s">
        <v>36</v>
      </c>
      <c r="H29" s="15" t="s">
        <v>164</v>
      </c>
      <c r="I29" s="208" t="s">
        <v>155</v>
      </c>
      <c r="J29" s="15" t="s">
        <v>38</v>
      </c>
      <c r="K29" s="7" t="s">
        <v>156</v>
      </c>
      <c r="L29" s="7">
        <v>1</v>
      </c>
      <c r="N29" s="7">
        <v>1</v>
      </c>
      <c r="O29" s="7">
        <v>0.5</v>
      </c>
      <c r="P29" s="7">
        <v>0.55000000000000004</v>
      </c>
      <c r="Q29" s="52">
        <f t="shared" si="0"/>
        <v>0.52500000000000002</v>
      </c>
      <c r="R29" s="7">
        <v>19.600000000000001</v>
      </c>
      <c r="S29" s="7">
        <v>133</v>
      </c>
      <c r="T29" s="16">
        <f t="shared" si="1"/>
        <v>25</v>
      </c>
      <c r="U29" s="7">
        <v>149</v>
      </c>
      <c r="V29" s="16">
        <f t="shared" si="2"/>
        <v>3725</v>
      </c>
      <c r="W29" s="7">
        <v>8</v>
      </c>
      <c r="X29" s="15" t="s">
        <v>46</v>
      </c>
      <c r="Y29" s="216" t="s">
        <v>86</v>
      </c>
      <c r="Z29" s="216" t="s">
        <v>55</v>
      </c>
      <c r="AA29" s="216" t="s">
        <v>88</v>
      </c>
      <c r="AB29" s="39" t="s">
        <v>350</v>
      </c>
      <c r="AP29" s="27"/>
      <c r="AR29" s="27"/>
      <c r="AV29" s="28"/>
    </row>
    <row r="30" spans="1:48" x14ac:dyDescent="0.15">
      <c r="A30" s="15" t="s">
        <v>347</v>
      </c>
      <c r="B30" s="15" t="s">
        <v>348</v>
      </c>
      <c r="C30" s="15">
        <v>2018</v>
      </c>
      <c r="D30" s="37" t="s">
        <v>352</v>
      </c>
      <c r="E30" s="7" t="s">
        <v>131</v>
      </c>
      <c r="F30" s="7" t="s">
        <v>145</v>
      </c>
      <c r="G30" s="7" t="s">
        <v>36</v>
      </c>
      <c r="H30" s="216" t="s">
        <v>164</v>
      </c>
      <c r="I30" s="208" t="s">
        <v>155</v>
      </c>
      <c r="J30" s="15" t="s">
        <v>38</v>
      </c>
      <c r="K30" s="7" t="s">
        <v>156</v>
      </c>
      <c r="L30" s="7">
        <v>2</v>
      </c>
      <c r="N30" s="7">
        <v>1</v>
      </c>
      <c r="O30" s="7">
        <v>0.55000000000000004</v>
      </c>
      <c r="P30" s="7">
        <v>0.5</v>
      </c>
      <c r="Q30" s="52">
        <f t="shared" si="0"/>
        <v>0.52500000000000002</v>
      </c>
      <c r="R30" s="7">
        <v>18.899999999999999</v>
      </c>
      <c r="S30" s="7">
        <v>131</v>
      </c>
      <c r="T30" s="16">
        <f t="shared" si="1"/>
        <v>25</v>
      </c>
      <c r="U30" s="208">
        <v>149</v>
      </c>
      <c r="V30" s="16">
        <f t="shared" si="2"/>
        <v>3725</v>
      </c>
      <c r="W30" s="7">
        <v>8</v>
      </c>
      <c r="X30" s="15" t="s">
        <v>46</v>
      </c>
      <c r="Y30" s="216" t="s">
        <v>86</v>
      </c>
      <c r="Z30" s="216" t="s">
        <v>55</v>
      </c>
      <c r="AA30" s="216" t="s">
        <v>88</v>
      </c>
      <c r="AB30" s="39" t="s">
        <v>350</v>
      </c>
      <c r="AP30" s="27"/>
      <c r="AR30" s="27"/>
    </row>
    <row r="31" spans="1:48" x14ac:dyDescent="0.15">
      <c r="A31" s="15" t="s">
        <v>347</v>
      </c>
      <c r="B31" s="15" t="s">
        <v>348</v>
      </c>
      <c r="C31" s="15">
        <v>2018</v>
      </c>
      <c r="D31" s="37" t="s">
        <v>352</v>
      </c>
      <c r="E31" s="7" t="s">
        <v>131</v>
      </c>
      <c r="F31" s="7" t="s">
        <v>145</v>
      </c>
      <c r="G31" s="7" t="s">
        <v>36</v>
      </c>
      <c r="H31" s="216" t="s">
        <v>164</v>
      </c>
      <c r="I31" s="208" t="s">
        <v>155</v>
      </c>
      <c r="J31" s="15" t="s">
        <v>38</v>
      </c>
      <c r="K31" s="7" t="s">
        <v>156</v>
      </c>
      <c r="L31" s="7">
        <v>3</v>
      </c>
      <c r="N31" s="7">
        <v>1</v>
      </c>
      <c r="O31" s="7">
        <v>0.5</v>
      </c>
      <c r="P31" s="7">
        <v>0.5</v>
      </c>
      <c r="Q31" s="52">
        <f t="shared" si="0"/>
        <v>0.5</v>
      </c>
      <c r="R31" s="7">
        <v>17.100000000000001</v>
      </c>
      <c r="S31" s="7">
        <v>131</v>
      </c>
      <c r="T31" s="16">
        <f t="shared" si="1"/>
        <v>25</v>
      </c>
      <c r="U31" s="208">
        <v>149</v>
      </c>
      <c r="V31" s="16">
        <f t="shared" si="2"/>
        <v>3725</v>
      </c>
      <c r="W31" s="7">
        <v>8</v>
      </c>
      <c r="X31" s="15" t="s">
        <v>46</v>
      </c>
      <c r="Y31" s="216" t="s">
        <v>86</v>
      </c>
      <c r="Z31" s="216" t="s">
        <v>55</v>
      </c>
      <c r="AA31" s="216" t="s">
        <v>88</v>
      </c>
      <c r="AB31" s="39" t="s">
        <v>350</v>
      </c>
      <c r="AP31" s="27"/>
      <c r="AR31" s="27"/>
    </row>
    <row r="32" spans="1:48" x14ac:dyDescent="0.15">
      <c r="A32" s="15" t="s">
        <v>347</v>
      </c>
      <c r="B32" s="15" t="s">
        <v>348</v>
      </c>
      <c r="C32" s="15">
        <v>2018</v>
      </c>
      <c r="D32" s="37" t="s">
        <v>352</v>
      </c>
      <c r="E32" s="7" t="s">
        <v>131</v>
      </c>
      <c r="F32" s="7" t="s">
        <v>145</v>
      </c>
      <c r="G32" s="7" t="s">
        <v>36</v>
      </c>
      <c r="H32" s="15" t="s">
        <v>164</v>
      </c>
      <c r="I32" s="208" t="s">
        <v>158</v>
      </c>
      <c r="J32" s="15" t="s">
        <v>38</v>
      </c>
      <c r="K32" s="7" t="s">
        <v>156</v>
      </c>
      <c r="L32" s="7">
        <v>1</v>
      </c>
      <c r="N32" s="7">
        <v>1</v>
      </c>
      <c r="O32" s="7">
        <v>0.5</v>
      </c>
      <c r="P32" s="7">
        <v>0.5</v>
      </c>
      <c r="Q32" s="52">
        <f t="shared" si="0"/>
        <v>0.5</v>
      </c>
      <c r="R32" s="7">
        <v>19.899999999999999</v>
      </c>
      <c r="S32" s="7">
        <v>187</v>
      </c>
      <c r="T32" s="16">
        <f t="shared" si="1"/>
        <v>16</v>
      </c>
      <c r="U32" s="7">
        <v>171</v>
      </c>
      <c r="V32" s="16">
        <f t="shared" si="2"/>
        <v>2736</v>
      </c>
      <c r="W32" s="7">
        <v>1</v>
      </c>
      <c r="X32" s="15" t="s">
        <v>46</v>
      </c>
      <c r="Y32" s="216" t="s">
        <v>86</v>
      </c>
      <c r="Z32" s="216" t="s">
        <v>55</v>
      </c>
      <c r="AA32" s="216" t="s">
        <v>88</v>
      </c>
      <c r="AB32" s="39" t="s">
        <v>350</v>
      </c>
      <c r="AP32" s="28"/>
      <c r="AR32" s="28"/>
    </row>
    <row r="33" spans="1:44" x14ac:dyDescent="0.15">
      <c r="A33" s="15" t="s">
        <v>347</v>
      </c>
      <c r="B33" s="15" t="s">
        <v>348</v>
      </c>
      <c r="C33" s="15">
        <v>2018</v>
      </c>
      <c r="D33" s="37" t="s">
        <v>352</v>
      </c>
      <c r="E33" s="7" t="s">
        <v>131</v>
      </c>
      <c r="F33" s="7" t="s">
        <v>145</v>
      </c>
      <c r="G33" s="7" t="s">
        <v>36</v>
      </c>
      <c r="H33" s="216" t="s">
        <v>164</v>
      </c>
      <c r="I33" s="208" t="s">
        <v>158</v>
      </c>
      <c r="J33" s="15" t="s">
        <v>38</v>
      </c>
      <c r="K33" s="7" t="s">
        <v>156</v>
      </c>
      <c r="L33" s="7">
        <v>2</v>
      </c>
      <c r="N33" s="7">
        <v>1</v>
      </c>
      <c r="O33" s="7">
        <v>0.5</v>
      </c>
      <c r="P33" s="7">
        <v>0.5</v>
      </c>
      <c r="Q33" s="52">
        <f t="shared" si="0"/>
        <v>0.5</v>
      </c>
      <c r="R33" s="7">
        <v>20</v>
      </c>
      <c r="S33" s="7">
        <v>178</v>
      </c>
      <c r="T33" s="16">
        <f t="shared" si="1"/>
        <v>18</v>
      </c>
      <c r="U33" s="208">
        <v>171</v>
      </c>
      <c r="V33" s="16">
        <f t="shared" si="2"/>
        <v>3078</v>
      </c>
      <c r="W33" s="7">
        <v>1</v>
      </c>
      <c r="X33" s="15" t="s">
        <v>46</v>
      </c>
      <c r="Y33" s="216" t="s">
        <v>86</v>
      </c>
      <c r="Z33" s="216" t="s">
        <v>55</v>
      </c>
      <c r="AA33" s="216" t="s">
        <v>88</v>
      </c>
      <c r="AB33" s="39" t="s">
        <v>350</v>
      </c>
    </row>
    <row r="34" spans="1:44" x14ac:dyDescent="0.15">
      <c r="A34" s="15" t="s">
        <v>347</v>
      </c>
      <c r="B34" s="15" t="s">
        <v>348</v>
      </c>
      <c r="C34" s="15">
        <v>2018</v>
      </c>
      <c r="D34" s="37" t="s">
        <v>352</v>
      </c>
      <c r="E34" s="7" t="s">
        <v>131</v>
      </c>
      <c r="F34" s="7" t="s">
        <v>145</v>
      </c>
      <c r="G34" s="7" t="s">
        <v>36</v>
      </c>
      <c r="H34" s="216" t="s">
        <v>164</v>
      </c>
      <c r="I34" s="208" t="s">
        <v>158</v>
      </c>
      <c r="J34" s="15" t="s">
        <v>38</v>
      </c>
      <c r="K34" s="7" t="s">
        <v>156</v>
      </c>
      <c r="L34" s="7">
        <v>3</v>
      </c>
      <c r="N34" s="7">
        <v>1</v>
      </c>
      <c r="O34" s="7">
        <v>0.5</v>
      </c>
      <c r="P34" s="7">
        <v>0.5</v>
      </c>
      <c r="Q34" s="52">
        <f t="shared" si="0"/>
        <v>0.5</v>
      </c>
      <c r="R34" s="7">
        <v>19.8</v>
      </c>
      <c r="S34" s="7">
        <v>181</v>
      </c>
      <c r="T34" s="16">
        <f t="shared" si="1"/>
        <v>16</v>
      </c>
      <c r="U34" s="208">
        <v>171</v>
      </c>
      <c r="V34" s="16">
        <f t="shared" si="2"/>
        <v>2736</v>
      </c>
      <c r="W34" s="7">
        <v>1</v>
      </c>
      <c r="X34" s="15" t="s">
        <v>46</v>
      </c>
      <c r="Y34" s="216" t="s">
        <v>86</v>
      </c>
      <c r="Z34" s="216" t="s">
        <v>55</v>
      </c>
      <c r="AA34" s="216" t="s">
        <v>88</v>
      </c>
      <c r="AB34" s="39" t="s">
        <v>350</v>
      </c>
    </row>
    <row r="35" spans="1:44" x14ac:dyDescent="0.15">
      <c r="A35" s="15" t="s">
        <v>347</v>
      </c>
      <c r="B35" s="15" t="s">
        <v>348</v>
      </c>
      <c r="C35" s="15">
        <v>2018</v>
      </c>
      <c r="D35" s="37" t="s">
        <v>352</v>
      </c>
      <c r="E35" s="7" t="s">
        <v>139</v>
      </c>
      <c r="F35" s="7" t="s">
        <v>146</v>
      </c>
      <c r="G35" s="7" t="s">
        <v>36</v>
      </c>
      <c r="H35" s="216" t="s">
        <v>157</v>
      </c>
      <c r="I35" s="208" t="s">
        <v>155</v>
      </c>
      <c r="J35" s="15" t="s">
        <v>38</v>
      </c>
      <c r="K35" s="7" t="s">
        <v>156</v>
      </c>
      <c r="L35" s="7">
        <v>1</v>
      </c>
      <c r="N35" s="7">
        <v>1</v>
      </c>
      <c r="O35" s="7">
        <v>0.5</v>
      </c>
      <c r="P35" s="7">
        <v>0.5</v>
      </c>
      <c r="Q35" s="52">
        <f t="shared" si="0"/>
        <v>0.5</v>
      </c>
      <c r="R35" s="7">
        <v>13.8</v>
      </c>
      <c r="S35" s="7">
        <v>108</v>
      </c>
      <c r="T35" s="16">
        <f t="shared" si="1"/>
        <v>33</v>
      </c>
      <c r="U35" s="7">
        <v>100</v>
      </c>
      <c r="V35" s="16">
        <f t="shared" si="2"/>
        <v>3300</v>
      </c>
      <c r="W35" s="7">
        <v>6</v>
      </c>
      <c r="X35" s="15" t="s">
        <v>46</v>
      </c>
      <c r="Y35" s="216" t="s">
        <v>86</v>
      </c>
      <c r="Z35" s="216" t="s">
        <v>97</v>
      </c>
      <c r="AA35" s="216" t="s">
        <v>55</v>
      </c>
      <c r="AB35" s="39" t="s">
        <v>350</v>
      </c>
      <c r="AP35" s="28"/>
      <c r="AR35" s="28"/>
    </row>
    <row r="36" spans="1:44" x14ac:dyDescent="0.15">
      <c r="A36" s="15" t="s">
        <v>347</v>
      </c>
      <c r="B36" s="15" t="s">
        <v>348</v>
      </c>
      <c r="C36" s="15">
        <v>2018</v>
      </c>
      <c r="D36" s="37" t="s">
        <v>352</v>
      </c>
      <c r="E36" s="7" t="s">
        <v>139</v>
      </c>
      <c r="F36" s="7" t="s">
        <v>146</v>
      </c>
      <c r="G36" s="7" t="s">
        <v>36</v>
      </c>
      <c r="H36" s="216" t="s">
        <v>157</v>
      </c>
      <c r="I36" s="208" t="s">
        <v>155</v>
      </c>
      <c r="J36" s="15" t="s">
        <v>38</v>
      </c>
      <c r="K36" s="7" t="s">
        <v>156</v>
      </c>
      <c r="L36" s="7">
        <v>2</v>
      </c>
      <c r="N36" s="7">
        <v>1</v>
      </c>
      <c r="O36" s="7">
        <v>0.6</v>
      </c>
      <c r="P36" s="7">
        <v>0.75</v>
      </c>
      <c r="Q36" s="52">
        <f t="shared" si="0"/>
        <v>0.67500000000000004</v>
      </c>
      <c r="R36" s="7">
        <v>14.4</v>
      </c>
      <c r="S36" s="7">
        <v>114</v>
      </c>
      <c r="T36" s="16">
        <f t="shared" si="1"/>
        <v>30</v>
      </c>
      <c r="U36" s="208">
        <v>100</v>
      </c>
      <c r="V36" s="16">
        <f t="shared" si="2"/>
        <v>3000</v>
      </c>
      <c r="W36" s="7">
        <v>6</v>
      </c>
      <c r="X36" s="15" t="s">
        <v>46</v>
      </c>
      <c r="Y36" s="216" t="s">
        <v>86</v>
      </c>
      <c r="Z36" s="216" t="s">
        <v>97</v>
      </c>
      <c r="AA36" s="216" t="s">
        <v>55</v>
      </c>
      <c r="AB36" s="39" t="s">
        <v>350</v>
      </c>
    </row>
    <row r="37" spans="1:44" x14ac:dyDescent="0.15">
      <c r="A37" s="15" t="s">
        <v>347</v>
      </c>
      <c r="B37" s="15" t="s">
        <v>348</v>
      </c>
      <c r="C37" s="15">
        <v>2018</v>
      </c>
      <c r="D37" s="37" t="s">
        <v>352</v>
      </c>
      <c r="E37" s="7" t="s">
        <v>139</v>
      </c>
      <c r="F37" s="7" t="s">
        <v>146</v>
      </c>
      <c r="G37" s="7" t="s">
        <v>36</v>
      </c>
      <c r="H37" s="216" t="s">
        <v>157</v>
      </c>
      <c r="I37" s="208" t="s">
        <v>155</v>
      </c>
      <c r="J37" s="15" t="s">
        <v>38</v>
      </c>
      <c r="K37" s="7" t="s">
        <v>156</v>
      </c>
      <c r="L37" s="7">
        <v>3</v>
      </c>
      <c r="N37" s="7">
        <v>1</v>
      </c>
      <c r="O37" s="34">
        <v>0.65</v>
      </c>
      <c r="P37" s="34">
        <v>0.75</v>
      </c>
      <c r="Q37" s="52">
        <f t="shared" si="0"/>
        <v>0.7</v>
      </c>
      <c r="R37" s="7">
        <v>15.5</v>
      </c>
      <c r="S37" s="7">
        <v>113</v>
      </c>
      <c r="T37" s="16">
        <f t="shared" si="1"/>
        <v>30</v>
      </c>
      <c r="U37" s="208">
        <v>100</v>
      </c>
      <c r="V37" s="16">
        <f t="shared" si="2"/>
        <v>3000</v>
      </c>
      <c r="W37" s="7">
        <v>6</v>
      </c>
      <c r="X37" s="15" t="s">
        <v>46</v>
      </c>
      <c r="Y37" s="216" t="s">
        <v>86</v>
      </c>
      <c r="Z37" s="216" t="s">
        <v>97</v>
      </c>
      <c r="AA37" s="216" t="s">
        <v>55</v>
      </c>
      <c r="AB37" s="39" t="s">
        <v>350</v>
      </c>
    </row>
    <row r="38" spans="1:44" x14ac:dyDescent="0.15">
      <c r="A38" s="15" t="s">
        <v>347</v>
      </c>
      <c r="B38" s="15" t="s">
        <v>348</v>
      </c>
      <c r="C38" s="15">
        <v>2018</v>
      </c>
      <c r="D38" s="37" t="s">
        <v>352</v>
      </c>
      <c r="E38" s="7" t="s">
        <v>139</v>
      </c>
      <c r="F38" s="7" t="s">
        <v>146</v>
      </c>
      <c r="G38" s="7" t="s">
        <v>36</v>
      </c>
      <c r="H38" s="216" t="s">
        <v>164</v>
      </c>
      <c r="I38" s="7" t="s">
        <v>155</v>
      </c>
      <c r="J38" s="216" t="s">
        <v>38</v>
      </c>
      <c r="K38" s="208" t="s">
        <v>156</v>
      </c>
      <c r="L38" s="7">
        <v>1</v>
      </c>
      <c r="N38" s="7">
        <v>1</v>
      </c>
      <c r="O38" s="34">
        <v>0.5</v>
      </c>
      <c r="P38" s="34">
        <v>0.5</v>
      </c>
      <c r="Q38" s="52">
        <f t="shared" si="0"/>
        <v>0.5</v>
      </c>
      <c r="R38" s="7">
        <v>17</v>
      </c>
      <c r="S38" s="7">
        <v>132</v>
      </c>
      <c r="T38" s="16">
        <f t="shared" si="1"/>
        <v>25</v>
      </c>
      <c r="U38" s="7">
        <v>100</v>
      </c>
      <c r="V38" s="16">
        <f t="shared" si="2"/>
        <v>2500</v>
      </c>
      <c r="W38" s="7">
        <v>15</v>
      </c>
      <c r="X38" s="15" t="s">
        <v>46</v>
      </c>
      <c r="Y38" s="216" t="s">
        <v>86</v>
      </c>
      <c r="Z38" s="216" t="s">
        <v>97</v>
      </c>
      <c r="AA38" s="216" t="s">
        <v>55</v>
      </c>
      <c r="AB38" s="39" t="s">
        <v>350</v>
      </c>
    </row>
    <row r="39" spans="1:44" x14ac:dyDescent="0.15">
      <c r="A39" s="15" t="s">
        <v>347</v>
      </c>
      <c r="B39" s="15" t="s">
        <v>348</v>
      </c>
      <c r="C39" s="15">
        <v>2018</v>
      </c>
      <c r="D39" s="37" t="s">
        <v>352</v>
      </c>
      <c r="E39" s="7" t="s">
        <v>139</v>
      </c>
      <c r="F39" s="7" t="s">
        <v>146</v>
      </c>
      <c r="G39" s="7" t="s">
        <v>36</v>
      </c>
      <c r="H39" s="216" t="s">
        <v>164</v>
      </c>
      <c r="I39" s="208" t="s">
        <v>155</v>
      </c>
      <c r="J39" s="216" t="s">
        <v>38</v>
      </c>
      <c r="K39" s="208" t="s">
        <v>156</v>
      </c>
      <c r="L39" s="7">
        <v>2</v>
      </c>
      <c r="N39" s="7">
        <v>1</v>
      </c>
      <c r="O39" s="7">
        <v>0.6</v>
      </c>
      <c r="P39" s="7">
        <v>0.7</v>
      </c>
      <c r="Q39" s="52">
        <f t="shared" si="0"/>
        <v>0.64999999999999991</v>
      </c>
      <c r="R39" s="34">
        <v>14.4</v>
      </c>
      <c r="S39" s="7">
        <v>137</v>
      </c>
      <c r="T39" s="16">
        <f t="shared" si="1"/>
        <v>25</v>
      </c>
      <c r="U39" s="208">
        <v>100</v>
      </c>
      <c r="V39" s="16">
        <f t="shared" si="2"/>
        <v>2500</v>
      </c>
      <c r="W39" s="7">
        <v>15</v>
      </c>
      <c r="X39" s="15" t="s">
        <v>46</v>
      </c>
      <c r="Y39" s="216" t="s">
        <v>86</v>
      </c>
      <c r="Z39" s="216" t="s">
        <v>97</v>
      </c>
      <c r="AA39" s="216" t="s">
        <v>55</v>
      </c>
      <c r="AB39" s="39" t="s">
        <v>350</v>
      </c>
    </row>
    <row r="40" spans="1:44" x14ac:dyDescent="0.15">
      <c r="A40" s="15" t="s">
        <v>347</v>
      </c>
      <c r="B40" s="15" t="s">
        <v>348</v>
      </c>
      <c r="C40" s="15">
        <v>2018</v>
      </c>
      <c r="D40" s="37" t="s">
        <v>352</v>
      </c>
      <c r="E40" s="7" t="s">
        <v>139</v>
      </c>
      <c r="F40" s="7" t="s">
        <v>146</v>
      </c>
      <c r="G40" s="7" t="s">
        <v>36</v>
      </c>
      <c r="H40" s="216" t="s">
        <v>164</v>
      </c>
      <c r="I40" s="208" t="s">
        <v>155</v>
      </c>
      <c r="J40" s="216" t="s">
        <v>38</v>
      </c>
      <c r="K40" s="208" t="s">
        <v>156</v>
      </c>
      <c r="L40" s="7">
        <v>3</v>
      </c>
      <c r="N40" s="7">
        <v>1</v>
      </c>
      <c r="O40" s="7">
        <v>0.5</v>
      </c>
      <c r="P40" s="7">
        <v>0.5</v>
      </c>
      <c r="Q40" s="52">
        <f t="shared" si="0"/>
        <v>0.5</v>
      </c>
      <c r="R40" s="7">
        <v>15.3</v>
      </c>
      <c r="S40" s="7">
        <v>127</v>
      </c>
      <c r="T40" s="16">
        <f t="shared" si="1"/>
        <v>27</v>
      </c>
      <c r="U40" s="208">
        <v>100</v>
      </c>
      <c r="V40" s="16">
        <f t="shared" si="2"/>
        <v>2700</v>
      </c>
      <c r="W40" s="7">
        <v>15</v>
      </c>
      <c r="X40" s="15" t="s">
        <v>46</v>
      </c>
      <c r="Y40" s="216" t="s">
        <v>86</v>
      </c>
      <c r="Z40" s="216" t="s">
        <v>97</v>
      </c>
      <c r="AA40" s="216" t="s">
        <v>55</v>
      </c>
      <c r="AB40" s="39" t="s">
        <v>350</v>
      </c>
    </row>
    <row r="41" spans="1:44" ht="12.75" customHeight="1" x14ac:dyDescent="0.15">
      <c r="A41" s="15" t="s">
        <v>347</v>
      </c>
      <c r="B41" s="15" t="s">
        <v>348</v>
      </c>
      <c r="C41" s="15">
        <v>2018</v>
      </c>
      <c r="D41" s="37" t="s">
        <v>352</v>
      </c>
      <c r="E41" s="7" t="s">
        <v>140</v>
      </c>
      <c r="F41" s="7" t="s">
        <v>147</v>
      </c>
      <c r="G41" s="7" t="s">
        <v>36</v>
      </c>
      <c r="H41" s="15" t="s">
        <v>157</v>
      </c>
      <c r="I41" s="7" t="s">
        <v>155</v>
      </c>
      <c r="J41" s="15" t="s">
        <v>38</v>
      </c>
      <c r="K41" s="7" t="s">
        <v>156</v>
      </c>
      <c r="L41" s="7">
        <v>1</v>
      </c>
      <c r="N41" s="7">
        <v>1</v>
      </c>
      <c r="O41" s="7">
        <v>0.5</v>
      </c>
      <c r="P41" s="7">
        <v>0.6</v>
      </c>
      <c r="Q41" s="52">
        <f t="shared" si="0"/>
        <v>0.55000000000000004</v>
      </c>
      <c r="R41" s="7">
        <v>16.3</v>
      </c>
      <c r="S41" s="7">
        <v>138</v>
      </c>
      <c r="T41" s="16">
        <f t="shared" si="1"/>
        <v>22</v>
      </c>
      <c r="U41" s="7">
        <v>129</v>
      </c>
      <c r="V41" s="16">
        <f t="shared" si="2"/>
        <v>2838</v>
      </c>
      <c r="W41" s="7">
        <v>4</v>
      </c>
      <c r="X41" s="15" t="s">
        <v>46</v>
      </c>
      <c r="Y41" s="216" t="s">
        <v>97</v>
      </c>
      <c r="Z41" s="216" t="s">
        <v>86</v>
      </c>
      <c r="AA41" s="216" t="s">
        <v>88</v>
      </c>
      <c r="AB41" s="39" t="s">
        <v>350</v>
      </c>
    </row>
    <row r="42" spans="1:44" x14ac:dyDescent="0.15">
      <c r="A42" s="15" t="s">
        <v>347</v>
      </c>
      <c r="B42" s="15" t="s">
        <v>348</v>
      </c>
      <c r="C42" s="15">
        <v>2018</v>
      </c>
      <c r="D42" s="37" t="s">
        <v>352</v>
      </c>
      <c r="E42" s="7" t="s">
        <v>140</v>
      </c>
      <c r="F42" s="7" t="s">
        <v>147</v>
      </c>
      <c r="G42" s="7" t="s">
        <v>36</v>
      </c>
      <c r="H42" s="216" t="s">
        <v>157</v>
      </c>
      <c r="I42" s="208" t="s">
        <v>155</v>
      </c>
      <c r="J42" s="15" t="s">
        <v>38</v>
      </c>
      <c r="K42" s="7" t="s">
        <v>156</v>
      </c>
      <c r="L42" s="7">
        <v>2</v>
      </c>
      <c r="N42" s="7">
        <v>1</v>
      </c>
      <c r="O42" s="7">
        <v>0.55000000000000004</v>
      </c>
      <c r="P42" s="7">
        <v>0.55000000000000004</v>
      </c>
      <c r="Q42" s="52">
        <f t="shared" si="0"/>
        <v>0.55000000000000004</v>
      </c>
      <c r="R42" s="7">
        <v>16.2</v>
      </c>
      <c r="S42" s="7">
        <v>137</v>
      </c>
      <c r="T42" s="16">
        <f t="shared" si="1"/>
        <v>25</v>
      </c>
      <c r="U42" s="208">
        <v>129</v>
      </c>
      <c r="V42" s="16">
        <f t="shared" si="2"/>
        <v>3225</v>
      </c>
      <c r="W42" s="7">
        <v>4</v>
      </c>
      <c r="X42" s="15" t="s">
        <v>46</v>
      </c>
      <c r="Y42" s="216" t="s">
        <v>97</v>
      </c>
      <c r="Z42" s="216" t="s">
        <v>86</v>
      </c>
      <c r="AA42" s="216" t="s">
        <v>88</v>
      </c>
      <c r="AB42" s="39" t="s">
        <v>350</v>
      </c>
    </row>
    <row r="43" spans="1:44" x14ac:dyDescent="0.15">
      <c r="A43" s="15" t="s">
        <v>347</v>
      </c>
      <c r="B43" s="15" t="s">
        <v>348</v>
      </c>
      <c r="C43" s="15">
        <v>2018</v>
      </c>
      <c r="D43" s="37" t="s">
        <v>352</v>
      </c>
      <c r="E43" s="7" t="s">
        <v>140</v>
      </c>
      <c r="F43" s="7" t="s">
        <v>147</v>
      </c>
      <c r="G43" s="7" t="s">
        <v>36</v>
      </c>
      <c r="H43" s="216" t="s">
        <v>157</v>
      </c>
      <c r="I43" s="208" t="s">
        <v>155</v>
      </c>
      <c r="J43" s="15" t="s">
        <v>38</v>
      </c>
      <c r="K43" s="7" t="s">
        <v>156</v>
      </c>
      <c r="L43" s="7">
        <v>3</v>
      </c>
      <c r="N43" s="7">
        <v>1</v>
      </c>
      <c r="O43" s="7">
        <v>0.65</v>
      </c>
      <c r="P43" s="7">
        <v>0.5</v>
      </c>
      <c r="Q43" s="52">
        <f t="shared" si="0"/>
        <v>0.57499999999999996</v>
      </c>
      <c r="R43" s="7">
        <v>16.100000000000001</v>
      </c>
      <c r="S43" s="7">
        <v>137</v>
      </c>
      <c r="T43" s="16">
        <f t="shared" si="1"/>
        <v>25</v>
      </c>
      <c r="U43" s="208">
        <v>129</v>
      </c>
      <c r="V43" s="16">
        <f t="shared" si="2"/>
        <v>3225</v>
      </c>
      <c r="W43" s="7">
        <v>4</v>
      </c>
      <c r="X43" s="15" t="s">
        <v>46</v>
      </c>
      <c r="Y43" s="216" t="s">
        <v>97</v>
      </c>
      <c r="Z43" s="216" t="s">
        <v>86</v>
      </c>
      <c r="AA43" s="216" t="s">
        <v>88</v>
      </c>
      <c r="AB43" s="39" t="s">
        <v>350</v>
      </c>
    </row>
    <row r="44" spans="1:44" x14ac:dyDescent="0.15">
      <c r="A44" s="15" t="s">
        <v>347</v>
      </c>
      <c r="B44" s="15" t="s">
        <v>348</v>
      </c>
      <c r="C44" s="15">
        <v>2018</v>
      </c>
      <c r="D44" s="37" t="s">
        <v>352</v>
      </c>
      <c r="E44" s="7" t="s">
        <v>140</v>
      </c>
      <c r="F44" s="7" t="s">
        <v>147</v>
      </c>
      <c r="G44" s="7" t="s">
        <v>36</v>
      </c>
      <c r="H44" s="15" t="s">
        <v>164</v>
      </c>
      <c r="I44" s="208" t="s">
        <v>155</v>
      </c>
      <c r="J44" s="15" t="s">
        <v>38</v>
      </c>
      <c r="K44" s="7" t="s">
        <v>156</v>
      </c>
      <c r="L44" s="7">
        <v>1</v>
      </c>
      <c r="N44" s="7">
        <v>1</v>
      </c>
      <c r="O44" s="7">
        <v>0.5</v>
      </c>
      <c r="P44" s="7">
        <v>0.5</v>
      </c>
      <c r="Q44" s="52">
        <f t="shared" si="0"/>
        <v>0.5</v>
      </c>
      <c r="R44" s="7">
        <v>17.3</v>
      </c>
      <c r="S44" s="7">
        <v>165</v>
      </c>
      <c r="T44" s="16">
        <f t="shared" si="1"/>
        <v>18</v>
      </c>
      <c r="U44" s="7">
        <v>129</v>
      </c>
      <c r="V44" s="16">
        <f t="shared" si="2"/>
        <v>2322</v>
      </c>
      <c r="W44" s="7">
        <v>4</v>
      </c>
      <c r="X44" s="15" t="s">
        <v>46</v>
      </c>
      <c r="Y44" s="216" t="s">
        <v>97</v>
      </c>
      <c r="Z44" s="216" t="s">
        <v>86</v>
      </c>
      <c r="AA44" s="216" t="s">
        <v>88</v>
      </c>
      <c r="AB44" s="39" t="s">
        <v>350</v>
      </c>
    </row>
    <row r="45" spans="1:44" x14ac:dyDescent="0.15">
      <c r="A45" s="15" t="s">
        <v>347</v>
      </c>
      <c r="B45" s="15" t="s">
        <v>348</v>
      </c>
      <c r="C45" s="15">
        <v>2018</v>
      </c>
      <c r="D45" s="37" t="s">
        <v>352</v>
      </c>
      <c r="E45" s="7" t="s">
        <v>140</v>
      </c>
      <c r="F45" s="7" t="s">
        <v>147</v>
      </c>
      <c r="G45" s="7" t="s">
        <v>36</v>
      </c>
      <c r="H45" s="216" t="s">
        <v>164</v>
      </c>
      <c r="I45" s="208" t="s">
        <v>155</v>
      </c>
      <c r="J45" s="15" t="s">
        <v>38</v>
      </c>
      <c r="K45" s="7" t="s">
        <v>156</v>
      </c>
      <c r="L45" s="7">
        <v>2</v>
      </c>
      <c r="N45" s="7">
        <v>1</v>
      </c>
      <c r="O45" s="7">
        <v>0.5</v>
      </c>
      <c r="P45" s="7">
        <v>0.5</v>
      </c>
      <c r="Q45" s="52">
        <f t="shared" si="0"/>
        <v>0.5</v>
      </c>
      <c r="R45" s="7">
        <v>19.399999999999999</v>
      </c>
      <c r="S45" s="7">
        <v>174</v>
      </c>
      <c r="T45" s="16">
        <f t="shared" si="1"/>
        <v>18</v>
      </c>
      <c r="U45" s="208">
        <v>129</v>
      </c>
      <c r="V45" s="16">
        <f t="shared" si="2"/>
        <v>2322</v>
      </c>
      <c r="W45" s="7">
        <v>4</v>
      </c>
      <c r="X45" s="15" t="s">
        <v>46</v>
      </c>
      <c r="Y45" s="216" t="s">
        <v>97</v>
      </c>
      <c r="Z45" s="216" t="s">
        <v>86</v>
      </c>
      <c r="AA45" s="216" t="s">
        <v>88</v>
      </c>
      <c r="AB45" s="39" t="s">
        <v>350</v>
      </c>
    </row>
    <row r="46" spans="1:44" x14ac:dyDescent="0.15">
      <c r="A46" s="15" t="s">
        <v>347</v>
      </c>
      <c r="B46" s="15" t="s">
        <v>348</v>
      </c>
      <c r="C46" s="15">
        <v>2018</v>
      </c>
      <c r="D46" s="37" t="s">
        <v>352</v>
      </c>
      <c r="E46" s="7" t="s">
        <v>140</v>
      </c>
      <c r="F46" s="7" t="s">
        <v>147</v>
      </c>
      <c r="G46" s="7" t="s">
        <v>36</v>
      </c>
      <c r="H46" s="216" t="s">
        <v>164</v>
      </c>
      <c r="I46" s="208" t="s">
        <v>155</v>
      </c>
      <c r="J46" s="15" t="s">
        <v>38</v>
      </c>
      <c r="K46" s="7" t="s">
        <v>156</v>
      </c>
      <c r="L46" s="7">
        <v>3</v>
      </c>
      <c r="N46" s="7">
        <v>1</v>
      </c>
      <c r="O46" s="7">
        <v>0.5</v>
      </c>
      <c r="P46" s="34">
        <v>0.55000000000000004</v>
      </c>
      <c r="Q46" s="52">
        <f t="shared" si="0"/>
        <v>0.52500000000000002</v>
      </c>
      <c r="R46" s="7">
        <v>17.2</v>
      </c>
      <c r="S46" s="7">
        <v>147</v>
      </c>
      <c r="T46" s="16">
        <f t="shared" si="1"/>
        <v>22</v>
      </c>
      <c r="U46" s="208">
        <v>129</v>
      </c>
      <c r="V46" s="16">
        <f t="shared" si="2"/>
        <v>2838</v>
      </c>
      <c r="W46" s="7">
        <v>4</v>
      </c>
      <c r="X46" s="15" t="s">
        <v>46</v>
      </c>
      <c r="Y46" s="216" t="s">
        <v>97</v>
      </c>
      <c r="Z46" s="216" t="s">
        <v>86</v>
      </c>
      <c r="AA46" s="216" t="s">
        <v>88</v>
      </c>
      <c r="AB46" s="39" t="s">
        <v>350</v>
      </c>
    </row>
    <row r="47" spans="1:44" x14ac:dyDescent="0.15">
      <c r="A47" s="15" t="s">
        <v>347</v>
      </c>
      <c r="B47" s="15" t="s">
        <v>348</v>
      </c>
      <c r="C47" s="15">
        <v>2018</v>
      </c>
      <c r="D47" s="37" t="s">
        <v>352</v>
      </c>
      <c r="E47" s="7" t="s">
        <v>130</v>
      </c>
      <c r="F47" s="7" t="s">
        <v>148</v>
      </c>
      <c r="G47" s="7" t="s">
        <v>36</v>
      </c>
      <c r="H47" s="15" t="s">
        <v>219</v>
      </c>
      <c r="I47" s="208" t="s">
        <v>155</v>
      </c>
      <c r="J47" s="15" t="s">
        <v>38</v>
      </c>
      <c r="K47" s="7" t="s">
        <v>156</v>
      </c>
      <c r="L47" s="7">
        <v>1</v>
      </c>
      <c r="N47" s="7">
        <v>1</v>
      </c>
      <c r="O47" s="7">
        <v>0.55000000000000004</v>
      </c>
      <c r="P47" s="7">
        <v>0.5</v>
      </c>
      <c r="Q47" s="52">
        <f t="shared" si="0"/>
        <v>0.52500000000000002</v>
      </c>
      <c r="R47" s="7">
        <v>17.7</v>
      </c>
      <c r="S47" s="7">
        <v>119</v>
      </c>
      <c r="T47" s="16">
        <f t="shared" si="1"/>
        <v>30</v>
      </c>
      <c r="U47" s="7">
        <v>54</v>
      </c>
      <c r="V47" s="16">
        <f t="shared" si="2"/>
        <v>1620</v>
      </c>
      <c r="W47" s="7">
        <v>6</v>
      </c>
      <c r="X47" s="15" t="s">
        <v>46</v>
      </c>
      <c r="Y47" s="216" t="s">
        <v>97</v>
      </c>
      <c r="Z47" s="216" t="s">
        <v>86</v>
      </c>
      <c r="AA47" s="216" t="s">
        <v>55</v>
      </c>
      <c r="AB47" s="39" t="s">
        <v>350</v>
      </c>
    </row>
    <row r="48" spans="1:44" x14ac:dyDescent="0.15">
      <c r="A48" s="15" t="s">
        <v>347</v>
      </c>
      <c r="B48" s="15" t="s">
        <v>348</v>
      </c>
      <c r="C48" s="15">
        <v>2018</v>
      </c>
      <c r="D48" s="37" t="s">
        <v>352</v>
      </c>
      <c r="E48" s="7" t="s">
        <v>130</v>
      </c>
      <c r="F48" s="7" t="s">
        <v>148</v>
      </c>
      <c r="G48" s="7" t="s">
        <v>36</v>
      </c>
      <c r="H48" s="216" t="s">
        <v>219</v>
      </c>
      <c r="I48" s="208" t="s">
        <v>155</v>
      </c>
      <c r="J48" s="15" t="s">
        <v>38</v>
      </c>
      <c r="K48" s="7" t="s">
        <v>156</v>
      </c>
      <c r="L48" s="7">
        <v>2</v>
      </c>
      <c r="N48" s="7">
        <v>1</v>
      </c>
      <c r="O48" s="7">
        <v>0.6</v>
      </c>
      <c r="P48" s="7">
        <v>0.7</v>
      </c>
      <c r="Q48" s="52">
        <f t="shared" si="0"/>
        <v>0.64999999999999991</v>
      </c>
      <c r="R48" s="7">
        <v>16.8</v>
      </c>
      <c r="S48" s="7">
        <v>121</v>
      </c>
      <c r="T48" s="16">
        <f t="shared" si="1"/>
        <v>27</v>
      </c>
      <c r="U48" s="208">
        <v>54</v>
      </c>
      <c r="V48" s="16">
        <f t="shared" si="2"/>
        <v>1458</v>
      </c>
      <c r="W48" s="7">
        <v>6</v>
      </c>
      <c r="X48" s="15" t="s">
        <v>46</v>
      </c>
      <c r="Y48" s="216" t="s">
        <v>97</v>
      </c>
      <c r="Z48" s="216" t="s">
        <v>86</v>
      </c>
      <c r="AA48" s="216" t="s">
        <v>55</v>
      </c>
      <c r="AB48" s="39" t="s">
        <v>350</v>
      </c>
    </row>
    <row r="49" spans="1:29" x14ac:dyDescent="0.15">
      <c r="A49" s="15" t="s">
        <v>347</v>
      </c>
      <c r="B49" s="15" t="s">
        <v>348</v>
      </c>
      <c r="C49" s="15">
        <v>2018</v>
      </c>
      <c r="D49" s="37" t="s">
        <v>352</v>
      </c>
      <c r="E49" s="7" t="s">
        <v>130</v>
      </c>
      <c r="F49" s="7" t="s">
        <v>148</v>
      </c>
      <c r="G49" s="7" t="s">
        <v>36</v>
      </c>
      <c r="H49" s="216" t="s">
        <v>219</v>
      </c>
      <c r="I49" s="208" t="s">
        <v>155</v>
      </c>
      <c r="J49" s="15" t="s">
        <v>38</v>
      </c>
      <c r="K49" s="7" t="s">
        <v>156</v>
      </c>
      <c r="L49" s="7">
        <v>3</v>
      </c>
      <c r="N49" s="7">
        <v>1</v>
      </c>
      <c r="O49" s="7">
        <v>0.5</v>
      </c>
      <c r="P49" s="34">
        <v>0.5</v>
      </c>
      <c r="Q49" s="52">
        <f t="shared" si="0"/>
        <v>0.5</v>
      </c>
      <c r="R49" s="7">
        <v>15</v>
      </c>
      <c r="S49" s="7">
        <v>119</v>
      </c>
      <c r="T49" s="16">
        <f t="shared" si="1"/>
        <v>30</v>
      </c>
      <c r="U49" s="208">
        <v>54</v>
      </c>
      <c r="V49" s="16">
        <f t="shared" si="2"/>
        <v>1620</v>
      </c>
      <c r="W49" s="7">
        <v>6</v>
      </c>
      <c r="X49" s="15" t="s">
        <v>46</v>
      </c>
      <c r="Y49" s="216" t="s">
        <v>97</v>
      </c>
      <c r="Z49" s="216" t="s">
        <v>86</v>
      </c>
      <c r="AA49" s="216" t="s">
        <v>55</v>
      </c>
      <c r="AB49" s="39" t="s">
        <v>350</v>
      </c>
    </row>
    <row r="50" spans="1:29" x14ac:dyDescent="0.15">
      <c r="A50" s="15" t="s">
        <v>347</v>
      </c>
      <c r="B50" s="15" t="s">
        <v>348</v>
      </c>
      <c r="C50" s="15">
        <v>2018</v>
      </c>
      <c r="D50" s="37" t="s">
        <v>352</v>
      </c>
      <c r="E50" s="7" t="s">
        <v>130</v>
      </c>
      <c r="F50" s="7" t="s">
        <v>148</v>
      </c>
      <c r="G50" s="7" t="s">
        <v>36</v>
      </c>
      <c r="H50" s="15" t="s">
        <v>164</v>
      </c>
      <c r="I50" s="208" t="s">
        <v>155</v>
      </c>
      <c r="J50" s="15" t="s">
        <v>38</v>
      </c>
      <c r="K50" s="7" t="s">
        <v>156</v>
      </c>
      <c r="L50" s="7">
        <v>1</v>
      </c>
      <c r="N50" s="7">
        <v>1</v>
      </c>
      <c r="O50" s="7">
        <v>0.65</v>
      </c>
      <c r="P50" s="7">
        <v>0.7</v>
      </c>
      <c r="Q50" s="52">
        <f t="shared" si="0"/>
        <v>0.67500000000000004</v>
      </c>
      <c r="R50" s="7">
        <v>18.100000000000001</v>
      </c>
      <c r="S50" s="7">
        <v>144</v>
      </c>
      <c r="T50" s="16">
        <f t="shared" si="1"/>
        <v>22</v>
      </c>
      <c r="U50" s="208">
        <v>145</v>
      </c>
      <c r="V50" s="16">
        <f t="shared" si="2"/>
        <v>3190</v>
      </c>
      <c r="W50" s="7">
        <v>10</v>
      </c>
      <c r="X50" s="15" t="s">
        <v>46</v>
      </c>
      <c r="Y50" s="216" t="s">
        <v>97</v>
      </c>
      <c r="Z50" s="216" t="s">
        <v>86</v>
      </c>
      <c r="AA50" s="216" t="s">
        <v>55</v>
      </c>
      <c r="AB50" s="39" t="s">
        <v>350</v>
      </c>
    </row>
    <row r="51" spans="1:29" x14ac:dyDescent="0.15">
      <c r="A51" s="15" t="s">
        <v>347</v>
      </c>
      <c r="B51" s="15" t="s">
        <v>348</v>
      </c>
      <c r="C51" s="15">
        <v>2018</v>
      </c>
      <c r="D51" s="37" t="s">
        <v>352</v>
      </c>
      <c r="E51" s="7" t="s">
        <v>130</v>
      </c>
      <c r="F51" s="7" t="s">
        <v>148</v>
      </c>
      <c r="G51" s="7" t="s">
        <v>36</v>
      </c>
      <c r="H51" s="216" t="s">
        <v>164</v>
      </c>
      <c r="I51" s="208" t="s">
        <v>155</v>
      </c>
      <c r="J51" s="15" t="s">
        <v>38</v>
      </c>
      <c r="K51" s="7" t="s">
        <v>156</v>
      </c>
      <c r="L51" s="7">
        <v>2</v>
      </c>
      <c r="N51" s="7">
        <v>1</v>
      </c>
      <c r="O51" s="7">
        <v>0.55000000000000004</v>
      </c>
      <c r="P51" s="7">
        <v>0.55000000000000004</v>
      </c>
      <c r="Q51" s="52">
        <f t="shared" si="0"/>
        <v>0.55000000000000004</v>
      </c>
      <c r="R51" s="7">
        <v>17.5</v>
      </c>
      <c r="S51" s="7">
        <v>136</v>
      </c>
      <c r="T51" s="16">
        <f t="shared" si="1"/>
        <v>25</v>
      </c>
      <c r="U51" s="208">
        <v>145</v>
      </c>
      <c r="V51" s="16">
        <f t="shared" si="2"/>
        <v>3625</v>
      </c>
      <c r="W51" s="7">
        <v>10</v>
      </c>
      <c r="X51" s="15" t="s">
        <v>46</v>
      </c>
      <c r="Y51" s="216" t="s">
        <v>97</v>
      </c>
      <c r="Z51" s="216" t="s">
        <v>86</v>
      </c>
      <c r="AA51" s="216" t="s">
        <v>55</v>
      </c>
      <c r="AB51" s="39" t="s">
        <v>350</v>
      </c>
    </row>
    <row r="52" spans="1:29" x14ac:dyDescent="0.15">
      <c r="A52" s="15" t="s">
        <v>347</v>
      </c>
      <c r="B52" s="15" t="s">
        <v>348</v>
      </c>
      <c r="C52" s="15">
        <v>2018</v>
      </c>
      <c r="D52" s="37" t="s">
        <v>352</v>
      </c>
      <c r="E52" s="7" t="s">
        <v>130</v>
      </c>
      <c r="F52" s="7" t="s">
        <v>148</v>
      </c>
      <c r="G52" s="7" t="s">
        <v>36</v>
      </c>
      <c r="H52" s="216" t="s">
        <v>164</v>
      </c>
      <c r="I52" s="208" t="s">
        <v>155</v>
      </c>
      <c r="J52" s="15" t="s">
        <v>38</v>
      </c>
      <c r="K52" s="7" t="s">
        <v>156</v>
      </c>
      <c r="L52" s="7">
        <v>3</v>
      </c>
      <c r="N52" s="7">
        <v>1</v>
      </c>
      <c r="O52" s="7">
        <v>0.6</v>
      </c>
      <c r="P52" s="7">
        <v>0.7</v>
      </c>
      <c r="Q52" s="52">
        <f t="shared" si="0"/>
        <v>0.64999999999999991</v>
      </c>
      <c r="R52" s="7">
        <v>17.100000000000001</v>
      </c>
      <c r="S52" s="7">
        <v>146</v>
      </c>
      <c r="T52" s="16">
        <f t="shared" si="1"/>
        <v>22</v>
      </c>
      <c r="U52" s="208">
        <v>145</v>
      </c>
      <c r="V52" s="16">
        <f t="shared" si="2"/>
        <v>3190</v>
      </c>
      <c r="W52" s="7">
        <v>10</v>
      </c>
      <c r="X52" s="15" t="s">
        <v>46</v>
      </c>
      <c r="Y52" s="216" t="s">
        <v>97</v>
      </c>
      <c r="Z52" s="216" t="s">
        <v>86</v>
      </c>
      <c r="AA52" s="216" t="s">
        <v>55</v>
      </c>
      <c r="AB52" s="39" t="s">
        <v>350</v>
      </c>
    </row>
    <row r="53" spans="1:29" x14ac:dyDescent="0.15">
      <c r="A53" s="15" t="s">
        <v>347</v>
      </c>
      <c r="B53" s="15" t="s">
        <v>348</v>
      </c>
      <c r="C53" s="15">
        <v>2018</v>
      </c>
      <c r="D53" s="37" t="s">
        <v>352</v>
      </c>
      <c r="E53" s="7" t="s">
        <v>132</v>
      </c>
      <c r="F53" s="7" t="s">
        <v>149</v>
      </c>
      <c r="G53" s="7" t="s">
        <v>36</v>
      </c>
      <c r="H53" s="15" t="s">
        <v>157</v>
      </c>
      <c r="I53" s="208" t="s">
        <v>155</v>
      </c>
      <c r="J53" s="15" t="s">
        <v>38</v>
      </c>
      <c r="K53" s="7" t="s">
        <v>156</v>
      </c>
      <c r="L53" s="7">
        <v>1</v>
      </c>
      <c r="N53" s="7">
        <v>1</v>
      </c>
      <c r="O53" s="7">
        <v>0.75</v>
      </c>
      <c r="P53" s="7">
        <v>0.75</v>
      </c>
      <c r="Q53" s="52">
        <f t="shared" si="0"/>
        <v>0.75</v>
      </c>
      <c r="R53" s="7">
        <v>15.7</v>
      </c>
      <c r="S53" s="7">
        <v>155</v>
      </c>
      <c r="T53" s="16">
        <f t="shared" si="1"/>
        <v>18</v>
      </c>
      <c r="U53" s="7">
        <v>105</v>
      </c>
      <c r="V53" s="16">
        <f t="shared" si="2"/>
        <v>1890</v>
      </c>
      <c r="W53" s="7">
        <v>12</v>
      </c>
      <c r="X53" s="15" t="s">
        <v>46</v>
      </c>
      <c r="Y53" s="216" t="s">
        <v>86</v>
      </c>
      <c r="Z53" s="216" t="s">
        <v>55</v>
      </c>
      <c r="AA53" s="216" t="s">
        <v>90</v>
      </c>
      <c r="AB53" s="39" t="s">
        <v>350</v>
      </c>
      <c r="AC53" s="36"/>
    </row>
    <row r="54" spans="1:29" x14ac:dyDescent="0.15">
      <c r="A54" s="15" t="s">
        <v>347</v>
      </c>
      <c r="B54" s="15" t="s">
        <v>348</v>
      </c>
      <c r="C54" s="15">
        <v>2018</v>
      </c>
      <c r="D54" s="37" t="s">
        <v>352</v>
      </c>
      <c r="E54" s="7" t="s">
        <v>132</v>
      </c>
      <c r="F54" s="7" t="s">
        <v>149</v>
      </c>
      <c r="G54" s="7" t="s">
        <v>36</v>
      </c>
      <c r="H54" s="216" t="s">
        <v>157</v>
      </c>
      <c r="I54" s="208" t="s">
        <v>155</v>
      </c>
      <c r="J54" s="216" t="s">
        <v>38</v>
      </c>
      <c r="K54" s="7" t="s">
        <v>156</v>
      </c>
      <c r="L54" s="7">
        <v>2</v>
      </c>
      <c r="N54" s="7">
        <v>1</v>
      </c>
      <c r="O54" s="7">
        <v>0.75</v>
      </c>
      <c r="P54" s="7">
        <v>0.65</v>
      </c>
      <c r="Q54" s="52">
        <f t="shared" si="0"/>
        <v>0.7</v>
      </c>
      <c r="R54" s="7">
        <v>13.3</v>
      </c>
      <c r="S54" s="7">
        <v>166</v>
      </c>
      <c r="T54" s="16">
        <f t="shared" si="1"/>
        <v>18</v>
      </c>
      <c r="U54" s="208">
        <v>105</v>
      </c>
      <c r="V54" s="16">
        <f t="shared" si="2"/>
        <v>1890</v>
      </c>
      <c r="W54" s="7">
        <v>12</v>
      </c>
      <c r="X54" s="15" t="s">
        <v>46</v>
      </c>
      <c r="Y54" s="216" t="s">
        <v>86</v>
      </c>
      <c r="Z54" s="216" t="s">
        <v>55</v>
      </c>
      <c r="AA54" s="216" t="s">
        <v>90</v>
      </c>
      <c r="AB54" s="39" t="s">
        <v>350</v>
      </c>
      <c r="AC54" s="36"/>
    </row>
    <row r="55" spans="1:29" x14ac:dyDescent="0.15">
      <c r="A55" s="15" t="s">
        <v>347</v>
      </c>
      <c r="B55" s="15" t="s">
        <v>348</v>
      </c>
      <c r="C55" s="15">
        <v>2018</v>
      </c>
      <c r="D55" s="37" t="s">
        <v>352</v>
      </c>
      <c r="E55" s="7" t="s">
        <v>132</v>
      </c>
      <c r="F55" s="7" t="s">
        <v>149</v>
      </c>
      <c r="G55" s="7" t="s">
        <v>36</v>
      </c>
      <c r="H55" s="216" t="s">
        <v>157</v>
      </c>
      <c r="I55" s="208" t="s">
        <v>155</v>
      </c>
      <c r="J55" s="216" t="s">
        <v>38</v>
      </c>
      <c r="K55" s="7" t="s">
        <v>156</v>
      </c>
      <c r="L55" s="7">
        <v>3</v>
      </c>
      <c r="N55" s="208">
        <v>1</v>
      </c>
      <c r="O55" s="7">
        <v>0.55000000000000004</v>
      </c>
      <c r="P55" s="7">
        <v>0.55000000000000004</v>
      </c>
      <c r="Q55" s="52">
        <f t="shared" si="0"/>
        <v>0.55000000000000004</v>
      </c>
      <c r="R55" s="7">
        <v>13.8</v>
      </c>
      <c r="S55" s="7">
        <v>158</v>
      </c>
      <c r="T55" s="16">
        <f t="shared" si="1"/>
        <v>18</v>
      </c>
      <c r="U55" s="208">
        <v>105</v>
      </c>
      <c r="V55" s="16">
        <f t="shared" si="2"/>
        <v>1890</v>
      </c>
      <c r="W55" s="7">
        <v>12</v>
      </c>
      <c r="X55" s="15" t="s">
        <v>46</v>
      </c>
      <c r="Y55" s="216" t="s">
        <v>86</v>
      </c>
      <c r="Z55" s="216" t="s">
        <v>55</v>
      </c>
      <c r="AA55" s="216" t="s">
        <v>90</v>
      </c>
      <c r="AB55" s="39" t="s">
        <v>350</v>
      </c>
      <c r="AC55" s="36"/>
    </row>
    <row r="56" spans="1:29" x14ac:dyDescent="0.15">
      <c r="A56" s="15" t="s">
        <v>347</v>
      </c>
      <c r="B56" s="15" t="s">
        <v>348</v>
      </c>
      <c r="C56" s="15">
        <v>2018</v>
      </c>
      <c r="D56" s="37" t="s">
        <v>352</v>
      </c>
      <c r="E56" s="7" t="s">
        <v>132</v>
      </c>
      <c r="F56" s="7" t="s">
        <v>149</v>
      </c>
      <c r="G56" s="7" t="s">
        <v>36</v>
      </c>
      <c r="H56" s="15" t="s">
        <v>164</v>
      </c>
      <c r="I56" s="208" t="s">
        <v>155</v>
      </c>
      <c r="J56" s="15" t="s">
        <v>38</v>
      </c>
      <c r="K56" s="7" t="s">
        <v>156</v>
      </c>
      <c r="L56" s="7">
        <v>1</v>
      </c>
      <c r="N56" s="208">
        <v>1</v>
      </c>
      <c r="O56" s="7">
        <v>0.5</v>
      </c>
      <c r="P56" s="7">
        <v>0.5</v>
      </c>
      <c r="Q56" s="52">
        <f t="shared" si="0"/>
        <v>0.5</v>
      </c>
      <c r="R56" s="7">
        <v>15.7</v>
      </c>
      <c r="S56" s="7">
        <v>146</v>
      </c>
      <c r="T56" s="16">
        <f t="shared" si="1"/>
        <v>22</v>
      </c>
      <c r="U56" s="208">
        <v>105</v>
      </c>
      <c r="V56" s="16">
        <f t="shared" si="2"/>
        <v>2310</v>
      </c>
      <c r="W56" s="7">
        <v>14</v>
      </c>
      <c r="X56" s="15" t="s">
        <v>46</v>
      </c>
      <c r="Y56" s="216" t="s">
        <v>86</v>
      </c>
      <c r="Z56" s="216" t="s">
        <v>55</v>
      </c>
      <c r="AA56" s="216" t="s">
        <v>90</v>
      </c>
      <c r="AB56" s="39" t="s">
        <v>350</v>
      </c>
    </row>
    <row r="57" spans="1:29" x14ac:dyDescent="0.15">
      <c r="A57" s="15" t="s">
        <v>347</v>
      </c>
      <c r="B57" s="15" t="s">
        <v>348</v>
      </c>
      <c r="C57" s="15">
        <v>2018</v>
      </c>
      <c r="D57" s="37" t="s">
        <v>352</v>
      </c>
      <c r="E57" s="7" t="s">
        <v>132</v>
      </c>
      <c r="F57" s="7" t="s">
        <v>149</v>
      </c>
      <c r="G57" s="7" t="s">
        <v>36</v>
      </c>
      <c r="H57" s="216" t="s">
        <v>164</v>
      </c>
      <c r="I57" s="208" t="s">
        <v>155</v>
      </c>
      <c r="J57" s="15" t="s">
        <v>38</v>
      </c>
      <c r="K57" s="7" t="s">
        <v>156</v>
      </c>
      <c r="L57" s="7">
        <v>2</v>
      </c>
      <c r="N57" s="208">
        <v>1</v>
      </c>
      <c r="O57" s="7">
        <v>0.5</v>
      </c>
      <c r="P57" s="7">
        <v>0.5</v>
      </c>
      <c r="Q57" s="52">
        <f t="shared" si="0"/>
        <v>0.5</v>
      </c>
      <c r="R57" s="7">
        <v>19.100000000000001</v>
      </c>
      <c r="S57" s="7">
        <v>142</v>
      </c>
      <c r="T57" s="16">
        <f t="shared" si="1"/>
        <v>22</v>
      </c>
      <c r="U57" s="208">
        <v>105</v>
      </c>
      <c r="V57" s="16">
        <f t="shared" si="2"/>
        <v>2310</v>
      </c>
      <c r="W57" s="7">
        <v>14</v>
      </c>
      <c r="X57" s="15" t="s">
        <v>46</v>
      </c>
      <c r="Y57" s="216" t="s">
        <v>86</v>
      </c>
      <c r="Z57" s="216" t="s">
        <v>55</v>
      </c>
      <c r="AA57" s="216" t="s">
        <v>90</v>
      </c>
      <c r="AB57" s="39" t="s">
        <v>350</v>
      </c>
    </row>
    <row r="58" spans="1:29" x14ac:dyDescent="0.15">
      <c r="A58" s="15" t="s">
        <v>347</v>
      </c>
      <c r="B58" s="15" t="s">
        <v>348</v>
      </c>
      <c r="C58" s="15">
        <v>2018</v>
      </c>
      <c r="D58" s="37" t="s">
        <v>352</v>
      </c>
      <c r="E58" s="7" t="s">
        <v>132</v>
      </c>
      <c r="F58" s="7" t="s">
        <v>149</v>
      </c>
      <c r="G58" s="7" t="s">
        <v>36</v>
      </c>
      <c r="H58" s="216" t="s">
        <v>164</v>
      </c>
      <c r="I58" s="208" t="s">
        <v>155</v>
      </c>
      <c r="J58" s="15" t="s">
        <v>38</v>
      </c>
      <c r="K58" s="7" t="s">
        <v>156</v>
      </c>
      <c r="L58" s="7">
        <v>3</v>
      </c>
      <c r="N58" s="208">
        <v>1</v>
      </c>
      <c r="O58" s="7">
        <v>0.55000000000000004</v>
      </c>
      <c r="P58" s="7">
        <v>0.6</v>
      </c>
      <c r="Q58" s="52">
        <f t="shared" si="0"/>
        <v>0.57499999999999996</v>
      </c>
      <c r="R58" s="7">
        <v>19.399999999999999</v>
      </c>
      <c r="S58" s="7">
        <v>142</v>
      </c>
      <c r="T58" s="16">
        <f t="shared" si="1"/>
        <v>22</v>
      </c>
      <c r="U58" s="208">
        <v>105</v>
      </c>
      <c r="V58" s="16">
        <f t="shared" si="2"/>
        <v>2310</v>
      </c>
      <c r="W58" s="7">
        <v>14</v>
      </c>
      <c r="X58" s="15" t="s">
        <v>46</v>
      </c>
      <c r="Y58" s="216" t="s">
        <v>86</v>
      </c>
      <c r="Z58" s="216" t="s">
        <v>55</v>
      </c>
      <c r="AA58" s="216" t="s">
        <v>90</v>
      </c>
      <c r="AB58" s="39" t="s">
        <v>350</v>
      </c>
    </row>
    <row r="59" spans="1:29" x14ac:dyDescent="0.15">
      <c r="A59" s="15" t="s">
        <v>347</v>
      </c>
      <c r="B59" s="15" t="s">
        <v>348</v>
      </c>
      <c r="C59" s="15">
        <v>2018</v>
      </c>
      <c r="D59" s="37" t="s">
        <v>352</v>
      </c>
      <c r="E59" s="7" t="s">
        <v>141</v>
      </c>
      <c r="F59" s="7" t="s">
        <v>150</v>
      </c>
      <c r="G59" s="7" t="s">
        <v>36</v>
      </c>
      <c r="H59" s="15" t="s">
        <v>157</v>
      </c>
      <c r="I59" s="208" t="s">
        <v>155</v>
      </c>
      <c r="J59" s="15" t="s">
        <v>38</v>
      </c>
      <c r="K59" s="7" t="s">
        <v>156</v>
      </c>
      <c r="L59" s="7">
        <v>1</v>
      </c>
      <c r="N59" s="208">
        <v>1</v>
      </c>
      <c r="O59" s="7">
        <v>0.9</v>
      </c>
      <c r="P59" s="7">
        <v>1.05</v>
      </c>
      <c r="Q59" s="52">
        <f t="shared" si="0"/>
        <v>0.97500000000000009</v>
      </c>
      <c r="R59" s="7">
        <v>13.1</v>
      </c>
      <c r="S59" s="7">
        <v>135</v>
      </c>
      <c r="T59" s="16">
        <f t="shared" si="1"/>
        <v>25</v>
      </c>
      <c r="U59" s="7">
        <v>138</v>
      </c>
      <c r="V59" s="16">
        <f t="shared" si="2"/>
        <v>3450</v>
      </c>
      <c r="W59" s="7">
        <v>9</v>
      </c>
      <c r="X59" s="15" t="s">
        <v>46</v>
      </c>
      <c r="Y59" s="216" t="s">
        <v>86</v>
      </c>
      <c r="Z59" s="216" t="s">
        <v>55</v>
      </c>
      <c r="AA59" s="216" t="s">
        <v>97</v>
      </c>
      <c r="AB59" s="39" t="s">
        <v>350</v>
      </c>
    </row>
    <row r="60" spans="1:29" x14ac:dyDescent="0.15">
      <c r="A60" s="15" t="s">
        <v>347</v>
      </c>
      <c r="B60" s="15" t="s">
        <v>348</v>
      </c>
      <c r="C60" s="15">
        <v>2018</v>
      </c>
      <c r="D60" s="37" t="s">
        <v>352</v>
      </c>
      <c r="E60" s="7" t="s">
        <v>141</v>
      </c>
      <c r="F60" s="7" t="s">
        <v>150</v>
      </c>
      <c r="G60" s="7" t="s">
        <v>36</v>
      </c>
      <c r="H60" s="216" t="s">
        <v>157</v>
      </c>
      <c r="I60" s="208" t="s">
        <v>155</v>
      </c>
      <c r="J60" s="15" t="s">
        <v>38</v>
      </c>
      <c r="K60" s="7" t="s">
        <v>156</v>
      </c>
      <c r="L60" s="7">
        <v>2</v>
      </c>
      <c r="N60" s="7">
        <v>1</v>
      </c>
      <c r="O60" s="7">
        <v>0.85</v>
      </c>
      <c r="P60" s="7">
        <v>0.85</v>
      </c>
      <c r="Q60" s="52">
        <f t="shared" si="0"/>
        <v>0.85</v>
      </c>
      <c r="R60" s="7">
        <v>14.5</v>
      </c>
      <c r="S60" s="7">
        <v>135</v>
      </c>
      <c r="T60" s="16">
        <f>IF(H60="","",IF(OR(H60="GREEN",H60="GK"),IF(S60&gt;=$AX$2,VLOOKUP(S60,$AX$2:$AY$12,2,1),""),IF(S60&gt;=$AZ$2,VLOOKUP(S60,$AZ$2:$BA$12,2,1),"")))</f>
        <v>25</v>
      </c>
      <c r="U60" s="208">
        <v>138</v>
      </c>
      <c r="V60" s="16">
        <f t="shared" si="2"/>
        <v>3450</v>
      </c>
      <c r="W60" s="7">
        <v>9</v>
      </c>
      <c r="X60" s="15" t="s">
        <v>46</v>
      </c>
      <c r="Y60" s="216" t="s">
        <v>86</v>
      </c>
      <c r="Z60" s="216" t="s">
        <v>55</v>
      </c>
      <c r="AA60" s="216" t="s">
        <v>97</v>
      </c>
      <c r="AB60" s="39" t="s">
        <v>350</v>
      </c>
    </row>
    <row r="61" spans="1:29" x14ac:dyDescent="0.15">
      <c r="A61" s="15" t="s">
        <v>347</v>
      </c>
      <c r="B61" s="15" t="s">
        <v>348</v>
      </c>
      <c r="C61" s="15">
        <v>2018</v>
      </c>
      <c r="D61" s="37" t="s">
        <v>352</v>
      </c>
      <c r="E61" s="7" t="s">
        <v>141</v>
      </c>
      <c r="F61" s="7" t="s">
        <v>150</v>
      </c>
      <c r="G61" s="7" t="s">
        <v>36</v>
      </c>
      <c r="H61" s="216" t="s">
        <v>157</v>
      </c>
      <c r="I61" s="208" t="s">
        <v>155</v>
      </c>
      <c r="J61" s="15" t="s">
        <v>38</v>
      </c>
      <c r="K61" s="7" t="s">
        <v>156</v>
      </c>
      <c r="L61" s="7">
        <v>3</v>
      </c>
      <c r="N61" s="7">
        <v>1</v>
      </c>
      <c r="O61" s="7">
        <v>1.1000000000000001</v>
      </c>
      <c r="P61" s="7">
        <v>1.1499999999999999</v>
      </c>
      <c r="Q61" s="52">
        <f t="shared" si="0"/>
        <v>1.125</v>
      </c>
      <c r="R61" s="7">
        <v>14.5</v>
      </c>
      <c r="S61" s="7">
        <v>133</v>
      </c>
      <c r="T61" s="16">
        <f>IF(H61="","",IF(OR(H61="GREEN",H61="GK"),IF(S61&gt;=$AX$2,VLOOKUP(S61,$AX$2:$AY$12,2,1),""),IF(S61&gt;=$AZ$2,VLOOKUP(S61,$AZ$2:$BA$12,2,1),"")))</f>
        <v>25</v>
      </c>
      <c r="U61" s="208">
        <v>138</v>
      </c>
      <c r="V61" s="16">
        <f t="shared" si="2"/>
        <v>3450</v>
      </c>
      <c r="W61" s="7">
        <v>9</v>
      </c>
      <c r="X61" s="15" t="s">
        <v>46</v>
      </c>
      <c r="Y61" s="216" t="s">
        <v>86</v>
      </c>
      <c r="Z61" s="216" t="s">
        <v>55</v>
      </c>
      <c r="AA61" s="216" t="s">
        <v>97</v>
      </c>
      <c r="AB61" s="39" t="s">
        <v>350</v>
      </c>
    </row>
    <row r="62" spans="1:29" x14ac:dyDescent="0.15">
      <c r="A62" s="15" t="s">
        <v>347</v>
      </c>
      <c r="B62" s="15" t="s">
        <v>348</v>
      </c>
      <c r="C62" s="15">
        <v>2018</v>
      </c>
      <c r="D62" s="37" t="s">
        <v>352</v>
      </c>
      <c r="E62" s="7" t="s">
        <v>141</v>
      </c>
      <c r="F62" s="7" t="s">
        <v>150</v>
      </c>
      <c r="G62" s="7" t="s">
        <v>36</v>
      </c>
      <c r="H62" s="15" t="s">
        <v>164</v>
      </c>
      <c r="I62" s="208" t="s">
        <v>155</v>
      </c>
      <c r="J62" s="15" t="s">
        <v>38</v>
      </c>
      <c r="K62" s="7" t="s">
        <v>156</v>
      </c>
      <c r="L62" s="7">
        <v>1</v>
      </c>
      <c r="N62" s="7">
        <v>1</v>
      </c>
      <c r="O62" s="7">
        <v>0.7</v>
      </c>
      <c r="P62" s="7">
        <v>0.85</v>
      </c>
      <c r="Q62" s="52">
        <f t="shared" si="0"/>
        <v>0.77499999999999991</v>
      </c>
      <c r="R62" s="7">
        <v>17.2</v>
      </c>
      <c r="S62" s="7">
        <v>127</v>
      </c>
      <c r="T62" s="16">
        <f t="shared" ref="T62:T120" si="3">IF(H62="","",IF(OR(H62="GREEN",H62="GK"),IF(S62&gt;=$AX$2,VLOOKUP(S62,$AX$2:$AY$12,2,1),""),IF(S62&gt;=$AZ$2,VLOOKUP(S62,$AZ$2:$BA$12,2,1),"")))</f>
        <v>27</v>
      </c>
      <c r="U62" s="7">
        <v>149</v>
      </c>
      <c r="V62" s="16">
        <f t="shared" si="2"/>
        <v>4023</v>
      </c>
      <c r="W62" s="7">
        <v>3</v>
      </c>
      <c r="X62" s="216" t="s">
        <v>46</v>
      </c>
      <c r="Y62" s="216" t="s">
        <v>86</v>
      </c>
      <c r="Z62" s="216" t="s">
        <v>55</v>
      </c>
      <c r="AA62" s="216" t="s">
        <v>97</v>
      </c>
      <c r="AB62" s="39" t="s">
        <v>350</v>
      </c>
    </row>
    <row r="63" spans="1:29" x14ac:dyDescent="0.15">
      <c r="A63" s="15" t="s">
        <v>347</v>
      </c>
      <c r="B63" s="15" t="s">
        <v>348</v>
      </c>
      <c r="C63" s="15">
        <v>2018</v>
      </c>
      <c r="D63" s="37" t="s">
        <v>352</v>
      </c>
      <c r="E63" s="7" t="s">
        <v>141</v>
      </c>
      <c r="F63" s="7" t="s">
        <v>150</v>
      </c>
      <c r="G63" s="7" t="s">
        <v>36</v>
      </c>
      <c r="H63" s="216" t="s">
        <v>164</v>
      </c>
      <c r="I63" s="208" t="s">
        <v>155</v>
      </c>
      <c r="J63" s="15" t="s">
        <v>38</v>
      </c>
      <c r="K63" s="7" t="s">
        <v>156</v>
      </c>
      <c r="L63" s="7">
        <v>2</v>
      </c>
      <c r="N63" s="7">
        <v>1</v>
      </c>
      <c r="O63" s="7">
        <v>0.75</v>
      </c>
      <c r="P63" s="7">
        <v>0.6</v>
      </c>
      <c r="Q63" s="52">
        <f t="shared" si="0"/>
        <v>0.67500000000000004</v>
      </c>
      <c r="R63" s="7">
        <v>19.2</v>
      </c>
      <c r="S63" s="7">
        <v>134</v>
      </c>
      <c r="T63" s="16">
        <f t="shared" si="3"/>
        <v>25</v>
      </c>
      <c r="U63" s="208">
        <v>149</v>
      </c>
      <c r="V63" s="16">
        <f t="shared" si="2"/>
        <v>3725</v>
      </c>
      <c r="W63" s="7">
        <v>3</v>
      </c>
      <c r="X63" s="216" t="s">
        <v>46</v>
      </c>
      <c r="Y63" s="216" t="s">
        <v>86</v>
      </c>
      <c r="Z63" s="216" t="s">
        <v>55</v>
      </c>
      <c r="AA63" s="216" t="s">
        <v>97</v>
      </c>
      <c r="AB63" s="39" t="s">
        <v>350</v>
      </c>
    </row>
    <row r="64" spans="1:29" x14ac:dyDescent="0.15">
      <c r="A64" s="15" t="s">
        <v>347</v>
      </c>
      <c r="B64" s="15" t="s">
        <v>348</v>
      </c>
      <c r="C64" s="15">
        <v>2018</v>
      </c>
      <c r="D64" s="37" t="s">
        <v>352</v>
      </c>
      <c r="E64" s="7" t="s">
        <v>141</v>
      </c>
      <c r="F64" s="7" t="s">
        <v>150</v>
      </c>
      <c r="G64" s="7" t="s">
        <v>36</v>
      </c>
      <c r="H64" s="216" t="s">
        <v>164</v>
      </c>
      <c r="I64" s="208" t="s">
        <v>155</v>
      </c>
      <c r="J64" s="15" t="s">
        <v>38</v>
      </c>
      <c r="K64" s="7" t="s">
        <v>156</v>
      </c>
      <c r="L64" s="7">
        <v>3</v>
      </c>
      <c r="N64" s="7">
        <v>1</v>
      </c>
      <c r="O64" s="7">
        <v>0.65</v>
      </c>
      <c r="P64" s="7">
        <v>0.65</v>
      </c>
      <c r="Q64" s="52">
        <f t="shared" si="0"/>
        <v>0.65</v>
      </c>
      <c r="R64" s="7">
        <v>16.3</v>
      </c>
      <c r="S64" s="7">
        <v>128</v>
      </c>
      <c r="T64" s="16">
        <f t="shared" si="3"/>
        <v>27</v>
      </c>
      <c r="U64" s="208">
        <v>149</v>
      </c>
      <c r="V64" s="16">
        <f t="shared" si="2"/>
        <v>4023</v>
      </c>
      <c r="W64" s="7">
        <v>3</v>
      </c>
      <c r="X64" s="216" t="s">
        <v>46</v>
      </c>
      <c r="Y64" s="216" t="s">
        <v>86</v>
      </c>
      <c r="Z64" s="216" t="s">
        <v>55</v>
      </c>
      <c r="AA64" s="216" t="s">
        <v>97</v>
      </c>
      <c r="AB64" s="39" t="s">
        <v>350</v>
      </c>
    </row>
    <row r="65" spans="1:28" x14ac:dyDescent="0.15">
      <c r="A65" s="15"/>
      <c r="B65" s="15"/>
      <c r="C65" s="15"/>
      <c r="D65" s="37"/>
      <c r="H65" s="15"/>
      <c r="I65" s="208"/>
      <c r="J65" s="15"/>
      <c r="Q65" s="52" t="str">
        <f t="shared" si="0"/>
        <v/>
      </c>
      <c r="T65" s="16" t="str">
        <f t="shared" si="3"/>
        <v/>
      </c>
      <c r="V65" s="16" t="str">
        <f t="shared" si="2"/>
        <v/>
      </c>
      <c r="X65" s="216"/>
      <c r="Y65" s="216"/>
      <c r="Z65" s="216"/>
      <c r="AA65" s="216"/>
      <c r="AB65" s="39"/>
    </row>
    <row r="66" spans="1:28" x14ac:dyDescent="0.15">
      <c r="A66" s="15"/>
      <c r="B66" s="15"/>
      <c r="C66" s="15"/>
      <c r="D66" s="37"/>
      <c r="H66" s="216"/>
      <c r="I66" s="208"/>
      <c r="J66" s="15"/>
      <c r="Q66" s="52" t="str">
        <f t="shared" ref="Q66:Q77" si="4">IF(OR(O66="",P66=""),"",AVERAGE(O66,P66))</f>
        <v/>
      </c>
      <c r="T66" s="16" t="str">
        <f t="shared" si="3"/>
        <v/>
      </c>
      <c r="U66" s="208"/>
      <c r="V66" s="16" t="str">
        <f t="shared" ref="V66:V70" si="5">IF(OR(N66="",U66="",T66=""),"",U66/N66*T66)</f>
        <v/>
      </c>
      <c r="X66" s="216"/>
      <c r="Y66" s="216"/>
      <c r="Z66" s="216"/>
      <c r="AA66" s="216"/>
      <c r="AB66" s="39"/>
    </row>
    <row r="67" spans="1:28" x14ac:dyDescent="0.15">
      <c r="A67" s="15"/>
      <c r="B67" s="15"/>
      <c r="C67" s="15"/>
      <c r="D67" s="37"/>
      <c r="H67" s="216"/>
      <c r="I67" s="208"/>
      <c r="J67" s="15"/>
      <c r="Q67" s="52" t="str">
        <f t="shared" si="4"/>
        <v/>
      </c>
      <c r="T67" s="16" t="str">
        <f t="shared" si="3"/>
        <v/>
      </c>
      <c r="U67" s="208"/>
      <c r="V67" s="16" t="str">
        <f t="shared" si="5"/>
        <v/>
      </c>
      <c r="X67" s="216"/>
      <c r="Y67" s="216"/>
      <c r="Z67" s="216"/>
      <c r="AA67" s="216"/>
      <c r="AB67" s="39"/>
    </row>
    <row r="68" spans="1:28" x14ac:dyDescent="0.15">
      <c r="A68" s="15"/>
      <c r="B68" s="15"/>
      <c r="C68" s="15"/>
      <c r="D68" s="37"/>
      <c r="H68" s="15"/>
      <c r="I68" s="208"/>
      <c r="J68" s="15"/>
      <c r="Q68" s="52" t="str">
        <f t="shared" si="4"/>
        <v/>
      </c>
      <c r="T68" s="16" t="str">
        <f t="shared" si="3"/>
        <v/>
      </c>
      <c r="V68" s="16" t="str">
        <f t="shared" si="5"/>
        <v/>
      </c>
      <c r="X68" s="216"/>
      <c r="Y68" s="216"/>
      <c r="Z68" s="216"/>
      <c r="AA68" s="216"/>
      <c r="AB68" s="39"/>
    </row>
    <row r="69" spans="1:28" x14ac:dyDescent="0.15">
      <c r="A69" s="15"/>
      <c r="B69" s="15"/>
      <c r="C69" s="15"/>
      <c r="D69" s="37"/>
      <c r="H69" s="216"/>
      <c r="I69" s="208"/>
      <c r="J69" s="15"/>
      <c r="N69" s="208"/>
      <c r="Q69" s="52" t="str">
        <f t="shared" si="4"/>
        <v/>
      </c>
      <c r="T69" s="16" t="str">
        <f t="shared" si="3"/>
        <v/>
      </c>
      <c r="U69" s="208"/>
      <c r="V69" s="16" t="str">
        <f t="shared" si="5"/>
        <v/>
      </c>
      <c r="X69" s="216"/>
      <c r="Y69" s="216"/>
      <c r="Z69" s="216"/>
      <c r="AA69" s="216"/>
      <c r="AB69" s="39"/>
    </row>
    <row r="70" spans="1:28" x14ac:dyDescent="0.15">
      <c r="A70" s="15"/>
      <c r="B70" s="15"/>
      <c r="C70" s="15"/>
      <c r="D70" s="37"/>
      <c r="H70" s="216"/>
      <c r="I70" s="208"/>
      <c r="J70" s="15"/>
      <c r="N70" s="208"/>
      <c r="Q70" s="52" t="str">
        <f t="shared" si="4"/>
        <v/>
      </c>
      <c r="T70" s="16" t="str">
        <f t="shared" si="3"/>
        <v/>
      </c>
      <c r="U70" s="208"/>
      <c r="V70" s="16" t="str">
        <f t="shared" si="5"/>
        <v/>
      </c>
      <c r="X70" s="216"/>
      <c r="Y70" s="216"/>
      <c r="Z70" s="216"/>
      <c r="AA70" s="216"/>
      <c r="AB70" s="39"/>
    </row>
    <row r="71" spans="1:28" x14ac:dyDescent="0.15">
      <c r="A71" s="15"/>
      <c r="B71" s="15"/>
      <c r="C71" s="15"/>
      <c r="D71" s="37"/>
      <c r="H71" s="15"/>
      <c r="I71" s="208"/>
      <c r="J71" s="15"/>
      <c r="N71" s="208"/>
      <c r="Q71" s="52" t="str">
        <f t="shared" si="4"/>
        <v/>
      </c>
      <c r="T71" s="16" t="str">
        <f t="shared" si="3"/>
        <v/>
      </c>
      <c r="V71" s="16" t="str">
        <f>IF(OR(N71="",U71="",T71=""),"",U71/N71*T71)</f>
        <v/>
      </c>
      <c r="X71" s="15"/>
      <c r="Y71" s="15"/>
      <c r="Z71" s="15"/>
      <c r="AA71" s="15"/>
      <c r="AB71" s="39"/>
    </row>
    <row r="72" spans="1:28" x14ac:dyDescent="0.15">
      <c r="A72" s="15"/>
      <c r="B72" s="15"/>
      <c r="C72" s="15"/>
      <c r="D72" s="37"/>
      <c r="H72" s="216"/>
      <c r="I72" s="208"/>
      <c r="J72" s="216"/>
      <c r="K72" s="208"/>
      <c r="N72" s="208"/>
      <c r="Q72" s="52" t="str">
        <f t="shared" si="4"/>
        <v/>
      </c>
      <c r="T72" s="16" t="str">
        <f t="shared" si="3"/>
        <v/>
      </c>
      <c r="U72" s="208"/>
      <c r="V72" s="16" t="str">
        <f t="shared" ref="V72:V74" si="6">IF(OR(N72="",U72="",T72=""),"",U72/N72*T72)</f>
        <v/>
      </c>
      <c r="X72" s="15"/>
      <c r="Y72" s="216"/>
      <c r="Z72" s="216"/>
      <c r="AA72" s="216"/>
      <c r="AB72" s="39"/>
    </row>
    <row r="73" spans="1:28" x14ac:dyDescent="0.15">
      <c r="A73" s="15"/>
      <c r="B73" s="15"/>
      <c r="C73" s="15"/>
      <c r="D73" s="37"/>
      <c r="H73" s="216"/>
      <c r="I73" s="208"/>
      <c r="J73" s="216"/>
      <c r="K73" s="208"/>
      <c r="N73" s="208"/>
      <c r="Q73" s="52" t="str">
        <f t="shared" si="4"/>
        <v/>
      </c>
      <c r="T73" s="16" t="str">
        <f t="shared" si="3"/>
        <v/>
      </c>
      <c r="U73" s="208"/>
      <c r="V73" s="16" t="str">
        <f>IF(OR(N73="",U73="",T73=""),"",U73/N73*T73)</f>
        <v/>
      </c>
      <c r="X73" s="15"/>
      <c r="Y73" s="216"/>
      <c r="Z73" s="216"/>
      <c r="AA73" s="216"/>
      <c r="AB73" s="39"/>
    </row>
    <row r="74" spans="1:28" x14ac:dyDescent="0.15">
      <c r="A74" s="15"/>
      <c r="B74" s="15"/>
      <c r="C74" s="15"/>
      <c r="D74" s="37"/>
      <c r="H74" s="15"/>
      <c r="I74" s="208"/>
      <c r="J74" s="15"/>
      <c r="N74" s="208"/>
      <c r="Q74" s="52" t="str">
        <f t="shared" si="4"/>
        <v/>
      </c>
      <c r="T74" s="16" t="str">
        <f t="shared" si="3"/>
        <v/>
      </c>
      <c r="V74" s="16" t="str">
        <f t="shared" si="6"/>
        <v/>
      </c>
      <c r="X74" s="15"/>
      <c r="Y74" s="216"/>
      <c r="Z74" s="216"/>
      <c r="AA74" s="216"/>
      <c r="AB74" s="39"/>
    </row>
    <row r="75" spans="1:28" x14ac:dyDescent="0.15">
      <c r="A75" s="15"/>
      <c r="B75" s="15"/>
      <c r="C75" s="15"/>
      <c r="D75" s="37"/>
      <c r="H75" s="216"/>
      <c r="I75" s="208"/>
      <c r="J75" s="15"/>
      <c r="N75" s="208"/>
      <c r="Q75" s="52" t="str">
        <f t="shared" si="4"/>
        <v/>
      </c>
      <c r="T75" s="16" t="str">
        <f t="shared" si="3"/>
        <v/>
      </c>
      <c r="U75" s="208"/>
      <c r="V75" s="16" t="str">
        <f>IF(OR(N75="",U75="",T75=""),"",U75/N75*T75)</f>
        <v/>
      </c>
      <c r="X75" s="15"/>
      <c r="Y75" s="216"/>
      <c r="Z75" s="216"/>
      <c r="AA75" s="216"/>
      <c r="AB75" s="39"/>
    </row>
    <row r="76" spans="1:28" x14ac:dyDescent="0.15">
      <c r="A76" s="15"/>
      <c r="B76" s="15"/>
      <c r="C76" s="15"/>
      <c r="D76" s="37"/>
      <c r="H76" s="216"/>
      <c r="I76" s="208"/>
      <c r="J76" s="15"/>
      <c r="N76" s="208"/>
      <c r="Q76" s="52" t="str">
        <f t="shared" si="4"/>
        <v/>
      </c>
      <c r="T76" s="16" t="str">
        <f t="shared" si="3"/>
        <v/>
      </c>
      <c r="U76" s="208"/>
      <c r="V76" s="16" t="str">
        <f>IF(OR(N76="",U76="",T76=""),"",U76/N76*T76)</f>
        <v/>
      </c>
      <c r="X76" s="15"/>
      <c r="Y76" s="216"/>
      <c r="Z76" s="216"/>
      <c r="AA76" s="216"/>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formula1>$AV$2:$AV$20</formula1>
    </dataValidation>
    <dataValidation type="list" allowBlank="1" showInputMessage="1" showErrorMessage="1" sqref="H2:H497">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formula1>$AH$2:$AH$10</formula1>
    </dataValidation>
    <dataValidation type="list" allowBlank="1" showInputMessage="1" showErrorMessage="1" sqref="J2:J497">
      <formula1>$AP$2:$AP$27</formula1>
    </dataValidation>
    <dataValidation type="list" allowBlank="1" showInputMessage="1" showErrorMessage="1" sqref="A3:A497">
      <formula1>$AE$2:$AE$19</formula1>
    </dataValidation>
    <dataValidation type="list" allowBlank="1" showInputMessage="1" showErrorMessage="1" sqref="K127:K497">
      <formula1>$AR$2:$AR$25</formula1>
    </dataValidation>
    <dataValidation type="list" allowBlank="1" showInputMessage="1" showErrorMessage="1" sqref="Y2:AA497">
      <formula1>$AV$2:$AV$21</formula1>
    </dataValidation>
    <dataValidation type="decimal" allowBlank="1" showInputMessage="1" showErrorMessage="1" error="硬度を正しく入力して下さい。" sqref="O2:P497">
      <formula1>0</formula1>
      <formula2>7</formula2>
    </dataValidation>
    <dataValidation type="list" allowBlank="1" showInputMessage="1" showErrorMessage="1" sqref="F1:F1048576">
      <formula1>$AH$2:$AH$11</formula1>
    </dataValidation>
    <dataValidation type="list" allowBlank="1" showInputMessage="1" showErrorMessage="1" sqref="K2:K126">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48"/>
  <sheetViews>
    <sheetView zoomScale="70" zoomScaleNormal="70" workbookViewId="0">
      <selection activeCell="AB2" sqref="AB2"/>
    </sheetView>
  </sheetViews>
  <sheetFormatPr defaultColWidth="9" defaultRowHeight="13.5" x14ac:dyDescent="0.15"/>
  <cols>
    <col min="1" max="3" width="9" style="237"/>
    <col min="4" max="4" width="11" style="237" bestFit="1" customWidth="1"/>
    <col min="5" max="5" width="10.875" style="237" bestFit="1" customWidth="1"/>
    <col min="6" max="16" width="9" style="237"/>
    <col min="17" max="17" width="9" style="57"/>
    <col min="18" max="18" width="9" style="237"/>
    <col min="19" max="19" width="11.625" style="237" bestFit="1" customWidth="1"/>
    <col min="20" max="20" width="9" style="57"/>
    <col min="21" max="21" width="9" style="237"/>
    <col min="22" max="22" width="9" style="58"/>
    <col min="23" max="32" width="9" style="237"/>
    <col min="33" max="33" width="14.375" style="237" bestFit="1" customWidth="1"/>
    <col min="34" max="34" width="11.375" style="237" bestFit="1" customWidth="1"/>
    <col min="35" max="16384" width="9" style="237"/>
  </cols>
  <sheetData>
    <row r="1" spans="1:53" ht="45" x14ac:dyDescent="0.15">
      <c r="A1" s="240" t="s">
        <v>0</v>
      </c>
      <c r="B1" s="202" t="s">
        <v>1</v>
      </c>
      <c r="C1" s="202" t="s">
        <v>285</v>
      </c>
      <c r="D1" s="203" t="s">
        <v>3</v>
      </c>
      <c r="E1" s="241" t="s">
        <v>4</v>
      </c>
      <c r="F1" s="241" t="s">
        <v>5</v>
      </c>
      <c r="G1" s="241" t="s">
        <v>6</v>
      </c>
      <c r="H1" s="241" t="s">
        <v>7</v>
      </c>
      <c r="I1" s="241" t="s">
        <v>8</v>
      </c>
      <c r="J1" s="241" t="s">
        <v>9</v>
      </c>
      <c r="K1" s="241" t="s">
        <v>10</v>
      </c>
      <c r="L1" s="203" t="s">
        <v>159</v>
      </c>
      <c r="M1" s="203" t="s">
        <v>12</v>
      </c>
      <c r="N1" s="203" t="s">
        <v>13</v>
      </c>
      <c r="O1" s="203" t="s">
        <v>270</v>
      </c>
      <c r="P1" s="203" t="s">
        <v>15</v>
      </c>
      <c r="Q1" s="53" t="s">
        <v>16</v>
      </c>
      <c r="R1" s="203" t="s">
        <v>354</v>
      </c>
      <c r="S1" s="203" t="s">
        <v>286</v>
      </c>
      <c r="T1" s="53" t="s">
        <v>19</v>
      </c>
      <c r="U1" s="205" t="s">
        <v>108</v>
      </c>
      <c r="V1" s="54" t="s">
        <v>20</v>
      </c>
      <c r="W1" s="203" t="s">
        <v>21</v>
      </c>
      <c r="X1" s="241" t="s">
        <v>22</v>
      </c>
      <c r="Y1" s="241" t="s">
        <v>23</v>
      </c>
      <c r="Z1" s="241" t="s">
        <v>24</v>
      </c>
      <c r="AA1" s="241" t="s">
        <v>25</v>
      </c>
      <c r="AB1" s="242" t="s">
        <v>160</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161</v>
      </c>
      <c r="AY1" s="214" t="s">
        <v>162</v>
      </c>
      <c r="AZ1" s="214" t="s">
        <v>163</v>
      </c>
      <c r="BA1" s="215" t="s">
        <v>173</v>
      </c>
    </row>
    <row r="2" spans="1:53" s="55" customFormat="1" x14ac:dyDescent="0.15">
      <c r="A2" s="55" t="s">
        <v>41</v>
      </c>
      <c r="B2" s="237" t="s">
        <v>348</v>
      </c>
      <c r="C2" s="152">
        <v>2018</v>
      </c>
      <c r="D2" s="56" t="s">
        <v>355</v>
      </c>
      <c r="E2" s="237" t="s">
        <v>133</v>
      </c>
      <c r="F2" s="237" t="s">
        <v>305</v>
      </c>
      <c r="G2" s="55" t="s">
        <v>42</v>
      </c>
      <c r="H2" s="55" t="s">
        <v>157</v>
      </c>
      <c r="I2" s="55" t="s">
        <v>155</v>
      </c>
      <c r="J2" s="55" t="s">
        <v>38</v>
      </c>
      <c r="K2" s="55" t="s">
        <v>156</v>
      </c>
      <c r="L2" s="237">
        <v>1</v>
      </c>
      <c r="M2" s="237"/>
      <c r="N2" s="55">
        <v>1</v>
      </c>
      <c r="O2" s="55">
        <v>0.75</v>
      </c>
      <c r="P2" s="55">
        <v>0.6</v>
      </c>
      <c r="Q2" s="57">
        <f t="shared" ref="Q2:Q65" si="0">IF(OR(O2="",P2=""),"",AVERAGE(O2,P2))</f>
        <v>0.67500000000000004</v>
      </c>
      <c r="R2" s="55">
        <v>15.2</v>
      </c>
      <c r="S2" s="55">
        <v>134</v>
      </c>
      <c r="T2" s="57">
        <f t="shared" ref="T2:T65" si="1">IF(H2="","",IF(OR(H2="GREEN",H2="GK"),IF(S2&gt;=$AX$2,VLOOKUP(S2,$AX$2:$AY$10,2,1),""),IF(S2&gt;=$AZ$2,VLOOKUP(S2,$AZ$2:$BA$10,2,1),"")))</f>
        <v>25</v>
      </c>
      <c r="U2" s="237">
        <v>105</v>
      </c>
      <c r="V2" s="58">
        <f t="shared" ref="V2:V65" si="2">IF(OR(N2="",U2="",T2=""),"",U2/N2*T2)</f>
        <v>2625</v>
      </c>
      <c r="W2" s="237">
        <v>4</v>
      </c>
      <c r="X2" s="55" t="s">
        <v>46</v>
      </c>
      <c r="Y2" s="55" t="s">
        <v>97</v>
      </c>
      <c r="Z2" s="55" t="s">
        <v>69</v>
      </c>
      <c r="AA2" s="55" t="s">
        <v>88</v>
      </c>
      <c r="AB2" s="55" t="s">
        <v>360</v>
      </c>
      <c r="AE2" s="218" t="s">
        <v>35</v>
      </c>
      <c r="AG2" s="59" t="s">
        <v>133</v>
      </c>
      <c r="AH2" s="60" t="s">
        <v>305</v>
      </c>
      <c r="AJ2" s="243" t="s">
        <v>36</v>
      </c>
      <c r="AL2" s="243" t="s">
        <v>127</v>
      </c>
      <c r="AN2" s="243" t="s">
        <v>37</v>
      </c>
      <c r="AP2" s="243" t="s">
        <v>38</v>
      </c>
      <c r="AR2" s="243" t="s">
        <v>120</v>
      </c>
      <c r="AT2" s="243" t="s">
        <v>39</v>
      </c>
      <c r="AV2" s="243" t="s">
        <v>40</v>
      </c>
      <c r="AX2" s="61">
        <v>1</v>
      </c>
      <c r="AY2" s="62">
        <v>50</v>
      </c>
      <c r="AZ2" s="62">
        <v>1</v>
      </c>
      <c r="BA2" s="63">
        <v>50</v>
      </c>
    </row>
    <row r="3" spans="1:53" x14ac:dyDescent="0.15">
      <c r="A3" s="55" t="s">
        <v>41</v>
      </c>
      <c r="B3" s="237" t="s">
        <v>348</v>
      </c>
      <c r="C3" s="152">
        <v>2018</v>
      </c>
      <c r="D3" s="56" t="s">
        <v>355</v>
      </c>
      <c r="E3" s="237" t="s">
        <v>133</v>
      </c>
      <c r="F3" s="237" t="s">
        <v>305</v>
      </c>
      <c r="G3" s="55" t="s">
        <v>42</v>
      </c>
      <c r="H3" s="55" t="s">
        <v>157</v>
      </c>
      <c r="I3" s="55" t="s">
        <v>155</v>
      </c>
      <c r="J3" s="55" t="s">
        <v>38</v>
      </c>
      <c r="K3" s="55" t="s">
        <v>156</v>
      </c>
      <c r="L3" s="237">
        <v>2</v>
      </c>
      <c r="N3" s="55">
        <v>1</v>
      </c>
      <c r="O3" s="55">
        <v>0.6</v>
      </c>
      <c r="P3" s="55">
        <v>0.75</v>
      </c>
      <c r="Q3" s="82">
        <f t="shared" si="0"/>
        <v>0.67500000000000004</v>
      </c>
      <c r="R3" s="55">
        <v>16.5</v>
      </c>
      <c r="S3" s="55">
        <v>137</v>
      </c>
      <c r="T3" s="57">
        <f t="shared" si="1"/>
        <v>25</v>
      </c>
      <c r="U3" s="237">
        <v>105</v>
      </c>
      <c r="V3" s="58">
        <f t="shared" si="2"/>
        <v>2625</v>
      </c>
      <c r="W3" s="237">
        <v>4</v>
      </c>
      <c r="X3" s="55" t="s">
        <v>46</v>
      </c>
      <c r="Y3" s="55" t="s">
        <v>97</v>
      </c>
      <c r="Z3" s="55" t="s">
        <v>69</v>
      </c>
      <c r="AA3" s="55" t="s">
        <v>88</v>
      </c>
      <c r="AB3" s="55" t="s">
        <v>350</v>
      </c>
      <c r="AE3" s="223" t="s">
        <v>41</v>
      </c>
      <c r="AG3" s="64" t="s">
        <v>300</v>
      </c>
      <c r="AH3" s="64" t="s">
        <v>305</v>
      </c>
      <c r="AJ3" s="65" t="s">
        <v>42</v>
      </c>
      <c r="AL3" s="65" t="s">
        <v>128</v>
      </c>
      <c r="AN3" s="65" t="s">
        <v>43</v>
      </c>
      <c r="AP3" s="65" t="s">
        <v>44</v>
      </c>
      <c r="AR3" s="231" t="s">
        <v>45</v>
      </c>
      <c r="AT3" s="65" t="s">
        <v>46</v>
      </c>
      <c r="AV3" s="65" t="s">
        <v>47</v>
      </c>
      <c r="AX3" s="66">
        <v>72</v>
      </c>
      <c r="AY3" s="67">
        <v>46</v>
      </c>
      <c r="AZ3" s="67">
        <v>71</v>
      </c>
      <c r="BA3" s="68">
        <v>42</v>
      </c>
    </row>
    <row r="4" spans="1:53" x14ac:dyDescent="0.15">
      <c r="A4" s="55" t="s">
        <v>41</v>
      </c>
      <c r="B4" s="237" t="s">
        <v>348</v>
      </c>
      <c r="C4" s="152">
        <v>2018</v>
      </c>
      <c r="D4" s="56" t="s">
        <v>355</v>
      </c>
      <c r="E4" s="237" t="s">
        <v>133</v>
      </c>
      <c r="F4" s="237" t="s">
        <v>305</v>
      </c>
      <c r="G4" s="55" t="s">
        <v>42</v>
      </c>
      <c r="H4" s="55" t="s">
        <v>157</v>
      </c>
      <c r="I4" s="55" t="s">
        <v>155</v>
      </c>
      <c r="J4" s="55" t="s">
        <v>38</v>
      </c>
      <c r="K4" s="55" t="s">
        <v>156</v>
      </c>
      <c r="L4" s="237">
        <v>3</v>
      </c>
      <c r="N4" s="55">
        <v>1</v>
      </c>
      <c r="O4" s="55">
        <v>0.8</v>
      </c>
      <c r="P4" s="55">
        <v>0.7</v>
      </c>
      <c r="Q4" s="82">
        <f t="shared" si="0"/>
        <v>0.75</v>
      </c>
      <c r="R4" s="55">
        <v>15.3</v>
      </c>
      <c r="S4" s="55">
        <v>142</v>
      </c>
      <c r="T4" s="57">
        <f t="shared" si="1"/>
        <v>22</v>
      </c>
      <c r="U4" s="237">
        <v>105</v>
      </c>
      <c r="V4" s="58">
        <f t="shared" si="2"/>
        <v>2310</v>
      </c>
      <c r="W4" s="237">
        <v>4</v>
      </c>
      <c r="X4" s="55" t="s">
        <v>46</v>
      </c>
      <c r="Y4" s="55" t="s">
        <v>97</v>
      </c>
      <c r="Z4" s="55" t="s">
        <v>69</v>
      </c>
      <c r="AA4" s="55" t="s">
        <v>88</v>
      </c>
      <c r="AB4" s="55" t="s">
        <v>350</v>
      </c>
      <c r="AE4" s="223" t="s">
        <v>34</v>
      </c>
      <c r="AG4" s="64" t="s">
        <v>300</v>
      </c>
      <c r="AH4" s="64" t="s">
        <v>306</v>
      </c>
      <c r="AJ4" s="69" t="s">
        <v>48</v>
      </c>
      <c r="AL4" s="69" t="s">
        <v>129</v>
      </c>
      <c r="AN4" s="244" t="s">
        <v>49</v>
      </c>
      <c r="AP4" s="65" t="s">
        <v>178</v>
      </c>
      <c r="AR4" s="231" t="s">
        <v>179</v>
      </c>
      <c r="AT4" s="244"/>
      <c r="AV4" s="65" t="s">
        <v>50</v>
      </c>
      <c r="AX4" s="66">
        <v>75</v>
      </c>
      <c r="AY4" s="67">
        <v>42</v>
      </c>
      <c r="AZ4" s="67">
        <v>76</v>
      </c>
      <c r="BA4" s="68">
        <v>39</v>
      </c>
    </row>
    <row r="5" spans="1:53" s="55" customFormat="1" ht="13.5" customHeight="1" x14ac:dyDescent="0.15">
      <c r="A5" s="55" t="s">
        <v>41</v>
      </c>
      <c r="B5" s="237" t="s">
        <v>348</v>
      </c>
      <c r="C5" s="152">
        <v>2018</v>
      </c>
      <c r="D5" s="56" t="s">
        <v>356</v>
      </c>
      <c r="E5" s="237" t="s">
        <v>133</v>
      </c>
      <c r="F5" s="237" t="s">
        <v>305</v>
      </c>
      <c r="G5" s="55" t="s">
        <v>42</v>
      </c>
      <c r="H5" s="55" t="s">
        <v>164</v>
      </c>
      <c r="I5" s="55" t="s">
        <v>155</v>
      </c>
      <c r="J5" s="55" t="s">
        <v>38</v>
      </c>
      <c r="K5" s="55" t="s">
        <v>156</v>
      </c>
      <c r="L5" s="237">
        <v>1</v>
      </c>
      <c r="N5" s="55">
        <v>1</v>
      </c>
      <c r="O5" s="55">
        <v>0.3</v>
      </c>
      <c r="P5" s="55">
        <v>0.15</v>
      </c>
      <c r="Q5" s="82">
        <f t="shared" si="0"/>
        <v>0.22499999999999998</v>
      </c>
      <c r="R5" s="55">
        <v>13.4</v>
      </c>
      <c r="S5" s="55">
        <v>138</v>
      </c>
      <c r="T5" s="77">
        <f t="shared" si="1"/>
        <v>22</v>
      </c>
      <c r="U5" s="55">
        <v>149</v>
      </c>
      <c r="V5" s="78">
        <f t="shared" si="2"/>
        <v>3278</v>
      </c>
      <c r="W5" s="55">
        <v>2</v>
      </c>
      <c r="X5" s="55" t="s">
        <v>46</v>
      </c>
      <c r="Y5" s="55" t="s">
        <v>97</v>
      </c>
      <c r="Z5" s="55" t="s">
        <v>69</v>
      </c>
      <c r="AA5" s="55" t="s">
        <v>88</v>
      </c>
      <c r="AB5" s="55" t="s">
        <v>350</v>
      </c>
      <c r="AC5" s="237"/>
      <c r="AD5" s="237"/>
      <c r="AE5" s="70" t="s">
        <v>165</v>
      </c>
      <c r="AG5" s="64" t="s">
        <v>301</v>
      </c>
      <c r="AH5" s="64" t="s">
        <v>305</v>
      </c>
      <c r="AJ5" s="71"/>
      <c r="AL5" s="72" t="s">
        <v>166</v>
      </c>
      <c r="AN5" s="72" t="s">
        <v>167</v>
      </c>
      <c r="AP5" s="231" t="s">
        <v>259</v>
      </c>
      <c r="AR5" s="231" t="s">
        <v>54</v>
      </c>
      <c r="AV5" s="231" t="s">
        <v>55</v>
      </c>
      <c r="AX5" s="73">
        <v>84</v>
      </c>
      <c r="AY5" s="74">
        <v>39</v>
      </c>
      <c r="AZ5" s="74">
        <v>84</v>
      </c>
      <c r="BA5" s="75">
        <v>36</v>
      </c>
    </row>
    <row r="6" spans="1:53" x14ac:dyDescent="0.15">
      <c r="A6" s="55" t="s">
        <v>41</v>
      </c>
      <c r="B6" s="237" t="s">
        <v>348</v>
      </c>
      <c r="C6" s="152">
        <v>2018</v>
      </c>
      <c r="D6" s="56" t="s">
        <v>356</v>
      </c>
      <c r="E6" s="237" t="s">
        <v>133</v>
      </c>
      <c r="F6" s="237" t="s">
        <v>305</v>
      </c>
      <c r="G6" s="55" t="s">
        <v>42</v>
      </c>
      <c r="H6" s="55" t="s">
        <v>164</v>
      </c>
      <c r="I6" s="55" t="s">
        <v>155</v>
      </c>
      <c r="J6" s="55" t="s">
        <v>38</v>
      </c>
      <c r="K6" s="55" t="s">
        <v>156</v>
      </c>
      <c r="L6" s="237">
        <v>2</v>
      </c>
      <c r="N6" s="55">
        <v>1</v>
      </c>
      <c r="O6" s="55">
        <v>0.45</v>
      </c>
      <c r="P6" s="55">
        <v>0.4</v>
      </c>
      <c r="Q6" s="82">
        <f t="shared" si="0"/>
        <v>0.42500000000000004</v>
      </c>
      <c r="R6" s="55">
        <v>15</v>
      </c>
      <c r="S6" s="55">
        <v>120</v>
      </c>
      <c r="T6" s="77">
        <f t="shared" si="1"/>
        <v>30</v>
      </c>
      <c r="U6" s="55">
        <v>149</v>
      </c>
      <c r="V6" s="58">
        <f t="shared" si="2"/>
        <v>4470</v>
      </c>
      <c r="W6" s="237">
        <v>2</v>
      </c>
      <c r="X6" s="55" t="s">
        <v>46</v>
      </c>
      <c r="Y6" s="55" t="s">
        <v>97</v>
      </c>
      <c r="Z6" s="55" t="s">
        <v>69</v>
      </c>
      <c r="AA6" s="55" t="s">
        <v>88</v>
      </c>
      <c r="AB6" s="55" t="s">
        <v>350</v>
      </c>
      <c r="AE6" s="223" t="s">
        <v>56</v>
      </c>
      <c r="AG6" s="64" t="s">
        <v>301</v>
      </c>
      <c r="AH6" s="64" t="s">
        <v>307</v>
      </c>
      <c r="AL6" s="72" t="s">
        <v>168</v>
      </c>
      <c r="AN6" s="72" t="s">
        <v>169</v>
      </c>
      <c r="AP6" s="65" t="s">
        <v>53</v>
      </c>
      <c r="AR6" s="231" t="s">
        <v>59</v>
      </c>
      <c r="AV6" s="65" t="s">
        <v>60</v>
      </c>
      <c r="AX6" s="66">
        <v>97</v>
      </c>
      <c r="AY6" s="67">
        <v>36</v>
      </c>
      <c r="AZ6" s="67">
        <v>99</v>
      </c>
      <c r="BA6" s="68">
        <v>33</v>
      </c>
    </row>
    <row r="7" spans="1:53" x14ac:dyDescent="0.15">
      <c r="A7" s="55" t="s">
        <v>41</v>
      </c>
      <c r="B7" s="237" t="s">
        <v>348</v>
      </c>
      <c r="C7" s="152">
        <v>2018</v>
      </c>
      <c r="D7" s="56" t="s">
        <v>356</v>
      </c>
      <c r="E7" s="237" t="s">
        <v>133</v>
      </c>
      <c r="F7" s="237" t="s">
        <v>305</v>
      </c>
      <c r="G7" s="55" t="s">
        <v>42</v>
      </c>
      <c r="H7" s="55" t="s">
        <v>164</v>
      </c>
      <c r="I7" s="55" t="s">
        <v>155</v>
      </c>
      <c r="J7" s="55" t="s">
        <v>38</v>
      </c>
      <c r="K7" s="55" t="s">
        <v>156</v>
      </c>
      <c r="L7" s="237">
        <v>3</v>
      </c>
      <c r="N7" s="55">
        <v>1</v>
      </c>
      <c r="O7" s="55">
        <v>0.15</v>
      </c>
      <c r="P7" s="55">
        <v>0.2</v>
      </c>
      <c r="Q7" s="82">
        <f t="shared" si="0"/>
        <v>0.17499999999999999</v>
      </c>
      <c r="R7" s="55">
        <v>14.1</v>
      </c>
      <c r="S7" s="55">
        <v>124</v>
      </c>
      <c r="T7" s="77">
        <f t="shared" si="1"/>
        <v>27</v>
      </c>
      <c r="U7" s="55">
        <v>149</v>
      </c>
      <c r="V7" s="58">
        <f t="shared" si="2"/>
        <v>4023</v>
      </c>
      <c r="W7" s="237">
        <v>2</v>
      </c>
      <c r="X7" s="55" t="s">
        <v>46</v>
      </c>
      <c r="Y7" s="55" t="s">
        <v>97</v>
      </c>
      <c r="Z7" s="55" t="s">
        <v>69</v>
      </c>
      <c r="AA7" s="55" t="s">
        <v>88</v>
      </c>
      <c r="AB7" s="55" t="s">
        <v>350</v>
      </c>
      <c r="AE7" s="223" t="s">
        <v>61</v>
      </c>
      <c r="AG7" s="64" t="s">
        <v>302</v>
      </c>
      <c r="AH7" s="64" t="s">
        <v>307</v>
      </c>
      <c r="AL7" s="76" t="s">
        <v>184</v>
      </c>
      <c r="AP7" s="65" t="s">
        <v>58</v>
      </c>
      <c r="AR7" s="231" t="s">
        <v>122</v>
      </c>
      <c r="AV7" s="65" t="s">
        <v>64</v>
      </c>
      <c r="AX7" s="66">
        <v>109</v>
      </c>
      <c r="AY7" s="67">
        <v>33</v>
      </c>
      <c r="AZ7" s="67">
        <v>113</v>
      </c>
      <c r="BA7" s="68">
        <v>30</v>
      </c>
    </row>
    <row r="8" spans="1:53" x14ac:dyDescent="0.15">
      <c r="A8" s="55" t="s">
        <v>41</v>
      </c>
      <c r="B8" s="237" t="s">
        <v>348</v>
      </c>
      <c r="C8" s="152">
        <v>2018</v>
      </c>
      <c r="D8" s="56" t="s">
        <v>356</v>
      </c>
      <c r="E8" s="237" t="s">
        <v>133</v>
      </c>
      <c r="F8" s="237" t="s">
        <v>305</v>
      </c>
      <c r="G8" s="55" t="s">
        <v>42</v>
      </c>
      <c r="H8" s="55" t="s">
        <v>164</v>
      </c>
      <c r="I8" s="55" t="s">
        <v>155</v>
      </c>
      <c r="J8" s="55" t="s">
        <v>38</v>
      </c>
      <c r="K8" s="55" t="s">
        <v>156</v>
      </c>
      <c r="L8" s="237">
        <v>1</v>
      </c>
      <c r="M8" s="55"/>
      <c r="N8" s="55">
        <v>6</v>
      </c>
      <c r="O8" s="55">
        <v>0.2</v>
      </c>
      <c r="P8" s="55">
        <v>0.2</v>
      </c>
      <c r="Q8" s="82">
        <f t="shared" si="0"/>
        <v>0.2</v>
      </c>
      <c r="R8" s="55">
        <v>16.8</v>
      </c>
      <c r="S8" s="55">
        <v>130</v>
      </c>
      <c r="T8" s="77">
        <f t="shared" si="1"/>
        <v>25</v>
      </c>
      <c r="U8" s="55">
        <v>861</v>
      </c>
      <c r="V8" s="78">
        <f t="shared" si="2"/>
        <v>3587.5</v>
      </c>
      <c r="W8" s="55">
        <v>2</v>
      </c>
      <c r="X8" s="55" t="s">
        <v>46</v>
      </c>
      <c r="Y8" s="55" t="s">
        <v>97</v>
      </c>
      <c r="Z8" s="55" t="s">
        <v>69</v>
      </c>
      <c r="AA8" s="55" t="s">
        <v>88</v>
      </c>
      <c r="AB8" s="55" t="s">
        <v>350</v>
      </c>
      <c r="AC8" s="55"/>
      <c r="AD8" s="55"/>
      <c r="AE8" s="223" t="s">
        <v>59</v>
      </c>
      <c r="AG8" s="64" t="s">
        <v>303</v>
      </c>
      <c r="AH8" s="64" t="s">
        <v>308</v>
      </c>
      <c r="AL8" s="76" t="s">
        <v>357</v>
      </c>
      <c r="AP8" s="65" t="s">
        <v>62</v>
      </c>
      <c r="AR8" s="231" t="s">
        <v>81</v>
      </c>
      <c r="AV8" s="65" t="s">
        <v>97</v>
      </c>
      <c r="AX8" s="66">
        <v>119</v>
      </c>
      <c r="AY8" s="67">
        <v>30</v>
      </c>
      <c r="AZ8" s="67">
        <v>121</v>
      </c>
      <c r="BA8" s="68">
        <v>27</v>
      </c>
    </row>
    <row r="9" spans="1:53" x14ac:dyDescent="0.15">
      <c r="A9" s="55" t="s">
        <v>41</v>
      </c>
      <c r="B9" s="237" t="s">
        <v>348</v>
      </c>
      <c r="C9" s="152">
        <v>2018</v>
      </c>
      <c r="D9" s="56" t="s">
        <v>356</v>
      </c>
      <c r="E9" s="237" t="s">
        <v>133</v>
      </c>
      <c r="F9" s="237" t="s">
        <v>305</v>
      </c>
      <c r="G9" s="55" t="s">
        <v>42</v>
      </c>
      <c r="H9" s="55" t="s">
        <v>164</v>
      </c>
      <c r="I9" s="55" t="s">
        <v>155</v>
      </c>
      <c r="J9" s="55" t="s">
        <v>38</v>
      </c>
      <c r="K9" s="55" t="s">
        <v>156</v>
      </c>
      <c r="L9" s="237">
        <v>2</v>
      </c>
      <c r="N9" s="55">
        <v>6</v>
      </c>
      <c r="O9" s="55">
        <v>0.2</v>
      </c>
      <c r="P9" s="55">
        <v>0.35</v>
      </c>
      <c r="Q9" s="82">
        <f t="shared" si="0"/>
        <v>0.27500000000000002</v>
      </c>
      <c r="R9" s="55">
        <v>17</v>
      </c>
      <c r="S9" s="55">
        <v>124</v>
      </c>
      <c r="T9" s="77">
        <f t="shared" si="1"/>
        <v>27</v>
      </c>
      <c r="U9" s="55">
        <v>861</v>
      </c>
      <c r="V9" s="58">
        <f t="shared" si="2"/>
        <v>3874.5</v>
      </c>
      <c r="W9" s="237">
        <v>2</v>
      </c>
      <c r="X9" s="55" t="s">
        <v>46</v>
      </c>
      <c r="Y9" s="55" t="s">
        <v>97</v>
      </c>
      <c r="Z9" s="55" t="s">
        <v>69</v>
      </c>
      <c r="AA9" s="55" t="s">
        <v>88</v>
      </c>
      <c r="AB9" s="55" t="s">
        <v>350</v>
      </c>
      <c r="AE9" s="223" t="s">
        <v>98</v>
      </c>
      <c r="AG9" s="64" t="s">
        <v>303</v>
      </c>
      <c r="AH9" s="64" t="s">
        <v>309</v>
      </c>
      <c r="AL9" s="72"/>
      <c r="AP9" s="65" t="s">
        <v>95</v>
      </c>
      <c r="AR9" s="231" t="s">
        <v>89</v>
      </c>
      <c r="AV9" s="65" t="s">
        <v>102</v>
      </c>
      <c r="AX9" s="66">
        <v>128</v>
      </c>
      <c r="AY9" s="67">
        <v>27</v>
      </c>
      <c r="AZ9" s="67">
        <v>129</v>
      </c>
      <c r="BA9" s="68">
        <v>25</v>
      </c>
    </row>
    <row r="10" spans="1:53" x14ac:dyDescent="0.15">
      <c r="A10" s="55" t="s">
        <v>41</v>
      </c>
      <c r="B10" s="237" t="s">
        <v>348</v>
      </c>
      <c r="C10" s="152">
        <v>2018</v>
      </c>
      <c r="D10" s="56" t="s">
        <v>356</v>
      </c>
      <c r="E10" s="237" t="s">
        <v>133</v>
      </c>
      <c r="F10" s="237" t="s">
        <v>305</v>
      </c>
      <c r="G10" s="55" t="s">
        <v>42</v>
      </c>
      <c r="H10" s="55" t="s">
        <v>164</v>
      </c>
      <c r="I10" s="55" t="s">
        <v>155</v>
      </c>
      <c r="J10" s="55" t="s">
        <v>38</v>
      </c>
      <c r="K10" s="55" t="s">
        <v>156</v>
      </c>
      <c r="L10" s="237">
        <v>3</v>
      </c>
      <c r="N10" s="55">
        <v>6</v>
      </c>
      <c r="O10" s="55">
        <v>0.35</v>
      </c>
      <c r="P10" s="55">
        <v>0.2</v>
      </c>
      <c r="Q10" s="82">
        <f t="shared" si="0"/>
        <v>0.27500000000000002</v>
      </c>
      <c r="R10" s="55">
        <v>15.8</v>
      </c>
      <c r="S10" s="55">
        <v>127</v>
      </c>
      <c r="T10" s="77">
        <f t="shared" si="1"/>
        <v>27</v>
      </c>
      <c r="U10" s="55">
        <v>861</v>
      </c>
      <c r="V10" s="58">
        <f t="shared" si="2"/>
        <v>3874.5</v>
      </c>
      <c r="W10" s="237">
        <v>2</v>
      </c>
      <c r="X10" s="55" t="s">
        <v>46</v>
      </c>
      <c r="Y10" s="55" t="s">
        <v>97</v>
      </c>
      <c r="Z10" s="55" t="s">
        <v>69</v>
      </c>
      <c r="AA10" s="55" t="s">
        <v>88</v>
      </c>
      <c r="AB10" s="55" t="s">
        <v>350</v>
      </c>
      <c r="AE10" s="223" t="s">
        <v>103</v>
      </c>
      <c r="AG10" s="64" t="s">
        <v>304</v>
      </c>
      <c r="AH10" s="64" t="s">
        <v>310</v>
      </c>
      <c r="AL10" s="76"/>
      <c r="AP10" s="65" t="s">
        <v>100</v>
      </c>
      <c r="AR10" s="231" t="s">
        <v>123</v>
      </c>
      <c r="AV10" s="65" t="s">
        <v>106</v>
      </c>
      <c r="AX10" s="66">
        <v>138</v>
      </c>
      <c r="AY10" s="67">
        <v>25</v>
      </c>
      <c r="AZ10" s="67">
        <v>138</v>
      </c>
      <c r="BA10" s="68">
        <v>22</v>
      </c>
    </row>
    <row r="11" spans="1:53" x14ac:dyDescent="0.15">
      <c r="A11" s="55" t="s">
        <v>41</v>
      </c>
      <c r="B11" s="237" t="s">
        <v>348</v>
      </c>
      <c r="C11" s="152">
        <v>2018</v>
      </c>
      <c r="D11" s="56" t="s">
        <v>356</v>
      </c>
      <c r="E11" s="237" t="s">
        <v>133</v>
      </c>
      <c r="F11" s="237" t="s">
        <v>305</v>
      </c>
      <c r="G11" s="55" t="s">
        <v>42</v>
      </c>
      <c r="H11" s="55" t="s">
        <v>157</v>
      </c>
      <c r="I11" s="55" t="s">
        <v>158</v>
      </c>
      <c r="J11" s="55" t="s">
        <v>38</v>
      </c>
      <c r="K11" s="55" t="s">
        <v>156</v>
      </c>
      <c r="L11" s="237">
        <v>1</v>
      </c>
      <c r="M11" s="55"/>
      <c r="N11" s="55">
        <v>8</v>
      </c>
      <c r="O11" s="55">
        <v>0.95</v>
      </c>
      <c r="P11" s="55">
        <v>1</v>
      </c>
      <c r="Q11" s="82">
        <f t="shared" si="0"/>
        <v>0.97499999999999998</v>
      </c>
      <c r="R11" s="55">
        <v>15.9</v>
      </c>
      <c r="S11" s="55">
        <v>135</v>
      </c>
      <c r="T11" s="77">
        <f t="shared" si="1"/>
        <v>25</v>
      </c>
      <c r="U11" s="55">
        <v>645</v>
      </c>
      <c r="V11" s="78">
        <f t="shared" si="2"/>
        <v>2015.625</v>
      </c>
      <c r="W11" s="55">
        <v>2</v>
      </c>
      <c r="X11" s="55" t="s">
        <v>46</v>
      </c>
      <c r="Y11" s="55" t="s">
        <v>97</v>
      </c>
      <c r="Z11" s="55" t="s">
        <v>69</v>
      </c>
      <c r="AA11" s="55" t="s">
        <v>88</v>
      </c>
      <c r="AB11" s="55" t="s">
        <v>350</v>
      </c>
      <c r="AE11" s="223" t="s">
        <v>65</v>
      </c>
      <c r="AG11" s="64" t="s">
        <v>172</v>
      </c>
      <c r="AH11" s="64" t="s">
        <v>311</v>
      </c>
      <c r="AL11" s="76"/>
      <c r="AP11" s="65" t="s">
        <v>104</v>
      </c>
      <c r="AR11" s="231" t="s">
        <v>87</v>
      </c>
      <c r="AV11" s="65" t="s">
        <v>69</v>
      </c>
      <c r="AX11" s="66">
        <v>151</v>
      </c>
      <c r="AY11" s="67">
        <v>22</v>
      </c>
      <c r="AZ11" s="67">
        <v>152</v>
      </c>
      <c r="BA11" s="68">
        <v>18</v>
      </c>
    </row>
    <row r="12" spans="1:53" x14ac:dyDescent="0.15">
      <c r="A12" s="55" t="s">
        <v>41</v>
      </c>
      <c r="B12" s="237" t="s">
        <v>348</v>
      </c>
      <c r="C12" s="152">
        <v>2018</v>
      </c>
      <c r="D12" s="56" t="s">
        <v>356</v>
      </c>
      <c r="E12" s="237" t="s">
        <v>133</v>
      </c>
      <c r="F12" s="237" t="s">
        <v>305</v>
      </c>
      <c r="G12" s="55" t="s">
        <v>42</v>
      </c>
      <c r="H12" s="55" t="s">
        <v>157</v>
      </c>
      <c r="I12" s="55" t="s">
        <v>158</v>
      </c>
      <c r="J12" s="55" t="s">
        <v>38</v>
      </c>
      <c r="K12" s="55" t="s">
        <v>156</v>
      </c>
      <c r="L12" s="237">
        <v>2</v>
      </c>
      <c r="N12" s="55">
        <v>8</v>
      </c>
      <c r="O12" s="55">
        <v>1</v>
      </c>
      <c r="P12" s="55">
        <v>0.95</v>
      </c>
      <c r="Q12" s="82">
        <f t="shared" si="0"/>
        <v>0.97499999999999998</v>
      </c>
      <c r="R12" s="55">
        <v>12.3</v>
      </c>
      <c r="S12" s="55">
        <v>127</v>
      </c>
      <c r="T12" s="77">
        <f t="shared" si="1"/>
        <v>27</v>
      </c>
      <c r="U12" s="55">
        <v>645</v>
      </c>
      <c r="V12" s="78">
        <f t="shared" si="2"/>
        <v>2176.875</v>
      </c>
      <c r="W12" s="55">
        <v>2</v>
      </c>
      <c r="X12" s="55" t="s">
        <v>46</v>
      </c>
      <c r="Y12" s="55" t="s">
        <v>97</v>
      </c>
      <c r="Z12" s="55" t="s">
        <v>69</v>
      </c>
      <c r="AA12" s="55" t="s">
        <v>88</v>
      </c>
      <c r="AB12" s="55" t="s">
        <v>350</v>
      </c>
      <c r="AE12" s="223" t="s">
        <v>70</v>
      </c>
      <c r="AG12" s="70"/>
      <c r="AH12" s="70"/>
      <c r="AL12" s="76"/>
      <c r="AP12" s="65" t="s">
        <v>67</v>
      </c>
      <c r="AR12" s="231" t="s">
        <v>124</v>
      </c>
      <c r="AV12" s="65" t="s">
        <v>72</v>
      </c>
      <c r="AX12" s="79">
        <v>180</v>
      </c>
      <c r="AY12" s="80">
        <v>18</v>
      </c>
      <c r="AZ12" s="80">
        <v>181</v>
      </c>
      <c r="BA12" s="81">
        <v>16</v>
      </c>
    </row>
    <row r="13" spans="1:53" x14ac:dyDescent="0.15">
      <c r="A13" s="55" t="s">
        <v>41</v>
      </c>
      <c r="B13" s="237" t="s">
        <v>348</v>
      </c>
      <c r="C13" s="152">
        <v>2018</v>
      </c>
      <c r="D13" s="56" t="s">
        <v>356</v>
      </c>
      <c r="E13" s="237" t="s">
        <v>133</v>
      </c>
      <c r="F13" s="237" t="s">
        <v>305</v>
      </c>
      <c r="G13" s="55" t="s">
        <v>42</v>
      </c>
      <c r="H13" s="55" t="s">
        <v>157</v>
      </c>
      <c r="I13" s="55" t="s">
        <v>158</v>
      </c>
      <c r="J13" s="55" t="s">
        <v>38</v>
      </c>
      <c r="K13" s="55" t="s">
        <v>156</v>
      </c>
      <c r="L13" s="237">
        <v>3</v>
      </c>
      <c r="N13" s="55">
        <v>8</v>
      </c>
      <c r="O13" s="55">
        <v>1.2</v>
      </c>
      <c r="P13" s="55">
        <v>1</v>
      </c>
      <c r="Q13" s="82">
        <f t="shared" si="0"/>
        <v>1.1000000000000001</v>
      </c>
      <c r="R13" s="55">
        <v>15.1</v>
      </c>
      <c r="S13" s="55">
        <v>136</v>
      </c>
      <c r="T13" s="77">
        <f t="shared" si="1"/>
        <v>25</v>
      </c>
      <c r="U13" s="55">
        <v>645</v>
      </c>
      <c r="V13" s="78">
        <f t="shared" si="2"/>
        <v>2015.625</v>
      </c>
      <c r="W13" s="237">
        <v>2</v>
      </c>
      <c r="X13" s="55" t="s">
        <v>46</v>
      </c>
      <c r="Y13" s="55" t="s">
        <v>97</v>
      </c>
      <c r="Z13" s="55" t="s">
        <v>69</v>
      </c>
      <c r="AA13" s="55" t="s">
        <v>88</v>
      </c>
      <c r="AB13" s="55" t="s">
        <v>350</v>
      </c>
      <c r="AE13" s="223" t="s">
        <v>73</v>
      </c>
      <c r="AG13" s="231"/>
      <c r="AH13" s="231"/>
      <c r="AP13" s="65" t="s">
        <v>71</v>
      </c>
      <c r="AR13" s="231" t="s">
        <v>103</v>
      </c>
      <c r="AV13" s="65" t="s">
        <v>75</v>
      </c>
    </row>
    <row r="14" spans="1:53" x14ac:dyDescent="0.15">
      <c r="A14" s="55" t="s">
        <v>41</v>
      </c>
      <c r="B14" s="237" t="s">
        <v>348</v>
      </c>
      <c r="C14" s="152">
        <v>2018</v>
      </c>
      <c r="D14" s="56" t="s">
        <v>356</v>
      </c>
      <c r="E14" s="237" t="s">
        <v>300</v>
      </c>
      <c r="F14" s="55" t="s">
        <v>305</v>
      </c>
      <c r="G14" s="55" t="s">
        <v>42</v>
      </c>
      <c r="H14" s="55" t="s">
        <v>164</v>
      </c>
      <c r="I14" s="55" t="s">
        <v>155</v>
      </c>
      <c r="J14" s="55" t="s">
        <v>38</v>
      </c>
      <c r="K14" s="55" t="s">
        <v>156</v>
      </c>
      <c r="L14" s="237">
        <v>1</v>
      </c>
      <c r="M14" s="55"/>
      <c r="N14" s="55">
        <v>6</v>
      </c>
      <c r="O14" s="55">
        <v>0.5</v>
      </c>
      <c r="P14" s="55">
        <v>0.4</v>
      </c>
      <c r="Q14" s="82">
        <f t="shared" si="0"/>
        <v>0.45</v>
      </c>
      <c r="R14" s="55">
        <v>15.9</v>
      </c>
      <c r="S14" s="55">
        <v>121</v>
      </c>
      <c r="T14" s="77">
        <f t="shared" si="1"/>
        <v>27</v>
      </c>
      <c r="U14" s="55">
        <v>645</v>
      </c>
      <c r="V14" s="78">
        <f t="shared" si="2"/>
        <v>2902.5</v>
      </c>
      <c r="W14" s="55">
        <v>1</v>
      </c>
      <c r="X14" s="55" t="s">
        <v>46</v>
      </c>
      <c r="Y14" s="55" t="s">
        <v>88</v>
      </c>
      <c r="Z14" s="55" t="s">
        <v>97</v>
      </c>
      <c r="AA14" s="55" t="s">
        <v>86</v>
      </c>
      <c r="AB14" s="55" t="s">
        <v>350</v>
      </c>
      <c r="AE14" s="223" t="s">
        <v>76</v>
      </c>
      <c r="AG14" s="231"/>
      <c r="AH14" s="231"/>
      <c r="AP14" s="65" t="s">
        <v>74</v>
      </c>
      <c r="AR14" s="231" t="s">
        <v>125</v>
      </c>
      <c r="AV14" s="65" t="s">
        <v>78</v>
      </c>
    </row>
    <row r="15" spans="1:53" x14ac:dyDescent="0.15">
      <c r="A15" s="55" t="s">
        <v>41</v>
      </c>
      <c r="B15" s="237" t="s">
        <v>348</v>
      </c>
      <c r="C15" s="152">
        <v>2018</v>
      </c>
      <c r="D15" s="56" t="s">
        <v>356</v>
      </c>
      <c r="E15" s="237" t="s">
        <v>300</v>
      </c>
      <c r="F15" s="55" t="s">
        <v>305</v>
      </c>
      <c r="G15" s="55" t="s">
        <v>42</v>
      </c>
      <c r="H15" s="55" t="s">
        <v>164</v>
      </c>
      <c r="I15" s="55" t="s">
        <v>155</v>
      </c>
      <c r="J15" s="55" t="s">
        <v>38</v>
      </c>
      <c r="K15" s="55" t="s">
        <v>156</v>
      </c>
      <c r="L15" s="237">
        <v>2</v>
      </c>
      <c r="N15" s="55">
        <v>6</v>
      </c>
      <c r="O15" s="55">
        <v>0.25</v>
      </c>
      <c r="P15" s="55">
        <v>0.3</v>
      </c>
      <c r="Q15" s="82">
        <f t="shared" si="0"/>
        <v>0.27500000000000002</v>
      </c>
      <c r="R15" s="55">
        <v>12.3</v>
      </c>
      <c r="S15" s="55">
        <v>114</v>
      </c>
      <c r="T15" s="77">
        <f t="shared" si="1"/>
        <v>30</v>
      </c>
      <c r="U15" s="55">
        <v>645</v>
      </c>
      <c r="V15" s="78">
        <f t="shared" si="2"/>
        <v>3225</v>
      </c>
      <c r="W15" s="55">
        <v>1</v>
      </c>
      <c r="X15" s="55" t="s">
        <v>46</v>
      </c>
      <c r="Y15" s="55" t="s">
        <v>88</v>
      </c>
      <c r="Z15" s="55" t="s">
        <v>97</v>
      </c>
      <c r="AA15" s="55" t="s">
        <v>86</v>
      </c>
      <c r="AB15" s="55" t="s">
        <v>350</v>
      </c>
      <c r="AE15" s="223" t="s">
        <v>79</v>
      </c>
      <c r="AG15" s="231"/>
      <c r="AH15" s="231"/>
      <c r="AP15" s="65" t="s">
        <v>77</v>
      </c>
      <c r="AR15" s="231" t="s">
        <v>94</v>
      </c>
      <c r="AV15" s="65" t="s">
        <v>107</v>
      </c>
    </row>
    <row r="16" spans="1:53" x14ac:dyDescent="0.15">
      <c r="A16" s="55" t="s">
        <v>41</v>
      </c>
      <c r="B16" s="237" t="s">
        <v>348</v>
      </c>
      <c r="C16" s="152">
        <v>2018</v>
      </c>
      <c r="D16" s="56" t="s">
        <v>356</v>
      </c>
      <c r="E16" s="237" t="s">
        <v>300</v>
      </c>
      <c r="F16" s="55" t="s">
        <v>305</v>
      </c>
      <c r="G16" s="55" t="s">
        <v>42</v>
      </c>
      <c r="H16" s="55" t="s">
        <v>164</v>
      </c>
      <c r="I16" s="55" t="s">
        <v>155</v>
      </c>
      <c r="J16" s="55" t="s">
        <v>38</v>
      </c>
      <c r="K16" s="55" t="s">
        <v>156</v>
      </c>
      <c r="L16" s="237">
        <v>3</v>
      </c>
      <c r="N16" s="55">
        <v>6</v>
      </c>
      <c r="O16" s="55">
        <v>0.35</v>
      </c>
      <c r="P16" s="55">
        <v>0.4</v>
      </c>
      <c r="Q16" s="82">
        <f t="shared" si="0"/>
        <v>0.375</v>
      </c>
      <c r="R16" s="55">
        <v>15.1</v>
      </c>
      <c r="S16" s="55">
        <v>118</v>
      </c>
      <c r="T16" s="77">
        <f t="shared" si="1"/>
        <v>30</v>
      </c>
      <c r="U16" s="55">
        <v>645</v>
      </c>
      <c r="V16" s="78">
        <f t="shared" si="2"/>
        <v>3225</v>
      </c>
      <c r="W16" s="237">
        <v>1</v>
      </c>
      <c r="X16" s="55" t="s">
        <v>46</v>
      </c>
      <c r="Y16" s="55" t="s">
        <v>88</v>
      </c>
      <c r="Z16" s="55" t="s">
        <v>97</v>
      </c>
      <c r="AA16" s="55" t="s">
        <v>86</v>
      </c>
      <c r="AB16" s="55" t="s">
        <v>350</v>
      </c>
      <c r="AE16" s="223" t="s">
        <v>82</v>
      </c>
      <c r="AG16" s="71"/>
      <c r="AH16" s="71"/>
      <c r="AP16" s="65" t="s">
        <v>80</v>
      </c>
      <c r="AR16" s="231" t="s">
        <v>63</v>
      </c>
      <c r="AV16" s="65" t="s">
        <v>84</v>
      </c>
    </row>
    <row r="17" spans="1:49" x14ac:dyDescent="0.15">
      <c r="A17" s="55" t="s">
        <v>41</v>
      </c>
      <c r="B17" s="237" t="s">
        <v>348</v>
      </c>
      <c r="C17" s="152">
        <v>2018</v>
      </c>
      <c r="D17" s="56" t="s">
        <v>356</v>
      </c>
      <c r="E17" s="237" t="s">
        <v>300</v>
      </c>
      <c r="F17" s="55" t="s">
        <v>305</v>
      </c>
      <c r="G17" s="55" t="s">
        <v>42</v>
      </c>
      <c r="H17" s="55" t="s">
        <v>164</v>
      </c>
      <c r="I17" s="55" t="s">
        <v>155</v>
      </c>
      <c r="J17" s="55" t="s">
        <v>38</v>
      </c>
      <c r="K17" s="55" t="s">
        <v>156</v>
      </c>
      <c r="L17" s="237">
        <v>1</v>
      </c>
      <c r="M17" s="55"/>
      <c r="N17" s="55">
        <v>1</v>
      </c>
      <c r="O17" s="55">
        <v>0.45</v>
      </c>
      <c r="P17" s="55">
        <v>0.5</v>
      </c>
      <c r="Q17" s="82">
        <f t="shared" si="0"/>
        <v>0.47499999999999998</v>
      </c>
      <c r="R17" s="55">
        <v>14.6</v>
      </c>
      <c r="S17" s="55">
        <v>129</v>
      </c>
      <c r="T17" s="77">
        <f t="shared" si="1"/>
        <v>25</v>
      </c>
      <c r="U17" s="55">
        <v>149</v>
      </c>
      <c r="V17" s="78">
        <f t="shared" si="2"/>
        <v>3725</v>
      </c>
      <c r="W17" s="55">
        <v>3</v>
      </c>
      <c r="X17" s="55" t="s">
        <v>46</v>
      </c>
      <c r="Y17" s="55" t="s">
        <v>88</v>
      </c>
      <c r="Z17" s="55" t="s">
        <v>97</v>
      </c>
      <c r="AA17" s="55" t="s">
        <v>86</v>
      </c>
      <c r="AB17" s="55" t="s">
        <v>350</v>
      </c>
      <c r="AE17" s="223" t="s">
        <v>85</v>
      </c>
      <c r="AP17" s="239" t="s">
        <v>110</v>
      </c>
      <c r="AR17" s="231" t="s">
        <v>96</v>
      </c>
      <c r="AV17" s="65" t="s">
        <v>86</v>
      </c>
    </row>
    <row r="18" spans="1:49" x14ac:dyDescent="0.15">
      <c r="A18" s="55" t="s">
        <v>41</v>
      </c>
      <c r="B18" s="237" t="s">
        <v>348</v>
      </c>
      <c r="C18" s="152">
        <v>2018</v>
      </c>
      <c r="D18" s="56" t="s">
        <v>356</v>
      </c>
      <c r="E18" s="237" t="s">
        <v>300</v>
      </c>
      <c r="F18" s="55" t="s">
        <v>305</v>
      </c>
      <c r="G18" s="55" t="s">
        <v>42</v>
      </c>
      <c r="H18" s="55" t="s">
        <v>164</v>
      </c>
      <c r="I18" s="55" t="s">
        <v>155</v>
      </c>
      <c r="J18" s="55" t="s">
        <v>38</v>
      </c>
      <c r="K18" s="55" t="s">
        <v>156</v>
      </c>
      <c r="L18" s="237">
        <v>2</v>
      </c>
      <c r="N18" s="55">
        <v>1</v>
      </c>
      <c r="O18" s="55">
        <v>0.45</v>
      </c>
      <c r="P18" s="55">
        <v>0.4</v>
      </c>
      <c r="Q18" s="57">
        <f t="shared" si="0"/>
        <v>0.42500000000000004</v>
      </c>
      <c r="R18" s="55">
        <v>15.7</v>
      </c>
      <c r="S18" s="55">
        <v>120</v>
      </c>
      <c r="T18" s="77">
        <f t="shared" si="1"/>
        <v>30</v>
      </c>
      <c r="U18" s="55">
        <v>149</v>
      </c>
      <c r="V18" s="58">
        <f t="shared" si="2"/>
        <v>4470</v>
      </c>
      <c r="W18" s="237">
        <v>3</v>
      </c>
      <c r="X18" s="55" t="s">
        <v>46</v>
      </c>
      <c r="Y18" s="55" t="s">
        <v>88</v>
      </c>
      <c r="Z18" s="55" t="s">
        <v>97</v>
      </c>
      <c r="AA18" s="55" t="s">
        <v>86</v>
      </c>
      <c r="AB18" s="55" t="s">
        <v>350</v>
      </c>
      <c r="AE18" s="223" t="s">
        <v>87</v>
      </c>
      <c r="AP18" s="239" t="s">
        <v>111</v>
      </c>
      <c r="AR18" s="231" t="s">
        <v>101</v>
      </c>
      <c r="AV18" s="65" t="s">
        <v>88</v>
      </c>
    </row>
    <row r="19" spans="1:49" x14ac:dyDescent="0.15">
      <c r="A19" s="55" t="s">
        <v>41</v>
      </c>
      <c r="B19" s="237" t="s">
        <v>348</v>
      </c>
      <c r="C19" s="152">
        <v>2018</v>
      </c>
      <c r="D19" s="56" t="s">
        <v>356</v>
      </c>
      <c r="E19" s="237" t="s">
        <v>300</v>
      </c>
      <c r="F19" s="55" t="s">
        <v>305</v>
      </c>
      <c r="G19" s="55" t="s">
        <v>42</v>
      </c>
      <c r="H19" s="55" t="s">
        <v>164</v>
      </c>
      <c r="I19" s="55" t="s">
        <v>155</v>
      </c>
      <c r="J19" s="55" t="s">
        <v>38</v>
      </c>
      <c r="K19" s="55" t="s">
        <v>156</v>
      </c>
      <c r="L19" s="237">
        <v>3</v>
      </c>
      <c r="N19" s="55">
        <v>1</v>
      </c>
      <c r="O19" s="55">
        <v>0.2</v>
      </c>
      <c r="P19" s="55">
        <v>0.15</v>
      </c>
      <c r="Q19" s="57">
        <f t="shared" si="0"/>
        <v>0.17499999999999999</v>
      </c>
      <c r="R19" s="55">
        <v>14.9</v>
      </c>
      <c r="S19" s="55">
        <v>118</v>
      </c>
      <c r="T19" s="77">
        <f t="shared" si="1"/>
        <v>30</v>
      </c>
      <c r="U19" s="55">
        <v>149</v>
      </c>
      <c r="V19" s="58">
        <f t="shared" si="2"/>
        <v>4470</v>
      </c>
      <c r="W19" s="237">
        <v>3</v>
      </c>
      <c r="X19" s="55" t="s">
        <v>46</v>
      </c>
      <c r="Y19" s="55" t="s">
        <v>88</v>
      </c>
      <c r="Z19" s="55" t="s">
        <v>97</v>
      </c>
      <c r="AA19" s="55" t="s">
        <v>86</v>
      </c>
      <c r="AB19" s="55" t="s">
        <v>350</v>
      </c>
      <c r="AE19" s="236" t="s">
        <v>89</v>
      </c>
      <c r="AP19" s="239" t="s">
        <v>112</v>
      </c>
      <c r="AR19" s="231" t="s">
        <v>126</v>
      </c>
      <c r="AV19" s="65" t="s">
        <v>90</v>
      </c>
    </row>
    <row r="20" spans="1:49" x14ac:dyDescent="0.15">
      <c r="A20" s="55" t="s">
        <v>41</v>
      </c>
      <c r="B20" s="237" t="s">
        <v>348</v>
      </c>
      <c r="C20" s="152">
        <v>2018</v>
      </c>
      <c r="D20" s="56" t="s">
        <v>356</v>
      </c>
      <c r="E20" s="237" t="s">
        <v>300</v>
      </c>
      <c r="F20" s="55" t="s">
        <v>305</v>
      </c>
      <c r="G20" s="55" t="s">
        <v>42</v>
      </c>
      <c r="H20" s="55" t="s">
        <v>164</v>
      </c>
      <c r="I20" s="55" t="s">
        <v>155</v>
      </c>
      <c r="J20" s="55" t="s">
        <v>38</v>
      </c>
      <c r="K20" s="55" t="s">
        <v>156</v>
      </c>
      <c r="L20" s="237">
        <v>1</v>
      </c>
      <c r="N20" s="55">
        <v>3</v>
      </c>
      <c r="O20" s="55">
        <v>0.85</v>
      </c>
      <c r="P20" s="55">
        <v>0.7</v>
      </c>
      <c r="Q20" s="57">
        <f t="shared" si="0"/>
        <v>0.77499999999999991</v>
      </c>
      <c r="R20" s="55">
        <v>13.5</v>
      </c>
      <c r="S20" s="55">
        <v>125</v>
      </c>
      <c r="T20" s="57">
        <f t="shared" si="1"/>
        <v>27</v>
      </c>
      <c r="U20" s="55">
        <v>429</v>
      </c>
      <c r="V20" s="58">
        <f t="shared" si="2"/>
        <v>3861</v>
      </c>
      <c r="W20" s="237">
        <v>1</v>
      </c>
      <c r="X20" s="55" t="s">
        <v>46</v>
      </c>
      <c r="Y20" s="55" t="s">
        <v>88</v>
      </c>
      <c r="Z20" s="55" t="s">
        <v>97</v>
      </c>
      <c r="AA20" s="55" t="s">
        <v>86</v>
      </c>
      <c r="AB20" s="55" t="s">
        <v>350</v>
      </c>
      <c r="AE20" s="236"/>
      <c r="AP20" s="239" t="s">
        <v>113</v>
      </c>
      <c r="AR20" s="231" t="s">
        <v>105</v>
      </c>
      <c r="AV20" s="69" t="s">
        <v>358</v>
      </c>
    </row>
    <row r="21" spans="1:49" x14ac:dyDescent="0.15">
      <c r="A21" s="55" t="s">
        <v>41</v>
      </c>
      <c r="B21" s="237" t="s">
        <v>348</v>
      </c>
      <c r="C21" s="152">
        <v>2018</v>
      </c>
      <c r="D21" s="56" t="s">
        <v>356</v>
      </c>
      <c r="E21" s="237" t="s">
        <v>300</v>
      </c>
      <c r="F21" s="55" t="s">
        <v>305</v>
      </c>
      <c r="G21" s="55" t="s">
        <v>42</v>
      </c>
      <c r="H21" s="55" t="s">
        <v>164</v>
      </c>
      <c r="I21" s="55" t="s">
        <v>155</v>
      </c>
      <c r="J21" s="55" t="s">
        <v>38</v>
      </c>
      <c r="K21" s="55" t="s">
        <v>156</v>
      </c>
      <c r="L21" s="237">
        <v>2</v>
      </c>
      <c r="N21" s="55">
        <v>3</v>
      </c>
      <c r="O21" s="55">
        <v>0.9</v>
      </c>
      <c r="P21" s="55">
        <v>0.85</v>
      </c>
      <c r="Q21" s="82">
        <f t="shared" si="0"/>
        <v>0.875</v>
      </c>
      <c r="R21" s="55">
        <v>15</v>
      </c>
      <c r="S21" s="55">
        <v>134</v>
      </c>
      <c r="T21" s="57">
        <f t="shared" si="1"/>
        <v>25</v>
      </c>
      <c r="U21" s="55">
        <v>429</v>
      </c>
      <c r="V21" s="58">
        <f t="shared" si="2"/>
        <v>3575</v>
      </c>
      <c r="W21" s="237">
        <v>1</v>
      </c>
      <c r="X21" s="55" t="s">
        <v>46</v>
      </c>
      <c r="Y21" s="55" t="s">
        <v>88</v>
      </c>
      <c r="Z21" s="55" t="s">
        <v>97</v>
      </c>
      <c r="AA21" s="55" t="s">
        <v>86</v>
      </c>
      <c r="AB21" s="55" t="s">
        <v>350</v>
      </c>
      <c r="AE21" s="244"/>
      <c r="AP21" s="239" t="s">
        <v>114</v>
      </c>
      <c r="AR21" s="231" t="s">
        <v>68</v>
      </c>
      <c r="AV21" s="69" t="s">
        <v>359</v>
      </c>
    </row>
    <row r="22" spans="1:49" x14ac:dyDescent="0.15">
      <c r="A22" s="55" t="s">
        <v>41</v>
      </c>
      <c r="B22" s="237" t="s">
        <v>348</v>
      </c>
      <c r="C22" s="152">
        <v>2018</v>
      </c>
      <c r="D22" s="56" t="s">
        <v>356</v>
      </c>
      <c r="E22" s="237" t="s">
        <v>300</v>
      </c>
      <c r="F22" s="55" t="s">
        <v>305</v>
      </c>
      <c r="G22" s="55" t="s">
        <v>42</v>
      </c>
      <c r="H22" s="55" t="s">
        <v>164</v>
      </c>
      <c r="I22" s="55" t="s">
        <v>155</v>
      </c>
      <c r="J22" s="55" t="s">
        <v>38</v>
      </c>
      <c r="K22" s="55" t="s">
        <v>156</v>
      </c>
      <c r="L22" s="237">
        <v>3</v>
      </c>
      <c r="N22" s="55">
        <v>3</v>
      </c>
      <c r="O22" s="55">
        <v>0.7</v>
      </c>
      <c r="P22" s="55">
        <v>0.9</v>
      </c>
      <c r="Q22" s="82">
        <f t="shared" si="0"/>
        <v>0.8</v>
      </c>
      <c r="R22" s="55">
        <v>12.5</v>
      </c>
      <c r="S22" s="55">
        <v>141</v>
      </c>
      <c r="T22" s="57">
        <f t="shared" si="1"/>
        <v>22</v>
      </c>
      <c r="U22" s="55">
        <v>429</v>
      </c>
      <c r="V22" s="58">
        <f t="shared" si="2"/>
        <v>3146</v>
      </c>
      <c r="W22" s="237">
        <v>1</v>
      </c>
      <c r="X22" s="55" t="s">
        <v>46</v>
      </c>
      <c r="Y22" s="55" t="s">
        <v>88</v>
      </c>
      <c r="Z22" s="55" t="s">
        <v>97</v>
      </c>
      <c r="AA22" s="55" t="s">
        <v>86</v>
      </c>
      <c r="AB22" s="55" t="s">
        <v>350</v>
      </c>
      <c r="AP22" s="239" t="s">
        <v>115</v>
      </c>
      <c r="AR22" s="231" t="s">
        <v>83</v>
      </c>
      <c r="AV22" s="69"/>
    </row>
    <row r="23" spans="1:49" x14ac:dyDescent="0.15">
      <c r="A23" s="55" t="s">
        <v>41</v>
      </c>
      <c r="B23" s="237" t="s">
        <v>348</v>
      </c>
      <c r="C23" s="152">
        <v>2018</v>
      </c>
      <c r="D23" s="56" t="s">
        <v>356</v>
      </c>
      <c r="E23" s="237" t="s">
        <v>300</v>
      </c>
      <c r="F23" s="55" t="s">
        <v>305</v>
      </c>
      <c r="G23" s="55" t="s">
        <v>42</v>
      </c>
      <c r="H23" s="55" t="s">
        <v>164</v>
      </c>
      <c r="I23" s="55" t="s">
        <v>155</v>
      </c>
      <c r="J23" s="55" t="s">
        <v>38</v>
      </c>
      <c r="K23" s="55" t="s">
        <v>156</v>
      </c>
      <c r="L23" s="237">
        <v>1</v>
      </c>
      <c r="M23" s="55"/>
      <c r="N23" s="55">
        <v>10</v>
      </c>
      <c r="O23" s="55">
        <v>0.3</v>
      </c>
      <c r="P23" s="55">
        <v>0.2</v>
      </c>
      <c r="Q23" s="251">
        <f t="shared" si="0"/>
        <v>0.25</v>
      </c>
      <c r="R23" s="55">
        <v>14.2</v>
      </c>
      <c r="S23" s="55">
        <v>121</v>
      </c>
      <c r="T23" s="77">
        <f t="shared" si="1"/>
        <v>27</v>
      </c>
      <c r="U23" s="55">
        <v>1058</v>
      </c>
      <c r="V23" s="78">
        <f t="shared" si="2"/>
        <v>2856.6</v>
      </c>
      <c r="W23" s="55">
        <v>1</v>
      </c>
      <c r="X23" s="55" t="s">
        <v>46</v>
      </c>
      <c r="Y23" s="55" t="s">
        <v>88</v>
      </c>
      <c r="Z23" s="55" t="s">
        <v>97</v>
      </c>
      <c r="AA23" s="55" t="s">
        <v>86</v>
      </c>
      <c r="AB23" s="55" t="s">
        <v>350</v>
      </c>
      <c r="AP23" s="239" t="s">
        <v>117</v>
      </c>
      <c r="AR23" s="244" t="s">
        <v>299</v>
      </c>
      <c r="AV23" s="244"/>
    </row>
    <row r="24" spans="1:49" x14ac:dyDescent="0.15">
      <c r="A24" s="55" t="s">
        <v>41</v>
      </c>
      <c r="B24" s="237" t="s">
        <v>348</v>
      </c>
      <c r="C24" s="152">
        <v>2018</v>
      </c>
      <c r="D24" s="56" t="s">
        <v>356</v>
      </c>
      <c r="E24" s="237" t="s">
        <v>300</v>
      </c>
      <c r="F24" s="55" t="s">
        <v>305</v>
      </c>
      <c r="G24" s="55" t="s">
        <v>42</v>
      </c>
      <c r="H24" s="55" t="s">
        <v>164</v>
      </c>
      <c r="I24" s="55" t="s">
        <v>155</v>
      </c>
      <c r="J24" s="55" t="s">
        <v>38</v>
      </c>
      <c r="K24" s="55" t="s">
        <v>156</v>
      </c>
      <c r="L24" s="237">
        <v>2</v>
      </c>
      <c r="N24" s="55">
        <v>10</v>
      </c>
      <c r="O24" s="55">
        <v>0.7</v>
      </c>
      <c r="P24" s="55">
        <v>0.85</v>
      </c>
      <c r="Q24" s="251">
        <f t="shared" si="0"/>
        <v>0.77499999999999991</v>
      </c>
      <c r="R24" s="55">
        <v>14.4</v>
      </c>
      <c r="S24" s="55">
        <v>114</v>
      </c>
      <c r="T24" s="77">
        <f t="shared" si="1"/>
        <v>30</v>
      </c>
      <c r="U24" s="55">
        <v>1058</v>
      </c>
      <c r="V24" s="58">
        <f t="shared" si="2"/>
        <v>3174</v>
      </c>
      <c r="W24" s="237">
        <v>1</v>
      </c>
      <c r="X24" s="55" t="s">
        <v>46</v>
      </c>
      <c r="Y24" s="55" t="s">
        <v>88</v>
      </c>
      <c r="Z24" s="55" t="s">
        <v>97</v>
      </c>
      <c r="AA24" s="55" t="s">
        <v>86</v>
      </c>
      <c r="AB24" s="55" t="s">
        <v>350</v>
      </c>
      <c r="AP24" s="239" t="s">
        <v>118</v>
      </c>
    </row>
    <row r="25" spans="1:49" x14ac:dyDescent="0.15">
      <c r="A25" s="55" t="s">
        <v>41</v>
      </c>
      <c r="B25" s="237" t="s">
        <v>348</v>
      </c>
      <c r="C25" s="152">
        <v>2018</v>
      </c>
      <c r="D25" s="56" t="s">
        <v>356</v>
      </c>
      <c r="E25" s="237" t="s">
        <v>300</v>
      </c>
      <c r="F25" s="55" t="s">
        <v>305</v>
      </c>
      <c r="G25" s="55" t="s">
        <v>42</v>
      </c>
      <c r="H25" s="55" t="s">
        <v>164</v>
      </c>
      <c r="I25" s="55" t="s">
        <v>155</v>
      </c>
      <c r="J25" s="55" t="s">
        <v>38</v>
      </c>
      <c r="K25" s="55" t="s">
        <v>156</v>
      </c>
      <c r="L25" s="237">
        <v>3</v>
      </c>
      <c r="N25" s="55">
        <v>10</v>
      </c>
      <c r="O25" s="55">
        <v>0.85</v>
      </c>
      <c r="P25" s="55">
        <v>0.8</v>
      </c>
      <c r="Q25" s="251">
        <f t="shared" si="0"/>
        <v>0.82499999999999996</v>
      </c>
      <c r="R25" s="55">
        <v>15.6</v>
      </c>
      <c r="S25" s="55">
        <v>118</v>
      </c>
      <c r="T25" s="77">
        <f t="shared" si="1"/>
        <v>30</v>
      </c>
      <c r="U25" s="55">
        <v>1058</v>
      </c>
      <c r="V25" s="58">
        <f t="shared" si="2"/>
        <v>3174</v>
      </c>
      <c r="W25" s="237">
        <v>1</v>
      </c>
      <c r="X25" s="55" t="s">
        <v>46</v>
      </c>
      <c r="Y25" s="55" t="s">
        <v>88</v>
      </c>
      <c r="Z25" s="55" t="s">
        <v>97</v>
      </c>
      <c r="AA25" s="55" t="s">
        <v>86</v>
      </c>
      <c r="AB25" s="55" t="s">
        <v>350</v>
      </c>
    </row>
    <row r="26" spans="1:49" x14ac:dyDescent="0.15">
      <c r="A26" s="55" t="s">
        <v>41</v>
      </c>
      <c r="B26" s="237" t="s">
        <v>348</v>
      </c>
      <c r="C26" s="152">
        <v>2018</v>
      </c>
      <c r="D26" s="56" t="s">
        <v>356</v>
      </c>
      <c r="E26" s="237" t="s">
        <v>300</v>
      </c>
      <c r="F26" s="55" t="s">
        <v>305</v>
      </c>
      <c r="G26" s="55" t="s">
        <v>42</v>
      </c>
      <c r="H26" s="55" t="s">
        <v>157</v>
      </c>
      <c r="I26" s="55" t="s">
        <v>155</v>
      </c>
      <c r="J26" s="55" t="s">
        <v>38</v>
      </c>
      <c r="K26" s="55" t="s">
        <v>156</v>
      </c>
      <c r="L26" s="237">
        <v>1</v>
      </c>
      <c r="M26" s="55"/>
      <c r="N26" s="55">
        <v>3</v>
      </c>
      <c r="O26" s="55">
        <v>0.5</v>
      </c>
      <c r="P26" s="55">
        <v>0.6</v>
      </c>
      <c r="Q26" s="251">
        <f t="shared" si="0"/>
        <v>0.55000000000000004</v>
      </c>
      <c r="R26" s="55">
        <v>16.100000000000001</v>
      </c>
      <c r="S26" s="55">
        <v>126</v>
      </c>
      <c r="T26" s="77">
        <f t="shared" si="1"/>
        <v>27</v>
      </c>
      <c r="U26" s="55">
        <v>429</v>
      </c>
      <c r="V26" s="78">
        <f t="shared" si="2"/>
        <v>3861</v>
      </c>
      <c r="W26" s="55">
        <v>2</v>
      </c>
      <c r="X26" s="55" t="s">
        <v>46</v>
      </c>
      <c r="Y26" s="55" t="s">
        <v>88</v>
      </c>
      <c r="Z26" s="55" t="s">
        <v>97</v>
      </c>
      <c r="AA26" s="55" t="s">
        <v>86</v>
      </c>
      <c r="AB26" s="55" t="s">
        <v>350</v>
      </c>
    </row>
    <row r="27" spans="1:49" x14ac:dyDescent="0.15">
      <c r="A27" s="55" t="s">
        <v>41</v>
      </c>
      <c r="B27" s="237" t="s">
        <v>348</v>
      </c>
      <c r="C27" s="152">
        <v>2018</v>
      </c>
      <c r="D27" s="56" t="s">
        <v>356</v>
      </c>
      <c r="E27" s="237" t="s">
        <v>300</v>
      </c>
      <c r="F27" s="55" t="s">
        <v>305</v>
      </c>
      <c r="G27" s="55" t="s">
        <v>42</v>
      </c>
      <c r="H27" s="55" t="s">
        <v>157</v>
      </c>
      <c r="I27" s="55" t="s">
        <v>155</v>
      </c>
      <c r="J27" s="55" t="s">
        <v>38</v>
      </c>
      <c r="K27" s="55" t="s">
        <v>156</v>
      </c>
      <c r="L27" s="237">
        <v>2</v>
      </c>
      <c r="N27" s="55">
        <v>3</v>
      </c>
      <c r="O27" s="55">
        <v>0.85</v>
      </c>
      <c r="P27" s="55">
        <v>0.7</v>
      </c>
      <c r="Q27" s="82">
        <f t="shared" si="0"/>
        <v>0.77499999999999991</v>
      </c>
      <c r="R27" s="55">
        <v>15.8</v>
      </c>
      <c r="S27" s="55">
        <v>131</v>
      </c>
      <c r="T27" s="77">
        <f t="shared" si="1"/>
        <v>25</v>
      </c>
      <c r="U27" s="55">
        <v>429</v>
      </c>
      <c r="V27" s="78">
        <f t="shared" si="2"/>
        <v>3575</v>
      </c>
      <c r="W27" s="55">
        <v>2</v>
      </c>
      <c r="X27" s="55" t="s">
        <v>46</v>
      </c>
      <c r="Y27" s="55" t="s">
        <v>88</v>
      </c>
      <c r="Z27" s="55" t="s">
        <v>97</v>
      </c>
      <c r="AA27" s="55" t="s">
        <v>86</v>
      </c>
      <c r="AB27" s="55" t="s">
        <v>350</v>
      </c>
    </row>
    <row r="28" spans="1:49" x14ac:dyDescent="0.15">
      <c r="A28" s="55" t="s">
        <v>41</v>
      </c>
      <c r="B28" s="237" t="s">
        <v>348</v>
      </c>
      <c r="C28" s="152">
        <v>2018</v>
      </c>
      <c r="D28" s="56" t="s">
        <v>356</v>
      </c>
      <c r="E28" s="237" t="s">
        <v>300</v>
      </c>
      <c r="F28" s="55" t="s">
        <v>305</v>
      </c>
      <c r="G28" s="55" t="s">
        <v>42</v>
      </c>
      <c r="H28" s="55" t="s">
        <v>157</v>
      </c>
      <c r="I28" s="55" t="s">
        <v>155</v>
      </c>
      <c r="J28" s="55" t="s">
        <v>38</v>
      </c>
      <c r="K28" s="55" t="s">
        <v>156</v>
      </c>
      <c r="L28" s="237">
        <v>3</v>
      </c>
      <c r="N28" s="55">
        <v>3</v>
      </c>
      <c r="O28" s="55">
        <v>0.6</v>
      </c>
      <c r="P28" s="55">
        <v>0.5</v>
      </c>
      <c r="Q28" s="82">
        <f t="shared" si="0"/>
        <v>0.55000000000000004</v>
      </c>
      <c r="R28" s="55">
        <v>16.899999999999999</v>
      </c>
      <c r="S28" s="55">
        <v>147</v>
      </c>
      <c r="T28" s="77">
        <f t="shared" si="1"/>
        <v>22</v>
      </c>
      <c r="U28" s="55">
        <v>429</v>
      </c>
      <c r="V28" s="78">
        <f t="shared" si="2"/>
        <v>3146</v>
      </c>
      <c r="W28" s="237">
        <v>2</v>
      </c>
      <c r="X28" s="55" t="s">
        <v>46</v>
      </c>
      <c r="Y28" s="55" t="s">
        <v>88</v>
      </c>
      <c r="Z28" s="55" t="s">
        <v>97</v>
      </c>
      <c r="AA28" s="55" t="s">
        <v>86</v>
      </c>
      <c r="AB28" s="55" t="s">
        <v>350</v>
      </c>
    </row>
    <row r="29" spans="1:49" x14ac:dyDescent="0.15">
      <c r="A29" s="55" t="s">
        <v>41</v>
      </c>
      <c r="B29" s="237" t="s">
        <v>348</v>
      </c>
      <c r="C29" s="152">
        <v>2018</v>
      </c>
      <c r="D29" s="56" t="s">
        <v>356</v>
      </c>
      <c r="E29" s="237" t="s">
        <v>300</v>
      </c>
      <c r="F29" s="237" t="s">
        <v>305</v>
      </c>
      <c r="G29" s="55" t="s">
        <v>42</v>
      </c>
      <c r="H29" s="55" t="s">
        <v>157</v>
      </c>
      <c r="I29" s="55" t="s">
        <v>155</v>
      </c>
      <c r="J29" s="55" t="s">
        <v>38</v>
      </c>
      <c r="K29" s="55" t="s">
        <v>156</v>
      </c>
      <c r="L29" s="237">
        <v>1</v>
      </c>
      <c r="M29" s="55"/>
      <c r="N29" s="55">
        <v>1</v>
      </c>
      <c r="O29" s="55">
        <v>0.9</v>
      </c>
      <c r="P29" s="55">
        <v>0.95</v>
      </c>
      <c r="Q29" s="82">
        <f t="shared" si="0"/>
        <v>0.92500000000000004</v>
      </c>
      <c r="R29" s="55">
        <v>14.2</v>
      </c>
      <c r="S29" s="55">
        <v>129</v>
      </c>
      <c r="T29" s="77">
        <f t="shared" si="1"/>
        <v>25</v>
      </c>
      <c r="U29" s="55">
        <v>149</v>
      </c>
      <c r="V29" s="78">
        <f t="shared" si="2"/>
        <v>3725</v>
      </c>
      <c r="W29" s="55">
        <v>3</v>
      </c>
      <c r="X29" s="55" t="s">
        <v>46</v>
      </c>
      <c r="Y29" s="55" t="s">
        <v>88</v>
      </c>
      <c r="Z29" s="55" t="s">
        <v>97</v>
      </c>
      <c r="AA29" s="55" t="s">
        <v>86</v>
      </c>
      <c r="AB29" s="55" t="s">
        <v>350</v>
      </c>
    </row>
    <row r="30" spans="1:49" x14ac:dyDescent="0.15">
      <c r="A30" s="55" t="s">
        <v>41</v>
      </c>
      <c r="B30" s="237" t="s">
        <v>348</v>
      </c>
      <c r="C30" s="152">
        <v>2018</v>
      </c>
      <c r="D30" s="56" t="s">
        <v>356</v>
      </c>
      <c r="E30" s="237" t="s">
        <v>300</v>
      </c>
      <c r="F30" s="237" t="s">
        <v>305</v>
      </c>
      <c r="G30" s="55" t="s">
        <v>42</v>
      </c>
      <c r="H30" s="55" t="s">
        <v>157</v>
      </c>
      <c r="I30" s="55" t="s">
        <v>155</v>
      </c>
      <c r="J30" s="55" t="s">
        <v>38</v>
      </c>
      <c r="K30" s="55" t="s">
        <v>156</v>
      </c>
      <c r="L30" s="237">
        <v>2</v>
      </c>
      <c r="N30" s="55">
        <v>1</v>
      </c>
      <c r="O30" s="55">
        <v>0.45</v>
      </c>
      <c r="P30" s="55">
        <v>0.6</v>
      </c>
      <c r="Q30" s="82">
        <f t="shared" si="0"/>
        <v>0.52500000000000002</v>
      </c>
      <c r="R30" s="55">
        <v>15</v>
      </c>
      <c r="S30" s="55">
        <v>129</v>
      </c>
      <c r="T30" s="77">
        <f t="shared" si="1"/>
        <v>25</v>
      </c>
      <c r="U30" s="55">
        <v>149</v>
      </c>
      <c r="V30" s="58">
        <f t="shared" si="2"/>
        <v>3725</v>
      </c>
      <c r="W30" s="237">
        <v>3</v>
      </c>
      <c r="X30" s="55" t="s">
        <v>46</v>
      </c>
      <c r="Y30" s="55" t="s">
        <v>88</v>
      </c>
      <c r="Z30" s="55" t="s">
        <v>97</v>
      </c>
      <c r="AA30" s="55" t="s">
        <v>86</v>
      </c>
      <c r="AB30" s="55" t="s">
        <v>350</v>
      </c>
      <c r="AE30" s="249"/>
      <c r="AF30" s="249"/>
      <c r="AG30" s="249"/>
      <c r="AH30" s="249"/>
      <c r="AI30" s="249"/>
      <c r="AJ30" s="249"/>
      <c r="AK30" s="249"/>
      <c r="AL30" s="249"/>
      <c r="AM30" s="249"/>
      <c r="AN30" s="249"/>
      <c r="AO30" s="249"/>
      <c r="AP30" s="249"/>
      <c r="AQ30" s="249"/>
      <c r="AR30" s="249"/>
      <c r="AS30" s="249"/>
      <c r="AT30" s="249"/>
      <c r="AU30" s="249"/>
      <c r="AV30" s="249"/>
      <c r="AW30" s="249"/>
    </row>
    <row r="31" spans="1:49" x14ac:dyDescent="0.15">
      <c r="A31" s="55" t="s">
        <v>41</v>
      </c>
      <c r="B31" s="237" t="s">
        <v>348</v>
      </c>
      <c r="C31" s="152">
        <v>2018</v>
      </c>
      <c r="D31" s="56" t="s">
        <v>356</v>
      </c>
      <c r="E31" s="237" t="s">
        <v>300</v>
      </c>
      <c r="F31" s="237" t="s">
        <v>305</v>
      </c>
      <c r="G31" s="55" t="s">
        <v>42</v>
      </c>
      <c r="H31" s="55" t="s">
        <v>157</v>
      </c>
      <c r="I31" s="55" t="s">
        <v>155</v>
      </c>
      <c r="J31" s="55" t="s">
        <v>38</v>
      </c>
      <c r="K31" s="55" t="s">
        <v>156</v>
      </c>
      <c r="L31" s="237">
        <v>3</v>
      </c>
      <c r="N31" s="55">
        <v>1</v>
      </c>
      <c r="O31" s="55">
        <v>0.2</v>
      </c>
      <c r="P31" s="55">
        <v>0.1</v>
      </c>
      <c r="Q31" s="82">
        <f t="shared" si="0"/>
        <v>0.15000000000000002</v>
      </c>
      <c r="R31" s="55">
        <v>15</v>
      </c>
      <c r="S31" s="55">
        <v>131</v>
      </c>
      <c r="T31" s="77">
        <f t="shared" si="1"/>
        <v>25</v>
      </c>
      <c r="U31" s="55">
        <v>149</v>
      </c>
      <c r="V31" s="58">
        <f t="shared" si="2"/>
        <v>3725</v>
      </c>
      <c r="W31" s="237">
        <v>3</v>
      </c>
      <c r="X31" s="55" t="s">
        <v>46</v>
      </c>
      <c r="Y31" s="55" t="s">
        <v>88</v>
      </c>
      <c r="Z31" s="55" t="s">
        <v>97</v>
      </c>
      <c r="AA31" s="55" t="s">
        <v>86</v>
      </c>
      <c r="AB31" s="55" t="s">
        <v>350</v>
      </c>
      <c r="AE31" s="249"/>
      <c r="AF31" s="249"/>
      <c r="AG31" s="249"/>
      <c r="AH31" s="249"/>
      <c r="AI31" s="249"/>
      <c r="AJ31" s="249"/>
      <c r="AK31" s="249"/>
      <c r="AL31" s="249"/>
      <c r="AM31" s="249"/>
      <c r="AN31" s="249"/>
      <c r="AO31" s="249"/>
      <c r="AP31" s="249"/>
      <c r="AQ31" s="249"/>
      <c r="AR31" s="249"/>
      <c r="AS31" s="249"/>
      <c r="AT31" s="249"/>
      <c r="AU31" s="249"/>
      <c r="AV31" s="249"/>
      <c r="AW31" s="249"/>
    </row>
    <row r="32" spans="1:49" x14ac:dyDescent="0.15">
      <c r="A32" s="55" t="s">
        <v>41</v>
      </c>
      <c r="B32" s="237" t="s">
        <v>348</v>
      </c>
      <c r="C32" s="152">
        <v>2018</v>
      </c>
      <c r="D32" s="56" t="s">
        <v>356</v>
      </c>
      <c r="E32" s="237" t="s">
        <v>300</v>
      </c>
      <c r="F32" s="55" t="s">
        <v>305</v>
      </c>
      <c r="G32" s="55" t="s">
        <v>42</v>
      </c>
      <c r="H32" s="55" t="s">
        <v>157</v>
      </c>
      <c r="I32" s="55" t="s">
        <v>155</v>
      </c>
      <c r="J32" s="55" t="s">
        <v>38</v>
      </c>
      <c r="K32" s="55" t="s">
        <v>156</v>
      </c>
      <c r="L32" s="237">
        <v>1</v>
      </c>
      <c r="M32" s="55"/>
      <c r="N32" s="55">
        <v>8</v>
      </c>
      <c r="O32" s="55">
        <v>0.3</v>
      </c>
      <c r="P32" s="55">
        <v>0.45</v>
      </c>
      <c r="Q32" s="82">
        <f t="shared" si="0"/>
        <v>0.375</v>
      </c>
      <c r="R32" s="55">
        <v>14.8</v>
      </c>
      <c r="S32" s="55">
        <v>113</v>
      </c>
      <c r="T32" s="77">
        <f t="shared" si="1"/>
        <v>30</v>
      </c>
      <c r="U32" s="55">
        <v>537</v>
      </c>
      <c r="V32" s="78">
        <f t="shared" si="2"/>
        <v>2013.75</v>
      </c>
      <c r="W32" s="55">
        <v>2</v>
      </c>
      <c r="X32" s="55" t="s">
        <v>46</v>
      </c>
      <c r="Y32" s="55" t="s">
        <v>88</v>
      </c>
      <c r="Z32" s="55" t="s">
        <v>97</v>
      </c>
      <c r="AA32" s="55" t="s">
        <v>86</v>
      </c>
      <c r="AB32" s="55" t="s">
        <v>350</v>
      </c>
      <c r="AE32" s="249"/>
      <c r="AF32" s="249"/>
      <c r="AG32" s="249"/>
      <c r="AH32" s="249"/>
      <c r="AI32" s="249"/>
      <c r="AJ32" s="249"/>
      <c r="AK32" s="249"/>
      <c r="AL32" s="249"/>
      <c r="AM32" s="249"/>
      <c r="AN32" s="249"/>
      <c r="AO32" s="249"/>
      <c r="AP32" s="249"/>
      <c r="AQ32" s="249"/>
      <c r="AR32" s="249"/>
      <c r="AS32" s="249"/>
      <c r="AT32" s="249"/>
      <c r="AU32" s="249"/>
      <c r="AV32" s="249"/>
      <c r="AW32" s="249"/>
    </row>
    <row r="33" spans="1:49" x14ac:dyDescent="0.15">
      <c r="A33" s="55" t="s">
        <v>41</v>
      </c>
      <c r="B33" s="237" t="s">
        <v>348</v>
      </c>
      <c r="C33" s="152">
        <v>2018</v>
      </c>
      <c r="D33" s="56" t="s">
        <v>356</v>
      </c>
      <c r="E33" s="237" t="s">
        <v>300</v>
      </c>
      <c r="F33" s="55" t="s">
        <v>305</v>
      </c>
      <c r="G33" s="55" t="s">
        <v>42</v>
      </c>
      <c r="H33" s="55" t="s">
        <v>157</v>
      </c>
      <c r="I33" s="55" t="s">
        <v>155</v>
      </c>
      <c r="J33" s="55" t="s">
        <v>38</v>
      </c>
      <c r="K33" s="55" t="s">
        <v>156</v>
      </c>
      <c r="L33" s="237">
        <v>2</v>
      </c>
      <c r="N33" s="55">
        <v>8</v>
      </c>
      <c r="O33" s="55">
        <v>0.8</v>
      </c>
      <c r="P33" s="55">
        <v>0.5</v>
      </c>
      <c r="Q33" s="57">
        <f t="shared" si="0"/>
        <v>0.65</v>
      </c>
      <c r="R33" s="55">
        <v>15.4</v>
      </c>
      <c r="S33" s="55">
        <v>108</v>
      </c>
      <c r="T33" s="77">
        <f t="shared" si="1"/>
        <v>33</v>
      </c>
      <c r="U33" s="55">
        <v>537</v>
      </c>
      <c r="V33" s="78">
        <f t="shared" si="2"/>
        <v>2215.125</v>
      </c>
      <c r="W33" s="55">
        <v>2</v>
      </c>
      <c r="X33" s="55" t="s">
        <v>46</v>
      </c>
      <c r="Y33" s="55" t="s">
        <v>88</v>
      </c>
      <c r="Z33" s="55" t="s">
        <v>97</v>
      </c>
      <c r="AA33" s="55" t="s">
        <v>86</v>
      </c>
      <c r="AB33" s="55" t="s">
        <v>350</v>
      </c>
      <c r="AE33" s="249"/>
      <c r="AF33" s="249"/>
      <c r="AG33" s="249"/>
      <c r="AH33" s="249"/>
      <c r="AI33" s="249"/>
      <c r="AJ33" s="249"/>
      <c r="AK33" s="249"/>
      <c r="AL33" s="249"/>
      <c r="AM33" s="249"/>
      <c r="AN33" s="249"/>
      <c r="AO33" s="249"/>
      <c r="AP33" s="249"/>
      <c r="AQ33" s="249"/>
      <c r="AR33" s="249"/>
      <c r="AS33" s="249"/>
      <c r="AT33" s="249"/>
      <c r="AU33" s="249"/>
      <c r="AV33" s="249"/>
      <c r="AW33" s="249"/>
    </row>
    <row r="34" spans="1:49" x14ac:dyDescent="0.15">
      <c r="A34" s="55" t="s">
        <v>41</v>
      </c>
      <c r="B34" s="237" t="s">
        <v>348</v>
      </c>
      <c r="C34" s="152">
        <v>2018</v>
      </c>
      <c r="D34" s="56" t="s">
        <v>356</v>
      </c>
      <c r="E34" s="237" t="s">
        <v>300</v>
      </c>
      <c r="F34" s="55" t="s">
        <v>305</v>
      </c>
      <c r="G34" s="55" t="s">
        <v>42</v>
      </c>
      <c r="H34" s="55" t="s">
        <v>157</v>
      </c>
      <c r="I34" s="55" t="s">
        <v>155</v>
      </c>
      <c r="J34" s="55" t="s">
        <v>38</v>
      </c>
      <c r="K34" s="55" t="s">
        <v>156</v>
      </c>
      <c r="L34" s="237">
        <v>3</v>
      </c>
      <c r="N34" s="55">
        <v>8</v>
      </c>
      <c r="O34" s="55">
        <v>0.65</v>
      </c>
      <c r="P34" s="55">
        <v>0.65</v>
      </c>
      <c r="Q34" s="57">
        <f t="shared" si="0"/>
        <v>0.65</v>
      </c>
      <c r="R34" s="55">
        <v>14.1</v>
      </c>
      <c r="S34" s="55">
        <v>107</v>
      </c>
      <c r="T34" s="77">
        <f t="shared" si="1"/>
        <v>33</v>
      </c>
      <c r="U34" s="55">
        <v>537</v>
      </c>
      <c r="V34" s="78">
        <f t="shared" si="2"/>
        <v>2215.125</v>
      </c>
      <c r="W34" s="237">
        <v>2</v>
      </c>
      <c r="X34" s="55" t="s">
        <v>46</v>
      </c>
      <c r="Y34" s="55" t="s">
        <v>88</v>
      </c>
      <c r="Z34" s="55" t="s">
        <v>97</v>
      </c>
      <c r="AA34" s="55" t="s">
        <v>86</v>
      </c>
      <c r="AB34" s="55" t="s">
        <v>350</v>
      </c>
      <c r="AE34" s="249"/>
      <c r="AF34" s="249"/>
      <c r="AG34" s="249"/>
      <c r="AH34" s="249"/>
      <c r="AI34" s="249"/>
      <c r="AJ34" s="249"/>
      <c r="AK34" s="249"/>
      <c r="AL34" s="249"/>
      <c r="AM34" s="249"/>
      <c r="AN34" s="249"/>
      <c r="AO34" s="249"/>
      <c r="AP34" s="249"/>
      <c r="AQ34" s="249"/>
      <c r="AR34" s="249"/>
      <c r="AS34" s="249"/>
      <c r="AT34" s="249"/>
      <c r="AU34" s="249"/>
      <c r="AV34" s="249"/>
      <c r="AW34" s="249"/>
    </row>
    <row r="35" spans="1:49" x14ac:dyDescent="0.15">
      <c r="A35" s="55" t="s">
        <v>41</v>
      </c>
      <c r="B35" s="237" t="s">
        <v>348</v>
      </c>
      <c r="C35" s="152">
        <v>2018</v>
      </c>
      <c r="D35" s="56" t="s">
        <v>356</v>
      </c>
      <c r="E35" s="237" t="s">
        <v>300</v>
      </c>
      <c r="F35" s="237" t="s">
        <v>306</v>
      </c>
      <c r="G35" s="55" t="s">
        <v>42</v>
      </c>
      <c r="H35" s="55" t="s">
        <v>157</v>
      </c>
      <c r="I35" s="55" t="s">
        <v>155</v>
      </c>
      <c r="J35" s="55" t="s">
        <v>38</v>
      </c>
      <c r="K35" s="55" t="s">
        <v>156</v>
      </c>
      <c r="L35" s="237">
        <v>1</v>
      </c>
      <c r="M35" s="55"/>
      <c r="N35" s="55">
        <v>1</v>
      </c>
      <c r="O35" s="55">
        <v>0.7</v>
      </c>
      <c r="P35" s="55">
        <v>0.65</v>
      </c>
      <c r="Q35" s="57">
        <f t="shared" si="0"/>
        <v>0.67500000000000004</v>
      </c>
      <c r="R35" s="55">
        <v>14.3</v>
      </c>
      <c r="S35" s="55">
        <v>135</v>
      </c>
      <c r="T35" s="77">
        <f t="shared" si="1"/>
        <v>25</v>
      </c>
      <c r="U35" s="55">
        <v>149</v>
      </c>
      <c r="V35" s="78">
        <f t="shared" si="2"/>
        <v>3725</v>
      </c>
      <c r="W35" s="55">
        <v>2</v>
      </c>
      <c r="X35" s="55" t="s">
        <v>46</v>
      </c>
      <c r="Y35" s="55" t="s">
        <v>69</v>
      </c>
      <c r="Z35" s="55" t="s">
        <v>97</v>
      </c>
      <c r="AA35" s="55" t="s">
        <v>64</v>
      </c>
      <c r="AB35" s="55" t="s">
        <v>350</v>
      </c>
      <c r="AE35" s="252"/>
      <c r="AF35" s="249"/>
      <c r="AG35" s="253"/>
      <c r="AH35" s="253"/>
      <c r="AI35" s="249"/>
      <c r="AJ35" s="249"/>
      <c r="AK35" s="249"/>
      <c r="AL35" s="249"/>
      <c r="AM35" s="249"/>
      <c r="AN35" s="249"/>
      <c r="AO35" s="249"/>
      <c r="AP35" s="249"/>
      <c r="AQ35" s="249"/>
      <c r="AR35" s="253"/>
      <c r="AS35" s="249"/>
      <c r="AT35" s="249"/>
      <c r="AU35" s="249"/>
      <c r="AV35" s="249"/>
      <c r="AW35" s="249"/>
    </row>
    <row r="36" spans="1:49" x14ac:dyDescent="0.15">
      <c r="A36" s="55" t="s">
        <v>41</v>
      </c>
      <c r="B36" s="237" t="s">
        <v>348</v>
      </c>
      <c r="C36" s="152">
        <v>2018</v>
      </c>
      <c r="D36" s="56" t="s">
        <v>356</v>
      </c>
      <c r="E36" s="237" t="s">
        <v>300</v>
      </c>
      <c r="F36" s="237" t="s">
        <v>306</v>
      </c>
      <c r="G36" s="55" t="s">
        <v>42</v>
      </c>
      <c r="H36" s="55" t="s">
        <v>157</v>
      </c>
      <c r="I36" s="55" t="s">
        <v>155</v>
      </c>
      <c r="J36" s="55" t="s">
        <v>38</v>
      </c>
      <c r="K36" s="55" t="s">
        <v>156</v>
      </c>
      <c r="L36" s="237">
        <v>2</v>
      </c>
      <c r="N36" s="55">
        <v>1</v>
      </c>
      <c r="O36" s="55">
        <v>0.5</v>
      </c>
      <c r="P36" s="55">
        <v>0.6</v>
      </c>
      <c r="Q36" s="57">
        <f t="shared" si="0"/>
        <v>0.55000000000000004</v>
      </c>
      <c r="R36" s="55">
        <v>15.4</v>
      </c>
      <c r="S36" s="237">
        <v>120</v>
      </c>
      <c r="T36" s="77">
        <f t="shared" si="1"/>
        <v>30</v>
      </c>
      <c r="U36" s="55">
        <v>149</v>
      </c>
      <c r="V36" s="58">
        <f t="shared" si="2"/>
        <v>4470</v>
      </c>
      <c r="W36" s="237">
        <v>2</v>
      </c>
      <c r="X36" s="55" t="s">
        <v>46</v>
      </c>
      <c r="Y36" s="55" t="s">
        <v>69</v>
      </c>
      <c r="Z36" s="55" t="s">
        <v>97</v>
      </c>
      <c r="AA36" s="55" t="s">
        <v>64</v>
      </c>
      <c r="AB36" s="55" t="s">
        <v>350</v>
      </c>
      <c r="AE36" s="252"/>
      <c r="AF36" s="249"/>
      <c r="AG36" s="253"/>
      <c r="AH36" s="253"/>
      <c r="AI36" s="249"/>
      <c r="AJ36" s="249"/>
      <c r="AK36" s="249"/>
      <c r="AL36" s="249"/>
      <c r="AM36" s="249"/>
      <c r="AN36" s="249"/>
      <c r="AO36" s="249"/>
      <c r="AP36" s="249"/>
      <c r="AQ36" s="249"/>
      <c r="AR36" s="253"/>
      <c r="AS36" s="249"/>
      <c r="AT36" s="249"/>
      <c r="AU36" s="249"/>
      <c r="AV36" s="249"/>
      <c r="AW36" s="249"/>
    </row>
    <row r="37" spans="1:49" x14ac:dyDescent="0.15">
      <c r="A37" s="55" t="s">
        <v>41</v>
      </c>
      <c r="B37" s="237" t="s">
        <v>348</v>
      </c>
      <c r="C37" s="152">
        <v>2018</v>
      </c>
      <c r="D37" s="56" t="s">
        <v>356</v>
      </c>
      <c r="E37" s="237" t="s">
        <v>300</v>
      </c>
      <c r="F37" s="237" t="s">
        <v>306</v>
      </c>
      <c r="G37" s="55" t="s">
        <v>42</v>
      </c>
      <c r="H37" s="55" t="s">
        <v>157</v>
      </c>
      <c r="I37" s="55" t="s">
        <v>155</v>
      </c>
      <c r="J37" s="55" t="s">
        <v>38</v>
      </c>
      <c r="K37" s="55" t="s">
        <v>156</v>
      </c>
      <c r="L37" s="237">
        <v>3</v>
      </c>
      <c r="N37" s="55">
        <v>1</v>
      </c>
      <c r="O37" s="55">
        <v>0.65</v>
      </c>
      <c r="P37" s="55">
        <v>0.7</v>
      </c>
      <c r="Q37" s="57">
        <f t="shared" si="0"/>
        <v>0.67500000000000004</v>
      </c>
      <c r="R37" s="55">
        <v>13.5</v>
      </c>
      <c r="S37" s="237">
        <v>131</v>
      </c>
      <c r="T37" s="77">
        <f t="shared" si="1"/>
        <v>25</v>
      </c>
      <c r="U37" s="55">
        <v>149</v>
      </c>
      <c r="V37" s="58">
        <f t="shared" si="2"/>
        <v>3725</v>
      </c>
      <c r="W37" s="237">
        <v>2</v>
      </c>
      <c r="X37" s="55" t="s">
        <v>46</v>
      </c>
      <c r="Y37" s="55" t="s">
        <v>69</v>
      </c>
      <c r="Z37" s="55" t="s">
        <v>97</v>
      </c>
      <c r="AA37" s="55" t="s">
        <v>64</v>
      </c>
      <c r="AB37" s="55" t="s">
        <v>350</v>
      </c>
      <c r="AE37" s="252"/>
      <c r="AF37" s="249"/>
      <c r="AG37" s="253"/>
      <c r="AH37" s="253"/>
      <c r="AI37" s="249"/>
      <c r="AJ37" s="249"/>
      <c r="AK37" s="249"/>
      <c r="AL37" s="249"/>
      <c r="AM37" s="249"/>
      <c r="AN37" s="249"/>
      <c r="AO37" s="249"/>
      <c r="AP37" s="249"/>
      <c r="AQ37" s="249"/>
      <c r="AR37" s="253"/>
      <c r="AS37" s="249"/>
      <c r="AT37" s="249"/>
      <c r="AU37" s="249"/>
      <c r="AV37" s="249"/>
      <c r="AW37" s="249"/>
    </row>
    <row r="38" spans="1:49" x14ac:dyDescent="0.15">
      <c r="A38" s="55" t="s">
        <v>41</v>
      </c>
      <c r="B38" s="237" t="s">
        <v>348</v>
      </c>
      <c r="C38" s="152">
        <v>2018</v>
      </c>
      <c r="D38" s="56" t="s">
        <v>356</v>
      </c>
      <c r="E38" s="237" t="s">
        <v>300</v>
      </c>
      <c r="F38" s="237" t="s">
        <v>306</v>
      </c>
      <c r="G38" s="55" t="s">
        <v>42</v>
      </c>
      <c r="H38" s="55" t="s">
        <v>157</v>
      </c>
      <c r="I38" s="55" t="s">
        <v>155</v>
      </c>
      <c r="J38" s="55" t="s">
        <v>38</v>
      </c>
      <c r="K38" s="55" t="s">
        <v>156</v>
      </c>
      <c r="L38" s="237">
        <v>1</v>
      </c>
      <c r="M38" s="55"/>
      <c r="N38" s="55">
        <v>6</v>
      </c>
      <c r="O38" s="55">
        <v>0.45</v>
      </c>
      <c r="P38" s="55">
        <v>0.65</v>
      </c>
      <c r="Q38" s="57">
        <f t="shared" si="0"/>
        <v>0.55000000000000004</v>
      </c>
      <c r="R38" s="55">
        <v>14.1</v>
      </c>
      <c r="S38" s="237">
        <v>114</v>
      </c>
      <c r="T38" s="77">
        <f t="shared" si="1"/>
        <v>30</v>
      </c>
      <c r="U38" s="55">
        <v>537</v>
      </c>
      <c r="V38" s="78">
        <f t="shared" si="2"/>
        <v>2685</v>
      </c>
      <c r="W38" s="55">
        <v>2</v>
      </c>
      <c r="X38" s="55" t="s">
        <v>46</v>
      </c>
      <c r="Y38" s="55" t="s">
        <v>69</v>
      </c>
      <c r="Z38" s="55" t="s">
        <v>97</v>
      </c>
      <c r="AA38" s="55" t="s">
        <v>64</v>
      </c>
      <c r="AB38" s="55" t="s">
        <v>350</v>
      </c>
      <c r="AE38" s="249"/>
      <c r="AF38" s="249"/>
      <c r="AG38" s="249"/>
      <c r="AH38" s="249"/>
      <c r="AI38" s="249"/>
      <c r="AJ38" s="249"/>
      <c r="AK38" s="249"/>
      <c r="AL38" s="249"/>
      <c r="AM38" s="249"/>
      <c r="AN38" s="249"/>
      <c r="AO38" s="249"/>
      <c r="AP38" s="249"/>
      <c r="AQ38" s="249"/>
      <c r="AR38" s="249"/>
      <c r="AS38" s="249"/>
      <c r="AT38" s="249"/>
      <c r="AU38" s="249"/>
      <c r="AV38" s="249"/>
      <c r="AW38" s="249"/>
    </row>
    <row r="39" spans="1:49" x14ac:dyDescent="0.15">
      <c r="A39" s="55" t="s">
        <v>41</v>
      </c>
      <c r="B39" s="237" t="s">
        <v>348</v>
      </c>
      <c r="C39" s="152">
        <v>2018</v>
      </c>
      <c r="D39" s="56" t="s">
        <v>356</v>
      </c>
      <c r="E39" s="237" t="s">
        <v>300</v>
      </c>
      <c r="F39" s="237" t="s">
        <v>306</v>
      </c>
      <c r="G39" s="55" t="s">
        <v>42</v>
      </c>
      <c r="H39" s="55" t="s">
        <v>157</v>
      </c>
      <c r="I39" s="55" t="s">
        <v>155</v>
      </c>
      <c r="J39" s="55" t="s">
        <v>38</v>
      </c>
      <c r="K39" s="55" t="s">
        <v>156</v>
      </c>
      <c r="L39" s="237">
        <v>2</v>
      </c>
      <c r="N39" s="55">
        <v>6</v>
      </c>
      <c r="O39" s="55">
        <v>0.6</v>
      </c>
      <c r="P39" s="55">
        <v>0.75</v>
      </c>
      <c r="Q39" s="57">
        <f t="shared" si="0"/>
        <v>0.67500000000000004</v>
      </c>
      <c r="R39" s="55">
        <v>14.7</v>
      </c>
      <c r="S39" s="237">
        <v>121</v>
      </c>
      <c r="T39" s="77">
        <f t="shared" si="1"/>
        <v>27</v>
      </c>
      <c r="U39" s="55">
        <v>537</v>
      </c>
      <c r="V39" s="78">
        <f t="shared" si="2"/>
        <v>2416.5</v>
      </c>
      <c r="W39" s="55">
        <v>2</v>
      </c>
      <c r="X39" s="55" t="s">
        <v>46</v>
      </c>
      <c r="Y39" s="55" t="s">
        <v>69</v>
      </c>
      <c r="Z39" s="55" t="s">
        <v>97</v>
      </c>
      <c r="AA39" s="55" t="s">
        <v>64</v>
      </c>
      <c r="AB39" s="55" t="s">
        <v>350</v>
      </c>
    </row>
    <row r="40" spans="1:49" x14ac:dyDescent="0.15">
      <c r="A40" s="55" t="s">
        <v>41</v>
      </c>
      <c r="B40" s="237" t="s">
        <v>348</v>
      </c>
      <c r="C40" s="152">
        <v>2018</v>
      </c>
      <c r="D40" s="56" t="s">
        <v>356</v>
      </c>
      <c r="E40" s="237" t="s">
        <v>300</v>
      </c>
      <c r="F40" s="237" t="s">
        <v>306</v>
      </c>
      <c r="G40" s="55" t="s">
        <v>42</v>
      </c>
      <c r="H40" s="55" t="s">
        <v>157</v>
      </c>
      <c r="I40" s="55" t="s">
        <v>155</v>
      </c>
      <c r="J40" s="55" t="s">
        <v>38</v>
      </c>
      <c r="K40" s="55" t="s">
        <v>156</v>
      </c>
      <c r="L40" s="237">
        <v>3</v>
      </c>
      <c r="N40" s="55">
        <v>6</v>
      </c>
      <c r="O40" s="55">
        <v>0.5</v>
      </c>
      <c r="P40" s="55">
        <v>0.6</v>
      </c>
      <c r="Q40" s="57">
        <f t="shared" si="0"/>
        <v>0.55000000000000004</v>
      </c>
      <c r="R40" s="55">
        <v>15.1</v>
      </c>
      <c r="S40" s="237">
        <v>117</v>
      </c>
      <c r="T40" s="77">
        <f t="shared" si="1"/>
        <v>30</v>
      </c>
      <c r="U40" s="55">
        <v>537</v>
      </c>
      <c r="V40" s="78">
        <f t="shared" si="2"/>
        <v>2685</v>
      </c>
      <c r="W40" s="237">
        <v>2</v>
      </c>
      <c r="X40" s="55" t="s">
        <v>46</v>
      </c>
      <c r="Y40" s="55" t="s">
        <v>69</v>
      </c>
      <c r="Z40" s="55" t="s">
        <v>97</v>
      </c>
      <c r="AA40" s="55" t="s">
        <v>64</v>
      </c>
      <c r="AB40" s="55" t="s">
        <v>350</v>
      </c>
    </row>
    <row r="41" spans="1:49" x14ac:dyDescent="0.15">
      <c r="A41" s="55" t="s">
        <v>41</v>
      </c>
      <c r="B41" s="237" t="s">
        <v>348</v>
      </c>
      <c r="C41" s="152">
        <v>2018</v>
      </c>
      <c r="D41" s="56" t="s">
        <v>356</v>
      </c>
      <c r="E41" s="237" t="s">
        <v>300</v>
      </c>
      <c r="F41" s="237" t="s">
        <v>306</v>
      </c>
      <c r="G41" s="55" t="s">
        <v>42</v>
      </c>
      <c r="H41" s="55" t="s">
        <v>164</v>
      </c>
      <c r="I41" s="55" t="s">
        <v>155</v>
      </c>
      <c r="J41" s="55" t="s">
        <v>38</v>
      </c>
      <c r="K41" s="55" t="s">
        <v>156</v>
      </c>
      <c r="L41" s="237">
        <v>1</v>
      </c>
      <c r="M41" s="55"/>
      <c r="N41" s="55">
        <v>1</v>
      </c>
      <c r="O41" s="55">
        <v>0.65</v>
      </c>
      <c r="P41" s="55">
        <v>0.75</v>
      </c>
      <c r="Q41" s="57">
        <f t="shared" si="0"/>
        <v>0.7</v>
      </c>
      <c r="R41" s="55">
        <v>13.2</v>
      </c>
      <c r="S41" s="237">
        <v>131</v>
      </c>
      <c r="T41" s="77">
        <f t="shared" si="1"/>
        <v>25</v>
      </c>
      <c r="U41" s="55">
        <v>149</v>
      </c>
      <c r="V41" s="78">
        <f t="shared" si="2"/>
        <v>3725</v>
      </c>
      <c r="W41" s="55">
        <v>2</v>
      </c>
      <c r="X41" s="55" t="s">
        <v>46</v>
      </c>
      <c r="Y41" s="55" t="s">
        <v>69</v>
      </c>
      <c r="Z41" s="55" t="s">
        <v>97</v>
      </c>
      <c r="AA41" s="55" t="s">
        <v>64</v>
      </c>
      <c r="AB41" s="55" t="s">
        <v>350</v>
      </c>
      <c r="AE41" s="249"/>
      <c r="AF41" s="249"/>
      <c r="AG41" s="249"/>
      <c r="AH41" s="249"/>
      <c r="AI41" s="249"/>
      <c r="AJ41" s="249"/>
      <c r="AK41" s="249"/>
      <c r="AL41" s="249"/>
      <c r="AM41" s="249"/>
      <c r="AN41" s="249"/>
      <c r="AO41" s="249"/>
      <c r="AP41" s="249"/>
      <c r="AQ41" s="249"/>
      <c r="AR41" s="249"/>
      <c r="AS41" s="249"/>
      <c r="AT41" s="249"/>
      <c r="AU41" s="249"/>
      <c r="AV41" s="249"/>
      <c r="AW41" s="249"/>
    </row>
    <row r="42" spans="1:49" x14ac:dyDescent="0.15">
      <c r="A42" s="55" t="s">
        <v>41</v>
      </c>
      <c r="B42" s="237" t="s">
        <v>348</v>
      </c>
      <c r="C42" s="152">
        <v>2018</v>
      </c>
      <c r="D42" s="56" t="s">
        <v>356</v>
      </c>
      <c r="E42" s="237" t="s">
        <v>300</v>
      </c>
      <c r="F42" s="237" t="s">
        <v>306</v>
      </c>
      <c r="G42" s="55" t="s">
        <v>42</v>
      </c>
      <c r="H42" s="55" t="s">
        <v>164</v>
      </c>
      <c r="I42" s="55" t="s">
        <v>155</v>
      </c>
      <c r="J42" s="55" t="s">
        <v>38</v>
      </c>
      <c r="K42" s="55" t="s">
        <v>156</v>
      </c>
      <c r="L42" s="237">
        <v>2</v>
      </c>
      <c r="N42" s="55">
        <v>1</v>
      </c>
      <c r="O42" s="237">
        <v>0.35</v>
      </c>
      <c r="P42" s="237">
        <v>0.4</v>
      </c>
      <c r="Q42" s="57">
        <f t="shared" si="0"/>
        <v>0.375</v>
      </c>
      <c r="R42" s="237">
        <v>13</v>
      </c>
      <c r="S42" s="237">
        <v>120</v>
      </c>
      <c r="T42" s="77">
        <f t="shared" si="1"/>
        <v>30</v>
      </c>
      <c r="U42" s="55">
        <v>149</v>
      </c>
      <c r="V42" s="58">
        <f t="shared" si="2"/>
        <v>4470</v>
      </c>
      <c r="W42" s="237">
        <v>2</v>
      </c>
      <c r="X42" s="55" t="s">
        <v>46</v>
      </c>
      <c r="Y42" s="55" t="s">
        <v>69</v>
      </c>
      <c r="Z42" s="55" t="s">
        <v>97</v>
      </c>
      <c r="AA42" s="55" t="s">
        <v>64</v>
      </c>
      <c r="AB42" s="55" t="s">
        <v>350</v>
      </c>
    </row>
    <row r="43" spans="1:49" x14ac:dyDescent="0.15">
      <c r="A43" s="55" t="s">
        <v>41</v>
      </c>
      <c r="B43" s="237" t="s">
        <v>348</v>
      </c>
      <c r="C43" s="152">
        <v>2018</v>
      </c>
      <c r="D43" s="56" t="s">
        <v>356</v>
      </c>
      <c r="E43" s="237" t="s">
        <v>300</v>
      </c>
      <c r="F43" s="237" t="s">
        <v>306</v>
      </c>
      <c r="G43" s="55" t="s">
        <v>42</v>
      </c>
      <c r="H43" s="55" t="s">
        <v>164</v>
      </c>
      <c r="I43" s="55" t="s">
        <v>155</v>
      </c>
      <c r="J43" s="55" t="s">
        <v>38</v>
      </c>
      <c r="K43" s="55" t="s">
        <v>156</v>
      </c>
      <c r="L43" s="237">
        <v>3</v>
      </c>
      <c r="N43" s="55">
        <v>1</v>
      </c>
      <c r="O43" s="237">
        <v>0.2</v>
      </c>
      <c r="P43" s="237">
        <v>0.35</v>
      </c>
      <c r="Q43" s="57">
        <f t="shared" si="0"/>
        <v>0.27500000000000002</v>
      </c>
      <c r="R43" s="237">
        <v>14.8</v>
      </c>
      <c r="S43" s="237">
        <v>124</v>
      </c>
      <c r="T43" s="77">
        <f t="shared" si="1"/>
        <v>27</v>
      </c>
      <c r="U43" s="55">
        <v>149</v>
      </c>
      <c r="V43" s="58">
        <f t="shared" si="2"/>
        <v>4023</v>
      </c>
      <c r="W43" s="237">
        <v>2</v>
      </c>
      <c r="X43" s="55" t="s">
        <v>46</v>
      </c>
      <c r="Y43" s="55" t="s">
        <v>69</v>
      </c>
      <c r="Z43" s="55" t="s">
        <v>97</v>
      </c>
      <c r="AA43" s="55" t="s">
        <v>64</v>
      </c>
      <c r="AB43" s="55" t="s">
        <v>350</v>
      </c>
    </row>
    <row r="44" spans="1:49" x14ac:dyDescent="0.15">
      <c r="A44" s="55" t="s">
        <v>41</v>
      </c>
      <c r="B44" s="237" t="s">
        <v>348</v>
      </c>
      <c r="C44" s="152">
        <v>2018</v>
      </c>
      <c r="D44" s="56" t="s">
        <v>356</v>
      </c>
      <c r="E44" s="237" t="s">
        <v>300</v>
      </c>
      <c r="F44" s="237" t="s">
        <v>306</v>
      </c>
      <c r="G44" s="55" t="s">
        <v>42</v>
      </c>
      <c r="H44" s="55" t="s">
        <v>164</v>
      </c>
      <c r="I44" s="55" t="s">
        <v>155</v>
      </c>
      <c r="J44" s="55" t="s">
        <v>38</v>
      </c>
      <c r="K44" s="55" t="s">
        <v>156</v>
      </c>
      <c r="L44" s="237">
        <v>1</v>
      </c>
      <c r="N44" s="55">
        <v>5</v>
      </c>
      <c r="O44" s="237">
        <v>0.45</v>
      </c>
      <c r="P44" s="237">
        <v>0.5</v>
      </c>
      <c r="Q44" s="57">
        <f t="shared" si="0"/>
        <v>0.47499999999999998</v>
      </c>
      <c r="R44" s="237">
        <v>15.1</v>
      </c>
      <c r="S44" s="237">
        <v>120</v>
      </c>
      <c r="T44" s="57">
        <f t="shared" si="1"/>
        <v>30</v>
      </c>
      <c r="U44" s="55">
        <v>645</v>
      </c>
      <c r="V44" s="58">
        <f t="shared" si="2"/>
        <v>3870</v>
      </c>
      <c r="W44" s="237">
        <v>2</v>
      </c>
      <c r="X44" s="55" t="s">
        <v>46</v>
      </c>
      <c r="Y44" s="55" t="s">
        <v>69</v>
      </c>
      <c r="Z44" s="55" t="s">
        <v>97</v>
      </c>
      <c r="AA44" s="55" t="s">
        <v>64</v>
      </c>
      <c r="AB44" s="55" t="s">
        <v>350</v>
      </c>
    </row>
    <row r="45" spans="1:49" x14ac:dyDescent="0.15">
      <c r="A45" s="55" t="s">
        <v>41</v>
      </c>
      <c r="B45" s="237" t="s">
        <v>348</v>
      </c>
      <c r="C45" s="152">
        <v>2018</v>
      </c>
      <c r="D45" s="56" t="s">
        <v>356</v>
      </c>
      <c r="E45" s="237" t="s">
        <v>300</v>
      </c>
      <c r="F45" s="237" t="s">
        <v>306</v>
      </c>
      <c r="G45" s="55" t="s">
        <v>42</v>
      </c>
      <c r="H45" s="55" t="s">
        <v>164</v>
      </c>
      <c r="I45" s="55" t="s">
        <v>155</v>
      </c>
      <c r="J45" s="55" t="s">
        <v>38</v>
      </c>
      <c r="K45" s="55" t="s">
        <v>156</v>
      </c>
      <c r="L45" s="237">
        <v>2</v>
      </c>
      <c r="N45" s="55">
        <v>5</v>
      </c>
      <c r="O45" s="55">
        <v>0.2</v>
      </c>
      <c r="P45" s="55">
        <v>0.1</v>
      </c>
      <c r="Q45" s="57">
        <f t="shared" si="0"/>
        <v>0.15000000000000002</v>
      </c>
      <c r="R45" s="237">
        <v>16.7</v>
      </c>
      <c r="S45" s="237">
        <v>117</v>
      </c>
      <c r="T45" s="57">
        <f t="shared" si="1"/>
        <v>30</v>
      </c>
      <c r="U45" s="55">
        <v>645</v>
      </c>
      <c r="V45" s="58">
        <f t="shared" si="2"/>
        <v>3870</v>
      </c>
      <c r="W45" s="237">
        <v>2</v>
      </c>
      <c r="X45" s="55" t="s">
        <v>46</v>
      </c>
      <c r="Y45" s="55" t="s">
        <v>69</v>
      </c>
      <c r="Z45" s="55" t="s">
        <v>97</v>
      </c>
      <c r="AA45" s="55" t="s">
        <v>64</v>
      </c>
      <c r="AB45" s="55" t="s">
        <v>350</v>
      </c>
    </row>
    <row r="46" spans="1:49" x14ac:dyDescent="0.15">
      <c r="A46" s="55" t="s">
        <v>41</v>
      </c>
      <c r="B46" s="237" t="s">
        <v>348</v>
      </c>
      <c r="C46" s="152">
        <v>2018</v>
      </c>
      <c r="D46" s="56" t="s">
        <v>356</v>
      </c>
      <c r="E46" s="237" t="s">
        <v>300</v>
      </c>
      <c r="F46" s="237" t="s">
        <v>306</v>
      </c>
      <c r="G46" s="55" t="s">
        <v>42</v>
      </c>
      <c r="H46" s="55" t="s">
        <v>164</v>
      </c>
      <c r="I46" s="55" t="s">
        <v>155</v>
      </c>
      <c r="J46" s="55" t="s">
        <v>38</v>
      </c>
      <c r="K46" s="55" t="s">
        <v>156</v>
      </c>
      <c r="L46" s="237">
        <v>3</v>
      </c>
      <c r="N46" s="55">
        <v>5</v>
      </c>
      <c r="O46" s="55">
        <v>0.2</v>
      </c>
      <c r="P46" s="55">
        <v>0.1</v>
      </c>
      <c r="Q46" s="57">
        <f t="shared" si="0"/>
        <v>0.15000000000000002</v>
      </c>
      <c r="R46" s="237">
        <v>15.4</v>
      </c>
      <c r="S46" s="237">
        <v>118</v>
      </c>
      <c r="T46" s="57">
        <f t="shared" si="1"/>
        <v>30</v>
      </c>
      <c r="U46" s="55">
        <v>645</v>
      </c>
      <c r="V46" s="58">
        <f t="shared" si="2"/>
        <v>3870</v>
      </c>
      <c r="W46" s="237">
        <v>2</v>
      </c>
      <c r="X46" s="55" t="s">
        <v>46</v>
      </c>
      <c r="Y46" s="55" t="s">
        <v>69</v>
      </c>
      <c r="Z46" s="55" t="s">
        <v>97</v>
      </c>
      <c r="AA46" s="55" t="s">
        <v>64</v>
      </c>
      <c r="AB46" s="55" t="s">
        <v>350</v>
      </c>
    </row>
    <row r="47" spans="1:49" x14ac:dyDescent="0.15">
      <c r="A47" s="55" t="s">
        <v>41</v>
      </c>
      <c r="B47" s="237" t="s">
        <v>348</v>
      </c>
      <c r="C47" s="152">
        <v>2018</v>
      </c>
      <c r="D47" s="56" t="s">
        <v>356</v>
      </c>
      <c r="E47" s="237" t="s">
        <v>301</v>
      </c>
      <c r="F47" s="237" t="s">
        <v>305</v>
      </c>
      <c r="G47" s="55" t="s">
        <v>42</v>
      </c>
      <c r="H47" s="55" t="s">
        <v>157</v>
      </c>
      <c r="I47" s="55" t="s">
        <v>155</v>
      </c>
      <c r="J47" s="55" t="s">
        <v>38</v>
      </c>
      <c r="K47" s="55" t="s">
        <v>156</v>
      </c>
      <c r="L47" s="237">
        <v>1</v>
      </c>
      <c r="N47" s="55">
        <v>1</v>
      </c>
      <c r="O47" s="55">
        <v>0.4</v>
      </c>
      <c r="P47" s="55">
        <v>0.3</v>
      </c>
      <c r="Q47" s="57">
        <f t="shared" si="0"/>
        <v>0.35</v>
      </c>
      <c r="R47" s="237">
        <v>15</v>
      </c>
      <c r="S47" s="237">
        <v>140</v>
      </c>
      <c r="T47" s="57">
        <f t="shared" si="1"/>
        <v>22</v>
      </c>
      <c r="U47" s="237">
        <v>95</v>
      </c>
      <c r="V47" s="58">
        <f t="shared" si="2"/>
        <v>2090</v>
      </c>
      <c r="W47" s="237">
        <v>1</v>
      </c>
      <c r="X47" s="55" t="s">
        <v>46</v>
      </c>
      <c r="Y47" s="55" t="s">
        <v>97</v>
      </c>
      <c r="Z47" s="55" t="s">
        <v>88</v>
      </c>
      <c r="AA47" s="55" t="s">
        <v>86</v>
      </c>
      <c r="AB47" s="55" t="s">
        <v>350</v>
      </c>
    </row>
    <row r="48" spans="1:49" x14ac:dyDescent="0.15">
      <c r="A48" s="55" t="s">
        <v>41</v>
      </c>
      <c r="B48" s="237" t="s">
        <v>348</v>
      </c>
      <c r="C48" s="152">
        <v>2018</v>
      </c>
      <c r="D48" s="56" t="s">
        <v>356</v>
      </c>
      <c r="E48" s="237" t="s">
        <v>301</v>
      </c>
      <c r="F48" s="237" t="s">
        <v>305</v>
      </c>
      <c r="G48" s="55" t="s">
        <v>42</v>
      </c>
      <c r="H48" s="55" t="s">
        <v>157</v>
      </c>
      <c r="I48" s="55" t="s">
        <v>155</v>
      </c>
      <c r="J48" s="55" t="s">
        <v>38</v>
      </c>
      <c r="K48" s="55" t="s">
        <v>156</v>
      </c>
      <c r="L48" s="237">
        <v>2</v>
      </c>
      <c r="N48" s="55">
        <v>1</v>
      </c>
      <c r="O48" s="55">
        <v>0.45</v>
      </c>
      <c r="P48" s="55">
        <v>0.5</v>
      </c>
      <c r="Q48" s="57">
        <f t="shared" si="0"/>
        <v>0.47499999999999998</v>
      </c>
      <c r="R48" s="237">
        <v>17</v>
      </c>
      <c r="S48" s="237">
        <v>135</v>
      </c>
      <c r="T48" s="57">
        <f t="shared" si="1"/>
        <v>25</v>
      </c>
      <c r="U48" s="237">
        <v>95</v>
      </c>
      <c r="V48" s="58">
        <f t="shared" si="2"/>
        <v>2375</v>
      </c>
      <c r="W48" s="237">
        <v>1</v>
      </c>
      <c r="X48" s="55" t="s">
        <v>46</v>
      </c>
      <c r="Y48" s="55" t="s">
        <v>97</v>
      </c>
      <c r="Z48" s="55" t="s">
        <v>88</v>
      </c>
      <c r="AA48" s="55" t="s">
        <v>86</v>
      </c>
      <c r="AB48" s="55" t="s">
        <v>350</v>
      </c>
    </row>
    <row r="49" spans="1:30" x14ac:dyDescent="0.15">
      <c r="A49" s="55" t="s">
        <v>41</v>
      </c>
      <c r="B49" s="237" t="s">
        <v>348</v>
      </c>
      <c r="C49" s="152">
        <v>2018</v>
      </c>
      <c r="D49" s="56" t="s">
        <v>356</v>
      </c>
      <c r="E49" s="237" t="s">
        <v>301</v>
      </c>
      <c r="F49" s="237" t="s">
        <v>305</v>
      </c>
      <c r="G49" s="55" t="s">
        <v>42</v>
      </c>
      <c r="H49" s="55" t="s">
        <v>157</v>
      </c>
      <c r="I49" s="55" t="s">
        <v>155</v>
      </c>
      <c r="J49" s="55" t="s">
        <v>38</v>
      </c>
      <c r="K49" s="55" t="s">
        <v>156</v>
      </c>
      <c r="L49" s="237">
        <v>3</v>
      </c>
      <c r="N49" s="55">
        <v>1</v>
      </c>
      <c r="O49" s="55">
        <v>0.8</v>
      </c>
      <c r="P49" s="55">
        <v>0.6</v>
      </c>
      <c r="Q49" s="57">
        <f t="shared" si="0"/>
        <v>0.7</v>
      </c>
      <c r="R49" s="237">
        <v>13.7</v>
      </c>
      <c r="S49" s="237">
        <v>131</v>
      </c>
      <c r="T49" s="57">
        <f t="shared" si="1"/>
        <v>25</v>
      </c>
      <c r="U49" s="55">
        <v>95</v>
      </c>
      <c r="V49" s="58">
        <f t="shared" si="2"/>
        <v>2375</v>
      </c>
      <c r="W49" s="237">
        <v>1</v>
      </c>
      <c r="X49" s="55" t="s">
        <v>46</v>
      </c>
      <c r="Y49" s="55" t="s">
        <v>97</v>
      </c>
      <c r="Z49" s="55" t="s">
        <v>88</v>
      </c>
      <c r="AA49" s="55" t="s">
        <v>86</v>
      </c>
      <c r="AB49" s="55" t="s">
        <v>350</v>
      </c>
    </row>
    <row r="50" spans="1:30" x14ac:dyDescent="0.15">
      <c r="A50" s="55" t="s">
        <v>41</v>
      </c>
      <c r="B50" s="237" t="s">
        <v>348</v>
      </c>
      <c r="C50" s="152">
        <v>2018</v>
      </c>
      <c r="D50" s="56" t="s">
        <v>356</v>
      </c>
      <c r="E50" s="237" t="s">
        <v>301</v>
      </c>
      <c r="F50" s="237" t="s">
        <v>305</v>
      </c>
      <c r="G50" s="55" t="s">
        <v>42</v>
      </c>
      <c r="H50" s="55" t="s">
        <v>164</v>
      </c>
      <c r="I50" s="55" t="s">
        <v>155</v>
      </c>
      <c r="J50" s="55" t="s">
        <v>38</v>
      </c>
      <c r="K50" s="55" t="s">
        <v>156</v>
      </c>
      <c r="L50" s="237">
        <v>1</v>
      </c>
      <c r="N50" s="55">
        <v>1</v>
      </c>
      <c r="O50" s="55">
        <v>0.4</v>
      </c>
      <c r="P50" s="55">
        <v>0.3</v>
      </c>
      <c r="Q50" s="57">
        <f t="shared" si="0"/>
        <v>0.35</v>
      </c>
      <c r="R50" s="237">
        <v>14.1</v>
      </c>
      <c r="S50" s="237">
        <v>133</v>
      </c>
      <c r="T50" s="57">
        <f t="shared" si="1"/>
        <v>25</v>
      </c>
      <c r="U50" s="237">
        <v>170</v>
      </c>
      <c r="V50" s="58">
        <f t="shared" si="2"/>
        <v>4250</v>
      </c>
      <c r="W50" s="237">
        <v>1</v>
      </c>
      <c r="X50" s="55" t="s">
        <v>46</v>
      </c>
      <c r="Y50" s="55" t="s">
        <v>97</v>
      </c>
      <c r="Z50" s="55" t="s">
        <v>88</v>
      </c>
      <c r="AA50" s="55" t="s">
        <v>86</v>
      </c>
      <c r="AB50" s="55" t="s">
        <v>350</v>
      </c>
      <c r="AC50" s="55"/>
      <c r="AD50" s="55"/>
    </row>
    <row r="51" spans="1:30" x14ac:dyDescent="0.15">
      <c r="A51" s="55" t="s">
        <v>41</v>
      </c>
      <c r="B51" s="237" t="s">
        <v>348</v>
      </c>
      <c r="C51" s="152">
        <v>2018</v>
      </c>
      <c r="D51" s="56" t="s">
        <v>356</v>
      </c>
      <c r="E51" s="237" t="s">
        <v>301</v>
      </c>
      <c r="F51" s="237" t="s">
        <v>305</v>
      </c>
      <c r="G51" s="55" t="s">
        <v>42</v>
      </c>
      <c r="H51" s="55" t="s">
        <v>164</v>
      </c>
      <c r="I51" s="55" t="s">
        <v>155</v>
      </c>
      <c r="J51" s="55" t="s">
        <v>38</v>
      </c>
      <c r="K51" s="55" t="s">
        <v>156</v>
      </c>
      <c r="L51" s="237">
        <v>2</v>
      </c>
      <c r="N51" s="55">
        <v>1</v>
      </c>
      <c r="O51" s="55">
        <v>0.3</v>
      </c>
      <c r="P51" s="55">
        <v>0.3</v>
      </c>
      <c r="Q51" s="57">
        <f t="shared" si="0"/>
        <v>0.3</v>
      </c>
      <c r="R51" s="237">
        <v>15.1</v>
      </c>
      <c r="S51" s="237">
        <v>134</v>
      </c>
      <c r="T51" s="57">
        <f t="shared" si="1"/>
        <v>25</v>
      </c>
      <c r="U51" s="237">
        <v>170</v>
      </c>
      <c r="V51" s="58">
        <f t="shared" si="2"/>
        <v>4250</v>
      </c>
      <c r="W51" s="237">
        <v>1</v>
      </c>
      <c r="X51" s="55" t="s">
        <v>46</v>
      </c>
      <c r="Y51" s="55" t="s">
        <v>97</v>
      </c>
      <c r="Z51" s="55" t="s">
        <v>88</v>
      </c>
      <c r="AA51" s="55" t="s">
        <v>86</v>
      </c>
      <c r="AB51" s="55" t="s">
        <v>350</v>
      </c>
      <c r="AC51" s="55"/>
      <c r="AD51" s="55"/>
    </row>
    <row r="52" spans="1:30" x14ac:dyDescent="0.15">
      <c r="A52" s="55" t="s">
        <v>41</v>
      </c>
      <c r="B52" s="237" t="s">
        <v>348</v>
      </c>
      <c r="C52" s="152">
        <v>2018</v>
      </c>
      <c r="D52" s="56" t="s">
        <v>356</v>
      </c>
      <c r="E52" s="237" t="s">
        <v>301</v>
      </c>
      <c r="F52" s="237" t="s">
        <v>305</v>
      </c>
      <c r="G52" s="55" t="s">
        <v>42</v>
      </c>
      <c r="H52" s="55" t="s">
        <v>164</v>
      </c>
      <c r="I52" s="55" t="s">
        <v>155</v>
      </c>
      <c r="J52" s="55" t="s">
        <v>38</v>
      </c>
      <c r="K52" s="55" t="s">
        <v>156</v>
      </c>
      <c r="L52" s="237">
        <v>3</v>
      </c>
      <c r="N52" s="55">
        <v>1</v>
      </c>
      <c r="O52" s="55">
        <v>0.4</v>
      </c>
      <c r="P52" s="55">
        <v>0.6</v>
      </c>
      <c r="Q52" s="57">
        <f t="shared" si="0"/>
        <v>0.5</v>
      </c>
      <c r="R52" s="237">
        <v>16.100000000000001</v>
      </c>
      <c r="S52" s="237">
        <v>129</v>
      </c>
      <c r="T52" s="57">
        <f t="shared" si="1"/>
        <v>25</v>
      </c>
      <c r="U52" s="55">
        <v>170</v>
      </c>
      <c r="V52" s="58">
        <f t="shared" si="2"/>
        <v>4250</v>
      </c>
      <c r="W52" s="237">
        <v>1</v>
      </c>
      <c r="X52" s="55" t="s">
        <v>46</v>
      </c>
      <c r="Y52" s="55" t="s">
        <v>97</v>
      </c>
      <c r="Z52" s="55" t="s">
        <v>88</v>
      </c>
      <c r="AA52" s="55" t="s">
        <v>86</v>
      </c>
      <c r="AB52" s="55" t="s">
        <v>350</v>
      </c>
      <c r="AC52" s="55"/>
      <c r="AD52" s="55"/>
    </row>
    <row r="53" spans="1:30" x14ac:dyDescent="0.15">
      <c r="A53" s="55" t="s">
        <v>41</v>
      </c>
      <c r="B53" s="237" t="s">
        <v>348</v>
      </c>
      <c r="C53" s="152">
        <v>2018</v>
      </c>
      <c r="D53" s="56" t="s">
        <v>356</v>
      </c>
      <c r="E53" s="237" t="s">
        <v>301</v>
      </c>
      <c r="F53" s="237" t="s">
        <v>305</v>
      </c>
      <c r="G53" s="55" t="s">
        <v>42</v>
      </c>
      <c r="H53" s="55" t="s">
        <v>164</v>
      </c>
      <c r="I53" s="55" t="s">
        <v>155</v>
      </c>
      <c r="J53" s="55" t="s">
        <v>38</v>
      </c>
      <c r="K53" s="55" t="s">
        <v>156</v>
      </c>
      <c r="L53" s="237">
        <v>1</v>
      </c>
      <c r="N53" s="55">
        <v>3</v>
      </c>
      <c r="O53" s="55">
        <v>0.4</v>
      </c>
      <c r="P53" s="55">
        <v>0.3</v>
      </c>
      <c r="Q53" s="57">
        <f t="shared" si="0"/>
        <v>0.35</v>
      </c>
      <c r="R53" s="237">
        <v>15</v>
      </c>
      <c r="S53" s="237">
        <v>165</v>
      </c>
      <c r="T53" s="57">
        <f t="shared" si="1"/>
        <v>22</v>
      </c>
      <c r="U53" s="237">
        <v>645</v>
      </c>
      <c r="V53" s="58">
        <f t="shared" si="2"/>
        <v>4730</v>
      </c>
      <c r="W53" s="237">
        <v>1</v>
      </c>
      <c r="X53" s="55" t="s">
        <v>46</v>
      </c>
      <c r="Y53" s="55" t="s">
        <v>97</v>
      </c>
      <c r="Z53" s="55" t="s">
        <v>88</v>
      </c>
      <c r="AA53" s="55" t="s">
        <v>86</v>
      </c>
      <c r="AB53" s="55" t="s">
        <v>350</v>
      </c>
      <c r="AC53" s="55"/>
      <c r="AD53" s="55"/>
    </row>
    <row r="54" spans="1:30" x14ac:dyDescent="0.15">
      <c r="A54" s="55" t="s">
        <v>41</v>
      </c>
      <c r="B54" s="237" t="s">
        <v>348</v>
      </c>
      <c r="C54" s="152">
        <v>2018</v>
      </c>
      <c r="D54" s="56" t="s">
        <v>356</v>
      </c>
      <c r="E54" s="237" t="s">
        <v>301</v>
      </c>
      <c r="F54" s="237" t="s">
        <v>305</v>
      </c>
      <c r="G54" s="55" t="s">
        <v>42</v>
      </c>
      <c r="H54" s="55" t="s">
        <v>164</v>
      </c>
      <c r="I54" s="55" t="s">
        <v>155</v>
      </c>
      <c r="J54" s="55" t="s">
        <v>38</v>
      </c>
      <c r="K54" s="55" t="s">
        <v>156</v>
      </c>
      <c r="L54" s="237">
        <v>2</v>
      </c>
      <c r="N54" s="55">
        <v>3</v>
      </c>
      <c r="O54" s="55">
        <v>0.3</v>
      </c>
      <c r="P54" s="55">
        <v>0.3</v>
      </c>
      <c r="Q54" s="57">
        <f t="shared" si="0"/>
        <v>0.3</v>
      </c>
      <c r="R54" s="237">
        <v>16.8</v>
      </c>
      <c r="S54" s="237">
        <v>155</v>
      </c>
      <c r="T54" s="57">
        <f t="shared" si="1"/>
        <v>22</v>
      </c>
      <c r="U54" s="237">
        <v>645</v>
      </c>
      <c r="V54" s="58">
        <f t="shared" si="2"/>
        <v>4730</v>
      </c>
      <c r="W54" s="237">
        <v>1</v>
      </c>
      <c r="X54" s="55" t="s">
        <v>46</v>
      </c>
      <c r="Y54" s="55" t="s">
        <v>97</v>
      </c>
      <c r="Z54" s="55" t="s">
        <v>88</v>
      </c>
      <c r="AA54" s="55" t="s">
        <v>86</v>
      </c>
      <c r="AB54" s="55" t="s">
        <v>350</v>
      </c>
      <c r="AC54" s="55"/>
      <c r="AD54" s="55"/>
    </row>
    <row r="55" spans="1:30" x14ac:dyDescent="0.15">
      <c r="A55" s="55" t="s">
        <v>41</v>
      </c>
      <c r="B55" s="237" t="s">
        <v>348</v>
      </c>
      <c r="C55" s="152">
        <v>2018</v>
      </c>
      <c r="D55" s="56" t="s">
        <v>356</v>
      </c>
      <c r="E55" s="237" t="s">
        <v>301</v>
      </c>
      <c r="F55" s="237" t="s">
        <v>305</v>
      </c>
      <c r="G55" s="55" t="s">
        <v>42</v>
      </c>
      <c r="H55" s="55" t="s">
        <v>164</v>
      </c>
      <c r="I55" s="55" t="s">
        <v>155</v>
      </c>
      <c r="J55" s="55" t="s">
        <v>38</v>
      </c>
      <c r="K55" s="55" t="s">
        <v>156</v>
      </c>
      <c r="L55" s="237">
        <v>3</v>
      </c>
      <c r="N55" s="55">
        <v>3</v>
      </c>
      <c r="O55" s="55">
        <v>0.4</v>
      </c>
      <c r="P55" s="55">
        <v>0.6</v>
      </c>
      <c r="Q55" s="57">
        <f t="shared" si="0"/>
        <v>0.5</v>
      </c>
      <c r="R55" s="237">
        <v>14.1</v>
      </c>
      <c r="S55" s="237">
        <v>159</v>
      </c>
      <c r="T55" s="57">
        <f t="shared" si="1"/>
        <v>22</v>
      </c>
      <c r="U55" s="55">
        <v>645</v>
      </c>
      <c r="V55" s="58">
        <f t="shared" si="2"/>
        <v>4730</v>
      </c>
      <c r="W55" s="237">
        <v>1</v>
      </c>
      <c r="X55" s="55" t="s">
        <v>46</v>
      </c>
      <c r="Y55" s="55" t="s">
        <v>97</v>
      </c>
      <c r="Z55" s="55" t="s">
        <v>88</v>
      </c>
      <c r="AA55" s="55" t="s">
        <v>86</v>
      </c>
      <c r="AB55" s="55" t="s">
        <v>350</v>
      </c>
      <c r="AC55" s="55"/>
      <c r="AD55" s="55"/>
    </row>
    <row r="56" spans="1:30" x14ac:dyDescent="0.15">
      <c r="A56" s="55" t="s">
        <v>41</v>
      </c>
      <c r="B56" s="237" t="s">
        <v>348</v>
      </c>
      <c r="C56" s="152">
        <v>2018</v>
      </c>
      <c r="D56" s="56" t="s">
        <v>356</v>
      </c>
      <c r="E56" s="237" t="s">
        <v>301</v>
      </c>
      <c r="F56" s="237" t="s">
        <v>305</v>
      </c>
      <c r="G56" s="55" t="s">
        <v>42</v>
      </c>
      <c r="H56" s="55" t="s">
        <v>157</v>
      </c>
      <c r="I56" s="55" t="s">
        <v>155</v>
      </c>
      <c r="J56" s="55" t="s">
        <v>38</v>
      </c>
      <c r="K56" s="55" t="s">
        <v>156</v>
      </c>
      <c r="L56" s="237">
        <v>1</v>
      </c>
      <c r="N56" s="237">
        <v>9</v>
      </c>
      <c r="O56" s="55">
        <v>0.6</v>
      </c>
      <c r="P56" s="55">
        <v>0.45</v>
      </c>
      <c r="Q56" s="57">
        <f t="shared" si="0"/>
        <v>0.52500000000000002</v>
      </c>
      <c r="R56" s="237">
        <v>14.8</v>
      </c>
      <c r="S56" s="237">
        <v>121</v>
      </c>
      <c r="T56" s="57">
        <f t="shared" si="1"/>
        <v>27</v>
      </c>
      <c r="U56" s="237">
        <v>950</v>
      </c>
      <c r="V56" s="58">
        <f t="shared" si="2"/>
        <v>2850</v>
      </c>
      <c r="W56" s="237">
        <v>2</v>
      </c>
      <c r="X56" s="55" t="s">
        <v>46</v>
      </c>
      <c r="Y56" s="55" t="s">
        <v>97</v>
      </c>
      <c r="Z56" s="55" t="s">
        <v>88</v>
      </c>
      <c r="AA56" s="55" t="s">
        <v>86</v>
      </c>
      <c r="AB56" s="55" t="s">
        <v>350</v>
      </c>
    </row>
    <row r="57" spans="1:30" x14ac:dyDescent="0.15">
      <c r="A57" s="55" t="s">
        <v>41</v>
      </c>
      <c r="B57" s="237" t="s">
        <v>348</v>
      </c>
      <c r="C57" s="152">
        <v>2018</v>
      </c>
      <c r="D57" s="56" t="s">
        <v>356</v>
      </c>
      <c r="E57" s="237" t="s">
        <v>301</v>
      </c>
      <c r="F57" s="237" t="s">
        <v>305</v>
      </c>
      <c r="G57" s="55" t="s">
        <v>42</v>
      </c>
      <c r="H57" s="55" t="s">
        <v>157</v>
      </c>
      <c r="I57" s="55" t="s">
        <v>155</v>
      </c>
      <c r="J57" s="55" t="s">
        <v>38</v>
      </c>
      <c r="K57" s="55" t="s">
        <v>156</v>
      </c>
      <c r="L57" s="237">
        <v>2</v>
      </c>
      <c r="N57" s="237">
        <v>9</v>
      </c>
      <c r="O57" s="55">
        <v>0.5</v>
      </c>
      <c r="P57" s="55">
        <v>0.45</v>
      </c>
      <c r="Q57" s="57">
        <f t="shared" si="0"/>
        <v>0.47499999999999998</v>
      </c>
      <c r="R57" s="237">
        <v>15.1</v>
      </c>
      <c r="S57" s="55">
        <v>118</v>
      </c>
      <c r="T57" s="57">
        <f t="shared" si="1"/>
        <v>30</v>
      </c>
      <c r="U57" s="237">
        <v>950</v>
      </c>
      <c r="V57" s="58">
        <f t="shared" si="2"/>
        <v>3166.6666666666665</v>
      </c>
      <c r="W57" s="237">
        <v>2</v>
      </c>
      <c r="X57" s="55" t="s">
        <v>46</v>
      </c>
      <c r="Y57" s="55" t="s">
        <v>97</v>
      </c>
      <c r="Z57" s="55" t="s">
        <v>88</v>
      </c>
      <c r="AA57" s="55" t="s">
        <v>86</v>
      </c>
      <c r="AB57" s="55" t="s">
        <v>350</v>
      </c>
    </row>
    <row r="58" spans="1:30" x14ac:dyDescent="0.15">
      <c r="A58" s="55" t="s">
        <v>41</v>
      </c>
      <c r="B58" s="237" t="s">
        <v>348</v>
      </c>
      <c r="C58" s="152">
        <v>2018</v>
      </c>
      <c r="D58" s="56" t="s">
        <v>356</v>
      </c>
      <c r="E58" s="237" t="s">
        <v>301</v>
      </c>
      <c r="F58" s="237" t="s">
        <v>305</v>
      </c>
      <c r="G58" s="55" t="s">
        <v>42</v>
      </c>
      <c r="H58" s="55" t="s">
        <v>157</v>
      </c>
      <c r="I58" s="55" t="s">
        <v>155</v>
      </c>
      <c r="J58" s="55" t="s">
        <v>38</v>
      </c>
      <c r="K58" s="55" t="s">
        <v>156</v>
      </c>
      <c r="L58" s="237">
        <v>3</v>
      </c>
      <c r="N58" s="237">
        <v>9</v>
      </c>
      <c r="O58" s="55">
        <v>0.8</v>
      </c>
      <c r="P58" s="55">
        <v>0.8</v>
      </c>
      <c r="Q58" s="57">
        <f t="shared" si="0"/>
        <v>0.8</v>
      </c>
      <c r="R58" s="237">
        <v>16.8</v>
      </c>
      <c r="S58" s="55">
        <v>114</v>
      </c>
      <c r="T58" s="57">
        <f t="shared" si="1"/>
        <v>30</v>
      </c>
      <c r="U58" s="237">
        <v>950</v>
      </c>
      <c r="V58" s="58">
        <f t="shared" si="2"/>
        <v>3166.6666666666665</v>
      </c>
      <c r="W58" s="237">
        <v>2</v>
      </c>
      <c r="X58" s="55" t="s">
        <v>46</v>
      </c>
      <c r="Y58" s="55" t="s">
        <v>97</v>
      </c>
      <c r="Z58" s="55" t="s">
        <v>88</v>
      </c>
      <c r="AA58" s="55" t="s">
        <v>86</v>
      </c>
      <c r="AB58" s="55" t="s">
        <v>350</v>
      </c>
    </row>
    <row r="59" spans="1:30" x14ac:dyDescent="0.15">
      <c r="A59" s="55" t="s">
        <v>41</v>
      </c>
      <c r="B59" s="237" t="s">
        <v>348</v>
      </c>
      <c r="C59" s="152">
        <v>2018</v>
      </c>
      <c r="D59" s="56" t="s">
        <v>356</v>
      </c>
      <c r="E59" s="237" t="s">
        <v>301</v>
      </c>
      <c r="F59" s="237" t="s">
        <v>305</v>
      </c>
      <c r="G59" s="55" t="s">
        <v>42</v>
      </c>
      <c r="H59" s="55" t="s">
        <v>164</v>
      </c>
      <c r="I59" s="55" t="s">
        <v>155</v>
      </c>
      <c r="J59" s="55" t="s">
        <v>38</v>
      </c>
      <c r="K59" s="55" t="s">
        <v>156</v>
      </c>
      <c r="L59" s="237">
        <v>1</v>
      </c>
      <c r="N59" s="237">
        <v>4</v>
      </c>
      <c r="O59" s="55">
        <v>0.25</v>
      </c>
      <c r="P59" s="55">
        <v>0.2</v>
      </c>
      <c r="Q59" s="57">
        <f t="shared" si="0"/>
        <v>0.22500000000000001</v>
      </c>
      <c r="R59" s="237">
        <v>13.7</v>
      </c>
      <c r="S59" s="55">
        <v>127</v>
      </c>
      <c r="T59" s="57">
        <f t="shared" si="1"/>
        <v>27</v>
      </c>
      <c r="U59" s="237">
        <v>645</v>
      </c>
      <c r="V59" s="58">
        <f t="shared" si="2"/>
        <v>4353.75</v>
      </c>
      <c r="W59" s="237">
        <v>2</v>
      </c>
      <c r="X59" s="55" t="s">
        <v>46</v>
      </c>
      <c r="Y59" s="55" t="s">
        <v>97</v>
      </c>
      <c r="Z59" s="55" t="s">
        <v>88</v>
      </c>
      <c r="AA59" s="55" t="s">
        <v>86</v>
      </c>
      <c r="AB59" s="55" t="s">
        <v>350</v>
      </c>
    </row>
    <row r="60" spans="1:30" x14ac:dyDescent="0.15">
      <c r="A60" s="55" t="s">
        <v>41</v>
      </c>
      <c r="B60" s="237" t="s">
        <v>348</v>
      </c>
      <c r="C60" s="152">
        <v>2018</v>
      </c>
      <c r="D60" s="56" t="s">
        <v>356</v>
      </c>
      <c r="E60" s="237" t="s">
        <v>301</v>
      </c>
      <c r="F60" s="237" t="s">
        <v>305</v>
      </c>
      <c r="G60" s="55" t="s">
        <v>42</v>
      </c>
      <c r="H60" s="55" t="s">
        <v>164</v>
      </c>
      <c r="I60" s="55" t="s">
        <v>155</v>
      </c>
      <c r="J60" s="55" t="s">
        <v>38</v>
      </c>
      <c r="K60" s="55" t="s">
        <v>156</v>
      </c>
      <c r="L60" s="237">
        <v>2</v>
      </c>
      <c r="N60" s="237">
        <v>4</v>
      </c>
      <c r="O60" s="237">
        <v>0.55000000000000004</v>
      </c>
      <c r="P60" s="237">
        <v>0.4</v>
      </c>
      <c r="Q60" s="57">
        <f t="shared" si="0"/>
        <v>0.47500000000000003</v>
      </c>
      <c r="R60" s="237">
        <v>16.8</v>
      </c>
      <c r="S60" s="55">
        <v>124</v>
      </c>
      <c r="T60" s="57">
        <f t="shared" si="1"/>
        <v>27</v>
      </c>
      <c r="U60" s="237">
        <v>645</v>
      </c>
      <c r="V60" s="58">
        <f t="shared" si="2"/>
        <v>4353.75</v>
      </c>
      <c r="W60" s="237">
        <v>2</v>
      </c>
      <c r="X60" s="55" t="s">
        <v>46</v>
      </c>
      <c r="Y60" s="55" t="s">
        <v>97</v>
      </c>
      <c r="Z60" s="55" t="s">
        <v>88</v>
      </c>
      <c r="AA60" s="55" t="s">
        <v>86</v>
      </c>
      <c r="AB60" s="55" t="s">
        <v>350</v>
      </c>
    </row>
    <row r="61" spans="1:30" x14ac:dyDescent="0.15">
      <c r="A61" s="55" t="s">
        <v>41</v>
      </c>
      <c r="B61" s="237" t="s">
        <v>348</v>
      </c>
      <c r="C61" s="152">
        <v>2018</v>
      </c>
      <c r="D61" s="56" t="s">
        <v>356</v>
      </c>
      <c r="E61" s="237" t="s">
        <v>301</v>
      </c>
      <c r="F61" s="237" t="s">
        <v>305</v>
      </c>
      <c r="G61" s="55" t="s">
        <v>42</v>
      </c>
      <c r="H61" s="55" t="s">
        <v>164</v>
      </c>
      <c r="I61" s="55" t="s">
        <v>155</v>
      </c>
      <c r="J61" s="55" t="s">
        <v>38</v>
      </c>
      <c r="K61" s="55" t="s">
        <v>156</v>
      </c>
      <c r="L61" s="237">
        <v>3</v>
      </c>
      <c r="N61" s="237">
        <v>4</v>
      </c>
      <c r="O61" s="237">
        <v>0.4</v>
      </c>
      <c r="P61" s="237">
        <v>0.45</v>
      </c>
      <c r="Q61" s="57">
        <f t="shared" si="0"/>
        <v>0.42500000000000004</v>
      </c>
      <c r="R61" s="237">
        <v>15.7</v>
      </c>
      <c r="S61" s="55">
        <v>122</v>
      </c>
      <c r="T61" s="57">
        <f t="shared" si="1"/>
        <v>27</v>
      </c>
      <c r="U61" s="237">
        <v>645</v>
      </c>
      <c r="V61" s="58">
        <f t="shared" si="2"/>
        <v>4353.75</v>
      </c>
      <c r="W61" s="237">
        <v>2</v>
      </c>
      <c r="X61" s="55" t="s">
        <v>46</v>
      </c>
      <c r="Y61" s="55" t="s">
        <v>97</v>
      </c>
      <c r="Z61" s="55" t="s">
        <v>88</v>
      </c>
      <c r="AA61" s="55" t="s">
        <v>86</v>
      </c>
      <c r="AB61" s="55" t="s">
        <v>350</v>
      </c>
    </row>
    <row r="62" spans="1:30" x14ac:dyDescent="0.15">
      <c r="A62" s="55" t="s">
        <v>41</v>
      </c>
      <c r="B62" s="237" t="s">
        <v>348</v>
      </c>
      <c r="C62" s="152">
        <v>2018</v>
      </c>
      <c r="D62" s="56" t="s">
        <v>356</v>
      </c>
      <c r="E62" s="237" t="s">
        <v>301</v>
      </c>
      <c r="F62" s="237" t="s">
        <v>307</v>
      </c>
      <c r="G62" s="55" t="s">
        <v>42</v>
      </c>
      <c r="H62" s="55" t="s">
        <v>157</v>
      </c>
      <c r="I62" s="55" t="s">
        <v>155</v>
      </c>
      <c r="J62" s="55" t="s">
        <v>38</v>
      </c>
      <c r="K62" s="55" t="s">
        <v>156</v>
      </c>
      <c r="L62" s="237">
        <v>1</v>
      </c>
      <c r="N62" s="55">
        <v>1</v>
      </c>
      <c r="O62" s="237">
        <v>0.5</v>
      </c>
      <c r="P62" s="237">
        <v>0.65</v>
      </c>
      <c r="Q62" s="57">
        <f t="shared" si="0"/>
        <v>0.57499999999999996</v>
      </c>
      <c r="R62" s="237">
        <v>14.4</v>
      </c>
      <c r="S62" s="55">
        <v>122</v>
      </c>
      <c r="T62" s="57">
        <f t="shared" si="1"/>
        <v>27</v>
      </c>
      <c r="U62" s="237">
        <v>95</v>
      </c>
      <c r="V62" s="58">
        <f t="shared" si="2"/>
        <v>2565</v>
      </c>
      <c r="W62" s="237">
        <v>1</v>
      </c>
      <c r="X62" s="55" t="s">
        <v>46</v>
      </c>
      <c r="Y62" s="55" t="s">
        <v>97</v>
      </c>
      <c r="Z62" s="55" t="s">
        <v>86</v>
      </c>
      <c r="AA62" s="55" t="s">
        <v>64</v>
      </c>
      <c r="AB62" s="55" t="s">
        <v>350</v>
      </c>
    </row>
    <row r="63" spans="1:30" x14ac:dyDescent="0.15">
      <c r="A63" s="55" t="s">
        <v>41</v>
      </c>
      <c r="B63" s="237" t="s">
        <v>348</v>
      </c>
      <c r="C63" s="152">
        <v>2018</v>
      </c>
      <c r="D63" s="56" t="s">
        <v>356</v>
      </c>
      <c r="E63" s="237" t="s">
        <v>301</v>
      </c>
      <c r="F63" s="237" t="s">
        <v>307</v>
      </c>
      <c r="G63" s="55" t="s">
        <v>42</v>
      </c>
      <c r="H63" s="55" t="s">
        <v>157</v>
      </c>
      <c r="I63" s="55" t="s">
        <v>155</v>
      </c>
      <c r="J63" s="55" t="s">
        <v>38</v>
      </c>
      <c r="K63" s="55" t="s">
        <v>156</v>
      </c>
      <c r="L63" s="237">
        <v>2</v>
      </c>
      <c r="N63" s="55">
        <v>1</v>
      </c>
      <c r="O63" s="55">
        <v>0.25</v>
      </c>
      <c r="P63" s="55">
        <v>0.15</v>
      </c>
      <c r="Q63" s="57">
        <f t="shared" si="0"/>
        <v>0.2</v>
      </c>
      <c r="R63" s="237">
        <v>16.2</v>
      </c>
      <c r="S63" s="55">
        <v>128</v>
      </c>
      <c r="T63" s="57">
        <f t="shared" si="1"/>
        <v>27</v>
      </c>
      <c r="U63" s="237">
        <v>95</v>
      </c>
      <c r="V63" s="58">
        <f t="shared" si="2"/>
        <v>2565</v>
      </c>
      <c r="W63" s="237">
        <v>1</v>
      </c>
      <c r="X63" s="55" t="s">
        <v>46</v>
      </c>
      <c r="Y63" s="55" t="s">
        <v>97</v>
      </c>
      <c r="Z63" s="55" t="s">
        <v>86</v>
      </c>
      <c r="AA63" s="55" t="s">
        <v>64</v>
      </c>
      <c r="AB63" s="55" t="s">
        <v>350</v>
      </c>
    </row>
    <row r="64" spans="1:30" x14ac:dyDescent="0.15">
      <c r="A64" s="55" t="s">
        <v>41</v>
      </c>
      <c r="B64" s="237" t="s">
        <v>348</v>
      </c>
      <c r="C64" s="152">
        <v>2018</v>
      </c>
      <c r="D64" s="56" t="s">
        <v>356</v>
      </c>
      <c r="E64" s="237" t="s">
        <v>301</v>
      </c>
      <c r="F64" s="237" t="s">
        <v>307</v>
      </c>
      <c r="G64" s="55" t="s">
        <v>42</v>
      </c>
      <c r="H64" s="55" t="s">
        <v>157</v>
      </c>
      <c r="I64" s="55" t="s">
        <v>155</v>
      </c>
      <c r="J64" s="55" t="s">
        <v>38</v>
      </c>
      <c r="K64" s="55" t="s">
        <v>156</v>
      </c>
      <c r="L64" s="237">
        <v>3</v>
      </c>
      <c r="N64" s="55">
        <v>1</v>
      </c>
      <c r="O64" s="55">
        <v>0.3</v>
      </c>
      <c r="P64" s="55">
        <v>0.35</v>
      </c>
      <c r="Q64" s="57">
        <f t="shared" si="0"/>
        <v>0.32499999999999996</v>
      </c>
      <c r="R64" s="237">
        <v>13.4</v>
      </c>
      <c r="S64" s="55">
        <v>131</v>
      </c>
      <c r="T64" s="57">
        <f t="shared" si="1"/>
        <v>25</v>
      </c>
      <c r="U64" s="55">
        <v>95</v>
      </c>
      <c r="V64" s="58">
        <f t="shared" si="2"/>
        <v>2375</v>
      </c>
      <c r="W64" s="237">
        <v>1</v>
      </c>
      <c r="X64" s="55" t="s">
        <v>46</v>
      </c>
      <c r="Y64" s="55" t="s">
        <v>97</v>
      </c>
      <c r="Z64" s="55" t="s">
        <v>86</v>
      </c>
      <c r="AA64" s="55" t="s">
        <v>64</v>
      </c>
      <c r="AB64" s="55" t="s">
        <v>350</v>
      </c>
    </row>
    <row r="65" spans="1:30" x14ac:dyDescent="0.15">
      <c r="A65" s="55" t="s">
        <v>41</v>
      </c>
      <c r="B65" s="237" t="s">
        <v>348</v>
      </c>
      <c r="C65" s="152">
        <v>2018</v>
      </c>
      <c r="D65" s="56" t="s">
        <v>356</v>
      </c>
      <c r="E65" s="237" t="s">
        <v>301</v>
      </c>
      <c r="F65" s="237" t="s">
        <v>307</v>
      </c>
      <c r="G65" s="55" t="s">
        <v>42</v>
      </c>
      <c r="H65" s="55" t="s">
        <v>164</v>
      </c>
      <c r="I65" s="55" t="s">
        <v>155</v>
      </c>
      <c r="J65" s="55" t="s">
        <v>38</v>
      </c>
      <c r="K65" s="55" t="s">
        <v>156</v>
      </c>
      <c r="L65" s="237">
        <v>1</v>
      </c>
      <c r="N65" s="55">
        <v>1</v>
      </c>
      <c r="O65" s="55">
        <v>0.45</v>
      </c>
      <c r="P65" s="55">
        <v>0.4</v>
      </c>
      <c r="Q65" s="57">
        <f t="shared" si="0"/>
        <v>0.42500000000000004</v>
      </c>
      <c r="R65" s="237">
        <v>15.1</v>
      </c>
      <c r="S65" s="55">
        <v>130</v>
      </c>
      <c r="T65" s="57">
        <f t="shared" si="1"/>
        <v>25</v>
      </c>
      <c r="U65" s="237">
        <v>159</v>
      </c>
      <c r="V65" s="58">
        <f t="shared" si="2"/>
        <v>3975</v>
      </c>
      <c r="W65" s="237">
        <v>1</v>
      </c>
      <c r="X65" s="55" t="s">
        <v>46</v>
      </c>
      <c r="Y65" s="55" t="s">
        <v>97</v>
      </c>
      <c r="Z65" s="55" t="s">
        <v>86</v>
      </c>
      <c r="AA65" s="55" t="s">
        <v>64</v>
      </c>
      <c r="AB65" s="55" t="s">
        <v>350</v>
      </c>
      <c r="AC65" s="55"/>
      <c r="AD65" s="55"/>
    </row>
    <row r="66" spans="1:30" x14ac:dyDescent="0.15">
      <c r="A66" s="55" t="s">
        <v>41</v>
      </c>
      <c r="B66" s="237" t="s">
        <v>348</v>
      </c>
      <c r="C66" s="152">
        <v>2018</v>
      </c>
      <c r="D66" s="56" t="s">
        <v>356</v>
      </c>
      <c r="E66" s="237" t="s">
        <v>301</v>
      </c>
      <c r="F66" s="237" t="s">
        <v>307</v>
      </c>
      <c r="G66" s="55" t="s">
        <v>42</v>
      </c>
      <c r="H66" s="55" t="s">
        <v>164</v>
      </c>
      <c r="I66" s="55" t="s">
        <v>155</v>
      </c>
      <c r="J66" s="55" t="s">
        <v>38</v>
      </c>
      <c r="K66" s="55" t="s">
        <v>156</v>
      </c>
      <c r="L66" s="237">
        <v>2</v>
      </c>
      <c r="N66" s="55">
        <v>1</v>
      </c>
      <c r="O66" s="55">
        <v>0.9</v>
      </c>
      <c r="P66" s="55">
        <v>0.85</v>
      </c>
      <c r="Q66" s="57">
        <f t="shared" ref="Q66:Q127" si="3">IF(OR(O66="",P66=""),"",AVERAGE(O66,P66))</f>
        <v>0.875</v>
      </c>
      <c r="R66" s="237">
        <v>12.8</v>
      </c>
      <c r="S66" s="55">
        <v>129</v>
      </c>
      <c r="T66" s="57">
        <f t="shared" ref="T66:T127" si="4">IF(H66="","",IF(OR(H66="GREEN",H66="GK"),IF(S66&gt;=$AX$2,VLOOKUP(S66,$AX$2:$AY$10,2,1),""),IF(S66&gt;=$AZ$2,VLOOKUP(S66,$AZ$2:$BA$10,2,1),"")))</f>
        <v>25</v>
      </c>
      <c r="U66" s="237">
        <v>159</v>
      </c>
      <c r="V66" s="58">
        <f t="shared" ref="V66:V127" si="5">IF(OR(N66="",U66="",T66=""),"",U66/N66*T66)</f>
        <v>3975</v>
      </c>
      <c r="W66" s="237">
        <v>1</v>
      </c>
      <c r="X66" s="55" t="s">
        <v>46</v>
      </c>
      <c r="Y66" s="55" t="s">
        <v>97</v>
      </c>
      <c r="Z66" s="55" t="s">
        <v>86</v>
      </c>
      <c r="AA66" s="55" t="s">
        <v>64</v>
      </c>
      <c r="AB66" s="55" t="s">
        <v>350</v>
      </c>
      <c r="AC66" s="55"/>
      <c r="AD66" s="55"/>
    </row>
    <row r="67" spans="1:30" x14ac:dyDescent="0.15">
      <c r="A67" s="55" t="s">
        <v>41</v>
      </c>
      <c r="B67" s="237" t="s">
        <v>348</v>
      </c>
      <c r="C67" s="152">
        <v>2018</v>
      </c>
      <c r="D67" s="56" t="s">
        <v>356</v>
      </c>
      <c r="E67" s="237" t="s">
        <v>301</v>
      </c>
      <c r="F67" s="237" t="s">
        <v>307</v>
      </c>
      <c r="G67" s="55" t="s">
        <v>42</v>
      </c>
      <c r="H67" s="55" t="s">
        <v>164</v>
      </c>
      <c r="I67" s="55" t="s">
        <v>155</v>
      </c>
      <c r="J67" s="55" t="s">
        <v>38</v>
      </c>
      <c r="K67" s="55" t="s">
        <v>156</v>
      </c>
      <c r="L67" s="237">
        <v>3</v>
      </c>
      <c r="N67" s="55">
        <v>1</v>
      </c>
      <c r="O67" s="55">
        <v>0.65</v>
      </c>
      <c r="P67" s="55">
        <v>0.7</v>
      </c>
      <c r="Q67" s="57">
        <f t="shared" si="3"/>
        <v>0.67500000000000004</v>
      </c>
      <c r="R67" s="237">
        <v>16.3</v>
      </c>
      <c r="S67" s="55">
        <v>127</v>
      </c>
      <c r="T67" s="57">
        <f t="shared" si="4"/>
        <v>27</v>
      </c>
      <c r="U67" s="55">
        <v>159</v>
      </c>
      <c r="V67" s="58">
        <f t="shared" si="5"/>
        <v>4293</v>
      </c>
      <c r="W67" s="237">
        <v>1</v>
      </c>
      <c r="X67" s="55" t="s">
        <v>46</v>
      </c>
      <c r="Y67" s="55" t="s">
        <v>97</v>
      </c>
      <c r="Z67" s="55" t="s">
        <v>86</v>
      </c>
      <c r="AA67" s="55" t="s">
        <v>64</v>
      </c>
      <c r="AB67" s="55" t="s">
        <v>350</v>
      </c>
      <c r="AC67" s="55"/>
      <c r="AD67" s="55"/>
    </row>
    <row r="68" spans="1:30" x14ac:dyDescent="0.15">
      <c r="A68" s="55" t="s">
        <v>41</v>
      </c>
      <c r="B68" s="237" t="s">
        <v>348</v>
      </c>
      <c r="C68" s="152">
        <v>2018</v>
      </c>
      <c r="D68" s="56" t="s">
        <v>356</v>
      </c>
      <c r="E68" s="237" t="s">
        <v>301</v>
      </c>
      <c r="F68" s="237" t="s">
        <v>307</v>
      </c>
      <c r="G68" s="55" t="s">
        <v>42</v>
      </c>
      <c r="H68" s="55" t="s">
        <v>157</v>
      </c>
      <c r="I68" s="55" t="s">
        <v>155</v>
      </c>
      <c r="J68" s="55" t="s">
        <v>38</v>
      </c>
      <c r="K68" s="55" t="s">
        <v>156</v>
      </c>
      <c r="L68" s="237">
        <v>1</v>
      </c>
      <c r="N68" s="237">
        <v>9</v>
      </c>
      <c r="O68" s="55">
        <v>0.8</v>
      </c>
      <c r="P68" s="55">
        <v>0.95</v>
      </c>
      <c r="Q68" s="57">
        <f t="shared" si="3"/>
        <v>0.875</v>
      </c>
      <c r="R68" s="237">
        <v>14</v>
      </c>
      <c r="S68" s="55">
        <v>114</v>
      </c>
      <c r="T68" s="57">
        <f t="shared" si="4"/>
        <v>30</v>
      </c>
      <c r="U68" s="237">
        <v>1058</v>
      </c>
      <c r="V68" s="58">
        <f t="shared" si="5"/>
        <v>3526.6666666666665</v>
      </c>
      <c r="W68" s="237">
        <v>2</v>
      </c>
      <c r="X68" s="55" t="s">
        <v>46</v>
      </c>
      <c r="Y68" s="55" t="s">
        <v>97</v>
      </c>
      <c r="Z68" s="55" t="s">
        <v>86</v>
      </c>
      <c r="AA68" s="55" t="s">
        <v>64</v>
      </c>
      <c r="AB68" s="55" t="s">
        <v>350</v>
      </c>
    </row>
    <row r="69" spans="1:30" x14ac:dyDescent="0.15">
      <c r="A69" s="55" t="s">
        <v>41</v>
      </c>
      <c r="B69" s="237" t="s">
        <v>348</v>
      </c>
      <c r="C69" s="152">
        <v>2018</v>
      </c>
      <c r="D69" s="56" t="s">
        <v>356</v>
      </c>
      <c r="E69" s="237" t="s">
        <v>301</v>
      </c>
      <c r="F69" s="237" t="s">
        <v>307</v>
      </c>
      <c r="G69" s="55" t="s">
        <v>42</v>
      </c>
      <c r="H69" s="55" t="s">
        <v>157</v>
      </c>
      <c r="I69" s="55" t="s">
        <v>155</v>
      </c>
      <c r="J69" s="55" t="s">
        <v>38</v>
      </c>
      <c r="K69" s="55" t="s">
        <v>156</v>
      </c>
      <c r="L69" s="237">
        <v>2</v>
      </c>
      <c r="N69" s="237">
        <v>9</v>
      </c>
      <c r="O69" s="55">
        <v>1.1499999999999999</v>
      </c>
      <c r="P69" s="55">
        <v>1</v>
      </c>
      <c r="Q69" s="82">
        <f t="shared" si="3"/>
        <v>1.075</v>
      </c>
      <c r="R69" s="55">
        <v>13.1</v>
      </c>
      <c r="S69" s="55">
        <v>105</v>
      </c>
      <c r="T69" s="57">
        <f t="shared" si="4"/>
        <v>33</v>
      </c>
      <c r="U69" s="237">
        <v>1058</v>
      </c>
      <c r="V69" s="58">
        <f t="shared" si="5"/>
        <v>3879.3333333333335</v>
      </c>
      <c r="W69" s="237">
        <v>2</v>
      </c>
      <c r="X69" s="55" t="s">
        <v>46</v>
      </c>
      <c r="Y69" s="55" t="s">
        <v>97</v>
      </c>
      <c r="Z69" s="55" t="s">
        <v>86</v>
      </c>
      <c r="AA69" s="55" t="s">
        <v>64</v>
      </c>
      <c r="AB69" s="55" t="s">
        <v>350</v>
      </c>
    </row>
    <row r="70" spans="1:30" x14ac:dyDescent="0.15">
      <c r="A70" s="55" t="s">
        <v>41</v>
      </c>
      <c r="B70" s="237" t="s">
        <v>348</v>
      </c>
      <c r="C70" s="152">
        <v>2018</v>
      </c>
      <c r="D70" s="56" t="s">
        <v>356</v>
      </c>
      <c r="E70" s="237" t="s">
        <v>301</v>
      </c>
      <c r="F70" s="237" t="s">
        <v>307</v>
      </c>
      <c r="G70" s="55" t="s">
        <v>42</v>
      </c>
      <c r="H70" s="55" t="s">
        <v>157</v>
      </c>
      <c r="I70" s="55" t="s">
        <v>155</v>
      </c>
      <c r="J70" s="55" t="s">
        <v>38</v>
      </c>
      <c r="K70" s="55" t="s">
        <v>156</v>
      </c>
      <c r="L70" s="237">
        <v>3</v>
      </c>
      <c r="N70" s="237">
        <v>9</v>
      </c>
      <c r="O70" s="55">
        <v>1.05</v>
      </c>
      <c r="P70" s="55">
        <v>1</v>
      </c>
      <c r="Q70" s="82">
        <f t="shared" si="3"/>
        <v>1.0249999999999999</v>
      </c>
      <c r="R70" s="55">
        <v>13.2</v>
      </c>
      <c r="S70" s="55">
        <v>107</v>
      </c>
      <c r="T70" s="57">
        <f t="shared" si="4"/>
        <v>33</v>
      </c>
      <c r="U70" s="237">
        <v>1058</v>
      </c>
      <c r="V70" s="58">
        <f t="shared" si="5"/>
        <v>3879.3333333333335</v>
      </c>
      <c r="W70" s="237">
        <v>2</v>
      </c>
      <c r="X70" s="55" t="s">
        <v>46</v>
      </c>
      <c r="Y70" s="55" t="s">
        <v>97</v>
      </c>
      <c r="Z70" s="55" t="s">
        <v>86</v>
      </c>
      <c r="AA70" s="55" t="s">
        <v>64</v>
      </c>
      <c r="AB70" s="55" t="s">
        <v>350</v>
      </c>
    </row>
    <row r="71" spans="1:30" x14ac:dyDescent="0.15">
      <c r="A71" s="55" t="s">
        <v>41</v>
      </c>
      <c r="B71" s="237" t="s">
        <v>348</v>
      </c>
      <c r="C71" s="152">
        <v>2018</v>
      </c>
      <c r="D71" s="56" t="s">
        <v>356</v>
      </c>
      <c r="E71" s="237" t="s">
        <v>301</v>
      </c>
      <c r="F71" s="237" t="s">
        <v>307</v>
      </c>
      <c r="G71" s="55" t="s">
        <v>42</v>
      </c>
      <c r="H71" s="55" t="s">
        <v>157</v>
      </c>
      <c r="I71" s="55" t="s">
        <v>155</v>
      </c>
      <c r="J71" s="55" t="s">
        <v>38</v>
      </c>
      <c r="K71" s="55" t="s">
        <v>156</v>
      </c>
      <c r="L71" s="237">
        <v>1</v>
      </c>
      <c r="N71" s="55">
        <v>5</v>
      </c>
      <c r="O71" s="55">
        <v>1.2</v>
      </c>
      <c r="P71" s="55">
        <v>1.05</v>
      </c>
      <c r="Q71" s="82">
        <f t="shared" si="3"/>
        <v>1.125</v>
      </c>
      <c r="R71" s="55">
        <v>13</v>
      </c>
      <c r="S71" s="55">
        <v>115</v>
      </c>
      <c r="T71" s="57">
        <f t="shared" si="4"/>
        <v>30</v>
      </c>
      <c r="U71" s="237">
        <v>429</v>
      </c>
      <c r="V71" s="58">
        <f t="shared" si="5"/>
        <v>2574</v>
      </c>
      <c r="W71" s="237">
        <v>2</v>
      </c>
      <c r="X71" s="55" t="s">
        <v>46</v>
      </c>
      <c r="Y71" s="55" t="s">
        <v>97</v>
      </c>
      <c r="Z71" s="55" t="s">
        <v>86</v>
      </c>
      <c r="AA71" s="55" t="s">
        <v>64</v>
      </c>
      <c r="AB71" s="55" t="s">
        <v>350</v>
      </c>
      <c r="AC71" s="55"/>
      <c r="AD71" s="55"/>
    </row>
    <row r="72" spans="1:30" x14ac:dyDescent="0.15">
      <c r="A72" s="55" t="s">
        <v>41</v>
      </c>
      <c r="B72" s="237" t="s">
        <v>348</v>
      </c>
      <c r="C72" s="152">
        <v>2018</v>
      </c>
      <c r="D72" s="56" t="s">
        <v>356</v>
      </c>
      <c r="E72" s="237" t="s">
        <v>301</v>
      </c>
      <c r="F72" s="237" t="s">
        <v>307</v>
      </c>
      <c r="G72" s="55" t="s">
        <v>42</v>
      </c>
      <c r="H72" s="55" t="s">
        <v>157</v>
      </c>
      <c r="I72" s="55" t="s">
        <v>155</v>
      </c>
      <c r="J72" s="55" t="s">
        <v>38</v>
      </c>
      <c r="K72" s="55" t="s">
        <v>156</v>
      </c>
      <c r="L72" s="237">
        <v>2</v>
      </c>
      <c r="N72" s="55">
        <v>5</v>
      </c>
      <c r="O72" s="237">
        <v>0.65</v>
      </c>
      <c r="P72" s="237">
        <v>0.6</v>
      </c>
      <c r="Q72" s="57">
        <f t="shared" si="3"/>
        <v>0.625</v>
      </c>
      <c r="R72" s="237">
        <v>13.2</v>
      </c>
      <c r="S72" s="237">
        <v>114</v>
      </c>
      <c r="T72" s="57">
        <f t="shared" si="4"/>
        <v>30</v>
      </c>
      <c r="U72" s="237">
        <v>429</v>
      </c>
      <c r="V72" s="58">
        <f t="shared" si="5"/>
        <v>2574</v>
      </c>
      <c r="W72" s="237">
        <v>2</v>
      </c>
      <c r="X72" s="55" t="s">
        <v>46</v>
      </c>
      <c r="Y72" s="55" t="s">
        <v>97</v>
      </c>
      <c r="Z72" s="55" t="s">
        <v>86</v>
      </c>
      <c r="AA72" s="55" t="s">
        <v>64</v>
      </c>
      <c r="AB72" s="55" t="s">
        <v>350</v>
      </c>
      <c r="AC72" s="55"/>
      <c r="AD72" s="55"/>
    </row>
    <row r="73" spans="1:30" x14ac:dyDescent="0.15">
      <c r="A73" s="55" t="s">
        <v>41</v>
      </c>
      <c r="B73" s="237" t="s">
        <v>348</v>
      </c>
      <c r="C73" s="152">
        <v>2018</v>
      </c>
      <c r="D73" s="56" t="s">
        <v>356</v>
      </c>
      <c r="E73" s="237" t="s">
        <v>301</v>
      </c>
      <c r="F73" s="237" t="s">
        <v>307</v>
      </c>
      <c r="G73" s="55" t="s">
        <v>42</v>
      </c>
      <c r="H73" s="55" t="s">
        <v>157</v>
      </c>
      <c r="I73" s="55" t="s">
        <v>155</v>
      </c>
      <c r="J73" s="55" t="s">
        <v>38</v>
      </c>
      <c r="K73" s="55" t="s">
        <v>156</v>
      </c>
      <c r="L73" s="237">
        <v>3</v>
      </c>
      <c r="N73" s="55">
        <v>5</v>
      </c>
      <c r="O73" s="237">
        <v>0.4</v>
      </c>
      <c r="P73" s="237">
        <v>0.5</v>
      </c>
      <c r="Q73" s="57">
        <f t="shared" si="3"/>
        <v>0.45</v>
      </c>
      <c r="R73" s="237">
        <v>13.5</v>
      </c>
      <c r="S73" s="237">
        <v>112</v>
      </c>
      <c r="T73" s="57">
        <f t="shared" si="4"/>
        <v>33</v>
      </c>
      <c r="U73" s="55">
        <v>429</v>
      </c>
      <c r="V73" s="58">
        <f t="shared" si="5"/>
        <v>2831.4</v>
      </c>
      <c r="W73" s="237">
        <v>2</v>
      </c>
      <c r="X73" s="55" t="s">
        <v>46</v>
      </c>
      <c r="Y73" s="55" t="s">
        <v>97</v>
      </c>
      <c r="Z73" s="55" t="s">
        <v>86</v>
      </c>
      <c r="AA73" s="55" t="s">
        <v>64</v>
      </c>
      <c r="AB73" s="55" t="s">
        <v>350</v>
      </c>
      <c r="AC73" s="55"/>
      <c r="AD73" s="55"/>
    </row>
    <row r="74" spans="1:30" x14ac:dyDescent="0.15">
      <c r="A74" s="55" t="s">
        <v>41</v>
      </c>
      <c r="B74" s="237" t="s">
        <v>348</v>
      </c>
      <c r="C74" s="152">
        <v>2018</v>
      </c>
      <c r="D74" s="56" t="s">
        <v>356</v>
      </c>
      <c r="E74" s="237" t="s">
        <v>301</v>
      </c>
      <c r="F74" s="237" t="s">
        <v>307</v>
      </c>
      <c r="G74" s="55" t="s">
        <v>42</v>
      </c>
      <c r="H74" s="55" t="s">
        <v>164</v>
      </c>
      <c r="I74" s="55" t="s">
        <v>155</v>
      </c>
      <c r="J74" s="55" t="s">
        <v>38</v>
      </c>
      <c r="K74" s="55" t="s">
        <v>156</v>
      </c>
      <c r="L74" s="237">
        <v>1</v>
      </c>
      <c r="N74" s="237">
        <v>4</v>
      </c>
      <c r="O74" s="237">
        <v>0.5</v>
      </c>
      <c r="P74" s="237">
        <v>0.65</v>
      </c>
      <c r="Q74" s="57">
        <f t="shared" si="3"/>
        <v>0.57499999999999996</v>
      </c>
      <c r="R74" s="237">
        <v>13.6</v>
      </c>
      <c r="S74" s="237">
        <v>122</v>
      </c>
      <c r="T74" s="57">
        <f t="shared" si="4"/>
        <v>27</v>
      </c>
      <c r="U74" s="237">
        <v>626</v>
      </c>
      <c r="V74" s="58">
        <f t="shared" si="5"/>
        <v>4225.5</v>
      </c>
      <c r="W74" s="237">
        <v>2</v>
      </c>
      <c r="X74" s="55" t="s">
        <v>46</v>
      </c>
      <c r="Y74" s="55" t="s">
        <v>97</v>
      </c>
      <c r="Z74" s="55" t="s">
        <v>86</v>
      </c>
      <c r="AA74" s="55" t="s">
        <v>64</v>
      </c>
      <c r="AB74" s="55" t="s">
        <v>350</v>
      </c>
      <c r="AC74" s="55"/>
      <c r="AD74" s="55"/>
    </row>
    <row r="75" spans="1:30" x14ac:dyDescent="0.15">
      <c r="A75" s="55" t="s">
        <v>41</v>
      </c>
      <c r="B75" s="237" t="s">
        <v>348</v>
      </c>
      <c r="C75" s="152">
        <v>2018</v>
      </c>
      <c r="D75" s="56" t="s">
        <v>356</v>
      </c>
      <c r="E75" s="237" t="s">
        <v>301</v>
      </c>
      <c r="F75" s="237" t="s">
        <v>307</v>
      </c>
      <c r="G75" s="55" t="s">
        <v>42</v>
      </c>
      <c r="H75" s="55" t="s">
        <v>164</v>
      </c>
      <c r="I75" s="55" t="s">
        <v>155</v>
      </c>
      <c r="J75" s="55" t="s">
        <v>38</v>
      </c>
      <c r="K75" s="55" t="s">
        <v>156</v>
      </c>
      <c r="L75" s="237">
        <v>2</v>
      </c>
      <c r="N75" s="237">
        <v>4</v>
      </c>
      <c r="O75" s="237">
        <v>0.8</v>
      </c>
      <c r="P75" s="237">
        <v>0.6</v>
      </c>
      <c r="Q75" s="57">
        <f t="shared" si="3"/>
        <v>0.7</v>
      </c>
      <c r="R75" s="237">
        <v>13.8</v>
      </c>
      <c r="S75" s="237">
        <v>126</v>
      </c>
      <c r="T75" s="57">
        <f t="shared" si="4"/>
        <v>27</v>
      </c>
      <c r="U75" s="237">
        <v>626</v>
      </c>
      <c r="V75" s="58">
        <f t="shared" si="5"/>
        <v>4225.5</v>
      </c>
      <c r="W75" s="237">
        <v>2</v>
      </c>
      <c r="X75" s="55" t="s">
        <v>46</v>
      </c>
      <c r="Y75" s="55" t="s">
        <v>97</v>
      </c>
      <c r="Z75" s="55" t="s">
        <v>86</v>
      </c>
      <c r="AA75" s="55" t="s">
        <v>64</v>
      </c>
      <c r="AB75" s="55" t="s">
        <v>350</v>
      </c>
      <c r="AC75" s="55"/>
      <c r="AD75" s="55"/>
    </row>
    <row r="76" spans="1:30" x14ac:dyDescent="0.15">
      <c r="A76" s="55" t="s">
        <v>41</v>
      </c>
      <c r="B76" s="237" t="s">
        <v>348</v>
      </c>
      <c r="C76" s="152">
        <v>2018</v>
      </c>
      <c r="D76" s="56" t="s">
        <v>356</v>
      </c>
      <c r="E76" s="237" t="s">
        <v>301</v>
      </c>
      <c r="F76" s="237" t="s">
        <v>307</v>
      </c>
      <c r="G76" s="55" t="s">
        <v>42</v>
      </c>
      <c r="H76" s="55" t="s">
        <v>164</v>
      </c>
      <c r="I76" s="55" t="s">
        <v>155</v>
      </c>
      <c r="J76" s="55" t="s">
        <v>38</v>
      </c>
      <c r="K76" s="55" t="s">
        <v>156</v>
      </c>
      <c r="L76" s="237">
        <v>3</v>
      </c>
      <c r="N76" s="237">
        <v>4</v>
      </c>
      <c r="O76" s="237">
        <v>0.7</v>
      </c>
      <c r="P76" s="237">
        <v>0.5</v>
      </c>
      <c r="Q76" s="57">
        <f t="shared" si="3"/>
        <v>0.6</v>
      </c>
      <c r="R76" s="237">
        <v>13.4</v>
      </c>
      <c r="S76" s="237">
        <v>133</v>
      </c>
      <c r="T76" s="57">
        <f t="shared" si="4"/>
        <v>25</v>
      </c>
      <c r="U76" s="237">
        <v>626</v>
      </c>
      <c r="V76" s="58">
        <f t="shared" si="5"/>
        <v>3912.5</v>
      </c>
      <c r="W76" s="237">
        <v>2</v>
      </c>
      <c r="X76" s="55" t="s">
        <v>46</v>
      </c>
      <c r="Y76" s="55" t="s">
        <v>97</v>
      </c>
      <c r="Z76" s="55" t="s">
        <v>86</v>
      </c>
      <c r="AA76" s="55" t="s">
        <v>64</v>
      </c>
      <c r="AB76" s="55" t="s">
        <v>350</v>
      </c>
      <c r="AC76" s="55"/>
      <c r="AD76" s="55"/>
    </row>
    <row r="77" spans="1:30" x14ac:dyDescent="0.15">
      <c r="A77" s="55" t="s">
        <v>41</v>
      </c>
      <c r="B77" s="237" t="s">
        <v>348</v>
      </c>
      <c r="C77" s="152">
        <v>2018</v>
      </c>
      <c r="D77" s="56" t="s">
        <v>356</v>
      </c>
      <c r="E77" s="55" t="s">
        <v>303</v>
      </c>
      <c r="F77" s="237" t="s">
        <v>308</v>
      </c>
      <c r="G77" s="55" t="s">
        <v>42</v>
      </c>
      <c r="H77" s="55" t="s">
        <v>157</v>
      </c>
      <c r="I77" s="55" t="s">
        <v>155</v>
      </c>
      <c r="J77" s="55" t="s">
        <v>38</v>
      </c>
      <c r="K77" s="55" t="s">
        <v>156</v>
      </c>
      <c r="L77" s="237">
        <v>1</v>
      </c>
      <c r="N77" s="237">
        <v>5</v>
      </c>
      <c r="O77" s="237">
        <v>0.85</v>
      </c>
      <c r="P77" s="237">
        <v>0.7</v>
      </c>
      <c r="Q77" s="57">
        <f t="shared" si="3"/>
        <v>0.77499999999999991</v>
      </c>
      <c r="R77" s="237">
        <v>13.9</v>
      </c>
      <c r="S77" s="237">
        <v>124</v>
      </c>
      <c r="T77" s="57">
        <f t="shared" si="4"/>
        <v>27</v>
      </c>
      <c r="U77" s="237">
        <v>626</v>
      </c>
      <c r="V77" s="58">
        <f t="shared" si="5"/>
        <v>3380.4</v>
      </c>
      <c r="W77" s="237">
        <v>2</v>
      </c>
      <c r="X77" s="55" t="s">
        <v>46</v>
      </c>
      <c r="Y77" s="55" t="s">
        <v>97</v>
      </c>
      <c r="Z77" s="55" t="s">
        <v>88</v>
      </c>
      <c r="AA77" s="55" t="s">
        <v>69</v>
      </c>
      <c r="AB77" s="55" t="s">
        <v>350</v>
      </c>
      <c r="AC77" s="55"/>
      <c r="AD77" s="55"/>
    </row>
    <row r="78" spans="1:30" x14ac:dyDescent="0.15">
      <c r="A78" s="55" t="s">
        <v>41</v>
      </c>
      <c r="B78" s="237" t="s">
        <v>348</v>
      </c>
      <c r="C78" s="152">
        <v>2018</v>
      </c>
      <c r="D78" s="56" t="s">
        <v>356</v>
      </c>
      <c r="E78" s="55" t="s">
        <v>303</v>
      </c>
      <c r="F78" s="237" t="s">
        <v>308</v>
      </c>
      <c r="G78" s="55" t="s">
        <v>42</v>
      </c>
      <c r="H78" s="55" t="s">
        <v>157</v>
      </c>
      <c r="I78" s="55" t="s">
        <v>155</v>
      </c>
      <c r="J78" s="55" t="s">
        <v>38</v>
      </c>
      <c r="K78" s="55" t="s">
        <v>156</v>
      </c>
      <c r="L78" s="237">
        <v>2</v>
      </c>
      <c r="N78" s="237">
        <v>5</v>
      </c>
      <c r="O78" s="55">
        <v>0.25</v>
      </c>
      <c r="P78" s="55">
        <v>0.3</v>
      </c>
      <c r="Q78" s="82">
        <f t="shared" si="3"/>
        <v>0.27500000000000002</v>
      </c>
      <c r="R78" s="55">
        <v>13.7</v>
      </c>
      <c r="S78" s="55">
        <v>124</v>
      </c>
      <c r="T78" s="57">
        <f t="shared" si="4"/>
        <v>27</v>
      </c>
      <c r="U78" s="237">
        <v>626</v>
      </c>
      <c r="V78" s="58">
        <f t="shared" si="5"/>
        <v>3380.4</v>
      </c>
      <c r="W78" s="237">
        <v>2</v>
      </c>
      <c r="X78" s="55" t="s">
        <v>46</v>
      </c>
      <c r="Y78" s="55" t="s">
        <v>97</v>
      </c>
      <c r="Z78" s="55" t="s">
        <v>88</v>
      </c>
      <c r="AA78" s="55" t="s">
        <v>69</v>
      </c>
      <c r="AB78" s="55" t="s">
        <v>350</v>
      </c>
      <c r="AC78" s="55"/>
      <c r="AD78" s="55"/>
    </row>
    <row r="79" spans="1:30" x14ac:dyDescent="0.15">
      <c r="A79" s="55" t="s">
        <v>41</v>
      </c>
      <c r="B79" s="237" t="s">
        <v>348</v>
      </c>
      <c r="C79" s="152">
        <v>2018</v>
      </c>
      <c r="D79" s="56" t="s">
        <v>356</v>
      </c>
      <c r="E79" s="55" t="s">
        <v>303</v>
      </c>
      <c r="F79" s="237" t="s">
        <v>308</v>
      </c>
      <c r="G79" s="55" t="s">
        <v>42</v>
      </c>
      <c r="H79" s="55" t="s">
        <v>157</v>
      </c>
      <c r="I79" s="55" t="s">
        <v>155</v>
      </c>
      <c r="J79" s="55" t="s">
        <v>38</v>
      </c>
      <c r="K79" s="55" t="s">
        <v>156</v>
      </c>
      <c r="L79" s="237">
        <v>3</v>
      </c>
      <c r="N79" s="237">
        <v>5</v>
      </c>
      <c r="O79" s="55">
        <v>0.3</v>
      </c>
      <c r="P79" s="55">
        <v>0.35</v>
      </c>
      <c r="Q79" s="82">
        <f t="shared" si="3"/>
        <v>0.32499999999999996</v>
      </c>
      <c r="R79" s="55">
        <v>13.4</v>
      </c>
      <c r="S79" s="55">
        <v>128</v>
      </c>
      <c r="T79" s="57">
        <f t="shared" si="4"/>
        <v>27</v>
      </c>
      <c r="U79" s="237">
        <v>626</v>
      </c>
      <c r="V79" s="58">
        <f t="shared" si="5"/>
        <v>3380.4</v>
      </c>
      <c r="W79" s="237">
        <v>2</v>
      </c>
      <c r="X79" s="55" t="s">
        <v>46</v>
      </c>
      <c r="Y79" s="55" t="s">
        <v>97</v>
      </c>
      <c r="Z79" s="55" t="s">
        <v>88</v>
      </c>
      <c r="AA79" s="55" t="s">
        <v>69</v>
      </c>
      <c r="AB79" s="55" t="s">
        <v>350</v>
      </c>
      <c r="AC79" s="55"/>
      <c r="AD79" s="55"/>
    </row>
    <row r="80" spans="1:30" x14ac:dyDescent="0.15">
      <c r="A80" s="55" t="s">
        <v>41</v>
      </c>
      <c r="B80" s="237" t="s">
        <v>348</v>
      </c>
      <c r="C80" s="152">
        <v>2018</v>
      </c>
      <c r="D80" s="56" t="s">
        <v>356</v>
      </c>
      <c r="E80" s="55" t="s">
        <v>303</v>
      </c>
      <c r="F80" s="237" t="s">
        <v>308</v>
      </c>
      <c r="G80" s="55" t="s">
        <v>42</v>
      </c>
      <c r="H80" s="55" t="s">
        <v>157</v>
      </c>
      <c r="I80" s="55" t="s">
        <v>155</v>
      </c>
      <c r="J80" s="55" t="s">
        <v>38</v>
      </c>
      <c r="K80" s="55" t="s">
        <v>156</v>
      </c>
      <c r="L80" s="237">
        <v>1</v>
      </c>
      <c r="N80" s="237">
        <v>10</v>
      </c>
      <c r="O80" s="55">
        <v>0.6</v>
      </c>
      <c r="P80" s="55">
        <v>0.5</v>
      </c>
      <c r="Q80" s="82">
        <f t="shared" si="3"/>
        <v>0.55000000000000004</v>
      </c>
      <c r="R80" s="55">
        <v>13.5</v>
      </c>
      <c r="S80" s="55">
        <v>104</v>
      </c>
      <c r="T80" s="57">
        <f t="shared" si="4"/>
        <v>33</v>
      </c>
      <c r="U80" s="237">
        <v>1058</v>
      </c>
      <c r="V80" s="58">
        <f t="shared" si="5"/>
        <v>3491.4</v>
      </c>
      <c r="W80" s="237">
        <v>1</v>
      </c>
      <c r="X80" s="55" t="s">
        <v>46</v>
      </c>
      <c r="Y80" s="55" t="s">
        <v>97</v>
      </c>
      <c r="Z80" s="55" t="s">
        <v>88</v>
      </c>
      <c r="AA80" s="55" t="s">
        <v>69</v>
      </c>
      <c r="AB80" s="55" t="s">
        <v>350</v>
      </c>
      <c r="AC80" s="55"/>
      <c r="AD80" s="55"/>
    </row>
    <row r="81" spans="1:30" x14ac:dyDescent="0.15">
      <c r="A81" s="55" t="s">
        <v>41</v>
      </c>
      <c r="B81" s="237" t="s">
        <v>348</v>
      </c>
      <c r="C81" s="152">
        <v>2018</v>
      </c>
      <c r="D81" s="56" t="s">
        <v>356</v>
      </c>
      <c r="E81" s="55" t="s">
        <v>303</v>
      </c>
      <c r="F81" s="237" t="s">
        <v>308</v>
      </c>
      <c r="G81" s="55" t="s">
        <v>42</v>
      </c>
      <c r="H81" s="55" t="s">
        <v>157</v>
      </c>
      <c r="I81" s="55" t="s">
        <v>155</v>
      </c>
      <c r="J81" s="55" t="s">
        <v>38</v>
      </c>
      <c r="K81" s="55" t="s">
        <v>156</v>
      </c>
      <c r="L81" s="237">
        <v>2</v>
      </c>
      <c r="N81" s="237">
        <v>10</v>
      </c>
      <c r="O81" s="55">
        <v>0.25</v>
      </c>
      <c r="P81" s="55">
        <v>0.3</v>
      </c>
      <c r="Q81" s="82">
        <f t="shared" si="3"/>
        <v>0.27500000000000002</v>
      </c>
      <c r="R81" s="55">
        <v>13.9</v>
      </c>
      <c r="S81" s="55">
        <v>98</v>
      </c>
      <c r="T81" s="57">
        <f t="shared" si="4"/>
        <v>36</v>
      </c>
      <c r="U81" s="237">
        <v>1058</v>
      </c>
      <c r="V81" s="58">
        <f t="shared" si="5"/>
        <v>3808.7999999999997</v>
      </c>
      <c r="W81" s="237">
        <v>1</v>
      </c>
      <c r="X81" s="55" t="s">
        <v>46</v>
      </c>
      <c r="Y81" s="55" t="s">
        <v>97</v>
      </c>
      <c r="Z81" s="55" t="s">
        <v>88</v>
      </c>
      <c r="AA81" s="55" t="s">
        <v>69</v>
      </c>
      <c r="AB81" s="55" t="s">
        <v>350</v>
      </c>
      <c r="AC81" s="55"/>
      <c r="AD81" s="55"/>
    </row>
    <row r="82" spans="1:30" x14ac:dyDescent="0.15">
      <c r="A82" s="55" t="s">
        <v>41</v>
      </c>
      <c r="B82" s="237" t="s">
        <v>348</v>
      </c>
      <c r="C82" s="152">
        <v>2018</v>
      </c>
      <c r="D82" s="56" t="s">
        <v>356</v>
      </c>
      <c r="E82" s="55" t="s">
        <v>303</v>
      </c>
      <c r="F82" s="237" t="s">
        <v>308</v>
      </c>
      <c r="G82" s="55" t="s">
        <v>42</v>
      </c>
      <c r="H82" s="55" t="s">
        <v>157</v>
      </c>
      <c r="I82" s="55" t="s">
        <v>155</v>
      </c>
      <c r="J82" s="55" t="s">
        <v>38</v>
      </c>
      <c r="K82" s="55" t="s">
        <v>156</v>
      </c>
      <c r="L82" s="237">
        <v>3</v>
      </c>
      <c r="N82" s="237">
        <v>10</v>
      </c>
      <c r="O82" s="55">
        <v>0.2</v>
      </c>
      <c r="P82" s="55">
        <v>0.3</v>
      </c>
      <c r="Q82" s="82">
        <f t="shared" si="3"/>
        <v>0.25</v>
      </c>
      <c r="R82" s="55">
        <v>13.2</v>
      </c>
      <c r="S82" s="55">
        <v>100</v>
      </c>
      <c r="T82" s="57">
        <f t="shared" si="4"/>
        <v>33</v>
      </c>
      <c r="U82" s="237">
        <v>1058</v>
      </c>
      <c r="V82" s="58">
        <f t="shared" si="5"/>
        <v>3491.4</v>
      </c>
      <c r="W82" s="237">
        <v>1</v>
      </c>
      <c r="X82" s="55" t="s">
        <v>46</v>
      </c>
      <c r="Y82" s="55" t="s">
        <v>97</v>
      </c>
      <c r="Z82" s="55" t="s">
        <v>88</v>
      </c>
      <c r="AA82" s="55" t="s">
        <v>69</v>
      </c>
      <c r="AB82" s="55" t="s">
        <v>350</v>
      </c>
      <c r="AC82" s="55"/>
      <c r="AD82" s="55"/>
    </row>
    <row r="83" spans="1:30" x14ac:dyDescent="0.15">
      <c r="A83" s="55" t="s">
        <v>41</v>
      </c>
      <c r="B83" s="237" t="s">
        <v>348</v>
      </c>
      <c r="C83" s="152">
        <v>2018</v>
      </c>
      <c r="D83" s="56" t="s">
        <v>356</v>
      </c>
      <c r="E83" s="55" t="s">
        <v>303</v>
      </c>
      <c r="F83" s="237" t="s">
        <v>308</v>
      </c>
      <c r="G83" s="55" t="s">
        <v>42</v>
      </c>
      <c r="H83" s="55" t="s">
        <v>164</v>
      </c>
      <c r="I83" s="55" t="s">
        <v>155</v>
      </c>
      <c r="J83" s="55" t="s">
        <v>38</v>
      </c>
      <c r="K83" s="55" t="s">
        <v>156</v>
      </c>
      <c r="L83" s="237">
        <v>1</v>
      </c>
      <c r="N83" s="237">
        <v>3</v>
      </c>
      <c r="O83" s="55">
        <v>0.15</v>
      </c>
      <c r="P83" s="55">
        <v>0.2</v>
      </c>
      <c r="Q83" s="82">
        <f t="shared" si="3"/>
        <v>0.17499999999999999</v>
      </c>
      <c r="R83" s="55">
        <v>13.8</v>
      </c>
      <c r="S83" s="55">
        <v>145</v>
      </c>
      <c r="T83" s="57">
        <f t="shared" si="4"/>
        <v>22</v>
      </c>
      <c r="U83" s="237">
        <v>537</v>
      </c>
      <c r="V83" s="58">
        <f t="shared" si="5"/>
        <v>3938</v>
      </c>
      <c r="W83" s="237">
        <v>2</v>
      </c>
      <c r="X83" s="55" t="s">
        <v>46</v>
      </c>
      <c r="Y83" s="55" t="s">
        <v>97</v>
      </c>
      <c r="Z83" s="55" t="s">
        <v>88</v>
      </c>
      <c r="AA83" s="55" t="s">
        <v>69</v>
      </c>
      <c r="AB83" s="55" t="s">
        <v>350</v>
      </c>
      <c r="AC83" s="55"/>
      <c r="AD83" s="55"/>
    </row>
    <row r="84" spans="1:30" x14ac:dyDescent="0.15">
      <c r="A84" s="55" t="s">
        <v>41</v>
      </c>
      <c r="B84" s="237" t="s">
        <v>348</v>
      </c>
      <c r="C84" s="152">
        <v>2018</v>
      </c>
      <c r="D84" s="56" t="s">
        <v>356</v>
      </c>
      <c r="E84" s="55" t="s">
        <v>303</v>
      </c>
      <c r="F84" s="237" t="s">
        <v>308</v>
      </c>
      <c r="G84" s="55" t="s">
        <v>42</v>
      </c>
      <c r="H84" s="55" t="s">
        <v>164</v>
      </c>
      <c r="I84" s="55" t="s">
        <v>155</v>
      </c>
      <c r="J84" s="55" t="s">
        <v>38</v>
      </c>
      <c r="K84" s="55" t="s">
        <v>156</v>
      </c>
      <c r="L84" s="237">
        <v>2</v>
      </c>
      <c r="N84" s="237">
        <v>3</v>
      </c>
      <c r="O84" s="55">
        <v>0.1</v>
      </c>
      <c r="P84" s="55">
        <v>0.15</v>
      </c>
      <c r="Q84" s="82">
        <f t="shared" si="3"/>
        <v>0.125</v>
      </c>
      <c r="R84" s="55">
        <v>13.8</v>
      </c>
      <c r="S84" s="55">
        <v>135</v>
      </c>
      <c r="T84" s="57">
        <f t="shared" si="4"/>
        <v>25</v>
      </c>
      <c r="U84" s="237">
        <v>537</v>
      </c>
      <c r="V84" s="58">
        <f t="shared" si="5"/>
        <v>4475</v>
      </c>
      <c r="W84" s="237">
        <v>2</v>
      </c>
      <c r="X84" s="55" t="s">
        <v>46</v>
      </c>
      <c r="Y84" s="55" t="s">
        <v>97</v>
      </c>
      <c r="Z84" s="55" t="s">
        <v>88</v>
      </c>
      <c r="AA84" s="55" t="s">
        <v>69</v>
      </c>
      <c r="AB84" s="55" t="s">
        <v>350</v>
      </c>
      <c r="AC84" s="55"/>
      <c r="AD84" s="55"/>
    </row>
    <row r="85" spans="1:30" x14ac:dyDescent="0.15">
      <c r="A85" s="55" t="s">
        <v>41</v>
      </c>
      <c r="B85" s="237" t="s">
        <v>348</v>
      </c>
      <c r="C85" s="152">
        <v>2018</v>
      </c>
      <c r="D85" s="56" t="s">
        <v>356</v>
      </c>
      <c r="E85" s="55" t="s">
        <v>303</v>
      </c>
      <c r="F85" s="237" t="s">
        <v>308</v>
      </c>
      <c r="G85" s="55" t="s">
        <v>42</v>
      </c>
      <c r="H85" s="55" t="s">
        <v>164</v>
      </c>
      <c r="I85" s="55" t="s">
        <v>155</v>
      </c>
      <c r="J85" s="55" t="s">
        <v>38</v>
      </c>
      <c r="K85" s="55" t="s">
        <v>156</v>
      </c>
      <c r="L85" s="237">
        <v>3</v>
      </c>
      <c r="N85" s="237">
        <v>3</v>
      </c>
      <c r="O85" s="55">
        <v>0.2</v>
      </c>
      <c r="P85" s="55">
        <v>0.1</v>
      </c>
      <c r="Q85" s="82">
        <f t="shared" si="3"/>
        <v>0.15000000000000002</v>
      </c>
      <c r="R85" s="55">
        <v>13.7</v>
      </c>
      <c r="S85" s="55">
        <v>138</v>
      </c>
      <c r="T85" s="57">
        <f t="shared" si="4"/>
        <v>22</v>
      </c>
      <c r="U85" s="237">
        <v>537</v>
      </c>
      <c r="V85" s="58">
        <f t="shared" si="5"/>
        <v>3938</v>
      </c>
      <c r="W85" s="237">
        <v>2</v>
      </c>
      <c r="X85" s="55" t="s">
        <v>46</v>
      </c>
      <c r="Y85" s="55" t="s">
        <v>97</v>
      </c>
      <c r="Z85" s="55" t="s">
        <v>88</v>
      </c>
      <c r="AA85" s="55" t="s">
        <v>69</v>
      </c>
      <c r="AB85" s="55" t="s">
        <v>350</v>
      </c>
      <c r="AC85" s="55"/>
      <c r="AD85" s="55"/>
    </row>
    <row r="86" spans="1:30" x14ac:dyDescent="0.15">
      <c r="A86" s="55" t="s">
        <v>41</v>
      </c>
      <c r="B86" s="237" t="s">
        <v>348</v>
      </c>
      <c r="C86" s="152">
        <v>2018</v>
      </c>
      <c r="D86" s="56" t="s">
        <v>356</v>
      </c>
      <c r="E86" s="55" t="s">
        <v>303</v>
      </c>
      <c r="F86" s="237" t="s">
        <v>308</v>
      </c>
      <c r="G86" s="55" t="s">
        <v>42</v>
      </c>
      <c r="H86" s="55" t="s">
        <v>164</v>
      </c>
      <c r="I86" s="55" t="s">
        <v>155</v>
      </c>
      <c r="J86" s="55" t="s">
        <v>38</v>
      </c>
      <c r="K86" s="55" t="s">
        <v>156</v>
      </c>
      <c r="L86" s="237">
        <v>1</v>
      </c>
      <c r="N86" s="237">
        <v>1</v>
      </c>
      <c r="O86" s="55">
        <v>0.3</v>
      </c>
      <c r="P86" s="55">
        <v>0.25</v>
      </c>
      <c r="Q86" s="82">
        <f t="shared" si="3"/>
        <v>0.27500000000000002</v>
      </c>
      <c r="R86" s="55">
        <v>13.8</v>
      </c>
      <c r="S86" s="55">
        <v>157</v>
      </c>
      <c r="T86" s="57">
        <f t="shared" si="4"/>
        <v>22</v>
      </c>
      <c r="U86" s="237">
        <v>213</v>
      </c>
      <c r="V86" s="58">
        <f t="shared" si="5"/>
        <v>4686</v>
      </c>
      <c r="W86" s="237">
        <v>1</v>
      </c>
      <c r="X86" s="55" t="s">
        <v>46</v>
      </c>
      <c r="Y86" s="55" t="s">
        <v>97</v>
      </c>
      <c r="Z86" s="55" t="s">
        <v>88</v>
      </c>
      <c r="AA86" s="55" t="s">
        <v>69</v>
      </c>
      <c r="AB86" s="55" t="s">
        <v>350</v>
      </c>
      <c r="AC86" s="55"/>
      <c r="AD86" s="55"/>
    </row>
    <row r="87" spans="1:30" x14ac:dyDescent="0.15">
      <c r="A87" s="55" t="s">
        <v>41</v>
      </c>
      <c r="B87" s="237" t="s">
        <v>348</v>
      </c>
      <c r="C87" s="152">
        <v>2018</v>
      </c>
      <c r="D87" s="56" t="s">
        <v>356</v>
      </c>
      <c r="E87" s="55" t="s">
        <v>303</v>
      </c>
      <c r="F87" s="237" t="s">
        <v>308</v>
      </c>
      <c r="G87" s="55" t="s">
        <v>42</v>
      </c>
      <c r="H87" s="55" t="s">
        <v>164</v>
      </c>
      <c r="I87" s="55" t="s">
        <v>155</v>
      </c>
      <c r="J87" s="55" t="s">
        <v>38</v>
      </c>
      <c r="K87" s="55" t="s">
        <v>156</v>
      </c>
      <c r="L87" s="237">
        <v>2</v>
      </c>
      <c r="N87" s="237">
        <v>1</v>
      </c>
      <c r="O87" s="55">
        <v>0.4</v>
      </c>
      <c r="P87" s="55">
        <v>0.3</v>
      </c>
      <c r="Q87" s="82">
        <f t="shared" si="3"/>
        <v>0.35</v>
      </c>
      <c r="R87" s="55">
        <v>13.2</v>
      </c>
      <c r="S87" s="55">
        <v>161</v>
      </c>
      <c r="T87" s="57">
        <f t="shared" si="4"/>
        <v>22</v>
      </c>
      <c r="U87" s="237">
        <v>213</v>
      </c>
      <c r="V87" s="58">
        <f t="shared" si="5"/>
        <v>4686</v>
      </c>
      <c r="W87" s="237">
        <v>1</v>
      </c>
      <c r="X87" s="55" t="s">
        <v>46</v>
      </c>
      <c r="Y87" s="55" t="s">
        <v>97</v>
      </c>
      <c r="Z87" s="55" t="s">
        <v>88</v>
      </c>
      <c r="AA87" s="55" t="s">
        <v>69</v>
      </c>
      <c r="AB87" s="55" t="s">
        <v>350</v>
      </c>
      <c r="AC87" s="55"/>
      <c r="AD87" s="55"/>
    </row>
    <row r="88" spans="1:30" x14ac:dyDescent="0.15">
      <c r="A88" s="55" t="s">
        <v>41</v>
      </c>
      <c r="B88" s="237" t="s">
        <v>348</v>
      </c>
      <c r="C88" s="152">
        <v>2018</v>
      </c>
      <c r="D88" s="56" t="s">
        <v>356</v>
      </c>
      <c r="E88" s="55" t="s">
        <v>303</v>
      </c>
      <c r="F88" s="237" t="s">
        <v>308</v>
      </c>
      <c r="G88" s="55" t="s">
        <v>42</v>
      </c>
      <c r="H88" s="55" t="s">
        <v>164</v>
      </c>
      <c r="I88" s="55" t="s">
        <v>155</v>
      </c>
      <c r="J88" s="55" t="s">
        <v>38</v>
      </c>
      <c r="K88" s="55" t="s">
        <v>156</v>
      </c>
      <c r="L88" s="237">
        <v>3</v>
      </c>
      <c r="N88" s="237">
        <v>1</v>
      </c>
      <c r="O88" s="55">
        <v>0.3</v>
      </c>
      <c r="P88" s="55">
        <v>0.35</v>
      </c>
      <c r="Q88" s="82">
        <f t="shared" si="3"/>
        <v>0.32499999999999996</v>
      </c>
      <c r="R88" s="55">
        <v>13.6</v>
      </c>
      <c r="S88" s="55">
        <v>154</v>
      </c>
      <c r="T88" s="57">
        <f t="shared" si="4"/>
        <v>22</v>
      </c>
      <c r="U88" s="237">
        <v>213</v>
      </c>
      <c r="V88" s="58">
        <f t="shared" si="5"/>
        <v>4686</v>
      </c>
      <c r="W88" s="237">
        <v>1</v>
      </c>
      <c r="X88" s="55" t="s">
        <v>46</v>
      </c>
      <c r="Y88" s="55" t="s">
        <v>97</v>
      </c>
      <c r="Z88" s="55" t="s">
        <v>88</v>
      </c>
      <c r="AA88" s="55" t="s">
        <v>69</v>
      </c>
      <c r="AB88" s="55" t="s">
        <v>350</v>
      </c>
      <c r="AC88" s="55"/>
      <c r="AD88" s="55"/>
    </row>
    <row r="89" spans="1:30" x14ac:dyDescent="0.15">
      <c r="A89" s="55" t="s">
        <v>41</v>
      </c>
      <c r="B89" s="237" t="s">
        <v>348</v>
      </c>
      <c r="C89" s="152">
        <v>2018</v>
      </c>
      <c r="D89" s="56" t="s">
        <v>356</v>
      </c>
      <c r="E89" s="55" t="s">
        <v>303</v>
      </c>
      <c r="F89" s="237" t="s">
        <v>309</v>
      </c>
      <c r="G89" s="55" t="s">
        <v>42</v>
      </c>
      <c r="H89" s="55" t="s">
        <v>157</v>
      </c>
      <c r="I89" s="55" t="s">
        <v>155</v>
      </c>
      <c r="J89" s="55" t="s">
        <v>38</v>
      </c>
      <c r="K89" s="55" t="s">
        <v>156</v>
      </c>
      <c r="L89" s="237">
        <v>1</v>
      </c>
      <c r="N89" s="237">
        <v>1</v>
      </c>
      <c r="O89" s="55">
        <v>0.35</v>
      </c>
      <c r="P89" s="55">
        <v>0.3</v>
      </c>
      <c r="Q89" s="82">
        <f t="shared" si="3"/>
        <v>0.32499999999999996</v>
      </c>
      <c r="R89" s="55">
        <v>13.1</v>
      </c>
      <c r="S89" s="55">
        <v>128</v>
      </c>
      <c r="T89" s="57">
        <f t="shared" si="4"/>
        <v>27</v>
      </c>
      <c r="U89" s="237">
        <v>105</v>
      </c>
      <c r="V89" s="58">
        <f t="shared" si="5"/>
        <v>2835</v>
      </c>
      <c r="W89" s="237">
        <v>1</v>
      </c>
      <c r="X89" s="55" t="s">
        <v>46</v>
      </c>
      <c r="Y89" s="55" t="s">
        <v>97</v>
      </c>
      <c r="Z89" s="55" t="s">
        <v>69</v>
      </c>
      <c r="AA89" s="55" t="s">
        <v>64</v>
      </c>
      <c r="AB89" s="55" t="s">
        <v>350</v>
      </c>
      <c r="AC89" s="55"/>
      <c r="AD89" s="55"/>
    </row>
    <row r="90" spans="1:30" x14ac:dyDescent="0.15">
      <c r="A90" s="55" t="s">
        <v>41</v>
      </c>
      <c r="B90" s="237" t="s">
        <v>348</v>
      </c>
      <c r="C90" s="152">
        <v>2018</v>
      </c>
      <c r="D90" s="56" t="s">
        <v>356</v>
      </c>
      <c r="E90" s="55" t="s">
        <v>303</v>
      </c>
      <c r="F90" s="237" t="s">
        <v>309</v>
      </c>
      <c r="G90" s="55" t="s">
        <v>42</v>
      </c>
      <c r="H90" s="55" t="s">
        <v>157</v>
      </c>
      <c r="I90" s="55" t="s">
        <v>155</v>
      </c>
      <c r="J90" s="55" t="s">
        <v>38</v>
      </c>
      <c r="K90" s="55" t="s">
        <v>156</v>
      </c>
      <c r="L90" s="237">
        <v>2</v>
      </c>
      <c r="N90" s="237">
        <v>1</v>
      </c>
      <c r="O90" s="55">
        <v>0.45</v>
      </c>
      <c r="P90" s="55">
        <v>0.4</v>
      </c>
      <c r="Q90" s="82">
        <f t="shared" si="3"/>
        <v>0.42500000000000004</v>
      </c>
      <c r="R90" s="55">
        <v>13.8</v>
      </c>
      <c r="S90" s="55">
        <v>133</v>
      </c>
      <c r="T90" s="57">
        <f t="shared" si="4"/>
        <v>25</v>
      </c>
      <c r="U90" s="237">
        <v>105</v>
      </c>
      <c r="V90" s="58">
        <f t="shared" si="5"/>
        <v>2625</v>
      </c>
      <c r="W90" s="237">
        <v>1</v>
      </c>
      <c r="X90" s="55" t="s">
        <v>46</v>
      </c>
      <c r="Y90" s="55" t="s">
        <v>97</v>
      </c>
      <c r="Z90" s="55" t="s">
        <v>69</v>
      </c>
      <c r="AA90" s="55" t="s">
        <v>64</v>
      </c>
      <c r="AB90" s="55" t="s">
        <v>350</v>
      </c>
      <c r="AC90" s="55"/>
      <c r="AD90" s="55"/>
    </row>
    <row r="91" spans="1:30" x14ac:dyDescent="0.15">
      <c r="A91" s="55" t="s">
        <v>41</v>
      </c>
      <c r="B91" s="237" t="s">
        <v>348</v>
      </c>
      <c r="C91" s="152">
        <v>2018</v>
      </c>
      <c r="D91" s="56" t="s">
        <v>356</v>
      </c>
      <c r="E91" s="55" t="s">
        <v>303</v>
      </c>
      <c r="F91" s="237" t="s">
        <v>309</v>
      </c>
      <c r="G91" s="55" t="s">
        <v>42</v>
      </c>
      <c r="H91" s="55" t="s">
        <v>157</v>
      </c>
      <c r="I91" s="55" t="s">
        <v>155</v>
      </c>
      <c r="J91" s="55" t="s">
        <v>38</v>
      </c>
      <c r="K91" s="55" t="s">
        <v>156</v>
      </c>
      <c r="L91" s="237">
        <v>3</v>
      </c>
      <c r="N91" s="237">
        <v>1</v>
      </c>
      <c r="O91" s="55">
        <v>0.4</v>
      </c>
      <c r="P91" s="55">
        <v>0.35</v>
      </c>
      <c r="Q91" s="82">
        <f t="shared" si="3"/>
        <v>0.375</v>
      </c>
      <c r="R91" s="55">
        <v>14.2</v>
      </c>
      <c r="S91" s="55">
        <v>124</v>
      </c>
      <c r="T91" s="57">
        <f t="shared" si="4"/>
        <v>27</v>
      </c>
      <c r="U91" s="237">
        <v>105</v>
      </c>
      <c r="V91" s="58">
        <f t="shared" si="5"/>
        <v>2835</v>
      </c>
      <c r="W91" s="237">
        <v>1</v>
      </c>
      <c r="X91" s="55" t="s">
        <v>46</v>
      </c>
      <c r="Y91" s="55" t="s">
        <v>97</v>
      </c>
      <c r="Z91" s="55" t="s">
        <v>69</v>
      </c>
      <c r="AA91" s="55" t="s">
        <v>64</v>
      </c>
      <c r="AB91" s="55" t="s">
        <v>350</v>
      </c>
      <c r="AC91" s="55"/>
      <c r="AD91" s="55"/>
    </row>
    <row r="92" spans="1:30" x14ac:dyDescent="0.15">
      <c r="A92" s="55" t="s">
        <v>41</v>
      </c>
      <c r="B92" s="237" t="s">
        <v>348</v>
      </c>
      <c r="C92" s="152">
        <v>2018</v>
      </c>
      <c r="D92" s="56" t="s">
        <v>356</v>
      </c>
      <c r="E92" s="55" t="s">
        <v>303</v>
      </c>
      <c r="F92" s="237" t="s">
        <v>309</v>
      </c>
      <c r="G92" s="55" t="s">
        <v>42</v>
      </c>
      <c r="H92" s="55" t="s">
        <v>157</v>
      </c>
      <c r="I92" s="55" t="s">
        <v>155</v>
      </c>
      <c r="J92" s="55" t="s">
        <v>38</v>
      </c>
      <c r="K92" s="55" t="s">
        <v>156</v>
      </c>
      <c r="L92" s="237">
        <v>1</v>
      </c>
      <c r="N92" s="237">
        <v>6</v>
      </c>
      <c r="O92" s="55">
        <v>0.3</v>
      </c>
      <c r="P92" s="55">
        <v>0.2</v>
      </c>
      <c r="Q92" s="82">
        <f t="shared" si="3"/>
        <v>0.25</v>
      </c>
      <c r="R92" s="55">
        <v>13.9</v>
      </c>
      <c r="S92" s="55">
        <v>105</v>
      </c>
      <c r="T92" s="57">
        <f t="shared" si="4"/>
        <v>33</v>
      </c>
      <c r="U92" s="237">
        <v>626</v>
      </c>
      <c r="V92" s="58">
        <f t="shared" si="5"/>
        <v>3443</v>
      </c>
      <c r="W92" s="237">
        <v>1</v>
      </c>
      <c r="X92" s="55" t="s">
        <v>46</v>
      </c>
      <c r="Y92" s="55" t="s">
        <v>97</v>
      </c>
      <c r="Z92" s="55" t="s">
        <v>69</v>
      </c>
      <c r="AA92" s="55" t="s">
        <v>64</v>
      </c>
      <c r="AB92" s="55" t="s">
        <v>350</v>
      </c>
    </row>
    <row r="93" spans="1:30" x14ac:dyDescent="0.15">
      <c r="A93" s="55" t="s">
        <v>41</v>
      </c>
      <c r="B93" s="237" t="s">
        <v>348</v>
      </c>
      <c r="C93" s="152">
        <v>2018</v>
      </c>
      <c r="D93" s="56" t="s">
        <v>356</v>
      </c>
      <c r="E93" s="55" t="s">
        <v>303</v>
      </c>
      <c r="F93" s="237" t="s">
        <v>309</v>
      </c>
      <c r="G93" s="55" t="s">
        <v>42</v>
      </c>
      <c r="H93" s="55" t="s">
        <v>157</v>
      </c>
      <c r="I93" s="55" t="s">
        <v>155</v>
      </c>
      <c r="J93" s="55" t="s">
        <v>38</v>
      </c>
      <c r="K93" s="55" t="s">
        <v>156</v>
      </c>
      <c r="L93" s="237">
        <v>2</v>
      </c>
      <c r="N93" s="237">
        <v>6</v>
      </c>
      <c r="O93" s="55">
        <v>0.35</v>
      </c>
      <c r="P93" s="55">
        <v>0.2</v>
      </c>
      <c r="Q93" s="82">
        <f t="shared" si="3"/>
        <v>0.27500000000000002</v>
      </c>
      <c r="R93" s="55">
        <v>14.1</v>
      </c>
      <c r="S93" s="55">
        <v>102</v>
      </c>
      <c r="T93" s="57">
        <f t="shared" si="4"/>
        <v>33</v>
      </c>
      <c r="U93" s="237">
        <v>626</v>
      </c>
      <c r="V93" s="58">
        <f t="shared" si="5"/>
        <v>3443</v>
      </c>
      <c r="W93" s="237">
        <v>1</v>
      </c>
      <c r="X93" s="55" t="s">
        <v>46</v>
      </c>
      <c r="Y93" s="55" t="s">
        <v>97</v>
      </c>
      <c r="Z93" s="55" t="s">
        <v>69</v>
      </c>
      <c r="AA93" s="55" t="s">
        <v>64</v>
      </c>
      <c r="AB93" s="55" t="s">
        <v>350</v>
      </c>
    </row>
    <row r="94" spans="1:30" x14ac:dyDescent="0.15">
      <c r="A94" s="55" t="s">
        <v>41</v>
      </c>
      <c r="B94" s="237" t="s">
        <v>348</v>
      </c>
      <c r="C94" s="152">
        <v>2018</v>
      </c>
      <c r="D94" s="56" t="s">
        <v>356</v>
      </c>
      <c r="E94" s="55" t="s">
        <v>303</v>
      </c>
      <c r="F94" s="237" t="s">
        <v>309</v>
      </c>
      <c r="G94" s="55" t="s">
        <v>42</v>
      </c>
      <c r="H94" s="55" t="s">
        <v>157</v>
      </c>
      <c r="I94" s="55" t="s">
        <v>155</v>
      </c>
      <c r="J94" s="55" t="s">
        <v>38</v>
      </c>
      <c r="K94" s="55" t="s">
        <v>156</v>
      </c>
      <c r="L94" s="237">
        <v>3</v>
      </c>
      <c r="N94" s="237">
        <v>6</v>
      </c>
      <c r="O94" s="55">
        <v>0.4</v>
      </c>
      <c r="P94" s="55">
        <v>0.5</v>
      </c>
      <c r="Q94" s="82">
        <f t="shared" si="3"/>
        <v>0.45</v>
      </c>
      <c r="R94" s="55">
        <v>13.8</v>
      </c>
      <c r="S94" s="55">
        <v>100</v>
      </c>
      <c r="T94" s="57">
        <f t="shared" si="4"/>
        <v>33</v>
      </c>
      <c r="U94" s="237">
        <v>626</v>
      </c>
      <c r="V94" s="58">
        <f t="shared" si="5"/>
        <v>3443</v>
      </c>
      <c r="W94" s="237">
        <v>1</v>
      </c>
      <c r="X94" s="55" t="s">
        <v>46</v>
      </c>
      <c r="Y94" s="55" t="s">
        <v>97</v>
      </c>
      <c r="Z94" s="55" t="s">
        <v>69</v>
      </c>
      <c r="AA94" s="55" t="s">
        <v>64</v>
      </c>
      <c r="AB94" s="55" t="s">
        <v>350</v>
      </c>
    </row>
    <row r="95" spans="1:30" x14ac:dyDescent="0.15">
      <c r="A95" s="55" t="s">
        <v>41</v>
      </c>
      <c r="B95" s="237" t="s">
        <v>348</v>
      </c>
      <c r="C95" s="152">
        <v>2018</v>
      </c>
      <c r="D95" s="56" t="s">
        <v>356</v>
      </c>
      <c r="E95" s="55" t="s">
        <v>303</v>
      </c>
      <c r="F95" s="237" t="s">
        <v>309</v>
      </c>
      <c r="G95" s="55" t="s">
        <v>42</v>
      </c>
      <c r="H95" s="55" t="s">
        <v>164</v>
      </c>
      <c r="I95" s="55" t="s">
        <v>155</v>
      </c>
      <c r="J95" s="55" t="s">
        <v>38</v>
      </c>
      <c r="K95" s="55" t="s">
        <v>156</v>
      </c>
      <c r="L95" s="237">
        <v>1</v>
      </c>
      <c r="N95" s="55">
        <v>3</v>
      </c>
      <c r="O95" s="55">
        <v>0.8</v>
      </c>
      <c r="P95" s="55">
        <v>1</v>
      </c>
      <c r="Q95" s="82">
        <f t="shared" si="3"/>
        <v>0.9</v>
      </c>
      <c r="R95" s="55">
        <v>15.7</v>
      </c>
      <c r="S95" s="55">
        <v>124</v>
      </c>
      <c r="T95" s="57">
        <f t="shared" si="4"/>
        <v>27</v>
      </c>
      <c r="U95" s="237">
        <v>537</v>
      </c>
      <c r="V95" s="58">
        <f t="shared" si="5"/>
        <v>4833</v>
      </c>
      <c r="W95" s="237">
        <v>2</v>
      </c>
      <c r="X95" s="55" t="s">
        <v>46</v>
      </c>
      <c r="Y95" s="55" t="s">
        <v>97</v>
      </c>
      <c r="Z95" s="55" t="s">
        <v>69</v>
      </c>
      <c r="AA95" s="55" t="s">
        <v>64</v>
      </c>
      <c r="AB95" s="55" t="s">
        <v>350</v>
      </c>
    </row>
    <row r="96" spans="1:30" x14ac:dyDescent="0.15">
      <c r="A96" s="55" t="s">
        <v>41</v>
      </c>
      <c r="B96" s="237" t="s">
        <v>348</v>
      </c>
      <c r="C96" s="152">
        <v>2018</v>
      </c>
      <c r="D96" s="56" t="s">
        <v>356</v>
      </c>
      <c r="E96" s="55" t="s">
        <v>303</v>
      </c>
      <c r="F96" s="237" t="s">
        <v>309</v>
      </c>
      <c r="G96" s="55" t="s">
        <v>42</v>
      </c>
      <c r="H96" s="55" t="s">
        <v>164</v>
      </c>
      <c r="I96" s="55" t="s">
        <v>155</v>
      </c>
      <c r="J96" s="55" t="s">
        <v>38</v>
      </c>
      <c r="K96" s="55" t="s">
        <v>156</v>
      </c>
      <c r="L96" s="237">
        <v>2</v>
      </c>
      <c r="N96" s="55">
        <v>3</v>
      </c>
      <c r="O96" s="55">
        <v>0.95</v>
      </c>
      <c r="P96" s="55">
        <v>0.85</v>
      </c>
      <c r="Q96" s="82">
        <f t="shared" si="3"/>
        <v>0.89999999999999991</v>
      </c>
      <c r="R96" s="55">
        <v>14.9</v>
      </c>
      <c r="S96" s="55">
        <v>137</v>
      </c>
      <c r="T96" s="57">
        <f t="shared" si="4"/>
        <v>25</v>
      </c>
      <c r="U96" s="237">
        <v>537</v>
      </c>
      <c r="V96" s="58">
        <f t="shared" si="5"/>
        <v>4475</v>
      </c>
      <c r="W96" s="237">
        <v>2</v>
      </c>
      <c r="X96" s="55" t="s">
        <v>46</v>
      </c>
      <c r="Y96" s="55" t="s">
        <v>97</v>
      </c>
      <c r="Z96" s="55" t="s">
        <v>69</v>
      </c>
      <c r="AA96" s="55" t="s">
        <v>64</v>
      </c>
      <c r="AB96" s="55" t="s">
        <v>350</v>
      </c>
    </row>
    <row r="97" spans="1:28" x14ac:dyDescent="0.15">
      <c r="A97" s="55" t="s">
        <v>41</v>
      </c>
      <c r="B97" s="237" t="s">
        <v>348</v>
      </c>
      <c r="C97" s="152">
        <v>2018</v>
      </c>
      <c r="D97" s="56" t="s">
        <v>356</v>
      </c>
      <c r="E97" s="55" t="s">
        <v>303</v>
      </c>
      <c r="F97" s="237" t="s">
        <v>309</v>
      </c>
      <c r="G97" s="55" t="s">
        <v>42</v>
      </c>
      <c r="H97" s="55" t="s">
        <v>164</v>
      </c>
      <c r="I97" s="55" t="s">
        <v>155</v>
      </c>
      <c r="J97" s="55" t="s">
        <v>38</v>
      </c>
      <c r="K97" s="55" t="s">
        <v>156</v>
      </c>
      <c r="L97" s="237">
        <v>3</v>
      </c>
      <c r="N97" s="237">
        <v>3</v>
      </c>
      <c r="O97" s="55">
        <v>1.1499999999999999</v>
      </c>
      <c r="P97" s="55">
        <v>0.95</v>
      </c>
      <c r="Q97" s="82">
        <f t="shared" si="3"/>
        <v>1.0499999999999998</v>
      </c>
      <c r="R97" s="55">
        <v>14.1</v>
      </c>
      <c r="S97" s="55">
        <v>134</v>
      </c>
      <c r="T97" s="57">
        <f t="shared" si="4"/>
        <v>25</v>
      </c>
      <c r="U97" s="237">
        <v>537</v>
      </c>
      <c r="V97" s="58">
        <f t="shared" si="5"/>
        <v>4475</v>
      </c>
      <c r="W97" s="237">
        <v>2</v>
      </c>
      <c r="X97" s="55" t="s">
        <v>46</v>
      </c>
      <c r="Y97" s="55" t="s">
        <v>97</v>
      </c>
      <c r="Z97" s="55" t="s">
        <v>69</v>
      </c>
      <c r="AA97" s="55" t="s">
        <v>64</v>
      </c>
      <c r="AB97" s="55" t="s">
        <v>350</v>
      </c>
    </row>
    <row r="98" spans="1:28" x14ac:dyDescent="0.15">
      <c r="A98" s="55" t="s">
        <v>41</v>
      </c>
      <c r="B98" s="237" t="s">
        <v>348</v>
      </c>
      <c r="C98" s="152">
        <v>2018</v>
      </c>
      <c r="D98" s="56" t="s">
        <v>356</v>
      </c>
      <c r="E98" s="237" t="s">
        <v>304</v>
      </c>
      <c r="F98" s="237" t="s">
        <v>310</v>
      </c>
      <c r="G98" s="55" t="s">
        <v>42</v>
      </c>
      <c r="H98" s="55" t="s">
        <v>157</v>
      </c>
      <c r="I98" s="55" t="s">
        <v>155</v>
      </c>
      <c r="J98" s="55" t="s">
        <v>38</v>
      </c>
      <c r="K98" s="55" t="s">
        <v>156</v>
      </c>
      <c r="L98" s="237">
        <v>1</v>
      </c>
      <c r="N98" s="237">
        <v>1</v>
      </c>
      <c r="O98" s="55">
        <v>1</v>
      </c>
      <c r="P98" s="55">
        <v>0.95</v>
      </c>
      <c r="Q98" s="82">
        <f t="shared" si="3"/>
        <v>0.97499999999999998</v>
      </c>
      <c r="R98" s="55">
        <v>14.3</v>
      </c>
      <c r="S98" s="55">
        <v>125</v>
      </c>
      <c r="T98" s="57">
        <f t="shared" si="4"/>
        <v>27</v>
      </c>
      <c r="U98" s="237">
        <v>138</v>
      </c>
      <c r="V98" s="58">
        <f t="shared" si="5"/>
        <v>3726</v>
      </c>
      <c r="W98" s="237">
        <v>2</v>
      </c>
      <c r="X98" s="55" t="s">
        <v>46</v>
      </c>
      <c r="Y98" s="55" t="s">
        <v>64</v>
      </c>
      <c r="Z98" s="55" t="s">
        <v>97</v>
      </c>
      <c r="AA98" s="55" t="s">
        <v>88</v>
      </c>
      <c r="AB98" s="55" t="s">
        <v>350</v>
      </c>
    </row>
    <row r="99" spans="1:28" x14ac:dyDescent="0.15">
      <c r="A99" s="55" t="s">
        <v>41</v>
      </c>
      <c r="B99" s="237" t="s">
        <v>348</v>
      </c>
      <c r="C99" s="152">
        <v>2018</v>
      </c>
      <c r="D99" s="56" t="s">
        <v>356</v>
      </c>
      <c r="E99" s="237" t="s">
        <v>304</v>
      </c>
      <c r="F99" s="237" t="s">
        <v>310</v>
      </c>
      <c r="G99" s="55" t="s">
        <v>42</v>
      </c>
      <c r="H99" s="55" t="s">
        <v>157</v>
      </c>
      <c r="I99" s="55" t="s">
        <v>155</v>
      </c>
      <c r="J99" s="55" t="s">
        <v>38</v>
      </c>
      <c r="K99" s="55" t="s">
        <v>156</v>
      </c>
      <c r="L99" s="237">
        <v>2</v>
      </c>
      <c r="N99" s="237">
        <v>1</v>
      </c>
      <c r="O99" s="55">
        <v>1</v>
      </c>
      <c r="P99" s="55">
        <v>1</v>
      </c>
      <c r="Q99" s="82">
        <f t="shared" si="3"/>
        <v>1</v>
      </c>
      <c r="R99" s="55">
        <v>13.4</v>
      </c>
      <c r="S99" s="55">
        <v>124</v>
      </c>
      <c r="T99" s="57">
        <f t="shared" si="4"/>
        <v>27</v>
      </c>
      <c r="U99" s="237">
        <v>138</v>
      </c>
      <c r="V99" s="58">
        <f t="shared" si="5"/>
        <v>3726</v>
      </c>
      <c r="W99" s="237">
        <v>2</v>
      </c>
      <c r="X99" s="55" t="s">
        <v>46</v>
      </c>
      <c r="Y99" s="55" t="s">
        <v>64</v>
      </c>
      <c r="Z99" s="55" t="s">
        <v>97</v>
      </c>
      <c r="AA99" s="55" t="s">
        <v>88</v>
      </c>
      <c r="AB99" s="55" t="s">
        <v>350</v>
      </c>
    </row>
    <row r="100" spans="1:28" x14ac:dyDescent="0.15">
      <c r="A100" s="55" t="s">
        <v>41</v>
      </c>
      <c r="B100" s="237" t="s">
        <v>348</v>
      </c>
      <c r="C100" s="152">
        <v>2018</v>
      </c>
      <c r="D100" s="56" t="s">
        <v>356</v>
      </c>
      <c r="E100" s="237" t="s">
        <v>304</v>
      </c>
      <c r="F100" s="237" t="s">
        <v>310</v>
      </c>
      <c r="G100" s="55" t="s">
        <v>42</v>
      </c>
      <c r="H100" s="55" t="s">
        <v>157</v>
      </c>
      <c r="I100" s="55" t="s">
        <v>155</v>
      </c>
      <c r="J100" s="55" t="s">
        <v>38</v>
      </c>
      <c r="K100" s="55" t="s">
        <v>156</v>
      </c>
      <c r="L100" s="237">
        <v>3</v>
      </c>
      <c r="N100" s="237">
        <v>1</v>
      </c>
      <c r="O100" s="55">
        <v>0.95</v>
      </c>
      <c r="P100" s="55">
        <v>1</v>
      </c>
      <c r="Q100" s="82">
        <f t="shared" si="3"/>
        <v>0.97499999999999998</v>
      </c>
      <c r="R100" s="55">
        <v>13.1</v>
      </c>
      <c r="S100" s="55">
        <v>124</v>
      </c>
      <c r="T100" s="57">
        <f t="shared" si="4"/>
        <v>27</v>
      </c>
      <c r="U100" s="237">
        <v>138</v>
      </c>
      <c r="V100" s="58">
        <f t="shared" si="5"/>
        <v>3726</v>
      </c>
      <c r="W100" s="237">
        <v>2</v>
      </c>
      <c r="X100" s="55" t="s">
        <v>46</v>
      </c>
      <c r="Y100" s="55" t="s">
        <v>64</v>
      </c>
      <c r="Z100" s="55" t="s">
        <v>97</v>
      </c>
      <c r="AA100" s="55" t="s">
        <v>88</v>
      </c>
      <c r="AB100" s="55" t="s">
        <v>350</v>
      </c>
    </row>
    <row r="101" spans="1:28" x14ac:dyDescent="0.15">
      <c r="A101" s="55" t="s">
        <v>41</v>
      </c>
      <c r="B101" s="237" t="s">
        <v>348</v>
      </c>
      <c r="C101" s="152">
        <v>2018</v>
      </c>
      <c r="D101" s="56" t="s">
        <v>356</v>
      </c>
      <c r="E101" s="237" t="s">
        <v>304</v>
      </c>
      <c r="F101" s="237" t="s">
        <v>310</v>
      </c>
      <c r="G101" s="55" t="s">
        <v>42</v>
      </c>
      <c r="H101" s="55" t="s">
        <v>157</v>
      </c>
      <c r="I101" s="55" t="s">
        <v>155</v>
      </c>
      <c r="J101" s="55" t="s">
        <v>38</v>
      </c>
      <c r="K101" s="55" t="s">
        <v>156</v>
      </c>
      <c r="L101" s="237">
        <v>1</v>
      </c>
      <c r="N101" s="237">
        <v>4</v>
      </c>
      <c r="O101" s="55">
        <v>1.05</v>
      </c>
      <c r="P101" s="55">
        <v>1</v>
      </c>
      <c r="Q101" s="82">
        <f t="shared" si="3"/>
        <v>1.0249999999999999</v>
      </c>
      <c r="R101" s="55">
        <v>13.9</v>
      </c>
      <c r="S101" s="55">
        <v>128</v>
      </c>
      <c r="T101" s="57">
        <f t="shared" si="4"/>
        <v>27</v>
      </c>
      <c r="U101" s="237">
        <v>410</v>
      </c>
      <c r="V101" s="58">
        <f t="shared" si="5"/>
        <v>2767.5</v>
      </c>
      <c r="W101" s="237">
        <v>2</v>
      </c>
      <c r="X101" s="55" t="s">
        <v>46</v>
      </c>
      <c r="Y101" s="55" t="s">
        <v>64</v>
      </c>
      <c r="Z101" s="55" t="s">
        <v>97</v>
      </c>
      <c r="AA101" s="55" t="s">
        <v>88</v>
      </c>
      <c r="AB101" s="55" t="s">
        <v>350</v>
      </c>
    </row>
    <row r="102" spans="1:28" x14ac:dyDescent="0.15">
      <c r="A102" s="55" t="s">
        <v>41</v>
      </c>
      <c r="B102" s="237" t="s">
        <v>348</v>
      </c>
      <c r="C102" s="152">
        <v>2018</v>
      </c>
      <c r="D102" s="56" t="s">
        <v>356</v>
      </c>
      <c r="E102" s="237" t="s">
        <v>304</v>
      </c>
      <c r="F102" s="237" t="s">
        <v>310</v>
      </c>
      <c r="G102" s="55" t="s">
        <v>42</v>
      </c>
      <c r="H102" s="55" t="s">
        <v>157</v>
      </c>
      <c r="I102" s="55" t="s">
        <v>155</v>
      </c>
      <c r="J102" s="55" t="s">
        <v>38</v>
      </c>
      <c r="K102" s="55" t="s">
        <v>156</v>
      </c>
      <c r="L102" s="237">
        <v>2</v>
      </c>
      <c r="N102" s="237">
        <v>4</v>
      </c>
      <c r="O102" s="55">
        <v>1</v>
      </c>
      <c r="P102" s="55">
        <v>0.9</v>
      </c>
      <c r="Q102" s="82">
        <f t="shared" si="3"/>
        <v>0.95</v>
      </c>
      <c r="R102" s="55">
        <v>13.2</v>
      </c>
      <c r="S102" s="55">
        <v>131</v>
      </c>
      <c r="T102" s="57">
        <f t="shared" si="4"/>
        <v>25</v>
      </c>
      <c r="U102" s="237">
        <v>410</v>
      </c>
      <c r="V102" s="58">
        <f t="shared" si="5"/>
        <v>2562.5</v>
      </c>
      <c r="W102" s="237">
        <v>2</v>
      </c>
      <c r="X102" s="55" t="s">
        <v>46</v>
      </c>
      <c r="Y102" s="55" t="s">
        <v>64</v>
      </c>
      <c r="Z102" s="55" t="s">
        <v>97</v>
      </c>
      <c r="AA102" s="55" t="s">
        <v>88</v>
      </c>
      <c r="AB102" s="55" t="s">
        <v>350</v>
      </c>
    </row>
    <row r="103" spans="1:28" x14ac:dyDescent="0.15">
      <c r="A103" s="55" t="s">
        <v>41</v>
      </c>
      <c r="B103" s="237" t="s">
        <v>348</v>
      </c>
      <c r="C103" s="152">
        <v>2018</v>
      </c>
      <c r="D103" s="56" t="s">
        <v>356</v>
      </c>
      <c r="E103" s="237" t="s">
        <v>304</v>
      </c>
      <c r="F103" s="237" t="s">
        <v>310</v>
      </c>
      <c r="G103" s="55" t="s">
        <v>42</v>
      </c>
      <c r="H103" s="55" t="s">
        <v>157</v>
      </c>
      <c r="I103" s="55" t="s">
        <v>155</v>
      </c>
      <c r="J103" s="55" t="s">
        <v>38</v>
      </c>
      <c r="K103" s="55" t="s">
        <v>156</v>
      </c>
      <c r="L103" s="237">
        <v>3</v>
      </c>
      <c r="N103" s="237">
        <v>4</v>
      </c>
      <c r="O103" s="55">
        <v>1</v>
      </c>
      <c r="P103" s="55">
        <v>0.9</v>
      </c>
      <c r="Q103" s="82">
        <f t="shared" si="3"/>
        <v>0.95</v>
      </c>
      <c r="R103" s="55">
        <v>13.4</v>
      </c>
      <c r="S103" s="55">
        <v>131</v>
      </c>
      <c r="T103" s="57">
        <f t="shared" si="4"/>
        <v>25</v>
      </c>
      <c r="U103" s="237">
        <v>410</v>
      </c>
      <c r="V103" s="58">
        <f t="shared" si="5"/>
        <v>2562.5</v>
      </c>
      <c r="W103" s="237">
        <v>2</v>
      </c>
      <c r="X103" s="55" t="s">
        <v>46</v>
      </c>
      <c r="Y103" s="55" t="s">
        <v>64</v>
      </c>
      <c r="Z103" s="55" t="s">
        <v>97</v>
      </c>
      <c r="AA103" s="55" t="s">
        <v>88</v>
      </c>
      <c r="AB103" s="55" t="s">
        <v>350</v>
      </c>
    </row>
    <row r="104" spans="1:28" x14ac:dyDescent="0.15">
      <c r="A104" s="55" t="s">
        <v>41</v>
      </c>
      <c r="B104" s="237" t="s">
        <v>348</v>
      </c>
      <c r="C104" s="152">
        <v>2018</v>
      </c>
      <c r="D104" s="56" t="s">
        <v>356</v>
      </c>
      <c r="E104" s="237" t="s">
        <v>304</v>
      </c>
      <c r="F104" s="237" t="s">
        <v>310</v>
      </c>
      <c r="G104" s="55" t="s">
        <v>42</v>
      </c>
      <c r="H104" s="55" t="s">
        <v>164</v>
      </c>
      <c r="I104" s="55" t="s">
        <v>155</v>
      </c>
      <c r="J104" s="55" t="s">
        <v>38</v>
      </c>
      <c r="K104" s="55" t="s">
        <v>156</v>
      </c>
      <c r="L104" s="237">
        <v>1</v>
      </c>
      <c r="N104" s="237">
        <v>1</v>
      </c>
      <c r="O104" s="55">
        <v>1</v>
      </c>
      <c r="P104" s="55">
        <v>1</v>
      </c>
      <c r="Q104" s="82">
        <f t="shared" si="3"/>
        <v>1</v>
      </c>
      <c r="R104" s="55">
        <v>13</v>
      </c>
      <c r="S104" s="55">
        <v>135</v>
      </c>
      <c r="T104" s="57">
        <f t="shared" si="4"/>
        <v>25</v>
      </c>
      <c r="U104" s="237">
        <v>138</v>
      </c>
      <c r="V104" s="58">
        <f t="shared" si="5"/>
        <v>3450</v>
      </c>
      <c r="W104" s="237">
        <v>2</v>
      </c>
      <c r="X104" s="55" t="s">
        <v>46</v>
      </c>
      <c r="Y104" s="55" t="s">
        <v>64</v>
      </c>
      <c r="Z104" s="55" t="s">
        <v>97</v>
      </c>
      <c r="AA104" s="55" t="s">
        <v>88</v>
      </c>
      <c r="AB104" s="55" t="s">
        <v>350</v>
      </c>
    </row>
    <row r="105" spans="1:28" x14ac:dyDescent="0.15">
      <c r="A105" s="55" t="s">
        <v>41</v>
      </c>
      <c r="B105" s="237" t="s">
        <v>348</v>
      </c>
      <c r="C105" s="152">
        <v>2018</v>
      </c>
      <c r="D105" s="56" t="s">
        <v>356</v>
      </c>
      <c r="E105" s="237" t="s">
        <v>304</v>
      </c>
      <c r="F105" s="237" t="s">
        <v>310</v>
      </c>
      <c r="G105" s="55" t="s">
        <v>42</v>
      </c>
      <c r="H105" s="55" t="s">
        <v>164</v>
      </c>
      <c r="I105" s="55" t="s">
        <v>155</v>
      </c>
      <c r="J105" s="55" t="s">
        <v>38</v>
      </c>
      <c r="K105" s="55" t="s">
        <v>156</v>
      </c>
      <c r="L105" s="237">
        <v>2</v>
      </c>
      <c r="N105" s="237">
        <v>1</v>
      </c>
      <c r="O105" s="55">
        <v>0.35</v>
      </c>
      <c r="P105" s="254">
        <v>0.2</v>
      </c>
      <c r="Q105" s="251">
        <f t="shared" si="3"/>
        <v>0.27500000000000002</v>
      </c>
      <c r="R105" s="55">
        <v>13.5</v>
      </c>
      <c r="S105" s="55">
        <v>128</v>
      </c>
      <c r="T105" s="57">
        <f t="shared" si="4"/>
        <v>27</v>
      </c>
      <c r="U105" s="237">
        <v>138</v>
      </c>
      <c r="V105" s="58">
        <f t="shared" si="5"/>
        <v>3726</v>
      </c>
      <c r="W105" s="237">
        <v>2</v>
      </c>
      <c r="X105" s="55" t="s">
        <v>46</v>
      </c>
      <c r="Y105" s="55" t="s">
        <v>64</v>
      </c>
      <c r="Z105" s="55" t="s">
        <v>97</v>
      </c>
      <c r="AA105" s="55" t="s">
        <v>88</v>
      </c>
      <c r="AB105" s="55" t="s">
        <v>350</v>
      </c>
    </row>
    <row r="106" spans="1:28" x14ac:dyDescent="0.15">
      <c r="A106" s="55" t="s">
        <v>41</v>
      </c>
      <c r="B106" s="237" t="s">
        <v>348</v>
      </c>
      <c r="C106" s="152">
        <v>2018</v>
      </c>
      <c r="D106" s="56" t="s">
        <v>356</v>
      </c>
      <c r="E106" s="237" t="s">
        <v>304</v>
      </c>
      <c r="F106" s="237" t="s">
        <v>310</v>
      </c>
      <c r="G106" s="55" t="s">
        <v>42</v>
      </c>
      <c r="H106" s="55" t="s">
        <v>164</v>
      </c>
      <c r="I106" s="55" t="s">
        <v>155</v>
      </c>
      <c r="J106" s="55" t="s">
        <v>38</v>
      </c>
      <c r="K106" s="55" t="s">
        <v>156</v>
      </c>
      <c r="L106" s="237">
        <v>3</v>
      </c>
      <c r="N106" s="237">
        <v>1</v>
      </c>
      <c r="O106" s="55">
        <v>0.2</v>
      </c>
      <c r="P106" s="55">
        <v>0.2</v>
      </c>
      <c r="Q106" s="251">
        <f t="shared" si="3"/>
        <v>0.2</v>
      </c>
      <c r="R106" s="55">
        <v>13.2</v>
      </c>
      <c r="S106" s="55">
        <v>127</v>
      </c>
      <c r="T106" s="57">
        <f t="shared" si="4"/>
        <v>27</v>
      </c>
      <c r="U106" s="237">
        <v>138</v>
      </c>
      <c r="V106" s="58">
        <f t="shared" si="5"/>
        <v>3726</v>
      </c>
      <c r="W106" s="237">
        <v>2</v>
      </c>
      <c r="X106" s="55" t="s">
        <v>46</v>
      </c>
      <c r="Y106" s="55" t="s">
        <v>64</v>
      </c>
      <c r="Z106" s="55" t="s">
        <v>97</v>
      </c>
      <c r="AA106" s="55" t="s">
        <v>88</v>
      </c>
      <c r="AB106" s="55" t="s">
        <v>350</v>
      </c>
    </row>
    <row r="107" spans="1:28" x14ac:dyDescent="0.15">
      <c r="A107" s="55" t="s">
        <v>41</v>
      </c>
      <c r="B107" s="237" t="s">
        <v>348</v>
      </c>
      <c r="C107" s="152">
        <v>2018</v>
      </c>
      <c r="D107" s="56" t="s">
        <v>356</v>
      </c>
      <c r="E107" s="237" t="s">
        <v>304</v>
      </c>
      <c r="F107" s="237" t="s">
        <v>310</v>
      </c>
      <c r="G107" s="55" t="s">
        <v>42</v>
      </c>
      <c r="H107" s="55" t="s">
        <v>164</v>
      </c>
      <c r="I107" s="55" t="s">
        <v>155</v>
      </c>
      <c r="J107" s="55" t="s">
        <v>38</v>
      </c>
      <c r="K107" s="55" t="s">
        <v>156</v>
      </c>
      <c r="L107" s="237">
        <v>1</v>
      </c>
      <c r="N107" s="237">
        <v>4</v>
      </c>
      <c r="O107" s="55">
        <v>0.2</v>
      </c>
      <c r="P107" s="55">
        <v>0.25</v>
      </c>
      <c r="Q107" s="251">
        <f t="shared" si="3"/>
        <v>0.22500000000000001</v>
      </c>
      <c r="R107" s="55">
        <v>13.7</v>
      </c>
      <c r="S107" s="55">
        <v>132</v>
      </c>
      <c r="T107" s="57">
        <f t="shared" si="4"/>
        <v>25</v>
      </c>
      <c r="U107" s="237">
        <v>518</v>
      </c>
      <c r="V107" s="58">
        <f t="shared" si="5"/>
        <v>3237.5</v>
      </c>
      <c r="W107" s="237">
        <v>2</v>
      </c>
      <c r="X107" s="55" t="s">
        <v>46</v>
      </c>
      <c r="Y107" s="55" t="s">
        <v>64</v>
      </c>
      <c r="Z107" s="55" t="s">
        <v>97</v>
      </c>
      <c r="AA107" s="55" t="s">
        <v>88</v>
      </c>
      <c r="AB107" s="55" t="s">
        <v>350</v>
      </c>
    </row>
    <row r="108" spans="1:28" x14ac:dyDescent="0.15">
      <c r="A108" s="55" t="s">
        <v>41</v>
      </c>
      <c r="B108" s="237" t="s">
        <v>348</v>
      </c>
      <c r="C108" s="152">
        <v>2018</v>
      </c>
      <c r="D108" s="56" t="s">
        <v>356</v>
      </c>
      <c r="E108" s="237" t="s">
        <v>304</v>
      </c>
      <c r="F108" s="237" t="s">
        <v>310</v>
      </c>
      <c r="G108" s="55" t="s">
        <v>42</v>
      </c>
      <c r="H108" s="55" t="s">
        <v>164</v>
      </c>
      <c r="I108" s="55" t="s">
        <v>155</v>
      </c>
      <c r="J108" s="55" t="s">
        <v>38</v>
      </c>
      <c r="K108" s="55" t="s">
        <v>156</v>
      </c>
      <c r="L108" s="237">
        <v>2</v>
      </c>
      <c r="N108" s="237">
        <v>4</v>
      </c>
      <c r="O108" s="55">
        <v>0.65</v>
      </c>
      <c r="P108" s="55">
        <v>0.5</v>
      </c>
      <c r="Q108" s="82">
        <f t="shared" si="3"/>
        <v>0.57499999999999996</v>
      </c>
      <c r="R108" s="55">
        <v>13.6</v>
      </c>
      <c r="S108" s="55">
        <v>128</v>
      </c>
      <c r="T108" s="57">
        <f t="shared" si="4"/>
        <v>27</v>
      </c>
      <c r="U108" s="237">
        <v>518</v>
      </c>
      <c r="V108" s="58">
        <f t="shared" si="5"/>
        <v>3496.5</v>
      </c>
      <c r="W108" s="237">
        <v>2</v>
      </c>
      <c r="X108" s="55" t="s">
        <v>46</v>
      </c>
      <c r="Y108" s="55" t="s">
        <v>64</v>
      </c>
      <c r="Z108" s="55" t="s">
        <v>97</v>
      </c>
      <c r="AA108" s="55" t="s">
        <v>88</v>
      </c>
      <c r="AB108" s="55" t="s">
        <v>350</v>
      </c>
    </row>
    <row r="109" spans="1:28" x14ac:dyDescent="0.15">
      <c r="A109" s="55" t="s">
        <v>41</v>
      </c>
      <c r="B109" s="237" t="s">
        <v>348</v>
      </c>
      <c r="C109" s="152">
        <v>2018</v>
      </c>
      <c r="D109" s="56" t="s">
        <v>356</v>
      </c>
      <c r="E109" s="237" t="s">
        <v>304</v>
      </c>
      <c r="F109" s="237" t="s">
        <v>310</v>
      </c>
      <c r="G109" s="55" t="s">
        <v>42</v>
      </c>
      <c r="H109" s="55" t="s">
        <v>164</v>
      </c>
      <c r="I109" s="55" t="s">
        <v>155</v>
      </c>
      <c r="J109" s="55" t="s">
        <v>38</v>
      </c>
      <c r="K109" s="55" t="s">
        <v>156</v>
      </c>
      <c r="L109" s="237">
        <v>3</v>
      </c>
      <c r="N109" s="237">
        <v>4</v>
      </c>
      <c r="O109" s="55">
        <v>0.4</v>
      </c>
      <c r="P109" s="55">
        <v>0.4</v>
      </c>
      <c r="Q109" s="82">
        <f t="shared" si="3"/>
        <v>0.4</v>
      </c>
      <c r="R109" s="55">
        <v>14.1</v>
      </c>
      <c r="S109" s="55">
        <v>127</v>
      </c>
      <c r="T109" s="57">
        <f t="shared" si="4"/>
        <v>27</v>
      </c>
      <c r="U109" s="237">
        <v>518</v>
      </c>
      <c r="V109" s="58">
        <f t="shared" si="5"/>
        <v>3496.5</v>
      </c>
      <c r="W109" s="237">
        <v>2</v>
      </c>
      <c r="X109" s="55" t="s">
        <v>46</v>
      </c>
      <c r="Y109" s="55" t="s">
        <v>64</v>
      </c>
      <c r="Z109" s="55" t="s">
        <v>97</v>
      </c>
      <c r="AA109" s="55" t="s">
        <v>88</v>
      </c>
      <c r="AB109" s="55" t="s">
        <v>350</v>
      </c>
    </row>
    <row r="110" spans="1:28" x14ac:dyDescent="0.15">
      <c r="A110" s="55" t="s">
        <v>41</v>
      </c>
      <c r="B110" s="237" t="s">
        <v>348</v>
      </c>
      <c r="C110" s="152">
        <v>2018</v>
      </c>
      <c r="D110" s="56" t="s">
        <v>356</v>
      </c>
      <c r="E110" s="237" t="s">
        <v>172</v>
      </c>
      <c r="F110" s="237" t="s">
        <v>311</v>
      </c>
      <c r="G110" s="55" t="s">
        <v>42</v>
      </c>
      <c r="H110" s="55" t="s">
        <v>164</v>
      </c>
      <c r="I110" s="55" t="s">
        <v>155</v>
      </c>
      <c r="J110" s="55" t="s">
        <v>38</v>
      </c>
      <c r="K110" s="55" t="s">
        <v>156</v>
      </c>
      <c r="L110" s="237">
        <v>1</v>
      </c>
      <c r="N110" s="237">
        <v>1</v>
      </c>
      <c r="O110" s="55">
        <v>0.3</v>
      </c>
      <c r="P110" s="55">
        <v>0.45</v>
      </c>
      <c r="Q110" s="82">
        <f t="shared" si="3"/>
        <v>0.375</v>
      </c>
      <c r="R110" s="55">
        <v>14.1</v>
      </c>
      <c r="S110" s="55">
        <v>124</v>
      </c>
      <c r="T110" s="57">
        <f t="shared" si="4"/>
        <v>27</v>
      </c>
      <c r="U110" s="237">
        <v>137</v>
      </c>
      <c r="V110" s="58">
        <f t="shared" si="5"/>
        <v>3699</v>
      </c>
      <c r="W110" s="237">
        <v>1</v>
      </c>
      <c r="X110" s="55" t="s">
        <v>46</v>
      </c>
      <c r="Y110" s="55" t="s">
        <v>69</v>
      </c>
      <c r="Z110" s="55" t="s">
        <v>97</v>
      </c>
      <c r="AA110" s="55" t="s">
        <v>88</v>
      </c>
      <c r="AB110" s="55" t="s">
        <v>350</v>
      </c>
    </row>
    <row r="111" spans="1:28" x14ac:dyDescent="0.15">
      <c r="A111" s="55" t="s">
        <v>41</v>
      </c>
      <c r="B111" s="237" t="s">
        <v>348</v>
      </c>
      <c r="C111" s="152">
        <v>2018</v>
      </c>
      <c r="D111" s="56" t="s">
        <v>356</v>
      </c>
      <c r="E111" s="237" t="s">
        <v>172</v>
      </c>
      <c r="F111" s="237" t="s">
        <v>311</v>
      </c>
      <c r="G111" s="55" t="s">
        <v>42</v>
      </c>
      <c r="H111" s="55" t="s">
        <v>164</v>
      </c>
      <c r="I111" s="55" t="s">
        <v>155</v>
      </c>
      <c r="J111" s="55" t="s">
        <v>38</v>
      </c>
      <c r="K111" s="55" t="s">
        <v>156</v>
      </c>
      <c r="L111" s="237">
        <v>2</v>
      </c>
      <c r="N111" s="237">
        <v>1</v>
      </c>
      <c r="O111" s="55">
        <v>0.6</v>
      </c>
      <c r="P111" s="55">
        <v>0.55000000000000004</v>
      </c>
      <c r="Q111" s="82">
        <f t="shared" si="3"/>
        <v>0.57499999999999996</v>
      </c>
      <c r="R111" s="55">
        <v>14.6</v>
      </c>
      <c r="S111" s="55">
        <v>131</v>
      </c>
      <c r="T111" s="57">
        <f t="shared" si="4"/>
        <v>25</v>
      </c>
      <c r="U111" s="237">
        <v>137</v>
      </c>
      <c r="V111" s="58">
        <f t="shared" si="5"/>
        <v>3425</v>
      </c>
      <c r="W111" s="237">
        <v>1</v>
      </c>
      <c r="X111" s="55" t="s">
        <v>46</v>
      </c>
      <c r="Y111" s="55" t="s">
        <v>69</v>
      </c>
      <c r="Z111" s="55" t="s">
        <v>97</v>
      </c>
      <c r="AA111" s="55" t="s">
        <v>88</v>
      </c>
      <c r="AB111" s="55" t="s">
        <v>350</v>
      </c>
    </row>
    <row r="112" spans="1:28" x14ac:dyDescent="0.15">
      <c r="A112" s="55" t="s">
        <v>41</v>
      </c>
      <c r="B112" s="237" t="s">
        <v>348</v>
      </c>
      <c r="C112" s="152">
        <v>2018</v>
      </c>
      <c r="D112" s="56" t="s">
        <v>356</v>
      </c>
      <c r="E112" s="237" t="s">
        <v>172</v>
      </c>
      <c r="F112" s="237" t="s">
        <v>311</v>
      </c>
      <c r="G112" s="55" t="s">
        <v>42</v>
      </c>
      <c r="H112" s="55" t="s">
        <v>164</v>
      </c>
      <c r="I112" s="55" t="s">
        <v>155</v>
      </c>
      <c r="J112" s="55" t="s">
        <v>38</v>
      </c>
      <c r="K112" s="55" t="s">
        <v>156</v>
      </c>
      <c r="L112" s="237">
        <v>3</v>
      </c>
      <c r="N112" s="237">
        <v>1</v>
      </c>
      <c r="O112" s="55">
        <v>0.6</v>
      </c>
      <c r="P112" s="55">
        <v>0.5</v>
      </c>
      <c r="Q112" s="82">
        <f t="shared" si="3"/>
        <v>0.55000000000000004</v>
      </c>
      <c r="R112" s="55">
        <v>17</v>
      </c>
      <c r="S112" s="55">
        <v>128</v>
      </c>
      <c r="T112" s="57">
        <f t="shared" si="4"/>
        <v>27</v>
      </c>
      <c r="U112" s="237">
        <v>137</v>
      </c>
      <c r="V112" s="58">
        <f t="shared" si="5"/>
        <v>3699</v>
      </c>
      <c r="W112" s="237">
        <v>1</v>
      </c>
      <c r="X112" s="55" t="s">
        <v>46</v>
      </c>
      <c r="Y112" s="55" t="s">
        <v>69</v>
      </c>
      <c r="Z112" s="55" t="s">
        <v>97</v>
      </c>
      <c r="AA112" s="55" t="s">
        <v>88</v>
      </c>
      <c r="AB112" s="55" t="s">
        <v>350</v>
      </c>
    </row>
    <row r="113" spans="1:28" x14ac:dyDescent="0.15">
      <c r="A113" s="55" t="s">
        <v>41</v>
      </c>
      <c r="B113" s="237" t="s">
        <v>348</v>
      </c>
      <c r="C113" s="152">
        <v>2018</v>
      </c>
      <c r="D113" s="56" t="s">
        <v>356</v>
      </c>
      <c r="E113" s="237" t="s">
        <v>172</v>
      </c>
      <c r="F113" s="237" t="s">
        <v>311</v>
      </c>
      <c r="G113" s="55" t="s">
        <v>42</v>
      </c>
      <c r="H113" s="55" t="s">
        <v>164</v>
      </c>
      <c r="I113" s="55" t="s">
        <v>155</v>
      </c>
      <c r="J113" s="55" t="s">
        <v>38</v>
      </c>
      <c r="K113" s="55" t="s">
        <v>156</v>
      </c>
      <c r="L113" s="237">
        <v>1</v>
      </c>
      <c r="N113" s="237">
        <v>4</v>
      </c>
      <c r="O113" s="55">
        <v>0.65</v>
      </c>
      <c r="P113" s="55">
        <v>0.4</v>
      </c>
      <c r="Q113" s="82">
        <f t="shared" si="3"/>
        <v>0.52500000000000002</v>
      </c>
      <c r="R113" s="55">
        <v>14</v>
      </c>
      <c r="S113" s="55">
        <v>124</v>
      </c>
      <c r="T113" s="57">
        <f t="shared" si="4"/>
        <v>27</v>
      </c>
      <c r="U113" s="237">
        <v>471</v>
      </c>
      <c r="V113" s="58">
        <f t="shared" si="5"/>
        <v>3179.25</v>
      </c>
      <c r="W113" s="237">
        <v>2</v>
      </c>
      <c r="X113" s="55" t="s">
        <v>46</v>
      </c>
      <c r="Y113" s="55" t="s">
        <v>69</v>
      </c>
      <c r="Z113" s="55" t="s">
        <v>97</v>
      </c>
      <c r="AA113" s="55" t="s">
        <v>88</v>
      </c>
      <c r="AB113" s="55" t="s">
        <v>350</v>
      </c>
    </row>
    <row r="114" spans="1:28" x14ac:dyDescent="0.15">
      <c r="A114" s="55" t="s">
        <v>41</v>
      </c>
      <c r="B114" s="237" t="s">
        <v>348</v>
      </c>
      <c r="C114" s="152">
        <v>2018</v>
      </c>
      <c r="D114" s="56" t="s">
        <v>356</v>
      </c>
      <c r="E114" s="237" t="s">
        <v>172</v>
      </c>
      <c r="F114" s="237" t="s">
        <v>311</v>
      </c>
      <c r="G114" s="55" t="s">
        <v>42</v>
      </c>
      <c r="H114" s="55" t="s">
        <v>164</v>
      </c>
      <c r="I114" s="55" t="s">
        <v>155</v>
      </c>
      <c r="J114" s="55" t="s">
        <v>38</v>
      </c>
      <c r="K114" s="55" t="s">
        <v>156</v>
      </c>
      <c r="L114" s="237">
        <v>2</v>
      </c>
      <c r="N114" s="237">
        <v>4</v>
      </c>
      <c r="O114" s="55">
        <v>0.4</v>
      </c>
      <c r="P114" s="55">
        <v>0.5</v>
      </c>
      <c r="Q114" s="82">
        <f t="shared" si="3"/>
        <v>0.45</v>
      </c>
      <c r="R114" s="55">
        <v>14.2</v>
      </c>
      <c r="S114" s="55">
        <v>128</v>
      </c>
      <c r="T114" s="57">
        <f t="shared" si="4"/>
        <v>27</v>
      </c>
      <c r="U114" s="237">
        <v>471</v>
      </c>
      <c r="V114" s="58">
        <f t="shared" si="5"/>
        <v>3179.25</v>
      </c>
      <c r="W114" s="237">
        <v>2</v>
      </c>
      <c r="X114" s="55" t="s">
        <v>46</v>
      </c>
      <c r="Y114" s="55" t="s">
        <v>69</v>
      </c>
      <c r="Z114" s="55" t="s">
        <v>97</v>
      </c>
      <c r="AA114" s="55" t="s">
        <v>88</v>
      </c>
      <c r="AB114" s="55" t="s">
        <v>350</v>
      </c>
    </row>
    <row r="115" spans="1:28" x14ac:dyDescent="0.15">
      <c r="A115" s="55" t="s">
        <v>41</v>
      </c>
      <c r="B115" s="237" t="s">
        <v>348</v>
      </c>
      <c r="C115" s="152">
        <v>2018</v>
      </c>
      <c r="D115" s="56" t="s">
        <v>356</v>
      </c>
      <c r="E115" s="237" t="s">
        <v>172</v>
      </c>
      <c r="F115" s="237" t="s">
        <v>311</v>
      </c>
      <c r="G115" s="55" t="s">
        <v>42</v>
      </c>
      <c r="H115" s="55" t="s">
        <v>164</v>
      </c>
      <c r="I115" s="55" t="s">
        <v>155</v>
      </c>
      <c r="J115" s="55" t="s">
        <v>38</v>
      </c>
      <c r="K115" s="55" t="s">
        <v>156</v>
      </c>
      <c r="L115" s="237">
        <v>3</v>
      </c>
      <c r="N115" s="237">
        <v>4</v>
      </c>
      <c r="O115" s="55">
        <v>0.75</v>
      </c>
      <c r="P115" s="55">
        <v>0.65</v>
      </c>
      <c r="Q115" s="82">
        <f t="shared" si="3"/>
        <v>0.7</v>
      </c>
      <c r="R115" s="55">
        <v>16.8</v>
      </c>
      <c r="S115" s="55">
        <v>121</v>
      </c>
      <c r="T115" s="57">
        <f t="shared" si="4"/>
        <v>27</v>
      </c>
      <c r="U115" s="237">
        <v>471</v>
      </c>
      <c r="V115" s="58">
        <f t="shared" si="5"/>
        <v>3179.25</v>
      </c>
      <c r="W115" s="237">
        <v>2</v>
      </c>
      <c r="X115" s="55" t="s">
        <v>46</v>
      </c>
      <c r="Y115" s="55" t="s">
        <v>69</v>
      </c>
      <c r="Z115" s="55" t="s">
        <v>97</v>
      </c>
      <c r="AA115" s="55" t="s">
        <v>88</v>
      </c>
      <c r="AB115" s="55" t="s">
        <v>350</v>
      </c>
    </row>
    <row r="116" spans="1:28" x14ac:dyDescent="0.15">
      <c r="A116" s="55" t="s">
        <v>41</v>
      </c>
      <c r="B116" s="237" t="s">
        <v>348</v>
      </c>
      <c r="C116" s="152">
        <v>2018</v>
      </c>
      <c r="D116" s="56" t="s">
        <v>356</v>
      </c>
      <c r="E116" s="237" t="s">
        <v>172</v>
      </c>
      <c r="F116" s="237" t="s">
        <v>311</v>
      </c>
      <c r="G116" s="55" t="s">
        <v>42</v>
      </c>
      <c r="H116" s="55" t="s">
        <v>157</v>
      </c>
      <c r="I116" s="55" t="s">
        <v>155</v>
      </c>
      <c r="J116" s="55" t="s">
        <v>38</v>
      </c>
      <c r="K116" s="55" t="s">
        <v>156</v>
      </c>
      <c r="L116" s="237">
        <v>1</v>
      </c>
      <c r="N116" s="237">
        <v>1</v>
      </c>
      <c r="O116" s="55">
        <v>0.2</v>
      </c>
      <c r="P116" s="55">
        <v>0.3</v>
      </c>
      <c r="Q116" s="82">
        <f t="shared" si="3"/>
        <v>0.25</v>
      </c>
      <c r="R116" s="55">
        <v>13.4</v>
      </c>
      <c r="S116" s="55">
        <v>131</v>
      </c>
      <c r="T116" s="57">
        <f t="shared" si="4"/>
        <v>25</v>
      </c>
      <c r="U116" s="237">
        <v>137</v>
      </c>
      <c r="V116" s="58">
        <f t="shared" si="5"/>
        <v>3425</v>
      </c>
      <c r="W116" s="237">
        <v>1</v>
      </c>
      <c r="X116" s="55" t="s">
        <v>46</v>
      </c>
      <c r="Y116" s="55" t="s">
        <v>69</v>
      </c>
      <c r="Z116" s="55" t="s">
        <v>97</v>
      </c>
      <c r="AA116" s="55" t="s">
        <v>88</v>
      </c>
      <c r="AB116" s="55" t="s">
        <v>350</v>
      </c>
    </row>
    <row r="117" spans="1:28" x14ac:dyDescent="0.15">
      <c r="A117" s="55" t="s">
        <v>41</v>
      </c>
      <c r="B117" s="237" t="s">
        <v>348</v>
      </c>
      <c r="C117" s="152">
        <v>2018</v>
      </c>
      <c r="D117" s="56" t="s">
        <v>356</v>
      </c>
      <c r="E117" s="237" t="s">
        <v>172</v>
      </c>
      <c r="F117" s="237" t="s">
        <v>311</v>
      </c>
      <c r="G117" s="55" t="s">
        <v>42</v>
      </c>
      <c r="H117" s="55" t="s">
        <v>157</v>
      </c>
      <c r="I117" s="55" t="s">
        <v>155</v>
      </c>
      <c r="J117" s="55" t="s">
        <v>38</v>
      </c>
      <c r="K117" s="55" t="s">
        <v>156</v>
      </c>
      <c r="L117" s="237">
        <v>2</v>
      </c>
      <c r="N117" s="237">
        <v>1</v>
      </c>
      <c r="O117" s="55">
        <v>0.1</v>
      </c>
      <c r="P117" s="55">
        <v>0.25</v>
      </c>
      <c r="Q117" s="82">
        <f t="shared" si="3"/>
        <v>0.17499999999999999</v>
      </c>
      <c r="R117" s="55">
        <v>12.1</v>
      </c>
      <c r="S117" s="55">
        <v>129</v>
      </c>
      <c r="T117" s="57">
        <f t="shared" si="4"/>
        <v>25</v>
      </c>
      <c r="U117" s="237">
        <v>137</v>
      </c>
      <c r="V117" s="58">
        <f t="shared" si="5"/>
        <v>3425</v>
      </c>
      <c r="W117" s="237">
        <v>1</v>
      </c>
      <c r="X117" s="55" t="s">
        <v>46</v>
      </c>
      <c r="Y117" s="55" t="s">
        <v>69</v>
      </c>
      <c r="Z117" s="55" t="s">
        <v>97</v>
      </c>
      <c r="AA117" s="55" t="s">
        <v>88</v>
      </c>
      <c r="AB117" s="55" t="s">
        <v>350</v>
      </c>
    </row>
    <row r="118" spans="1:28" x14ac:dyDescent="0.15">
      <c r="A118" s="55" t="s">
        <v>41</v>
      </c>
      <c r="B118" s="237" t="s">
        <v>348</v>
      </c>
      <c r="C118" s="152">
        <v>2018</v>
      </c>
      <c r="D118" s="56" t="s">
        <v>356</v>
      </c>
      <c r="E118" s="237" t="s">
        <v>172</v>
      </c>
      <c r="F118" s="237" t="s">
        <v>311</v>
      </c>
      <c r="G118" s="55" t="s">
        <v>42</v>
      </c>
      <c r="H118" s="55" t="s">
        <v>157</v>
      </c>
      <c r="I118" s="55" t="s">
        <v>155</v>
      </c>
      <c r="J118" s="55" t="s">
        <v>38</v>
      </c>
      <c r="K118" s="55" t="s">
        <v>156</v>
      </c>
      <c r="L118" s="237">
        <v>3</v>
      </c>
      <c r="N118" s="237">
        <v>1</v>
      </c>
      <c r="O118" s="55">
        <v>0.1</v>
      </c>
      <c r="P118" s="55">
        <v>0.2</v>
      </c>
      <c r="Q118" s="82">
        <f t="shared" si="3"/>
        <v>0.15000000000000002</v>
      </c>
      <c r="R118" s="55">
        <v>14.1</v>
      </c>
      <c r="S118" s="55">
        <v>124</v>
      </c>
      <c r="T118" s="57">
        <f t="shared" si="4"/>
        <v>27</v>
      </c>
      <c r="U118" s="237">
        <v>137</v>
      </c>
      <c r="V118" s="58">
        <f t="shared" si="5"/>
        <v>3699</v>
      </c>
      <c r="W118" s="237">
        <v>1</v>
      </c>
      <c r="X118" s="55" t="s">
        <v>46</v>
      </c>
      <c r="Y118" s="55" t="s">
        <v>69</v>
      </c>
      <c r="Z118" s="55" t="s">
        <v>97</v>
      </c>
      <c r="AA118" s="55" t="s">
        <v>88</v>
      </c>
      <c r="AB118" s="55" t="s">
        <v>350</v>
      </c>
    </row>
    <row r="119" spans="1:28" x14ac:dyDescent="0.15">
      <c r="A119" s="55" t="s">
        <v>41</v>
      </c>
      <c r="B119" s="237" t="s">
        <v>348</v>
      </c>
      <c r="C119" s="152">
        <v>2018</v>
      </c>
      <c r="D119" s="56" t="s">
        <v>356</v>
      </c>
      <c r="E119" s="237" t="s">
        <v>172</v>
      </c>
      <c r="F119" s="237" t="s">
        <v>311</v>
      </c>
      <c r="G119" s="55" t="s">
        <v>42</v>
      </c>
      <c r="H119" s="55" t="s">
        <v>157</v>
      </c>
      <c r="I119" s="55" t="s">
        <v>155</v>
      </c>
      <c r="J119" s="55" t="s">
        <v>38</v>
      </c>
      <c r="K119" s="55" t="s">
        <v>156</v>
      </c>
      <c r="L119" s="237">
        <v>1</v>
      </c>
      <c r="N119" s="237">
        <v>4</v>
      </c>
      <c r="O119" s="55">
        <v>0.05</v>
      </c>
      <c r="P119" s="55">
        <v>0.1</v>
      </c>
      <c r="Q119" s="82">
        <f t="shared" si="3"/>
        <v>7.5000000000000011E-2</v>
      </c>
      <c r="R119" s="55">
        <v>15.5</v>
      </c>
      <c r="S119" s="55">
        <v>131</v>
      </c>
      <c r="T119" s="57">
        <f t="shared" si="4"/>
        <v>25</v>
      </c>
      <c r="U119" s="237">
        <v>471</v>
      </c>
      <c r="V119" s="58">
        <f t="shared" si="5"/>
        <v>2943.75</v>
      </c>
      <c r="W119" s="237">
        <v>2</v>
      </c>
      <c r="X119" s="55" t="s">
        <v>46</v>
      </c>
      <c r="Y119" s="55" t="s">
        <v>69</v>
      </c>
      <c r="Z119" s="55" t="s">
        <v>97</v>
      </c>
      <c r="AA119" s="55" t="s">
        <v>88</v>
      </c>
      <c r="AB119" s="55" t="s">
        <v>350</v>
      </c>
    </row>
    <row r="120" spans="1:28" x14ac:dyDescent="0.15">
      <c r="A120" s="55" t="s">
        <v>41</v>
      </c>
      <c r="B120" s="237" t="s">
        <v>348</v>
      </c>
      <c r="C120" s="152">
        <v>2018</v>
      </c>
      <c r="D120" s="56" t="s">
        <v>356</v>
      </c>
      <c r="E120" s="237" t="s">
        <v>172</v>
      </c>
      <c r="F120" s="237" t="s">
        <v>311</v>
      </c>
      <c r="G120" s="55" t="s">
        <v>42</v>
      </c>
      <c r="H120" s="55" t="s">
        <v>157</v>
      </c>
      <c r="I120" s="55" t="s">
        <v>155</v>
      </c>
      <c r="J120" s="55" t="s">
        <v>38</v>
      </c>
      <c r="K120" s="55" t="s">
        <v>156</v>
      </c>
      <c r="L120" s="237">
        <v>2</v>
      </c>
      <c r="N120" s="237">
        <v>4</v>
      </c>
      <c r="O120" s="55">
        <v>0.35</v>
      </c>
      <c r="P120" s="55">
        <v>0.3</v>
      </c>
      <c r="Q120" s="82">
        <f t="shared" si="3"/>
        <v>0.32499999999999996</v>
      </c>
      <c r="R120" s="55">
        <v>14.2</v>
      </c>
      <c r="S120" s="55">
        <v>124</v>
      </c>
      <c r="T120" s="57">
        <f t="shared" si="4"/>
        <v>27</v>
      </c>
      <c r="U120" s="237">
        <v>471</v>
      </c>
      <c r="V120" s="58">
        <f t="shared" si="5"/>
        <v>3179.25</v>
      </c>
      <c r="W120" s="237">
        <v>2</v>
      </c>
      <c r="X120" s="55" t="s">
        <v>46</v>
      </c>
      <c r="Y120" s="55" t="s">
        <v>69</v>
      </c>
      <c r="Z120" s="55" t="s">
        <v>97</v>
      </c>
      <c r="AA120" s="55" t="s">
        <v>88</v>
      </c>
      <c r="AB120" s="55" t="s">
        <v>350</v>
      </c>
    </row>
    <row r="121" spans="1:28" x14ac:dyDescent="0.15">
      <c r="A121" s="55" t="s">
        <v>41</v>
      </c>
      <c r="B121" s="237" t="s">
        <v>348</v>
      </c>
      <c r="C121" s="152">
        <v>2018</v>
      </c>
      <c r="D121" s="56" t="s">
        <v>356</v>
      </c>
      <c r="E121" s="237" t="s">
        <v>172</v>
      </c>
      <c r="F121" s="237" t="s">
        <v>311</v>
      </c>
      <c r="G121" s="55" t="s">
        <v>42</v>
      </c>
      <c r="H121" s="55" t="s">
        <v>157</v>
      </c>
      <c r="I121" s="55" t="s">
        <v>155</v>
      </c>
      <c r="J121" s="55" t="s">
        <v>38</v>
      </c>
      <c r="K121" s="55" t="s">
        <v>156</v>
      </c>
      <c r="L121" s="237">
        <v>3</v>
      </c>
      <c r="N121" s="237">
        <v>4</v>
      </c>
      <c r="O121" s="55">
        <v>0.2</v>
      </c>
      <c r="P121" s="55">
        <v>0.25</v>
      </c>
      <c r="Q121" s="82">
        <f t="shared" si="3"/>
        <v>0.22500000000000001</v>
      </c>
      <c r="R121" s="55">
        <v>14.8</v>
      </c>
      <c r="S121" s="55">
        <v>122</v>
      </c>
      <c r="T121" s="57">
        <f t="shared" si="4"/>
        <v>27</v>
      </c>
      <c r="U121" s="237">
        <v>471</v>
      </c>
      <c r="V121" s="58">
        <f t="shared" si="5"/>
        <v>3179.25</v>
      </c>
      <c r="W121" s="237">
        <v>2</v>
      </c>
      <c r="X121" s="55" t="s">
        <v>46</v>
      </c>
      <c r="Y121" s="55" t="s">
        <v>69</v>
      </c>
      <c r="Z121" s="55" t="s">
        <v>97</v>
      </c>
      <c r="AA121" s="55" t="s">
        <v>88</v>
      </c>
      <c r="AB121" s="55" t="s">
        <v>350</v>
      </c>
    </row>
    <row r="122" spans="1:28" x14ac:dyDescent="0.15">
      <c r="A122" s="55" t="s">
        <v>41</v>
      </c>
      <c r="B122" s="237" t="s">
        <v>348</v>
      </c>
      <c r="C122" s="152">
        <v>2018</v>
      </c>
      <c r="D122" s="56" t="s">
        <v>356</v>
      </c>
      <c r="E122" s="237" t="s">
        <v>302</v>
      </c>
      <c r="F122" s="237" t="s">
        <v>307</v>
      </c>
      <c r="G122" s="55" t="s">
        <v>42</v>
      </c>
      <c r="H122" s="55" t="s">
        <v>164</v>
      </c>
      <c r="I122" s="55" t="s">
        <v>155</v>
      </c>
      <c r="J122" s="55" t="s">
        <v>38</v>
      </c>
      <c r="K122" s="55" t="s">
        <v>156</v>
      </c>
      <c r="L122" s="237">
        <v>1</v>
      </c>
      <c r="N122" s="237">
        <v>1</v>
      </c>
      <c r="O122" s="55">
        <v>0.7</v>
      </c>
      <c r="P122" s="55">
        <v>0.2</v>
      </c>
      <c r="Q122" s="82">
        <f t="shared" si="3"/>
        <v>0.44999999999999996</v>
      </c>
      <c r="R122" s="55">
        <v>14.2</v>
      </c>
      <c r="S122" s="55">
        <v>118</v>
      </c>
      <c r="T122" s="57">
        <f t="shared" si="4"/>
        <v>30</v>
      </c>
      <c r="U122" s="237">
        <v>104</v>
      </c>
      <c r="V122" s="58">
        <f t="shared" si="5"/>
        <v>3120</v>
      </c>
      <c r="W122" s="237">
        <v>4</v>
      </c>
      <c r="X122" s="55" t="s">
        <v>46</v>
      </c>
      <c r="Y122" s="55" t="s">
        <v>97</v>
      </c>
      <c r="Z122" s="55" t="s">
        <v>88</v>
      </c>
      <c r="AA122" s="55" t="s">
        <v>86</v>
      </c>
      <c r="AB122" s="55" t="s">
        <v>350</v>
      </c>
    </row>
    <row r="123" spans="1:28" x14ac:dyDescent="0.15">
      <c r="A123" s="55" t="s">
        <v>41</v>
      </c>
      <c r="B123" s="237" t="s">
        <v>348</v>
      </c>
      <c r="C123" s="152">
        <v>2018</v>
      </c>
      <c r="D123" s="56" t="s">
        <v>356</v>
      </c>
      <c r="E123" s="237" t="s">
        <v>302</v>
      </c>
      <c r="F123" s="237" t="s">
        <v>307</v>
      </c>
      <c r="G123" s="55" t="s">
        <v>42</v>
      </c>
      <c r="H123" s="55" t="s">
        <v>164</v>
      </c>
      <c r="I123" s="55" t="s">
        <v>155</v>
      </c>
      <c r="J123" s="55" t="s">
        <v>38</v>
      </c>
      <c r="K123" s="55" t="s">
        <v>156</v>
      </c>
      <c r="L123" s="237">
        <v>2</v>
      </c>
      <c r="N123" s="237">
        <v>1</v>
      </c>
      <c r="O123" s="55">
        <v>0.95</v>
      </c>
      <c r="P123" s="55">
        <v>0.75</v>
      </c>
      <c r="Q123" s="82">
        <f t="shared" si="3"/>
        <v>0.85</v>
      </c>
      <c r="R123" s="55">
        <v>16.100000000000001</v>
      </c>
      <c r="S123" s="55">
        <v>112</v>
      </c>
      <c r="T123" s="57">
        <f t="shared" si="4"/>
        <v>33</v>
      </c>
      <c r="U123" s="237">
        <v>104</v>
      </c>
      <c r="V123" s="58">
        <f t="shared" si="5"/>
        <v>3432</v>
      </c>
      <c r="W123" s="237">
        <v>4</v>
      </c>
      <c r="X123" s="55" t="s">
        <v>46</v>
      </c>
      <c r="Y123" s="55" t="s">
        <v>97</v>
      </c>
      <c r="Z123" s="55" t="s">
        <v>88</v>
      </c>
      <c r="AA123" s="55" t="s">
        <v>86</v>
      </c>
      <c r="AB123" s="55" t="s">
        <v>350</v>
      </c>
    </row>
    <row r="124" spans="1:28" x14ac:dyDescent="0.15">
      <c r="A124" s="55" t="s">
        <v>41</v>
      </c>
      <c r="B124" s="237" t="s">
        <v>348</v>
      </c>
      <c r="C124" s="152">
        <v>2018</v>
      </c>
      <c r="D124" s="56" t="s">
        <v>356</v>
      </c>
      <c r="E124" s="237" t="s">
        <v>302</v>
      </c>
      <c r="F124" s="237" t="s">
        <v>307</v>
      </c>
      <c r="G124" s="55" t="s">
        <v>42</v>
      </c>
      <c r="H124" s="55" t="s">
        <v>164</v>
      </c>
      <c r="I124" s="55" t="s">
        <v>155</v>
      </c>
      <c r="J124" s="55" t="s">
        <v>38</v>
      </c>
      <c r="K124" s="55" t="s">
        <v>156</v>
      </c>
      <c r="L124" s="237">
        <v>3</v>
      </c>
      <c r="N124" s="237">
        <v>1</v>
      </c>
      <c r="O124" s="55">
        <v>0.8</v>
      </c>
      <c r="P124" s="55">
        <v>0.7</v>
      </c>
      <c r="Q124" s="82">
        <f t="shared" si="3"/>
        <v>0.75</v>
      </c>
      <c r="R124" s="55">
        <v>14.1</v>
      </c>
      <c r="S124" s="55">
        <v>120</v>
      </c>
      <c r="T124" s="57">
        <f t="shared" si="4"/>
        <v>30</v>
      </c>
      <c r="U124" s="237">
        <v>104</v>
      </c>
      <c r="V124" s="58">
        <f t="shared" si="5"/>
        <v>3120</v>
      </c>
      <c r="W124" s="237">
        <v>4</v>
      </c>
      <c r="X124" s="55" t="s">
        <v>46</v>
      </c>
      <c r="Y124" s="55" t="s">
        <v>97</v>
      </c>
      <c r="Z124" s="55" t="s">
        <v>88</v>
      </c>
      <c r="AA124" s="55" t="s">
        <v>86</v>
      </c>
      <c r="AB124" s="55" t="s">
        <v>350</v>
      </c>
    </row>
    <row r="125" spans="1:28" x14ac:dyDescent="0.15">
      <c r="A125" s="55" t="s">
        <v>41</v>
      </c>
      <c r="B125" s="237" t="s">
        <v>348</v>
      </c>
      <c r="C125" s="152">
        <v>2018</v>
      </c>
      <c r="D125" s="56" t="s">
        <v>356</v>
      </c>
      <c r="E125" s="237" t="s">
        <v>302</v>
      </c>
      <c r="F125" s="237" t="s">
        <v>307</v>
      </c>
      <c r="G125" s="55" t="s">
        <v>42</v>
      </c>
      <c r="H125" s="55" t="s">
        <v>157</v>
      </c>
      <c r="I125" s="55" t="s">
        <v>155</v>
      </c>
      <c r="J125" s="55" t="s">
        <v>38</v>
      </c>
      <c r="K125" s="55" t="s">
        <v>156</v>
      </c>
      <c r="L125" s="237">
        <v>1</v>
      </c>
      <c r="N125" s="237">
        <v>1</v>
      </c>
      <c r="O125" s="55">
        <v>0.85</v>
      </c>
      <c r="P125" s="55">
        <v>0.65</v>
      </c>
      <c r="Q125" s="82">
        <f t="shared" si="3"/>
        <v>0.75</v>
      </c>
      <c r="R125" s="55">
        <v>17</v>
      </c>
      <c r="S125" s="55">
        <v>108</v>
      </c>
      <c r="T125" s="57">
        <f t="shared" si="4"/>
        <v>33</v>
      </c>
      <c r="U125" s="237">
        <v>104</v>
      </c>
      <c r="V125" s="58">
        <f t="shared" si="5"/>
        <v>3432</v>
      </c>
      <c r="W125" s="237">
        <v>3</v>
      </c>
      <c r="X125" s="55" t="s">
        <v>46</v>
      </c>
      <c r="Y125" s="55" t="s">
        <v>97</v>
      </c>
      <c r="Z125" s="55" t="s">
        <v>88</v>
      </c>
      <c r="AA125" s="55" t="s">
        <v>86</v>
      </c>
      <c r="AB125" s="55" t="s">
        <v>350</v>
      </c>
    </row>
    <row r="126" spans="1:28" x14ac:dyDescent="0.15">
      <c r="A126" s="55" t="s">
        <v>41</v>
      </c>
      <c r="B126" s="237" t="s">
        <v>348</v>
      </c>
      <c r="C126" s="152">
        <v>2018</v>
      </c>
      <c r="D126" s="56" t="s">
        <v>356</v>
      </c>
      <c r="E126" s="237" t="s">
        <v>302</v>
      </c>
      <c r="F126" s="237" t="s">
        <v>307</v>
      </c>
      <c r="G126" s="55" t="s">
        <v>42</v>
      </c>
      <c r="H126" s="55" t="s">
        <v>157</v>
      </c>
      <c r="I126" s="55" t="s">
        <v>155</v>
      </c>
      <c r="J126" s="55" t="s">
        <v>38</v>
      </c>
      <c r="K126" s="55" t="s">
        <v>156</v>
      </c>
      <c r="L126" s="237">
        <v>2</v>
      </c>
      <c r="N126" s="237">
        <v>1</v>
      </c>
      <c r="O126" s="55">
        <v>0.4</v>
      </c>
      <c r="P126" s="55">
        <v>0.5</v>
      </c>
      <c r="Q126" s="82">
        <f t="shared" si="3"/>
        <v>0.45</v>
      </c>
      <c r="R126" s="55">
        <v>13.1</v>
      </c>
      <c r="S126" s="55">
        <v>114</v>
      </c>
      <c r="T126" s="57">
        <f t="shared" si="4"/>
        <v>30</v>
      </c>
      <c r="U126" s="237">
        <v>104</v>
      </c>
      <c r="V126" s="58">
        <f t="shared" si="5"/>
        <v>3120</v>
      </c>
      <c r="W126" s="237">
        <v>3</v>
      </c>
      <c r="X126" s="55" t="s">
        <v>46</v>
      </c>
      <c r="Y126" s="55" t="s">
        <v>97</v>
      </c>
      <c r="Z126" s="55" t="s">
        <v>88</v>
      </c>
      <c r="AA126" s="55" t="s">
        <v>86</v>
      </c>
      <c r="AB126" s="55" t="s">
        <v>350</v>
      </c>
    </row>
    <row r="127" spans="1:28" x14ac:dyDescent="0.15">
      <c r="A127" s="55" t="s">
        <v>41</v>
      </c>
      <c r="B127" s="237" t="s">
        <v>348</v>
      </c>
      <c r="C127" s="152">
        <v>2018</v>
      </c>
      <c r="D127" s="56" t="s">
        <v>356</v>
      </c>
      <c r="E127" s="237" t="s">
        <v>302</v>
      </c>
      <c r="F127" s="237" t="s">
        <v>307</v>
      </c>
      <c r="G127" s="55" t="s">
        <v>42</v>
      </c>
      <c r="H127" s="55" t="s">
        <v>157</v>
      </c>
      <c r="I127" s="55" t="s">
        <v>155</v>
      </c>
      <c r="J127" s="55" t="s">
        <v>38</v>
      </c>
      <c r="K127" s="55" t="s">
        <v>156</v>
      </c>
      <c r="L127" s="237">
        <v>3</v>
      </c>
      <c r="N127" s="237">
        <v>1</v>
      </c>
      <c r="O127" s="55">
        <v>0.5</v>
      </c>
      <c r="P127" s="55">
        <v>0.45</v>
      </c>
      <c r="Q127" s="82">
        <f t="shared" si="3"/>
        <v>0.47499999999999998</v>
      </c>
      <c r="R127" s="55">
        <v>13.2</v>
      </c>
      <c r="S127" s="55">
        <v>109</v>
      </c>
      <c r="T127" s="57">
        <f t="shared" si="4"/>
        <v>33</v>
      </c>
      <c r="U127" s="237">
        <v>104</v>
      </c>
      <c r="V127" s="58">
        <f t="shared" si="5"/>
        <v>3432</v>
      </c>
      <c r="W127" s="237">
        <v>3</v>
      </c>
      <c r="X127" s="55" t="s">
        <v>46</v>
      </c>
      <c r="Y127" s="55" t="s">
        <v>97</v>
      </c>
      <c r="Z127" s="55" t="s">
        <v>88</v>
      </c>
      <c r="AA127" s="55" t="s">
        <v>86</v>
      </c>
      <c r="AB127" s="55" t="s">
        <v>350</v>
      </c>
    </row>
    <row r="131" spans="11:25" x14ac:dyDescent="0.15">
      <c r="K131" s="55"/>
      <c r="O131" s="55"/>
      <c r="P131" s="55"/>
      <c r="Q131" s="82"/>
      <c r="R131" s="55"/>
      <c r="S131" s="55"/>
      <c r="Y131" s="55"/>
    </row>
    <row r="132" spans="11:25" x14ac:dyDescent="0.15">
      <c r="K132" s="55"/>
      <c r="O132" s="55"/>
      <c r="P132" s="55"/>
      <c r="Q132" s="82"/>
      <c r="R132" s="55"/>
      <c r="S132" s="55"/>
      <c r="Y132" s="55"/>
    </row>
    <row r="133" spans="11:25" x14ac:dyDescent="0.15">
      <c r="K133" s="55"/>
      <c r="Y133" s="55"/>
    </row>
    <row r="134" spans="11:25" x14ac:dyDescent="0.15">
      <c r="K134" s="55"/>
      <c r="Y134" s="55"/>
    </row>
    <row r="135" spans="11:25" x14ac:dyDescent="0.15">
      <c r="K135" s="55"/>
      <c r="Y135" s="55"/>
    </row>
    <row r="136" spans="11:25" x14ac:dyDescent="0.15">
      <c r="K136" s="55"/>
      <c r="Y136" s="55"/>
    </row>
    <row r="137" spans="11:25" x14ac:dyDescent="0.15">
      <c r="K137" s="55"/>
      <c r="Y137" s="55"/>
    </row>
    <row r="138" spans="11:25" x14ac:dyDescent="0.15">
      <c r="K138" s="55"/>
      <c r="Y138" s="55"/>
    </row>
    <row r="139" spans="11:25" x14ac:dyDescent="0.15">
      <c r="K139" s="55"/>
      <c r="Y139" s="55"/>
    </row>
    <row r="140" spans="11:25" x14ac:dyDescent="0.15">
      <c r="K140" s="55"/>
      <c r="Y140" s="55"/>
    </row>
    <row r="141" spans="11:25" x14ac:dyDescent="0.15">
      <c r="K141" s="55"/>
      <c r="Y141" s="55"/>
    </row>
    <row r="142" spans="11:25" x14ac:dyDescent="0.15">
      <c r="K142" s="55"/>
      <c r="Y142" s="55"/>
    </row>
    <row r="143" spans="11:25" x14ac:dyDescent="0.15">
      <c r="K143" s="55"/>
      <c r="Y143" s="55"/>
    </row>
    <row r="144" spans="11:25" x14ac:dyDescent="0.15">
      <c r="K144" s="55"/>
      <c r="Y144" s="55"/>
    </row>
    <row r="145" spans="11:25" x14ac:dyDescent="0.15">
      <c r="K145" s="55"/>
      <c r="Y145" s="55"/>
    </row>
    <row r="146" spans="11:25" x14ac:dyDescent="0.15">
      <c r="K146" s="55"/>
      <c r="Y146" s="55"/>
    </row>
    <row r="147" spans="11:25" x14ac:dyDescent="0.15">
      <c r="K147" s="55"/>
      <c r="Y147" s="55"/>
    </row>
    <row r="148" spans="11:25" x14ac:dyDescent="0.15">
      <c r="Y148" s="55"/>
    </row>
  </sheetData>
  <autoFilter ref="A1:BA130"/>
  <dataConsolidate/>
  <phoneticPr fontId="3"/>
  <dataValidations count="13">
    <dataValidation operator="equal" allowBlank="1" showInputMessage="1" showErrorMessage="1" sqref="B2:B127"/>
    <dataValidation type="list" allowBlank="1" showInputMessage="1" showErrorMessage="1" sqref="Y131:AA1048576 Y1:AA127">
      <formula1>$AV$2:$AV$21</formula1>
    </dataValidation>
    <dataValidation type="list" allowBlank="1" showInputMessage="1" showErrorMessage="1" sqref="F131:F1048576 F1:F127">
      <formula1>$AH$2:$AH$11</formula1>
    </dataValidation>
    <dataValidation type="list" allowBlank="1" showInputMessage="1" showErrorMessage="1" sqref="E131:E1048576 E1:E127">
      <formula1>$AG$2:$AG$11</formula1>
    </dataValidation>
    <dataValidation type="list" allowBlank="1" showInputMessage="1" showErrorMessage="1" sqref="K131:K147 K2:K127">
      <formula1>$AR$2:$AR$23</formula1>
    </dataValidation>
    <dataValidation type="list" allowBlank="1" showInputMessage="1" showErrorMessage="1" sqref="J131:J331 J2:J127">
      <formula1>$AP$2:$AP$19</formula1>
    </dataValidation>
    <dataValidation type="list" allowBlank="1" showInputMessage="1" showErrorMessage="1" sqref="A131:A331 A2:A127">
      <formula1>$AE$2:$AE$16</formula1>
    </dataValidation>
    <dataValidation type="list" allowBlank="1" showInputMessage="1" showErrorMessage="1" sqref="X131:X331 X2:X127">
      <formula1>$AT$2:$AT$3</formula1>
    </dataValidation>
    <dataValidation type="list" allowBlank="1" showInputMessage="1" showErrorMessage="1" sqref="I131:I331 I2:I127">
      <formula1>$AN$5:$AN$6</formula1>
    </dataValidation>
    <dataValidation type="list" allowBlank="1" showInputMessage="1" showErrorMessage="1" sqref="G131:G331 G2:G127">
      <formula1>$AJ$2:$AJ$4</formula1>
    </dataValidation>
    <dataValidation type="list" allowBlank="1" showInputMessage="1" showErrorMessage="1" sqref="H131:H331 H2:H127">
      <formula1>$AL$2:$AL$8</formula1>
    </dataValidation>
    <dataValidation type="decimal" allowBlank="1" showInputMessage="1" showErrorMessage="1" error="硬度を正しく入力して下さい。" sqref="O131:P331 O2:P127">
      <formula1>0</formula1>
      <formula2>7</formula2>
    </dataValidation>
    <dataValidation type="list" allowBlank="1" showInputMessage="1" showErrorMessage="1" sqref="K148:K331">
      <formula1>$AR$2:$AR$19</formula1>
    </dataValidation>
  </dataValidations>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50"/>
  <sheetViews>
    <sheetView topLeftCell="A7" zoomScale="85" zoomScaleNormal="85" workbookViewId="0">
      <selection activeCell="AB2" sqref="AB2:AB64"/>
    </sheetView>
  </sheetViews>
  <sheetFormatPr defaultRowHeight="13.5" x14ac:dyDescent="0.15"/>
  <cols>
    <col min="1" max="1" width="9" style="208"/>
    <col min="2" max="2" width="9" style="216"/>
    <col min="3" max="3" width="9" style="208"/>
    <col min="4" max="4" width="10.5" style="208" bestFit="1" customWidth="1"/>
    <col min="5" max="13" width="9" style="208"/>
    <col min="14" max="14" width="9.5" style="208" bestFit="1" customWidth="1"/>
    <col min="15" max="16" width="9" style="208"/>
    <col min="17" max="17" width="9" style="217"/>
    <col min="18" max="19" width="9" style="208"/>
    <col min="20" max="20" width="9" style="217"/>
    <col min="21" max="21" width="9" style="208"/>
    <col min="22" max="22" width="9" style="217"/>
    <col min="23" max="27" width="9" style="208"/>
    <col min="28" max="28" width="9" style="216"/>
    <col min="29" max="32" width="9" style="208"/>
    <col min="33" max="33" width="15.875" style="208" bestFit="1" customWidth="1"/>
    <col min="34" max="34" width="11.375" style="208" bestFit="1" customWidth="1"/>
    <col min="35" max="259" width="9" style="208"/>
    <col min="260" max="260" width="10.5" style="208" bestFit="1" customWidth="1"/>
    <col min="261" max="269" width="9" style="208"/>
    <col min="270" max="270" width="9.5" style="208" bestFit="1" customWidth="1"/>
    <col min="271" max="288" width="9" style="208"/>
    <col min="289" max="289" width="15.875" style="208" bestFit="1" customWidth="1"/>
    <col min="290" max="290" width="11.375" style="208" bestFit="1" customWidth="1"/>
    <col min="291" max="515" width="9" style="208"/>
    <col min="516" max="516" width="10.5" style="208" bestFit="1" customWidth="1"/>
    <col min="517" max="525" width="9" style="208"/>
    <col min="526" max="526" width="9.5" style="208" bestFit="1" customWidth="1"/>
    <col min="527" max="544" width="9" style="208"/>
    <col min="545" max="545" width="15.875" style="208" bestFit="1" customWidth="1"/>
    <col min="546" max="546" width="11.375" style="208" bestFit="1" customWidth="1"/>
    <col min="547" max="771" width="9" style="208"/>
    <col min="772" max="772" width="10.5" style="208" bestFit="1" customWidth="1"/>
    <col min="773" max="781" width="9" style="208"/>
    <col min="782" max="782" width="9.5" style="208" bestFit="1" customWidth="1"/>
    <col min="783" max="800" width="9" style="208"/>
    <col min="801" max="801" width="15.875" style="208" bestFit="1" customWidth="1"/>
    <col min="802" max="802" width="11.375" style="208" bestFit="1" customWidth="1"/>
    <col min="803" max="1027" width="9" style="208"/>
    <col min="1028" max="1028" width="10.5" style="208" bestFit="1" customWidth="1"/>
    <col min="1029" max="1037" width="9" style="208"/>
    <col min="1038" max="1038" width="9.5" style="208" bestFit="1" customWidth="1"/>
    <col min="1039" max="1056" width="9" style="208"/>
    <col min="1057" max="1057" width="15.875" style="208" bestFit="1" customWidth="1"/>
    <col min="1058" max="1058" width="11.375" style="208" bestFit="1" customWidth="1"/>
    <col min="1059" max="1283" width="9" style="208"/>
    <col min="1284" max="1284" width="10.5" style="208" bestFit="1" customWidth="1"/>
    <col min="1285" max="1293" width="9" style="208"/>
    <col min="1294" max="1294" width="9.5" style="208" bestFit="1" customWidth="1"/>
    <col min="1295" max="1312" width="9" style="208"/>
    <col min="1313" max="1313" width="15.875" style="208" bestFit="1" customWidth="1"/>
    <col min="1314" max="1314" width="11.375" style="208" bestFit="1" customWidth="1"/>
    <col min="1315" max="1539" width="9" style="208"/>
    <col min="1540" max="1540" width="10.5" style="208" bestFit="1" customWidth="1"/>
    <col min="1541" max="1549" width="9" style="208"/>
    <col min="1550" max="1550" width="9.5" style="208" bestFit="1" customWidth="1"/>
    <col min="1551" max="1568" width="9" style="208"/>
    <col min="1569" max="1569" width="15.875" style="208" bestFit="1" customWidth="1"/>
    <col min="1570" max="1570" width="11.375" style="208" bestFit="1" customWidth="1"/>
    <col min="1571" max="1795" width="9" style="208"/>
    <col min="1796" max="1796" width="10.5" style="208" bestFit="1" customWidth="1"/>
    <col min="1797" max="1805" width="9" style="208"/>
    <col min="1806" max="1806" width="9.5" style="208" bestFit="1" customWidth="1"/>
    <col min="1807" max="1824" width="9" style="208"/>
    <col min="1825" max="1825" width="15.875" style="208" bestFit="1" customWidth="1"/>
    <col min="1826" max="1826" width="11.375" style="208" bestFit="1" customWidth="1"/>
    <col min="1827" max="2051" width="9" style="208"/>
    <col min="2052" max="2052" width="10.5" style="208" bestFit="1" customWidth="1"/>
    <col min="2053" max="2061" width="9" style="208"/>
    <col min="2062" max="2062" width="9.5" style="208" bestFit="1" customWidth="1"/>
    <col min="2063" max="2080" width="9" style="208"/>
    <col min="2081" max="2081" width="15.875" style="208" bestFit="1" customWidth="1"/>
    <col min="2082" max="2082" width="11.375" style="208" bestFit="1" customWidth="1"/>
    <col min="2083" max="2307" width="9" style="208"/>
    <col min="2308" max="2308" width="10.5" style="208" bestFit="1" customWidth="1"/>
    <col min="2309" max="2317" width="9" style="208"/>
    <col min="2318" max="2318" width="9.5" style="208" bestFit="1" customWidth="1"/>
    <col min="2319" max="2336" width="9" style="208"/>
    <col min="2337" max="2337" width="15.875" style="208" bestFit="1" customWidth="1"/>
    <col min="2338" max="2338" width="11.375" style="208" bestFit="1" customWidth="1"/>
    <col min="2339" max="2563" width="9" style="208"/>
    <col min="2564" max="2564" width="10.5" style="208" bestFit="1" customWidth="1"/>
    <col min="2565" max="2573" width="9" style="208"/>
    <col min="2574" max="2574" width="9.5" style="208" bestFit="1" customWidth="1"/>
    <col min="2575" max="2592" width="9" style="208"/>
    <col min="2593" max="2593" width="15.875" style="208" bestFit="1" customWidth="1"/>
    <col min="2594" max="2594" width="11.375" style="208" bestFit="1" customWidth="1"/>
    <col min="2595" max="2819" width="9" style="208"/>
    <col min="2820" max="2820" width="10.5" style="208" bestFit="1" customWidth="1"/>
    <col min="2821" max="2829" width="9" style="208"/>
    <col min="2830" max="2830" width="9.5" style="208" bestFit="1" customWidth="1"/>
    <col min="2831" max="2848" width="9" style="208"/>
    <col min="2849" max="2849" width="15.875" style="208" bestFit="1" customWidth="1"/>
    <col min="2850" max="2850" width="11.375" style="208" bestFit="1" customWidth="1"/>
    <col min="2851" max="3075" width="9" style="208"/>
    <col min="3076" max="3076" width="10.5" style="208" bestFit="1" customWidth="1"/>
    <col min="3077" max="3085" width="9" style="208"/>
    <col min="3086" max="3086" width="9.5" style="208" bestFit="1" customWidth="1"/>
    <col min="3087" max="3104" width="9" style="208"/>
    <col min="3105" max="3105" width="15.875" style="208" bestFit="1" customWidth="1"/>
    <col min="3106" max="3106" width="11.375" style="208" bestFit="1" customWidth="1"/>
    <col min="3107" max="3331" width="9" style="208"/>
    <col min="3332" max="3332" width="10.5" style="208" bestFit="1" customWidth="1"/>
    <col min="3333" max="3341" width="9" style="208"/>
    <col min="3342" max="3342" width="9.5" style="208" bestFit="1" customWidth="1"/>
    <col min="3343" max="3360" width="9" style="208"/>
    <col min="3361" max="3361" width="15.875" style="208" bestFit="1" customWidth="1"/>
    <col min="3362" max="3362" width="11.375" style="208" bestFit="1" customWidth="1"/>
    <col min="3363" max="3587" width="9" style="208"/>
    <col min="3588" max="3588" width="10.5" style="208" bestFit="1" customWidth="1"/>
    <col min="3589" max="3597" width="9" style="208"/>
    <col min="3598" max="3598" width="9.5" style="208" bestFit="1" customWidth="1"/>
    <col min="3599" max="3616" width="9" style="208"/>
    <col min="3617" max="3617" width="15.875" style="208" bestFit="1" customWidth="1"/>
    <col min="3618" max="3618" width="11.375" style="208" bestFit="1" customWidth="1"/>
    <col min="3619" max="3843" width="9" style="208"/>
    <col min="3844" max="3844" width="10.5" style="208" bestFit="1" customWidth="1"/>
    <col min="3845" max="3853" width="9" style="208"/>
    <col min="3854" max="3854" width="9.5" style="208" bestFit="1" customWidth="1"/>
    <col min="3855" max="3872" width="9" style="208"/>
    <col min="3873" max="3873" width="15.875" style="208" bestFit="1" customWidth="1"/>
    <col min="3874" max="3874" width="11.375" style="208" bestFit="1" customWidth="1"/>
    <col min="3875" max="4099" width="9" style="208"/>
    <col min="4100" max="4100" width="10.5" style="208" bestFit="1" customWidth="1"/>
    <col min="4101" max="4109" width="9" style="208"/>
    <col min="4110" max="4110" width="9.5" style="208" bestFit="1" customWidth="1"/>
    <col min="4111" max="4128" width="9" style="208"/>
    <col min="4129" max="4129" width="15.875" style="208" bestFit="1" customWidth="1"/>
    <col min="4130" max="4130" width="11.375" style="208" bestFit="1" customWidth="1"/>
    <col min="4131" max="4355" width="9" style="208"/>
    <col min="4356" max="4356" width="10.5" style="208" bestFit="1" customWidth="1"/>
    <col min="4357" max="4365" width="9" style="208"/>
    <col min="4366" max="4366" width="9.5" style="208" bestFit="1" customWidth="1"/>
    <col min="4367" max="4384" width="9" style="208"/>
    <col min="4385" max="4385" width="15.875" style="208" bestFit="1" customWidth="1"/>
    <col min="4386" max="4386" width="11.375" style="208" bestFit="1" customWidth="1"/>
    <col min="4387" max="4611" width="9" style="208"/>
    <col min="4612" max="4612" width="10.5" style="208" bestFit="1" customWidth="1"/>
    <col min="4613" max="4621" width="9" style="208"/>
    <col min="4622" max="4622" width="9.5" style="208" bestFit="1" customWidth="1"/>
    <col min="4623" max="4640" width="9" style="208"/>
    <col min="4641" max="4641" width="15.875" style="208" bestFit="1" customWidth="1"/>
    <col min="4642" max="4642" width="11.375" style="208" bestFit="1" customWidth="1"/>
    <col min="4643" max="4867" width="9" style="208"/>
    <col min="4868" max="4868" width="10.5" style="208" bestFit="1" customWidth="1"/>
    <col min="4869" max="4877" width="9" style="208"/>
    <col min="4878" max="4878" width="9.5" style="208" bestFit="1" customWidth="1"/>
    <col min="4879" max="4896" width="9" style="208"/>
    <col min="4897" max="4897" width="15.875" style="208" bestFit="1" customWidth="1"/>
    <col min="4898" max="4898" width="11.375" style="208" bestFit="1" customWidth="1"/>
    <col min="4899" max="5123" width="9" style="208"/>
    <col min="5124" max="5124" width="10.5" style="208" bestFit="1" customWidth="1"/>
    <col min="5125" max="5133" width="9" style="208"/>
    <col min="5134" max="5134" width="9.5" style="208" bestFit="1" customWidth="1"/>
    <col min="5135" max="5152" width="9" style="208"/>
    <col min="5153" max="5153" width="15.875" style="208" bestFit="1" customWidth="1"/>
    <col min="5154" max="5154" width="11.375" style="208" bestFit="1" customWidth="1"/>
    <col min="5155" max="5379" width="9" style="208"/>
    <col min="5380" max="5380" width="10.5" style="208" bestFit="1" customWidth="1"/>
    <col min="5381" max="5389" width="9" style="208"/>
    <col min="5390" max="5390" width="9.5" style="208" bestFit="1" customWidth="1"/>
    <col min="5391" max="5408" width="9" style="208"/>
    <col min="5409" max="5409" width="15.875" style="208" bestFit="1" customWidth="1"/>
    <col min="5410" max="5410" width="11.375" style="208" bestFit="1" customWidth="1"/>
    <col min="5411" max="5635" width="9" style="208"/>
    <col min="5636" max="5636" width="10.5" style="208" bestFit="1" customWidth="1"/>
    <col min="5637" max="5645" width="9" style="208"/>
    <col min="5646" max="5646" width="9.5" style="208" bestFit="1" customWidth="1"/>
    <col min="5647" max="5664" width="9" style="208"/>
    <col min="5665" max="5665" width="15.875" style="208" bestFit="1" customWidth="1"/>
    <col min="5666" max="5666" width="11.375" style="208" bestFit="1" customWidth="1"/>
    <col min="5667" max="5891" width="9" style="208"/>
    <col min="5892" max="5892" width="10.5" style="208" bestFit="1" customWidth="1"/>
    <col min="5893" max="5901" width="9" style="208"/>
    <col min="5902" max="5902" width="9.5" style="208" bestFit="1" customWidth="1"/>
    <col min="5903" max="5920" width="9" style="208"/>
    <col min="5921" max="5921" width="15.875" style="208" bestFit="1" customWidth="1"/>
    <col min="5922" max="5922" width="11.375" style="208" bestFit="1" customWidth="1"/>
    <col min="5923" max="6147" width="9" style="208"/>
    <col min="6148" max="6148" width="10.5" style="208" bestFit="1" customWidth="1"/>
    <col min="6149" max="6157" width="9" style="208"/>
    <col min="6158" max="6158" width="9.5" style="208" bestFit="1" customWidth="1"/>
    <col min="6159" max="6176" width="9" style="208"/>
    <col min="6177" max="6177" width="15.875" style="208" bestFit="1" customWidth="1"/>
    <col min="6178" max="6178" width="11.375" style="208" bestFit="1" customWidth="1"/>
    <col min="6179" max="6403" width="9" style="208"/>
    <col min="6404" max="6404" width="10.5" style="208" bestFit="1" customWidth="1"/>
    <col min="6405" max="6413" width="9" style="208"/>
    <col min="6414" max="6414" width="9.5" style="208" bestFit="1" customWidth="1"/>
    <col min="6415" max="6432" width="9" style="208"/>
    <col min="6433" max="6433" width="15.875" style="208" bestFit="1" customWidth="1"/>
    <col min="6434" max="6434" width="11.375" style="208" bestFit="1" customWidth="1"/>
    <col min="6435" max="6659" width="9" style="208"/>
    <col min="6660" max="6660" width="10.5" style="208" bestFit="1" customWidth="1"/>
    <col min="6661" max="6669" width="9" style="208"/>
    <col min="6670" max="6670" width="9.5" style="208" bestFit="1" customWidth="1"/>
    <col min="6671" max="6688" width="9" style="208"/>
    <col min="6689" max="6689" width="15.875" style="208" bestFit="1" customWidth="1"/>
    <col min="6690" max="6690" width="11.375" style="208" bestFit="1" customWidth="1"/>
    <col min="6691" max="6915" width="9" style="208"/>
    <col min="6916" max="6916" width="10.5" style="208" bestFit="1" customWidth="1"/>
    <col min="6917" max="6925" width="9" style="208"/>
    <col min="6926" max="6926" width="9.5" style="208" bestFit="1" customWidth="1"/>
    <col min="6927" max="6944" width="9" style="208"/>
    <col min="6945" max="6945" width="15.875" style="208" bestFit="1" customWidth="1"/>
    <col min="6946" max="6946" width="11.375" style="208" bestFit="1" customWidth="1"/>
    <col min="6947" max="7171" width="9" style="208"/>
    <col min="7172" max="7172" width="10.5" style="208" bestFit="1" customWidth="1"/>
    <col min="7173" max="7181" width="9" style="208"/>
    <col min="7182" max="7182" width="9.5" style="208" bestFit="1" customWidth="1"/>
    <col min="7183" max="7200" width="9" style="208"/>
    <col min="7201" max="7201" width="15.875" style="208" bestFit="1" customWidth="1"/>
    <col min="7202" max="7202" width="11.375" style="208" bestFit="1" customWidth="1"/>
    <col min="7203" max="7427" width="9" style="208"/>
    <col min="7428" max="7428" width="10.5" style="208" bestFit="1" customWidth="1"/>
    <col min="7429" max="7437" width="9" style="208"/>
    <col min="7438" max="7438" width="9.5" style="208" bestFit="1" customWidth="1"/>
    <col min="7439" max="7456" width="9" style="208"/>
    <col min="7457" max="7457" width="15.875" style="208" bestFit="1" customWidth="1"/>
    <col min="7458" max="7458" width="11.375" style="208" bestFit="1" customWidth="1"/>
    <col min="7459" max="7683" width="9" style="208"/>
    <col min="7684" max="7684" width="10.5" style="208" bestFit="1" customWidth="1"/>
    <col min="7685" max="7693" width="9" style="208"/>
    <col min="7694" max="7694" width="9.5" style="208" bestFit="1" customWidth="1"/>
    <col min="7695" max="7712" width="9" style="208"/>
    <col min="7713" max="7713" width="15.875" style="208" bestFit="1" customWidth="1"/>
    <col min="7714" max="7714" width="11.375" style="208" bestFit="1" customWidth="1"/>
    <col min="7715" max="7939" width="9" style="208"/>
    <col min="7940" max="7940" width="10.5" style="208" bestFit="1" customWidth="1"/>
    <col min="7941" max="7949" width="9" style="208"/>
    <col min="7950" max="7950" width="9.5" style="208" bestFit="1" customWidth="1"/>
    <col min="7951" max="7968" width="9" style="208"/>
    <col min="7969" max="7969" width="15.875" style="208" bestFit="1" customWidth="1"/>
    <col min="7970" max="7970" width="11.375" style="208" bestFit="1" customWidth="1"/>
    <col min="7971" max="8195" width="9" style="208"/>
    <col min="8196" max="8196" width="10.5" style="208" bestFit="1" customWidth="1"/>
    <col min="8197" max="8205" width="9" style="208"/>
    <col min="8206" max="8206" width="9.5" style="208" bestFit="1" customWidth="1"/>
    <col min="8207" max="8224" width="9" style="208"/>
    <col min="8225" max="8225" width="15.875" style="208" bestFit="1" customWidth="1"/>
    <col min="8226" max="8226" width="11.375" style="208" bestFit="1" customWidth="1"/>
    <col min="8227" max="8451" width="9" style="208"/>
    <col min="8452" max="8452" width="10.5" style="208" bestFit="1" customWidth="1"/>
    <col min="8453" max="8461" width="9" style="208"/>
    <col min="8462" max="8462" width="9.5" style="208" bestFit="1" customWidth="1"/>
    <col min="8463" max="8480" width="9" style="208"/>
    <col min="8481" max="8481" width="15.875" style="208" bestFit="1" customWidth="1"/>
    <col min="8482" max="8482" width="11.375" style="208" bestFit="1" customWidth="1"/>
    <col min="8483" max="8707" width="9" style="208"/>
    <col min="8708" max="8708" width="10.5" style="208" bestFit="1" customWidth="1"/>
    <col min="8709" max="8717" width="9" style="208"/>
    <col min="8718" max="8718" width="9.5" style="208" bestFit="1" customWidth="1"/>
    <col min="8719" max="8736" width="9" style="208"/>
    <col min="8737" max="8737" width="15.875" style="208" bestFit="1" customWidth="1"/>
    <col min="8738" max="8738" width="11.375" style="208" bestFit="1" customWidth="1"/>
    <col min="8739" max="8963" width="9" style="208"/>
    <col min="8964" max="8964" width="10.5" style="208" bestFit="1" customWidth="1"/>
    <col min="8965" max="8973" width="9" style="208"/>
    <col min="8974" max="8974" width="9.5" style="208" bestFit="1" customWidth="1"/>
    <col min="8975" max="8992" width="9" style="208"/>
    <col min="8993" max="8993" width="15.875" style="208" bestFit="1" customWidth="1"/>
    <col min="8994" max="8994" width="11.375" style="208" bestFit="1" customWidth="1"/>
    <col min="8995" max="9219" width="9" style="208"/>
    <col min="9220" max="9220" width="10.5" style="208" bestFit="1" customWidth="1"/>
    <col min="9221" max="9229" width="9" style="208"/>
    <col min="9230" max="9230" width="9.5" style="208" bestFit="1" customWidth="1"/>
    <col min="9231" max="9248" width="9" style="208"/>
    <col min="9249" max="9249" width="15.875" style="208" bestFit="1" customWidth="1"/>
    <col min="9250" max="9250" width="11.375" style="208" bestFit="1" customWidth="1"/>
    <col min="9251" max="9475" width="9" style="208"/>
    <col min="9476" max="9476" width="10.5" style="208" bestFit="1" customWidth="1"/>
    <col min="9477" max="9485" width="9" style="208"/>
    <col min="9486" max="9486" width="9.5" style="208" bestFit="1" customWidth="1"/>
    <col min="9487" max="9504" width="9" style="208"/>
    <col min="9505" max="9505" width="15.875" style="208" bestFit="1" customWidth="1"/>
    <col min="9506" max="9506" width="11.375" style="208" bestFit="1" customWidth="1"/>
    <col min="9507" max="9731" width="9" style="208"/>
    <col min="9732" max="9732" width="10.5" style="208" bestFit="1" customWidth="1"/>
    <col min="9733" max="9741" width="9" style="208"/>
    <col min="9742" max="9742" width="9.5" style="208" bestFit="1" customWidth="1"/>
    <col min="9743" max="9760" width="9" style="208"/>
    <col min="9761" max="9761" width="15.875" style="208" bestFit="1" customWidth="1"/>
    <col min="9762" max="9762" width="11.375" style="208" bestFit="1" customWidth="1"/>
    <col min="9763" max="9987" width="9" style="208"/>
    <col min="9988" max="9988" width="10.5" style="208" bestFit="1" customWidth="1"/>
    <col min="9989" max="9997" width="9" style="208"/>
    <col min="9998" max="9998" width="9.5" style="208" bestFit="1" customWidth="1"/>
    <col min="9999" max="10016" width="9" style="208"/>
    <col min="10017" max="10017" width="15.875" style="208" bestFit="1" customWidth="1"/>
    <col min="10018" max="10018" width="11.375" style="208" bestFit="1" customWidth="1"/>
    <col min="10019" max="10243" width="9" style="208"/>
    <col min="10244" max="10244" width="10.5" style="208" bestFit="1" customWidth="1"/>
    <col min="10245" max="10253" width="9" style="208"/>
    <col min="10254" max="10254" width="9.5" style="208" bestFit="1" customWidth="1"/>
    <col min="10255" max="10272" width="9" style="208"/>
    <col min="10273" max="10273" width="15.875" style="208" bestFit="1" customWidth="1"/>
    <col min="10274" max="10274" width="11.375" style="208" bestFit="1" customWidth="1"/>
    <col min="10275" max="10499" width="9" style="208"/>
    <col min="10500" max="10500" width="10.5" style="208" bestFit="1" customWidth="1"/>
    <col min="10501" max="10509" width="9" style="208"/>
    <col min="10510" max="10510" width="9.5" style="208" bestFit="1" customWidth="1"/>
    <col min="10511" max="10528" width="9" style="208"/>
    <col min="10529" max="10529" width="15.875" style="208" bestFit="1" customWidth="1"/>
    <col min="10530" max="10530" width="11.375" style="208" bestFit="1" customWidth="1"/>
    <col min="10531" max="10755" width="9" style="208"/>
    <col min="10756" max="10756" width="10.5" style="208" bestFit="1" customWidth="1"/>
    <col min="10757" max="10765" width="9" style="208"/>
    <col min="10766" max="10766" width="9.5" style="208" bestFit="1" customWidth="1"/>
    <col min="10767" max="10784" width="9" style="208"/>
    <col min="10785" max="10785" width="15.875" style="208" bestFit="1" customWidth="1"/>
    <col min="10786" max="10786" width="11.375" style="208" bestFit="1" customWidth="1"/>
    <col min="10787" max="11011" width="9" style="208"/>
    <col min="11012" max="11012" width="10.5" style="208" bestFit="1" customWidth="1"/>
    <col min="11013" max="11021" width="9" style="208"/>
    <col min="11022" max="11022" width="9.5" style="208" bestFit="1" customWidth="1"/>
    <col min="11023" max="11040" width="9" style="208"/>
    <col min="11041" max="11041" width="15.875" style="208" bestFit="1" customWidth="1"/>
    <col min="11042" max="11042" width="11.375" style="208" bestFit="1" customWidth="1"/>
    <col min="11043" max="11267" width="9" style="208"/>
    <col min="11268" max="11268" width="10.5" style="208" bestFit="1" customWidth="1"/>
    <col min="11269" max="11277" width="9" style="208"/>
    <col min="11278" max="11278" width="9.5" style="208" bestFit="1" customWidth="1"/>
    <col min="11279" max="11296" width="9" style="208"/>
    <col min="11297" max="11297" width="15.875" style="208" bestFit="1" customWidth="1"/>
    <col min="11298" max="11298" width="11.375" style="208" bestFit="1" customWidth="1"/>
    <col min="11299" max="11523" width="9" style="208"/>
    <col min="11524" max="11524" width="10.5" style="208" bestFit="1" customWidth="1"/>
    <col min="11525" max="11533" width="9" style="208"/>
    <col min="11534" max="11534" width="9.5" style="208" bestFit="1" customWidth="1"/>
    <col min="11535" max="11552" width="9" style="208"/>
    <col min="11553" max="11553" width="15.875" style="208" bestFit="1" customWidth="1"/>
    <col min="11554" max="11554" width="11.375" style="208" bestFit="1" customWidth="1"/>
    <col min="11555" max="11779" width="9" style="208"/>
    <col min="11780" max="11780" width="10.5" style="208" bestFit="1" customWidth="1"/>
    <col min="11781" max="11789" width="9" style="208"/>
    <col min="11790" max="11790" width="9.5" style="208" bestFit="1" customWidth="1"/>
    <col min="11791" max="11808" width="9" style="208"/>
    <col min="11809" max="11809" width="15.875" style="208" bestFit="1" customWidth="1"/>
    <col min="11810" max="11810" width="11.375" style="208" bestFit="1" customWidth="1"/>
    <col min="11811" max="12035" width="9" style="208"/>
    <col min="12036" max="12036" width="10.5" style="208" bestFit="1" customWidth="1"/>
    <col min="12037" max="12045" width="9" style="208"/>
    <col min="12046" max="12046" width="9.5" style="208" bestFit="1" customWidth="1"/>
    <col min="12047" max="12064" width="9" style="208"/>
    <col min="12065" max="12065" width="15.875" style="208" bestFit="1" customWidth="1"/>
    <col min="12066" max="12066" width="11.375" style="208" bestFit="1" customWidth="1"/>
    <col min="12067" max="12291" width="9" style="208"/>
    <col min="12292" max="12292" width="10.5" style="208" bestFit="1" customWidth="1"/>
    <col min="12293" max="12301" width="9" style="208"/>
    <col min="12302" max="12302" width="9.5" style="208" bestFit="1" customWidth="1"/>
    <col min="12303" max="12320" width="9" style="208"/>
    <col min="12321" max="12321" width="15.875" style="208" bestFit="1" customWidth="1"/>
    <col min="12322" max="12322" width="11.375" style="208" bestFit="1" customWidth="1"/>
    <col min="12323" max="12547" width="9" style="208"/>
    <col min="12548" max="12548" width="10.5" style="208" bestFit="1" customWidth="1"/>
    <col min="12549" max="12557" width="9" style="208"/>
    <col min="12558" max="12558" width="9.5" style="208" bestFit="1" customWidth="1"/>
    <col min="12559" max="12576" width="9" style="208"/>
    <col min="12577" max="12577" width="15.875" style="208" bestFit="1" customWidth="1"/>
    <col min="12578" max="12578" width="11.375" style="208" bestFit="1" customWidth="1"/>
    <col min="12579" max="12803" width="9" style="208"/>
    <col min="12804" max="12804" width="10.5" style="208" bestFit="1" customWidth="1"/>
    <col min="12805" max="12813" width="9" style="208"/>
    <col min="12814" max="12814" width="9.5" style="208" bestFit="1" customWidth="1"/>
    <col min="12815" max="12832" width="9" style="208"/>
    <col min="12833" max="12833" width="15.875" style="208" bestFit="1" customWidth="1"/>
    <col min="12834" max="12834" width="11.375" style="208" bestFit="1" customWidth="1"/>
    <col min="12835" max="13059" width="9" style="208"/>
    <col min="13060" max="13060" width="10.5" style="208" bestFit="1" customWidth="1"/>
    <col min="13061" max="13069" width="9" style="208"/>
    <col min="13070" max="13070" width="9.5" style="208" bestFit="1" customWidth="1"/>
    <col min="13071" max="13088" width="9" style="208"/>
    <col min="13089" max="13089" width="15.875" style="208" bestFit="1" customWidth="1"/>
    <col min="13090" max="13090" width="11.375" style="208" bestFit="1" customWidth="1"/>
    <col min="13091" max="13315" width="9" style="208"/>
    <col min="13316" max="13316" width="10.5" style="208" bestFit="1" customWidth="1"/>
    <col min="13317" max="13325" width="9" style="208"/>
    <col min="13326" max="13326" width="9.5" style="208" bestFit="1" customWidth="1"/>
    <col min="13327" max="13344" width="9" style="208"/>
    <col min="13345" max="13345" width="15.875" style="208" bestFit="1" customWidth="1"/>
    <col min="13346" max="13346" width="11.375" style="208" bestFit="1" customWidth="1"/>
    <col min="13347" max="13571" width="9" style="208"/>
    <col min="13572" max="13572" width="10.5" style="208" bestFit="1" customWidth="1"/>
    <col min="13573" max="13581" width="9" style="208"/>
    <col min="13582" max="13582" width="9.5" style="208" bestFit="1" customWidth="1"/>
    <col min="13583" max="13600" width="9" style="208"/>
    <col min="13601" max="13601" width="15.875" style="208" bestFit="1" customWidth="1"/>
    <col min="13602" max="13602" width="11.375" style="208" bestFit="1" customWidth="1"/>
    <col min="13603" max="13827" width="9" style="208"/>
    <col min="13828" max="13828" width="10.5" style="208" bestFit="1" customWidth="1"/>
    <col min="13829" max="13837" width="9" style="208"/>
    <col min="13838" max="13838" width="9.5" style="208" bestFit="1" customWidth="1"/>
    <col min="13839" max="13856" width="9" style="208"/>
    <col min="13857" max="13857" width="15.875" style="208" bestFit="1" customWidth="1"/>
    <col min="13858" max="13858" width="11.375" style="208" bestFit="1" customWidth="1"/>
    <col min="13859" max="14083" width="9" style="208"/>
    <col min="14084" max="14084" width="10.5" style="208" bestFit="1" customWidth="1"/>
    <col min="14085" max="14093" width="9" style="208"/>
    <col min="14094" max="14094" width="9.5" style="208" bestFit="1" customWidth="1"/>
    <col min="14095" max="14112" width="9" style="208"/>
    <col min="14113" max="14113" width="15.875" style="208" bestFit="1" customWidth="1"/>
    <col min="14114" max="14114" width="11.375" style="208" bestFit="1" customWidth="1"/>
    <col min="14115" max="14339" width="9" style="208"/>
    <col min="14340" max="14340" width="10.5" style="208" bestFit="1" customWidth="1"/>
    <col min="14341" max="14349" width="9" style="208"/>
    <col min="14350" max="14350" width="9.5" style="208" bestFit="1" customWidth="1"/>
    <col min="14351" max="14368" width="9" style="208"/>
    <col min="14369" max="14369" width="15.875" style="208" bestFit="1" customWidth="1"/>
    <col min="14370" max="14370" width="11.375" style="208" bestFit="1" customWidth="1"/>
    <col min="14371" max="14595" width="9" style="208"/>
    <col min="14596" max="14596" width="10.5" style="208" bestFit="1" customWidth="1"/>
    <col min="14597" max="14605" width="9" style="208"/>
    <col min="14606" max="14606" width="9.5" style="208" bestFit="1" customWidth="1"/>
    <col min="14607" max="14624" width="9" style="208"/>
    <col min="14625" max="14625" width="15.875" style="208" bestFit="1" customWidth="1"/>
    <col min="14626" max="14626" width="11.375" style="208" bestFit="1" customWidth="1"/>
    <col min="14627" max="14851" width="9" style="208"/>
    <col min="14852" max="14852" width="10.5" style="208" bestFit="1" customWidth="1"/>
    <col min="14853" max="14861" width="9" style="208"/>
    <col min="14862" max="14862" width="9.5" style="208" bestFit="1" customWidth="1"/>
    <col min="14863" max="14880" width="9" style="208"/>
    <col min="14881" max="14881" width="15.875" style="208" bestFit="1" customWidth="1"/>
    <col min="14882" max="14882" width="11.375" style="208" bestFit="1" customWidth="1"/>
    <col min="14883" max="15107" width="9" style="208"/>
    <col min="15108" max="15108" width="10.5" style="208" bestFit="1" customWidth="1"/>
    <col min="15109" max="15117" width="9" style="208"/>
    <col min="15118" max="15118" width="9.5" style="208" bestFit="1" customWidth="1"/>
    <col min="15119" max="15136" width="9" style="208"/>
    <col min="15137" max="15137" width="15.875" style="208" bestFit="1" customWidth="1"/>
    <col min="15138" max="15138" width="11.375" style="208" bestFit="1" customWidth="1"/>
    <col min="15139" max="15363" width="9" style="208"/>
    <col min="15364" max="15364" width="10.5" style="208" bestFit="1" customWidth="1"/>
    <col min="15365" max="15373" width="9" style="208"/>
    <col min="15374" max="15374" width="9.5" style="208" bestFit="1" customWidth="1"/>
    <col min="15375" max="15392" width="9" style="208"/>
    <col min="15393" max="15393" width="15.875" style="208" bestFit="1" customWidth="1"/>
    <col min="15394" max="15394" width="11.375" style="208" bestFit="1" customWidth="1"/>
    <col min="15395" max="15619" width="9" style="208"/>
    <col min="15620" max="15620" width="10.5" style="208" bestFit="1" customWidth="1"/>
    <col min="15621" max="15629" width="9" style="208"/>
    <col min="15630" max="15630" width="9.5" style="208" bestFit="1" customWidth="1"/>
    <col min="15631" max="15648" width="9" style="208"/>
    <col min="15649" max="15649" width="15.875" style="208" bestFit="1" customWidth="1"/>
    <col min="15650" max="15650" width="11.375" style="208" bestFit="1" customWidth="1"/>
    <col min="15651" max="15875" width="9" style="208"/>
    <col min="15876" max="15876" width="10.5" style="208" bestFit="1" customWidth="1"/>
    <col min="15877" max="15885" width="9" style="208"/>
    <col min="15886" max="15886" width="9.5" style="208" bestFit="1" customWidth="1"/>
    <col min="15887" max="15904" width="9" style="208"/>
    <col min="15905" max="15905" width="15.875" style="208" bestFit="1" customWidth="1"/>
    <col min="15906" max="15906" width="11.375" style="208" bestFit="1" customWidth="1"/>
    <col min="15907" max="16131" width="9" style="208"/>
    <col min="16132" max="16132" width="10.5" style="208" bestFit="1" customWidth="1"/>
    <col min="16133" max="16141" width="9" style="208"/>
    <col min="16142" max="16142" width="9.5" style="208" bestFit="1" customWidth="1"/>
    <col min="16143" max="16160" width="9" style="208"/>
    <col min="16161" max="16161" width="15.875" style="208" bestFit="1" customWidth="1"/>
    <col min="16162" max="16162" width="11.375" style="208" bestFit="1" customWidth="1"/>
    <col min="16163" max="16384" width="9" style="208"/>
  </cols>
  <sheetData>
    <row r="1" spans="1:53" ht="45" x14ac:dyDescent="0.15">
      <c r="A1" s="83" t="s">
        <v>0</v>
      </c>
      <c r="B1" s="202" t="s">
        <v>1</v>
      </c>
      <c r="C1" s="202" t="s">
        <v>285</v>
      </c>
      <c r="D1" s="203" t="s">
        <v>3</v>
      </c>
      <c r="E1" s="84" t="s">
        <v>4</v>
      </c>
      <c r="F1" s="84" t="s">
        <v>5</v>
      </c>
      <c r="G1" s="84" t="s">
        <v>6</v>
      </c>
      <c r="H1" s="84" t="s">
        <v>7</v>
      </c>
      <c r="I1" s="84" t="s">
        <v>8</v>
      </c>
      <c r="J1" s="84" t="s">
        <v>9</v>
      </c>
      <c r="K1" s="84" t="s">
        <v>10</v>
      </c>
      <c r="L1" s="203" t="s">
        <v>159</v>
      </c>
      <c r="M1" s="203" t="s">
        <v>12</v>
      </c>
      <c r="N1" s="203" t="s">
        <v>13</v>
      </c>
      <c r="O1" s="203" t="s">
        <v>270</v>
      </c>
      <c r="P1" s="203" t="s">
        <v>15</v>
      </c>
      <c r="Q1" s="204" t="s">
        <v>16</v>
      </c>
      <c r="R1" s="203" t="s">
        <v>354</v>
      </c>
      <c r="S1" s="203" t="s">
        <v>286</v>
      </c>
      <c r="T1" s="204" t="s">
        <v>19</v>
      </c>
      <c r="U1" s="205" t="s">
        <v>108</v>
      </c>
      <c r="V1" s="206" t="s">
        <v>20</v>
      </c>
      <c r="W1" s="203" t="s">
        <v>21</v>
      </c>
      <c r="X1" s="84" t="s">
        <v>22</v>
      </c>
      <c r="Y1" s="84" t="s">
        <v>23</v>
      </c>
      <c r="Z1" s="84" t="s">
        <v>24</v>
      </c>
      <c r="AA1" s="85" t="s">
        <v>25</v>
      </c>
      <c r="AB1" s="207" t="s">
        <v>160</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161</v>
      </c>
      <c r="AY1" s="214" t="s">
        <v>162</v>
      </c>
      <c r="AZ1" s="214" t="s">
        <v>163</v>
      </c>
      <c r="BA1" s="215" t="s">
        <v>173</v>
      </c>
    </row>
    <row r="2" spans="1:53" s="216" customFormat="1" x14ac:dyDescent="0.15">
      <c r="A2" s="55" t="s">
        <v>56</v>
      </c>
      <c r="B2" s="55" t="s">
        <v>349</v>
      </c>
      <c r="C2" s="216">
        <v>2018</v>
      </c>
      <c r="D2" s="86" t="s">
        <v>361</v>
      </c>
      <c r="E2" s="216" t="s">
        <v>362</v>
      </c>
      <c r="F2" s="216" t="s">
        <v>174</v>
      </c>
      <c r="G2" s="55" t="s">
        <v>42</v>
      </c>
      <c r="H2" s="216" t="s">
        <v>157</v>
      </c>
      <c r="I2" s="55" t="s">
        <v>155</v>
      </c>
      <c r="J2" s="216" t="s">
        <v>38</v>
      </c>
      <c r="K2" s="216" t="s">
        <v>156</v>
      </c>
      <c r="L2" s="216">
        <v>1</v>
      </c>
      <c r="N2" s="208">
        <v>1</v>
      </c>
      <c r="O2" s="216">
        <v>0.55000000000000004</v>
      </c>
      <c r="P2" s="208">
        <v>0.65</v>
      </c>
      <c r="Q2" s="245">
        <f>IF(OR(O2="",P2=""),"",AVERAGE(O2,P2))</f>
        <v>0.60000000000000009</v>
      </c>
      <c r="R2" s="216">
        <v>15.1</v>
      </c>
      <c r="S2" s="216">
        <v>138</v>
      </c>
      <c r="T2" s="217">
        <f>IF(H2="","",IF(OR(H2="GREEN",H2="GK"),IF(S2&gt;=$AX$2,VLOOKUP(S2,$AX$2:$AY$10,2,1),""),IF(S2&gt;=$AZ$2,VLOOKUP(S2,$AZ$2:$BA$10,2,1),"")))</f>
        <v>22</v>
      </c>
      <c r="U2" s="216">
        <v>138</v>
      </c>
      <c r="V2" s="217">
        <f>IF(OR(N2="",U2="",T2=""),"",U2/N2*T2)</f>
        <v>3036</v>
      </c>
      <c r="W2" s="216">
        <v>1</v>
      </c>
      <c r="X2" s="55" t="s">
        <v>46</v>
      </c>
      <c r="Y2" s="55" t="s">
        <v>88</v>
      </c>
      <c r="Z2" s="216" t="s">
        <v>78</v>
      </c>
      <c r="AA2" s="55" t="s">
        <v>69</v>
      </c>
      <c r="AB2" s="216" t="s">
        <v>350</v>
      </c>
      <c r="AE2" s="218" t="s">
        <v>35</v>
      </c>
      <c r="AG2" s="231" t="s">
        <v>175</v>
      </c>
      <c r="AH2" s="87" t="s">
        <v>174</v>
      </c>
      <c r="AJ2" s="219" t="s">
        <v>36</v>
      </c>
      <c r="AL2" s="219" t="s">
        <v>127</v>
      </c>
      <c r="AN2" s="219" t="s">
        <v>37</v>
      </c>
      <c r="AP2" s="219" t="s">
        <v>38</v>
      </c>
      <c r="AR2" s="219" t="s">
        <v>120</v>
      </c>
      <c r="AT2" s="219" t="s">
        <v>39</v>
      </c>
      <c r="AV2" s="219" t="s">
        <v>40</v>
      </c>
      <c r="AX2" s="220">
        <v>1</v>
      </c>
      <c r="AY2" s="221">
        <v>50</v>
      </c>
      <c r="AZ2" s="221">
        <v>1</v>
      </c>
      <c r="BA2" s="222">
        <v>50</v>
      </c>
    </row>
    <row r="3" spans="1:53" x14ac:dyDescent="0.15">
      <c r="A3" s="55" t="s">
        <v>56</v>
      </c>
      <c r="B3" s="55" t="s">
        <v>349</v>
      </c>
      <c r="C3" s="216">
        <v>2018</v>
      </c>
      <c r="D3" s="86" t="s">
        <v>361</v>
      </c>
      <c r="E3" s="216" t="s">
        <v>362</v>
      </c>
      <c r="F3" s="216" t="s">
        <v>174</v>
      </c>
      <c r="G3" s="55" t="s">
        <v>42</v>
      </c>
      <c r="H3" s="216" t="s">
        <v>157</v>
      </c>
      <c r="I3" s="55" t="s">
        <v>155</v>
      </c>
      <c r="J3" s="216" t="s">
        <v>38</v>
      </c>
      <c r="K3" s="216" t="s">
        <v>156</v>
      </c>
      <c r="L3" s="208">
        <v>2</v>
      </c>
      <c r="N3" s="208">
        <v>1</v>
      </c>
      <c r="O3" s="208">
        <v>0.6</v>
      </c>
      <c r="P3" s="208">
        <v>0.6</v>
      </c>
      <c r="Q3" s="245">
        <f>IF(OR(O3="",P3=""),"",AVERAGE(O3,P3))</f>
        <v>0.6</v>
      </c>
      <c r="R3" s="208">
        <v>16.2</v>
      </c>
      <c r="S3" s="208">
        <v>138</v>
      </c>
      <c r="T3" s="217">
        <f>IF(H3="","",IF(OR(H3="GREEN",H3="GK"),IF(S3&gt;=$AX$2,VLOOKUP(S3,$AX$2:$AY$10,2,1),""),IF(S3&gt;=$AZ$2,VLOOKUP(S3,$AZ$2:$BA$10,2,1),"")))</f>
        <v>22</v>
      </c>
      <c r="U3" s="208">
        <v>138</v>
      </c>
      <c r="V3" s="217">
        <f>IF(OR(N3="",U3="",T3=""),"",U3/N3*T3)</f>
        <v>3036</v>
      </c>
      <c r="W3" s="208">
        <v>1</v>
      </c>
      <c r="X3" s="55" t="s">
        <v>46</v>
      </c>
      <c r="Y3" s="55" t="s">
        <v>88</v>
      </c>
      <c r="Z3" s="216" t="s">
        <v>78</v>
      </c>
      <c r="AA3" s="55" t="s">
        <v>69</v>
      </c>
      <c r="AB3" s="216" t="s">
        <v>350</v>
      </c>
      <c r="AE3" s="223" t="s">
        <v>41</v>
      </c>
      <c r="AG3" s="231" t="s">
        <v>175</v>
      </c>
      <c r="AH3" s="87" t="s">
        <v>176</v>
      </c>
      <c r="AJ3" s="224" t="s">
        <v>42</v>
      </c>
      <c r="AL3" s="224" t="s">
        <v>128</v>
      </c>
      <c r="AN3" s="224" t="s">
        <v>43</v>
      </c>
      <c r="AP3" s="224" t="s">
        <v>44</v>
      </c>
      <c r="AR3" s="238" t="s">
        <v>45</v>
      </c>
      <c r="AT3" s="224" t="s">
        <v>46</v>
      </c>
      <c r="AV3" s="224" t="s">
        <v>47</v>
      </c>
      <c r="AX3" s="225">
        <v>72</v>
      </c>
      <c r="AY3" s="226">
        <v>46</v>
      </c>
      <c r="AZ3" s="226">
        <v>71</v>
      </c>
      <c r="BA3" s="227">
        <v>42</v>
      </c>
    </row>
    <row r="4" spans="1:53" x14ac:dyDescent="0.15">
      <c r="A4" s="55" t="s">
        <v>56</v>
      </c>
      <c r="B4" s="55" t="s">
        <v>349</v>
      </c>
      <c r="C4" s="216">
        <v>2018</v>
      </c>
      <c r="D4" s="86" t="s">
        <v>361</v>
      </c>
      <c r="E4" s="216" t="s">
        <v>362</v>
      </c>
      <c r="F4" s="216" t="s">
        <v>174</v>
      </c>
      <c r="G4" s="55" t="s">
        <v>42</v>
      </c>
      <c r="H4" s="216" t="s">
        <v>157</v>
      </c>
      <c r="I4" s="55" t="s">
        <v>155</v>
      </c>
      <c r="J4" s="216" t="s">
        <v>38</v>
      </c>
      <c r="K4" s="216" t="s">
        <v>156</v>
      </c>
      <c r="L4" s="208">
        <v>3</v>
      </c>
      <c r="N4" s="208">
        <v>1</v>
      </c>
      <c r="O4" s="208">
        <v>0.65</v>
      </c>
      <c r="P4" s="208">
        <v>0.6</v>
      </c>
      <c r="Q4" s="245">
        <f>IF(OR(O4="",P4=""),"",AVERAGE(O4,P4))</f>
        <v>0.625</v>
      </c>
      <c r="R4" s="208">
        <v>12.9</v>
      </c>
      <c r="S4" s="208">
        <v>147</v>
      </c>
      <c r="T4" s="217">
        <f>IF(H4="","",IF(OR(H4="GREEN",H4="GK"),IF(S4&gt;=$AX$2,VLOOKUP(S4,$AX$2:$AY$10,2,1),""),IF(S4&gt;=$AZ$2,VLOOKUP(S4,$AZ$2:$BA$10,2,1),"")))</f>
        <v>22</v>
      </c>
      <c r="U4" s="208">
        <v>138</v>
      </c>
      <c r="V4" s="217">
        <f>IF(OR(N4="",U4="",T4=""),"",U4/N4*T4)</f>
        <v>3036</v>
      </c>
      <c r="W4" s="208">
        <v>1</v>
      </c>
      <c r="X4" s="55" t="s">
        <v>46</v>
      </c>
      <c r="Y4" s="55" t="s">
        <v>88</v>
      </c>
      <c r="Z4" s="216" t="s">
        <v>78</v>
      </c>
      <c r="AA4" s="55" t="s">
        <v>69</v>
      </c>
      <c r="AB4" s="216" t="s">
        <v>350</v>
      </c>
      <c r="AE4" s="223" t="s">
        <v>34</v>
      </c>
      <c r="AG4" s="231" t="s">
        <v>363</v>
      </c>
      <c r="AH4" s="87" t="s">
        <v>364</v>
      </c>
      <c r="AJ4" s="228" t="s">
        <v>48</v>
      </c>
      <c r="AL4" s="228" t="s">
        <v>177</v>
      </c>
      <c r="AN4" s="229" t="s">
        <v>49</v>
      </c>
      <c r="AP4" s="224" t="s">
        <v>178</v>
      </c>
      <c r="AR4" s="238" t="s">
        <v>179</v>
      </c>
      <c r="AT4" s="229"/>
      <c r="AV4" s="224" t="s">
        <v>50</v>
      </c>
      <c r="AX4" s="225">
        <v>75</v>
      </c>
      <c r="AY4" s="226">
        <v>42</v>
      </c>
      <c r="AZ4" s="226">
        <v>76</v>
      </c>
      <c r="BA4" s="227">
        <v>39</v>
      </c>
    </row>
    <row r="5" spans="1:53" x14ac:dyDescent="0.15">
      <c r="A5" s="55" t="s">
        <v>56</v>
      </c>
      <c r="B5" s="55" t="s">
        <v>349</v>
      </c>
      <c r="C5" s="216">
        <v>2018</v>
      </c>
      <c r="D5" s="86" t="s">
        <v>361</v>
      </c>
      <c r="E5" s="216" t="s">
        <v>362</v>
      </c>
      <c r="F5" s="216" t="s">
        <v>174</v>
      </c>
      <c r="G5" s="55" t="s">
        <v>42</v>
      </c>
      <c r="H5" s="216" t="s">
        <v>164</v>
      </c>
      <c r="I5" s="55" t="s">
        <v>155</v>
      </c>
      <c r="J5" s="216" t="s">
        <v>38</v>
      </c>
      <c r="K5" s="216" t="s">
        <v>156</v>
      </c>
      <c r="L5" s="208">
        <v>1</v>
      </c>
      <c r="N5" s="208">
        <v>1</v>
      </c>
      <c r="O5" s="208">
        <v>0.55000000000000004</v>
      </c>
      <c r="P5" s="208">
        <v>0.6</v>
      </c>
      <c r="Q5" s="245">
        <f t="shared" ref="Q5:Q64" si="0">IF(OR(O5="",P5=""),"",AVERAGE(O5,P5))</f>
        <v>0.57499999999999996</v>
      </c>
      <c r="R5" s="208">
        <v>14.2</v>
      </c>
      <c r="S5" s="208">
        <v>136</v>
      </c>
      <c r="T5" s="217">
        <f t="shared" ref="T5:T64" si="1">IF(H5="","",IF(OR(H5="GREEN",H5="GK"),IF(S5&gt;=$AX$2,VLOOKUP(S5,$AX$2:$AY$10,2,1),""),IF(S5&gt;=$AZ$2,VLOOKUP(S5,$AZ$2:$BA$10,2,1),"")))</f>
        <v>25</v>
      </c>
      <c r="U5" s="208">
        <v>138</v>
      </c>
      <c r="V5" s="217">
        <f t="shared" ref="V5:V64" si="2">IF(OR(N5="",U5="",T5=""),"",U5/N5*T5)</f>
        <v>3450</v>
      </c>
      <c r="W5" s="208">
        <v>3</v>
      </c>
      <c r="X5" s="55" t="s">
        <v>46</v>
      </c>
      <c r="Y5" s="55" t="s">
        <v>88</v>
      </c>
      <c r="Z5" s="216" t="s">
        <v>78</v>
      </c>
      <c r="AA5" s="55" t="s">
        <v>69</v>
      </c>
      <c r="AB5" s="216" t="s">
        <v>350</v>
      </c>
      <c r="AE5" s="223" t="s">
        <v>51</v>
      </c>
      <c r="AG5" s="231" t="s">
        <v>180</v>
      </c>
      <c r="AH5" s="87" t="s">
        <v>365</v>
      </c>
      <c r="AJ5" s="229"/>
      <c r="AL5" s="230" t="s">
        <v>166</v>
      </c>
      <c r="AN5" s="230" t="s">
        <v>167</v>
      </c>
      <c r="AP5" s="224" t="s">
        <v>181</v>
      </c>
      <c r="AR5" s="238" t="s">
        <v>54</v>
      </c>
      <c r="AV5" s="224" t="s">
        <v>55</v>
      </c>
      <c r="AX5" s="225">
        <v>84</v>
      </c>
      <c r="AY5" s="226">
        <v>39</v>
      </c>
      <c r="AZ5" s="226">
        <v>84</v>
      </c>
      <c r="BA5" s="227">
        <v>36</v>
      </c>
    </row>
    <row r="6" spans="1:53" x14ac:dyDescent="0.15">
      <c r="A6" s="55" t="s">
        <v>56</v>
      </c>
      <c r="B6" s="55" t="s">
        <v>349</v>
      </c>
      <c r="C6" s="216">
        <v>2018</v>
      </c>
      <c r="D6" s="86" t="s">
        <v>361</v>
      </c>
      <c r="E6" s="216" t="s">
        <v>362</v>
      </c>
      <c r="F6" s="216" t="s">
        <v>174</v>
      </c>
      <c r="G6" s="55" t="s">
        <v>42</v>
      </c>
      <c r="H6" s="216" t="s">
        <v>164</v>
      </c>
      <c r="I6" s="55" t="s">
        <v>155</v>
      </c>
      <c r="J6" s="216" t="s">
        <v>38</v>
      </c>
      <c r="K6" s="216" t="s">
        <v>156</v>
      </c>
      <c r="L6" s="208">
        <v>2</v>
      </c>
      <c r="N6" s="208">
        <v>1</v>
      </c>
      <c r="O6" s="208">
        <v>0.55000000000000004</v>
      </c>
      <c r="P6" s="208">
        <v>0.55000000000000004</v>
      </c>
      <c r="Q6" s="245">
        <f t="shared" si="0"/>
        <v>0.55000000000000004</v>
      </c>
      <c r="R6" s="208">
        <v>15.5</v>
      </c>
      <c r="S6" s="208">
        <v>139</v>
      </c>
      <c r="T6" s="217">
        <f t="shared" si="1"/>
        <v>22</v>
      </c>
      <c r="U6" s="208">
        <v>138</v>
      </c>
      <c r="V6" s="217">
        <f t="shared" si="2"/>
        <v>3036</v>
      </c>
      <c r="W6" s="208">
        <v>3</v>
      </c>
      <c r="X6" s="55" t="s">
        <v>46</v>
      </c>
      <c r="Y6" s="55" t="s">
        <v>88</v>
      </c>
      <c r="Z6" s="216" t="s">
        <v>78</v>
      </c>
      <c r="AA6" s="55" t="s">
        <v>69</v>
      </c>
      <c r="AB6" s="216" t="s">
        <v>350</v>
      </c>
      <c r="AE6" s="223" t="s">
        <v>56</v>
      </c>
      <c r="AG6" s="231" t="s">
        <v>366</v>
      </c>
      <c r="AH6" s="87" t="s">
        <v>365</v>
      </c>
      <c r="AL6" s="230" t="s">
        <v>168</v>
      </c>
      <c r="AN6" s="230" t="s">
        <v>169</v>
      </c>
      <c r="AP6" s="224" t="s">
        <v>53</v>
      </c>
      <c r="AR6" s="238" t="s">
        <v>59</v>
      </c>
      <c r="AV6" s="224" t="s">
        <v>60</v>
      </c>
      <c r="AX6" s="225">
        <v>97</v>
      </c>
      <c r="AY6" s="226">
        <v>36</v>
      </c>
      <c r="AZ6" s="226">
        <v>99</v>
      </c>
      <c r="BA6" s="227">
        <v>33</v>
      </c>
    </row>
    <row r="7" spans="1:53" x14ac:dyDescent="0.15">
      <c r="A7" s="55" t="s">
        <v>56</v>
      </c>
      <c r="B7" s="55" t="s">
        <v>349</v>
      </c>
      <c r="C7" s="216">
        <v>2018</v>
      </c>
      <c r="D7" s="86" t="s">
        <v>361</v>
      </c>
      <c r="E7" s="216" t="s">
        <v>362</v>
      </c>
      <c r="F7" s="216" t="s">
        <v>174</v>
      </c>
      <c r="G7" s="55" t="s">
        <v>42</v>
      </c>
      <c r="H7" s="216" t="s">
        <v>164</v>
      </c>
      <c r="I7" s="55" t="s">
        <v>155</v>
      </c>
      <c r="J7" s="216" t="s">
        <v>38</v>
      </c>
      <c r="K7" s="216" t="s">
        <v>156</v>
      </c>
      <c r="L7" s="208">
        <v>3</v>
      </c>
      <c r="N7" s="208">
        <v>1</v>
      </c>
      <c r="O7" s="208">
        <v>0.6</v>
      </c>
      <c r="P7" s="208">
        <v>0.55000000000000004</v>
      </c>
      <c r="Q7" s="245">
        <f t="shared" si="0"/>
        <v>0.57499999999999996</v>
      </c>
      <c r="R7" s="208">
        <v>15.2</v>
      </c>
      <c r="S7" s="208">
        <v>136</v>
      </c>
      <c r="T7" s="217">
        <f t="shared" si="1"/>
        <v>25</v>
      </c>
      <c r="U7" s="208">
        <v>138</v>
      </c>
      <c r="V7" s="217">
        <f t="shared" si="2"/>
        <v>3450</v>
      </c>
      <c r="W7" s="208">
        <v>3</v>
      </c>
      <c r="X7" s="55" t="s">
        <v>46</v>
      </c>
      <c r="Y7" s="55" t="s">
        <v>88</v>
      </c>
      <c r="Z7" s="216" t="s">
        <v>78</v>
      </c>
      <c r="AA7" s="55" t="s">
        <v>69</v>
      </c>
      <c r="AB7" s="216" t="s">
        <v>350</v>
      </c>
      <c r="AE7" s="223" t="s">
        <v>61</v>
      </c>
      <c r="AG7" s="231" t="s">
        <v>182</v>
      </c>
      <c r="AH7" s="87" t="s">
        <v>183</v>
      </c>
      <c r="AL7" s="88" t="s">
        <v>184</v>
      </c>
      <c r="AP7" s="224" t="s">
        <v>58</v>
      </c>
      <c r="AR7" s="231" t="s">
        <v>122</v>
      </c>
      <c r="AV7" s="224" t="s">
        <v>64</v>
      </c>
      <c r="AX7" s="225">
        <v>109</v>
      </c>
      <c r="AY7" s="226">
        <v>33</v>
      </c>
      <c r="AZ7" s="226">
        <v>113</v>
      </c>
      <c r="BA7" s="227">
        <v>30</v>
      </c>
    </row>
    <row r="8" spans="1:53" x14ac:dyDescent="0.15">
      <c r="A8" s="55" t="s">
        <v>56</v>
      </c>
      <c r="B8" s="55" t="s">
        <v>367</v>
      </c>
      <c r="C8" s="216">
        <v>2018</v>
      </c>
      <c r="D8" s="86" t="s">
        <v>368</v>
      </c>
      <c r="E8" s="216" t="s">
        <v>362</v>
      </c>
      <c r="F8" s="216" t="s">
        <v>176</v>
      </c>
      <c r="G8" s="55" t="s">
        <v>42</v>
      </c>
      <c r="H8" s="216" t="s">
        <v>157</v>
      </c>
      <c r="I8" s="55" t="s">
        <v>155</v>
      </c>
      <c r="J8" s="216" t="s">
        <v>38</v>
      </c>
      <c r="K8" s="216" t="s">
        <v>156</v>
      </c>
      <c r="L8" s="208">
        <v>1</v>
      </c>
      <c r="N8" s="208">
        <v>8</v>
      </c>
      <c r="O8" s="208">
        <v>0.6</v>
      </c>
      <c r="P8" s="208">
        <v>0.55000000000000004</v>
      </c>
      <c r="Q8" s="245">
        <f t="shared" si="0"/>
        <v>0.57499999999999996</v>
      </c>
      <c r="R8" s="208">
        <v>12.6</v>
      </c>
      <c r="S8" s="208">
        <v>91</v>
      </c>
      <c r="T8" s="217">
        <f t="shared" si="1"/>
        <v>36</v>
      </c>
      <c r="U8" s="208">
        <v>626</v>
      </c>
      <c r="V8" s="217">
        <f t="shared" si="2"/>
        <v>2817</v>
      </c>
      <c r="W8" s="208">
        <v>4</v>
      </c>
      <c r="X8" s="55" t="s">
        <v>46</v>
      </c>
      <c r="Y8" s="55" t="s">
        <v>88</v>
      </c>
      <c r="Z8" s="216" t="s">
        <v>78</v>
      </c>
      <c r="AA8" s="55" t="s">
        <v>47</v>
      </c>
      <c r="AB8" s="216" t="s">
        <v>350</v>
      </c>
      <c r="AE8" s="223" t="s">
        <v>59</v>
      </c>
      <c r="AG8" s="231" t="s">
        <v>369</v>
      </c>
      <c r="AH8" s="87" t="s">
        <v>183</v>
      </c>
      <c r="AL8" s="88" t="s">
        <v>357</v>
      </c>
      <c r="AP8" s="224" t="s">
        <v>62</v>
      </c>
      <c r="AR8" s="238" t="s">
        <v>81</v>
      </c>
      <c r="AV8" s="224" t="s">
        <v>97</v>
      </c>
      <c r="AX8" s="225">
        <v>119</v>
      </c>
      <c r="AY8" s="226">
        <v>30</v>
      </c>
      <c r="AZ8" s="226">
        <v>121</v>
      </c>
      <c r="BA8" s="227">
        <v>27</v>
      </c>
    </row>
    <row r="9" spans="1:53" x14ac:dyDescent="0.15">
      <c r="A9" s="55" t="s">
        <v>56</v>
      </c>
      <c r="B9" s="55" t="s">
        <v>367</v>
      </c>
      <c r="C9" s="216">
        <v>2018</v>
      </c>
      <c r="D9" s="86" t="s">
        <v>368</v>
      </c>
      <c r="E9" s="216" t="s">
        <v>362</v>
      </c>
      <c r="F9" s="216" t="s">
        <v>176</v>
      </c>
      <c r="G9" s="55" t="s">
        <v>42</v>
      </c>
      <c r="H9" s="216" t="s">
        <v>157</v>
      </c>
      <c r="I9" s="55" t="s">
        <v>155</v>
      </c>
      <c r="J9" s="216" t="s">
        <v>38</v>
      </c>
      <c r="K9" s="216" t="s">
        <v>156</v>
      </c>
      <c r="L9" s="208">
        <v>2</v>
      </c>
      <c r="N9" s="208">
        <v>8</v>
      </c>
      <c r="O9" s="208">
        <v>0.6</v>
      </c>
      <c r="P9" s="208">
        <v>0.6</v>
      </c>
      <c r="Q9" s="245">
        <f t="shared" si="0"/>
        <v>0.6</v>
      </c>
      <c r="R9" s="208">
        <v>13</v>
      </c>
      <c r="S9" s="208">
        <v>104</v>
      </c>
      <c r="T9" s="217">
        <f t="shared" si="1"/>
        <v>33</v>
      </c>
      <c r="U9" s="208">
        <v>626</v>
      </c>
      <c r="V9" s="217">
        <f t="shared" si="2"/>
        <v>2582.25</v>
      </c>
      <c r="W9" s="208">
        <v>4</v>
      </c>
      <c r="X9" s="55" t="s">
        <v>46</v>
      </c>
      <c r="Y9" s="55" t="s">
        <v>88</v>
      </c>
      <c r="Z9" s="216" t="s">
        <v>78</v>
      </c>
      <c r="AA9" s="55" t="s">
        <v>47</v>
      </c>
      <c r="AB9" s="216" t="s">
        <v>350</v>
      </c>
      <c r="AE9" s="223" t="s">
        <v>98</v>
      </c>
      <c r="AG9" s="231" t="s">
        <v>185</v>
      </c>
      <c r="AH9" s="231" t="s">
        <v>176</v>
      </c>
      <c r="AL9" s="230"/>
      <c r="AP9" s="224" t="s">
        <v>95</v>
      </c>
      <c r="AR9" s="231" t="s">
        <v>89</v>
      </c>
      <c r="AV9" s="224" t="s">
        <v>102</v>
      </c>
      <c r="AX9" s="225">
        <v>128</v>
      </c>
      <c r="AY9" s="226">
        <v>27</v>
      </c>
      <c r="AZ9" s="226">
        <v>129</v>
      </c>
      <c r="BA9" s="227">
        <v>25</v>
      </c>
    </row>
    <row r="10" spans="1:53" x14ac:dyDescent="0.15">
      <c r="A10" s="55" t="s">
        <v>56</v>
      </c>
      <c r="B10" s="55" t="s">
        <v>370</v>
      </c>
      <c r="C10" s="216">
        <v>2018</v>
      </c>
      <c r="D10" s="86" t="s">
        <v>371</v>
      </c>
      <c r="E10" s="216" t="s">
        <v>362</v>
      </c>
      <c r="F10" s="216" t="s">
        <v>176</v>
      </c>
      <c r="G10" s="55" t="s">
        <v>42</v>
      </c>
      <c r="H10" s="216" t="s">
        <v>157</v>
      </c>
      <c r="I10" s="55" t="s">
        <v>155</v>
      </c>
      <c r="J10" s="216" t="s">
        <v>38</v>
      </c>
      <c r="K10" s="216" t="s">
        <v>156</v>
      </c>
      <c r="L10" s="208">
        <v>3</v>
      </c>
      <c r="N10" s="208">
        <v>8</v>
      </c>
      <c r="O10" s="208">
        <v>0.55000000000000004</v>
      </c>
      <c r="P10" s="208">
        <v>0.55000000000000004</v>
      </c>
      <c r="Q10" s="245">
        <f t="shared" si="0"/>
        <v>0.55000000000000004</v>
      </c>
      <c r="R10" s="208">
        <v>12.1</v>
      </c>
      <c r="S10" s="208">
        <v>98</v>
      </c>
      <c r="T10" s="217">
        <f t="shared" si="1"/>
        <v>36</v>
      </c>
      <c r="U10" s="208">
        <v>626</v>
      </c>
      <c r="V10" s="217">
        <f t="shared" si="2"/>
        <v>2817</v>
      </c>
      <c r="W10" s="208">
        <v>4</v>
      </c>
      <c r="X10" s="55" t="s">
        <v>46</v>
      </c>
      <c r="Y10" s="55" t="s">
        <v>88</v>
      </c>
      <c r="Z10" s="216" t="s">
        <v>78</v>
      </c>
      <c r="AA10" s="55" t="s">
        <v>47</v>
      </c>
      <c r="AB10" s="216" t="s">
        <v>350</v>
      </c>
      <c r="AE10" s="223" t="s">
        <v>103</v>
      </c>
      <c r="AG10" s="231" t="s">
        <v>372</v>
      </c>
      <c r="AH10" s="87" t="s">
        <v>373</v>
      </c>
      <c r="AL10" s="88"/>
      <c r="AP10" s="224" t="s">
        <v>100</v>
      </c>
      <c r="AR10" s="231" t="s">
        <v>123</v>
      </c>
      <c r="AV10" s="224" t="s">
        <v>106</v>
      </c>
      <c r="AX10" s="225">
        <v>138</v>
      </c>
      <c r="AY10" s="226">
        <v>25</v>
      </c>
      <c r="AZ10" s="226">
        <v>138</v>
      </c>
      <c r="BA10" s="227">
        <v>22</v>
      </c>
    </row>
    <row r="11" spans="1:53" x14ac:dyDescent="0.15">
      <c r="A11" s="55" t="s">
        <v>56</v>
      </c>
      <c r="B11" s="55" t="s">
        <v>370</v>
      </c>
      <c r="C11" s="216">
        <v>2018</v>
      </c>
      <c r="D11" s="86" t="s">
        <v>371</v>
      </c>
      <c r="E11" s="216" t="s">
        <v>362</v>
      </c>
      <c r="F11" s="216" t="s">
        <v>176</v>
      </c>
      <c r="G11" s="55" t="s">
        <v>42</v>
      </c>
      <c r="H11" s="216" t="s">
        <v>164</v>
      </c>
      <c r="I11" s="55" t="s">
        <v>155</v>
      </c>
      <c r="J11" s="216" t="s">
        <v>38</v>
      </c>
      <c r="K11" s="216" t="s">
        <v>156</v>
      </c>
      <c r="L11" s="208">
        <v>1</v>
      </c>
      <c r="N11" s="208">
        <v>1</v>
      </c>
      <c r="O11" s="208">
        <v>0.65</v>
      </c>
      <c r="P11" s="208">
        <v>0.6</v>
      </c>
      <c r="Q11" s="245">
        <f t="shared" si="0"/>
        <v>0.625</v>
      </c>
      <c r="R11" s="208">
        <v>13.4</v>
      </c>
      <c r="S11" s="208">
        <v>140</v>
      </c>
      <c r="T11" s="217">
        <f t="shared" si="1"/>
        <v>22</v>
      </c>
      <c r="U11" s="208">
        <v>138</v>
      </c>
      <c r="V11" s="217">
        <f t="shared" si="2"/>
        <v>3036</v>
      </c>
      <c r="W11" s="208">
        <v>4</v>
      </c>
      <c r="X11" s="55" t="s">
        <v>46</v>
      </c>
      <c r="Y11" s="55" t="s">
        <v>88</v>
      </c>
      <c r="Z11" s="216" t="s">
        <v>78</v>
      </c>
      <c r="AA11" s="55" t="s">
        <v>47</v>
      </c>
      <c r="AB11" s="216" t="s">
        <v>350</v>
      </c>
      <c r="AE11" s="223" t="s">
        <v>65</v>
      </c>
      <c r="AG11" s="231" t="s">
        <v>374</v>
      </c>
      <c r="AH11" s="87" t="s">
        <v>373</v>
      </c>
      <c r="AJ11" s="88"/>
      <c r="AP11" s="224" t="s">
        <v>104</v>
      </c>
      <c r="AR11" s="231" t="s">
        <v>87</v>
      </c>
      <c r="AV11" s="224" t="s">
        <v>69</v>
      </c>
    </row>
    <row r="12" spans="1:53" x14ac:dyDescent="0.15">
      <c r="A12" s="55" t="s">
        <v>56</v>
      </c>
      <c r="B12" s="55" t="s">
        <v>375</v>
      </c>
      <c r="C12" s="216">
        <v>2018</v>
      </c>
      <c r="D12" s="86" t="s">
        <v>376</v>
      </c>
      <c r="E12" s="216" t="s">
        <v>362</v>
      </c>
      <c r="F12" s="216" t="s">
        <v>176</v>
      </c>
      <c r="G12" s="55" t="s">
        <v>42</v>
      </c>
      <c r="H12" s="216" t="s">
        <v>164</v>
      </c>
      <c r="I12" s="55" t="s">
        <v>155</v>
      </c>
      <c r="J12" s="216" t="s">
        <v>38</v>
      </c>
      <c r="K12" s="216" t="s">
        <v>156</v>
      </c>
      <c r="L12" s="208">
        <v>2</v>
      </c>
      <c r="N12" s="208">
        <v>1</v>
      </c>
      <c r="O12" s="208">
        <v>0.6</v>
      </c>
      <c r="P12" s="208">
        <v>0.6</v>
      </c>
      <c r="Q12" s="245">
        <f t="shared" si="0"/>
        <v>0.6</v>
      </c>
      <c r="R12" s="208">
        <v>16.3</v>
      </c>
      <c r="S12" s="208">
        <v>139</v>
      </c>
      <c r="T12" s="217">
        <f t="shared" si="1"/>
        <v>22</v>
      </c>
      <c r="U12" s="208">
        <v>138</v>
      </c>
      <c r="V12" s="217">
        <f t="shared" si="2"/>
        <v>3036</v>
      </c>
      <c r="W12" s="208">
        <v>4</v>
      </c>
      <c r="X12" s="55" t="s">
        <v>46</v>
      </c>
      <c r="Y12" s="55" t="s">
        <v>88</v>
      </c>
      <c r="Z12" s="216" t="s">
        <v>78</v>
      </c>
      <c r="AA12" s="55" t="s">
        <v>47</v>
      </c>
      <c r="AB12" s="216" t="s">
        <v>350</v>
      </c>
      <c r="AE12" s="223" t="s">
        <v>70</v>
      </c>
      <c r="AG12" s="231" t="s">
        <v>377</v>
      </c>
      <c r="AH12" s="87" t="s">
        <v>378</v>
      </c>
      <c r="AJ12" s="88"/>
      <c r="AP12" s="224" t="s">
        <v>67</v>
      </c>
      <c r="AR12" s="231" t="s">
        <v>124</v>
      </c>
      <c r="AV12" s="224" t="s">
        <v>72</v>
      </c>
    </row>
    <row r="13" spans="1:53" x14ac:dyDescent="0.15">
      <c r="A13" s="55" t="s">
        <v>56</v>
      </c>
      <c r="B13" s="55" t="s">
        <v>379</v>
      </c>
      <c r="C13" s="216">
        <v>2018</v>
      </c>
      <c r="D13" s="86" t="s">
        <v>380</v>
      </c>
      <c r="E13" s="216" t="s">
        <v>362</v>
      </c>
      <c r="F13" s="216" t="s">
        <v>176</v>
      </c>
      <c r="G13" s="55" t="s">
        <v>42</v>
      </c>
      <c r="H13" s="216" t="s">
        <v>164</v>
      </c>
      <c r="I13" s="55" t="s">
        <v>155</v>
      </c>
      <c r="J13" s="216" t="s">
        <v>38</v>
      </c>
      <c r="K13" s="216" t="s">
        <v>156</v>
      </c>
      <c r="L13" s="208">
        <v>3</v>
      </c>
      <c r="N13" s="208">
        <v>1</v>
      </c>
      <c r="O13" s="208">
        <v>0.55000000000000004</v>
      </c>
      <c r="P13" s="208">
        <v>0.65</v>
      </c>
      <c r="Q13" s="245">
        <f t="shared" si="0"/>
        <v>0.60000000000000009</v>
      </c>
      <c r="R13" s="237">
        <v>14.4</v>
      </c>
      <c r="S13" s="208">
        <v>143</v>
      </c>
      <c r="T13" s="217">
        <f t="shared" si="1"/>
        <v>22</v>
      </c>
      <c r="U13" s="208">
        <v>138</v>
      </c>
      <c r="V13" s="217">
        <f t="shared" si="2"/>
        <v>3036</v>
      </c>
      <c r="W13" s="208">
        <v>4</v>
      </c>
      <c r="X13" s="55" t="s">
        <v>46</v>
      </c>
      <c r="Y13" s="55" t="s">
        <v>88</v>
      </c>
      <c r="Z13" s="216" t="s">
        <v>78</v>
      </c>
      <c r="AA13" s="55" t="s">
        <v>47</v>
      </c>
      <c r="AB13" s="216" t="s">
        <v>350</v>
      </c>
      <c r="AE13" s="223" t="s">
        <v>73</v>
      </c>
      <c r="AP13" s="224" t="s">
        <v>71</v>
      </c>
      <c r="AR13" s="231" t="s">
        <v>103</v>
      </c>
      <c r="AV13" s="224" t="s">
        <v>75</v>
      </c>
    </row>
    <row r="14" spans="1:53" x14ac:dyDescent="0.15">
      <c r="A14" s="55" t="s">
        <v>56</v>
      </c>
      <c r="B14" s="55" t="s">
        <v>381</v>
      </c>
      <c r="C14" s="216">
        <v>2018</v>
      </c>
      <c r="D14" s="86" t="s">
        <v>382</v>
      </c>
      <c r="E14" s="216" t="s">
        <v>383</v>
      </c>
      <c r="F14" s="216" t="s">
        <v>384</v>
      </c>
      <c r="G14" s="55" t="s">
        <v>42</v>
      </c>
      <c r="H14" s="216" t="s">
        <v>157</v>
      </c>
      <c r="I14" s="55" t="s">
        <v>155</v>
      </c>
      <c r="J14" s="216" t="s">
        <v>38</v>
      </c>
      <c r="K14" s="216" t="s">
        <v>156</v>
      </c>
      <c r="L14" s="208">
        <v>1</v>
      </c>
      <c r="N14" s="208">
        <v>5</v>
      </c>
      <c r="O14" s="208">
        <v>0.6</v>
      </c>
      <c r="P14" s="208">
        <v>0.55000000000000004</v>
      </c>
      <c r="Q14" s="245">
        <f t="shared" si="0"/>
        <v>0.57499999999999996</v>
      </c>
      <c r="R14" s="208">
        <v>12.2</v>
      </c>
      <c r="S14" s="208">
        <v>85</v>
      </c>
      <c r="T14" s="217">
        <f t="shared" si="1"/>
        <v>36</v>
      </c>
      <c r="U14" s="208">
        <v>430</v>
      </c>
      <c r="V14" s="217">
        <f t="shared" si="2"/>
        <v>3096</v>
      </c>
      <c r="W14" s="208">
        <v>3</v>
      </c>
      <c r="X14" s="55" t="s">
        <v>46</v>
      </c>
      <c r="Y14" s="55" t="s">
        <v>55</v>
      </c>
      <c r="Z14" s="216" t="s">
        <v>88</v>
      </c>
      <c r="AA14" s="55" t="s">
        <v>78</v>
      </c>
      <c r="AB14" s="216" t="s">
        <v>350</v>
      </c>
      <c r="AE14" s="223" t="s">
        <v>76</v>
      </c>
      <c r="AP14" s="224" t="s">
        <v>74</v>
      </c>
      <c r="AR14" s="231" t="s">
        <v>125</v>
      </c>
      <c r="AV14" s="224" t="s">
        <v>78</v>
      </c>
    </row>
    <row r="15" spans="1:53" x14ac:dyDescent="0.15">
      <c r="A15" s="55" t="s">
        <v>56</v>
      </c>
      <c r="B15" s="55" t="s">
        <v>381</v>
      </c>
      <c r="C15" s="216">
        <v>2018</v>
      </c>
      <c r="D15" s="86" t="s">
        <v>382</v>
      </c>
      <c r="E15" s="216" t="s">
        <v>383</v>
      </c>
      <c r="F15" s="216" t="s">
        <v>384</v>
      </c>
      <c r="G15" s="55" t="s">
        <v>42</v>
      </c>
      <c r="H15" s="216" t="s">
        <v>157</v>
      </c>
      <c r="I15" s="55" t="s">
        <v>155</v>
      </c>
      <c r="J15" s="216" t="s">
        <v>38</v>
      </c>
      <c r="K15" s="216" t="s">
        <v>156</v>
      </c>
      <c r="L15" s="208">
        <v>2</v>
      </c>
      <c r="N15" s="208">
        <v>5</v>
      </c>
      <c r="O15" s="208">
        <v>0.6</v>
      </c>
      <c r="P15" s="208">
        <v>0.6</v>
      </c>
      <c r="Q15" s="245">
        <f t="shared" si="0"/>
        <v>0.6</v>
      </c>
      <c r="R15" s="208">
        <v>12.5</v>
      </c>
      <c r="S15" s="208">
        <v>87</v>
      </c>
      <c r="T15" s="217">
        <f t="shared" si="1"/>
        <v>36</v>
      </c>
      <c r="U15" s="208">
        <v>430</v>
      </c>
      <c r="V15" s="217">
        <f t="shared" si="2"/>
        <v>3096</v>
      </c>
      <c r="W15" s="208">
        <v>3</v>
      </c>
      <c r="X15" s="55" t="s">
        <v>46</v>
      </c>
      <c r="Y15" s="55" t="s">
        <v>55</v>
      </c>
      <c r="Z15" s="216" t="s">
        <v>88</v>
      </c>
      <c r="AA15" s="55" t="s">
        <v>78</v>
      </c>
      <c r="AB15" s="216" t="s">
        <v>350</v>
      </c>
      <c r="AE15" s="223" t="s">
        <v>79</v>
      </c>
      <c r="AP15" s="224" t="s">
        <v>77</v>
      </c>
      <c r="AR15" s="231" t="s">
        <v>94</v>
      </c>
      <c r="AV15" s="224" t="s">
        <v>107</v>
      </c>
    </row>
    <row r="16" spans="1:53" x14ac:dyDescent="0.15">
      <c r="A16" s="55" t="s">
        <v>56</v>
      </c>
      <c r="B16" s="55" t="s">
        <v>385</v>
      </c>
      <c r="C16" s="216">
        <v>2018</v>
      </c>
      <c r="D16" s="86" t="s">
        <v>386</v>
      </c>
      <c r="E16" s="216" t="s">
        <v>383</v>
      </c>
      <c r="F16" s="216" t="s">
        <v>384</v>
      </c>
      <c r="G16" s="55" t="s">
        <v>42</v>
      </c>
      <c r="H16" s="216" t="s">
        <v>157</v>
      </c>
      <c r="I16" s="55" t="s">
        <v>155</v>
      </c>
      <c r="J16" s="216" t="s">
        <v>38</v>
      </c>
      <c r="K16" s="216" t="s">
        <v>156</v>
      </c>
      <c r="L16" s="208">
        <v>3</v>
      </c>
      <c r="N16" s="208">
        <v>5</v>
      </c>
      <c r="O16" s="208">
        <v>0.7</v>
      </c>
      <c r="P16" s="208">
        <v>0.65</v>
      </c>
      <c r="Q16" s="245">
        <f t="shared" si="0"/>
        <v>0.67500000000000004</v>
      </c>
      <c r="R16" s="237">
        <v>12.4</v>
      </c>
      <c r="S16" s="208">
        <v>92</v>
      </c>
      <c r="T16" s="217">
        <f t="shared" si="1"/>
        <v>36</v>
      </c>
      <c r="U16" s="208">
        <v>430</v>
      </c>
      <c r="V16" s="217">
        <f t="shared" si="2"/>
        <v>3096</v>
      </c>
      <c r="W16" s="208">
        <v>3</v>
      </c>
      <c r="X16" s="55" t="s">
        <v>46</v>
      </c>
      <c r="Y16" s="55" t="s">
        <v>55</v>
      </c>
      <c r="Z16" s="216" t="s">
        <v>88</v>
      </c>
      <c r="AA16" s="55" t="s">
        <v>78</v>
      </c>
      <c r="AB16" s="216" t="s">
        <v>350</v>
      </c>
      <c r="AE16" s="223" t="s">
        <v>82</v>
      </c>
      <c r="AP16" s="224" t="s">
        <v>80</v>
      </c>
      <c r="AR16" s="238" t="s">
        <v>63</v>
      </c>
      <c r="AV16" s="224" t="s">
        <v>84</v>
      </c>
    </row>
    <row r="17" spans="1:48" x14ac:dyDescent="0.15">
      <c r="A17" s="55" t="s">
        <v>56</v>
      </c>
      <c r="B17" s="55" t="s">
        <v>385</v>
      </c>
      <c r="C17" s="216">
        <v>2018</v>
      </c>
      <c r="D17" s="86" t="s">
        <v>386</v>
      </c>
      <c r="E17" s="216" t="s">
        <v>383</v>
      </c>
      <c r="F17" s="216" t="s">
        <v>384</v>
      </c>
      <c r="G17" s="55" t="s">
        <v>42</v>
      </c>
      <c r="H17" s="216" t="s">
        <v>164</v>
      </c>
      <c r="I17" s="55" t="s">
        <v>155</v>
      </c>
      <c r="J17" s="216" t="s">
        <v>38</v>
      </c>
      <c r="K17" s="216" t="s">
        <v>156</v>
      </c>
      <c r="L17" s="208">
        <v>1</v>
      </c>
      <c r="N17" s="208">
        <v>5</v>
      </c>
      <c r="O17" s="208">
        <v>0.55000000000000004</v>
      </c>
      <c r="P17" s="208">
        <v>0.55000000000000004</v>
      </c>
      <c r="Q17" s="245">
        <f t="shared" si="0"/>
        <v>0.55000000000000004</v>
      </c>
      <c r="R17" s="208">
        <v>15.1</v>
      </c>
      <c r="S17" s="208">
        <v>132</v>
      </c>
      <c r="T17" s="217">
        <f t="shared" si="1"/>
        <v>25</v>
      </c>
      <c r="U17" s="208">
        <v>646</v>
      </c>
      <c r="V17" s="217">
        <f t="shared" si="2"/>
        <v>3229.9999999999995</v>
      </c>
      <c r="W17" s="208">
        <v>3</v>
      </c>
      <c r="X17" s="55" t="s">
        <v>46</v>
      </c>
      <c r="Y17" s="55" t="s">
        <v>55</v>
      </c>
      <c r="Z17" s="216" t="s">
        <v>88</v>
      </c>
      <c r="AA17" s="55" t="s">
        <v>78</v>
      </c>
      <c r="AB17" s="216" t="s">
        <v>350</v>
      </c>
      <c r="AE17" s="223" t="s">
        <v>85</v>
      </c>
      <c r="AP17" s="239" t="s">
        <v>110</v>
      </c>
      <c r="AR17" s="238" t="s">
        <v>96</v>
      </c>
      <c r="AV17" s="224" t="s">
        <v>86</v>
      </c>
    </row>
    <row r="18" spans="1:48" x14ac:dyDescent="0.15">
      <c r="A18" s="55" t="s">
        <v>56</v>
      </c>
      <c r="B18" s="55" t="s">
        <v>385</v>
      </c>
      <c r="C18" s="216">
        <v>2018</v>
      </c>
      <c r="D18" s="86" t="s">
        <v>386</v>
      </c>
      <c r="E18" s="216" t="s">
        <v>383</v>
      </c>
      <c r="F18" s="216" t="s">
        <v>384</v>
      </c>
      <c r="G18" s="55" t="s">
        <v>42</v>
      </c>
      <c r="H18" s="216" t="s">
        <v>164</v>
      </c>
      <c r="I18" s="55" t="s">
        <v>155</v>
      </c>
      <c r="J18" s="216" t="s">
        <v>38</v>
      </c>
      <c r="K18" s="216" t="s">
        <v>156</v>
      </c>
      <c r="L18" s="208">
        <v>2</v>
      </c>
      <c r="N18" s="208">
        <v>5</v>
      </c>
      <c r="O18" s="208">
        <v>0.6</v>
      </c>
      <c r="P18" s="208">
        <v>0.65</v>
      </c>
      <c r="Q18" s="245">
        <f t="shared" si="0"/>
        <v>0.625</v>
      </c>
      <c r="R18" s="208">
        <v>16.899999999999999</v>
      </c>
      <c r="S18" s="208">
        <v>124</v>
      </c>
      <c r="T18" s="217">
        <f t="shared" si="1"/>
        <v>27</v>
      </c>
      <c r="U18" s="208">
        <v>646</v>
      </c>
      <c r="V18" s="217">
        <f t="shared" si="2"/>
        <v>3488.3999999999996</v>
      </c>
      <c r="W18" s="208">
        <v>3</v>
      </c>
      <c r="X18" s="55" t="s">
        <v>46</v>
      </c>
      <c r="Y18" s="55" t="s">
        <v>55</v>
      </c>
      <c r="Z18" s="216" t="s">
        <v>88</v>
      </c>
      <c r="AA18" s="55" t="s">
        <v>78</v>
      </c>
      <c r="AB18" s="216" t="s">
        <v>350</v>
      </c>
      <c r="AE18" s="223" t="s">
        <v>87</v>
      </c>
      <c r="AP18" s="239" t="s">
        <v>111</v>
      </c>
      <c r="AR18" s="238" t="s">
        <v>101</v>
      </c>
      <c r="AV18" s="224" t="s">
        <v>88</v>
      </c>
    </row>
    <row r="19" spans="1:48" x14ac:dyDescent="0.15">
      <c r="A19" s="55" t="s">
        <v>56</v>
      </c>
      <c r="B19" s="55" t="s">
        <v>375</v>
      </c>
      <c r="C19" s="216">
        <v>2018</v>
      </c>
      <c r="D19" s="86" t="s">
        <v>376</v>
      </c>
      <c r="E19" s="216" t="s">
        <v>383</v>
      </c>
      <c r="F19" s="216" t="s">
        <v>384</v>
      </c>
      <c r="G19" s="55" t="s">
        <v>42</v>
      </c>
      <c r="H19" s="216" t="s">
        <v>164</v>
      </c>
      <c r="I19" s="55" t="s">
        <v>155</v>
      </c>
      <c r="J19" s="216" t="s">
        <v>38</v>
      </c>
      <c r="K19" s="216" t="s">
        <v>156</v>
      </c>
      <c r="L19" s="208">
        <v>3</v>
      </c>
      <c r="N19" s="208">
        <v>5</v>
      </c>
      <c r="O19" s="208">
        <v>0.6</v>
      </c>
      <c r="P19" s="208">
        <v>0.6</v>
      </c>
      <c r="Q19" s="245">
        <f t="shared" si="0"/>
        <v>0.6</v>
      </c>
      <c r="R19" s="237">
        <v>14.8</v>
      </c>
      <c r="S19" s="208">
        <v>120</v>
      </c>
      <c r="T19" s="217">
        <f t="shared" si="1"/>
        <v>30</v>
      </c>
      <c r="U19" s="208">
        <v>646</v>
      </c>
      <c r="V19" s="217">
        <f t="shared" si="2"/>
        <v>3875.9999999999995</v>
      </c>
      <c r="W19" s="208">
        <v>3</v>
      </c>
      <c r="X19" s="55" t="s">
        <v>46</v>
      </c>
      <c r="Y19" s="55" t="s">
        <v>55</v>
      </c>
      <c r="Z19" s="216" t="s">
        <v>88</v>
      </c>
      <c r="AA19" s="55" t="s">
        <v>78</v>
      </c>
      <c r="AB19" s="216" t="s">
        <v>350</v>
      </c>
      <c r="AE19" s="236" t="s">
        <v>89</v>
      </c>
      <c r="AP19" s="239" t="s">
        <v>112</v>
      </c>
      <c r="AR19" s="231" t="s">
        <v>126</v>
      </c>
      <c r="AV19" s="224" t="s">
        <v>90</v>
      </c>
    </row>
    <row r="20" spans="1:48" x14ac:dyDescent="0.15">
      <c r="A20" s="55" t="s">
        <v>56</v>
      </c>
      <c r="B20" s="55" t="s">
        <v>375</v>
      </c>
      <c r="C20" s="216">
        <v>2018</v>
      </c>
      <c r="D20" s="86" t="s">
        <v>376</v>
      </c>
      <c r="E20" s="216" t="s">
        <v>387</v>
      </c>
      <c r="F20" s="216" t="s">
        <v>388</v>
      </c>
      <c r="G20" s="55" t="s">
        <v>42</v>
      </c>
      <c r="H20" s="216" t="s">
        <v>157</v>
      </c>
      <c r="I20" s="55" t="s">
        <v>155</v>
      </c>
      <c r="J20" s="216" t="s">
        <v>38</v>
      </c>
      <c r="K20" s="216" t="s">
        <v>156</v>
      </c>
      <c r="L20" s="208">
        <v>1</v>
      </c>
      <c r="N20" s="208">
        <v>1</v>
      </c>
      <c r="O20" s="208">
        <v>0.75</v>
      </c>
      <c r="P20" s="208">
        <v>0.75</v>
      </c>
      <c r="Q20" s="245">
        <f t="shared" si="0"/>
        <v>0.75</v>
      </c>
      <c r="R20" s="208">
        <v>14.5</v>
      </c>
      <c r="S20" s="208">
        <v>117</v>
      </c>
      <c r="T20" s="217">
        <f t="shared" si="1"/>
        <v>30</v>
      </c>
      <c r="U20" s="208">
        <v>85</v>
      </c>
      <c r="V20" s="217">
        <f t="shared" si="2"/>
        <v>2550</v>
      </c>
      <c r="W20" s="208">
        <v>2</v>
      </c>
      <c r="X20" s="55" t="s">
        <v>46</v>
      </c>
      <c r="Y20" s="55" t="s">
        <v>69</v>
      </c>
      <c r="Z20" s="208" t="s">
        <v>88</v>
      </c>
      <c r="AA20" s="55" t="s">
        <v>55</v>
      </c>
      <c r="AB20" s="216" t="s">
        <v>350</v>
      </c>
      <c r="AP20" s="239" t="s">
        <v>113</v>
      </c>
      <c r="AR20" s="238" t="s">
        <v>105</v>
      </c>
      <c r="AV20" s="228" t="s">
        <v>358</v>
      </c>
    </row>
    <row r="21" spans="1:48" x14ac:dyDescent="0.15">
      <c r="A21" s="55" t="s">
        <v>56</v>
      </c>
      <c r="B21" s="55" t="s">
        <v>375</v>
      </c>
      <c r="C21" s="216">
        <v>2018</v>
      </c>
      <c r="D21" s="86" t="s">
        <v>376</v>
      </c>
      <c r="E21" s="216" t="s">
        <v>387</v>
      </c>
      <c r="F21" s="216" t="s">
        <v>388</v>
      </c>
      <c r="G21" s="55" t="s">
        <v>42</v>
      </c>
      <c r="H21" s="216" t="s">
        <v>157</v>
      </c>
      <c r="I21" s="55" t="s">
        <v>155</v>
      </c>
      <c r="J21" s="216" t="s">
        <v>38</v>
      </c>
      <c r="K21" s="216" t="s">
        <v>156</v>
      </c>
      <c r="L21" s="208">
        <v>2</v>
      </c>
      <c r="N21" s="208">
        <v>1</v>
      </c>
      <c r="O21" s="208">
        <v>0.65</v>
      </c>
      <c r="P21" s="208">
        <v>0.6</v>
      </c>
      <c r="Q21" s="245">
        <f t="shared" si="0"/>
        <v>0.625</v>
      </c>
      <c r="R21" s="208">
        <v>14.8</v>
      </c>
      <c r="S21" s="208">
        <v>112</v>
      </c>
      <c r="T21" s="217">
        <f t="shared" si="1"/>
        <v>33</v>
      </c>
      <c r="U21" s="208">
        <v>85</v>
      </c>
      <c r="V21" s="217">
        <f t="shared" si="2"/>
        <v>2805</v>
      </c>
      <c r="W21" s="208">
        <v>2</v>
      </c>
      <c r="X21" s="55" t="s">
        <v>46</v>
      </c>
      <c r="Y21" s="55" t="s">
        <v>69</v>
      </c>
      <c r="Z21" s="208" t="s">
        <v>88</v>
      </c>
      <c r="AA21" s="55" t="s">
        <v>55</v>
      </c>
      <c r="AB21" s="216" t="s">
        <v>350</v>
      </c>
      <c r="AP21" s="239" t="s">
        <v>114</v>
      </c>
      <c r="AR21" s="238" t="s">
        <v>68</v>
      </c>
      <c r="AV21" s="229" t="s">
        <v>389</v>
      </c>
    </row>
    <row r="22" spans="1:48" x14ac:dyDescent="0.15">
      <c r="A22" s="55" t="s">
        <v>56</v>
      </c>
      <c r="B22" s="55" t="s">
        <v>375</v>
      </c>
      <c r="C22" s="216">
        <v>2018</v>
      </c>
      <c r="D22" s="86" t="s">
        <v>376</v>
      </c>
      <c r="E22" s="216" t="s">
        <v>387</v>
      </c>
      <c r="F22" s="216" t="s">
        <v>388</v>
      </c>
      <c r="G22" s="55" t="s">
        <v>42</v>
      </c>
      <c r="H22" s="216" t="s">
        <v>157</v>
      </c>
      <c r="I22" s="55" t="s">
        <v>155</v>
      </c>
      <c r="J22" s="216" t="s">
        <v>38</v>
      </c>
      <c r="K22" s="216" t="s">
        <v>156</v>
      </c>
      <c r="L22" s="208">
        <v>3</v>
      </c>
      <c r="N22" s="208">
        <v>1</v>
      </c>
      <c r="O22" s="208">
        <v>0.6</v>
      </c>
      <c r="P22" s="208">
        <v>0.7</v>
      </c>
      <c r="Q22" s="245">
        <f t="shared" si="0"/>
        <v>0.64999999999999991</v>
      </c>
      <c r="R22" s="237">
        <v>13</v>
      </c>
      <c r="S22" s="208">
        <v>123</v>
      </c>
      <c r="T22" s="217">
        <f t="shared" si="1"/>
        <v>27</v>
      </c>
      <c r="U22" s="208">
        <v>85</v>
      </c>
      <c r="V22" s="217">
        <f t="shared" si="2"/>
        <v>2295</v>
      </c>
      <c r="W22" s="208">
        <v>2</v>
      </c>
      <c r="X22" s="55" t="s">
        <v>46</v>
      </c>
      <c r="Y22" s="55" t="s">
        <v>69</v>
      </c>
      <c r="Z22" s="208" t="s">
        <v>88</v>
      </c>
      <c r="AA22" s="55" t="s">
        <v>55</v>
      </c>
      <c r="AB22" s="216" t="s">
        <v>350</v>
      </c>
      <c r="AP22" s="239" t="s">
        <v>115</v>
      </c>
      <c r="AR22" s="238" t="s">
        <v>83</v>
      </c>
    </row>
    <row r="23" spans="1:48" x14ac:dyDescent="0.15">
      <c r="A23" s="55" t="s">
        <v>56</v>
      </c>
      <c r="B23" s="55" t="s">
        <v>375</v>
      </c>
      <c r="C23" s="216">
        <v>2018</v>
      </c>
      <c r="D23" s="86" t="s">
        <v>376</v>
      </c>
      <c r="E23" s="216" t="s">
        <v>387</v>
      </c>
      <c r="F23" s="216" t="s">
        <v>388</v>
      </c>
      <c r="G23" s="55" t="s">
        <v>42</v>
      </c>
      <c r="H23" s="216" t="s">
        <v>157</v>
      </c>
      <c r="I23" s="55" t="s">
        <v>158</v>
      </c>
      <c r="J23" s="216" t="s">
        <v>38</v>
      </c>
      <c r="K23" s="216" t="s">
        <v>156</v>
      </c>
      <c r="L23" s="208">
        <v>1</v>
      </c>
      <c r="N23" s="208">
        <v>4</v>
      </c>
      <c r="O23" s="208">
        <v>0.8</v>
      </c>
      <c r="P23" s="208">
        <v>0.7</v>
      </c>
      <c r="Q23" s="245">
        <f t="shared" si="0"/>
        <v>0.75</v>
      </c>
      <c r="R23" s="208">
        <v>12.6</v>
      </c>
      <c r="S23" s="208">
        <v>100</v>
      </c>
      <c r="T23" s="217">
        <f t="shared" si="1"/>
        <v>33</v>
      </c>
      <c r="U23" s="208">
        <v>256</v>
      </c>
      <c r="V23" s="217">
        <f t="shared" si="2"/>
        <v>2112</v>
      </c>
      <c r="W23" s="208">
        <v>2</v>
      </c>
      <c r="X23" s="55" t="s">
        <v>46</v>
      </c>
      <c r="Y23" s="55" t="s">
        <v>69</v>
      </c>
      <c r="Z23" s="208" t="s">
        <v>88</v>
      </c>
      <c r="AA23" s="55" t="s">
        <v>55</v>
      </c>
      <c r="AB23" s="216" t="s">
        <v>350</v>
      </c>
      <c r="AP23" s="239" t="s">
        <v>390</v>
      </c>
      <c r="AR23" s="238" t="s">
        <v>61</v>
      </c>
    </row>
    <row r="24" spans="1:48" x14ac:dyDescent="0.15">
      <c r="A24" s="55" t="s">
        <v>56</v>
      </c>
      <c r="B24" s="55" t="s">
        <v>375</v>
      </c>
      <c r="C24" s="216">
        <v>2018</v>
      </c>
      <c r="D24" s="86" t="s">
        <v>376</v>
      </c>
      <c r="E24" s="216" t="s">
        <v>387</v>
      </c>
      <c r="F24" s="216" t="s">
        <v>388</v>
      </c>
      <c r="G24" s="55" t="s">
        <v>42</v>
      </c>
      <c r="H24" s="216" t="s">
        <v>157</v>
      </c>
      <c r="I24" s="55" t="s">
        <v>158</v>
      </c>
      <c r="J24" s="216" t="s">
        <v>38</v>
      </c>
      <c r="K24" s="216" t="s">
        <v>156</v>
      </c>
      <c r="L24" s="208">
        <v>2</v>
      </c>
      <c r="N24" s="208">
        <v>4</v>
      </c>
      <c r="O24" s="208">
        <v>0.6</v>
      </c>
      <c r="P24" s="208">
        <v>0.6</v>
      </c>
      <c r="Q24" s="245">
        <f t="shared" si="0"/>
        <v>0.6</v>
      </c>
      <c r="R24" s="208">
        <v>13.9</v>
      </c>
      <c r="S24" s="208">
        <v>101</v>
      </c>
      <c r="T24" s="217">
        <f t="shared" si="1"/>
        <v>33</v>
      </c>
      <c r="U24" s="208">
        <v>256</v>
      </c>
      <c r="V24" s="217">
        <f t="shared" si="2"/>
        <v>2112</v>
      </c>
      <c r="W24" s="208">
        <v>2</v>
      </c>
      <c r="X24" s="55" t="s">
        <v>46</v>
      </c>
      <c r="Y24" s="55" t="s">
        <v>69</v>
      </c>
      <c r="Z24" s="208" t="s">
        <v>88</v>
      </c>
      <c r="AA24" s="55" t="s">
        <v>55</v>
      </c>
      <c r="AB24" s="216" t="s">
        <v>350</v>
      </c>
      <c r="AP24" s="239" t="s">
        <v>391</v>
      </c>
      <c r="AR24" s="238" t="s">
        <v>91</v>
      </c>
    </row>
    <row r="25" spans="1:48" x14ac:dyDescent="0.15">
      <c r="A25" s="55" t="s">
        <v>56</v>
      </c>
      <c r="B25" s="55" t="s">
        <v>375</v>
      </c>
      <c r="C25" s="216">
        <v>2018</v>
      </c>
      <c r="D25" s="86" t="s">
        <v>376</v>
      </c>
      <c r="E25" s="216" t="s">
        <v>387</v>
      </c>
      <c r="F25" s="216" t="s">
        <v>388</v>
      </c>
      <c r="G25" s="55" t="s">
        <v>42</v>
      </c>
      <c r="H25" s="216" t="s">
        <v>157</v>
      </c>
      <c r="I25" s="55" t="s">
        <v>158</v>
      </c>
      <c r="J25" s="216" t="s">
        <v>38</v>
      </c>
      <c r="K25" s="216" t="s">
        <v>156</v>
      </c>
      <c r="L25" s="208">
        <v>3</v>
      </c>
      <c r="N25" s="208">
        <v>4</v>
      </c>
      <c r="O25" s="208">
        <v>0.75</v>
      </c>
      <c r="P25" s="208">
        <v>0.75</v>
      </c>
      <c r="Q25" s="245">
        <f t="shared" si="0"/>
        <v>0.75</v>
      </c>
      <c r="R25" s="237">
        <v>12.9</v>
      </c>
      <c r="S25" s="208">
        <v>96</v>
      </c>
      <c r="T25" s="217">
        <f t="shared" si="1"/>
        <v>36</v>
      </c>
      <c r="U25" s="208">
        <v>256</v>
      </c>
      <c r="V25" s="217">
        <f t="shared" si="2"/>
        <v>2304</v>
      </c>
      <c r="W25" s="208">
        <v>2</v>
      </c>
      <c r="X25" s="55" t="s">
        <v>46</v>
      </c>
      <c r="Y25" s="55" t="s">
        <v>69</v>
      </c>
      <c r="Z25" s="208" t="s">
        <v>88</v>
      </c>
      <c r="AA25" s="55" t="s">
        <v>55</v>
      </c>
      <c r="AB25" s="216" t="s">
        <v>350</v>
      </c>
      <c r="AP25" s="239" t="s">
        <v>116</v>
      </c>
      <c r="AR25" s="42" t="s">
        <v>92</v>
      </c>
    </row>
    <row r="26" spans="1:48" x14ac:dyDescent="0.15">
      <c r="A26" s="55" t="s">
        <v>56</v>
      </c>
      <c r="B26" s="55" t="s">
        <v>375</v>
      </c>
      <c r="C26" s="216">
        <v>2018</v>
      </c>
      <c r="D26" s="86" t="s">
        <v>376</v>
      </c>
      <c r="E26" s="216" t="s">
        <v>387</v>
      </c>
      <c r="F26" s="216" t="s">
        <v>388</v>
      </c>
      <c r="G26" s="55" t="s">
        <v>42</v>
      </c>
      <c r="H26" s="216" t="s">
        <v>164</v>
      </c>
      <c r="I26" s="55" t="s">
        <v>155</v>
      </c>
      <c r="J26" s="216" t="s">
        <v>38</v>
      </c>
      <c r="K26" s="216" t="s">
        <v>156</v>
      </c>
      <c r="L26" s="208">
        <v>1</v>
      </c>
      <c r="N26" s="208">
        <v>1</v>
      </c>
      <c r="O26" s="208">
        <v>0.6</v>
      </c>
      <c r="P26" s="208">
        <v>0.65</v>
      </c>
      <c r="Q26" s="245">
        <f t="shared" si="0"/>
        <v>0.625</v>
      </c>
      <c r="R26" s="208">
        <v>16.8</v>
      </c>
      <c r="S26" s="208">
        <v>117</v>
      </c>
      <c r="T26" s="217">
        <f t="shared" si="1"/>
        <v>30</v>
      </c>
      <c r="U26" s="208">
        <v>107</v>
      </c>
      <c r="V26" s="217">
        <f t="shared" si="2"/>
        <v>3210</v>
      </c>
      <c r="W26" s="208">
        <v>4</v>
      </c>
      <c r="X26" s="55" t="s">
        <v>46</v>
      </c>
      <c r="Y26" s="55" t="s">
        <v>69</v>
      </c>
      <c r="Z26" s="208" t="s">
        <v>88</v>
      </c>
      <c r="AA26" s="55" t="s">
        <v>55</v>
      </c>
      <c r="AB26" s="216" t="s">
        <v>350</v>
      </c>
      <c r="AP26" s="239" t="s">
        <v>117</v>
      </c>
      <c r="AR26" s="208" t="s">
        <v>299</v>
      </c>
    </row>
    <row r="27" spans="1:48" x14ac:dyDescent="0.15">
      <c r="A27" s="55" t="s">
        <v>56</v>
      </c>
      <c r="B27" s="55" t="s">
        <v>375</v>
      </c>
      <c r="C27" s="216">
        <v>2018</v>
      </c>
      <c r="D27" s="86" t="s">
        <v>376</v>
      </c>
      <c r="E27" s="216" t="s">
        <v>387</v>
      </c>
      <c r="F27" s="216" t="s">
        <v>388</v>
      </c>
      <c r="G27" s="55" t="s">
        <v>42</v>
      </c>
      <c r="H27" s="216" t="s">
        <v>164</v>
      </c>
      <c r="I27" s="55" t="s">
        <v>155</v>
      </c>
      <c r="J27" s="216" t="s">
        <v>38</v>
      </c>
      <c r="K27" s="216" t="s">
        <v>156</v>
      </c>
      <c r="L27" s="208">
        <v>2</v>
      </c>
      <c r="N27" s="208">
        <v>1</v>
      </c>
      <c r="O27" s="208">
        <v>0.65</v>
      </c>
      <c r="P27" s="208">
        <v>0.65</v>
      </c>
      <c r="Q27" s="245">
        <f t="shared" si="0"/>
        <v>0.65</v>
      </c>
      <c r="R27" s="208">
        <v>14</v>
      </c>
      <c r="S27" s="208">
        <v>117</v>
      </c>
      <c r="T27" s="217">
        <f t="shared" si="1"/>
        <v>30</v>
      </c>
      <c r="U27" s="208">
        <v>107</v>
      </c>
      <c r="V27" s="217">
        <f t="shared" si="2"/>
        <v>3210</v>
      </c>
      <c r="W27" s="208">
        <v>4</v>
      </c>
      <c r="X27" s="55" t="s">
        <v>46</v>
      </c>
      <c r="Y27" s="55" t="s">
        <v>69</v>
      </c>
      <c r="Z27" s="208" t="s">
        <v>88</v>
      </c>
      <c r="AA27" s="55" t="s">
        <v>55</v>
      </c>
      <c r="AB27" s="216" t="s">
        <v>350</v>
      </c>
      <c r="AP27" s="239" t="s">
        <v>118</v>
      </c>
    </row>
    <row r="28" spans="1:48" x14ac:dyDescent="0.15">
      <c r="A28" s="55" t="s">
        <v>56</v>
      </c>
      <c r="B28" s="55" t="s">
        <v>375</v>
      </c>
      <c r="C28" s="216">
        <v>2018</v>
      </c>
      <c r="D28" s="86" t="s">
        <v>376</v>
      </c>
      <c r="E28" s="216" t="s">
        <v>387</v>
      </c>
      <c r="F28" s="216" t="s">
        <v>388</v>
      </c>
      <c r="G28" s="55" t="s">
        <v>42</v>
      </c>
      <c r="H28" s="216" t="s">
        <v>164</v>
      </c>
      <c r="I28" s="55" t="s">
        <v>155</v>
      </c>
      <c r="J28" s="216" t="s">
        <v>38</v>
      </c>
      <c r="K28" s="216" t="s">
        <v>156</v>
      </c>
      <c r="L28" s="208">
        <v>3</v>
      </c>
      <c r="N28" s="208">
        <v>1</v>
      </c>
      <c r="O28" s="208">
        <v>0.6</v>
      </c>
      <c r="P28" s="208">
        <v>0.55000000000000004</v>
      </c>
      <c r="Q28" s="245">
        <f t="shared" si="0"/>
        <v>0.57499999999999996</v>
      </c>
      <c r="R28" s="237">
        <v>16.5</v>
      </c>
      <c r="S28" s="208">
        <v>118</v>
      </c>
      <c r="T28" s="217">
        <f t="shared" si="1"/>
        <v>30</v>
      </c>
      <c r="U28" s="208">
        <v>107</v>
      </c>
      <c r="V28" s="217">
        <f t="shared" si="2"/>
        <v>3210</v>
      </c>
      <c r="W28" s="208">
        <v>4</v>
      </c>
      <c r="X28" s="55" t="s">
        <v>46</v>
      </c>
      <c r="Y28" s="55" t="s">
        <v>69</v>
      </c>
      <c r="Z28" s="208" t="s">
        <v>88</v>
      </c>
      <c r="AA28" s="55" t="s">
        <v>55</v>
      </c>
      <c r="AB28" s="216" t="s">
        <v>350</v>
      </c>
    </row>
    <row r="29" spans="1:48" x14ac:dyDescent="0.15">
      <c r="A29" s="55" t="s">
        <v>56</v>
      </c>
      <c r="B29" s="55" t="s">
        <v>375</v>
      </c>
      <c r="C29" s="216">
        <v>2018</v>
      </c>
      <c r="D29" s="86" t="s">
        <v>376</v>
      </c>
      <c r="E29" s="216" t="s">
        <v>325</v>
      </c>
      <c r="F29" s="216" t="s">
        <v>183</v>
      </c>
      <c r="G29" s="55" t="s">
        <v>42</v>
      </c>
      <c r="H29" s="216" t="s">
        <v>157</v>
      </c>
      <c r="I29" s="55" t="s">
        <v>155</v>
      </c>
      <c r="J29" s="216" t="s">
        <v>38</v>
      </c>
      <c r="K29" s="216" t="s">
        <v>156</v>
      </c>
      <c r="L29" s="208">
        <v>1</v>
      </c>
      <c r="N29" s="208">
        <v>1</v>
      </c>
      <c r="O29" s="208">
        <v>0.55000000000000004</v>
      </c>
      <c r="P29" s="208">
        <v>0.6</v>
      </c>
      <c r="Q29" s="245">
        <f t="shared" si="0"/>
        <v>0.57499999999999996</v>
      </c>
      <c r="R29" s="208">
        <v>13.9</v>
      </c>
      <c r="S29" s="208">
        <v>120</v>
      </c>
      <c r="T29" s="217">
        <f t="shared" si="1"/>
        <v>30</v>
      </c>
      <c r="U29" s="208">
        <v>105</v>
      </c>
      <c r="V29" s="217">
        <f t="shared" si="2"/>
        <v>3150</v>
      </c>
      <c r="W29" s="208">
        <v>2</v>
      </c>
      <c r="X29" s="55" t="s">
        <v>46</v>
      </c>
      <c r="Y29" s="55" t="s">
        <v>55</v>
      </c>
      <c r="Z29" s="208" t="s">
        <v>78</v>
      </c>
      <c r="AA29" s="55" t="s">
        <v>60</v>
      </c>
      <c r="AB29" s="216" t="s">
        <v>350</v>
      </c>
    </row>
    <row r="30" spans="1:48" x14ac:dyDescent="0.15">
      <c r="A30" s="55" t="s">
        <v>56</v>
      </c>
      <c r="B30" s="55" t="s">
        <v>375</v>
      </c>
      <c r="C30" s="216">
        <v>2018</v>
      </c>
      <c r="D30" s="86" t="s">
        <v>376</v>
      </c>
      <c r="E30" s="216" t="s">
        <v>325</v>
      </c>
      <c r="F30" s="216" t="s">
        <v>183</v>
      </c>
      <c r="G30" s="55" t="s">
        <v>42</v>
      </c>
      <c r="H30" s="216" t="s">
        <v>157</v>
      </c>
      <c r="I30" s="55" t="s">
        <v>155</v>
      </c>
      <c r="J30" s="216" t="s">
        <v>38</v>
      </c>
      <c r="K30" s="216" t="s">
        <v>156</v>
      </c>
      <c r="L30" s="208">
        <v>2</v>
      </c>
      <c r="N30" s="208">
        <v>1</v>
      </c>
      <c r="O30" s="208">
        <v>0.6</v>
      </c>
      <c r="P30" s="208">
        <v>0.6</v>
      </c>
      <c r="Q30" s="245">
        <f t="shared" si="0"/>
        <v>0.6</v>
      </c>
      <c r="R30" s="208">
        <v>13.5</v>
      </c>
      <c r="S30" s="208">
        <v>124</v>
      </c>
      <c r="T30" s="217">
        <f t="shared" si="1"/>
        <v>27</v>
      </c>
      <c r="U30" s="208">
        <v>105</v>
      </c>
      <c r="V30" s="217">
        <f t="shared" si="2"/>
        <v>2835</v>
      </c>
      <c r="W30" s="208">
        <v>2</v>
      </c>
      <c r="X30" s="55" t="s">
        <v>46</v>
      </c>
      <c r="Y30" s="55" t="s">
        <v>55</v>
      </c>
      <c r="Z30" s="208" t="s">
        <v>78</v>
      </c>
      <c r="AA30" s="55" t="s">
        <v>60</v>
      </c>
      <c r="AB30" s="216" t="s">
        <v>350</v>
      </c>
    </row>
    <row r="31" spans="1:48" x14ac:dyDescent="0.15">
      <c r="A31" s="55" t="s">
        <v>56</v>
      </c>
      <c r="B31" s="55" t="s">
        <v>375</v>
      </c>
      <c r="C31" s="216">
        <v>2018</v>
      </c>
      <c r="D31" s="86" t="s">
        <v>376</v>
      </c>
      <c r="E31" s="216" t="s">
        <v>325</v>
      </c>
      <c r="F31" s="216" t="s">
        <v>183</v>
      </c>
      <c r="G31" s="55" t="s">
        <v>42</v>
      </c>
      <c r="H31" s="216" t="s">
        <v>157</v>
      </c>
      <c r="I31" s="55" t="s">
        <v>155</v>
      </c>
      <c r="J31" s="216" t="s">
        <v>38</v>
      </c>
      <c r="K31" s="216" t="s">
        <v>156</v>
      </c>
      <c r="L31" s="208">
        <v>3</v>
      </c>
      <c r="N31" s="208">
        <v>1</v>
      </c>
      <c r="O31" s="208">
        <v>0.55000000000000004</v>
      </c>
      <c r="P31" s="208">
        <v>0.55000000000000004</v>
      </c>
      <c r="Q31" s="245">
        <f t="shared" si="0"/>
        <v>0.55000000000000004</v>
      </c>
      <c r="R31" s="237">
        <v>13.2</v>
      </c>
      <c r="S31" s="208">
        <v>116</v>
      </c>
      <c r="T31" s="217">
        <f t="shared" si="1"/>
        <v>30</v>
      </c>
      <c r="U31" s="208">
        <v>105</v>
      </c>
      <c r="V31" s="217">
        <f t="shared" si="2"/>
        <v>3150</v>
      </c>
      <c r="W31" s="208">
        <v>2</v>
      </c>
      <c r="X31" s="55" t="s">
        <v>46</v>
      </c>
      <c r="Y31" s="55" t="s">
        <v>55</v>
      </c>
      <c r="Z31" s="208" t="s">
        <v>78</v>
      </c>
      <c r="AA31" s="55" t="s">
        <v>60</v>
      </c>
      <c r="AB31" s="216" t="s">
        <v>350</v>
      </c>
    </row>
    <row r="32" spans="1:48" x14ac:dyDescent="0.15">
      <c r="A32" s="55" t="s">
        <v>56</v>
      </c>
      <c r="B32" s="55" t="s">
        <v>375</v>
      </c>
      <c r="C32" s="216">
        <v>2018</v>
      </c>
      <c r="D32" s="86" t="s">
        <v>376</v>
      </c>
      <c r="E32" s="216" t="s">
        <v>325</v>
      </c>
      <c r="F32" s="216" t="s">
        <v>183</v>
      </c>
      <c r="G32" s="55" t="s">
        <v>42</v>
      </c>
      <c r="H32" s="216" t="s">
        <v>164</v>
      </c>
      <c r="I32" s="55" t="s">
        <v>155</v>
      </c>
      <c r="J32" s="216" t="s">
        <v>38</v>
      </c>
      <c r="K32" s="216" t="s">
        <v>156</v>
      </c>
      <c r="L32" s="208">
        <v>1</v>
      </c>
      <c r="N32" s="208">
        <v>1</v>
      </c>
      <c r="O32" s="208">
        <v>0.6</v>
      </c>
      <c r="P32" s="208">
        <v>0.55000000000000004</v>
      </c>
      <c r="Q32" s="245">
        <f t="shared" si="0"/>
        <v>0.57499999999999996</v>
      </c>
      <c r="R32" s="208">
        <v>14.3</v>
      </c>
      <c r="S32" s="208">
        <v>142</v>
      </c>
      <c r="T32" s="217">
        <f t="shared" si="1"/>
        <v>22</v>
      </c>
      <c r="U32" s="208">
        <v>149</v>
      </c>
      <c r="V32" s="217">
        <f t="shared" si="2"/>
        <v>3278</v>
      </c>
      <c r="W32" s="208">
        <v>2</v>
      </c>
      <c r="X32" s="55" t="s">
        <v>46</v>
      </c>
      <c r="Y32" s="55" t="s">
        <v>55</v>
      </c>
      <c r="Z32" s="208" t="s">
        <v>78</v>
      </c>
      <c r="AA32" s="55" t="s">
        <v>60</v>
      </c>
      <c r="AB32" s="216" t="s">
        <v>350</v>
      </c>
    </row>
    <row r="33" spans="1:28" x14ac:dyDescent="0.15">
      <c r="A33" s="55" t="s">
        <v>56</v>
      </c>
      <c r="B33" s="55" t="s">
        <v>375</v>
      </c>
      <c r="C33" s="216">
        <v>2018</v>
      </c>
      <c r="D33" s="86" t="s">
        <v>376</v>
      </c>
      <c r="E33" s="216" t="s">
        <v>325</v>
      </c>
      <c r="F33" s="216" t="s">
        <v>183</v>
      </c>
      <c r="G33" s="55" t="s">
        <v>42</v>
      </c>
      <c r="H33" s="216" t="s">
        <v>164</v>
      </c>
      <c r="I33" s="55" t="s">
        <v>155</v>
      </c>
      <c r="J33" s="216" t="s">
        <v>38</v>
      </c>
      <c r="K33" s="216" t="s">
        <v>156</v>
      </c>
      <c r="L33" s="208">
        <v>2</v>
      </c>
      <c r="N33" s="208">
        <v>1</v>
      </c>
      <c r="O33" s="208">
        <v>0.6</v>
      </c>
      <c r="P33" s="208">
        <v>0.55000000000000004</v>
      </c>
      <c r="Q33" s="245">
        <f t="shared" si="0"/>
        <v>0.57499999999999996</v>
      </c>
      <c r="R33" s="208">
        <v>16</v>
      </c>
      <c r="S33" s="208">
        <v>149</v>
      </c>
      <c r="T33" s="217">
        <f t="shared" si="1"/>
        <v>22</v>
      </c>
      <c r="U33" s="208">
        <v>149</v>
      </c>
      <c r="V33" s="217">
        <f t="shared" si="2"/>
        <v>3278</v>
      </c>
      <c r="W33" s="208">
        <v>2</v>
      </c>
      <c r="X33" s="55" t="s">
        <v>46</v>
      </c>
      <c r="Y33" s="55" t="s">
        <v>55</v>
      </c>
      <c r="Z33" s="208" t="s">
        <v>78</v>
      </c>
      <c r="AA33" s="55" t="s">
        <v>60</v>
      </c>
      <c r="AB33" s="216" t="s">
        <v>350</v>
      </c>
    </row>
    <row r="34" spans="1:28" x14ac:dyDescent="0.15">
      <c r="A34" s="55" t="s">
        <v>56</v>
      </c>
      <c r="B34" s="55" t="s">
        <v>375</v>
      </c>
      <c r="C34" s="216">
        <v>2018</v>
      </c>
      <c r="D34" s="86" t="s">
        <v>376</v>
      </c>
      <c r="E34" s="216" t="s">
        <v>325</v>
      </c>
      <c r="F34" s="216" t="s">
        <v>183</v>
      </c>
      <c r="G34" s="55" t="s">
        <v>42</v>
      </c>
      <c r="H34" s="216" t="s">
        <v>164</v>
      </c>
      <c r="I34" s="55" t="s">
        <v>155</v>
      </c>
      <c r="J34" s="216" t="s">
        <v>38</v>
      </c>
      <c r="K34" s="216" t="s">
        <v>156</v>
      </c>
      <c r="L34" s="208">
        <v>3</v>
      </c>
      <c r="N34" s="208">
        <v>1</v>
      </c>
      <c r="O34" s="208">
        <v>0.6</v>
      </c>
      <c r="P34" s="208">
        <v>0.6</v>
      </c>
      <c r="Q34" s="245">
        <f t="shared" si="0"/>
        <v>0.6</v>
      </c>
      <c r="R34" s="208">
        <v>15.5</v>
      </c>
      <c r="S34" s="208">
        <v>143</v>
      </c>
      <c r="T34" s="217">
        <f t="shared" si="1"/>
        <v>22</v>
      </c>
      <c r="U34" s="208">
        <v>149</v>
      </c>
      <c r="V34" s="217">
        <f t="shared" si="2"/>
        <v>3278</v>
      </c>
      <c r="W34" s="208">
        <v>2</v>
      </c>
      <c r="X34" s="55" t="s">
        <v>46</v>
      </c>
      <c r="Y34" s="55" t="s">
        <v>55</v>
      </c>
      <c r="Z34" s="208" t="s">
        <v>78</v>
      </c>
      <c r="AA34" s="55" t="s">
        <v>60</v>
      </c>
      <c r="AB34" s="216" t="s">
        <v>350</v>
      </c>
    </row>
    <row r="35" spans="1:28" x14ac:dyDescent="0.15">
      <c r="A35" s="55" t="s">
        <v>56</v>
      </c>
      <c r="B35" s="55" t="s">
        <v>375</v>
      </c>
      <c r="C35" s="216">
        <v>2018</v>
      </c>
      <c r="D35" s="86" t="s">
        <v>376</v>
      </c>
      <c r="E35" s="216" t="s">
        <v>392</v>
      </c>
      <c r="F35" s="216" t="s">
        <v>183</v>
      </c>
      <c r="G35" s="55" t="s">
        <v>42</v>
      </c>
      <c r="H35" s="216" t="s">
        <v>157</v>
      </c>
      <c r="I35" s="55" t="s">
        <v>155</v>
      </c>
      <c r="J35" s="216" t="s">
        <v>38</v>
      </c>
      <c r="K35" s="216" t="s">
        <v>156</v>
      </c>
      <c r="L35" s="208">
        <v>1</v>
      </c>
      <c r="N35" s="208">
        <v>1</v>
      </c>
      <c r="O35" s="208">
        <v>0.8</v>
      </c>
      <c r="P35" s="208">
        <v>0.85</v>
      </c>
      <c r="Q35" s="217">
        <f t="shared" si="0"/>
        <v>0.82499999999999996</v>
      </c>
      <c r="R35" s="208">
        <v>12.7</v>
      </c>
      <c r="S35" s="208">
        <v>134</v>
      </c>
      <c r="T35" s="217">
        <f t="shared" si="1"/>
        <v>25</v>
      </c>
      <c r="U35" s="208">
        <v>138</v>
      </c>
      <c r="V35" s="217">
        <f t="shared" si="2"/>
        <v>3450</v>
      </c>
      <c r="W35" s="208">
        <v>1</v>
      </c>
      <c r="X35" s="55" t="s">
        <v>39</v>
      </c>
      <c r="Y35" s="55" t="s">
        <v>88</v>
      </c>
      <c r="Z35" s="208" t="s">
        <v>78</v>
      </c>
      <c r="AA35" s="55" t="s">
        <v>97</v>
      </c>
      <c r="AB35" s="216" t="s">
        <v>350</v>
      </c>
    </row>
    <row r="36" spans="1:28" x14ac:dyDescent="0.15">
      <c r="A36" s="55" t="s">
        <v>56</v>
      </c>
      <c r="B36" s="55" t="s">
        <v>375</v>
      </c>
      <c r="C36" s="216">
        <v>2018</v>
      </c>
      <c r="D36" s="86" t="s">
        <v>376</v>
      </c>
      <c r="E36" s="216" t="s">
        <v>392</v>
      </c>
      <c r="F36" s="216" t="s">
        <v>183</v>
      </c>
      <c r="G36" s="55" t="s">
        <v>42</v>
      </c>
      <c r="H36" s="216" t="s">
        <v>157</v>
      </c>
      <c r="I36" s="55" t="s">
        <v>155</v>
      </c>
      <c r="J36" s="216" t="s">
        <v>38</v>
      </c>
      <c r="K36" s="216" t="s">
        <v>156</v>
      </c>
      <c r="L36" s="208">
        <v>2</v>
      </c>
      <c r="N36" s="208">
        <v>1</v>
      </c>
      <c r="O36" s="208">
        <v>0.95</v>
      </c>
      <c r="P36" s="208">
        <v>0.9</v>
      </c>
      <c r="Q36" s="217">
        <f t="shared" si="0"/>
        <v>0.92500000000000004</v>
      </c>
      <c r="R36" s="208">
        <v>12.7</v>
      </c>
      <c r="S36" s="208">
        <v>131</v>
      </c>
      <c r="T36" s="217">
        <f t="shared" si="1"/>
        <v>25</v>
      </c>
      <c r="U36" s="208">
        <v>138</v>
      </c>
      <c r="V36" s="217">
        <f t="shared" si="2"/>
        <v>3450</v>
      </c>
      <c r="W36" s="208">
        <v>1</v>
      </c>
      <c r="X36" s="55" t="s">
        <v>39</v>
      </c>
      <c r="Y36" s="55" t="s">
        <v>88</v>
      </c>
      <c r="Z36" s="208" t="s">
        <v>78</v>
      </c>
      <c r="AA36" s="55" t="s">
        <v>97</v>
      </c>
      <c r="AB36" s="216" t="s">
        <v>350</v>
      </c>
    </row>
    <row r="37" spans="1:28" x14ac:dyDescent="0.15">
      <c r="A37" s="55" t="s">
        <v>56</v>
      </c>
      <c r="B37" s="55" t="s">
        <v>375</v>
      </c>
      <c r="C37" s="216">
        <v>2018</v>
      </c>
      <c r="D37" s="86" t="s">
        <v>376</v>
      </c>
      <c r="E37" s="216" t="s">
        <v>392</v>
      </c>
      <c r="F37" s="216" t="s">
        <v>183</v>
      </c>
      <c r="G37" s="55" t="s">
        <v>42</v>
      </c>
      <c r="H37" s="216" t="s">
        <v>157</v>
      </c>
      <c r="I37" s="55" t="s">
        <v>155</v>
      </c>
      <c r="J37" s="216" t="s">
        <v>38</v>
      </c>
      <c r="K37" s="216" t="s">
        <v>156</v>
      </c>
      <c r="L37" s="208">
        <v>3</v>
      </c>
      <c r="N37" s="208">
        <v>1</v>
      </c>
      <c r="O37" s="208">
        <v>0.85</v>
      </c>
      <c r="P37" s="208">
        <v>0.85</v>
      </c>
      <c r="Q37" s="217">
        <f t="shared" si="0"/>
        <v>0.85</v>
      </c>
      <c r="R37" s="208">
        <v>13.4</v>
      </c>
      <c r="S37" s="208">
        <v>132</v>
      </c>
      <c r="T37" s="217">
        <f t="shared" si="1"/>
        <v>25</v>
      </c>
      <c r="U37" s="208">
        <v>138</v>
      </c>
      <c r="V37" s="217">
        <f t="shared" si="2"/>
        <v>3450</v>
      </c>
      <c r="W37" s="208">
        <v>1</v>
      </c>
      <c r="X37" s="55" t="s">
        <v>39</v>
      </c>
      <c r="Y37" s="55" t="s">
        <v>88</v>
      </c>
      <c r="Z37" s="208" t="s">
        <v>78</v>
      </c>
      <c r="AA37" s="55" t="s">
        <v>97</v>
      </c>
      <c r="AB37" s="216" t="s">
        <v>350</v>
      </c>
    </row>
    <row r="38" spans="1:28" x14ac:dyDescent="0.15">
      <c r="A38" s="55" t="s">
        <v>56</v>
      </c>
      <c r="B38" s="55" t="s">
        <v>375</v>
      </c>
      <c r="C38" s="216">
        <v>2018</v>
      </c>
      <c r="D38" s="86" t="s">
        <v>376</v>
      </c>
      <c r="E38" s="216" t="s">
        <v>392</v>
      </c>
      <c r="F38" s="216" t="s">
        <v>183</v>
      </c>
      <c r="G38" s="55" t="s">
        <v>42</v>
      </c>
      <c r="H38" s="216" t="s">
        <v>164</v>
      </c>
      <c r="I38" s="55" t="s">
        <v>155</v>
      </c>
      <c r="J38" s="216" t="s">
        <v>38</v>
      </c>
      <c r="K38" s="216" t="s">
        <v>156</v>
      </c>
      <c r="L38" s="208">
        <v>1</v>
      </c>
      <c r="N38" s="208">
        <v>1</v>
      </c>
      <c r="O38" s="208">
        <v>0.6</v>
      </c>
      <c r="P38" s="208">
        <v>0.6</v>
      </c>
      <c r="Q38" s="217">
        <f t="shared" si="0"/>
        <v>0.6</v>
      </c>
      <c r="R38" s="208">
        <v>15.5</v>
      </c>
      <c r="S38" s="208">
        <v>133</v>
      </c>
      <c r="T38" s="217">
        <f t="shared" si="1"/>
        <v>25</v>
      </c>
      <c r="U38" s="208">
        <v>178</v>
      </c>
      <c r="V38" s="217">
        <f t="shared" si="2"/>
        <v>4450</v>
      </c>
      <c r="W38" s="208">
        <v>1</v>
      </c>
      <c r="X38" s="55" t="s">
        <v>39</v>
      </c>
      <c r="Y38" s="55" t="s">
        <v>88</v>
      </c>
      <c r="Z38" s="208" t="s">
        <v>78</v>
      </c>
      <c r="AA38" s="55" t="s">
        <v>97</v>
      </c>
      <c r="AB38" s="216" t="s">
        <v>350</v>
      </c>
    </row>
    <row r="39" spans="1:28" x14ac:dyDescent="0.15">
      <c r="A39" s="55" t="s">
        <v>56</v>
      </c>
      <c r="B39" s="55" t="s">
        <v>375</v>
      </c>
      <c r="C39" s="216">
        <v>2018</v>
      </c>
      <c r="D39" s="86" t="s">
        <v>376</v>
      </c>
      <c r="E39" s="216" t="s">
        <v>392</v>
      </c>
      <c r="F39" s="216" t="s">
        <v>183</v>
      </c>
      <c r="G39" s="55" t="s">
        <v>42</v>
      </c>
      <c r="H39" s="216" t="s">
        <v>164</v>
      </c>
      <c r="I39" s="55" t="s">
        <v>155</v>
      </c>
      <c r="J39" s="216" t="s">
        <v>38</v>
      </c>
      <c r="K39" s="216" t="s">
        <v>156</v>
      </c>
      <c r="L39" s="208">
        <v>2</v>
      </c>
      <c r="N39" s="208">
        <v>1</v>
      </c>
      <c r="O39" s="208">
        <v>0.6</v>
      </c>
      <c r="P39" s="208">
        <v>0.65</v>
      </c>
      <c r="Q39" s="217">
        <f t="shared" si="0"/>
        <v>0.625</v>
      </c>
      <c r="R39" s="208">
        <v>15.9</v>
      </c>
      <c r="S39" s="208">
        <v>132</v>
      </c>
      <c r="T39" s="217">
        <f t="shared" si="1"/>
        <v>25</v>
      </c>
      <c r="U39" s="208">
        <v>178</v>
      </c>
      <c r="V39" s="217">
        <f t="shared" si="2"/>
        <v>4450</v>
      </c>
      <c r="W39" s="208">
        <v>1</v>
      </c>
      <c r="X39" s="55" t="s">
        <v>39</v>
      </c>
      <c r="Y39" s="55" t="s">
        <v>88</v>
      </c>
      <c r="Z39" s="208" t="s">
        <v>78</v>
      </c>
      <c r="AA39" s="55" t="s">
        <v>97</v>
      </c>
      <c r="AB39" s="216" t="s">
        <v>350</v>
      </c>
    </row>
    <row r="40" spans="1:28" x14ac:dyDescent="0.15">
      <c r="A40" s="55" t="s">
        <v>56</v>
      </c>
      <c r="B40" s="55" t="s">
        <v>375</v>
      </c>
      <c r="C40" s="216">
        <v>2018</v>
      </c>
      <c r="D40" s="86" t="s">
        <v>376</v>
      </c>
      <c r="E40" s="216" t="s">
        <v>392</v>
      </c>
      <c r="F40" s="216" t="s">
        <v>183</v>
      </c>
      <c r="G40" s="55" t="s">
        <v>42</v>
      </c>
      <c r="H40" s="216" t="s">
        <v>164</v>
      </c>
      <c r="I40" s="55" t="s">
        <v>155</v>
      </c>
      <c r="J40" s="216" t="s">
        <v>38</v>
      </c>
      <c r="K40" s="216" t="s">
        <v>156</v>
      </c>
      <c r="L40" s="208">
        <v>3</v>
      </c>
      <c r="N40" s="208">
        <v>1</v>
      </c>
      <c r="O40" s="208">
        <v>0.65</v>
      </c>
      <c r="P40" s="208">
        <v>0.65</v>
      </c>
      <c r="Q40" s="217">
        <f t="shared" si="0"/>
        <v>0.65</v>
      </c>
      <c r="R40" s="208">
        <v>15</v>
      </c>
      <c r="S40" s="208">
        <v>132</v>
      </c>
      <c r="T40" s="217">
        <f t="shared" si="1"/>
        <v>25</v>
      </c>
      <c r="U40" s="208">
        <v>178</v>
      </c>
      <c r="V40" s="217">
        <f t="shared" si="2"/>
        <v>4450</v>
      </c>
      <c r="W40" s="208">
        <v>1</v>
      </c>
      <c r="X40" s="55" t="s">
        <v>39</v>
      </c>
      <c r="Y40" s="55" t="s">
        <v>88</v>
      </c>
      <c r="Z40" s="208" t="s">
        <v>78</v>
      </c>
      <c r="AA40" s="55" t="s">
        <v>97</v>
      </c>
      <c r="AB40" s="216" t="s">
        <v>350</v>
      </c>
    </row>
    <row r="41" spans="1:28" x14ac:dyDescent="0.15">
      <c r="A41" s="55" t="s">
        <v>56</v>
      </c>
      <c r="B41" s="55" t="s">
        <v>375</v>
      </c>
      <c r="C41" s="216">
        <v>2018</v>
      </c>
      <c r="D41" s="86" t="s">
        <v>376</v>
      </c>
      <c r="E41" s="216" t="s">
        <v>185</v>
      </c>
      <c r="F41" s="216" t="s">
        <v>388</v>
      </c>
      <c r="G41" s="55" t="s">
        <v>42</v>
      </c>
      <c r="H41" s="216" t="s">
        <v>157</v>
      </c>
      <c r="I41" s="55" t="s">
        <v>158</v>
      </c>
      <c r="J41" s="216" t="s">
        <v>38</v>
      </c>
      <c r="K41" s="216" t="s">
        <v>156</v>
      </c>
      <c r="L41" s="208">
        <v>1</v>
      </c>
      <c r="N41" s="208">
        <v>1</v>
      </c>
      <c r="O41" s="208">
        <v>0.55000000000000004</v>
      </c>
      <c r="P41" s="208">
        <v>0.55000000000000004</v>
      </c>
      <c r="Q41" s="217">
        <f t="shared" si="0"/>
        <v>0.55000000000000004</v>
      </c>
      <c r="R41" s="208">
        <v>15.9</v>
      </c>
      <c r="S41" s="208">
        <v>130</v>
      </c>
      <c r="T41" s="217">
        <f t="shared" si="1"/>
        <v>25</v>
      </c>
      <c r="U41" s="208">
        <v>172</v>
      </c>
      <c r="V41" s="217">
        <f t="shared" si="2"/>
        <v>4300</v>
      </c>
      <c r="W41" s="208">
        <v>4</v>
      </c>
      <c r="X41" s="55" t="s">
        <v>39</v>
      </c>
      <c r="Y41" s="55" t="s">
        <v>88</v>
      </c>
      <c r="Z41" s="208" t="s">
        <v>55</v>
      </c>
      <c r="AA41" s="55" t="s">
        <v>90</v>
      </c>
      <c r="AB41" s="216" t="s">
        <v>350</v>
      </c>
    </row>
    <row r="42" spans="1:28" x14ac:dyDescent="0.15">
      <c r="A42" s="55" t="s">
        <v>56</v>
      </c>
      <c r="B42" s="55" t="s">
        <v>375</v>
      </c>
      <c r="C42" s="216">
        <v>2018</v>
      </c>
      <c r="D42" s="86" t="s">
        <v>376</v>
      </c>
      <c r="E42" s="216" t="s">
        <v>185</v>
      </c>
      <c r="F42" s="216" t="s">
        <v>388</v>
      </c>
      <c r="G42" s="55" t="s">
        <v>42</v>
      </c>
      <c r="H42" s="216" t="s">
        <v>157</v>
      </c>
      <c r="I42" s="55" t="s">
        <v>158</v>
      </c>
      <c r="J42" s="216" t="s">
        <v>38</v>
      </c>
      <c r="K42" s="216" t="s">
        <v>156</v>
      </c>
      <c r="L42" s="208">
        <v>2</v>
      </c>
      <c r="N42" s="208">
        <v>1</v>
      </c>
      <c r="O42" s="208">
        <v>0.65</v>
      </c>
      <c r="P42" s="208">
        <v>0.6</v>
      </c>
      <c r="Q42" s="217">
        <f t="shared" si="0"/>
        <v>0.625</v>
      </c>
      <c r="R42" s="208">
        <v>16.7</v>
      </c>
      <c r="S42" s="208">
        <v>129</v>
      </c>
      <c r="T42" s="217">
        <f t="shared" si="1"/>
        <v>25</v>
      </c>
      <c r="U42" s="208">
        <v>172</v>
      </c>
      <c r="V42" s="217">
        <f t="shared" si="2"/>
        <v>4300</v>
      </c>
      <c r="W42" s="208">
        <v>4</v>
      </c>
      <c r="X42" s="55" t="s">
        <v>39</v>
      </c>
      <c r="Y42" s="55" t="s">
        <v>88</v>
      </c>
      <c r="Z42" s="208" t="s">
        <v>55</v>
      </c>
      <c r="AA42" s="55" t="s">
        <v>90</v>
      </c>
      <c r="AB42" s="216" t="s">
        <v>350</v>
      </c>
    </row>
    <row r="43" spans="1:28" x14ac:dyDescent="0.15">
      <c r="A43" s="55" t="s">
        <v>56</v>
      </c>
      <c r="B43" s="55" t="s">
        <v>375</v>
      </c>
      <c r="C43" s="216">
        <v>2018</v>
      </c>
      <c r="D43" s="86" t="s">
        <v>376</v>
      </c>
      <c r="E43" s="216" t="s">
        <v>185</v>
      </c>
      <c r="F43" s="216" t="s">
        <v>388</v>
      </c>
      <c r="G43" s="55" t="s">
        <v>42</v>
      </c>
      <c r="H43" s="216" t="s">
        <v>157</v>
      </c>
      <c r="I43" s="55" t="s">
        <v>158</v>
      </c>
      <c r="J43" s="216" t="s">
        <v>38</v>
      </c>
      <c r="K43" s="216" t="s">
        <v>156</v>
      </c>
      <c r="L43" s="208">
        <v>3</v>
      </c>
      <c r="N43" s="208">
        <v>1</v>
      </c>
      <c r="O43" s="208">
        <v>0.55000000000000004</v>
      </c>
      <c r="P43" s="208">
        <v>0.55000000000000004</v>
      </c>
      <c r="Q43" s="217">
        <f t="shared" si="0"/>
        <v>0.55000000000000004</v>
      </c>
      <c r="R43" s="208">
        <v>16.399999999999999</v>
      </c>
      <c r="S43" s="208">
        <v>127</v>
      </c>
      <c r="T43" s="217">
        <f t="shared" si="1"/>
        <v>27</v>
      </c>
      <c r="U43" s="208">
        <v>172</v>
      </c>
      <c r="V43" s="217">
        <f t="shared" si="2"/>
        <v>4644</v>
      </c>
      <c r="W43" s="208">
        <v>4</v>
      </c>
      <c r="X43" s="55" t="s">
        <v>39</v>
      </c>
      <c r="Y43" s="55" t="s">
        <v>88</v>
      </c>
      <c r="Z43" s="208" t="s">
        <v>55</v>
      </c>
      <c r="AA43" s="55" t="s">
        <v>90</v>
      </c>
      <c r="AB43" s="216" t="s">
        <v>350</v>
      </c>
    </row>
    <row r="44" spans="1:28" x14ac:dyDescent="0.15">
      <c r="A44" s="55" t="s">
        <v>56</v>
      </c>
      <c r="B44" s="55" t="s">
        <v>375</v>
      </c>
      <c r="C44" s="216">
        <v>2018</v>
      </c>
      <c r="D44" s="86" t="s">
        <v>376</v>
      </c>
      <c r="E44" s="216" t="s">
        <v>325</v>
      </c>
      <c r="F44" s="216" t="s">
        <v>388</v>
      </c>
      <c r="G44" s="55" t="s">
        <v>42</v>
      </c>
      <c r="H44" s="216" t="s">
        <v>157</v>
      </c>
      <c r="I44" s="55" t="s">
        <v>155</v>
      </c>
      <c r="J44" s="216" t="s">
        <v>38</v>
      </c>
      <c r="K44" s="216" t="s">
        <v>156</v>
      </c>
      <c r="L44" s="208">
        <v>1</v>
      </c>
      <c r="N44" s="208">
        <v>1</v>
      </c>
      <c r="O44" s="208">
        <v>0.65</v>
      </c>
      <c r="P44" s="208">
        <v>0.7</v>
      </c>
      <c r="Q44" s="217">
        <f t="shared" si="0"/>
        <v>0.67500000000000004</v>
      </c>
      <c r="R44" s="208">
        <v>14.2</v>
      </c>
      <c r="S44" s="208">
        <v>117</v>
      </c>
      <c r="T44" s="217">
        <f t="shared" si="1"/>
        <v>30</v>
      </c>
      <c r="U44" s="208">
        <v>105</v>
      </c>
      <c r="V44" s="217">
        <f t="shared" si="2"/>
        <v>3150</v>
      </c>
      <c r="W44" s="208">
        <v>4</v>
      </c>
      <c r="X44" s="55" t="s">
        <v>46</v>
      </c>
      <c r="Y44" s="55" t="s">
        <v>55</v>
      </c>
      <c r="Z44" s="208" t="s">
        <v>88</v>
      </c>
      <c r="AA44" s="55" t="s">
        <v>69</v>
      </c>
      <c r="AB44" s="216" t="s">
        <v>350</v>
      </c>
    </row>
    <row r="45" spans="1:28" x14ac:dyDescent="0.15">
      <c r="A45" s="55" t="s">
        <v>56</v>
      </c>
      <c r="B45" s="55" t="s">
        <v>375</v>
      </c>
      <c r="C45" s="216">
        <v>2018</v>
      </c>
      <c r="D45" s="86" t="s">
        <v>376</v>
      </c>
      <c r="E45" s="216" t="s">
        <v>325</v>
      </c>
      <c r="F45" s="216" t="s">
        <v>388</v>
      </c>
      <c r="G45" s="55" t="s">
        <v>42</v>
      </c>
      <c r="H45" s="216" t="s">
        <v>157</v>
      </c>
      <c r="I45" s="55" t="s">
        <v>155</v>
      </c>
      <c r="J45" s="216" t="s">
        <v>38</v>
      </c>
      <c r="K45" s="216" t="s">
        <v>156</v>
      </c>
      <c r="L45" s="208">
        <v>2</v>
      </c>
      <c r="N45" s="208">
        <v>1</v>
      </c>
      <c r="O45" s="208">
        <v>0.6</v>
      </c>
      <c r="P45" s="208">
        <v>0.6</v>
      </c>
      <c r="Q45" s="217">
        <f t="shared" si="0"/>
        <v>0.6</v>
      </c>
      <c r="R45" s="208">
        <v>15.3</v>
      </c>
      <c r="S45" s="208">
        <v>113</v>
      </c>
      <c r="T45" s="217">
        <f t="shared" si="1"/>
        <v>30</v>
      </c>
      <c r="U45" s="208">
        <v>105</v>
      </c>
      <c r="V45" s="217">
        <f t="shared" si="2"/>
        <v>3150</v>
      </c>
      <c r="W45" s="208">
        <v>4</v>
      </c>
      <c r="X45" s="55" t="s">
        <v>46</v>
      </c>
      <c r="Y45" s="55" t="s">
        <v>55</v>
      </c>
      <c r="Z45" s="208" t="s">
        <v>88</v>
      </c>
      <c r="AA45" s="55" t="s">
        <v>69</v>
      </c>
      <c r="AB45" s="216" t="s">
        <v>350</v>
      </c>
    </row>
    <row r="46" spans="1:28" x14ac:dyDescent="0.15">
      <c r="A46" s="55" t="s">
        <v>56</v>
      </c>
      <c r="B46" s="55" t="s">
        <v>375</v>
      </c>
      <c r="C46" s="216">
        <v>2018</v>
      </c>
      <c r="D46" s="86" t="s">
        <v>376</v>
      </c>
      <c r="E46" s="216" t="s">
        <v>325</v>
      </c>
      <c r="F46" s="216" t="s">
        <v>388</v>
      </c>
      <c r="G46" s="55" t="s">
        <v>42</v>
      </c>
      <c r="H46" s="216" t="s">
        <v>157</v>
      </c>
      <c r="I46" s="55" t="s">
        <v>155</v>
      </c>
      <c r="J46" s="216" t="s">
        <v>38</v>
      </c>
      <c r="K46" s="216" t="s">
        <v>156</v>
      </c>
      <c r="L46" s="208">
        <v>3</v>
      </c>
      <c r="N46" s="208">
        <v>1</v>
      </c>
      <c r="O46" s="208">
        <v>0.6</v>
      </c>
      <c r="P46" s="208">
        <v>0.55000000000000004</v>
      </c>
      <c r="Q46" s="217">
        <f t="shared" si="0"/>
        <v>0.57499999999999996</v>
      </c>
      <c r="R46" s="208">
        <v>17</v>
      </c>
      <c r="S46" s="208">
        <v>121</v>
      </c>
      <c r="T46" s="217">
        <f t="shared" si="1"/>
        <v>27</v>
      </c>
      <c r="U46" s="208">
        <v>105</v>
      </c>
      <c r="V46" s="217">
        <f t="shared" si="2"/>
        <v>2835</v>
      </c>
      <c r="W46" s="208">
        <v>4</v>
      </c>
      <c r="X46" s="55" t="s">
        <v>46</v>
      </c>
      <c r="Y46" s="55" t="s">
        <v>55</v>
      </c>
      <c r="Z46" s="208" t="s">
        <v>88</v>
      </c>
      <c r="AA46" s="55" t="s">
        <v>69</v>
      </c>
      <c r="AB46" s="216" t="s">
        <v>350</v>
      </c>
    </row>
    <row r="47" spans="1:28" x14ac:dyDescent="0.15">
      <c r="A47" s="55" t="s">
        <v>56</v>
      </c>
      <c r="B47" s="55" t="s">
        <v>375</v>
      </c>
      <c r="C47" s="216">
        <v>2018</v>
      </c>
      <c r="D47" s="86" t="s">
        <v>376</v>
      </c>
      <c r="E47" s="216" t="s">
        <v>325</v>
      </c>
      <c r="F47" s="216" t="s">
        <v>388</v>
      </c>
      <c r="G47" s="55" t="s">
        <v>42</v>
      </c>
      <c r="H47" s="216" t="s">
        <v>164</v>
      </c>
      <c r="I47" s="55" t="s">
        <v>155</v>
      </c>
      <c r="J47" s="216" t="s">
        <v>38</v>
      </c>
      <c r="K47" s="216" t="s">
        <v>156</v>
      </c>
      <c r="L47" s="208">
        <v>1</v>
      </c>
      <c r="N47" s="208">
        <v>1</v>
      </c>
      <c r="O47" s="208">
        <v>0.55000000000000004</v>
      </c>
      <c r="P47" s="208">
        <v>0.6</v>
      </c>
      <c r="Q47" s="217">
        <f t="shared" si="0"/>
        <v>0.57499999999999996</v>
      </c>
      <c r="R47" s="208">
        <v>16.5</v>
      </c>
      <c r="S47" s="208">
        <v>132</v>
      </c>
      <c r="T47" s="217">
        <f t="shared" si="1"/>
        <v>25</v>
      </c>
      <c r="U47" s="208">
        <v>149</v>
      </c>
      <c r="V47" s="217">
        <f t="shared" si="2"/>
        <v>3725</v>
      </c>
      <c r="W47" s="208">
        <v>4</v>
      </c>
      <c r="X47" s="55" t="s">
        <v>46</v>
      </c>
      <c r="Y47" s="55" t="s">
        <v>55</v>
      </c>
      <c r="Z47" s="208" t="s">
        <v>88</v>
      </c>
      <c r="AA47" s="55" t="s">
        <v>69</v>
      </c>
      <c r="AB47" s="216" t="s">
        <v>350</v>
      </c>
    </row>
    <row r="48" spans="1:28" x14ac:dyDescent="0.15">
      <c r="A48" s="55" t="s">
        <v>56</v>
      </c>
      <c r="B48" s="55" t="s">
        <v>375</v>
      </c>
      <c r="C48" s="216">
        <v>2018</v>
      </c>
      <c r="D48" s="86" t="s">
        <v>376</v>
      </c>
      <c r="E48" s="216" t="s">
        <v>325</v>
      </c>
      <c r="F48" s="216" t="s">
        <v>388</v>
      </c>
      <c r="G48" s="55" t="s">
        <v>42</v>
      </c>
      <c r="H48" s="216" t="s">
        <v>164</v>
      </c>
      <c r="I48" s="55" t="s">
        <v>155</v>
      </c>
      <c r="J48" s="216" t="s">
        <v>38</v>
      </c>
      <c r="K48" s="216" t="s">
        <v>156</v>
      </c>
      <c r="L48" s="208">
        <v>2</v>
      </c>
      <c r="N48" s="208">
        <v>1</v>
      </c>
      <c r="O48" s="208">
        <v>0.55000000000000004</v>
      </c>
      <c r="P48" s="208">
        <v>0.6</v>
      </c>
      <c r="Q48" s="217">
        <f t="shared" si="0"/>
        <v>0.57499999999999996</v>
      </c>
      <c r="R48" s="208">
        <v>14.2</v>
      </c>
      <c r="S48" s="208">
        <v>134</v>
      </c>
      <c r="T48" s="217">
        <f t="shared" si="1"/>
        <v>25</v>
      </c>
      <c r="U48" s="208">
        <v>149</v>
      </c>
      <c r="V48" s="217">
        <f t="shared" si="2"/>
        <v>3725</v>
      </c>
      <c r="W48" s="208">
        <v>4</v>
      </c>
      <c r="X48" s="55" t="s">
        <v>46</v>
      </c>
      <c r="Y48" s="55" t="s">
        <v>55</v>
      </c>
      <c r="Z48" s="208" t="s">
        <v>88</v>
      </c>
      <c r="AA48" s="55" t="s">
        <v>69</v>
      </c>
      <c r="AB48" s="216" t="s">
        <v>350</v>
      </c>
    </row>
    <row r="49" spans="1:28" x14ac:dyDescent="0.15">
      <c r="A49" s="55" t="s">
        <v>56</v>
      </c>
      <c r="B49" s="55" t="s">
        <v>375</v>
      </c>
      <c r="C49" s="216">
        <v>2018</v>
      </c>
      <c r="D49" s="86" t="s">
        <v>376</v>
      </c>
      <c r="E49" s="216" t="s">
        <v>325</v>
      </c>
      <c r="F49" s="216" t="s">
        <v>388</v>
      </c>
      <c r="G49" s="55" t="s">
        <v>42</v>
      </c>
      <c r="H49" s="216" t="s">
        <v>164</v>
      </c>
      <c r="I49" s="55" t="s">
        <v>155</v>
      </c>
      <c r="J49" s="216" t="s">
        <v>38</v>
      </c>
      <c r="K49" s="216" t="s">
        <v>156</v>
      </c>
      <c r="L49" s="208">
        <v>3</v>
      </c>
      <c r="N49" s="208">
        <v>1</v>
      </c>
      <c r="O49" s="208">
        <v>0.6</v>
      </c>
      <c r="P49" s="208">
        <v>0.6</v>
      </c>
      <c r="Q49" s="217">
        <f t="shared" si="0"/>
        <v>0.6</v>
      </c>
      <c r="R49" s="208">
        <v>14.2</v>
      </c>
      <c r="S49" s="208">
        <v>131</v>
      </c>
      <c r="T49" s="217">
        <f t="shared" si="1"/>
        <v>25</v>
      </c>
      <c r="U49" s="208">
        <v>149</v>
      </c>
      <c r="V49" s="217">
        <f t="shared" si="2"/>
        <v>3725</v>
      </c>
      <c r="W49" s="208">
        <v>4</v>
      </c>
      <c r="X49" s="55" t="s">
        <v>46</v>
      </c>
      <c r="Y49" s="55" t="s">
        <v>55</v>
      </c>
      <c r="Z49" s="208" t="s">
        <v>88</v>
      </c>
      <c r="AA49" s="55" t="s">
        <v>69</v>
      </c>
      <c r="AB49" s="216" t="s">
        <v>350</v>
      </c>
    </row>
    <row r="50" spans="1:28" x14ac:dyDescent="0.15">
      <c r="A50" s="55" t="s">
        <v>56</v>
      </c>
      <c r="B50" s="55" t="s">
        <v>375</v>
      </c>
      <c r="C50" s="216">
        <v>2018</v>
      </c>
      <c r="D50" s="86" t="s">
        <v>376</v>
      </c>
      <c r="E50" s="216" t="s">
        <v>362</v>
      </c>
      <c r="F50" s="216" t="s">
        <v>388</v>
      </c>
      <c r="G50" s="55" t="s">
        <v>42</v>
      </c>
      <c r="H50" s="216" t="s">
        <v>157</v>
      </c>
      <c r="I50" s="55" t="s">
        <v>155</v>
      </c>
      <c r="J50" s="216" t="s">
        <v>38</v>
      </c>
      <c r="K50" s="216" t="s">
        <v>156</v>
      </c>
      <c r="L50" s="208">
        <v>1</v>
      </c>
      <c r="N50" s="208">
        <v>1</v>
      </c>
      <c r="O50" s="208">
        <v>0.55000000000000004</v>
      </c>
      <c r="P50" s="208">
        <v>0.55000000000000004</v>
      </c>
      <c r="Q50" s="217">
        <f t="shared" si="0"/>
        <v>0.55000000000000004</v>
      </c>
      <c r="R50" s="208">
        <v>15.5</v>
      </c>
      <c r="S50" s="208">
        <v>148</v>
      </c>
      <c r="T50" s="217">
        <f t="shared" si="1"/>
        <v>22</v>
      </c>
      <c r="U50" s="208">
        <v>138</v>
      </c>
      <c r="V50" s="217">
        <f t="shared" si="2"/>
        <v>3036</v>
      </c>
      <c r="W50" s="208">
        <v>4</v>
      </c>
      <c r="X50" s="55" t="s">
        <v>46</v>
      </c>
      <c r="Y50" s="55" t="s">
        <v>55</v>
      </c>
      <c r="Z50" s="208" t="s">
        <v>88</v>
      </c>
      <c r="AA50" s="55" t="s">
        <v>47</v>
      </c>
      <c r="AB50" s="216" t="s">
        <v>350</v>
      </c>
    </row>
    <row r="51" spans="1:28" x14ac:dyDescent="0.15">
      <c r="A51" s="55" t="s">
        <v>56</v>
      </c>
      <c r="B51" s="55" t="s">
        <v>375</v>
      </c>
      <c r="C51" s="216">
        <v>2018</v>
      </c>
      <c r="D51" s="86" t="s">
        <v>376</v>
      </c>
      <c r="E51" s="216" t="s">
        <v>362</v>
      </c>
      <c r="F51" s="216" t="s">
        <v>388</v>
      </c>
      <c r="G51" s="55" t="s">
        <v>42</v>
      </c>
      <c r="H51" s="216" t="s">
        <v>157</v>
      </c>
      <c r="I51" s="55" t="s">
        <v>155</v>
      </c>
      <c r="J51" s="216" t="s">
        <v>38</v>
      </c>
      <c r="K51" s="216" t="s">
        <v>156</v>
      </c>
      <c r="L51" s="208">
        <v>2</v>
      </c>
      <c r="N51" s="208">
        <v>1</v>
      </c>
      <c r="O51" s="208">
        <v>0.6</v>
      </c>
      <c r="P51" s="208">
        <v>0.65</v>
      </c>
      <c r="Q51" s="217">
        <f t="shared" si="0"/>
        <v>0.625</v>
      </c>
      <c r="R51" s="208">
        <v>13.2</v>
      </c>
      <c r="S51" s="208">
        <v>139</v>
      </c>
      <c r="T51" s="217">
        <f t="shared" si="1"/>
        <v>22</v>
      </c>
      <c r="U51" s="208">
        <v>138</v>
      </c>
      <c r="V51" s="217">
        <f t="shared" si="2"/>
        <v>3036</v>
      </c>
      <c r="W51" s="208">
        <v>4</v>
      </c>
      <c r="X51" s="55" t="s">
        <v>46</v>
      </c>
      <c r="Y51" s="55" t="s">
        <v>55</v>
      </c>
      <c r="Z51" s="208" t="s">
        <v>88</v>
      </c>
      <c r="AA51" s="55" t="s">
        <v>47</v>
      </c>
      <c r="AB51" s="216" t="s">
        <v>350</v>
      </c>
    </row>
    <row r="52" spans="1:28" x14ac:dyDescent="0.15">
      <c r="A52" s="55" t="s">
        <v>56</v>
      </c>
      <c r="B52" s="55" t="s">
        <v>375</v>
      </c>
      <c r="C52" s="216">
        <v>2018</v>
      </c>
      <c r="D52" s="86" t="s">
        <v>376</v>
      </c>
      <c r="E52" s="216" t="s">
        <v>362</v>
      </c>
      <c r="F52" s="216" t="s">
        <v>388</v>
      </c>
      <c r="G52" s="55" t="s">
        <v>42</v>
      </c>
      <c r="H52" s="216" t="s">
        <v>157</v>
      </c>
      <c r="I52" s="55" t="s">
        <v>155</v>
      </c>
      <c r="J52" s="216" t="s">
        <v>38</v>
      </c>
      <c r="K52" s="216" t="s">
        <v>156</v>
      </c>
      <c r="L52" s="208">
        <v>3</v>
      </c>
      <c r="N52" s="208">
        <v>1</v>
      </c>
      <c r="O52" s="208">
        <v>0.6</v>
      </c>
      <c r="P52" s="208">
        <v>0.6</v>
      </c>
      <c r="Q52" s="217">
        <f t="shared" si="0"/>
        <v>0.6</v>
      </c>
      <c r="R52" s="208">
        <v>12.2</v>
      </c>
      <c r="S52" s="208">
        <v>138</v>
      </c>
      <c r="T52" s="217">
        <f t="shared" si="1"/>
        <v>22</v>
      </c>
      <c r="U52" s="208">
        <v>138</v>
      </c>
      <c r="V52" s="217">
        <f t="shared" si="2"/>
        <v>3036</v>
      </c>
      <c r="W52" s="208">
        <v>4</v>
      </c>
      <c r="X52" s="55" t="s">
        <v>46</v>
      </c>
      <c r="Y52" s="55" t="s">
        <v>55</v>
      </c>
      <c r="Z52" s="208" t="s">
        <v>88</v>
      </c>
      <c r="AA52" s="55" t="s">
        <v>47</v>
      </c>
      <c r="AB52" s="216" t="s">
        <v>350</v>
      </c>
    </row>
    <row r="53" spans="1:28" x14ac:dyDescent="0.15">
      <c r="A53" s="55" t="s">
        <v>56</v>
      </c>
      <c r="B53" s="55" t="s">
        <v>375</v>
      </c>
      <c r="C53" s="216">
        <v>2018</v>
      </c>
      <c r="D53" s="86" t="s">
        <v>376</v>
      </c>
      <c r="E53" s="216" t="s">
        <v>362</v>
      </c>
      <c r="F53" s="216" t="s">
        <v>388</v>
      </c>
      <c r="G53" s="55" t="s">
        <v>42</v>
      </c>
      <c r="H53" s="216" t="s">
        <v>157</v>
      </c>
      <c r="I53" s="55" t="s">
        <v>158</v>
      </c>
      <c r="J53" s="216" t="s">
        <v>38</v>
      </c>
      <c r="K53" s="216" t="s">
        <v>156</v>
      </c>
      <c r="L53" s="208">
        <v>1</v>
      </c>
      <c r="N53" s="208">
        <v>4</v>
      </c>
      <c r="O53" s="208">
        <v>0.65</v>
      </c>
      <c r="P53" s="208">
        <v>0.65</v>
      </c>
      <c r="Q53" s="217">
        <f t="shared" si="0"/>
        <v>0.65</v>
      </c>
      <c r="R53" s="208">
        <v>12.5</v>
      </c>
      <c r="S53" s="208">
        <v>95</v>
      </c>
      <c r="T53" s="217">
        <f t="shared" si="1"/>
        <v>36</v>
      </c>
      <c r="U53" s="208">
        <v>430</v>
      </c>
      <c r="V53" s="217">
        <f t="shared" si="2"/>
        <v>3870</v>
      </c>
      <c r="W53" s="208">
        <v>2</v>
      </c>
      <c r="X53" s="55" t="s">
        <v>46</v>
      </c>
      <c r="Y53" s="55" t="s">
        <v>55</v>
      </c>
      <c r="Z53" s="208" t="s">
        <v>88</v>
      </c>
      <c r="AA53" s="55" t="s">
        <v>47</v>
      </c>
      <c r="AB53" s="216" t="s">
        <v>350</v>
      </c>
    </row>
    <row r="54" spans="1:28" x14ac:dyDescent="0.15">
      <c r="A54" s="55" t="s">
        <v>56</v>
      </c>
      <c r="B54" s="55" t="s">
        <v>375</v>
      </c>
      <c r="C54" s="216">
        <v>2018</v>
      </c>
      <c r="D54" s="86" t="s">
        <v>376</v>
      </c>
      <c r="E54" s="216" t="s">
        <v>362</v>
      </c>
      <c r="F54" s="216" t="s">
        <v>388</v>
      </c>
      <c r="G54" s="55" t="s">
        <v>42</v>
      </c>
      <c r="H54" s="216" t="s">
        <v>157</v>
      </c>
      <c r="I54" s="55" t="s">
        <v>158</v>
      </c>
      <c r="J54" s="216" t="s">
        <v>38</v>
      </c>
      <c r="K54" s="216" t="s">
        <v>156</v>
      </c>
      <c r="L54" s="208">
        <v>2</v>
      </c>
      <c r="N54" s="208">
        <v>4</v>
      </c>
      <c r="O54" s="208">
        <v>0.75</v>
      </c>
      <c r="P54" s="208">
        <v>0.7</v>
      </c>
      <c r="Q54" s="217">
        <f t="shared" si="0"/>
        <v>0.72499999999999998</v>
      </c>
      <c r="R54" s="208">
        <v>13</v>
      </c>
      <c r="S54" s="208">
        <v>98</v>
      </c>
      <c r="T54" s="217">
        <f t="shared" si="1"/>
        <v>36</v>
      </c>
      <c r="U54" s="208">
        <v>430</v>
      </c>
      <c r="V54" s="217">
        <f t="shared" si="2"/>
        <v>3870</v>
      </c>
      <c r="W54" s="208">
        <v>2</v>
      </c>
      <c r="X54" s="55" t="s">
        <v>46</v>
      </c>
      <c r="Y54" s="55" t="s">
        <v>55</v>
      </c>
      <c r="Z54" s="208" t="s">
        <v>88</v>
      </c>
      <c r="AA54" s="55" t="s">
        <v>47</v>
      </c>
      <c r="AB54" s="216" t="s">
        <v>350</v>
      </c>
    </row>
    <row r="55" spans="1:28" x14ac:dyDescent="0.15">
      <c r="A55" s="55" t="s">
        <v>56</v>
      </c>
      <c r="B55" s="55" t="s">
        <v>375</v>
      </c>
      <c r="C55" s="216">
        <v>2018</v>
      </c>
      <c r="D55" s="86" t="s">
        <v>376</v>
      </c>
      <c r="E55" s="216" t="s">
        <v>362</v>
      </c>
      <c r="F55" s="216" t="s">
        <v>388</v>
      </c>
      <c r="G55" s="55" t="s">
        <v>42</v>
      </c>
      <c r="H55" s="216" t="s">
        <v>157</v>
      </c>
      <c r="I55" s="55" t="s">
        <v>158</v>
      </c>
      <c r="J55" s="216" t="s">
        <v>38</v>
      </c>
      <c r="K55" s="216" t="s">
        <v>156</v>
      </c>
      <c r="L55" s="208">
        <v>3</v>
      </c>
      <c r="N55" s="208">
        <v>4</v>
      </c>
      <c r="O55" s="208">
        <v>0.65</v>
      </c>
      <c r="P55" s="208">
        <v>0.6</v>
      </c>
      <c r="Q55" s="217">
        <f t="shared" si="0"/>
        <v>0.625</v>
      </c>
      <c r="R55" s="208">
        <v>12.9</v>
      </c>
      <c r="S55" s="208">
        <v>97</v>
      </c>
      <c r="T55" s="217">
        <f t="shared" si="1"/>
        <v>36</v>
      </c>
      <c r="U55" s="208">
        <v>430</v>
      </c>
      <c r="V55" s="217">
        <f t="shared" si="2"/>
        <v>3870</v>
      </c>
      <c r="W55" s="208">
        <v>2</v>
      </c>
      <c r="X55" s="55" t="s">
        <v>46</v>
      </c>
      <c r="Y55" s="55" t="s">
        <v>55</v>
      </c>
      <c r="Z55" s="208" t="s">
        <v>88</v>
      </c>
      <c r="AA55" s="55" t="s">
        <v>47</v>
      </c>
      <c r="AB55" s="216" t="s">
        <v>350</v>
      </c>
    </row>
    <row r="56" spans="1:28" x14ac:dyDescent="0.15">
      <c r="A56" s="55" t="s">
        <v>56</v>
      </c>
      <c r="B56" s="55" t="s">
        <v>375</v>
      </c>
      <c r="C56" s="216">
        <v>2018</v>
      </c>
      <c r="D56" s="86" t="s">
        <v>376</v>
      </c>
      <c r="E56" s="216" t="s">
        <v>362</v>
      </c>
      <c r="F56" s="216" t="s">
        <v>388</v>
      </c>
      <c r="G56" s="55" t="s">
        <v>42</v>
      </c>
      <c r="H56" s="216" t="s">
        <v>164</v>
      </c>
      <c r="I56" s="55" t="s">
        <v>155</v>
      </c>
      <c r="J56" s="216" t="s">
        <v>38</v>
      </c>
      <c r="K56" s="216" t="s">
        <v>156</v>
      </c>
      <c r="L56" s="208">
        <v>1</v>
      </c>
      <c r="N56" s="208">
        <v>1</v>
      </c>
      <c r="O56" s="208">
        <v>0.7</v>
      </c>
      <c r="P56" s="208">
        <v>0.7</v>
      </c>
      <c r="Q56" s="217">
        <f t="shared" si="0"/>
        <v>0.7</v>
      </c>
      <c r="R56" s="208">
        <v>12.9</v>
      </c>
      <c r="S56" s="208">
        <v>136</v>
      </c>
      <c r="T56" s="217">
        <f t="shared" si="1"/>
        <v>25</v>
      </c>
      <c r="U56" s="208">
        <v>138</v>
      </c>
      <c r="V56" s="217">
        <f t="shared" si="2"/>
        <v>3450</v>
      </c>
      <c r="W56" s="208">
        <v>4</v>
      </c>
      <c r="X56" s="55" t="s">
        <v>46</v>
      </c>
      <c r="Y56" s="55" t="s">
        <v>55</v>
      </c>
      <c r="Z56" s="208" t="s">
        <v>88</v>
      </c>
      <c r="AA56" s="55" t="s">
        <v>47</v>
      </c>
      <c r="AB56" s="216" t="s">
        <v>350</v>
      </c>
    </row>
    <row r="57" spans="1:28" x14ac:dyDescent="0.15">
      <c r="A57" s="55" t="s">
        <v>56</v>
      </c>
      <c r="B57" s="55" t="s">
        <v>375</v>
      </c>
      <c r="C57" s="216">
        <v>2018</v>
      </c>
      <c r="D57" s="86" t="s">
        <v>376</v>
      </c>
      <c r="E57" s="216" t="s">
        <v>362</v>
      </c>
      <c r="F57" s="216" t="s">
        <v>388</v>
      </c>
      <c r="G57" s="55" t="s">
        <v>42</v>
      </c>
      <c r="H57" s="216" t="s">
        <v>164</v>
      </c>
      <c r="I57" s="55" t="s">
        <v>155</v>
      </c>
      <c r="J57" s="216" t="s">
        <v>38</v>
      </c>
      <c r="K57" s="216" t="s">
        <v>156</v>
      </c>
      <c r="L57" s="208">
        <v>2</v>
      </c>
      <c r="N57" s="208">
        <v>1</v>
      </c>
      <c r="O57" s="208">
        <v>0.65</v>
      </c>
      <c r="P57" s="208">
        <v>0.55000000000000004</v>
      </c>
      <c r="Q57" s="217">
        <f t="shared" si="0"/>
        <v>0.60000000000000009</v>
      </c>
      <c r="R57" s="208">
        <v>17.3</v>
      </c>
      <c r="S57" s="208">
        <v>146</v>
      </c>
      <c r="T57" s="217">
        <f t="shared" si="1"/>
        <v>22</v>
      </c>
      <c r="U57" s="208">
        <v>138</v>
      </c>
      <c r="V57" s="217">
        <f t="shared" si="2"/>
        <v>3036</v>
      </c>
      <c r="W57" s="208">
        <v>4</v>
      </c>
      <c r="X57" s="55" t="s">
        <v>46</v>
      </c>
      <c r="Y57" s="55" t="s">
        <v>55</v>
      </c>
      <c r="Z57" s="208" t="s">
        <v>88</v>
      </c>
      <c r="AA57" s="55" t="s">
        <v>47</v>
      </c>
      <c r="AB57" s="216" t="s">
        <v>350</v>
      </c>
    </row>
    <row r="58" spans="1:28" x14ac:dyDescent="0.15">
      <c r="A58" s="55" t="s">
        <v>56</v>
      </c>
      <c r="B58" s="55" t="s">
        <v>375</v>
      </c>
      <c r="C58" s="216">
        <v>2018</v>
      </c>
      <c r="D58" s="86" t="s">
        <v>376</v>
      </c>
      <c r="E58" s="216" t="s">
        <v>362</v>
      </c>
      <c r="F58" s="216" t="s">
        <v>388</v>
      </c>
      <c r="G58" s="55" t="s">
        <v>42</v>
      </c>
      <c r="H58" s="216" t="s">
        <v>164</v>
      </c>
      <c r="I58" s="55" t="s">
        <v>155</v>
      </c>
      <c r="J58" s="216" t="s">
        <v>38</v>
      </c>
      <c r="K58" s="216" t="s">
        <v>156</v>
      </c>
      <c r="L58" s="208">
        <v>3</v>
      </c>
      <c r="N58" s="208">
        <v>1</v>
      </c>
      <c r="O58" s="208">
        <v>0.65</v>
      </c>
      <c r="P58" s="208">
        <v>0.6</v>
      </c>
      <c r="Q58" s="217">
        <f t="shared" si="0"/>
        <v>0.625</v>
      </c>
      <c r="R58" s="208">
        <v>13.6</v>
      </c>
      <c r="S58" s="208">
        <v>135</v>
      </c>
      <c r="T58" s="217">
        <f t="shared" si="1"/>
        <v>25</v>
      </c>
      <c r="U58" s="208">
        <v>138</v>
      </c>
      <c r="V58" s="217">
        <f t="shared" si="2"/>
        <v>3450</v>
      </c>
      <c r="W58" s="208">
        <v>4</v>
      </c>
      <c r="X58" s="55" t="s">
        <v>46</v>
      </c>
      <c r="Y58" s="55" t="s">
        <v>55</v>
      </c>
      <c r="Z58" s="208" t="s">
        <v>88</v>
      </c>
      <c r="AA58" s="55" t="s">
        <v>47</v>
      </c>
      <c r="AB58" s="216" t="s">
        <v>350</v>
      </c>
    </row>
    <row r="59" spans="1:28" x14ac:dyDescent="0.15">
      <c r="A59" s="55" t="s">
        <v>56</v>
      </c>
      <c r="B59" s="55" t="s">
        <v>375</v>
      </c>
      <c r="C59" s="216">
        <v>2018</v>
      </c>
      <c r="D59" s="86" t="s">
        <v>376</v>
      </c>
      <c r="E59" s="216" t="s">
        <v>393</v>
      </c>
      <c r="F59" s="216" t="s">
        <v>388</v>
      </c>
      <c r="G59" s="55" t="s">
        <v>42</v>
      </c>
      <c r="H59" s="216" t="s">
        <v>157</v>
      </c>
      <c r="I59" s="55" t="s">
        <v>155</v>
      </c>
      <c r="J59" s="216" t="s">
        <v>38</v>
      </c>
      <c r="K59" s="216" t="s">
        <v>156</v>
      </c>
      <c r="L59" s="208">
        <v>1</v>
      </c>
      <c r="N59" s="208">
        <v>1</v>
      </c>
      <c r="O59" s="208">
        <v>0.6</v>
      </c>
      <c r="P59" s="208">
        <v>0.6</v>
      </c>
      <c r="Q59" s="217">
        <f t="shared" si="0"/>
        <v>0.6</v>
      </c>
      <c r="R59" s="208">
        <v>15.5</v>
      </c>
      <c r="S59" s="208">
        <v>141</v>
      </c>
      <c r="T59" s="217">
        <f t="shared" si="1"/>
        <v>22</v>
      </c>
      <c r="U59" s="208">
        <v>106</v>
      </c>
      <c r="V59" s="217">
        <f t="shared" si="2"/>
        <v>2332</v>
      </c>
      <c r="W59" s="208">
        <v>8</v>
      </c>
      <c r="X59" s="55" t="s">
        <v>46</v>
      </c>
      <c r="Y59" s="55" t="s">
        <v>88</v>
      </c>
      <c r="Z59" s="208" t="s">
        <v>55</v>
      </c>
      <c r="AA59" s="55" t="s">
        <v>78</v>
      </c>
      <c r="AB59" s="216" t="s">
        <v>350</v>
      </c>
    </row>
    <row r="60" spans="1:28" x14ac:dyDescent="0.15">
      <c r="A60" s="55" t="s">
        <v>56</v>
      </c>
      <c r="B60" s="55" t="s">
        <v>375</v>
      </c>
      <c r="C60" s="216">
        <v>2018</v>
      </c>
      <c r="D60" s="86" t="s">
        <v>376</v>
      </c>
      <c r="E60" s="216" t="s">
        <v>393</v>
      </c>
      <c r="F60" s="216" t="s">
        <v>388</v>
      </c>
      <c r="G60" s="55" t="s">
        <v>42</v>
      </c>
      <c r="H60" s="216" t="s">
        <v>157</v>
      </c>
      <c r="I60" s="55" t="s">
        <v>155</v>
      </c>
      <c r="J60" s="216" t="s">
        <v>38</v>
      </c>
      <c r="K60" s="216" t="s">
        <v>156</v>
      </c>
      <c r="L60" s="208">
        <v>2</v>
      </c>
      <c r="N60" s="208">
        <v>1</v>
      </c>
      <c r="O60" s="208">
        <v>0.55000000000000004</v>
      </c>
      <c r="P60" s="208">
        <v>0.6</v>
      </c>
      <c r="Q60" s="217">
        <f t="shared" si="0"/>
        <v>0.57499999999999996</v>
      </c>
      <c r="R60" s="208">
        <v>13.1</v>
      </c>
      <c r="S60" s="208">
        <v>135</v>
      </c>
      <c r="T60" s="217">
        <f t="shared" si="1"/>
        <v>25</v>
      </c>
      <c r="U60" s="208">
        <v>106</v>
      </c>
      <c r="V60" s="217">
        <f t="shared" si="2"/>
        <v>2650</v>
      </c>
      <c r="W60" s="208">
        <v>8</v>
      </c>
      <c r="X60" s="55" t="s">
        <v>46</v>
      </c>
      <c r="Y60" s="55" t="s">
        <v>88</v>
      </c>
      <c r="Z60" s="208" t="s">
        <v>55</v>
      </c>
      <c r="AA60" s="55" t="s">
        <v>78</v>
      </c>
      <c r="AB60" s="216" t="s">
        <v>350</v>
      </c>
    </row>
    <row r="61" spans="1:28" x14ac:dyDescent="0.15">
      <c r="A61" s="55" t="s">
        <v>56</v>
      </c>
      <c r="B61" s="55" t="s">
        <v>375</v>
      </c>
      <c r="C61" s="216">
        <v>2018</v>
      </c>
      <c r="D61" s="86" t="s">
        <v>376</v>
      </c>
      <c r="E61" s="216" t="s">
        <v>393</v>
      </c>
      <c r="F61" s="216" t="s">
        <v>388</v>
      </c>
      <c r="G61" s="55" t="s">
        <v>42</v>
      </c>
      <c r="H61" s="216" t="s">
        <v>157</v>
      </c>
      <c r="I61" s="55" t="s">
        <v>155</v>
      </c>
      <c r="J61" s="216" t="s">
        <v>38</v>
      </c>
      <c r="K61" s="216" t="s">
        <v>156</v>
      </c>
      <c r="L61" s="208">
        <v>3</v>
      </c>
      <c r="N61" s="208">
        <v>1</v>
      </c>
      <c r="O61" s="208">
        <v>0.6</v>
      </c>
      <c r="P61" s="208">
        <v>0.6</v>
      </c>
      <c r="Q61" s="217">
        <f t="shared" si="0"/>
        <v>0.6</v>
      </c>
      <c r="R61" s="208">
        <v>12</v>
      </c>
      <c r="S61" s="208">
        <v>135</v>
      </c>
      <c r="T61" s="217">
        <f t="shared" si="1"/>
        <v>25</v>
      </c>
      <c r="U61" s="208">
        <v>106</v>
      </c>
      <c r="V61" s="217">
        <f t="shared" si="2"/>
        <v>2650</v>
      </c>
      <c r="W61" s="208">
        <v>8</v>
      </c>
      <c r="X61" s="55" t="s">
        <v>46</v>
      </c>
      <c r="Y61" s="55" t="s">
        <v>88</v>
      </c>
      <c r="Z61" s="208" t="s">
        <v>55</v>
      </c>
      <c r="AA61" s="55" t="s">
        <v>78</v>
      </c>
      <c r="AB61" s="216" t="s">
        <v>350</v>
      </c>
    </row>
    <row r="62" spans="1:28" x14ac:dyDescent="0.15">
      <c r="A62" s="55" t="s">
        <v>56</v>
      </c>
      <c r="B62" s="55" t="s">
        <v>375</v>
      </c>
      <c r="C62" s="216">
        <v>2018</v>
      </c>
      <c r="D62" s="86" t="s">
        <v>376</v>
      </c>
      <c r="E62" s="216" t="s">
        <v>393</v>
      </c>
      <c r="F62" s="216" t="s">
        <v>388</v>
      </c>
      <c r="G62" s="55" t="s">
        <v>42</v>
      </c>
      <c r="H62" s="216" t="s">
        <v>164</v>
      </c>
      <c r="I62" s="55" t="s">
        <v>155</v>
      </c>
      <c r="J62" s="216" t="s">
        <v>38</v>
      </c>
      <c r="K62" s="216" t="s">
        <v>156</v>
      </c>
      <c r="L62" s="208">
        <v>1</v>
      </c>
      <c r="N62" s="208">
        <v>5</v>
      </c>
      <c r="O62" s="208">
        <v>0.6</v>
      </c>
      <c r="P62" s="208">
        <v>0.65</v>
      </c>
      <c r="Q62" s="217">
        <f t="shared" si="0"/>
        <v>0.625</v>
      </c>
      <c r="R62" s="208">
        <v>14.1</v>
      </c>
      <c r="S62" s="208">
        <v>125</v>
      </c>
      <c r="T62" s="217">
        <f t="shared" si="1"/>
        <v>27</v>
      </c>
      <c r="U62" s="208">
        <v>646</v>
      </c>
      <c r="V62" s="217">
        <f t="shared" si="2"/>
        <v>3488.3999999999996</v>
      </c>
      <c r="W62" s="208">
        <v>8</v>
      </c>
      <c r="X62" s="55" t="s">
        <v>46</v>
      </c>
      <c r="Y62" s="55" t="s">
        <v>88</v>
      </c>
      <c r="Z62" s="208" t="s">
        <v>55</v>
      </c>
      <c r="AA62" s="55" t="s">
        <v>78</v>
      </c>
      <c r="AB62" s="216" t="s">
        <v>350</v>
      </c>
    </row>
    <row r="63" spans="1:28" x14ac:dyDescent="0.15">
      <c r="A63" s="55" t="s">
        <v>56</v>
      </c>
      <c r="B63" s="55" t="s">
        <v>375</v>
      </c>
      <c r="C63" s="216">
        <v>2018</v>
      </c>
      <c r="D63" s="86" t="s">
        <v>376</v>
      </c>
      <c r="E63" s="216" t="s">
        <v>393</v>
      </c>
      <c r="F63" s="216" t="s">
        <v>388</v>
      </c>
      <c r="G63" s="55" t="s">
        <v>42</v>
      </c>
      <c r="H63" s="216" t="s">
        <v>164</v>
      </c>
      <c r="I63" s="55" t="s">
        <v>155</v>
      </c>
      <c r="J63" s="216" t="s">
        <v>38</v>
      </c>
      <c r="K63" s="216" t="s">
        <v>156</v>
      </c>
      <c r="L63" s="208">
        <v>2</v>
      </c>
      <c r="N63" s="208">
        <v>5</v>
      </c>
      <c r="O63" s="208">
        <v>0.55000000000000004</v>
      </c>
      <c r="P63" s="208">
        <v>0.5</v>
      </c>
      <c r="Q63" s="217">
        <f t="shared" si="0"/>
        <v>0.52500000000000002</v>
      </c>
      <c r="R63" s="208">
        <v>14.3</v>
      </c>
      <c r="S63" s="208">
        <v>119</v>
      </c>
      <c r="T63" s="217">
        <f t="shared" si="1"/>
        <v>30</v>
      </c>
      <c r="U63" s="208">
        <v>646</v>
      </c>
      <c r="V63" s="217">
        <f t="shared" si="2"/>
        <v>3875.9999999999995</v>
      </c>
      <c r="W63" s="208">
        <v>8</v>
      </c>
      <c r="X63" s="55" t="s">
        <v>46</v>
      </c>
      <c r="Y63" s="55" t="s">
        <v>88</v>
      </c>
      <c r="Z63" s="208" t="s">
        <v>55</v>
      </c>
      <c r="AA63" s="55" t="s">
        <v>78</v>
      </c>
      <c r="AB63" s="216" t="s">
        <v>350</v>
      </c>
    </row>
    <row r="64" spans="1:28" x14ac:dyDescent="0.15">
      <c r="A64" s="55" t="s">
        <v>56</v>
      </c>
      <c r="B64" s="55" t="s">
        <v>375</v>
      </c>
      <c r="C64" s="216">
        <v>2018</v>
      </c>
      <c r="D64" s="86" t="s">
        <v>376</v>
      </c>
      <c r="E64" s="216" t="s">
        <v>393</v>
      </c>
      <c r="F64" s="216" t="s">
        <v>388</v>
      </c>
      <c r="G64" s="55" t="s">
        <v>42</v>
      </c>
      <c r="H64" s="216" t="s">
        <v>164</v>
      </c>
      <c r="I64" s="55" t="s">
        <v>155</v>
      </c>
      <c r="J64" s="216" t="s">
        <v>38</v>
      </c>
      <c r="K64" s="216" t="s">
        <v>156</v>
      </c>
      <c r="L64" s="208">
        <v>3</v>
      </c>
      <c r="N64" s="208">
        <v>5</v>
      </c>
      <c r="O64" s="208">
        <v>0.6</v>
      </c>
      <c r="P64" s="208">
        <v>0.55000000000000004</v>
      </c>
      <c r="Q64" s="217">
        <f t="shared" si="0"/>
        <v>0.57499999999999996</v>
      </c>
      <c r="R64" s="208">
        <v>13.5</v>
      </c>
      <c r="S64" s="208">
        <v>130</v>
      </c>
      <c r="T64" s="217">
        <f t="shared" si="1"/>
        <v>25</v>
      </c>
      <c r="U64" s="208">
        <v>646</v>
      </c>
      <c r="V64" s="217">
        <f t="shared" si="2"/>
        <v>3229.9999999999995</v>
      </c>
      <c r="W64" s="208">
        <v>8</v>
      </c>
      <c r="X64" s="55" t="s">
        <v>46</v>
      </c>
      <c r="Y64" s="55" t="s">
        <v>88</v>
      </c>
      <c r="Z64" s="208" t="s">
        <v>55</v>
      </c>
      <c r="AA64" s="55" t="s">
        <v>78</v>
      </c>
      <c r="AB64" s="216" t="s">
        <v>350</v>
      </c>
    </row>
    <row r="65" spans="1:27" x14ac:dyDescent="0.15">
      <c r="A65" s="55"/>
      <c r="B65" s="55"/>
      <c r="C65" s="216"/>
      <c r="D65" s="86"/>
      <c r="E65" s="216"/>
      <c r="F65" s="216"/>
      <c r="G65" s="55"/>
      <c r="H65" s="216"/>
      <c r="I65" s="55"/>
      <c r="J65" s="216"/>
      <c r="K65" s="216"/>
      <c r="X65" s="55"/>
      <c r="Y65" s="55"/>
      <c r="AA65" s="55"/>
    </row>
    <row r="66" spans="1:27" x14ac:dyDescent="0.15">
      <c r="A66" s="55"/>
      <c r="B66" s="55"/>
      <c r="C66" s="216"/>
      <c r="D66" s="86"/>
      <c r="E66" s="216"/>
      <c r="F66" s="216"/>
      <c r="G66" s="55"/>
      <c r="H66" s="216"/>
      <c r="I66" s="55"/>
      <c r="J66" s="216"/>
      <c r="K66" s="216"/>
      <c r="X66" s="55"/>
      <c r="Y66" s="55"/>
      <c r="AA66" s="55"/>
    </row>
    <row r="67" spans="1:27" x14ac:dyDescent="0.15">
      <c r="A67" s="55"/>
      <c r="B67" s="55"/>
      <c r="C67" s="216"/>
      <c r="D67" s="86"/>
      <c r="E67" s="216"/>
      <c r="F67" s="216"/>
      <c r="G67" s="55"/>
      <c r="H67" s="216"/>
      <c r="I67" s="55"/>
      <c r="J67" s="216"/>
      <c r="K67" s="216"/>
      <c r="X67" s="55"/>
      <c r="Y67" s="55"/>
      <c r="AA67" s="55"/>
    </row>
    <row r="68" spans="1:27" x14ac:dyDescent="0.15">
      <c r="A68" s="55"/>
      <c r="B68" s="55"/>
      <c r="C68" s="216"/>
      <c r="D68" s="86"/>
      <c r="E68" s="216"/>
      <c r="F68" s="216"/>
      <c r="G68" s="55"/>
      <c r="H68" s="216"/>
      <c r="I68" s="55"/>
      <c r="J68" s="216"/>
      <c r="K68" s="216"/>
      <c r="X68" s="55"/>
      <c r="Y68" s="55"/>
      <c r="AA68" s="55"/>
    </row>
    <row r="69" spans="1:27" x14ac:dyDescent="0.15">
      <c r="A69" s="55"/>
      <c r="B69" s="55"/>
      <c r="C69" s="216"/>
      <c r="D69" s="86"/>
      <c r="E69" s="216"/>
      <c r="F69" s="216"/>
      <c r="G69" s="55"/>
      <c r="H69" s="216"/>
      <c r="I69" s="55"/>
      <c r="J69" s="216"/>
      <c r="K69" s="216"/>
      <c r="X69" s="55"/>
      <c r="Y69" s="55"/>
      <c r="AA69" s="55"/>
    </row>
    <row r="70" spans="1:27" x14ac:dyDescent="0.15">
      <c r="A70" s="55"/>
      <c r="B70" s="55"/>
      <c r="C70" s="216"/>
      <c r="D70" s="86"/>
      <c r="E70" s="216"/>
      <c r="F70" s="216"/>
      <c r="G70" s="55"/>
      <c r="H70" s="216"/>
      <c r="I70" s="55"/>
      <c r="J70" s="216"/>
      <c r="K70" s="216"/>
      <c r="X70" s="55"/>
      <c r="Y70" s="55"/>
      <c r="AA70" s="55"/>
    </row>
    <row r="71" spans="1:27" x14ac:dyDescent="0.15">
      <c r="A71" s="55"/>
      <c r="B71" s="55"/>
      <c r="C71" s="216"/>
      <c r="D71" s="86"/>
      <c r="E71" s="216"/>
      <c r="F71" s="216"/>
      <c r="G71" s="55"/>
      <c r="H71" s="216"/>
      <c r="I71" s="55"/>
      <c r="J71" s="216"/>
      <c r="K71" s="216"/>
      <c r="X71" s="55"/>
      <c r="Y71" s="55"/>
      <c r="AA71" s="55"/>
    </row>
    <row r="72" spans="1:27" x14ac:dyDescent="0.15">
      <c r="A72" s="55"/>
      <c r="B72" s="55"/>
      <c r="C72" s="216"/>
      <c r="D72" s="86"/>
      <c r="E72" s="216"/>
      <c r="F72" s="216"/>
      <c r="G72" s="55"/>
      <c r="H72" s="216"/>
      <c r="I72" s="55"/>
      <c r="J72" s="216"/>
      <c r="K72" s="216"/>
      <c r="X72" s="55"/>
      <c r="Y72" s="55"/>
      <c r="AA72" s="55"/>
    </row>
    <row r="73" spans="1:27" x14ac:dyDescent="0.15">
      <c r="A73" s="55"/>
      <c r="B73" s="55"/>
      <c r="C73" s="216"/>
      <c r="D73" s="86"/>
      <c r="E73" s="216"/>
      <c r="F73" s="216"/>
      <c r="G73" s="55"/>
      <c r="H73" s="216"/>
      <c r="I73" s="55"/>
      <c r="J73" s="216"/>
      <c r="K73" s="216"/>
      <c r="X73" s="55"/>
      <c r="Y73" s="55"/>
      <c r="AA73" s="55"/>
    </row>
    <row r="74" spans="1:27" x14ac:dyDescent="0.15">
      <c r="A74" s="55"/>
      <c r="B74" s="55"/>
      <c r="C74" s="216"/>
      <c r="D74" s="86"/>
      <c r="E74" s="216"/>
      <c r="F74" s="216"/>
      <c r="G74" s="55"/>
      <c r="H74" s="216"/>
      <c r="I74" s="55"/>
      <c r="J74" s="216"/>
      <c r="K74" s="216"/>
      <c r="X74" s="55"/>
      <c r="Y74" s="55"/>
      <c r="AA74" s="55"/>
    </row>
    <row r="75" spans="1:27" x14ac:dyDescent="0.15">
      <c r="A75" s="55"/>
      <c r="B75" s="55"/>
      <c r="C75" s="216"/>
      <c r="D75" s="86"/>
      <c r="E75" s="216"/>
      <c r="F75" s="216"/>
      <c r="G75" s="55"/>
      <c r="H75" s="216"/>
      <c r="I75" s="55"/>
      <c r="J75" s="216"/>
      <c r="K75" s="216"/>
      <c r="X75" s="55"/>
      <c r="Y75" s="55"/>
      <c r="AA75" s="55"/>
    </row>
    <row r="76" spans="1:27" x14ac:dyDescent="0.15">
      <c r="A76" s="55"/>
      <c r="B76" s="55"/>
      <c r="C76" s="216"/>
      <c r="D76" s="86"/>
      <c r="E76" s="216"/>
      <c r="F76" s="216"/>
      <c r="G76" s="55"/>
      <c r="H76" s="216"/>
      <c r="I76" s="55"/>
      <c r="J76" s="216"/>
      <c r="K76" s="216"/>
      <c r="X76" s="55"/>
      <c r="Y76" s="55"/>
      <c r="AA76" s="55"/>
    </row>
    <row r="77" spans="1:27" x14ac:dyDescent="0.15">
      <c r="A77" s="55"/>
      <c r="B77" s="55"/>
      <c r="C77" s="216"/>
      <c r="D77" s="86"/>
      <c r="E77" s="216"/>
      <c r="F77" s="216"/>
      <c r="G77" s="55"/>
      <c r="H77" s="216"/>
      <c r="I77" s="55"/>
      <c r="J77" s="216"/>
      <c r="K77" s="216"/>
      <c r="X77" s="55"/>
      <c r="Y77" s="55"/>
      <c r="AA77" s="55"/>
    </row>
    <row r="78" spans="1:27" x14ac:dyDescent="0.15">
      <c r="A78" s="55"/>
      <c r="B78" s="55"/>
      <c r="C78" s="216"/>
      <c r="D78" s="86"/>
      <c r="E78" s="216"/>
      <c r="F78" s="216"/>
      <c r="G78" s="55"/>
      <c r="H78" s="216"/>
      <c r="I78" s="55"/>
      <c r="J78" s="216"/>
      <c r="K78" s="216"/>
      <c r="X78" s="55"/>
      <c r="Y78" s="55"/>
      <c r="AA78" s="55"/>
    </row>
    <row r="79" spans="1:27" x14ac:dyDescent="0.15">
      <c r="A79" s="55"/>
      <c r="B79" s="55"/>
      <c r="C79" s="216"/>
      <c r="D79" s="86"/>
      <c r="E79" s="216"/>
      <c r="F79" s="216"/>
      <c r="G79" s="55"/>
      <c r="H79" s="216"/>
      <c r="I79" s="55"/>
      <c r="J79" s="216"/>
      <c r="K79" s="216"/>
      <c r="X79" s="55"/>
      <c r="Y79" s="55"/>
      <c r="AA79" s="55"/>
    </row>
    <row r="80" spans="1:27" x14ac:dyDescent="0.15">
      <c r="A80" s="55"/>
      <c r="B80" s="55"/>
      <c r="C80" s="216"/>
      <c r="D80" s="86"/>
      <c r="E80" s="216"/>
      <c r="F80" s="216"/>
      <c r="G80" s="55"/>
      <c r="H80" s="216"/>
      <c r="I80" s="55"/>
      <c r="J80" s="216"/>
      <c r="K80" s="216"/>
      <c r="X80" s="55"/>
      <c r="Y80" s="55"/>
      <c r="AA80" s="55"/>
    </row>
    <row r="81" spans="1:27" x14ac:dyDescent="0.15">
      <c r="A81" s="55"/>
      <c r="B81" s="55"/>
      <c r="C81" s="216"/>
      <c r="D81" s="86"/>
      <c r="E81" s="216"/>
      <c r="F81" s="216"/>
      <c r="G81" s="55"/>
      <c r="H81" s="216"/>
      <c r="I81" s="55"/>
      <c r="J81" s="216"/>
      <c r="K81" s="216"/>
      <c r="X81" s="55"/>
      <c r="Y81" s="55"/>
      <c r="AA81" s="55"/>
    </row>
    <row r="82" spans="1:27" x14ac:dyDescent="0.15">
      <c r="A82" s="55"/>
      <c r="B82" s="55"/>
      <c r="C82" s="216"/>
      <c r="D82" s="86"/>
      <c r="E82" s="216"/>
      <c r="F82" s="216"/>
      <c r="G82" s="55"/>
      <c r="H82" s="216"/>
      <c r="I82" s="55"/>
      <c r="J82" s="216"/>
      <c r="K82" s="216"/>
      <c r="X82" s="55"/>
      <c r="Y82" s="55"/>
      <c r="AA82" s="55"/>
    </row>
    <row r="83" spans="1:27" x14ac:dyDescent="0.15">
      <c r="E83" s="216"/>
      <c r="F83" s="216"/>
      <c r="G83" s="55"/>
      <c r="H83" s="216"/>
      <c r="I83" s="55"/>
      <c r="J83" s="216"/>
      <c r="K83" s="216"/>
      <c r="X83" s="55"/>
      <c r="Y83" s="55"/>
      <c r="AA83" s="55"/>
    </row>
    <row r="84" spans="1:27" x14ac:dyDescent="0.15">
      <c r="E84" s="216"/>
      <c r="F84" s="216"/>
      <c r="G84" s="55"/>
      <c r="H84" s="216"/>
      <c r="I84" s="55"/>
      <c r="J84" s="216"/>
      <c r="K84" s="216"/>
      <c r="X84" s="55"/>
      <c r="Y84" s="55"/>
      <c r="AA84" s="55"/>
    </row>
    <row r="85" spans="1:27" x14ac:dyDescent="0.15">
      <c r="E85" s="216"/>
      <c r="F85" s="216"/>
      <c r="G85" s="55"/>
      <c r="H85" s="216"/>
      <c r="I85" s="55"/>
      <c r="J85" s="216"/>
      <c r="K85" s="216"/>
      <c r="X85" s="55"/>
      <c r="Y85" s="55"/>
      <c r="AA85" s="55"/>
    </row>
    <row r="86" spans="1:27" x14ac:dyDescent="0.15">
      <c r="J86" s="216"/>
      <c r="K86" s="216"/>
    </row>
    <row r="87" spans="1:27" x14ac:dyDescent="0.15">
      <c r="J87" s="216"/>
      <c r="K87" s="216"/>
    </row>
    <row r="88" spans="1:27" x14ac:dyDescent="0.15">
      <c r="J88" s="216"/>
      <c r="K88" s="216"/>
    </row>
    <row r="89" spans="1:27" x14ac:dyDescent="0.15">
      <c r="J89" s="216"/>
      <c r="K89" s="216"/>
    </row>
    <row r="90" spans="1:27" x14ac:dyDescent="0.15">
      <c r="J90" s="216"/>
      <c r="K90" s="216"/>
    </row>
    <row r="91" spans="1:27" x14ac:dyDescent="0.15">
      <c r="J91" s="216"/>
      <c r="K91" s="216"/>
    </row>
    <row r="92" spans="1:27" x14ac:dyDescent="0.15">
      <c r="J92" s="216"/>
      <c r="K92" s="216"/>
    </row>
    <row r="93" spans="1:27" x14ac:dyDescent="0.15">
      <c r="J93" s="216"/>
      <c r="K93" s="216"/>
    </row>
    <row r="94" spans="1:27" x14ac:dyDescent="0.15">
      <c r="J94" s="216"/>
      <c r="K94" s="216"/>
    </row>
    <row r="95" spans="1:27" x14ac:dyDescent="0.15">
      <c r="J95" s="216"/>
      <c r="K95" s="216"/>
    </row>
    <row r="96" spans="1:27" x14ac:dyDescent="0.15">
      <c r="J96" s="216"/>
      <c r="K96" s="216"/>
    </row>
    <row r="97" spans="10:11" x14ac:dyDescent="0.15">
      <c r="J97" s="216"/>
      <c r="K97" s="216"/>
    </row>
    <row r="98" spans="10:11" x14ac:dyDescent="0.15">
      <c r="J98" s="216"/>
      <c r="K98" s="216"/>
    </row>
    <row r="99" spans="10:11" x14ac:dyDescent="0.15">
      <c r="J99" s="216"/>
      <c r="K99" s="216"/>
    </row>
    <row r="100" spans="10:11" x14ac:dyDescent="0.15">
      <c r="J100" s="216"/>
      <c r="K100" s="216"/>
    </row>
    <row r="101" spans="10:11" x14ac:dyDescent="0.15">
      <c r="K101" s="216"/>
    </row>
    <row r="102" spans="10:11" x14ac:dyDescent="0.15">
      <c r="K102" s="216"/>
    </row>
    <row r="103" spans="10:11" x14ac:dyDescent="0.15">
      <c r="K103" s="216"/>
    </row>
    <row r="104" spans="10:11" x14ac:dyDescent="0.15">
      <c r="K104" s="216"/>
    </row>
    <row r="105" spans="10:11" x14ac:dyDescent="0.15">
      <c r="K105" s="216"/>
    </row>
    <row r="106" spans="10:11" x14ac:dyDescent="0.15">
      <c r="K106" s="216"/>
    </row>
    <row r="107" spans="10:11" x14ac:dyDescent="0.15">
      <c r="K107" s="216"/>
    </row>
    <row r="108" spans="10:11" x14ac:dyDescent="0.15">
      <c r="K108" s="216"/>
    </row>
    <row r="109" spans="10:11" x14ac:dyDescent="0.15">
      <c r="K109" s="216"/>
    </row>
    <row r="110" spans="10:11" x14ac:dyDescent="0.15">
      <c r="K110" s="216"/>
    </row>
    <row r="111" spans="10:11" x14ac:dyDescent="0.15">
      <c r="K111" s="216"/>
    </row>
    <row r="112" spans="10:11" x14ac:dyDescent="0.15">
      <c r="K112" s="216"/>
    </row>
    <row r="113" spans="11:11" x14ac:dyDescent="0.15">
      <c r="K113" s="216"/>
    </row>
    <row r="114" spans="11:11" x14ac:dyDescent="0.15">
      <c r="K114" s="216"/>
    </row>
    <row r="115" spans="11:11" x14ac:dyDescent="0.15">
      <c r="K115" s="216"/>
    </row>
    <row r="116" spans="11:11" x14ac:dyDescent="0.15">
      <c r="K116" s="216"/>
    </row>
    <row r="117" spans="11:11" x14ac:dyDescent="0.15">
      <c r="K117" s="216"/>
    </row>
    <row r="118" spans="11:11" x14ac:dyDescent="0.15">
      <c r="K118" s="216"/>
    </row>
    <row r="119" spans="11:11" x14ac:dyDescent="0.15">
      <c r="K119" s="216"/>
    </row>
    <row r="120" spans="11:11" x14ac:dyDescent="0.15">
      <c r="K120" s="216"/>
    </row>
    <row r="121" spans="11:11" x14ac:dyDescent="0.15">
      <c r="K121" s="216"/>
    </row>
    <row r="122" spans="11:11" x14ac:dyDescent="0.15">
      <c r="K122" s="216"/>
    </row>
    <row r="123" spans="11:11" x14ac:dyDescent="0.15">
      <c r="K123" s="216"/>
    </row>
    <row r="124" spans="11:11" x14ac:dyDescent="0.15">
      <c r="K124" s="216"/>
    </row>
    <row r="125" spans="11:11" x14ac:dyDescent="0.15">
      <c r="K125" s="216"/>
    </row>
    <row r="126" spans="11:11" x14ac:dyDescent="0.15">
      <c r="K126" s="216"/>
    </row>
    <row r="127" spans="11:11" x14ac:dyDescent="0.15">
      <c r="K127" s="216"/>
    </row>
    <row r="128" spans="11:11" x14ac:dyDescent="0.15">
      <c r="K128" s="216"/>
    </row>
    <row r="129" spans="11:11" x14ac:dyDescent="0.15">
      <c r="K129" s="216"/>
    </row>
    <row r="130" spans="11:11" x14ac:dyDescent="0.15">
      <c r="K130" s="216"/>
    </row>
    <row r="131" spans="11:11" x14ac:dyDescent="0.15">
      <c r="K131" s="216"/>
    </row>
    <row r="132" spans="11:11" x14ac:dyDescent="0.15">
      <c r="K132" s="216"/>
    </row>
    <row r="133" spans="11:11" x14ac:dyDescent="0.15">
      <c r="K133" s="216"/>
    </row>
    <row r="134" spans="11:11" x14ac:dyDescent="0.15">
      <c r="K134" s="216"/>
    </row>
    <row r="135" spans="11:11" x14ac:dyDescent="0.15">
      <c r="K135" s="216"/>
    </row>
    <row r="136" spans="11:11" x14ac:dyDescent="0.15">
      <c r="K136" s="216"/>
    </row>
    <row r="137" spans="11:11" x14ac:dyDescent="0.15">
      <c r="K137" s="216"/>
    </row>
    <row r="138" spans="11:11" x14ac:dyDescent="0.15">
      <c r="K138" s="216"/>
    </row>
    <row r="139" spans="11:11" x14ac:dyDescent="0.15">
      <c r="K139" s="216"/>
    </row>
    <row r="140" spans="11:11" x14ac:dyDescent="0.15">
      <c r="K140" s="216"/>
    </row>
    <row r="141" spans="11:11" x14ac:dyDescent="0.15">
      <c r="K141" s="216"/>
    </row>
    <row r="142" spans="11:11" x14ac:dyDescent="0.15">
      <c r="K142" s="216"/>
    </row>
    <row r="143" spans="11:11" x14ac:dyDescent="0.15">
      <c r="K143" s="216"/>
    </row>
    <row r="144" spans="11:11" x14ac:dyDescent="0.15">
      <c r="K144" s="216"/>
    </row>
    <row r="145" spans="11:11" x14ac:dyDescent="0.15">
      <c r="K145" s="216"/>
    </row>
    <row r="146" spans="11:11" x14ac:dyDescent="0.15">
      <c r="K146" s="216"/>
    </row>
    <row r="147" spans="11:11" x14ac:dyDescent="0.15">
      <c r="K147" s="216"/>
    </row>
    <row r="148" spans="11:11" x14ac:dyDescent="0.15">
      <c r="K148" s="216"/>
    </row>
    <row r="149" spans="11:11" x14ac:dyDescent="0.15">
      <c r="K149" s="216"/>
    </row>
    <row r="150" spans="11:11" x14ac:dyDescent="0.15">
      <c r="K150" s="216"/>
    </row>
    <row r="151" spans="11:11" x14ac:dyDescent="0.15">
      <c r="K151" s="216"/>
    </row>
    <row r="152" spans="11:11" x14ac:dyDescent="0.15">
      <c r="K152" s="216"/>
    </row>
    <row r="153" spans="11:11" x14ac:dyDescent="0.15">
      <c r="K153" s="216"/>
    </row>
    <row r="154" spans="11:11" x14ac:dyDescent="0.15">
      <c r="K154" s="216"/>
    </row>
    <row r="155" spans="11:11" x14ac:dyDescent="0.15">
      <c r="K155" s="216"/>
    </row>
    <row r="156" spans="11:11" x14ac:dyDescent="0.15">
      <c r="K156" s="216"/>
    </row>
    <row r="157" spans="11:11" x14ac:dyDescent="0.15">
      <c r="K157" s="216"/>
    </row>
    <row r="158" spans="11:11" x14ac:dyDescent="0.15">
      <c r="K158" s="216"/>
    </row>
    <row r="159" spans="11:11" x14ac:dyDescent="0.15">
      <c r="K159" s="216"/>
    </row>
    <row r="160" spans="11:11" x14ac:dyDescent="0.15">
      <c r="K160" s="216"/>
    </row>
    <row r="161" spans="11:11" x14ac:dyDescent="0.15">
      <c r="K161" s="216"/>
    </row>
    <row r="162" spans="11:11" x14ac:dyDescent="0.15">
      <c r="K162" s="216"/>
    </row>
    <row r="163" spans="11:11" x14ac:dyDescent="0.15">
      <c r="K163" s="216"/>
    </row>
    <row r="164" spans="11:11" x14ac:dyDescent="0.15">
      <c r="K164" s="216"/>
    </row>
    <row r="165" spans="11:11" x14ac:dyDescent="0.15">
      <c r="K165" s="216"/>
    </row>
    <row r="166" spans="11:11" x14ac:dyDescent="0.15">
      <c r="K166" s="216"/>
    </row>
    <row r="167" spans="11:11" x14ac:dyDescent="0.15">
      <c r="K167" s="216"/>
    </row>
    <row r="168" spans="11:11" x14ac:dyDescent="0.15">
      <c r="K168" s="216"/>
    </row>
    <row r="169" spans="11:11" x14ac:dyDescent="0.15">
      <c r="K169" s="216"/>
    </row>
    <row r="170" spans="11:11" x14ac:dyDescent="0.15">
      <c r="K170" s="216"/>
    </row>
    <row r="171" spans="11:11" x14ac:dyDescent="0.15">
      <c r="K171" s="216"/>
    </row>
    <row r="172" spans="11:11" x14ac:dyDescent="0.15">
      <c r="K172" s="216"/>
    </row>
    <row r="173" spans="11:11" x14ac:dyDescent="0.15">
      <c r="K173" s="216"/>
    </row>
    <row r="174" spans="11:11" x14ac:dyDescent="0.15">
      <c r="K174" s="216"/>
    </row>
    <row r="175" spans="11:11" x14ac:dyDescent="0.15">
      <c r="K175" s="216"/>
    </row>
    <row r="176" spans="11:11" x14ac:dyDescent="0.15">
      <c r="K176" s="216"/>
    </row>
    <row r="177" spans="11:11" x14ac:dyDescent="0.15">
      <c r="K177" s="216"/>
    </row>
    <row r="178" spans="11:11" x14ac:dyDescent="0.15">
      <c r="K178" s="216"/>
    </row>
    <row r="179" spans="11:11" x14ac:dyDescent="0.15">
      <c r="K179" s="216"/>
    </row>
    <row r="180" spans="11:11" x14ac:dyDescent="0.15">
      <c r="K180" s="216"/>
    </row>
    <row r="181" spans="11:11" x14ac:dyDescent="0.15">
      <c r="K181" s="216"/>
    </row>
    <row r="182" spans="11:11" x14ac:dyDescent="0.15">
      <c r="K182" s="216"/>
    </row>
    <row r="183" spans="11:11" x14ac:dyDescent="0.15">
      <c r="K183" s="216"/>
    </row>
    <row r="184" spans="11:11" x14ac:dyDescent="0.15">
      <c r="K184" s="216"/>
    </row>
    <row r="185" spans="11:11" x14ac:dyDescent="0.15">
      <c r="K185" s="216"/>
    </row>
    <row r="186" spans="11:11" x14ac:dyDescent="0.15">
      <c r="K186" s="216"/>
    </row>
    <row r="187" spans="11:11" x14ac:dyDescent="0.15">
      <c r="K187" s="216"/>
    </row>
    <row r="188" spans="11:11" x14ac:dyDescent="0.15">
      <c r="K188" s="216"/>
    </row>
    <row r="189" spans="11:11" x14ac:dyDescent="0.15">
      <c r="K189" s="216"/>
    </row>
    <row r="190" spans="11:11" x14ac:dyDescent="0.15">
      <c r="K190" s="216"/>
    </row>
    <row r="191" spans="11:11" x14ac:dyDescent="0.15">
      <c r="K191" s="216"/>
    </row>
    <row r="192" spans="11:11" x14ac:dyDescent="0.15">
      <c r="K192" s="216"/>
    </row>
    <row r="193" spans="11:11" x14ac:dyDescent="0.15">
      <c r="K193" s="216"/>
    </row>
    <row r="194" spans="11:11" x14ac:dyDescent="0.15">
      <c r="K194" s="216"/>
    </row>
    <row r="195" spans="11:11" x14ac:dyDescent="0.15">
      <c r="K195" s="216"/>
    </row>
    <row r="196" spans="11:11" x14ac:dyDescent="0.15">
      <c r="K196" s="216"/>
    </row>
    <row r="197" spans="11:11" x14ac:dyDescent="0.15">
      <c r="K197" s="216"/>
    </row>
    <row r="198" spans="11:11" x14ac:dyDescent="0.15">
      <c r="K198" s="216"/>
    </row>
    <row r="199" spans="11:11" x14ac:dyDescent="0.15">
      <c r="K199" s="216"/>
    </row>
    <row r="200" spans="11:11" x14ac:dyDescent="0.15">
      <c r="K200" s="216"/>
    </row>
    <row r="201" spans="11:11" x14ac:dyDescent="0.15">
      <c r="K201" s="216"/>
    </row>
    <row r="202" spans="11:11" x14ac:dyDescent="0.15">
      <c r="K202" s="216"/>
    </row>
    <row r="203" spans="11:11" x14ac:dyDescent="0.15">
      <c r="K203" s="216"/>
    </row>
    <row r="204" spans="11:11" x14ac:dyDescent="0.15">
      <c r="K204" s="216"/>
    </row>
    <row r="205" spans="11:11" x14ac:dyDescent="0.15">
      <c r="K205" s="216"/>
    </row>
    <row r="206" spans="11:11" x14ac:dyDescent="0.15">
      <c r="K206" s="216"/>
    </row>
    <row r="207" spans="11:11" x14ac:dyDescent="0.15">
      <c r="K207" s="216"/>
    </row>
    <row r="208" spans="11:11" x14ac:dyDescent="0.15">
      <c r="K208" s="216"/>
    </row>
    <row r="209" spans="11:11" x14ac:dyDescent="0.15">
      <c r="K209" s="216"/>
    </row>
    <row r="210" spans="11:11" x14ac:dyDescent="0.15">
      <c r="K210" s="216"/>
    </row>
    <row r="211" spans="11:11" x14ac:dyDescent="0.15">
      <c r="K211" s="216"/>
    </row>
    <row r="212" spans="11:11" x14ac:dyDescent="0.15">
      <c r="K212" s="216"/>
    </row>
    <row r="213" spans="11:11" x14ac:dyDescent="0.15">
      <c r="K213" s="216"/>
    </row>
    <row r="214" spans="11:11" x14ac:dyDescent="0.15">
      <c r="K214" s="216"/>
    </row>
    <row r="215" spans="11:11" x14ac:dyDescent="0.15">
      <c r="K215" s="216"/>
    </row>
    <row r="216" spans="11:11" x14ac:dyDescent="0.15">
      <c r="K216" s="216"/>
    </row>
    <row r="217" spans="11:11" x14ac:dyDescent="0.15">
      <c r="K217" s="216"/>
    </row>
    <row r="218" spans="11:11" x14ac:dyDescent="0.15">
      <c r="K218" s="216"/>
    </row>
    <row r="219" spans="11:11" x14ac:dyDescent="0.15">
      <c r="K219" s="216"/>
    </row>
    <row r="220" spans="11:11" x14ac:dyDescent="0.15">
      <c r="K220" s="216"/>
    </row>
    <row r="221" spans="11:11" x14ac:dyDescent="0.15">
      <c r="K221" s="216"/>
    </row>
    <row r="222" spans="11:11" x14ac:dyDescent="0.15">
      <c r="K222" s="216"/>
    </row>
    <row r="223" spans="11:11" x14ac:dyDescent="0.15">
      <c r="K223" s="216"/>
    </row>
    <row r="224" spans="11:11" x14ac:dyDescent="0.15">
      <c r="K224" s="216"/>
    </row>
    <row r="225" spans="11:11" x14ac:dyDescent="0.15">
      <c r="K225" s="216"/>
    </row>
    <row r="226" spans="11:11" x14ac:dyDescent="0.15">
      <c r="K226" s="216"/>
    </row>
    <row r="227" spans="11:11" x14ac:dyDescent="0.15">
      <c r="K227" s="216"/>
    </row>
    <row r="228" spans="11:11" x14ac:dyDescent="0.15">
      <c r="K228" s="216"/>
    </row>
    <row r="229" spans="11:11" x14ac:dyDescent="0.15">
      <c r="K229" s="216"/>
    </row>
    <row r="230" spans="11:11" x14ac:dyDescent="0.15">
      <c r="K230" s="216"/>
    </row>
    <row r="231" spans="11:11" x14ac:dyDescent="0.15">
      <c r="K231" s="216"/>
    </row>
    <row r="232" spans="11:11" x14ac:dyDescent="0.15">
      <c r="K232" s="216"/>
    </row>
    <row r="233" spans="11:11" x14ac:dyDescent="0.15">
      <c r="K233" s="216"/>
    </row>
    <row r="234" spans="11:11" x14ac:dyDescent="0.15">
      <c r="K234" s="216"/>
    </row>
    <row r="235" spans="11:11" x14ac:dyDescent="0.15">
      <c r="K235" s="216"/>
    </row>
    <row r="236" spans="11:11" x14ac:dyDescent="0.15">
      <c r="K236" s="216"/>
    </row>
    <row r="237" spans="11:11" x14ac:dyDescent="0.15">
      <c r="K237" s="216"/>
    </row>
    <row r="238" spans="11:11" x14ac:dyDescent="0.15">
      <c r="K238" s="216"/>
    </row>
    <row r="239" spans="11:11" x14ac:dyDescent="0.15">
      <c r="K239" s="216"/>
    </row>
    <row r="240" spans="11:11" x14ac:dyDescent="0.15">
      <c r="K240" s="216"/>
    </row>
    <row r="241" spans="11:11" x14ac:dyDescent="0.15">
      <c r="K241" s="216"/>
    </row>
    <row r="242" spans="11:11" x14ac:dyDescent="0.15">
      <c r="K242" s="216"/>
    </row>
    <row r="243" spans="11:11" x14ac:dyDescent="0.15">
      <c r="K243" s="216"/>
    </row>
    <row r="244" spans="11:11" x14ac:dyDescent="0.15">
      <c r="K244" s="216"/>
    </row>
    <row r="245" spans="11:11" x14ac:dyDescent="0.15">
      <c r="K245" s="216"/>
    </row>
    <row r="246" spans="11:11" x14ac:dyDescent="0.15">
      <c r="K246" s="216"/>
    </row>
    <row r="247" spans="11:11" x14ac:dyDescent="0.15">
      <c r="K247" s="216"/>
    </row>
    <row r="248" spans="11:11" x14ac:dyDescent="0.15">
      <c r="K248" s="216"/>
    </row>
    <row r="249" spans="11:11" x14ac:dyDescent="0.15">
      <c r="K249" s="216"/>
    </row>
    <row r="250" spans="11:11" x14ac:dyDescent="0.15">
      <c r="K250" s="216"/>
    </row>
    <row r="251" spans="11:11" x14ac:dyDescent="0.15">
      <c r="K251" s="216"/>
    </row>
    <row r="252" spans="11:11" x14ac:dyDescent="0.15">
      <c r="K252" s="216"/>
    </row>
    <row r="253" spans="11:11" x14ac:dyDescent="0.15">
      <c r="K253" s="216"/>
    </row>
    <row r="254" spans="11:11" x14ac:dyDescent="0.15">
      <c r="K254" s="216"/>
    </row>
    <row r="255" spans="11:11" x14ac:dyDescent="0.15">
      <c r="K255" s="216"/>
    </row>
    <row r="256" spans="11:11" x14ac:dyDescent="0.15">
      <c r="K256" s="216"/>
    </row>
    <row r="257" spans="11:11" x14ac:dyDescent="0.15">
      <c r="K257" s="216"/>
    </row>
    <row r="258" spans="11:11" x14ac:dyDescent="0.15">
      <c r="K258" s="216"/>
    </row>
    <row r="259" spans="11:11" x14ac:dyDescent="0.15">
      <c r="K259" s="216"/>
    </row>
    <row r="260" spans="11:11" x14ac:dyDescent="0.15">
      <c r="K260" s="216"/>
    </row>
    <row r="261" spans="11:11" x14ac:dyDescent="0.15">
      <c r="K261" s="216"/>
    </row>
    <row r="262" spans="11:11" x14ac:dyDescent="0.15">
      <c r="K262" s="216"/>
    </row>
    <row r="263" spans="11:11" x14ac:dyDescent="0.15">
      <c r="K263" s="216"/>
    </row>
    <row r="264" spans="11:11" x14ac:dyDescent="0.15">
      <c r="K264" s="216"/>
    </row>
    <row r="265" spans="11:11" x14ac:dyDescent="0.15">
      <c r="K265" s="216"/>
    </row>
    <row r="266" spans="11:11" x14ac:dyDescent="0.15">
      <c r="K266" s="216"/>
    </row>
    <row r="267" spans="11:11" x14ac:dyDescent="0.15">
      <c r="K267" s="216"/>
    </row>
    <row r="268" spans="11:11" x14ac:dyDescent="0.15">
      <c r="K268" s="216"/>
    </row>
    <row r="269" spans="11:11" x14ac:dyDescent="0.15">
      <c r="K269" s="216"/>
    </row>
    <row r="270" spans="11:11" x14ac:dyDescent="0.15">
      <c r="K270" s="216"/>
    </row>
    <row r="271" spans="11:11" x14ac:dyDescent="0.15">
      <c r="K271" s="216"/>
    </row>
    <row r="272" spans="11:11" x14ac:dyDescent="0.15">
      <c r="K272" s="216"/>
    </row>
    <row r="273" spans="11:11" x14ac:dyDescent="0.15">
      <c r="K273" s="216"/>
    </row>
    <row r="274" spans="11:11" x14ac:dyDescent="0.15">
      <c r="K274" s="216"/>
    </row>
    <row r="275" spans="11:11" x14ac:dyDescent="0.15">
      <c r="K275" s="216"/>
    </row>
    <row r="276" spans="11:11" x14ac:dyDescent="0.15">
      <c r="K276" s="216"/>
    </row>
    <row r="277" spans="11:11" x14ac:dyDescent="0.15">
      <c r="K277" s="216"/>
    </row>
    <row r="278" spans="11:11" x14ac:dyDescent="0.15">
      <c r="K278" s="216"/>
    </row>
    <row r="279" spans="11:11" x14ac:dyDescent="0.15">
      <c r="K279" s="216"/>
    </row>
    <row r="280" spans="11:11" x14ac:dyDescent="0.15">
      <c r="K280" s="216"/>
    </row>
    <row r="281" spans="11:11" x14ac:dyDescent="0.15">
      <c r="K281" s="216"/>
    </row>
    <row r="282" spans="11:11" x14ac:dyDescent="0.15">
      <c r="K282" s="216"/>
    </row>
    <row r="283" spans="11:11" x14ac:dyDescent="0.15">
      <c r="K283" s="216"/>
    </row>
    <row r="284" spans="11:11" x14ac:dyDescent="0.15">
      <c r="K284" s="216"/>
    </row>
    <row r="285" spans="11:11" x14ac:dyDescent="0.15">
      <c r="K285" s="216"/>
    </row>
    <row r="286" spans="11:11" x14ac:dyDescent="0.15">
      <c r="K286" s="216"/>
    </row>
    <row r="287" spans="11:11" x14ac:dyDescent="0.15">
      <c r="K287" s="216"/>
    </row>
    <row r="288" spans="11:11" x14ac:dyDescent="0.15">
      <c r="K288" s="216"/>
    </row>
    <row r="289" spans="11:11" x14ac:dyDescent="0.15">
      <c r="K289" s="216"/>
    </row>
    <row r="290" spans="11:11" x14ac:dyDescent="0.15">
      <c r="K290" s="216"/>
    </row>
    <row r="291" spans="11:11" x14ac:dyDescent="0.15">
      <c r="K291" s="216"/>
    </row>
    <row r="292" spans="11:11" x14ac:dyDescent="0.15">
      <c r="K292" s="216"/>
    </row>
    <row r="293" spans="11:11" x14ac:dyDescent="0.15">
      <c r="K293" s="216"/>
    </row>
    <row r="294" spans="11:11" x14ac:dyDescent="0.15">
      <c r="K294" s="216"/>
    </row>
    <row r="295" spans="11:11" x14ac:dyDescent="0.15">
      <c r="K295" s="216"/>
    </row>
    <row r="296" spans="11:11" x14ac:dyDescent="0.15">
      <c r="K296" s="216"/>
    </row>
    <row r="297" spans="11:11" x14ac:dyDescent="0.15">
      <c r="K297" s="216"/>
    </row>
    <row r="298" spans="11:11" x14ac:dyDescent="0.15">
      <c r="K298" s="216"/>
    </row>
    <row r="299" spans="11:11" x14ac:dyDescent="0.15">
      <c r="K299" s="216"/>
    </row>
    <row r="300" spans="11:11" x14ac:dyDescent="0.15">
      <c r="K300" s="216"/>
    </row>
    <row r="301" spans="11:11" x14ac:dyDescent="0.15">
      <c r="K301" s="216"/>
    </row>
    <row r="302" spans="11:11" x14ac:dyDescent="0.15">
      <c r="K302" s="216"/>
    </row>
    <row r="303" spans="11:11" x14ac:dyDescent="0.15">
      <c r="K303" s="216"/>
    </row>
    <row r="304" spans="11:11" x14ac:dyDescent="0.15">
      <c r="K304" s="216"/>
    </row>
    <row r="305" spans="11:11" x14ac:dyDescent="0.15">
      <c r="K305" s="216"/>
    </row>
    <row r="306" spans="11:11" x14ac:dyDescent="0.15">
      <c r="K306" s="216"/>
    </row>
    <row r="307" spans="11:11" x14ac:dyDescent="0.15">
      <c r="K307" s="216"/>
    </row>
    <row r="308" spans="11:11" x14ac:dyDescent="0.15">
      <c r="K308" s="216"/>
    </row>
    <row r="309" spans="11:11" x14ac:dyDescent="0.15">
      <c r="K309" s="216"/>
    </row>
    <row r="310" spans="11:11" x14ac:dyDescent="0.15">
      <c r="K310" s="216"/>
    </row>
    <row r="311" spans="11:11" x14ac:dyDescent="0.15">
      <c r="K311" s="216"/>
    </row>
    <row r="312" spans="11:11" x14ac:dyDescent="0.15">
      <c r="K312" s="216"/>
    </row>
    <row r="313" spans="11:11" x14ac:dyDescent="0.15">
      <c r="K313" s="216"/>
    </row>
    <row r="314" spans="11:11" x14ac:dyDescent="0.15">
      <c r="K314" s="216"/>
    </row>
    <row r="315" spans="11:11" x14ac:dyDescent="0.15">
      <c r="K315" s="216"/>
    </row>
    <row r="316" spans="11:11" x14ac:dyDescent="0.15">
      <c r="K316" s="216"/>
    </row>
    <row r="317" spans="11:11" x14ac:dyDescent="0.15">
      <c r="K317" s="216"/>
    </row>
    <row r="318" spans="11:11" x14ac:dyDescent="0.15">
      <c r="K318" s="216"/>
    </row>
    <row r="319" spans="11:11" x14ac:dyDescent="0.15">
      <c r="K319" s="216"/>
    </row>
    <row r="320" spans="11:11" x14ac:dyDescent="0.15">
      <c r="K320" s="216"/>
    </row>
    <row r="321" spans="11:11" x14ac:dyDescent="0.15">
      <c r="K321" s="216"/>
    </row>
    <row r="322" spans="11:11" x14ac:dyDescent="0.15">
      <c r="K322" s="216"/>
    </row>
    <row r="323" spans="11:11" x14ac:dyDescent="0.15">
      <c r="K323" s="216"/>
    </row>
    <row r="324" spans="11:11" x14ac:dyDescent="0.15">
      <c r="K324" s="216"/>
    </row>
    <row r="325" spans="11:11" x14ac:dyDescent="0.15">
      <c r="K325" s="216"/>
    </row>
    <row r="326" spans="11:11" x14ac:dyDescent="0.15">
      <c r="K326" s="216"/>
    </row>
    <row r="327" spans="11:11" x14ac:dyDescent="0.15">
      <c r="K327" s="216"/>
    </row>
    <row r="328" spans="11:11" x14ac:dyDescent="0.15">
      <c r="K328" s="216"/>
    </row>
    <row r="329" spans="11:11" x14ac:dyDescent="0.15">
      <c r="K329" s="216"/>
    </row>
    <row r="330" spans="11:11" x14ac:dyDescent="0.15">
      <c r="K330" s="216"/>
    </row>
    <row r="331" spans="11:11" x14ac:dyDescent="0.15">
      <c r="K331" s="216"/>
    </row>
    <row r="332" spans="11:11" x14ac:dyDescent="0.15">
      <c r="K332" s="216"/>
    </row>
    <row r="333" spans="11:11" x14ac:dyDescent="0.15">
      <c r="K333" s="216"/>
    </row>
    <row r="334" spans="11:11" x14ac:dyDescent="0.15">
      <c r="K334" s="216"/>
    </row>
    <row r="335" spans="11:11" x14ac:dyDescent="0.15">
      <c r="K335" s="216"/>
    </row>
    <row r="336" spans="11:11" x14ac:dyDescent="0.15">
      <c r="K336" s="216"/>
    </row>
    <row r="337" spans="11:11" x14ac:dyDescent="0.15">
      <c r="K337" s="216"/>
    </row>
    <row r="338" spans="11:11" x14ac:dyDescent="0.15">
      <c r="K338" s="216"/>
    </row>
    <row r="339" spans="11:11" x14ac:dyDescent="0.15">
      <c r="K339" s="216"/>
    </row>
    <row r="340" spans="11:11" x14ac:dyDescent="0.15">
      <c r="K340" s="216"/>
    </row>
    <row r="341" spans="11:11" x14ac:dyDescent="0.15">
      <c r="K341" s="216"/>
    </row>
    <row r="342" spans="11:11" x14ac:dyDescent="0.15">
      <c r="K342" s="216"/>
    </row>
    <row r="343" spans="11:11" x14ac:dyDescent="0.15">
      <c r="K343" s="216"/>
    </row>
    <row r="344" spans="11:11" x14ac:dyDescent="0.15">
      <c r="K344" s="216"/>
    </row>
    <row r="345" spans="11:11" x14ac:dyDescent="0.15">
      <c r="K345" s="216"/>
    </row>
    <row r="346" spans="11:11" x14ac:dyDescent="0.15">
      <c r="K346" s="216"/>
    </row>
    <row r="347" spans="11:11" x14ac:dyDescent="0.15">
      <c r="K347" s="216"/>
    </row>
    <row r="348" spans="11:11" x14ac:dyDescent="0.15">
      <c r="K348" s="216"/>
    </row>
    <row r="349" spans="11:11" x14ac:dyDescent="0.15">
      <c r="K349" s="216"/>
    </row>
    <row r="350" spans="11:11" x14ac:dyDescent="0.15">
      <c r="K350" s="216"/>
    </row>
    <row r="351" spans="11:11" x14ac:dyDescent="0.15">
      <c r="K351" s="216"/>
    </row>
    <row r="352" spans="11:11" x14ac:dyDescent="0.15">
      <c r="K352" s="216"/>
    </row>
    <row r="353" spans="11:11" x14ac:dyDescent="0.15">
      <c r="K353" s="216"/>
    </row>
    <row r="354" spans="11:11" x14ac:dyDescent="0.15">
      <c r="K354" s="216"/>
    </row>
    <row r="355" spans="11:11" x14ac:dyDescent="0.15">
      <c r="K355" s="216"/>
    </row>
    <row r="356" spans="11:11" x14ac:dyDescent="0.15">
      <c r="K356" s="216"/>
    </row>
    <row r="357" spans="11:11" x14ac:dyDescent="0.15">
      <c r="K357" s="216"/>
    </row>
    <row r="358" spans="11:11" x14ac:dyDescent="0.15">
      <c r="K358" s="216"/>
    </row>
    <row r="359" spans="11:11" x14ac:dyDescent="0.15">
      <c r="K359" s="216"/>
    </row>
    <row r="360" spans="11:11" x14ac:dyDescent="0.15">
      <c r="K360" s="216"/>
    </row>
    <row r="361" spans="11:11" x14ac:dyDescent="0.15">
      <c r="K361" s="216"/>
    </row>
    <row r="362" spans="11:11" x14ac:dyDescent="0.15">
      <c r="K362" s="216"/>
    </row>
    <row r="363" spans="11:11" x14ac:dyDescent="0.15">
      <c r="K363" s="216"/>
    </row>
    <row r="364" spans="11:11" x14ac:dyDescent="0.15">
      <c r="K364" s="216"/>
    </row>
    <row r="365" spans="11:11" x14ac:dyDescent="0.15">
      <c r="K365" s="216"/>
    </row>
    <row r="366" spans="11:11" x14ac:dyDescent="0.15">
      <c r="K366" s="216"/>
    </row>
    <row r="367" spans="11:11" x14ac:dyDescent="0.15">
      <c r="K367" s="216"/>
    </row>
    <row r="368" spans="11:11" x14ac:dyDescent="0.15">
      <c r="K368" s="216"/>
    </row>
    <row r="369" spans="11:11" x14ac:dyDescent="0.15">
      <c r="K369" s="216"/>
    </row>
    <row r="370" spans="11:11" x14ac:dyDescent="0.15">
      <c r="K370" s="216"/>
    </row>
    <row r="371" spans="11:11" x14ac:dyDescent="0.15">
      <c r="K371" s="216"/>
    </row>
    <row r="372" spans="11:11" x14ac:dyDescent="0.15">
      <c r="K372" s="216"/>
    </row>
    <row r="373" spans="11:11" x14ac:dyDescent="0.15">
      <c r="K373" s="216"/>
    </row>
    <row r="374" spans="11:11" x14ac:dyDescent="0.15">
      <c r="K374" s="216"/>
    </row>
    <row r="375" spans="11:11" x14ac:dyDescent="0.15">
      <c r="K375" s="216"/>
    </row>
    <row r="376" spans="11:11" x14ac:dyDescent="0.15">
      <c r="K376" s="216"/>
    </row>
    <row r="377" spans="11:11" x14ac:dyDescent="0.15">
      <c r="K377" s="216"/>
    </row>
    <row r="378" spans="11:11" x14ac:dyDescent="0.15">
      <c r="K378" s="216"/>
    </row>
    <row r="379" spans="11:11" x14ac:dyDescent="0.15">
      <c r="K379" s="216"/>
    </row>
    <row r="380" spans="11:11" x14ac:dyDescent="0.15">
      <c r="K380" s="216"/>
    </row>
    <row r="381" spans="11:11" x14ac:dyDescent="0.15">
      <c r="K381" s="216"/>
    </row>
    <row r="382" spans="11:11" x14ac:dyDescent="0.15">
      <c r="K382" s="216"/>
    </row>
    <row r="383" spans="11:11" x14ac:dyDescent="0.15">
      <c r="K383" s="216"/>
    </row>
    <row r="384" spans="11:11" x14ac:dyDescent="0.15">
      <c r="K384" s="216"/>
    </row>
    <row r="385" spans="11:11" x14ac:dyDescent="0.15">
      <c r="K385" s="216"/>
    </row>
    <row r="386" spans="11:11" x14ac:dyDescent="0.15">
      <c r="K386" s="216"/>
    </row>
    <row r="387" spans="11:11" x14ac:dyDescent="0.15">
      <c r="K387" s="216"/>
    </row>
    <row r="388" spans="11:11" x14ac:dyDescent="0.15">
      <c r="K388" s="216"/>
    </row>
    <row r="389" spans="11:11" x14ac:dyDescent="0.15">
      <c r="K389" s="216"/>
    </row>
    <row r="390" spans="11:11" x14ac:dyDescent="0.15">
      <c r="K390" s="216"/>
    </row>
    <row r="391" spans="11:11" x14ac:dyDescent="0.15">
      <c r="K391" s="216"/>
    </row>
    <row r="392" spans="11:11" x14ac:dyDescent="0.15">
      <c r="K392" s="216"/>
    </row>
    <row r="393" spans="11:11" x14ac:dyDescent="0.15">
      <c r="K393" s="216"/>
    </row>
    <row r="394" spans="11:11" x14ac:dyDescent="0.15">
      <c r="K394" s="216"/>
    </row>
    <row r="395" spans="11:11" x14ac:dyDescent="0.15">
      <c r="K395" s="216"/>
    </row>
    <row r="396" spans="11:11" x14ac:dyDescent="0.15">
      <c r="K396" s="216"/>
    </row>
    <row r="397" spans="11:11" x14ac:dyDescent="0.15">
      <c r="K397" s="216"/>
    </row>
    <row r="398" spans="11:11" x14ac:dyDescent="0.15">
      <c r="K398" s="216"/>
    </row>
    <row r="399" spans="11:11" x14ac:dyDescent="0.15">
      <c r="K399" s="216"/>
    </row>
    <row r="400" spans="11:11" x14ac:dyDescent="0.15">
      <c r="K400" s="216"/>
    </row>
    <row r="401" spans="11:11" x14ac:dyDescent="0.15">
      <c r="K401" s="216"/>
    </row>
    <row r="402" spans="11:11" x14ac:dyDescent="0.15">
      <c r="K402" s="216"/>
    </row>
    <row r="403" spans="11:11" x14ac:dyDescent="0.15">
      <c r="K403" s="216"/>
    </row>
    <row r="404" spans="11:11" x14ac:dyDescent="0.15">
      <c r="K404" s="216"/>
    </row>
    <row r="405" spans="11:11" x14ac:dyDescent="0.15">
      <c r="K405" s="216"/>
    </row>
    <row r="406" spans="11:11" x14ac:dyDescent="0.15">
      <c r="K406" s="216"/>
    </row>
    <row r="407" spans="11:11" x14ac:dyDescent="0.15">
      <c r="K407" s="216"/>
    </row>
    <row r="408" spans="11:11" x14ac:dyDescent="0.15">
      <c r="K408" s="216"/>
    </row>
    <row r="409" spans="11:11" x14ac:dyDescent="0.15">
      <c r="K409" s="216"/>
    </row>
    <row r="410" spans="11:11" x14ac:dyDescent="0.15">
      <c r="K410" s="216"/>
    </row>
    <row r="411" spans="11:11" x14ac:dyDescent="0.15">
      <c r="K411" s="216"/>
    </row>
    <row r="412" spans="11:11" x14ac:dyDescent="0.15">
      <c r="K412" s="216"/>
    </row>
    <row r="413" spans="11:11" x14ac:dyDescent="0.15">
      <c r="K413" s="216"/>
    </row>
    <row r="414" spans="11:11" x14ac:dyDescent="0.15">
      <c r="K414" s="216"/>
    </row>
    <row r="415" spans="11:11" x14ac:dyDescent="0.15">
      <c r="K415" s="216"/>
    </row>
    <row r="416" spans="11:11" x14ac:dyDescent="0.15">
      <c r="K416" s="216"/>
    </row>
    <row r="417" spans="11:11" x14ac:dyDescent="0.15">
      <c r="K417" s="216"/>
    </row>
    <row r="418" spans="11:11" x14ac:dyDescent="0.15">
      <c r="K418" s="216"/>
    </row>
    <row r="419" spans="11:11" x14ac:dyDescent="0.15">
      <c r="K419" s="216"/>
    </row>
    <row r="420" spans="11:11" x14ac:dyDescent="0.15">
      <c r="K420" s="216"/>
    </row>
    <row r="421" spans="11:11" x14ac:dyDescent="0.15">
      <c r="K421" s="216"/>
    </row>
    <row r="422" spans="11:11" x14ac:dyDescent="0.15">
      <c r="K422" s="216"/>
    </row>
    <row r="423" spans="11:11" x14ac:dyDescent="0.15">
      <c r="K423" s="216"/>
    </row>
    <row r="424" spans="11:11" x14ac:dyDescent="0.15">
      <c r="K424" s="216"/>
    </row>
    <row r="425" spans="11:11" x14ac:dyDescent="0.15">
      <c r="K425" s="216"/>
    </row>
    <row r="426" spans="11:11" x14ac:dyDescent="0.15">
      <c r="K426" s="216"/>
    </row>
    <row r="427" spans="11:11" x14ac:dyDescent="0.15">
      <c r="K427" s="216"/>
    </row>
    <row r="428" spans="11:11" x14ac:dyDescent="0.15">
      <c r="K428" s="216"/>
    </row>
    <row r="429" spans="11:11" x14ac:dyDescent="0.15">
      <c r="K429" s="216"/>
    </row>
    <row r="430" spans="11:11" x14ac:dyDescent="0.15">
      <c r="K430" s="216"/>
    </row>
    <row r="431" spans="11:11" x14ac:dyDescent="0.15">
      <c r="K431" s="216"/>
    </row>
    <row r="432" spans="11:11" x14ac:dyDescent="0.15">
      <c r="K432" s="216"/>
    </row>
    <row r="433" spans="11:11" x14ac:dyDescent="0.15">
      <c r="K433" s="216"/>
    </row>
    <row r="434" spans="11:11" x14ac:dyDescent="0.15">
      <c r="K434" s="216"/>
    </row>
    <row r="435" spans="11:11" x14ac:dyDescent="0.15">
      <c r="K435" s="216"/>
    </row>
    <row r="436" spans="11:11" x14ac:dyDescent="0.15">
      <c r="K436" s="216"/>
    </row>
    <row r="437" spans="11:11" x14ac:dyDescent="0.15">
      <c r="K437" s="216"/>
    </row>
    <row r="438" spans="11:11" x14ac:dyDescent="0.15">
      <c r="K438" s="216"/>
    </row>
    <row r="439" spans="11:11" x14ac:dyDescent="0.15">
      <c r="K439" s="216"/>
    </row>
    <row r="440" spans="11:11" x14ac:dyDescent="0.15">
      <c r="K440" s="216"/>
    </row>
    <row r="441" spans="11:11" x14ac:dyDescent="0.15">
      <c r="K441" s="216"/>
    </row>
    <row r="442" spans="11:11" x14ac:dyDescent="0.15">
      <c r="K442" s="216"/>
    </row>
    <row r="443" spans="11:11" x14ac:dyDescent="0.15">
      <c r="K443" s="216"/>
    </row>
    <row r="444" spans="11:11" x14ac:dyDescent="0.15">
      <c r="K444" s="216"/>
    </row>
    <row r="445" spans="11:11" x14ac:dyDescent="0.15">
      <c r="K445" s="216"/>
    </row>
    <row r="446" spans="11:11" x14ac:dyDescent="0.15">
      <c r="K446" s="216"/>
    </row>
    <row r="447" spans="11:11" x14ac:dyDescent="0.15">
      <c r="K447" s="216"/>
    </row>
    <row r="448" spans="11:11" x14ac:dyDescent="0.15">
      <c r="K448" s="216"/>
    </row>
    <row r="449" spans="11:11" x14ac:dyDescent="0.15">
      <c r="K449" s="216"/>
    </row>
    <row r="450" spans="11:11" x14ac:dyDescent="0.15">
      <c r="K450" s="216"/>
    </row>
  </sheetData>
  <autoFilter ref="A1:BA52"/>
  <phoneticPr fontId="3"/>
  <dataValidations count="18">
    <dataValidation type="list" allowBlank="1" showInputMessage="1" showErrorMessage="1" sqref="K2:K45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29"/>
  <sheetViews>
    <sheetView zoomScale="70" zoomScaleNormal="70" workbookViewId="0">
      <selection activeCell="AH39" sqref="AH39"/>
    </sheetView>
  </sheetViews>
  <sheetFormatPr defaultRowHeight="13.5" x14ac:dyDescent="0.15"/>
  <cols>
    <col min="1" max="16384" width="9" style="255"/>
  </cols>
  <sheetData>
    <row r="1" spans="1:53" ht="45" x14ac:dyDescent="0.15">
      <c r="A1" s="89" t="s">
        <v>0</v>
      </c>
      <c r="B1" s="90" t="s">
        <v>186</v>
      </c>
      <c r="C1" s="90" t="s">
        <v>187</v>
      </c>
      <c r="D1" s="91" t="s">
        <v>3</v>
      </c>
      <c r="E1" s="92" t="s">
        <v>4</v>
      </c>
      <c r="F1" s="92" t="s">
        <v>5</v>
      </c>
      <c r="G1" s="92" t="s">
        <v>6</v>
      </c>
      <c r="H1" s="92" t="s">
        <v>7</v>
      </c>
      <c r="I1" s="92" t="s">
        <v>8</v>
      </c>
      <c r="J1" s="92" t="s">
        <v>9</v>
      </c>
      <c r="K1" s="92" t="s">
        <v>10</v>
      </c>
      <c r="L1" s="91" t="s">
        <v>188</v>
      </c>
      <c r="M1" s="91" t="s">
        <v>189</v>
      </c>
      <c r="N1" s="91" t="s">
        <v>13</v>
      </c>
      <c r="O1" s="91" t="s">
        <v>190</v>
      </c>
      <c r="P1" s="91" t="s">
        <v>191</v>
      </c>
      <c r="Q1" s="93" t="s">
        <v>192</v>
      </c>
      <c r="R1" s="91" t="s">
        <v>193</v>
      </c>
      <c r="S1" s="91" t="s">
        <v>194</v>
      </c>
      <c r="T1" s="93" t="s">
        <v>19</v>
      </c>
      <c r="U1" s="94" t="s">
        <v>108</v>
      </c>
      <c r="V1" s="95" t="s">
        <v>20</v>
      </c>
      <c r="W1" s="91" t="s">
        <v>195</v>
      </c>
      <c r="X1" s="92" t="s">
        <v>22</v>
      </c>
      <c r="Y1" s="92" t="s">
        <v>23</v>
      </c>
      <c r="Z1" s="92" t="s">
        <v>24</v>
      </c>
      <c r="AA1" s="96" t="s">
        <v>25</v>
      </c>
      <c r="AB1" s="97" t="s">
        <v>196</v>
      </c>
      <c r="AE1" s="99" t="s">
        <v>0</v>
      </c>
      <c r="AF1" s="100"/>
      <c r="AG1" s="99" t="s">
        <v>4</v>
      </c>
      <c r="AH1" s="99" t="s">
        <v>5</v>
      </c>
      <c r="AI1" s="100"/>
      <c r="AJ1" s="99" t="s">
        <v>6</v>
      </c>
      <c r="AK1" s="100"/>
      <c r="AL1" s="101" t="s">
        <v>7</v>
      </c>
      <c r="AM1" s="100"/>
      <c r="AN1" s="101" t="s">
        <v>8</v>
      </c>
      <c r="AO1" s="100"/>
      <c r="AP1" s="101" t="s">
        <v>27</v>
      </c>
      <c r="AQ1" s="100"/>
      <c r="AR1" s="101" t="s">
        <v>10</v>
      </c>
      <c r="AS1" s="100"/>
      <c r="AT1" s="102" t="s">
        <v>197</v>
      </c>
      <c r="AU1" s="100"/>
      <c r="AV1" s="101" t="s">
        <v>29</v>
      </c>
      <c r="AX1" s="103" t="s">
        <v>394</v>
      </c>
      <c r="AY1" s="104" t="s">
        <v>198</v>
      </c>
      <c r="AZ1" s="104" t="s">
        <v>394</v>
      </c>
      <c r="BA1" s="105" t="s">
        <v>199</v>
      </c>
    </row>
    <row r="2" spans="1:53" x14ac:dyDescent="0.15">
      <c r="A2" s="246" t="s">
        <v>51</v>
      </c>
      <c r="B2" s="246" t="s">
        <v>348</v>
      </c>
      <c r="C2" s="246">
        <v>2018</v>
      </c>
      <c r="D2" s="106" t="s">
        <v>395</v>
      </c>
      <c r="E2" s="246" t="s">
        <v>200</v>
      </c>
      <c r="F2" s="246" t="s">
        <v>201</v>
      </c>
      <c r="G2" s="246" t="s">
        <v>42</v>
      </c>
      <c r="H2" s="246" t="s">
        <v>157</v>
      </c>
      <c r="I2" s="246" t="s">
        <v>155</v>
      </c>
      <c r="J2" s="246" t="s">
        <v>38</v>
      </c>
      <c r="K2" s="246" t="s">
        <v>156</v>
      </c>
      <c r="L2" s="246">
        <v>1</v>
      </c>
      <c r="N2" s="246">
        <v>1</v>
      </c>
      <c r="O2" s="246">
        <v>0.8</v>
      </c>
      <c r="P2" s="246">
        <v>0.75</v>
      </c>
      <c r="Q2" s="107">
        <f t="shared" ref="Q2:Q65" si="0">IF(OR(O2="",P2=""),"",AVERAGE(O2,P2))</f>
        <v>0.77500000000000002</v>
      </c>
      <c r="R2" s="246">
        <v>14.8</v>
      </c>
      <c r="S2" s="246">
        <v>132</v>
      </c>
      <c r="T2" s="108">
        <f t="shared" ref="T2:T65" si="1">IF(H2="","",IF(OR(H2="GREEN",H2="GK"),IF(S2&gt;=$AX$2,VLOOKUP(S2,$AX$2:$AY$12,2,1),""),IF(S2&gt;=$AZ$2,VLOOKUP(S2,$AZ$2:$BA$12,2,1),"")))</f>
        <v>25</v>
      </c>
      <c r="U2" s="246">
        <v>98</v>
      </c>
      <c r="V2" s="109">
        <f t="shared" ref="V2:V65" si="2">IF(OR(N2="",U2="",T2=""),"",U2/N2*T2)</f>
        <v>2450</v>
      </c>
      <c r="W2" s="246">
        <v>18</v>
      </c>
      <c r="X2" s="246" t="s">
        <v>46</v>
      </c>
      <c r="Y2" s="246" t="s">
        <v>69</v>
      </c>
      <c r="Z2" s="246" t="s">
        <v>55</v>
      </c>
      <c r="AA2" s="246" t="s">
        <v>88</v>
      </c>
      <c r="AB2" s="246" t="s">
        <v>350</v>
      </c>
      <c r="AE2" s="110" t="s">
        <v>35</v>
      </c>
      <c r="AG2" s="111" t="s">
        <v>172</v>
      </c>
      <c r="AH2" s="111" t="s">
        <v>202</v>
      </c>
      <c r="AJ2" s="111" t="s">
        <v>36</v>
      </c>
      <c r="AL2" s="111" t="s">
        <v>203</v>
      </c>
      <c r="AN2" s="111" t="s">
        <v>37</v>
      </c>
      <c r="AP2" s="111" t="s">
        <v>38</v>
      </c>
      <c r="AR2" s="111" t="s">
        <v>156</v>
      </c>
      <c r="AT2" s="111" t="s">
        <v>39</v>
      </c>
      <c r="AV2" s="111" t="s">
        <v>40</v>
      </c>
      <c r="AX2" s="112">
        <v>1</v>
      </c>
      <c r="AY2" s="113">
        <v>50</v>
      </c>
      <c r="AZ2" s="113">
        <v>1</v>
      </c>
      <c r="BA2" s="114">
        <v>50</v>
      </c>
    </row>
    <row r="3" spans="1:53" x14ac:dyDescent="0.15">
      <c r="A3" s="246" t="s">
        <v>51</v>
      </c>
      <c r="B3" s="246" t="s">
        <v>348</v>
      </c>
      <c r="C3" s="246">
        <v>2018</v>
      </c>
      <c r="D3" s="106" t="s">
        <v>395</v>
      </c>
      <c r="E3" s="246" t="s">
        <v>200</v>
      </c>
      <c r="F3" s="246" t="s">
        <v>201</v>
      </c>
      <c r="G3" s="246" t="s">
        <v>42</v>
      </c>
      <c r="H3" s="246" t="s">
        <v>157</v>
      </c>
      <c r="I3" s="246" t="s">
        <v>155</v>
      </c>
      <c r="J3" s="246" t="s">
        <v>38</v>
      </c>
      <c r="K3" s="246" t="s">
        <v>156</v>
      </c>
      <c r="L3" s="246">
        <v>2</v>
      </c>
      <c r="M3" s="246"/>
      <c r="N3" s="246">
        <v>1</v>
      </c>
      <c r="O3" s="246">
        <v>0.85</v>
      </c>
      <c r="P3" s="246">
        <v>0.85</v>
      </c>
      <c r="Q3" s="107">
        <f t="shared" si="0"/>
        <v>0.85</v>
      </c>
      <c r="R3" s="246">
        <v>14.4</v>
      </c>
      <c r="S3" s="246">
        <v>130</v>
      </c>
      <c r="T3" s="108">
        <f t="shared" si="1"/>
        <v>25</v>
      </c>
      <c r="U3" s="246">
        <v>98</v>
      </c>
      <c r="V3" s="109">
        <f t="shared" si="2"/>
        <v>2450</v>
      </c>
      <c r="W3" s="246">
        <v>18</v>
      </c>
      <c r="X3" s="246" t="s">
        <v>46</v>
      </c>
      <c r="Y3" s="246" t="s">
        <v>69</v>
      </c>
      <c r="Z3" s="246" t="s">
        <v>55</v>
      </c>
      <c r="AA3" s="246" t="s">
        <v>88</v>
      </c>
      <c r="AB3" s="246" t="s">
        <v>350</v>
      </c>
      <c r="AE3" s="116" t="s">
        <v>41</v>
      </c>
      <c r="AG3" s="111" t="s">
        <v>204</v>
      </c>
      <c r="AH3" s="111" t="s">
        <v>205</v>
      </c>
      <c r="AJ3" s="117" t="s">
        <v>42</v>
      </c>
      <c r="AL3" s="117" t="s">
        <v>206</v>
      </c>
      <c r="AN3" s="117" t="s">
        <v>43</v>
      </c>
      <c r="AP3" s="117" t="s">
        <v>44</v>
      </c>
      <c r="AR3" s="118" t="s">
        <v>45</v>
      </c>
      <c r="AT3" s="117" t="s">
        <v>46</v>
      </c>
      <c r="AV3" s="117" t="s">
        <v>47</v>
      </c>
      <c r="AX3" s="119">
        <v>72</v>
      </c>
      <c r="AY3" s="120">
        <v>46</v>
      </c>
      <c r="AZ3" s="120">
        <v>71</v>
      </c>
      <c r="BA3" s="121">
        <v>42</v>
      </c>
    </row>
    <row r="4" spans="1:53" x14ac:dyDescent="0.15">
      <c r="A4" s="246" t="s">
        <v>51</v>
      </c>
      <c r="B4" s="246" t="s">
        <v>348</v>
      </c>
      <c r="C4" s="246">
        <v>2018</v>
      </c>
      <c r="D4" s="106" t="s">
        <v>395</v>
      </c>
      <c r="E4" s="246" t="s">
        <v>200</v>
      </c>
      <c r="F4" s="246" t="s">
        <v>201</v>
      </c>
      <c r="G4" s="246" t="s">
        <v>42</v>
      </c>
      <c r="H4" s="246" t="s">
        <v>157</v>
      </c>
      <c r="I4" s="246" t="s">
        <v>155</v>
      </c>
      <c r="J4" s="246" t="s">
        <v>38</v>
      </c>
      <c r="K4" s="246" t="s">
        <v>156</v>
      </c>
      <c r="L4" s="246">
        <v>3</v>
      </c>
      <c r="M4" s="246"/>
      <c r="N4" s="246">
        <v>1</v>
      </c>
      <c r="O4" s="246">
        <v>0.9</v>
      </c>
      <c r="P4" s="246">
        <v>0.8</v>
      </c>
      <c r="Q4" s="107">
        <f t="shared" si="0"/>
        <v>0.85000000000000009</v>
      </c>
      <c r="R4" s="246">
        <v>14.1</v>
      </c>
      <c r="S4" s="246">
        <v>130</v>
      </c>
      <c r="T4" s="108">
        <f t="shared" si="1"/>
        <v>25</v>
      </c>
      <c r="U4" s="246">
        <v>98</v>
      </c>
      <c r="V4" s="109">
        <f t="shared" si="2"/>
        <v>2450</v>
      </c>
      <c r="W4" s="246">
        <v>18</v>
      </c>
      <c r="X4" s="246" t="s">
        <v>46</v>
      </c>
      <c r="Y4" s="246" t="s">
        <v>69</v>
      </c>
      <c r="Z4" s="246" t="s">
        <v>55</v>
      </c>
      <c r="AA4" s="246" t="s">
        <v>88</v>
      </c>
      <c r="AB4" s="246" t="s">
        <v>350</v>
      </c>
      <c r="AE4" s="116" t="s">
        <v>34</v>
      </c>
      <c r="AG4" s="111" t="s">
        <v>207</v>
      </c>
      <c r="AH4" s="111" t="s">
        <v>208</v>
      </c>
      <c r="AJ4" s="122" t="s">
        <v>48</v>
      </c>
      <c r="AL4" s="122" t="s">
        <v>209</v>
      </c>
      <c r="AN4" s="123" t="s">
        <v>210</v>
      </c>
      <c r="AP4" s="117" t="s">
        <v>211</v>
      </c>
      <c r="AR4" s="118" t="s">
        <v>212</v>
      </c>
      <c r="AT4" s="123"/>
      <c r="AV4" s="117" t="s">
        <v>50</v>
      </c>
      <c r="AX4" s="119">
        <v>75</v>
      </c>
      <c r="AY4" s="120">
        <v>42</v>
      </c>
      <c r="AZ4" s="120">
        <v>76</v>
      </c>
      <c r="BA4" s="121">
        <v>39</v>
      </c>
    </row>
    <row r="5" spans="1:53" x14ac:dyDescent="0.15">
      <c r="A5" s="246" t="s">
        <v>51</v>
      </c>
      <c r="B5" s="246" t="s">
        <v>348</v>
      </c>
      <c r="C5" s="246">
        <v>2018</v>
      </c>
      <c r="D5" s="106" t="s">
        <v>395</v>
      </c>
      <c r="E5" s="246" t="s">
        <v>200</v>
      </c>
      <c r="F5" s="246" t="s">
        <v>201</v>
      </c>
      <c r="G5" s="246" t="s">
        <v>42</v>
      </c>
      <c r="H5" s="246" t="s">
        <v>219</v>
      </c>
      <c r="I5" s="246" t="s">
        <v>155</v>
      </c>
      <c r="J5" s="246" t="s">
        <v>38</v>
      </c>
      <c r="K5" s="246" t="s">
        <v>156</v>
      </c>
      <c r="L5" s="246">
        <v>1</v>
      </c>
      <c r="M5" s="246"/>
      <c r="N5" s="246">
        <v>4</v>
      </c>
      <c r="O5" s="246">
        <v>0.75</v>
      </c>
      <c r="P5" s="246">
        <v>0.75</v>
      </c>
      <c r="Q5" s="107">
        <f t="shared" si="0"/>
        <v>0.75</v>
      </c>
      <c r="R5" s="246">
        <v>15.5</v>
      </c>
      <c r="S5" s="246">
        <v>108</v>
      </c>
      <c r="T5" s="108">
        <f t="shared" si="1"/>
        <v>33</v>
      </c>
      <c r="U5" s="246">
        <v>298</v>
      </c>
      <c r="V5" s="109">
        <f t="shared" si="2"/>
        <v>2458.5</v>
      </c>
      <c r="W5" s="246">
        <v>18</v>
      </c>
      <c r="X5" s="246" t="s">
        <v>46</v>
      </c>
      <c r="Y5" s="246" t="s">
        <v>69</v>
      </c>
      <c r="Z5" s="246" t="s">
        <v>55</v>
      </c>
      <c r="AA5" s="246" t="s">
        <v>88</v>
      </c>
      <c r="AB5" s="246" t="s">
        <v>350</v>
      </c>
      <c r="AE5" s="116" t="s">
        <v>51</v>
      </c>
      <c r="AG5" s="111" t="s">
        <v>213</v>
      </c>
      <c r="AH5" s="111" t="s">
        <v>201</v>
      </c>
      <c r="AJ5" s="123"/>
      <c r="AL5" s="124" t="s">
        <v>157</v>
      </c>
      <c r="AN5" s="124" t="s">
        <v>155</v>
      </c>
      <c r="AP5" s="117" t="s">
        <v>214</v>
      </c>
      <c r="AR5" s="118" t="s">
        <v>54</v>
      </c>
      <c r="AV5" s="117" t="s">
        <v>55</v>
      </c>
      <c r="AX5" s="119">
        <v>84</v>
      </c>
      <c r="AY5" s="120">
        <v>39</v>
      </c>
      <c r="AZ5" s="120">
        <v>84</v>
      </c>
      <c r="BA5" s="121">
        <v>36</v>
      </c>
    </row>
    <row r="6" spans="1:53" x14ac:dyDescent="0.15">
      <c r="A6" s="246" t="s">
        <v>51</v>
      </c>
      <c r="B6" s="246" t="s">
        <v>348</v>
      </c>
      <c r="C6" s="246">
        <v>2018</v>
      </c>
      <c r="D6" s="106" t="s">
        <v>395</v>
      </c>
      <c r="E6" s="246" t="s">
        <v>200</v>
      </c>
      <c r="F6" s="246" t="s">
        <v>201</v>
      </c>
      <c r="G6" s="246" t="s">
        <v>42</v>
      </c>
      <c r="H6" s="246" t="s">
        <v>219</v>
      </c>
      <c r="I6" s="246" t="s">
        <v>155</v>
      </c>
      <c r="J6" s="246" t="s">
        <v>38</v>
      </c>
      <c r="K6" s="246" t="s">
        <v>156</v>
      </c>
      <c r="L6" s="246">
        <v>2</v>
      </c>
      <c r="M6" s="246"/>
      <c r="N6" s="246">
        <v>4</v>
      </c>
      <c r="O6" s="246">
        <v>0.8</v>
      </c>
      <c r="P6" s="246">
        <v>0.65</v>
      </c>
      <c r="Q6" s="107">
        <f t="shared" si="0"/>
        <v>0.72500000000000009</v>
      </c>
      <c r="R6" s="246">
        <v>16.2</v>
      </c>
      <c r="S6" s="246">
        <v>114</v>
      </c>
      <c r="T6" s="108">
        <f t="shared" si="1"/>
        <v>30</v>
      </c>
      <c r="U6" s="246">
        <v>298</v>
      </c>
      <c r="V6" s="109">
        <f t="shared" si="2"/>
        <v>2235</v>
      </c>
      <c r="W6" s="246">
        <v>18</v>
      </c>
      <c r="X6" s="246" t="s">
        <v>46</v>
      </c>
      <c r="Y6" s="246" t="s">
        <v>69</v>
      </c>
      <c r="Z6" s="246" t="s">
        <v>55</v>
      </c>
      <c r="AA6" s="246" t="s">
        <v>88</v>
      </c>
      <c r="AB6" s="246" t="s">
        <v>350</v>
      </c>
      <c r="AE6" s="116" t="s">
        <v>56</v>
      </c>
      <c r="AG6" s="111" t="s">
        <v>215</v>
      </c>
      <c r="AH6" s="111" t="s">
        <v>216</v>
      </c>
      <c r="AL6" s="124" t="s">
        <v>217</v>
      </c>
      <c r="AN6" s="124" t="s">
        <v>158</v>
      </c>
      <c r="AP6" s="117" t="s">
        <v>53</v>
      </c>
      <c r="AR6" s="118" t="s">
        <v>59</v>
      </c>
      <c r="AV6" s="117" t="s">
        <v>60</v>
      </c>
      <c r="AX6" s="119">
        <v>97</v>
      </c>
      <c r="AY6" s="120">
        <v>36</v>
      </c>
      <c r="AZ6" s="120">
        <v>99</v>
      </c>
      <c r="BA6" s="121">
        <v>33</v>
      </c>
    </row>
    <row r="7" spans="1:53" x14ac:dyDescent="0.15">
      <c r="A7" s="246" t="s">
        <v>51</v>
      </c>
      <c r="B7" s="246" t="s">
        <v>348</v>
      </c>
      <c r="C7" s="246">
        <v>2018</v>
      </c>
      <c r="D7" s="106" t="s">
        <v>395</v>
      </c>
      <c r="E7" s="246" t="s">
        <v>200</v>
      </c>
      <c r="F7" s="246" t="s">
        <v>201</v>
      </c>
      <c r="G7" s="246" t="s">
        <v>42</v>
      </c>
      <c r="H7" s="246" t="s">
        <v>219</v>
      </c>
      <c r="I7" s="246" t="s">
        <v>155</v>
      </c>
      <c r="J7" s="246" t="s">
        <v>38</v>
      </c>
      <c r="K7" s="246" t="s">
        <v>156</v>
      </c>
      <c r="L7" s="246">
        <v>3</v>
      </c>
      <c r="M7" s="246"/>
      <c r="N7" s="246">
        <v>4</v>
      </c>
      <c r="O7" s="246">
        <v>0.7</v>
      </c>
      <c r="P7" s="246">
        <v>0.8</v>
      </c>
      <c r="Q7" s="107">
        <f t="shared" si="0"/>
        <v>0.75</v>
      </c>
      <c r="R7" s="246">
        <v>16</v>
      </c>
      <c r="S7" s="246">
        <v>114</v>
      </c>
      <c r="T7" s="108">
        <f t="shared" si="1"/>
        <v>30</v>
      </c>
      <c r="U7" s="246">
        <v>298</v>
      </c>
      <c r="V7" s="109">
        <f t="shared" si="2"/>
        <v>2235</v>
      </c>
      <c r="W7" s="246">
        <v>18</v>
      </c>
      <c r="X7" s="246" t="s">
        <v>46</v>
      </c>
      <c r="Y7" s="246" t="s">
        <v>69</v>
      </c>
      <c r="Z7" s="246" t="s">
        <v>55</v>
      </c>
      <c r="AA7" s="246" t="s">
        <v>88</v>
      </c>
      <c r="AB7" s="246" t="s">
        <v>350</v>
      </c>
      <c r="AE7" s="116" t="s">
        <v>61</v>
      </c>
      <c r="AG7" s="111" t="s">
        <v>218</v>
      </c>
      <c r="AH7" s="111" t="s">
        <v>202</v>
      </c>
      <c r="AL7" s="115" t="s">
        <v>219</v>
      </c>
      <c r="AP7" s="117" t="s">
        <v>58</v>
      </c>
      <c r="AR7" s="118" t="s">
        <v>220</v>
      </c>
      <c r="AV7" s="117" t="s">
        <v>64</v>
      </c>
      <c r="AX7" s="119">
        <v>109</v>
      </c>
      <c r="AY7" s="120">
        <v>33</v>
      </c>
      <c r="AZ7" s="120">
        <v>113</v>
      </c>
      <c r="BA7" s="121">
        <v>30</v>
      </c>
    </row>
    <row r="8" spans="1:53" x14ac:dyDescent="0.15">
      <c r="A8" s="246" t="s">
        <v>51</v>
      </c>
      <c r="B8" s="246" t="s">
        <v>348</v>
      </c>
      <c r="C8" s="246">
        <v>2018</v>
      </c>
      <c r="D8" s="106" t="s">
        <v>395</v>
      </c>
      <c r="E8" s="246" t="s">
        <v>200</v>
      </c>
      <c r="F8" s="246" t="s">
        <v>201</v>
      </c>
      <c r="G8" s="246" t="s">
        <v>42</v>
      </c>
      <c r="H8" s="246" t="s">
        <v>164</v>
      </c>
      <c r="I8" s="246" t="s">
        <v>155</v>
      </c>
      <c r="J8" s="246" t="s">
        <v>38</v>
      </c>
      <c r="K8" s="246" t="s">
        <v>156</v>
      </c>
      <c r="L8" s="246">
        <v>1</v>
      </c>
      <c r="M8" s="246"/>
      <c r="N8" s="246">
        <v>1</v>
      </c>
      <c r="O8" s="246">
        <v>0.7</v>
      </c>
      <c r="P8" s="246">
        <v>0.7</v>
      </c>
      <c r="Q8" s="107">
        <f t="shared" si="0"/>
        <v>0.7</v>
      </c>
      <c r="R8" s="246">
        <v>15.3</v>
      </c>
      <c r="S8" s="246">
        <v>128</v>
      </c>
      <c r="T8" s="108">
        <f t="shared" si="1"/>
        <v>27</v>
      </c>
      <c r="U8" s="246">
        <v>128</v>
      </c>
      <c r="V8" s="109">
        <f t="shared" si="2"/>
        <v>3456</v>
      </c>
      <c r="W8" s="246">
        <v>18</v>
      </c>
      <c r="X8" s="246" t="s">
        <v>46</v>
      </c>
      <c r="Y8" s="246" t="s">
        <v>69</v>
      </c>
      <c r="Z8" s="246" t="s">
        <v>55</v>
      </c>
      <c r="AA8" s="246" t="s">
        <v>88</v>
      </c>
      <c r="AB8" s="246" t="s">
        <v>350</v>
      </c>
      <c r="AE8" s="116" t="s">
        <v>59</v>
      </c>
      <c r="AG8" s="111" t="s">
        <v>221</v>
      </c>
      <c r="AH8" s="111" t="s">
        <v>222</v>
      </c>
      <c r="AL8" s="115" t="s">
        <v>164</v>
      </c>
      <c r="AP8" s="117" t="s">
        <v>62</v>
      </c>
      <c r="AR8" s="118" t="s">
        <v>81</v>
      </c>
      <c r="AV8" s="117" t="s">
        <v>97</v>
      </c>
      <c r="AX8" s="119">
        <v>119</v>
      </c>
      <c r="AY8" s="120">
        <v>30</v>
      </c>
      <c r="AZ8" s="120">
        <v>121</v>
      </c>
      <c r="BA8" s="121">
        <v>27</v>
      </c>
    </row>
    <row r="9" spans="1:53" x14ac:dyDescent="0.15">
      <c r="A9" s="246" t="s">
        <v>51</v>
      </c>
      <c r="B9" s="246" t="s">
        <v>348</v>
      </c>
      <c r="C9" s="246">
        <v>2018</v>
      </c>
      <c r="D9" s="106" t="s">
        <v>395</v>
      </c>
      <c r="E9" s="246" t="s">
        <v>200</v>
      </c>
      <c r="F9" s="246" t="s">
        <v>201</v>
      </c>
      <c r="G9" s="246" t="s">
        <v>42</v>
      </c>
      <c r="H9" s="246" t="s">
        <v>164</v>
      </c>
      <c r="I9" s="246" t="s">
        <v>155</v>
      </c>
      <c r="J9" s="246" t="s">
        <v>38</v>
      </c>
      <c r="K9" s="246" t="s">
        <v>156</v>
      </c>
      <c r="L9" s="246">
        <v>2</v>
      </c>
      <c r="M9" s="246"/>
      <c r="N9" s="246">
        <v>1</v>
      </c>
      <c r="O9" s="246">
        <v>0.75</v>
      </c>
      <c r="P9" s="246">
        <v>0.7</v>
      </c>
      <c r="Q9" s="107">
        <f t="shared" si="0"/>
        <v>0.72499999999999998</v>
      </c>
      <c r="R9" s="246">
        <v>16.100000000000001</v>
      </c>
      <c r="S9" s="246">
        <v>134</v>
      </c>
      <c r="T9" s="108">
        <f t="shared" si="1"/>
        <v>25</v>
      </c>
      <c r="U9" s="246">
        <v>128</v>
      </c>
      <c r="V9" s="109">
        <f t="shared" si="2"/>
        <v>3200</v>
      </c>
      <c r="W9" s="246">
        <v>18</v>
      </c>
      <c r="X9" s="246" t="s">
        <v>46</v>
      </c>
      <c r="Y9" s="246" t="s">
        <v>69</v>
      </c>
      <c r="Z9" s="246" t="s">
        <v>55</v>
      </c>
      <c r="AA9" s="246" t="s">
        <v>88</v>
      </c>
      <c r="AB9" s="246" t="s">
        <v>350</v>
      </c>
      <c r="AE9" s="116" t="s">
        <v>223</v>
      </c>
      <c r="AG9" s="111" t="s">
        <v>224</v>
      </c>
      <c r="AH9" s="111" t="s">
        <v>201</v>
      </c>
      <c r="AL9" s="124"/>
      <c r="AP9" s="117" t="s">
        <v>95</v>
      </c>
      <c r="AR9" s="118" t="s">
        <v>225</v>
      </c>
      <c r="AV9" s="117" t="s">
        <v>102</v>
      </c>
      <c r="AX9" s="119">
        <v>128</v>
      </c>
      <c r="AY9" s="120">
        <v>27</v>
      </c>
      <c r="AZ9" s="120">
        <v>129</v>
      </c>
      <c r="BA9" s="121">
        <v>25</v>
      </c>
    </row>
    <row r="10" spans="1:53" x14ac:dyDescent="0.15">
      <c r="A10" s="246" t="s">
        <v>51</v>
      </c>
      <c r="B10" s="246" t="s">
        <v>348</v>
      </c>
      <c r="C10" s="246">
        <v>2018</v>
      </c>
      <c r="D10" s="106" t="s">
        <v>395</v>
      </c>
      <c r="E10" s="246" t="s">
        <v>200</v>
      </c>
      <c r="F10" s="246" t="s">
        <v>201</v>
      </c>
      <c r="G10" s="246" t="s">
        <v>42</v>
      </c>
      <c r="H10" s="246" t="s">
        <v>164</v>
      </c>
      <c r="I10" s="246" t="s">
        <v>155</v>
      </c>
      <c r="J10" s="246" t="s">
        <v>38</v>
      </c>
      <c r="K10" s="246" t="s">
        <v>156</v>
      </c>
      <c r="L10" s="246">
        <v>3</v>
      </c>
      <c r="M10" s="246"/>
      <c r="N10" s="246">
        <v>1</v>
      </c>
      <c r="O10" s="246">
        <v>0.8</v>
      </c>
      <c r="P10" s="246">
        <v>0.75</v>
      </c>
      <c r="Q10" s="107">
        <f t="shared" si="0"/>
        <v>0.77500000000000002</v>
      </c>
      <c r="R10" s="246">
        <v>15.7</v>
      </c>
      <c r="S10" s="246">
        <v>138</v>
      </c>
      <c r="T10" s="108">
        <f t="shared" si="1"/>
        <v>22</v>
      </c>
      <c r="U10" s="246">
        <v>128</v>
      </c>
      <c r="V10" s="109">
        <f t="shared" si="2"/>
        <v>2816</v>
      </c>
      <c r="W10" s="246">
        <v>18</v>
      </c>
      <c r="X10" s="246" t="s">
        <v>46</v>
      </c>
      <c r="Y10" s="246" t="s">
        <v>69</v>
      </c>
      <c r="Z10" s="246" t="s">
        <v>55</v>
      </c>
      <c r="AA10" s="246" t="s">
        <v>88</v>
      </c>
      <c r="AB10" s="246" t="s">
        <v>350</v>
      </c>
      <c r="AE10" s="116" t="s">
        <v>226</v>
      </c>
      <c r="AG10" s="111" t="s">
        <v>200</v>
      </c>
      <c r="AH10" s="117" t="s">
        <v>201</v>
      </c>
      <c r="AP10" s="117" t="s">
        <v>100</v>
      </c>
      <c r="AR10" s="118" t="s">
        <v>227</v>
      </c>
      <c r="AV10" s="117" t="s">
        <v>106</v>
      </c>
      <c r="AX10" s="119">
        <v>138</v>
      </c>
      <c r="AY10" s="120">
        <v>25</v>
      </c>
      <c r="AZ10" s="120">
        <v>138</v>
      </c>
      <c r="BA10" s="121">
        <v>22</v>
      </c>
    </row>
    <row r="11" spans="1:53" x14ac:dyDescent="0.15">
      <c r="A11" s="246" t="s">
        <v>51</v>
      </c>
      <c r="B11" s="246" t="s">
        <v>348</v>
      </c>
      <c r="C11" s="246">
        <v>2018</v>
      </c>
      <c r="D11" s="106" t="s">
        <v>395</v>
      </c>
      <c r="E11" s="246" t="s">
        <v>204</v>
      </c>
      <c r="F11" s="246" t="s">
        <v>205</v>
      </c>
      <c r="G11" s="246" t="s">
        <v>36</v>
      </c>
      <c r="H11" s="246" t="s">
        <v>157</v>
      </c>
      <c r="I11" s="246" t="s">
        <v>155</v>
      </c>
      <c r="J11" s="246" t="s">
        <v>38</v>
      </c>
      <c r="K11" s="246" t="s">
        <v>156</v>
      </c>
      <c r="L11" s="246">
        <v>1</v>
      </c>
      <c r="M11" s="246"/>
      <c r="N11" s="246">
        <v>3</v>
      </c>
      <c r="O11" s="246">
        <v>0.85</v>
      </c>
      <c r="P11" s="246">
        <v>0.75</v>
      </c>
      <c r="Q11" s="107">
        <f t="shared" si="0"/>
        <v>0.8</v>
      </c>
      <c r="R11" s="246">
        <v>15.6</v>
      </c>
      <c r="S11" s="246">
        <v>170</v>
      </c>
      <c r="T11" s="108">
        <f t="shared" si="1"/>
        <v>18</v>
      </c>
      <c r="U11" s="246">
        <v>398</v>
      </c>
      <c r="V11" s="109">
        <f t="shared" si="2"/>
        <v>2388</v>
      </c>
      <c r="W11" s="246">
        <v>11</v>
      </c>
      <c r="X11" s="246" t="s">
        <v>46</v>
      </c>
      <c r="Y11" s="246" t="s">
        <v>88</v>
      </c>
      <c r="Z11" s="246" t="s">
        <v>90</v>
      </c>
      <c r="AA11" s="246" t="s">
        <v>55</v>
      </c>
      <c r="AB11" s="246" t="s">
        <v>350</v>
      </c>
      <c r="AE11" s="116" t="s">
        <v>68</v>
      </c>
      <c r="AG11" s="111" t="s">
        <v>139</v>
      </c>
      <c r="AH11" s="117" t="s">
        <v>396</v>
      </c>
      <c r="AP11" s="117" t="s">
        <v>104</v>
      </c>
      <c r="AR11" s="118" t="s">
        <v>228</v>
      </c>
      <c r="AV11" s="117" t="s">
        <v>69</v>
      </c>
      <c r="AX11" s="119">
        <v>151</v>
      </c>
      <c r="AY11" s="120">
        <v>22</v>
      </c>
      <c r="AZ11" s="120">
        <v>152</v>
      </c>
      <c r="BA11" s="121">
        <v>18</v>
      </c>
    </row>
    <row r="12" spans="1:53" x14ac:dyDescent="0.15">
      <c r="A12" s="246" t="s">
        <v>51</v>
      </c>
      <c r="B12" s="246" t="s">
        <v>348</v>
      </c>
      <c r="C12" s="246">
        <v>2018</v>
      </c>
      <c r="D12" s="106" t="s">
        <v>395</v>
      </c>
      <c r="E12" s="246" t="s">
        <v>204</v>
      </c>
      <c r="F12" s="246" t="s">
        <v>205</v>
      </c>
      <c r="G12" s="246" t="s">
        <v>36</v>
      </c>
      <c r="H12" s="246" t="s">
        <v>157</v>
      </c>
      <c r="I12" s="246" t="s">
        <v>155</v>
      </c>
      <c r="J12" s="246" t="s">
        <v>38</v>
      </c>
      <c r="K12" s="246" t="s">
        <v>156</v>
      </c>
      <c r="L12" s="246">
        <v>2</v>
      </c>
      <c r="M12" s="246"/>
      <c r="N12" s="246">
        <v>3</v>
      </c>
      <c r="O12" s="246">
        <v>0.8</v>
      </c>
      <c r="P12" s="246">
        <v>0.9</v>
      </c>
      <c r="Q12" s="107">
        <f t="shared" si="0"/>
        <v>0.85000000000000009</v>
      </c>
      <c r="R12" s="246">
        <v>15.4</v>
      </c>
      <c r="S12" s="246">
        <v>168</v>
      </c>
      <c r="T12" s="108">
        <f t="shared" si="1"/>
        <v>18</v>
      </c>
      <c r="U12" s="246">
        <v>398</v>
      </c>
      <c r="V12" s="109">
        <f t="shared" si="2"/>
        <v>2388</v>
      </c>
      <c r="W12" s="246">
        <v>11</v>
      </c>
      <c r="X12" s="246" t="s">
        <v>46</v>
      </c>
      <c r="Y12" s="246" t="s">
        <v>88</v>
      </c>
      <c r="Z12" s="246" t="s">
        <v>90</v>
      </c>
      <c r="AA12" s="246" t="s">
        <v>55</v>
      </c>
      <c r="AB12" s="246" t="s">
        <v>350</v>
      </c>
      <c r="AE12" s="116" t="s">
        <v>229</v>
      </c>
      <c r="AG12" s="117"/>
      <c r="AH12" s="117"/>
      <c r="AP12" s="117" t="s">
        <v>67</v>
      </c>
      <c r="AR12" s="118" t="s">
        <v>230</v>
      </c>
      <c r="AV12" s="117" t="s">
        <v>72</v>
      </c>
      <c r="AX12" s="125">
        <v>180</v>
      </c>
      <c r="AY12" s="126">
        <v>18</v>
      </c>
      <c r="AZ12" s="126">
        <v>181</v>
      </c>
      <c r="BA12" s="127">
        <v>16</v>
      </c>
    </row>
    <row r="13" spans="1:53" x14ac:dyDescent="0.15">
      <c r="A13" s="246" t="s">
        <v>51</v>
      </c>
      <c r="B13" s="246" t="s">
        <v>348</v>
      </c>
      <c r="C13" s="246">
        <v>2018</v>
      </c>
      <c r="D13" s="106" t="s">
        <v>395</v>
      </c>
      <c r="E13" s="246" t="s">
        <v>204</v>
      </c>
      <c r="F13" s="246" t="s">
        <v>205</v>
      </c>
      <c r="G13" s="246" t="s">
        <v>36</v>
      </c>
      <c r="H13" s="246" t="s">
        <v>157</v>
      </c>
      <c r="I13" s="246" t="s">
        <v>155</v>
      </c>
      <c r="J13" s="246" t="s">
        <v>38</v>
      </c>
      <c r="K13" s="246" t="s">
        <v>156</v>
      </c>
      <c r="L13" s="246">
        <v>3</v>
      </c>
      <c r="M13" s="246"/>
      <c r="N13" s="246">
        <v>3</v>
      </c>
      <c r="O13" s="246">
        <v>0.8</v>
      </c>
      <c r="P13" s="246">
        <v>0.8</v>
      </c>
      <c r="Q13" s="107">
        <f t="shared" si="0"/>
        <v>0.8</v>
      </c>
      <c r="R13" s="246">
        <v>16.7</v>
      </c>
      <c r="S13" s="246">
        <v>178</v>
      </c>
      <c r="T13" s="108">
        <f t="shared" si="1"/>
        <v>18</v>
      </c>
      <c r="U13" s="246">
        <v>398</v>
      </c>
      <c r="V13" s="109">
        <f t="shared" si="2"/>
        <v>2388</v>
      </c>
      <c r="W13" s="246">
        <v>11</v>
      </c>
      <c r="X13" s="246" t="s">
        <v>46</v>
      </c>
      <c r="Y13" s="246" t="s">
        <v>88</v>
      </c>
      <c r="Z13" s="246" t="s">
        <v>90</v>
      </c>
      <c r="AA13" s="246" t="s">
        <v>55</v>
      </c>
      <c r="AB13" s="246" t="s">
        <v>350</v>
      </c>
      <c r="AE13" s="116" t="s">
        <v>231</v>
      </c>
      <c r="AG13" s="117"/>
      <c r="AH13" s="117"/>
      <c r="AP13" s="117" t="s">
        <v>71</v>
      </c>
      <c r="AR13" s="118" t="s">
        <v>226</v>
      </c>
      <c r="AV13" s="117" t="s">
        <v>75</v>
      </c>
    </row>
    <row r="14" spans="1:53" x14ac:dyDescent="0.15">
      <c r="A14" s="246" t="s">
        <v>51</v>
      </c>
      <c r="B14" s="246" t="s">
        <v>348</v>
      </c>
      <c r="C14" s="246">
        <v>2018</v>
      </c>
      <c r="D14" s="106" t="s">
        <v>395</v>
      </c>
      <c r="E14" s="246" t="s">
        <v>204</v>
      </c>
      <c r="F14" s="246" t="s">
        <v>205</v>
      </c>
      <c r="G14" s="246" t="s">
        <v>36</v>
      </c>
      <c r="H14" s="246" t="s">
        <v>164</v>
      </c>
      <c r="I14" s="246" t="s">
        <v>155</v>
      </c>
      <c r="J14" s="246" t="s">
        <v>38</v>
      </c>
      <c r="K14" s="246" t="s">
        <v>156</v>
      </c>
      <c r="L14" s="246">
        <v>1</v>
      </c>
      <c r="M14" s="246"/>
      <c r="N14" s="246">
        <v>3</v>
      </c>
      <c r="O14" s="246">
        <v>0.6</v>
      </c>
      <c r="P14" s="246">
        <v>0.65</v>
      </c>
      <c r="Q14" s="107">
        <f t="shared" si="0"/>
        <v>0.625</v>
      </c>
      <c r="R14" s="246">
        <v>16.3</v>
      </c>
      <c r="S14" s="246">
        <v>156</v>
      </c>
      <c r="T14" s="108">
        <f t="shared" si="1"/>
        <v>18</v>
      </c>
      <c r="U14" s="246">
        <v>398</v>
      </c>
      <c r="V14" s="109">
        <f t="shared" si="2"/>
        <v>2388</v>
      </c>
      <c r="W14" s="246">
        <v>11</v>
      </c>
      <c r="X14" s="246" t="s">
        <v>46</v>
      </c>
      <c r="Y14" s="246" t="s">
        <v>88</v>
      </c>
      <c r="Z14" s="246" t="s">
        <v>90</v>
      </c>
      <c r="AA14" s="246" t="s">
        <v>55</v>
      </c>
      <c r="AB14" s="246" t="s">
        <v>350</v>
      </c>
      <c r="AE14" s="116" t="s">
        <v>96</v>
      </c>
      <c r="AG14" s="117"/>
      <c r="AH14" s="117"/>
      <c r="AP14" s="117" t="s">
        <v>74</v>
      </c>
      <c r="AR14" s="118" t="s">
        <v>232</v>
      </c>
      <c r="AV14" s="117" t="s">
        <v>78</v>
      </c>
    </row>
    <row r="15" spans="1:53" x14ac:dyDescent="0.15">
      <c r="A15" s="246" t="s">
        <v>51</v>
      </c>
      <c r="B15" s="246" t="s">
        <v>348</v>
      </c>
      <c r="C15" s="246">
        <v>2018</v>
      </c>
      <c r="D15" s="106" t="s">
        <v>395</v>
      </c>
      <c r="E15" s="246" t="s">
        <v>204</v>
      </c>
      <c r="F15" s="246" t="s">
        <v>205</v>
      </c>
      <c r="G15" s="246" t="s">
        <v>36</v>
      </c>
      <c r="H15" s="246" t="s">
        <v>164</v>
      </c>
      <c r="I15" s="246" t="s">
        <v>155</v>
      </c>
      <c r="J15" s="246" t="s">
        <v>38</v>
      </c>
      <c r="K15" s="246" t="s">
        <v>156</v>
      </c>
      <c r="L15" s="246">
        <v>2</v>
      </c>
      <c r="M15" s="246"/>
      <c r="N15" s="246">
        <v>3</v>
      </c>
      <c r="O15" s="246">
        <v>0.55000000000000004</v>
      </c>
      <c r="P15" s="246">
        <v>0.7</v>
      </c>
      <c r="Q15" s="107">
        <f t="shared" si="0"/>
        <v>0.625</v>
      </c>
      <c r="R15" s="246">
        <v>16.5</v>
      </c>
      <c r="S15" s="246">
        <v>162</v>
      </c>
      <c r="T15" s="108">
        <f t="shared" si="1"/>
        <v>18</v>
      </c>
      <c r="U15" s="246">
        <v>398</v>
      </c>
      <c r="V15" s="109">
        <f t="shared" si="2"/>
        <v>2388</v>
      </c>
      <c r="W15" s="246">
        <v>11</v>
      </c>
      <c r="X15" s="246" t="s">
        <v>46</v>
      </c>
      <c r="Y15" s="246" t="s">
        <v>88</v>
      </c>
      <c r="Z15" s="246" t="s">
        <v>90</v>
      </c>
      <c r="AA15" s="246" t="s">
        <v>55</v>
      </c>
      <c r="AB15" s="246" t="s">
        <v>350</v>
      </c>
      <c r="AE15" s="116" t="s">
        <v>233</v>
      </c>
      <c r="AG15" s="117"/>
      <c r="AH15" s="117"/>
      <c r="AP15" s="117" t="s">
        <v>77</v>
      </c>
      <c r="AR15" s="118" t="s">
        <v>80</v>
      </c>
      <c r="AV15" s="117" t="s">
        <v>107</v>
      </c>
    </row>
    <row r="16" spans="1:53" x14ac:dyDescent="0.15">
      <c r="A16" s="246" t="s">
        <v>51</v>
      </c>
      <c r="B16" s="246" t="s">
        <v>348</v>
      </c>
      <c r="C16" s="246">
        <v>2018</v>
      </c>
      <c r="D16" s="106" t="s">
        <v>395</v>
      </c>
      <c r="E16" s="246" t="s">
        <v>204</v>
      </c>
      <c r="F16" s="246" t="s">
        <v>205</v>
      </c>
      <c r="G16" s="246" t="s">
        <v>36</v>
      </c>
      <c r="H16" s="246" t="s">
        <v>164</v>
      </c>
      <c r="I16" s="246" t="s">
        <v>155</v>
      </c>
      <c r="J16" s="246" t="s">
        <v>38</v>
      </c>
      <c r="K16" s="246" t="s">
        <v>156</v>
      </c>
      <c r="L16" s="246">
        <v>3</v>
      </c>
      <c r="M16" s="246"/>
      <c r="N16" s="246">
        <v>3</v>
      </c>
      <c r="O16" s="246">
        <v>0.6</v>
      </c>
      <c r="P16" s="246">
        <v>0.6</v>
      </c>
      <c r="Q16" s="107">
        <f t="shared" si="0"/>
        <v>0.6</v>
      </c>
      <c r="R16" s="246">
        <v>17.2</v>
      </c>
      <c r="S16" s="246">
        <v>170</v>
      </c>
      <c r="T16" s="108">
        <f t="shared" si="1"/>
        <v>18</v>
      </c>
      <c r="U16" s="246">
        <v>398</v>
      </c>
      <c r="V16" s="109">
        <f t="shared" si="2"/>
        <v>2388</v>
      </c>
      <c r="W16" s="246">
        <v>11</v>
      </c>
      <c r="X16" s="246" t="s">
        <v>46</v>
      </c>
      <c r="Y16" s="246" t="s">
        <v>88</v>
      </c>
      <c r="Z16" s="246" t="s">
        <v>90</v>
      </c>
      <c r="AA16" s="246" t="s">
        <v>55</v>
      </c>
      <c r="AB16" s="246" t="s">
        <v>350</v>
      </c>
      <c r="AE16" s="116" t="s">
        <v>234</v>
      </c>
      <c r="AG16" s="123"/>
      <c r="AH16" s="123"/>
      <c r="AP16" s="117" t="s">
        <v>80</v>
      </c>
      <c r="AR16" s="118" t="s">
        <v>63</v>
      </c>
      <c r="AV16" s="117" t="s">
        <v>84</v>
      </c>
    </row>
    <row r="17" spans="1:48" x14ac:dyDescent="0.15">
      <c r="A17" s="246" t="s">
        <v>51</v>
      </c>
      <c r="B17" s="246" t="s">
        <v>348</v>
      </c>
      <c r="C17" s="246">
        <v>2018</v>
      </c>
      <c r="D17" s="106" t="s">
        <v>395</v>
      </c>
      <c r="E17" s="246" t="s">
        <v>139</v>
      </c>
      <c r="F17" s="246" t="s">
        <v>396</v>
      </c>
      <c r="G17" s="246" t="s">
        <v>42</v>
      </c>
      <c r="H17" s="246" t="s">
        <v>157</v>
      </c>
      <c r="I17" s="246" t="s">
        <v>155</v>
      </c>
      <c r="J17" s="246" t="s">
        <v>38</v>
      </c>
      <c r="K17" s="246" t="s">
        <v>156</v>
      </c>
      <c r="L17" s="246">
        <v>1</v>
      </c>
      <c r="M17" s="246"/>
      <c r="N17" s="246">
        <v>1</v>
      </c>
      <c r="O17" s="246">
        <v>0.7</v>
      </c>
      <c r="P17" s="246">
        <v>0.6</v>
      </c>
      <c r="Q17" s="107">
        <f t="shared" si="0"/>
        <v>0.64999999999999991</v>
      </c>
      <c r="R17" s="246">
        <v>14.3</v>
      </c>
      <c r="S17" s="246">
        <v>144</v>
      </c>
      <c r="T17" s="108">
        <f t="shared" si="1"/>
        <v>22</v>
      </c>
      <c r="U17" s="246">
        <v>128</v>
      </c>
      <c r="V17" s="109">
        <f t="shared" si="2"/>
        <v>2816</v>
      </c>
      <c r="W17" s="246">
        <v>18</v>
      </c>
      <c r="X17" s="246" t="s">
        <v>46</v>
      </c>
      <c r="Y17" s="246" t="s">
        <v>69</v>
      </c>
      <c r="Z17" s="246" t="s">
        <v>97</v>
      </c>
      <c r="AA17" s="246" t="s">
        <v>55</v>
      </c>
      <c r="AB17" s="246" t="s">
        <v>350</v>
      </c>
      <c r="AE17" s="116" t="s">
        <v>235</v>
      </c>
      <c r="AP17" s="128" t="s">
        <v>236</v>
      </c>
      <c r="AR17" s="118" t="s">
        <v>96</v>
      </c>
      <c r="AV17" s="117" t="s">
        <v>86</v>
      </c>
    </row>
    <row r="18" spans="1:48" x14ac:dyDescent="0.15">
      <c r="A18" s="246" t="s">
        <v>51</v>
      </c>
      <c r="B18" s="246" t="s">
        <v>348</v>
      </c>
      <c r="C18" s="246">
        <v>2018</v>
      </c>
      <c r="D18" s="106" t="s">
        <v>395</v>
      </c>
      <c r="E18" s="246" t="s">
        <v>139</v>
      </c>
      <c r="F18" s="246" t="s">
        <v>396</v>
      </c>
      <c r="G18" s="246" t="s">
        <v>42</v>
      </c>
      <c r="H18" s="246" t="s">
        <v>157</v>
      </c>
      <c r="I18" s="246" t="s">
        <v>155</v>
      </c>
      <c r="J18" s="246" t="s">
        <v>38</v>
      </c>
      <c r="K18" s="246" t="s">
        <v>156</v>
      </c>
      <c r="L18" s="246">
        <v>2</v>
      </c>
      <c r="M18" s="246"/>
      <c r="N18" s="246">
        <v>1</v>
      </c>
      <c r="O18" s="246">
        <v>0.65</v>
      </c>
      <c r="P18" s="246">
        <v>0.75</v>
      </c>
      <c r="Q18" s="107">
        <f t="shared" si="0"/>
        <v>0.7</v>
      </c>
      <c r="R18" s="246">
        <v>13.8</v>
      </c>
      <c r="S18" s="246">
        <v>140</v>
      </c>
      <c r="T18" s="108">
        <f t="shared" si="1"/>
        <v>22</v>
      </c>
      <c r="U18" s="246">
        <v>128</v>
      </c>
      <c r="V18" s="109">
        <f t="shared" si="2"/>
        <v>2816</v>
      </c>
      <c r="W18" s="246">
        <v>18</v>
      </c>
      <c r="X18" s="246" t="s">
        <v>46</v>
      </c>
      <c r="Y18" s="246" t="s">
        <v>69</v>
      </c>
      <c r="Z18" s="246" t="s">
        <v>97</v>
      </c>
      <c r="AA18" s="246" t="s">
        <v>55</v>
      </c>
      <c r="AB18" s="246" t="s">
        <v>350</v>
      </c>
      <c r="AE18" s="116" t="s">
        <v>228</v>
      </c>
      <c r="AP18" s="128" t="s">
        <v>237</v>
      </c>
      <c r="AR18" s="118" t="s">
        <v>101</v>
      </c>
      <c r="AV18" s="117" t="s">
        <v>88</v>
      </c>
    </row>
    <row r="19" spans="1:48" x14ac:dyDescent="0.15">
      <c r="A19" s="246" t="s">
        <v>51</v>
      </c>
      <c r="B19" s="246" t="s">
        <v>348</v>
      </c>
      <c r="C19" s="246">
        <v>2018</v>
      </c>
      <c r="D19" s="106" t="s">
        <v>395</v>
      </c>
      <c r="E19" s="246" t="s">
        <v>139</v>
      </c>
      <c r="F19" s="246" t="s">
        <v>396</v>
      </c>
      <c r="G19" s="246" t="s">
        <v>42</v>
      </c>
      <c r="H19" s="246" t="s">
        <v>157</v>
      </c>
      <c r="I19" s="246" t="s">
        <v>155</v>
      </c>
      <c r="J19" s="246" t="s">
        <v>38</v>
      </c>
      <c r="K19" s="246" t="s">
        <v>156</v>
      </c>
      <c r="L19" s="246">
        <v>3</v>
      </c>
      <c r="M19" s="246"/>
      <c r="N19" s="246">
        <v>1</v>
      </c>
      <c r="O19" s="246">
        <v>0.8</v>
      </c>
      <c r="P19" s="246">
        <v>0.7</v>
      </c>
      <c r="Q19" s="107">
        <f t="shared" si="0"/>
        <v>0.75</v>
      </c>
      <c r="R19" s="246">
        <v>14.1</v>
      </c>
      <c r="S19" s="246">
        <v>144</v>
      </c>
      <c r="T19" s="108">
        <f t="shared" si="1"/>
        <v>22</v>
      </c>
      <c r="U19" s="246">
        <v>128</v>
      </c>
      <c r="V19" s="109">
        <f t="shared" si="2"/>
        <v>2816</v>
      </c>
      <c r="W19" s="246">
        <v>18</v>
      </c>
      <c r="X19" s="246" t="s">
        <v>46</v>
      </c>
      <c r="Y19" s="246" t="s">
        <v>69</v>
      </c>
      <c r="Z19" s="246" t="s">
        <v>97</v>
      </c>
      <c r="AA19" s="246" t="s">
        <v>55</v>
      </c>
      <c r="AB19" s="246" t="s">
        <v>350</v>
      </c>
      <c r="AE19" s="129" t="s">
        <v>225</v>
      </c>
      <c r="AP19" s="128" t="s">
        <v>238</v>
      </c>
      <c r="AR19" s="118" t="s">
        <v>239</v>
      </c>
      <c r="AV19" s="117" t="s">
        <v>90</v>
      </c>
    </row>
    <row r="20" spans="1:48" x14ac:dyDescent="0.15">
      <c r="A20" s="246" t="s">
        <v>51</v>
      </c>
      <c r="B20" s="246" t="s">
        <v>348</v>
      </c>
      <c r="C20" s="246">
        <v>2018</v>
      </c>
      <c r="D20" s="106" t="s">
        <v>395</v>
      </c>
      <c r="E20" s="246" t="s">
        <v>139</v>
      </c>
      <c r="F20" s="246" t="s">
        <v>396</v>
      </c>
      <c r="G20" s="246" t="s">
        <v>42</v>
      </c>
      <c r="H20" s="246" t="s">
        <v>157</v>
      </c>
      <c r="I20" s="246" t="s">
        <v>158</v>
      </c>
      <c r="J20" s="246" t="s">
        <v>38</v>
      </c>
      <c r="K20" s="246" t="s">
        <v>156</v>
      </c>
      <c r="L20" s="246">
        <v>1</v>
      </c>
      <c r="M20" s="246"/>
      <c r="N20" s="246">
        <v>2</v>
      </c>
      <c r="O20" s="246">
        <v>0.8</v>
      </c>
      <c r="P20" s="246">
        <v>0.8</v>
      </c>
      <c r="Q20" s="107">
        <f t="shared" si="0"/>
        <v>0.8</v>
      </c>
      <c r="R20" s="246">
        <v>13.5</v>
      </c>
      <c r="S20" s="246">
        <v>152</v>
      </c>
      <c r="T20" s="108">
        <f t="shared" si="1"/>
        <v>18</v>
      </c>
      <c r="U20" s="246">
        <v>450</v>
      </c>
      <c r="V20" s="109">
        <f t="shared" si="2"/>
        <v>4050</v>
      </c>
      <c r="W20" s="246">
        <v>18</v>
      </c>
      <c r="X20" s="246" t="s">
        <v>46</v>
      </c>
      <c r="Y20" s="246" t="s">
        <v>69</v>
      </c>
      <c r="Z20" s="246" t="s">
        <v>97</v>
      </c>
      <c r="AA20" s="246" t="s">
        <v>55</v>
      </c>
      <c r="AB20" s="246" t="s">
        <v>350</v>
      </c>
      <c r="AE20" s="129"/>
      <c r="AP20" s="128" t="s">
        <v>240</v>
      </c>
      <c r="AR20" s="118" t="s">
        <v>105</v>
      </c>
      <c r="AV20" s="122" t="s">
        <v>241</v>
      </c>
    </row>
    <row r="21" spans="1:48" x14ac:dyDescent="0.15">
      <c r="A21" s="246" t="s">
        <v>51</v>
      </c>
      <c r="B21" s="246" t="s">
        <v>348</v>
      </c>
      <c r="C21" s="246">
        <v>2018</v>
      </c>
      <c r="D21" s="106" t="s">
        <v>395</v>
      </c>
      <c r="E21" s="246" t="s">
        <v>139</v>
      </c>
      <c r="F21" s="246" t="s">
        <v>396</v>
      </c>
      <c r="G21" s="246" t="s">
        <v>42</v>
      </c>
      <c r="H21" s="246" t="s">
        <v>157</v>
      </c>
      <c r="I21" s="246" t="s">
        <v>158</v>
      </c>
      <c r="J21" s="246" t="s">
        <v>38</v>
      </c>
      <c r="K21" s="246" t="s">
        <v>156</v>
      </c>
      <c r="L21" s="246">
        <v>2</v>
      </c>
      <c r="M21" s="246"/>
      <c r="N21" s="246">
        <v>2</v>
      </c>
      <c r="O21" s="246">
        <v>0.75</v>
      </c>
      <c r="P21" s="246">
        <v>0.85</v>
      </c>
      <c r="Q21" s="107">
        <f t="shared" si="0"/>
        <v>0.8</v>
      </c>
      <c r="R21" s="246">
        <v>14.7</v>
      </c>
      <c r="S21" s="246">
        <v>176</v>
      </c>
      <c r="T21" s="108">
        <f t="shared" si="1"/>
        <v>18</v>
      </c>
      <c r="U21" s="246">
        <v>450</v>
      </c>
      <c r="V21" s="109">
        <f t="shared" si="2"/>
        <v>4050</v>
      </c>
      <c r="W21" s="246">
        <v>18</v>
      </c>
      <c r="X21" s="246" t="s">
        <v>46</v>
      </c>
      <c r="Y21" s="246" t="s">
        <v>69</v>
      </c>
      <c r="Z21" s="246" t="s">
        <v>97</v>
      </c>
      <c r="AA21" s="246" t="s">
        <v>55</v>
      </c>
      <c r="AB21" s="246" t="s">
        <v>350</v>
      </c>
      <c r="AE21" s="123"/>
      <c r="AP21" s="128" t="s">
        <v>242</v>
      </c>
      <c r="AR21" s="118" t="s">
        <v>68</v>
      </c>
      <c r="AV21" s="122" t="s">
        <v>171</v>
      </c>
    </row>
    <row r="22" spans="1:48" x14ac:dyDescent="0.15">
      <c r="A22" s="246" t="s">
        <v>51</v>
      </c>
      <c r="B22" s="246" t="s">
        <v>348</v>
      </c>
      <c r="C22" s="246">
        <v>2018</v>
      </c>
      <c r="D22" s="106" t="s">
        <v>395</v>
      </c>
      <c r="E22" s="246" t="s">
        <v>139</v>
      </c>
      <c r="F22" s="246" t="s">
        <v>396</v>
      </c>
      <c r="G22" s="246" t="s">
        <v>42</v>
      </c>
      <c r="H22" s="246" t="s">
        <v>157</v>
      </c>
      <c r="I22" s="246" t="s">
        <v>158</v>
      </c>
      <c r="J22" s="246" t="s">
        <v>38</v>
      </c>
      <c r="K22" s="246" t="s">
        <v>156</v>
      </c>
      <c r="L22" s="246">
        <v>3</v>
      </c>
      <c r="M22" s="246"/>
      <c r="N22" s="246">
        <v>2</v>
      </c>
      <c r="O22" s="246">
        <v>0.85</v>
      </c>
      <c r="P22" s="246">
        <v>0.95</v>
      </c>
      <c r="Q22" s="107">
        <f t="shared" si="0"/>
        <v>0.89999999999999991</v>
      </c>
      <c r="R22" s="246">
        <v>12.4</v>
      </c>
      <c r="S22" s="246">
        <v>146</v>
      </c>
      <c r="T22" s="108">
        <f t="shared" si="1"/>
        <v>22</v>
      </c>
      <c r="U22" s="246">
        <v>450</v>
      </c>
      <c r="V22" s="109">
        <f t="shared" si="2"/>
        <v>4950</v>
      </c>
      <c r="W22" s="246">
        <v>18</v>
      </c>
      <c r="X22" s="246" t="s">
        <v>46</v>
      </c>
      <c r="Y22" s="246" t="s">
        <v>69</v>
      </c>
      <c r="Z22" s="246" t="s">
        <v>97</v>
      </c>
      <c r="AA22" s="246" t="s">
        <v>55</v>
      </c>
      <c r="AB22" s="246" t="s">
        <v>350</v>
      </c>
      <c r="AP22" s="128" t="s">
        <v>243</v>
      </c>
      <c r="AR22" s="118" t="s">
        <v>83</v>
      </c>
      <c r="AV22" s="122"/>
    </row>
    <row r="23" spans="1:48" x14ac:dyDescent="0.15">
      <c r="A23" s="246" t="s">
        <v>51</v>
      </c>
      <c r="B23" s="246" t="s">
        <v>348</v>
      </c>
      <c r="C23" s="246">
        <v>2018</v>
      </c>
      <c r="D23" s="106" t="s">
        <v>395</v>
      </c>
      <c r="E23" s="246" t="s">
        <v>139</v>
      </c>
      <c r="F23" s="246" t="s">
        <v>396</v>
      </c>
      <c r="G23" s="246" t="s">
        <v>42</v>
      </c>
      <c r="H23" s="246" t="s">
        <v>164</v>
      </c>
      <c r="I23" s="246" t="s">
        <v>155</v>
      </c>
      <c r="J23" s="246" t="s">
        <v>38</v>
      </c>
      <c r="K23" s="246" t="s">
        <v>156</v>
      </c>
      <c r="L23" s="246">
        <v>1</v>
      </c>
      <c r="M23" s="246"/>
      <c r="N23" s="246">
        <v>3</v>
      </c>
      <c r="O23" s="246">
        <v>0.7</v>
      </c>
      <c r="P23" s="246">
        <v>0.75</v>
      </c>
      <c r="Q23" s="107">
        <f t="shared" si="0"/>
        <v>0.72499999999999998</v>
      </c>
      <c r="R23" s="246">
        <v>14.8</v>
      </c>
      <c r="S23" s="246">
        <v>136</v>
      </c>
      <c r="T23" s="108">
        <f t="shared" si="1"/>
        <v>25</v>
      </c>
      <c r="U23" s="246">
        <v>398</v>
      </c>
      <c r="V23" s="109">
        <f t="shared" si="2"/>
        <v>3316.6666666666665</v>
      </c>
      <c r="W23" s="246">
        <v>18</v>
      </c>
      <c r="X23" s="246" t="s">
        <v>46</v>
      </c>
      <c r="Y23" s="246" t="s">
        <v>69</v>
      </c>
      <c r="Z23" s="246" t="s">
        <v>97</v>
      </c>
      <c r="AA23" s="246" t="s">
        <v>55</v>
      </c>
      <c r="AB23" s="246" t="s">
        <v>350</v>
      </c>
      <c r="AP23" s="128" t="s">
        <v>244</v>
      </c>
      <c r="AR23" s="118" t="s">
        <v>61</v>
      </c>
    </row>
    <row r="24" spans="1:48" x14ac:dyDescent="0.15">
      <c r="A24" s="246" t="s">
        <v>51</v>
      </c>
      <c r="B24" s="246" t="s">
        <v>348</v>
      </c>
      <c r="C24" s="246">
        <v>2018</v>
      </c>
      <c r="D24" s="106" t="s">
        <v>395</v>
      </c>
      <c r="E24" s="246" t="s">
        <v>139</v>
      </c>
      <c r="F24" s="246" t="s">
        <v>396</v>
      </c>
      <c r="G24" s="246" t="s">
        <v>42</v>
      </c>
      <c r="H24" s="246" t="s">
        <v>164</v>
      </c>
      <c r="I24" s="246" t="s">
        <v>155</v>
      </c>
      <c r="J24" s="246" t="s">
        <v>38</v>
      </c>
      <c r="K24" s="246" t="s">
        <v>156</v>
      </c>
      <c r="L24" s="246">
        <v>2</v>
      </c>
      <c r="M24" s="246"/>
      <c r="N24" s="246">
        <v>3</v>
      </c>
      <c r="O24" s="246">
        <v>0.8</v>
      </c>
      <c r="P24" s="246">
        <v>0.7</v>
      </c>
      <c r="Q24" s="107">
        <f t="shared" si="0"/>
        <v>0.75</v>
      </c>
      <c r="R24" s="246">
        <v>14.6</v>
      </c>
      <c r="S24" s="246">
        <v>132</v>
      </c>
      <c r="T24" s="108">
        <f t="shared" si="1"/>
        <v>25</v>
      </c>
      <c r="U24" s="246">
        <v>398</v>
      </c>
      <c r="V24" s="109">
        <f t="shared" si="2"/>
        <v>3316.6666666666665</v>
      </c>
      <c r="W24" s="246">
        <v>18</v>
      </c>
      <c r="X24" s="246" t="s">
        <v>46</v>
      </c>
      <c r="Y24" s="246" t="s">
        <v>69</v>
      </c>
      <c r="Z24" s="246" t="s">
        <v>97</v>
      </c>
      <c r="AA24" s="246" t="s">
        <v>55</v>
      </c>
      <c r="AB24" s="246" t="s">
        <v>350</v>
      </c>
      <c r="AP24" s="128" t="s">
        <v>245</v>
      </c>
      <c r="AR24" s="118" t="s">
        <v>91</v>
      </c>
    </row>
    <row r="25" spans="1:48" x14ac:dyDescent="0.15">
      <c r="A25" s="246" t="s">
        <v>51</v>
      </c>
      <c r="B25" s="246" t="s">
        <v>348</v>
      </c>
      <c r="C25" s="246">
        <v>2018</v>
      </c>
      <c r="D25" s="106" t="s">
        <v>395</v>
      </c>
      <c r="E25" s="246" t="s">
        <v>139</v>
      </c>
      <c r="F25" s="246" t="s">
        <v>396</v>
      </c>
      <c r="G25" s="246" t="s">
        <v>42</v>
      </c>
      <c r="H25" s="246" t="s">
        <v>164</v>
      </c>
      <c r="I25" s="246" t="s">
        <v>155</v>
      </c>
      <c r="J25" s="246" t="s">
        <v>38</v>
      </c>
      <c r="K25" s="246" t="s">
        <v>156</v>
      </c>
      <c r="L25" s="246">
        <v>3</v>
      </c>
      <c r="M25" s="246"/>
      <c r="N25" s="246">
        <v>3</v>
      </c>
      <c r="O25" s="246">
        <v>0.75</v>
      </c>
      <c r="P25" s="246">
        <v>0.8</v>
      </c>
      <c r="Q25" s="107">
        <f t="shared" si="0"/>
        <v>0.77500000000000002</v>
      </c>
      <c r="R25" s="246">
        <v>13.5</v>
      </c>
      <c r="S25" s="246">
        <v>128</v>
      </c>
      <c r="T25" s="108">
        <f t="shared" si="1"/>
        <v>27</v>
      </c>
      <c r="U25" s="246">
        <v>398</v>
      </c>
      <c r="V25" s="109">
        <f t="shared" si="2"/>
        <v>3581.9999999999995</v>
      </c>
      <c r="W25" s="246">
        <v>18</v>
      </c>
      <c r="X25" s="246" t="s">
        <v>46</v>
      </c>
      <c r="Y25" s="246" t="s">
        <v>69</v>
      </c>
      <c r="Z25" s="246" t="s">
        <v>97</v>
      </c>
      <c r="AA25" s="246" t="s">
        <v>55</v>
      </c>
      <c r="AB25" s="246" t="s">
        <v>350</v>
      </c>
      <c r="AP25" s="128" t="s">
        <v>246</v>
      </c>
      <c r="AR25" s="128" t="s">
        <v>51</v>
      </c>
    </row>
    <row r="26" spans="1:48" x14ac:dyDescent="0.15">
      <c r="A26" s="246" t="s">
        <v>51</v>
      </c>
      <c r="B26" s="246" t="s">
        <v>348</v>
      </c>
      <c r="C26" s="246">
        <v>2018</v>
      </c>
      <c r="D26" s="106" t="s">
        <v>395</v>
      </c>
      <c r="E26" s="246" t="s">
        <v>139</v>
      </c>
      <c r="F26" s="246" t="s">
        <v>396</v>
      </c>
      <c r="G26" s="246" t="s">
        <v>42</v>
      </c>
      <c r="H26" s="246" t="s">
        <v>164</v>
      </c>
      <c r="I26" s="246" t="s">
        <v>158</v>
      </c>
      <c r="J26" s="246" t="s">
        <v>38</v>
      </c>
      <c r="K26" s="246" t="s">
        <v>156</v>
      </c>
      <c r="L26" s="246">
        <v>1</v>
      </c>
      <c r="M26" s="246"/>
      <c r="N26" s="246">
        <v>2</v>
      </c>
      <c r="O26" s="246">
        <v>0.55000000000000004</v>
      </c>
      <c r="P26" s="246">
        <v>0.6</v>
      </c>
      <c r="Q26" s="107">
        <f t="shared" si="0"/>
        <v>0.57499999999999996</v>
      </c>
      <c r="R26" s="246">
        <v>17.8</v>
      </c>
      <c r="S26" s="246">
        <v>142</v>
      </c>
      <c r="T26" s="108">
        <f t="shared" si="1"/>
        <v>22</v>
      </c>
      <c r="U26" s="246">
        <v>450</v>
      </c>
      <c r="V26" s="109">
        <f t="shared" si="2"/>
        <v>4950</v>
      </c>
      <c r="W26" s="246">
        <v>18</v>
      </c>
      <c r="X26" s="246" t="s">
        <v>46</v>
      </c>
      <c r="Y26" s="246" t="s">
        <v>69</v>
      </c>
      <c r="Z26" s="246" t="s">
        <v>97</v>
      </c>
      <c r="AA26" s="246" t="s">
        <v>55</v>
      </c>
      <c r="AB26" s="246" t="s">
        <v>350</v>
      </c>
      <c r="AP26" s="128" t="s">
        <v>247</v>
      </c>
      <c r="AR26" s="115" t="s">
        <v>397</v>
      </c>
    </row>
    <row r="27" spans="1:48" x14ac:dyDescent="0.15">
      <c r="A27" s="246" t="s">
        <v>51</v>
      </c>
      <c r="B27" s="246" t="s">
        <v>348</v>
      </c>
      <c r="C27" s="246">
        <v>2018</v>
      </c>
      <c r="D27" s="106" t="s">
        <v>395</v>
      </c>
      <c r="E27" s="246" t="s">
        <v>139</v>
      </c>
      <c r="F27" s="246" t="s">
        <v>396</v>
      </c>
      <c r="G27" s="246" t="s">
        <v>42</v>
      </c>
      <c r="H27" s="246" t="s">
        <v>164</v>
      </c>
      <c r="I27" s="246" t="s">
        <v>158</v>
      </c>
      <c r="J27" s="246" t="s">
        <v>38</v>
      </c>
      <c r="K27" s="246" t="s">
        <v>156</v>
      </c>
      <c r="L27" s="246">
        <v>2</v>
      </c>
      <c r="M27" s="246"/>
      <c r="N27" s="246">
        <v>2</v>
      </c>
      <c r="O27" s="246">
        <v>0.5</v>
      </c>
      <c r="P27" s="246">
        <v>0.55000000000000004</v>
      </c>
      <c r="Q27" s="107">
        <f t="shared" si="0"/>
        <v>0.52500000000000002</v>
      </c>
      <c r="R27" s="246">
        <v>17.600000000000001</v>
      </c>
      <c r="S27" s="246">
        <v>140</v>
      </c>
      <c r="T27" s="108">
        <f t="shared" si="1"/>
        <v>22</v>
      </c>
      <c r="U27" s="246">
        <v>450</v>
      </c>
      <c r="V27" s="109">
        <f t="shared" si="2"/>
        <v>4950</v>
      </c>
      <c r="W27" s="246">
        <v>18</v>
      </c>
      <c r="X27" s="246" t="s">
        <v>46</v>
      </c>
      <c r="Y27" s="246" t="s">
        <v>69</v>
      </c>
      <c r="Z27" s="246" t="s">
        <v>97</v>
      </c>
      <c r="AA27" s="246" t="s">
        <v>55</v>
      </c>
      <c r="AB27" s="246" t="s">
        <v>350</v>
      </c>
      <c r="AP27" s="128" t="s">
        <v>248</v>
      </c>
    </row>
    <row r="28" spans="1:48" x14ac:dyDescent="0.15">
      <c r="A28" s="246" t="s">
        <v>51</v>
      </c>
      <c r="B28" s="246" t="s">
        <v>348</v>
      </c>
      <c r="C28" s="246">
        <v>2018</v>
      </c>
      <c r="D28" s="106" t="s">
        <v>395</v>
      </c>
      <c r="E28" s="246" t="s">
        <v>139</v>
      </c>
      <c r="F28" s="246" t="s">
        <v>396</v>
      </c>
      <c r="G28" s="246" t="s">
        <v>42</v>
      </c>
      <c r="H28" s="246" t="s">
        <v>164</v>
      </c>
      <c r="I28" s="246" t="s">
        <v>158</v>
      </c>
      <c r="J28" s="246" t="s">
        <v>38</v>
      </c>
      <c r="K28" s="246" t="s">
        <v>156</v>
      </c>
      <c r="L28" s="246">
        <v>3</v>
      </c>
      <c r="M28" s="246"/>
      <c r="N28" s="246">
        <v>2</v>
      </c>
      <c r="O28" s="246">
        <v>0.5</v>
      </c>
      <c r="P28" s="246">
        <v>0.6</v>
      </c>
      <c r="Q28" s="107">
        <f t="shared" si="0"/>
        <v>0.55000000000000004</v>
      </c>
      <c r="R28" s="246">
        <v>16.899999999999999</v>
      </c>
      <c r="S28" s="246">
        <v>140</v>
      </c>
      <c r="T28" s="108">
        <f t="shared" si="1"/>
        <v>22</v>
      </c>
      <c r="U28" s="246">
        <v>450</v>
      </c>
      <c r="V28" s="109">
        <f t="shared" si="2"/>
        <v>4950</v>
      </c>
      <c r="W28" s="246">
        <v>18</v>
      </c>
      <c r="X28" s="246" t="s">
        <v>46</v>
      </c>
      <c r="Y28" s="246" t="s">
        <v>69</v>
      </c>
      <c r="Z28" s="246" t="s">
        <v>97</v>
      </c>
      <c r="AA28" s="246" t="s">
        <v>55</v>
      </c>
      <c r="AB28" s="246" t="s">
        <v>350</v>
      </c>
    </row>
    <row r="29" spans="1:48" x14ac:dyDescent="0.15">
      <c r="A29" s="246" t="s">
        <v>51</v>
      </c>
      <c r="B29" s="246" t="s">
        <v>348</v>
      </c>
      <c r="C29" s="246">
        <v>2018</v>
      </c>
      <c r="D29" s="106" t="s">
        <v>395</v>
      </c>
      <c r="E29" s="246" t="s">
        <v>215</v>
      </c>
      <c r="F29" s="246" t="s">
        <v>216</v>
      </c>
      <c r="G29" s="246" t="s">
        <v>36</v>
      </c>
      <c r="H29" s="246" t="s">
        <v>157</v>
      </c>
      <c r="I29" s="246" t="s">
        <v>155</v>
      </c>
      <c r="J29" s="246" t="s">
        <v>38</v>
      </c>
      <c r="K29" s="246" t="s">
        <v>156</v>
      </c>
      <c r="L29" s="246">
        <v>1</v>
      </c>
      <c r="M29" s="246"/>
      <c r="N29" s="246">
        <v>3</v>
      </c>
      <c r="O29" s="246">
        <v>0.9</v>
      </c>
      <c r="P29" s="246">
        <v>0.8</v>
      </c>
      <c r="Q29" s="107">
        <f t="shared" si="0"/>
        <v>0.85000000000000009</v>
      </c>
      <c r="R29" s="246">
        <v>15.9</v>
      </c>
      <c r="S29" s="246">
        <v>146</v>
      </c>
      <c r="T29" s="108">
        <f t="shared" si="1"/>
        <v>22</v>
      </c>
      <c r="U29" s="246">
        <v>398</v>
      </c>
      <c r="V29" s="109">
        <f t="shared" si="2"/>
        <v>2918.6666666666665</v>
      </c>
      <c r="W29" s="246">
        <v>12</v>
      </c>
      <c r="X29" s="246" t="s">
        <v>46</v>
      </c>
      <c r="Y29" s="246" t="s">
        <v>69</v>
      </c>
      <c r="Z29" s="246" t="s">
        <v>55</v>
      </c>
      <c r="AA29" s="246" t="s">
        <v>88</v>
      </c>
      <c r="AB29" s="246" t="s">
        <v>350</v>
      </c>
    </row>
    <row r="30" spans="1:48" x14ac:dyDescent="0.15">
      <c r="A30" s="246" t="s">
        <v>51</v>
      </c>
      <c r="B30" s="246" t="s">
        <v>348</v>
      </c>
      <c r="C30" s="246">
        <v>2018</v>
      </c>
      <c r="D30" s="106" t="s">
        <v>395</v>
      </c>
      <c r="E30" s="246" t="s">
        <v>215</v>
      </c>
      <c r="F30" s="246" t="s">
        <v>216</v>
      </c>
      <c r="G30" s="246" t="s">
        <v>36</v>
      </c>
      <c r="H30" s="246" t="s">
        <v>157</v>
      </c>
      <c r="I30" s="246" t="s">
        <v>155</v>
      </c>
      <c r="J30" s="246" t="s">
        <v>38</v>
      </c>
      <c r="K30" s="246" t="s">
        <v>156</v>
      </c>
      <c r="L30" s="246">
        <v>2</v>
      </c>
      <c r="M30" s="246"/>
      <c r="N30" s="246">
        <v>3</v>
      </c>
      <c r="O30" s="246">
        <v>0.85</v>
      </c>
      <c r="P30" s="246">
        <v>0.85</v>
      </c>
      <c r="Q30" s="107">
        <f t="shared" si="0"/>
        <v>0.85</v>
      </c>
      <c r="R30" s="246">
        <v>15.5</v>
      </c>
      <c r="S30" s="246">
        <v>138</v>
      </c>
      <c r="T30" s="108">
        <f t="shared" si="1"/>
        <v>22</v>
      </c>
      <c r="U30" s="246">
        <v>398</v>
      </c>
      <c r="V30" s="109">
        <f t="shared" si="2"/>
        <v>2918.6666666666665</v>
      </c>
      <c r="W30" s="246">
        <v>12</v>
      </c>
      <c r="X30" s="246" t="s">
        <v>46</v>
      </c>
      <c r="Y30" s="246" t="s">
        <v>69</v>
      </c>
      <c r="Z30" s="246" t="s">
        <v>55</v>
      </c>
      <c r="AA30" s="246" t="s">
        <v>88</v>
      </c>
      <c r="AB30" s="246" t="s">
        <v>350</v>
      </c>
    </row>
    <row r="31" spans="1:48" x14ac:dyDescent="0.15">
      <c r="A31" s="246" t="s">
        <v>51</v>
      </c>
      <c r="B31" s="246" t="s">
        <v>348</v>
      </c>
      <c r="C31" s="246">
        <v>2018</v>
      </c>
      <c r="D31" s="106" t="s">
        <v>395</v>
      </c>
      <c r="E31" s="246" t="s">
        <v>215</v>
      </c>
      <c r="F31" s="246" t="s">
        <v>216</v>
      </c>
      <c r="G31" s="246" t="s">
        <v>36</v>
      </c>
      <c r="H31" s="246" t="s">
        <v>157</v>
      </c>
      <c r="I31" s="246" t="s">
        <v>155</v>
      </c>
      <c r="J31" s="246" t="s">
        <v>38</v>
      </c>
      <c r="K31" s="246" t="s">
        <v>156</v>
      </c>
      <c r="L31" s="246">
        <v>3</v>
      </c>
      <c r="M31" s="246"/>
      <c r="N31" s="246">
        <v>3</v>
      </c>
      <c r="O31" s="246">
        <v>0.8</v>
      </c>
      <c r="P31" s="246">
        <v>1.05</v>
      </c>
      <c r="Q31" s="107">
        <f t="shared" si="0"/>
        <v>0.92500000000000004</v>
      </c>
      <c r="R31" s="246">
        <v>15.7</v>
      </c>
      <c r="S31" s="246">
        <v>134</v>
      </c>
      <c r="T31" s="108">
        <f t="shared" si="1"/>
        <v>25</v>
      </c>
      <c r="U31" s="246">
        <v>398</v>
      </c>
      <c r="V31" s="109">
        <f t="shared" si="2"/>
        <v>3316.6666666666665</v>
      </c>
      <c r="W31" s="246">
        <v>12</v>
      </c>
      <c r="X31" s="246" t="s">
        <v>46</v>
      </c>
      <c r="Y31" s="246" t="s">
        <v>69</v>
      </c>
      <c r="Z31" s="246" t="s">
        <v>55</v>
      </c>
      <c r="AA31" s="246" t="s">
        <v>88</v>
      </c>
      <c r="AB31" s="246" t="s">
        <v>350</v>
      </c>
    </row>
    <row r="32" spans="1:48" x14ac:dyDescent="0.15">
      <c r="A32" s="246" t="s">
        <v>51</v>
      </c>
      <c r="B32" s="246" t="s">
        <v>348</v>
      </c>
      <c r="C32" s="246">
        <v>2018</v>
      </c>
      <c r="D32" s="106" t="s">
        <v>395</v>
      </c>
      <c r="E32" s="246" t="s">
        <v>215</v>
      </c>
      <c r="F32" s="246" t="s">
        <v>216</v>
      </c>
      <c r="G32" s="246" t="s">
        <v>36</v>
      </c>
      <c r="H32" s="246" t="s">
        <v>164</v>
      </c>
      <c r="I32" s="246" t="s">
        <v>155</v>
      </c>
      <c r="J32" s="246" t="s">
        <v>38</v>
      </c>
      <c r="K32" s="246" t="s">
        <v>156</v>
      </c>
      <c r="L32" s="246">
        <v>1</v>
      </c>
      <c r="M32" s="246"/>
      <c r="N32" s="246">
        <v>3</v>
      </c>
      <c r="O32" s="246">
        <v>0.7</v>
      </c>
      <c r="P32" s="246">
        <v>0.75</v>
      </c>
      <c r="Q32" s="107">
        <f t="shared" si="0"/>
        <v>0.72499999999999998</v>
      </c>
      <c r="R32" s="246">
        <v>16.399999999999999</v>
      </c>
      <c r="S32" s="246">
        <v>150</v>
      </c>
      <c r="T32" s="108">
        <f t="shared" si="1"/>
        <v>22</v>
      </c>
      <c r="U32" s="246">
        <v>398</v>
      </c>
      <c r="V32" s="109">
        <f t="shared" si="2"/>
        <v>2918.6666666666665</v>
      </c>
      <c r="W32" s="246">
        <v>12</v>
      </c>
      <c r="X32" s="246" t="s">
        <v>46</v>
      </c>
      <c r="Y32" s="246" t="s">
        <v>69</v>
      </c>
      <c r="Z32" s="246" t="s">
        <v>55</v>
      </c>
      <c r="AA32" s="246" t="s">
        <v>88</v>
      </c>
      <c r="AB32" s="246" t="s">
        <v>350</v>
      </c>
    </row>
    <row r="33" spans="1:28" x14ac:dyDescent="0.15">
      <c r="A33" s="246" t="s">
        <v>51</v>
      </c>
      <c r="B33" s="246" t="s">
        <v>348</v>
      </c>
      <c r="C33" s="246">
        <v>2018</v>
      </c>
      <c r="D33" s="106" t="s">
        <v>395</v>
      </c>
      <c r="E33" s="246" t="s">
        <v>215</v>
      </c>
      <c r="F33" s="246" t="s">
        <v>216</v>
      </c>
      <c r="G33" s="246" t="s">
        <v>36</v>
      </c>
      <c r="H33" s="246" t="s">
        <v>164</v>
      </c>
      <c r="I33" s="246" t="s">
        <v>155</v>
      </c>
      <c r="J33" s="246" t="s">
        <v>38</v>
      </c>
      <c r="K33" s="246" t="s">
        <v>156</v>
      </c>
      <c r="L33" s="246">
        <v>2</v>
      </c>
      <c r="M33" s="246"/>
      <c r="N33" s="246">
        <v>3</v>
      </c>
      <c r="O33" s="246">
        <v>0.65</v>
      </c>
      <c r="P33" s="246">
        <v>0.6</v>
      </c>
      <c r="Q33" s="107">
        <f t="shared" si="0"/>
        <v>0.625</v>
      </c>
      <c r="R33" s="246">
        <v>15.8</v>
      </c>
      <c r="S33" s="246">
        <v>142</v>
      </c>
      <c r="T33" s="108">
        <f t="shared" si="1"/>
        <v>22</v>
      </c>
      <c r="U33" s="246">
        <v>398</v>
      </c>
      <c r="V33" s="109">
        <f t="shared" si="2"/>
        <v>2918.6666666666665</v>
      </c>
      <c r="W33" s="246">
        <v>12</v>
      </c>
      <c r="X33" s="246" t="s">
        <v>46</v>
      </c>
      <c r="Y33" s="246" t="s">
        <v>69</v>
      </c>
      <c r="Z33" s="246" t="s">
        <v>55</v>
      </c>
      <c r="AA33" s="246" t="s">
        <v>88</v>
      </c>
      <c r="AB33" s="246" t="s">
        <v>350</v>
      </c>
    </row>
    <row r="34" spans="1:28" x14ac:dyDescent="0.15">
      <c r="A34" s="246" t="s">
        <v>51</v>
      </c>
      <c r="B34" s="246" t="s">
        <v>348</v>
      </c>
      <c r="C34" s="246">
        <v>2018</v>
      </c>
      <c r="D34" s="106" t="s">
        <v>395</v>
      </c>
      <c r="E34" s="246" t="s">
        <v>215</v>
      </c>
      <c r="F34" s="246" t="s">
        <v>216</v>
      </c>
      <c r="G34" s="246" t="s">
        <v>36</v>
      </c>
      <c r="H34" s="246" t="s">
        <v>164</v>
      </c>
      <c r="I34" s="246" t="s">
        <v>155</v>
      </c>
      <c r="J34" s="246" t="s">
        <v>38</v>
      </c>
      <c r="K34" s="246" t="s">
        <v>156</v>
      </c>
      <c r="L34" s="246">
        <v>3</v>
      </c>
      <c r="M34" s="246"/>
      <c r="N34" s="246">
        <v>3</v>
      </c>
      <c r="O34" s="246">
        <v>0.6</v>
      </c>
      <c r="P34" s="246">
        <v>0.6</v>
      </c>
      <c r="Q34" s="107">
        <f t="shared" si="0"/>
        <v>0.6</v>
      </c>
      <c r="R34" s="246">
        <v>16.3</v>
      </c>
      <c r="S34" s="246">
        <v>144</v>
      </c>
      <c r="T34" s="108">
        <f t="shared" si="1"/>
        <v>22</v>
      </c>
      <c r="U34" s="246">
        <v>398</v>
      </c>
      <c r="V34" s="109">
        <f t="shared" si="2"/>
        <v>2918.6666666666665</v>
      </c>
      <c r="W34" s="246">
        <v>12</v>
      </c>
      <c r="X34" s="246" t="s">
        <v>46</v>
      </c>
      <c r="Y34" s="246" t="s">
        <v>69</v>
      </c>
      <c r="Z34" s="246" t="s">
        <v>55</v>
      </c>
      <c r="AA34" s="246" t="s">
        <v>88</v>
      </c>
      <c r="AB34" s="246" t="s">
        <v>350</v>
      </c>
    </row>
    <row r="35" spans="1:28" x14ac:dyDescent="0.15">
      <c r="A35" s="246" t="s">
        <v>51</v>
      </c>
      <c r="B35" s="246" t="s">
        <v>348</v>
      </c>
      <c r="C35" s="246">
        <v>2018</v>
      </c>
      <c r="D35" s="106" t="s">
        <v>395</v>
      </c>
      <c r="E35" s="246" t="s">
        <v>172</v>
      </c>
      <c r="F35" s="246" t="s">
        <v>202</v>
      </c>
      <c r="G35" s="246" t="s">
        <v>42</v>
      </c>
      <c r="H35" s="246" t="s">
        <v>157</v>
      </c>
      <c r="I35" s="246" t="s">
        <v>155</v>
      </c>
      <c r="J35" s="246" t="s">
        <v>38</v>
      </c>
      <c r="K35" s="246" t="s">
        <v>156</v>
      </c>
      <c r="L35" s="246">
        <v>1</v>
      </c>
      <c r="M35" s="246"/>
      <c r="N35" s="246">
        <v>1</v>
      </c>
      <c r="O35" s="246">
        <v>0.95</v>
      </c>
      <c r="P35" s="246">
        <v>1</v>
      </c>
      <c r="Q35" s="107">
        <f t="shared" si="0"/>
        <v>0.97499999999999998</v>
      </c>
      <c r="R35" s="246">
        <v>14.6</v>
      </c>
      <c r="S35" s="246">
        <v>134</v>
      </c>
      <c r="T35" s="108">
        <f t="shared" si="1"/>
        <v>25</v>
      </c>
      <c r="U35" s="246">
        <v>98</v>
      </c>
      <c r="V35" s="109">
        <f t="shared" si="2"/>
        <v>2450</v>
      </c>
      <c r="W35" s="246">
        <v>18</v>
      </c>
      <c r="X35" s="246" t="s">
        <v>46</v>
      </c>
      <c r="Y35" s="246" t="s">
        <v>69</v>
      </c>
      <c r="Z35" s="246" t="s">
        <v>55</v>
      </c>
      <c r="AA35" s="246" t="s">
        <v>97</v>
      </c>
      <c r="AB35" s="246" t="s">
        <v>350</v>
      </c>
    </row>
    <row r="36" spans="1:28" x14ac:dyDescent="0.15">
      <c r="A36" s="246" t="s">
        <v>51</v>
      </c>
      <c r="B36" s="246" t="s">
        <v>348</v>
      </c>
      <c r="C36" s="246">
        <v>2018</v>
      </c>
      <c r="D36" s="106" t="s">
        <v>395</v>
      </c>
      <c r="E36" s="246" t="s">
        <v>172</v>
      </c>
      <c r="F36" s="246" t="s">
        <v>202</v>
      </c>
      <c r="G36" s="246" t="s">
        <v>42</v>
      </c>
      <c r="H36" s="246" t="s">
        <v>157</v>
      </c>
      <c r="I36" s="246" t="s">
        <v>155</v>
      </c>
      <c r="J36" s="246" t="s">
        <v>38</v>
      </c>
      <c r="K36" s="246" t="s">
        <v>156</v>
      </c>
      <c r="L36" s="246">
        <v>2</v>
      </c>
      <c r="M36" s="246"/>
      <c r="N36" s="246">
        <v>1</v>
      </c>
      <c r="O36" s="246">
        <v>1.05</v>
      </c>
      <c r="P36" s="246">
        <v>0.9</v>
      </c>
      <c r="Q36" s="107">
        <f t="shared" si="0"/>
        <v>0.97500000000000009</v>
      </c>
      <c r="R36" s="246">
        <v>14.3</v>
      </c>
      <c r="S36" s="246">
        <v>134</v>
      </c>
      <c r="T36" s="108">
        <f t="shared" si="1"/>
        <v>25</v>
      </c>
      <c r="U36" s="246">
        <v>98</v>
      </c>
      <c r="V36" s="109">
        <f t="shared" si="2"/>
        <v>2450</v>
      </c>
      <c r="W36" s="246">
        <v>18</v>
      </c>
      <c r="X36" s="246" t="s">
        <v>46</v>
      </c>
      <c r="Y36" s="246" t="s">
        <v>69</v>
      </c>
      <c r="Z36" s="246" t="s">
        <v>55</v>
      </c>
      <c r="AA36" s="246" t="s">
        <v>97</v>
      </c>
      <c r="AB36" s="246" t="s">
        <v>350</v>
      </c>
    </row>
    <row r="37" spans="1:28" x14ac:dyDescent="0.15">
      <c r="A37" s="246" t="s">
        <v>51</v>
      </c>
      <c r="B37" s="246" t="s">
        <v>348</v>
      </c>
      <c r="C37" s="246">
        <v>2018</v>
      </c>
      <c r="D37" s="106" t="s">
        <v>395</v>
      </c>
      <c r="E37" s="246" t="s">
        <v>172</v>
      </c>
      <c r="F37" s="246" t="s">
        <v>202</v>
      </c>
      <c r="G37" s="246" t="s">
        <v>42</v>
      </c>
      <c r="H37" s="246" t="s">
        <v>157</v>
      </c>
      <c r="I37" s="246" t="s">
        <v>155</v>
      </c>
      <c r="J37" s="246" t="s">
        <v>38</v>
      </c>
      <c r="K37" s="246" t="s">
        <v>156</v>
      </c>
      <c r="L37" s="246">
        <v>3</v>
      </c>
      <c r="M37" s="246"/>
      <c r="N37" s="246">
        <v>1</v>
      </c>
      <c r="O37" s="246">
        <v>0.9</v>
      </c>
      <c r="P37" s="246">
        <v>0.95</v>
      </c>
      <c r="Q37" s="107">
        <f t="shared" si="0"/>
        <v>0.92500000000000004</v>
      </c>
      <c r="R37" s="246">
        <v>15.7</v>
      </c>
      <c r="S37" s="246">
        <v>142</v>
      </c>
      <c r="T37" s="108">
        <f t="shared" si="1"/>
        <v>22</v>
      </c>
      <c r="U37" s="246">
        <v>98</v>
      </c>
      <c r="V37" s="109">
        <f t="shared" si="2"/>
        <v>2156</v>
      </c>
      <c r="W37" s="246">
        <v>18</v>
      </c>
      <c r="X37" s="246" t="s">
        <v>46</v>
      </c>
      <c r="Y37" s="246" t="s">
        <v>69</v>
      </c>
      <c r="Z37" s="246" t="s">
        <v>55</v>
      </c>
      <c r="AA37" s="246" t="s">
        <v>97</v>
      </c>
      <c r="AB37" s="246" t="s">
        <v>350</v>
      </c>
    </row>
    <row r="38" spans="1:28" x14ac:dyDescent="0.15">
      <c r="A38" s="246" t="s">
        <v>51</v>
      </c>
      <c r="B38" s="246" t="s">
        <v>348</v>
      </c>
      <c r="C38" s="246">
        <v>2018</v>
      </c>
      <c r="D38" s="106" t="s">
        <v>395</v>
      </c>
      <c r="E38" s="246" t="s">
        <v>172</v>
      </c>
      <c r="F38" s="246" t="s">
        <v>202</v>
      </c>
      <c r="G38" s="246" t="s">
        <v>42</v>
      </c>
      <c r="H38" s="246" t="s">
        <v>164</v>
      </c>
      <c r="I38" s="246" t="s">
        <v>155</v>
      </c>
      <c r="J38" s="246" t="s">
        <v>38</v>
      </c>
      <c r="K38" s="246" t="s">
        <v>156</v>
      </c>
      <c r="L38" s="246">
        <v>1</v>
      </c>
      <c r="M38" s="246"/>
      <c r="N38" s="246">
        <v>1</v>
      </c>
      <c r="O38" s="246">
        <v>0.65</v>
      </c>
      <c r="P38" s="246">
        <v>0.9</v>
      </c>
      <c r="Q38" s="107">
        <f t="shared" si="0"/>
        <v>0.77500000000000002</v>
      </c>
      <c r="R38" s="246">
        <v>14.5</v>
      </c>
      <c r="S38" s="246">
        <v>166</v>
      </c>
      <c r="T38" s="108">
        <f t="shared" si="1"/>
        <v>18</v>
      </c>
      <c r="U38" s="246">
        <v>98</v>
      </c>
      <c r="V38" s="109">
        <f t="shared" si="2"/>
        <v>1764</v>
      </c>
      <c r="W38" s="246">
        <v>18</v>
      </c>
      <c r="X38" s="246" t="s">
        <v>46</v>
      </c>
      <c r="Y38" s="246" t="s">
        <v>69</v>
      </c>
      <c r="Z38" s="246" t="s">
        <v>55</v>
      </c>
      <c r="AA38" s="246" t="s">
        <v>97</v>
      </c>
      <c r="AB38" s="246" t="s">
        <v>350</v>
      </c>
    </row>
    <row r="39" spans="1:28" x14ac:dyDescent="0.15">
      <c r="A39" s="246" t="s">
        <v>51</v>
      </c>
      <c r="B39" s="246" t="s">
        <v>348</v>
      </c>
      <c r="C39" s="246">
        <v>2018</v>
      </c>
      <c r="D39" s="106" t="s">
        <v>395</v>
      </c>
      <c r="E39" s="246" t="s">
        <v>172</v>
      </c>
      <c r="F39" s="246" t="s">
        <v>202</v>
      </c>
      <c r="G39" s="246" t="s">
        <v>42</v>
      </c>
      <c r="H39" s="246" t="s">
        <v>164</v>
      </c>
      <c r="I39" s="246" t="s">
        <v>155</v>
      </c>
      <c r="J39" s="246" t="s">
        <v>38</v>
      </c>
      <c r="K39" s="246" t="s">
        <v>156</v>
      </c>
      <c r="L39" s="246">
        <v>2</v>
      </c>
      <c r="M39" s="246"/>
      <c r="N39" s="246">
        <v>1</v>
      </c>
      <c r="O39" s="246">
        <v>0.7</v>
      </c>
      <c r="P39" s="246">
        <v>0.7</v>
      </c>
      <c r="Q39" s="107">
        <f t="shared" si="0"/>
        <v>0.7</v>
      </c>
      <c r="R39" s="246">
        <v>15.9</v>
      </c>
      <c r="S39" s="246">
        <v>178</v>
      </c>
      <c r="T39" s="108">
        <f t="shared" si="1"/>
        <v>18</v>
      </c>
      <c r="U39" s="246">
        <v>98</v>
      </c>
      <c r="V39" s="109">
        <f t="shared" si="2"/>
        <v>1764</v>
      </c>
      <c r="W39" s="246">
        <v>18</v>
      </c>
      <c r="X39" s="246" t="s">
        <v>46</v>
      </c>
      <c r="Y39" s="246" t="s">
        <v>69</v>
      </c>
      <c r="Z39" s="246" t="s">
        <v>55</v>
      </c>
      <c r="AA39" s="246" t="s">
        <v>97</v>
      </c>
      <c r="AB39" s="246" t="s">
        <v>350</v>
      </c>
    </row>
    <row r="40" spans="1:28" x14ac:dyDescent="0.15">
      <c r="A40" s="246" t="s">
        <v>51</v>
      </c>
      <c r="B40" s="246" t="s">
        <v>348</v>
      </c>
      <c r="C40" s="246">
        <v>2018</v>
      </c>
      <c r="D40" s="106" t="s">
        <v>395</v>
      </c>
      <c r="E40" s="246" t="s">
        <v>172</v>
      </c>
      <c r="F40" s="246" t="s">
        <v>202</v>
      </c>
      <c r="G40" s="246" t="s">
        <v>42</v>
      </c>
      <c r="H40" s="246" t="s">
        <v>164</v>
      </c>
      <c r="I40" s="246" t="s">
        <v>155</v>
      </c>
      <c r="J40" s="246" t="s">
        <v>38</v>
      </c>
      <c r="K40" s="246" t="s">
        <v>156</v>
      </c>
      <c r="L40" s="246">
        <v>3</v>
      </c>
      <c r="M40" s="246"/>
      <c r="N40" s="246">
        <v>1</v>
      </c>
      <c r="O40" s="246">
        <v>0.8</v>
      </c>
      <c r="P40" s="246">
        <v>0.75</v>
      </c>
      <c r="Q40" s="107">
        <f t="shared" si="0"/>
        <v>0.77500000000000002</v>
      </c>
      <c r="R40" s="246">
        <v>15.3</v>
      </c>
      <c r="S40" s="246">
        <v>174</v>
      </c>
      <c r="T40" s="108">
        <f t="shared" si="1"/>
        <v>18</v>
      </c>
      <c r="U40" s="246">
        <v>98</v>
      </c>
      <c r="V40" s="109">
        <f t="shared" si="2"/>
        <v>1764</v>
      </c>
      <c r="W40" s="246">
        <v>18</v>
      </c>
      <c r="X40" s="246" t="s">
        <v>46</v>
      </c>
      <c r="Y40" s="246" t="s">
        <v>69</v>
      </c>
      <c r="Z40" s="246" t="s">
        <v>55</v>
      </c>
      <c r="AA40" s="246" t="s">
        <v>97</v>
      </c>
      <c r="AB40" s="246" t="s">
        <v>350</v>
      </c>
    </row>
    <row r="41" spans="1:28" x14ac:dyDescent="0.15">
      <c r="A41" s="246" t="s">
        <v>51</v>
      </c>
      <c r="B41" s="246" t="s">
        <v>348</v>
      </c>
      <c r="C41" s="246">
        <v>2018</v>
      </c>
      <c r="D41" s="106" t="s">
        <v>395</v>
      </c>
      <c r="E41" s="246" t="s">
        <v>218</v>
      </c>
      <c r="F41" s="246" t="s">
        <v>202</v>
      </c>
      <c r="G41" s="246" t="s">
        <v>42</v>
      </c>
      <c r="H41" s="246" t="s">
        <v>157</v>
      </c>
      <c r="I41" s="246" t="s">
        <v>155</v>
      </c>
      <c r="J41" s="246" t="s">
        <v>38</v>
      </c>
      <c r="K41" s="246" t="s">
        <v>156</v>
      </c>
      <c r="L41" s="246">
        <v>1</v>
      </c>
      <c r="M41" s="246"/>
      <c r="N41" s="246">
        <v>3</v>
      </c>
      <c r="O41" s="246">
        <v>0.7</v>
      </c>
      <c r="P41" s="246">
        <v>0.6</v>
      </c>
      <c r="Q41" s="107">
        <f t="shared" si="0"/>
        <v>0.64999999999999991</v>
      </c>
      <c r="R41" s="246">
        <v>14.8</v>
      </c>
      <c r="S41" s="246">
        <v>160</v>
      </c>
      <c r="T41" s="108">
        <f t="shared" si="1"/>
        <v>18</v>
      </c>
      <c r="U41" s="246">
        <v>398</v>
      </c>
      <c r="V41" s="109">
        <f t="shared" si="2"/>
        <v>2388</v>
      </c>
      <c r="W41" s="246">
        <v>19</v>
      </c>
      <c r="X41" s="246" t="s">
        <v>46</v>
      </c>
      <c r="Y41" s="246" t="s">
        <v>55</v>
      </c>
      <c r="Z41" s="246" t="s">
        <v>88</v>
      </c>
      <c r="AA41" s="246" t="s">
        <v>78</v>
      </c>
      <c r="AB41" s="246" t="s">
        <v>350</v>
      </c>
    </row>
    <row r="42" spans="1:28" x14ac:dyDescent="0.15">
      <c r="A42" s="246" t="s">
        <v>51</v>
      </c>
      <c r="B42" s="246" t="s">
        <v>348</v>
      </c>
      <c r="C42" s="246">
        <v>2018</v>
      </c>
      <c r="D42" s="106" t="s">
        <v>395</v>
      </c>
      <c r="E42" s="246" t="s">
        <v>218</v>
      </c>
      <c r="F42" s="246" t="s">
        <v>202</v>
      </c>
      <c r="G42" s="246" t="s">
        <v>42</v>
      </c>
      <c r="H42" s="246" t="s">
        <v>157</v>
      </c>
      <c r="I42" s="246" t="s">
        <v>155</v>
      </c>
      <c r="J42" s="246" t="s">
        <v>38</v>
      </c>
      <c r="K42" s="246" t="s">
        <v>156</v>
      </c>
      <c r="L42" s="246">
        <v>2</v>
      </c>
      <c r="M42" s="246"/>
      <c r="N42" s="246">
        <v>3</v>
      </c>
      <c r="O42" s="246">
        <v>0.65</v>
      </c>
      <c r="P42" s="246">
        <v>0.75</v>
      </c>
      <c r="Q42" s="107">
        <f t="shared" si="0"/>
        <v>0.7</v>
      </c>
      <c r="R42" s="246">
        <v>14.3</v>
      </c>
      <c r="S42" s="246">
        <v>150</v>
      </c>
      <c r="T42" s="108">
        <f t="shared" si="1"/>
        <v>22</v>
      </c>
      <c r="U42" s="246">
        <v>398</v>
      </c>
      <c r="V42" s="109">
        <f t="shared" si="2"/>
        <v>2918.6666666666665</v>
      </c>
      <c r="W42" s="246">
        <v>19</v>
      </c>
      <c r="X42" s="246" t="s">
        <v>46</v>
      </c>
      <c r="Y42" s="246" t="s">
        <v>55</v>
      </c>
      <c r="Z42" s="246" t="s">
        <v>88</v>
      </c>
      <c r="AA42" s="246" t="s">
        <v>78</v>
      </c>
      <c r="AB42" s="246" t="s">
        <v>350</v>
      </c>
    </row>
    <row r="43" spans="1:28" x14ac:dyDescent="0.15">
      <c r="A43" s="246" t="s">
        <v>51</v>
      </c>
      <c r="B43" s="246" t="s">
        <v>348</v>
      </c>
      <c r="C43" s="246">
        <v>2018</v>
      </c>
      <c r="D43" s="106" t="s">
        <v>395</v>
      </c>
      <c r="E43" s="246" t="s">
        <v>218</v>
      </c>
      <c r="F43" s="246" t="s">
        <v>202</v>
      </c>
      <c r="G43" s="246" t="s">
        <v>42</v>
      </c>
      <c r="H43" s="246" t="s">
        <v>157</v>
      </c>
      <c r="I43" s="246" t="s">
        <v>155</v>
      </c>
      <c r="J43" s="246" t="s">
        <v>38</v>
      </c>
      <c r="K43" s="246" t="s">
        <v>156</v>
      </c>
      <c r="L43" s="246">
        <v>3</v>
      </c>
      <c r="M43" s="246"/>
      <c r="N43" s="246">
        <v>3</v>
      </c>
      <c r="O43" s="246">
        <v>0.65</v>
      </c>
      <c r="P43" s="246">
        <v>0.65</v>
      </c>
      <c r="Q43" s="107">
        <f t="shared" si="0"/>
        <v>0.65</v>
      </c>
      <c r="R43" s="246">
        <v>15.5</v>
      </c>
      <c r="S43" s="246">
        <v>164</v>
      </c>
      <c r="T43" s="108">
        <f t="shared" si="1"/>
        <v>18</v>
      </c>
      <c r="U43" s="246">
        <v>398</v>
      </c>
      <c r="V43" s="109">
        <f t="shared" si="2"/>
        <v>2388</v>
      </c>
      <c r="W43" s="246">
        <v>19</v>
      </c>
      <c r="X43" s="246" t="s">
        <v>46</v>
      </c>
      <c r="Y43" s="246" t="s">
        <v>55</v>
      </c>
      <c r="Z43" s="246" t="s">
        <v>88</v>
      </c>
      <c r="AA43" s="246" t="s">
        <v>78</v>
      </c>
      <c r="AB43" s="246" t="s">
        <v>350</v>
      </c>
    </row>
    <row r="44" spans="1:28" x14ac:dyDescent="0.15">
      <c r="A44" s="246" t="s">
        <v>51</v>
      </c>
      <c r="B44" s="246" t="s">
        <v>348</v>
      </c>
      <c r="C44" s="246">
        <v>2018</v>
      </c>
      <c r="D44" s="106" t="s">
        <v>395</v>
      </c>
      <c r="E44" s="246" t="s">
        <v>218</v>
      </c>
      <c r="F44" s="246" t="s">
        <v>202</v>
      </c>
      <c r="G44" s="246" t="s">
        <v>42</v>
      </c>
      <c r="H44" s="246" t="s">
        <v>164</v>
      </c>
      <c r="I44" s="246" t="s">
        <v>155</v>
      </c>
      <c r="J44" s="246" t="s">
        <v>38</v>
      </c>
      <c r="K44" s="246" t="s">
        <v>156</v>
      </c>
      <c r="L44" s="246">
        <v>1</v>
      </c>
      <c r="M44" s="246"/>
      <c r="N44" s="246">
        <v>3</v>
      </c>
      <c r="O44" s="246">
        <v>0.7</v>
      </c>
      <c r="P44" s="246">
        <v>0.6</v>
      </c>
      <c r="Q44" s="107">
        <f t="shared" si="0"/>
        <v>0.64999999999999991</v>
      </c>
      <c r="R44" s="246">
        <v>17.399999999999999</v>
      </c>
      <c r="S44" s="246">
        <v>154</v>
      </c>
      <c r="T44" s="108">
        <f t="shared" si="1"/>
        <v>18</v>
      </c>
      <c r="U44" s="246">
        <v>398</v>
      </c>
      <c r="V44" s="109">
        <f t="shared" si="2"/>
        <v>2388</v>
      </c>
      <c r="W44" s="246">
        <v>19</v>
      </c>
      <c r="X44" s="246" t="s">
        <v>46</v>
      </c>
      <c r="Y44" s="246" t="s">
        <v>55</v>
      </c>
      <c r="Z44" s="246" t="s">
        <v>88</v>
      </c>
      <c r="AA44" s="246" t="s">
        <v>78</v>
      </c>
      <c r="AB44" s="246" t="s">
        <v>350</v>
      </c>
    </row>
    <row r="45" spans="1:28" x14ac:dyDescent="0.15">
      <c r="A45" s="246" t="s">
        <v>51</v>
      </c>
      <c r="B45" s="246" t="s">
        <v>348</v>
      </c>
      <c r="C45" s="246">
        <v>2018</v>
      </c>
      <c r="D45" s="106" t="s">
        <v>395</v>
      </c>
      <c r="E45" s="246" t="s">
        <v>218</v>
      </c>
      <c r="F45" s="246" t="s">
        <v>202</v>
      </c>
      <c r="G45" s="246" t="s">
        <v>42</v>
      </c>
      <c r="H45" s="246" t="s">
        <v>164</v>
      </c>
      <c r="I45" s="246" t="s">
        <v>155</v>
      </c>
      <c r="J45" s="246" t="s">
        <v>38</v>
      </c>
      <c r="K45" s="246" t="s">
        <v>156</v>
      </c>
      <c r="L45" s="246">
        <v>2</v>
      </c>
      <c r="M45" s="246"/>
      <c r="N45" s="246">
        <v>3</v>
      </c>
      <c r="O45" s="246">
        <v>0.65</v>
      </c>
      <c r="P45" s="246">
        <v>0.55000000000000004</v>
      </c>
      <c r="Q45" s="107">
        <f t="shared" si="0"/>
        <v>0.60000000000000009</v>
      </c>
      <c r="R45" s="246">
        <v>16.600000000000001</v>
      </c>
      <c r="S45" s="246">
        <v>152</v>
      </c>
      <c r="T45" s="108">
        <f t="shared" si="1"/>
        <v>18</v>
      </c>
      <c r="U45" s="246">
        <v>398</v>
      </c>
      <c r="V45" s="109">
        <f t="shared" si="2"/>
        <v>2388</v>
      </c>
      <c r="W45" s="246">
        <v>19</v>
      </c>
      <c r="X45" s="246" t="s">
        <v>46</v>
      </c>
      <c r="Y45" s="246" t="s">
        <v>55</v>
      </c>
      <c r="Z45" s="246" t="s">
        <v>88</v>
      </c>
      <c r="AA45" s="246" t="s">
        <v>78</v>
      </c>
      <c r="AB45" s="246" t="s">
        <v>350</v>
      </c>
    </row>
    <row r="46" spans="1:28" x14ac:dyDescent="0.15">
      <c r="A46" s="246" t="s">
        <v>51</v>
      </c>
      <c r="B46" s="246" t="s">
        <v>348</v>
      </c>
      <c r="C46" s="246">
        <v>2018</v>
      </c>
      <c r="D46" s="106" t="s">
        <v>395</v>
      </c>
      <c r="E46" s="246" t="s">
        <v>218</v>
      </c>
      <c r="F46" s="246" t="s">
        <v>202</v>
      </c>
      <c r="G46" s="246" t="s">
        <v>42</v>
      </c>
      <c r="H46" s="246" t="s">
        <v>164</v>
      </c>
      <c r="I46" s="246" t="s">
        <v>155</v>
      </c>
      <c r="J46" s="246" t="s">
        <v>38</v>
      </c>
      <c r="K46" s="246" t="s">
        <v>156</v>
      </c>
      <c r="L46" s="246">
        <v>3</v>
      </c>
      <c r="M46" s="246"/>
      <c r="N46" s="246">
        <v>3</v>
      </c>
      <c r="O46" s="246">
        <v>0.6</v>
      </c>
      <c r="P46" s="246">
        <v>0.6</v>
      </c>
      <c r="Q46" s="107">
        <f t="shared" si="0"/>
        <v>0.6</v>
      </c>
      <c r="R46" s="246">
        <v>16.3</v>
      </c>
      <c r="S46" s="246">
        <v>152</v>
      </c>
      <c r="T46" s="108">
        <f t="shared" si="1"/>
        <v>18</v>
      </c>
      <c r="U46" s="246">
        <v>398</v>
      </c>
      <c r="V46" s="109">
        <f t="shared" si="2"/>
        <v>2388</v>
      </c>
      <c r="W46" s="246">
        <v>19</v>
      </c>
      <c r="X46" s="246" t="s">
        <v>46</v>
      </c>
      <c r="Y46" s="246" t="s">
        <v>55</v>
      </c>
      <c r="Z46" s="246" t="s">
        <v>88</v>
      </c>
      <c r="AA46" s="246" t="s">
        <v>78</v>
      </c>
      <c r="AB46" s="246" t="s">
        <v>350</v>
      </c>
    </row>
    <row r="47" spans="1:28" x14ac:dyDescent="0.15">
      <c r="A47" s="246" t="s">
        <v>51</v>
      </c>
      <c r="B47" s="246" t="s">
        <v>348</v>
      </c>
      <c r="C47" s="246">
        <v>2018</v>
      </c>
      <c r="D47" s="106" t="s">
        <v>395</v>
      </c>
      <c r="E47" s="246" t="s">
        <v>207</v>
      </c>
      <c r="F47" s="246" t="s">
        <v>208</v>
      </c>
      <c r="G47" s="246" t="s">
        <v>42</v>
      </c>
      <c r="H47" s="246" t="s">
        <v>157</v>
      </c>
      <c r="I47" s="246" t="s">
        <v>155</v>
      </c>
      <c r="J47" s="246" t="s">
        <v>38</v>
      </c>
      <c r="K47" s="246" t="s">
        <v>156</v>
      </c>
      <c r="L47" s="246">
        <v>1</v>
      </c>
      <c r="M47" s="246"/>
      <c r="N47" s="246">
        <v>1</v>
      </c>
      <c r="O47" s="246">
        <v>0.85</v>
      </c>
      <c r="P47" s="246">
        <v>0.8</v>
      </c>
      <c r="Q47" s="107">
        <f t="shared" si="0"/>
        <v>0.82499999999999996</v>
      </c>
      <c r="R47" s="246">
        <v>15.6</v>
      </c>
      <c r="S47" s="246">
        <v>138</v>
      </c>
      <c r="T47" s="108">
        <f t="shared" si="1"/>
        <v>22</v>
      </c>
      <c r="U47" s="246">
        <v>99</v>
      </c>
      <c r="V47" s="109">
        <f t="shared" si="2"/>
        <v>2178</v>
      </c>
      <c r="W47" s="246">
        <v>5</v>
      </c>
      <c r="X47" s="246" t="s">
        <v>46</v>
      </c>
      <c r="Y47" s="246" t="s">
        <v>69</v>
      </c>
      <c r="Z47" s="246" t="s">
        <v>90</v>
      </c>
      <c r="AA47" s="246" t="s">
        <v>88</v>
      </c>
      <c r="AB47" s="246" t="s">
        <v>350</v>
      </c>
    </row>
    <row r="48" spans="1:28" x14ac:dyDescent="0.15">
      <c r="A48" s="246" t="s">
        <v>51</v>
      </c>
      <c r="B48" s="246" t="s">
        <v>348</v>
      </c>
      <c r="C48" s="246">
        <v>2018</v>
      </c>
      <c r="D48" s="106" t="s">
        <v>395</v>
      </c>
      <c r="E48" s="246" t="s">
        <v>207</v>
      </c>
      <c r="F48" s="246" t="s">
        <v>208</v>
      </c>
      <c r="G48" s="246" t="s">
        <v>42</v>
      </c>
      <c r="H48" s="246" t="s">
        <v>157</v>
      </c>
      <c r="I48" s="246" t="s">
        <v>155</v>
      </c>
      <c r="J48" s="246" t="s">
        <v>38</v>
      </c>
      <c r="K48" s="246" t="s">
        <v>156</v>
      </c>
      <c r="L48" s="246">
        <v>2</v>
      </c>
      <c r="M48" s="246"/>
      <c r="N48" s="246">
        <v>1</v>
      </c>
      <c r="O48" s="246">
        <v>0.9</v>
      </c>
      <c r="P48" s="246">
        <v>0.75</v>
      </c>
      <c r="Q48" s="107">
        <f t="shared" si="0"/>
        <v>0.82499999999999996</v>
      </c>
      <c r="R48" s="246">
        <v>15.2</v>
      </c>
      <c r="S48" s="246">
        <v>142</v>
      </c>
      <c r="T48" s="108">
        <f t="shared" si="1"/>
        <v>22</v>
      </c>
      <c r="U48" s="246">
        <v>99</v>
      </c>
      <c r="V48" s="109">
        <f t="shared" si="2"/>
        <v>2178</v>
      </c>
      <c r="W48" s="246">
        <v>5</v>
      </c>
      <c r="X48" s="246" t="s">
        <v>46</v>
      </c>
      <c r="Y48" s="246" t="s">
        <v>69</v>
      </c>
      <c r="Z48" s="246" t="s">
        <v>90</v>
      </c>
      <c r="AA48" s="246" t="s">
        <v>88</v>
      </c>
      <c r="AB48" s="246" t="s">
        <v>350</v>
      </c>
    </row>
    <row r="49" spans="1:28" x14ac:dyDescent="0.15">
      <c r="A49" s="246" t="s">
        <v>51</v>
      </c>
      <c r="B49" s="246" t="s">
        <v>348</v>
      </c>
      <c r="C49" s="246">
        <v>2018</v>
      </c>
      <c r="D49" s="106" t="s">
        <v>395</v>
      </c>
      <c r="E49" s="246" t="s">
        <v>207</v>
      </c>
      <c r="F49" s="246" t="s">
        <v>208</v>
      </c>
      <c r="G49" s="246" t="s">
        <v>42</v>
      </c>
      <c r="H49" s="246" t="s">
        <v>157</v>
      </c>
      <c r="I49" s="246" t="s">
        <v>155</v>
      </c>
      <c r="J49" s="246" t="s">
        <v>38</v>
      </c>
      <c r="K49" s="246" t="s">
        <v>156</v>
      </c>
      <c r="L49" s="246">
        <v>3</v>
      </c>
      <c r="M49" s="246"/>
      <c r="N49" s="246">
        <v>1</v>
      </c>
      <c r="O49" s="246">
        <v>0.8</v>
      </c>
      <c r="P49" s="246">
        <v>0.75</v>
      </c>
      <c r="Q49" s="107">
        <f t="shared" si="0"/>
        <v>0.77500000000000002</v>
      </c>
      <c r="R49" s="246">
        <v>16.3</v>
      </c>
      <c r="S49" s="246">
        <v>146</v>
      </c>
      <c r="T49" s="108">
        <f t="shared" si="1"/>
        <v>22</v>
      </c>
      <c r="U49" s="246">
        <v>99</v>
      </c>
      <c r="V49" s="109">
        <f t="shared" si="2"/>
        <v>2178</v>
      </c>
      <c r="W49" s="246">
        <v>5</v>
      </c>
      <c r="X49" s="246" t="s">
        <v>46</v>
      </c>
      <c r="Y49" s="246" t="s">
        <v>69</v>
      </c>
      <c r="Z49" s="246" t="s">
        <v>90</v>
      </c>
      <c r="AA49" s="246" t="s">
        <v>88</v>
      </c>
      <c r="AB49" s="246" t="s">
        <v>350</v>
      </c>
    </row>
    <row r="50" spans="1:28" x14ac:dyDescent="0.15">
      <c r="A50" s="246" t="s">
        <v>51</v>
      </c>
      <c r="B50" s="246" t="s">
        <v>348</v>
      </c>
      <c r="C50" s="246">
        <v>2018</v>
      </c>
      <c r="D50" s="106" t="s">
        <v>395</v>
      </c>
      <c r="E50" s="246" t="s">
        <v>207</v>
      </c>
      <c r="F50" s="246" t="s">
        <v>208</v>
      </c>
      <c r="G50" s="246" t="s">
        <v>42</v>
      </c>
      <c r="H50" s="246" t="s">
        <v>164</v>
      </c>
      <c r="I50" s="246" t="s">
        <v>155</v>
      </c>
      <c r="J50" s="246" t="s">
        <v>38</v>
      </c>
      <c r="K50" s="246" t="s">
        <v>156</v>
      </c>
      <c r="L50" s="246">
        <v>1</v>
      </c>
      <c r="M50" s="246"/>
      <c r="N50" s="246">
        <v>1</v>
      </c>
      <c r="O50" s="246">
        <v>0.8</v>
      </c>
      <c r="P50" s="246">
        <v>1.05</v>
      </c>
      <c r="Q50" s="107">
        <f t="shared" si="0"/>
        <v>0.92500000000000004</v>
      </c>
      <c r="R50" s="246">
        <v>14.3</v>
      </c>
      <c r="S50" s="246">
        <v>138</v>
      </c>
      <c r="T50" s="108">
        <f t="shared" si="1"/>
        <v>22</v>
      </c>
      <c r="U50" s="246">
        <v>99</v>
      </c>
      <c r="V50" s="109">
        <f t="shared" si="2"/>
        <v>2178</v>
      </c>
      <c r="W50" s="246">
        <v>5</v>
      </c>
      <c r="X50" s="246" t="s">
        <v>46</v>
      </c>
      <c r="Y50" s="246" t="s">
        <v>69</v>
      </c>
      <c r="Z50" s="246" t="s">
        <v>90</v>
      </c>
      <c r="AA50" s="246" t="s">
        <v>88</v>
      </c>
      <c r="AB50" s="246" t="s">
        <v>350</v>
      </c>
    </row>
    <row r="51" spans="1:28" x14ac:dyDescent="0.15">
      <c r="A51" s="246" t="s">
        <v>51</v>
      </c>
      <c r="B51" s="246" t="s">
        <v>348</v>
      </c>
      <c r="C51" s="246">
        <v>2018</v>
      </c>
      <c r="D51" s="106" t="s">
        <v>395</v>
      </c>
      <c r="E51" s="246" t="s">
        <v>207</v>
      </c>
      <c r="F51" s="246" t="s">
        <v>208</v>
      </c>
      <c r="G51" s="246" t="s">
        <v>42</v>
      </c>
      <c r="H51" s="246" t="s">
        <v>164</v>
      </c>
      <c r="I51" s="246" t="s">
        <v>155</v>
      </c>
      <c r="J51" s="246" t="s">
        <v>38</v>
      </c>
      <c r="K51" s="246" t="s">
        <v>156</v>
      </c>
      <c r="L51" s="246">
        <v>2</v>
      </c>
      <c r="M51" s="246"/>
      <c r="N51" s="246">
        <v>1</v>
      </c>
      <c r="O51" s="246">
        <v>0.8</v>
      </c>
      <c r="P51" s="246">
        <v>0.9</v>
      </c>
      <c r="Q51" s="107">
        <f t="shared" si="0"/>
        <v>0.85000000000000009</v>
      </c>
      <c r="R51" s="246">
        <v>14.7</v>
      </c>
      <c r="S51" s="246">
        <v>146</v>
      </c>
      <c r="T51" s="108">
        <f t="shared" si="1"/>
        <v>22</v>
      </c>
      <c r="U51" s="246">
        <v>99</v>
      </c>
      <c r="V51" s="109">
        <f t="shared" si="2"/>
        <v>2178</v>
      </c>
      <c r="W51" s="246">
        <v>5</v>
      </c>
      <c r="X51" s="246" t="s">
        <v>46</v>
      </c>
      <c r="Y51" s="246" t="s">
        <v>69</v>
      </c>
      <c r="Z51" s="246" t="s">
        <v>90</v>
      </c>
      <c r="AA51" s="246" t="s">
        <v>88</v>
      </c>
      <c r="AB51" s="246" t="s">
        <v>350</v>
      </c>
    </row>
    <row r="52" spans="1:28" x14ac:dyDescent="0.15">
      <c r="A52" s="246" t="s">
        <v>51</v>
      </c>
      <c r="B52" s="246" t="s">
        <v>348</v>
      </c>
      <c r="C52" s="246">
        <v>2018</v>
      </c>
      <c r="D52" s="106" t="s">
        <v>395</v>
      </c>
      <c r="E52" s="246" t="s">
        <v>207</v>
      </c>
      <c r="F52" s="246" t="s">
        <v>208</v>
      </c>
      <c r="G52" s="246" t="s">
        <v>42</v>
      </c>
      <c r="H52" s="246" t="s">
        <v>164</v>
      </c>
      <c r="I52" s="246" t="s">
        <v>155</v>
      </c>
      <c r="J52" s="246" t="s">
        <v>38</v>
      </c>
      <c r="K52" s="246" t="s">
        <v>156</v>
      </c>
      <c r="L52" s="246">
        <v>3</v>
      </c>
      <c r="M52" s="246"/>
      <c r="N52" s="246">
        <v>1</v>
      </c>
      <c r="O52" s="246">
        <v>0.85</v>
      </c>
      <c r="P52" s="246">
        <v>0.85</v>
      </c>
      <c r="Q52" s="107">
        <f t="shared" si="0"/>
        <v>0.85</v>
      </c>
      <c r="R52" s="246">
        <v>15</v>
      </c>
      <c r="S52" s="246">
        <v>146</v>
      </c>
      <c r="T52" s="108">
        <f t="shared" si="1"/>
        <v>22</v>
      </c>
      <c r="U52" s="246">
        <v>99</v>
      </c>
      <c r="V52" s="109">
        <f t="shared" si="2"/>
        <v>2178</v>
      </c>
      <c r="W52" s="246">
        <v>5</v>
      </c>
      <c r="X52" s="246" t="s">
        <v>46</v>
      </c>
      <c r="Y52" s="246" t="s">
        <v>69</v>
      </c>
      <c r="Z52" s="246" t="s">
        <v>90</v>
      </c>
      <c r="AA52" s="246" t="s">
        <v>88</v>
      </c>
      <c r="AB52" s="246" t="s">
        <v>350</v>
      </c>
    </row>
    <row r="53" spans="1:28" x14ac:dyDescent="0.15">
      <c r="A53" s="246" t="s">
        <v>51</v>
      </c>
      <c r="B53" s="246" t="s">
        <v>348</v>
      </c>
      <c r="C53" s="246">
        <v>2018</v>
      </c>
      <c r="D53" s="106" t="s">
        <v>395</v>
      </c>
      <c r="E53" s="246" t="s">
        <v>213</v>
      </c>
      <c r="F53" s="246" t="s">
        <v>201</v>
      </c>
      <c r="G53" s="246" t="s">
        <v>36</v>
      </c>
      <c r="H53" s="246" t="s">
        <v>157</v>
      </c>
      <c r="I53" s="246" t="s">
        <v>155</v>
      </c>
      <c r="J53" s="246" t="s">
        <v>38</v>
      </c>
      <c r="K53" s="246" t="s">
        <v>156</v>
      </c>
      <c r="L53" s="246">
        <v>1</v>
      </c>
      <c r="M53" s="246"/>
      <c r="N53" s="246">
        <v>1</v>
      </c>
      <c r="O53" s="246">
        <v>0.7</v>
      </c>
      <c r="P53" s="246">
        <v>0.7</v>
      </c>
      <c r="Q53" s="107">
        <f t="shared" si="0"/>
        <v>0.7</v>
      </c>
      <c r="R53" s="246">
        <v>13.4</v>
      </c>
      <c r="S53" s="246">
        <v>112</v>
      </c>
      <c r="T53" s="108">
        <f t="shared" si="1"/>
        <v>33</v>
      </c>
      <c r="U53" s="246">
        <v>68</v>
      </c>
      <c r="V53" s="109">
        <f t="shared" si="2"/>
        <v>2244</v>
      </c>
      <c r="W53" s="246">
        <v>9</v>
      </c>
      <c r="X53" s="246" t="s">
        <v>46</v>
      </c>
      <c r="Y53" s="246" t="s">
        <v>97</v>
      </c>
      <c r="Z53" s="246" t="s">
        <v>88</v>
      </c>
      <c r="AA53" s="246" t="s">
        <v>69</v>
      </c>
      <c r="AB53" s="246" t="s">
        <v>350</v>
      </c>
    </row>
    <row r="54" spans="1:28" x14ac:dyDescent="0.15">
      <c r="A54" s="246" t="s">
        <v>51</v>
      </c>
      <c r="B54" s="246" t="s">
        <v>348</v>
      </c>
      <c r="C54" s="246">
        <v>2018</v>
      </c>
      <c r="D54" s="106" t="s">
        <v>395</v>
      </c>
      <c r="E54" s="246" t="s">
        <v>213</v>
      </c>
      <c r="F54" s="246" t="s">
        <v>201</v>
      </c>
      <c r="G54" s="246" t="s">
        <v>36</v>
      </c>
      <c r="H54" s="246" t="s">
        <v>157</v>
      </c>
      <c r="I54" s="246" t="s">
        <v>155</v>
      </c>
      <c r="J54" s="246" t="s">
        <v>38</v>
      </c>
      <c r="K54" s="246" t="s">
        <v>156</v>
      </c>
      <c r="L54" s="246">
        <v>2</v>
      </c>
      <c r="M54" s="246"/>
      <c r="N54" s="246">
        <v>1</v>
      </c>
      <c r="O54" s="246">
        <v>0.65</v>
      </c>
      <c r="P54" s="246">
        <v>0.8</v>
      </c>
      <c r="Q54" s="107">
        <f t="shared" si="0"/>
        <v>0.72500000000000009</v>
      </c>
      <c r="R54" s="246">
        <v>12.5</v>
      </c>
      <c r="S54" s="246">
        <v>106</v>
      </c>
      <c r="T54" s="108">
        <f t="shared" si="1"/>
        <v>33</v>
      </c>
      <c r="U54" s="246">
        <v>68</v>
      </c>
      <c r="V54" s="109">
        <f t="shared" si="2"/>
        <v>2244</v>
      </c>
      <c r="W54" s="246">
        <v>9</v>
      </c>
      <c r="X54" s="246" t="s">
        <v>46</v>
      </c>
      <c r="Y54" s="246" t="s">
        <v>97</v>
      </c>
      <c r="Z54" s="246" t="s">
        <v>88</v>
      </c>
      <c r="AA54" s="246" t="s">
        <v>69</v>
      </c>
      <c r="AB54" s="246" t="s">
        <v>350</v>
      </c>
    </row>
    <row r="55" spans="1:28" x14ac:dyDescent="0.15">
      <c r="A55" s="246" t="s">
        <v>51</v>
      </c>
      <c r="B55" s="246" t="s">
        <v>348</v>
      </c>
      <c r="C55" s="246">
        <v>2018</v>
      </c>
      <c r="D55" s="106" t="s">
        <v>395</v>
      </c>
      <c r="E55" s="246" t="s">
        <v>213</v>
      </c>
      <c r="F55" s="246" t="s">
        <v>201</v>
      </c>
      <c r="G55" s="246" t="s">
        <v>36</v>
      </c>
      <c r="H55" s="246" t="s">
        <v>157</v>
      </c>
      <c r="I55" s="246" t="s">
        <v>155</v>
      </c>
      <c r="J55" s="246" t="s">
        <v>38</v>
      </c>
      <c r="K55" s="246" t="s">
        <v>156</v>
      </c>
      <c r="L55" s="246">
        <v>3</v>
      </c>
      <c r="M55" s="246"/>
      <c r="N55" s="246">
        <v>1</v>
      </c>
      <c r="O55" s="246">
        <v>0.7</v>
      </c>
      <c r="P55" s="246">
        <v>0.65</v>
      </c>
      <c r="Q55" s="107">
        <f t="shared" si="0"/>
        <v>0.67500000000000004</v>
      </c>
      <c r="R55" s="246">
        <v>12.8</v>
      </c>
      <c r="S55" s="246">
        <v>106</v>
      </c>
      <c r="T55" s="108">
        <f t="shared" si="1"/>
        <v>33</v>
      </c>
      <c r="U55" s="246">
        <v>68</v>
      </c>
      <c r="V55" s="109">
        <f t="shared" si="2"/>
        <v>2244</v>
      </c>
      <c r="W55" s="246">
        <v>9</v>
      </c>
      <c r="X55" s="246" t="s">
        <v>46</v>
      </c>
      <c r="Y55" s="246" t="s">
        <v>97</v>
      </c>
      <c r="Z55" s="246" t="s">
        <v>88</v>
      </c>
      <c r="AA55" s="246" t="s">
        <v>69</v>
      </c>
      <c r="AB55" s="246" t="s">
        <v>350</v>
      </c>
    </row>
    <row r="56" spans="1:28" x14ac:dyDescent="0.15">
      <c r="A56" s="246" t="s">
        <v>51</v>
      </c>
      <c r="B56" s="246" t="s">
        <v>348</v>
      </c>
      <c r="C56" s="246">
        <v>2018</v>
      </c>
      <c r="D56" s="106" t="s">
        <v>395</v>
      </c>
      <c r="E56" s="246" t="s">
        <v>213</v>
      </c>
      <c r="F56" s="246" t="s">
        <v>201</v>
      </c>
      <c r="G56" s="246" t="s">
        <v>36</v>
      </c>
      <c r="H56" s="246" t="s">
        <v>219</v>
      </c>
      <c r="I56" s="246" t="s">
        <v>155</v>
      </c>
      <c r="J56" s="246" t="s">
        <v>38</v>
      </c>
      <c r="K56" s="246" t="s">
        <v>156</v>
      </c>
      <c r="L56" s="115">
        <v>1</v>
      </c>
      <c r="N56" s="246">
        <v>5</v>
      </c>
      <c r="O56" s="115">
        <v>0.7</v>
      </c>
      <c r="P56" s="115">
        <v>0.6</v>
      </c>
      <c r="Q56" s="107">
        <f t="shared" si="0"/>
        <v>0.64999999999999991</v>
      </c>
      <c r="R56" s="115">
        <v>15.6</v>
      </c>
      <c r="S56" s="115">
        <v>90</v>
      </c>
      <c r="T56" s="108">
        <f t="shared" si="1"/>
        <v>36</v>
      </c>
      <c r="U56" s="246">
        <v>398</v>
      </c>
      <c r="V56" s="109">
        <f t="shared" si="2"/>
        <v>2865.6</v>
      </c>
      <c r="W56" s="246">
        <v>9</v>
      </c>
      <c r="X56" s="246" t="s">
        <v>39</v>
      </c>
      <c r="Y56" s="246" t="s">
        <v>97</v>
      </c>
      <c r="Z56" s="246" t="s">
        <v>88</v>
      </c>
      <c r="AA56" s="246" t="s">
        <v>69</v>
      </c>
      <c r="AB56" s="246" t="s">
        <v>350</v>
      </c>
    </row>
    <row r="57" spans="1:28" x14ac:dyDescent="0.15">
      <c r="A57" s="246" t="s">
        <v>51</v>
      </c>
      <c r="B57" s="246" t="s">
        <v>348</v>
      </c>
      <c r="C57" s="246">
        <v>2018</v>
      </c>
      <c r="D57" s="106" t="s">
        <v>395</v>
      </c>
      <c r="E57" s="246" t="s">
        <v>213</v>
      </c>
      <c r="F57" s="246" t="s">
        <v>201</v>
      </c>
      <c r="G57" s="246" t="s">
        <v>36</v>
      </c>
      <c r="H57" s="246" t="s">
        <v>219</v>
      </c>
      <c r="I57" s="246" t="s">
        <v>155</v>
      </c>
      <c r="J57" s="246" t="s">
        <v>38</v>
      </c>
      <c r="K57" s="246" t="s">
        <v>156</v>
      </c>
      <c r="L57" s="115">
        <v>2</v>
      </c>
      <c r="N57" s="246">
        <v>5</v>
      </c>
      <c r="O57" s="115">
        <v>0.65</v>
      </c>
      <c r="P57" s="115">
        <v>0.6</v>
      </c>
      <c r="Q57" s="107">
        <f t="shared" si="0"/>
        <v>0.625</v>
      </c>
      <c r="R57" s="115">
        <v>14.3</v>
      </c>
      <c r="S57" s="115">
        <v>83</v>
      </c>
      <c r="T57" s="108">
        <f t="shared" si="1"/>
        <v>39</v>
      </c>
      <c r="U57" s="246">
        <v>398</v>
      </c>
      <c r="V57" s="109">
        <f t="shared" si="2"/>
        <v>3104.3999999999996</v>
      </c>
      <c r="W57" s="246">
        <v>9</v>
      </c>
      <c r="X57" s="246" t="s">
        <v>39</v>
      </c>
      <c r="Y57" s="246" t="s">
        <v>97</v>
      </c>
      <c r="Z57" s="246" t="s">
        <v>88</v>
      </c>
      <c r="AA57" s="246" t="s">
        <v>69</v>
      </c>
      <c r="AB57" s="246" t="s">
        <v>350</v>
      </c>
    </row>
    <row r="58" spans="1:28" x14ac:dyDescent="0.15">
      <c r="A58" s="246" t="s">
        <v>51</v>
      </c>
      <c r="B58" s="246" t="s">
        <v>348</v>
      </c>
      <c r="C58" s="246">
        <v>2018</v>
      </c>
      <c r="D58" s="106" t="s">
        <v>395</v>
      </c>
      <c r="E58" s="246" t="s">
        <v>213</v>
      </c>
      <c r="F58" s="246" t="s">
        <v>201</v>
      </c>
      <c r="G58" s="246" t="s">
        <v>36</v>
      </c>
      <c r="H58" s="246" t="s">
        <v>219</v>
      </c>
      <c r="I58" s="246" t="s">
        <v>155</v>
      </c>
      <c r="J58" s="246" t="s">
        <v>38</v>
      </c>
      <c r="K58" s="246" t="s">
        <v>156</v>
      </c>
      <c r="L58" s="115">
        <v>3</v>
      </c>
      <c r="N58" s="246">
        <v>5</v>
      </c>
      <c r="O58" s="115">
        <v>0.7</v>
      </c>
      <c r="P58" s="115">
        <v>0.65</v>
      </c>
      <c r="Q58" s="107">
        <f t="shared" si="0"/>
        <v>0.67500000000000004</v>
      </c>
      <c r="R58" s="115">
        <v>15.8</v>
      </c>
      <c r="S58" s="115">
        <v>91</v>
      </c>
      <c r="T58" s="108">
        <f t="shared" si="1"/>
        <v>36</v>
      </c>
      <c r="U58" s="246">
        <v>398</v>
      </c>
      <c r="V58" s="109">
        <f t="shared" si="2"/>
        <v>2865.6</v>
      </c>
      <c r="W58" s="246">
        <v>9</v>
      </c>
      <c r="X58" s="246" t="s">
        <v>39</v>
      </c>
      <c r="Y58" s="246" t="s">
        <v>97</v>
      </c>
      <c r="Z58" s="246" t="s">
        <v>88</v>
      </c>
      <c r="AA58" s="246" t="s">
        <v>69</v>
      </c>
      <c r="AB58" s="246" t="s">
        <v>350</v>
      </c>
    </row>
    <row r="59" spans="1:28" x14ac:dyDescent="0.15">
      <c r="A59" s="246" t="s">
        <v>51</v>
      </c>
      <c r="B59" s="246" t="s">
        <v>348</v>
      </c>
      <c r="C59" s="246">
        <v>2018</v>
      </c>
      <c r="D59" s="106" t="s">
        <v>395</v>
      </c>
      <c r="E59" s="246" t="s">
        <v>213</v>
      </c>
      <c r="F59" s="246" t="s">
        <v>201</v>
      </c>
      <c r="G59" s="246" t="s">
        <v>36</v>
      </c>
      <c r="H59" s="246" t="s">
        <v>157</v>
      </c>
      <c r="I59" s="246" t="s">
        <v>158</v>
      </c>
      <c r="J59" s="246" t="s">
        <v>38</v>
      </c>
      <c r="K59" s="246" t="s">
        <v>156</v>
      </c>
      <c r="L59" s="115">
        <v>1</v>
      </c>
      <c r="N59" s="246">
        <v>2</v>
      </c>
      <c r="O59" s="115">
        <v>0.8</v>
      </c>
      <c r="P59" s="115">
        <v>0.8</v>
      </c>
      <c r="Q59" s="107">
        <f t="shared" si="0"/>
        <v>0.8</v>
      </c>
      <c r="R59" s="115">
        <v>16.2</v>
      </c>
      <c r="S59" s="115">
        <v>144</v>
      </c>
      <c r="T59" s="108">
        <f t="shared" si="1"/>
        <v>22</v>
      </c>
      <c r="U59" s="246">
        <v>398</v>
      </c>
      <c r="V59" s="109">
        <f t="shared" si="2"/>
        <v>4378</v>
      </c>
      <c r="W59" s="246">
        <v>9</v>
      </c>
      <c r="X59" s="246" t="s">
        <v>39</v>
      </c>
      <c r="Y59" s="246" t="s">
        <v>97</v>
      </c>
      <c r="Z59" s="246" t="s">
        <v>88</v>
      </c>
      <c r="AA59" s="246" t="s">
        <v>69</v>
      </c>
      <c r="AB59" s="246" t="s">
        <v>350</v>
      </c>
    </row>
    <row r="60" spans="1:28" x14ac:dyDescent="0.15">
      <c r="A60" s="246" t="s">
        <v>51</v>
      </c>
      <c r="B60" s="246" t="s">
        <v>348</v>
      </c>
      <c r="C60" s="246">
        <v>2018</v>
      </c>
      <c r="D60" s="106" t="s">
        <v>395</v>
      </c>
      <c r="E60" s="246" t="s">
        <v>213</v>
      </c>
      <c r="F60" s="246" t="s">
        <v>201</v>
      </c>
      <c r="G60" s="246" t="s">
        <v>36</v>
      </c>
      <c r="H60" s="246" t="s">
        <v>157</v>
      </c>
      <c r="I60" s="246" t="s">
        <v>158</v>
      </c>
      <c r="J60" s="246" t="s">
        <v>38</v>
      </c>
      <c r="K60" s="246" t="s">
        <v>156</v>
      </c>
      <c r="L60" s="115">
        <v>2</v>
      </c>
      <c r="N60" s="246">
        <v>2</v>
      </c>
      <c r="O60" s="115">
        <v>0.85</v>
      </c>
      <c r="P60" s="115">
        <v>0.9</v>
      </c>
      <c r="Q60" s="107">
        <f t="shared" si="0"/>
        <v>0.875</v>
      </c>
      <c r="R60" s="115">
        <v>15.3</v>
      </c>
      <c r="S60" s="115">
        <v>138</v>
      </c>
      <c r="T60" s="108">
        <f t="shared" si="1"/>
        <v>22</v>
      </c>
      <c r="U60" s="246">
        <v>398</v>
      </c>
      <c r="V60" s="109">
        <f t="shared" si="2"/>
        <v>4378</v>
      </c>
      <c r="W60" s="246">
        <v>9</v>
      </c>
      <c r="X60" s="246" t="s">
        <v>39</v>
      </c>
      <c r="Y60" s="246" t="s">
        <v>97</v>
      </c>
      <c r="Z60" s="246" t="s">
        <v>88</v>
      </c>
      <c r="AA60" s="246" t="s">
        <v>69</v>
      </c>
      <c r="AB60" s="246" t="s">
        <v>350</v>
      </c>
    </row>
    <row r="61" spans="1:28" x14ac:dyDescent="0.15">
      <c r="A61" s="246" t="s">
        <v>51</v>
      </c>
      <c r="B61" s="246" t="s">
        <v>348</v>
      </c>
      <c r="C61" s="246">
        <v>2018</v>
      </c>
      <c r="D61" s="106" t="s">
        <v>395</v>
      </c>
      <c r="E61" s="246" t="s">
        <v>213</v>
      </c>
      <c r="F61" s="246" t="s">
        <v>201</v>
      </c>
      <c r="G61" s="246" t="s">
        <v>36</v>
      </c>
      <c r="H61" s="246" t="s">
        <v>157</v>
      </c>
      <c r="I61" s="246" t="s">
        <v>158</v>
      </c>
      <c r="J61" s="246" t="s">
        <v>38</v>
      </c>
      <c r="K61" s="246" t="s">
        <v>156</v>
      </c>
      <c r="L61" s="115">
        <v>3</v>
      </c>
      <c r="N61" s="246">
        <v>2</v>
      </c>
      <c r="O61" s="115">
        <v>0.8</v>
      </c>
      <c r="P61" s="115">
        <v>0.85</v>
      </c>
      <c r="Q61" s="107">
        <f t="shared" si="0"/>
        <v>0.82499999999999996</v>
      </c>
      <c r="R61" s="115">
        <v>15.5</v>
      </c>
      <c r="S61" s="115">
        <v>138</v>
      </c>
      <c r="T61" s="108">
        <f t="shared" si="1"/>
        <v>22</v>
      </c>
      <c r="U61" s="246">
        <v>398</v>
      </c>
      <c r="V61" s="109">
        <f t="shared" si="2"/>
        <v>4378</v>
      </c>
      <c r="W61" s="246">
        <v>9</v>
      </c>
      <c r="X61" s="246" t="s">
        <v>39</v>
      </c>
      <c r="Y61" s="246" t="s">
        <v>97</v>
      </c>
      <c r="Z61" s="246" t="s">
        <v>88</v>
      </c>
      <c r="AA61" s="246" t="s">
        <v>69</v>
      </c>
      <c r="AB61" s="246" t="s">
        <v>350</v>
      </c>
    </row>
    <row r="62" spans="1:28" x14ac:dyDescent="0.15">
      <c r="A62" s="246" t="s">
        <v>51</v>
      </c>
      <c r="B62" s="246" t="s">
        <v>348</v>
      </c>
      <c r="C62" s="246">
        <v>2018</v>
      </c>
      <c r="D62" s="106" t="s">
        <v>395</v>
      </c>
      <c r="E62" s="246" t="s">
        <v>213</v>
      </c>
      <c r="F62" s="246" t="s">
        <v>201</v>
      </c>
      <c r="G62" s="246" t="s">
        <v>36</v>
      </c>
      <c r="H62" s="246" t="s">
        <v>164</v>
      </c>
      <c r="I62" s="246" t="s">
        <v>155</v>
      </c>
      <c r="J62" s="246" t="s">
        <v>38</v>
      </c>
      <c r="K62" s="246" t="s">
        <v>156</v>
      </c>
      <c r="L62" s="115">
        <v>1</v>
      </c>
      <c r="N62" s="246">
        <v>3</v>
      </c>
      <c r="O62" s="115">
        <v>0.75</v>
      </c>
      <c r="P62" s="115">
        <v>0.7</v>
      </c>
      <c r="Q62" s="108">
        <f t="shared" si="0"/>
        <v>0.72499999999999998</v>
      </c>
      <c r="R62" s="115">
        <v>17.3</v>
      </c>
      <c r="S62" s="115">
        <v>144</v>
      </c>
      <c r="T62" s="108">
        <f t="shared" si="1"/>
        <v>22</v>
      </c>
      <c r="U62" s="246">
        <v>398</v>
      </c>
      <c r="V62" s="108">
        <f t="shared" si="2"/>
        <v>2918.6666666666665</v>
      </c>
      <c r="W62" s="246">
        <v>9</v>
      </c>
      <c r="X62" s="246" t="s">
        <v>46</v>
      </c>
      <c r="Y62" s="246" t="s">
        <v>97</v>
      </c>
      <c r="Z62" s="246" t="s">
        <v>88</v>
      </c>
      <c r="AA62" s="246" t="s">
        <v>69</v>
      </c>
      <c r="AB62" s="246" t="s">
        <v>350</v>
      </c>
    </row>
    <row r="63" spans="1:28" x14ac:dyDescent="0.15">
      <c r="A63" s="246" t="s">
        <v>51</v>
      </c>
      <c r="B63" s="246" t="s">
        <v>348</v>
      </c>
      <c r="C63" s="246">
        <v>2018</v>
      </c>
      <c r="D63" s="106" t="s">
        <v>395</v>
      </c>
      <c r="E63" s="246" t="s">
        <v>213</v>
      </c>
      <c r="F63" s="246" t="s">
        <v>201</v>
      </c>
      <c r="G63" s="246" t="s">
        <v>36</v>
      </c>
      <c r="H63" s="246" t="s">
        <v>164</v>
      </c>
      <c r="I63" s="246" t="s">
        <v>155</v>
      </c>
      <c r="J63" s="246" t="s">
        <v>38</v>
      </c>
      <c r="K63" s="246" t="s">
        <v>156</v>
      </c>
      <c r="L63" s="98">
        <v>2</v>
      </c>
      <c r="N63" s="130">
        <v>3</v>
      </c>
      <c r="O63" s="98">
        <v>0.65</v>
      </c>
      <c r="P63" s="98">
        <v>0.75</v>
      </c>
      <c r="Q63" s="132">
        <f t="shared" si="0"/>
        <v>0.7</v>
      </c>
      <c r="R63" s="98">
        <v>17.100000000000001</v>
      </c>
      <c r="S63" s="98">
        <v>142</v>
      </c>
      <c r="T63" s="132">
        <f t="shared" si="1"/>
        <v>22</v>
      </c>
      <c r="U63" s="246">
        <v>398</v>
      </c>
      <c r="V63" s="132">
        <f t="shared" si="2"/>
        <v>2918.6666666666665</v>
      </c>
      <c r="W63" s="246">
        <v>9</v>
      </c>
      <c r="X63" s="246" t="s">
        <v>46</v>
      </c>
      <c r="Y63" s="246" t="s">
        <v>97</v>
      </c>
      <c r="Z63" s="246" t="s">
        <v>88</v>
      </c>
      <c r="AA63" s="246" t="s">
        <v>69</v>
      </c>
      <c r="AB63" s="246" t="s">
        <v>350</v>
      </c>
    </row>
    <row r="64" spans="1:28" x14ac:dyDescent="0.15">
      <c r="A64" s="246" t="s">
        <v>51</v>
      </c>
      <c r="B64" s="246" t="s">
        <v>348</v>
      </c>
      <c r="C64" s="246">
        <v>2018</v>
      </c>
      <c r="D64" s="106" t="s">
        <v>395</v>
      </c>
      <c r="E64" s="246" t="s">
        <v>213</v>
      </c>
      <c r="F64" s="246" t="s">
        <v>201</v>
      </c>
      <c r="G64" s="246" t="s">
        <v>36</v>
      </c>
      <c r="H64" s="246" t="s">
        <v>164</v>
      </c>
      <c r="I64" s="246" t="s">
        <v>155</v>
      </c>
      <c r="J64" s="246" t="s">
        <v>38</v>
      </c>
      <c r="K64" s="246" t="s">
        <v>156</v>
      </c>
      <c r="L64" s="98">
        <v>3</v>
      </c>
      <c r="N64" s="130">
        <v>3</v>
      </c>
      <c r="O64" s="115">
        <v>0.7</v>
      </c>
      <c r="P64" s="98">
        <v>0.7</v>
      </c>
      <c r="Q64" s="132">
        <f t="shared" si="0"/>
        <v>0.7</v>
      </c>
      <c r="R64" s="98">
        <v>18</v>
      </c>
      <c r="S64" s="98">
        <v>150</v>
      </c>
      <c r="T64" s="132">
        <f t="shared" si="1"/>
        <v>22</v>
      </c>
      <c r="U64" s="246">
        <v>398</v>
      </c>
      <c r="V64" s="132">
        <f t="shared" si="2"/>
        <v>2918.6666666666665</v>
      </c>
      <c r="W64" s="246">
        <v>9</v>
      </c>
      <c r="X64" s="246" t="s">
        <v>46</v>
      </c>
      <c r="Y64" s="246" t="s">
        <v>97</v>
      </c>
      <c r="Z64" s="246" t="s">
        <v>88</v>
      </c>
      <c r="AA64" s="246" t="s">
        <v>69</v>
      </c>
      <c r="AB64" s="246" t="s">
        <v>350</v>
      </c>
    </row>
    <row r="65" spans="1:28" x14ac:dyDescent="0.15">
      <c r="A65" s="246" t="s">
        <v>51</v>
      </c>
      <c r="B65" s="246" t="s">
        <v>348</v>
      </c>
      <c r="C65" s="246">
        <v>2018</v>
      </c>
      <c r="D65" s="106" t="s">
        <v>395</v>
      </c>
      <c r="E65" s="246" t="s">
        <v>221</v>
      </c>
      <c r="F65" s="246" t="s">
        <v>222</v>
      </c>
      <c r="G65" s="246" t="s">
        <v>36</v>
      </c>
      <c r="H65" s="246" t="s">
        <v>157</v>
      </c>
      <c r="I65" s="246" t="s">
        <v>155</v>
      </c>
      <c r="J65" s="246" t="s">
        <v>38</v>
      </c>
      <c r="K65" s="246" t="s">
        <v>156</v>
      </c>
      <c r="L65" s="98">
        <v>1</v>
      </c>
      <c r="N65" s="130">
        <v>1</v>
      </c>
      <c r="O65" s="98">
        <v>0.75</v>
      </c>
      <c r="P65" s="98">
        <v>0.7</v>
      </c>
      <c r="Q65" s="132">
        <f t="shared" si="0"/>
        <v>0.72499999999999998</v>
      </c>
      <c r="R65" s="98">
        <v>16.399999999999999</v>
      </c>
      <c r="S65" s="98">
        <v>170</v>
      </c>
      <c r="T65" s="132">
        <f t="shared" si="1"/>
        <v>18</v>
      </c>
      <c r="U65" s="246">
        <v>128</v>
      </c>
      <c r="V65" s="132">
        <f t="shared" si="2"/>
        <v>2304</v>
      </c>
      <c r="W65" s="246">
        <v>13</v>
      </c>
      <c r="X65" s="246" t="s">
        <v>46</v>
      </c>
      <c r="Y65" s="246" t="s">
        <v>88</v>
      </c>
      <c r="Z65" s="246" t="s">
        <v>55</v>
      </c>
      <c r="AA65" s="246" t="s">
        <v>69</v>
      </c>
      <c r="AB65" s="246" t="s">
        <v>350</v>
      </c>
    </row>
    <row r="66" spans="1:28" x14ac:dyDescent="0.15">
      <c r="A66" s="246" t="s">
        <v>51</v>
      </c>
      <c r="B66" s="246" t="s">
        <v>348</v>
      </c>
      <c r="C66" s="246">
        <v>2018</v>
      </c>
      <c r="D66" s="106" t="s">
        <v>395</v>
      </c>
      <c r="E66" s="246" t="s">
        <v>221</v>
      </c>
      <c r="F66" s="246" t="s">
        <v>222</v>
      </c>
      <c r="G66" s="246" t="s">
        <v>36</v>
      </c>
      <c r="H66" s="246" t="s">
        <v>157</v>
      </c>
      <c r="I66" s="246" t="s">
        <v>155</v>
      </c>
      <c r="J66" s="246" t="s">
        <v>38</v>
      </c>
      <c r="K66" s="246" t="s">
        <v>156</v>
      </c>
      <c r="L66" s="98">
        <v>2</v>
      </c>
      <c r="N66" s="130">
        <v>1</v>
      </c>
      <c r="O66" s="115">
        <v>0.8</v>
      </c>
      <c r="P66" s="98">
        <v>0.75</v>
      </c>
      <c r="Q66" s="132">
        <f t="shared" ref="Q66:Q88" si="3">IF(OR(O66="",P66=""),"",AVERAGE(O66,P66))</f>
        <v>0.77500000000000002</v>
      </c>
      <c r="R66" s="98">
        <v>15.7</v>
      </c>
      <c r="S66" s="98">
        <v>162</v>
      </c>
      <c r="T66" s="132">
        <f t="shared" ref="T66:T88" si="4">IF(H66="","",IF(OR(H66="GREEN",H66="GK"),IF(S66&gt;=$AX$2,VLOOKUP(S66,$AX$2:$AY$12,2,1),""),IF(S66&gt;=$AZ$2,VLOOKUP(S66,$AZ$2:$BA$12,2,1),"")))</f>
        <v>18</v>
      </c>
      <c r="U66" s="246">
        <v>128</v>
      </c>
      <c r="V66" s="132">
        <f t="shared" ref="V66:V88" si="5">IF(OR(N66="",U66="",T66=""),"",U66/N66*T66)</f>
        <v>2304</v>
      </c>
      <c r="W66" s="246">
        <v>13</v>
      </c>
      <c r="X66" s="246" t="s">
        <v>46</v>
      </c>
      <c r="Y66" s="246" t="s">
        <v>88</v>
      </c>
      <c r="Z66" s="246" t="s">
        <v>55</v>
      </c>
      <c r="AA66" s="246" t="s">
        <v>69</v>
      </c>
      <c r="AB66" s="246" t="s">
        <v>350</v>
      </c>
    </row>
    <row r="67" spans="1:28" x14ac:dyDescent="0.15">
      <c r="A67" s="246" t="s">
        <v>51</v>
      </c>
      <c r="B67" s="246" t="s">
        <v>348</v>
      </c>
      <c r="C67" s="246">
        <v>2018</v>
      </c>
      <c r="D67" s="106" t="s">
        <v>395</v>
      </c>
      <c r="E67" s="246" t="s">
        <v>221</v>
      </c>
      <c r="F67" s="246" t="s">
        <v>222</v>
      </c>
      <c r="G67" s="246" t="s">
        <v>36</v>
      </c>
      <c r="H67" s="246" t="s">
        <v>157</v>
      </c>
      <c r="I67" s="246" t="s">
        <v>155</v>
      </c>
      <c r="J67" s="246" t="s">
        <v>38</v>
      </c>
      <c r="K67" s="246" t="s">
        <v>156</v>
      </c>
      <c r="L67" s="98">
        <v>3</v>
      </c>
      <c r="N67" s="130">
        <v>1</v>
      </c>
      <c r="O67" s="98">
        <v>0.7</v>
      </c>
      <c r="P67" s="98">
        <v>0.8</v>
      </c>
      <c r="Q67" s="132">
        <f t="shared" si="3"/>
        <v>0.75</v>
      </c>
      <c r="R67" s="98">
        <v>15.5</v>
      </c>
      <c r="S67" s="98">
        <v>162</v>
      </c>
      <c r="T67" s="132">
        <f t="shared" si="4"/>
        <v>18</v>
      </c>
      <c r="U67" s="246">
        <v>128</v>
      </c>
      <c r="V67" s="132">
        <f t="shared" si="5"/>
        <v>2304</v>
      </c>
      <c r="W67" s="246">
        <v>13</v>
      </c>
      <c r="X67" s="246" t="s">
        <v>46</v>
      </c>
      <c r="Y67" s="246" t="s">
        <v>88</v>
      </c>
      <c r="Z67" s="246" t="s">
        <v>55</v>
      </c>
      <c r="AA67" s="246" t="s">
        <v>69</v>
      </c>
      <c r="AB67" s="246" t="s">
        <v>350</v>
      </c>
    </row>
    <row r="68" spans="1:28" x14ac:dyDescent="0.15">
      <c r="A68" s="246" t="s">
        <v>51</v>
      </c>
      <c r="B68" s="246" t="s">
        <v>348</v>
      </c>
      <c r="C68" s="246">
        <v>2018</v>
      </c>
      <c r="D68" s="106" t="s">
        <v>395</v>
      </c>
      <c r="E68" s="246" t="s">
        <v>221</v>
      </c>
      <c r="F68" s="246" t="s">
        <v>222</v>
      </c>
      <c r="G68" s="246" t="s">
        <v>36</v>
      </c>
      <c r="H68" s="246" t="s">
        <v>157</v>
      </c>
      <c r="I68" s="246" t="s">
        <v>158</v>
      </c>
      <c r="J68" s="246" t="s">
        <v>38</v>
      </c>
      <c r="K68" s="246" t="s">
        <v>156</v>
      </c>
      <c r="L68" s="98">
        <v>1</v>
      </c>
      <c r="N68" s="130">
        <v>4</v>
      </c>
      <c r="O68" s="98">
        <v>0.65</v>
      </c>
      <c r="P68" s="98">
        <v>0.7</v>
      </c>
      <c r="Q68" s="132">
        <f t="shared" si="3"/>
        <v>0.67500000000000004</v>
      </c>
      <c r="R68" s="98">
        <v>15.2</v>
      </c>
      <c r="S68" s="98">
        <v>100</v>
      </c>
      <c r="T68" s="132">
        <f t="shared" si="4"/>
        <v>33</v>
      </c>
      <c r="U68" s="246">
        <v>398</v>
      </c>
      <c r="V68" s="132">
        <f t="shared" si="5"/>
        <v>3283.5</v>
      </c>
      <c r="W68" s="246">
        <v>13</v>
      </c>
      <c r="X68" s="246" t="s">
        <v>46</v>
      </c>
      <c r="Y68" s="246" t="s">
        <v>88</v>
      </c>
      <c r="Z68" s="246" t="s">
        <v>55</v>
      </c>
      <c r="AA68" s="246" t="s">
        <v>69</v>
      </c>
      <c r="AB68" s="246" t="s">
        <v>350</v>
      </c>
    </row>
    <row r="69" spans="1:28" x14ac:dyDescent="0.15">
      <c r="A69" s="246" t="s">
        <v>51</v>
      </c>
      <c r="B69" s="246" t="s">
        <v>348</v>
      </c>
      <c r="C69" s="246">
        <v>2018</v>
      </c>
      <c r="D69" s="106" t="s">
        <v>395</v>
      </c>
      <c r="E69" s="246" t="s">
        <v>221</v>
      </c>
      <c r="F69" s="246" t="s">
        <v>222</v>
      </c>
      <c r="G69" s="246" t="s">
        <v>36</v>
      </c>
      <c r="H69" s="246" t="s">
        <v>157</v>
      </c>
      <c r="I69" s="246" t="s">
        <v>158</v>
      </c>
      <c r="J69" s="246" t="s">
        <v>38</v>
      </c>
      <c r="K69" s="246" t="s">
        <v>156</v>
      </c>
      <c r="L69" s="98">
        <v>2</v>
      </c>
      <c r="N69" s="130">
        <v>4</v>
      </c>
      <c r="O69" s="98">
        <v>0.75</v>
      </c>
      <c r="P69" s="98">
        <v>0.8</v>
      </c>
      <c r="Q69" s="132">
        <f t="shared" si="3"/>
        <v>0.77500000000000002</v>
      </c>
      <c r="R69" s="98">
        <v>14.1</v>
      </c>
      <c r="S69" s="98">
        <v>94</v>
      </c>
      <c r="T69" s="132">
        <f t="shared" si="4"/>
        <v>36</v>
      </c>
      <c r="U69" s="246">
        <v>398</v>
      </c>
      <c r="V69" s="132">
        <f t="shared" si="5"/>
        <v>3582</v>
      </c>
      <c r="W69" s="246">
        <v>13</v>
      </c>
      <c r="X69" s="246" t="s">
        <v>46</v>
      </c>
      <c r="Y69" s="246" t="s">
        <v>88</v>
      </c>
      <c r="Z69" s="246" t="s">
        <v>55</v>
      </c>
      <c r="AA69" s="246" t="s">
        <v>69</v>
      </c>
      <c r="AB69" s="246" t="s">
        <v>350</v>
      </c>
    </row>
    <row r="70" spans="1:28" x14ac:dyDescent="0.15">
      <c r="A70" s="246" t="s">
        <v>51</v>
      </c>
      <c r="B70" s="246" t="s">
        <v>348</v>
      </c>
      <c r="C70" s="246">
        <v>2018</v>
      </c>
      <c r="D70" s="106" t="s">
        <v>395</v>
      </c>
      <c r="E70" s="246" t="s">
        <v>221</v>
      </c>
      <c r="F70" s="246" t="s">
        <v>222</v>
      </c>
      <c r="G70" s="246" t="s">
        <v>36</v>
      </c>
      <c r="H70" s="246" t="s">
        <v>157</v>
      </c>
      <c r="I70" s="246" t="s">
        <v>158</v>
      </c>
      <c r="J70" s="246" t="s">
        <v>38</v>
      </c>
      <c r="K70" s="246" t="s">
        <v>156</v>
      </c>
      <c r="L70" s="98">
        <v>3</v>
      </c>
      <c r="N70" s="130">
        <v>4</v>
      </c>
      <c r="O70" s="98">
        <v>0.7</v>
      </c>
      <c r="P70" s="115">
        <v>0.7</v>
      </c>
      <c r="Q70" s="132">
        <f t="shared" si="3"/>
        <v>0.7</v>
      </c>
      <c r="R70" s="98">
        <v>14.7</v>
      </c>
      <c r="S70" s="98">
        <v>98</v>
      </c>
      <c r="T70" s="132">
        <f t="shared" si="4"/>
        <v>36</v>
      </c>
      <c r="U70" s="246">
        <v>398</v>
      </c>
      <c r="V70" s="132">
        <f t="shared" si="5"/>
        <v>3582</v>
      </c>
      <c r="W70" s="246">
        <v>13</v>
      </c>
      <c r="X70" s="246" t="s">
        <v>46</v>
      </c>
      <c r="Y70" s="246" t="s">
        <v>88</v>
      </c>
      <c r="Z70" s="246" t="s">
        <v>55</v>
      </c>
      <c r="AA70" s="246" t="s">
        <v>69</v>
      </c>
      <c r="AB70" s="246" t="s">
        <v>350</v>
      </c>
    </row>
    <row r="71" spans="1:28" x14ac:dyDescent="0.15">
      <c r="A71" s="246" t="s">
        <v>51</v>
      </c>
      <c r="B71" s="246" t="s">
        <v>348</v>
      </c>
      <c r="C71" s="246">
        <v>2018</v>
      </c>
      <c r="D71" s="106" t="s">
        <v>395</v>
      </c>
      <c r="E71" s="246" t="s">
        <v>221</v>
      </c>
      <c r="F71" s="246" t="s">
        <v>222</v>
      </c>
      <c r="G71" s="246" t="s">
        <v>36</v>
      </c>
      <c r="H71" s="246" t="s">
        <v>164</v>
      </c>
      <c r="I71" s="246" t="s">
        <v>155</v>
      </c>
      <c r="J71" s="246" t="s">
        <v>38</v>
      </c>
      <c r="K71" s="246" t="s">
        <v>156</v>
      </c>
      <c r="L71" s="98">
        <v>1</v>
      </c>
      <c r="N71" s="130">
        <v>1</v>
      </c>
      <c r="O71" s="98">
        <v>0.8</v>
      </c>
      <c r="P71" s="98">
        <v>0.7</v>
      </c>
      <c r="Q71" s="132">
        <f t="shared" si="3"/>
        <v>0.75</v>
      </c>
      <c r="R71" s="98">
        <v>15.6</v>
      </c>
      <c r="S71" s="98">
        <v>168</v>
      </c>
      <c r="T71" s="132">
        <f t="shared" si="4"/>
        <v>18</v>
      </c>
      <c r="U71" s="246">
        <v>128</v>
      </c>
      <c r="V71" s="132">
        <f t="shared" si="5"/>
        <v>2304</v>
      </c>
      <c r="W71" s="130">
        <v>13</v>
      </c>
      <c r="X71" s="246" t="s">
        <v>46</v>
      </c>
      <c r="Y71" s="246" t="s">
        <v>88</v>
      </c>
      <c r="Z71" s="246" t="s">
        <v>55</v>
      </c>
      <c r="AA71" s="246" t="s">
        <v>69</v>
      </c>
      <c r="AB71" s="246" t="s">
        <v>350</v>
      </c>
    </row>
    <row r="72" spans="1:28" x14ac:dyDescent="0.15">
      <c r="A72" s="246" t="s">
        <v>51</v>
      </c>
      <c r="B72" s="246" t="s">
        <v>348</v>
      </c>
      <c r="C72" s="246">
        <v>2018</v>
      </c>
      <c r="D72" s="106" t="s">
        <v>395</v>
      </c>
      <c r="E72" s="246" t="s">
        <v>221</v>
      </c>
      <c r="F72" s="246" t="s">
        <v>222</v>
      </c>
      <c r="G72" s="246" t="s">
        <v>36</v>
      </c>
      <c r="H72" s="246" t="s">
        <v>164</v>
      </c>
      <c r="I72" s="246" t="s">
        <v>155</v>
      </c>
      <c r="J72" s="246" t="s">
        <v>38</v>
      </c>
      <c r="K72" s="246" t="s">
        <v>156</v>
      </c>
      <c r="L72" s="98">
        <v>2</v>
      </c>
      <c r="N72" s="130">
        <v>1</v>
      </c>
      <c r="O72" s="98">
        <v>0.8</v>
      </c>
      <c r="P72" s="98">
        <v>0.75</v>
      </c>
      <c r="Q72" s="132">
        <f t="shared" si="3"/>
        <v>0.77500000000000002</v>
      </c>
      <c r="R72" s="98">
        <v>14.5</v>
      </c>
      <c r="S72" s="98">
        <v>156</v>
      </c>
      <c r="T72" s="132">
        <f t="shared" si="4"/>
        <v>18</v>
      </c>
      <c r="U72" s="246">
        <v>128</v>
      </c>
      <c r="V72" s="132">
        <f t="shared" si="5"/>
        <v>2304</v>
      </c>
      <c r="W72" s="130">
        <v>13</v>
      </c>
      <c r="X72" s="246" t="s">
        <v>46</v>
      </c>
      <c r="Y72" s="246" t="s">
        <v>88</v>
      </c>
      <c r="Z72" s="246" t="s">
        <v>55</v>
      </c>
      <c r="AA72" s="246" t="s">
        <v>69</v>
      </c>
      <c r="AB72" s="246" t="s">
        <v>350</v>
      </c>
    </row>
    <row r="73" spans="1:28" x14ac:dyDescent="0.15">
      <c r="A73" s="246" t="s">
        <v>51</v>
      </c>
      <c r="B73" s="246" t="s">
        <v>348</v>
      </c>
      <c r="C73" s="246">
        <v>2018</v>
      </c>
      <c r="D73" s="106" t="s">
        <v>395</v>
      </c>
      <c r="E73" s="246" t="s">
        <v>221</v>
      </c>
      <c r="F73" s="246" t="s">
        <v>222</v>
      </c>
      <c r="G73" s="246" t="s">
        <v>36</v>
      </c>
      <c r="H73" s="246" t="s">
        <v>164</v>
      </c>
      <c r="I73" s="246" t="s">
        <v>155</v>
      </c>
      <c r="J73" s="246" t="s">
        <v>38</v>
      </c>
      <c r="K73" s="246" t="s">
        <v>156</v>
      </c>
      <c r="L73" s="98">
        <v>3</v>
      </c>
      <c r="N73" s="130">
        <v>1</v>
      </c>
      <c r="O73" s="98">
        <v>0.7</v>
      </c>
      <c r="P73" s="98">
        <v>0.75</v>
      </c>
      <c r="Q73" s="132">
        <f t="shared" si="3"/>
        <v>0.72499999999999998</v>
      </c>
      <c r="R73" s="98">
        <v>15.3</v>
      </c>
      <c r="S73" s="98">
        <v>166</v>
      </c>
      <c r="T73" s="132">
        <f t="shared" si="4"/>
        <v>18</v>
      </c>
      <c r="U73" s="246">
        <v>128</v>
      </c>
      <c r="V73" s="132">
        <f t="shared" si="5"/>
        <v>2304</v>
      </c>
      <c r="W73" s="130">
        <v>13</v>
      </c>
      <c r="X73" s="246" t="s">
        <v>46</v>
      </c>
      <c r="Y73" s="246" t="s">
        <v>88</v>
      </c>
      <c r="Z73" s="246" t="s">
        <v>55</v>
      </c>
      <c r="AA73" s="246" t="s">
        <v>69</v>
      </c>
      <c r="AB73" s="246" t="s">
        <v>350</v>
      </c>
    </row>
    <row r="74" spans="1:28" x14ac:dyDescent="0.15">
      <c r="A74" s="246" t="s">
        <v>51</v>
      </c>
      <c r="B74" s="246" t="s">
        <v>348</v>
      </c>
      <c r="C74" s="246">
        <v>2018</v>
      </c>
      <c r="D74" s="106" t="s">
        <v>395</v>
      </c>
      <c r="E74" s="246" t="s">
        <v>224</v>
      </c>
      <c r="F74" s="246" t="s">
        <v>201</v>
      </c>
      <c r="G74" s="246" t="s">
        <v>42</v>
      </c>
      <c r="H74" s="246" t="s">
        <v>164</v>
      </c>
      <c r="I74" s="246" t="s">
        <v>155</v>
      </c>
      <c r="J74" s="246" t="s">
        <v>38</v>
      </c>
      <c r="K74" s="246" t="s">
        <v>156</v>
      </c>
      <c r="L74" s="98">
        <v>1</v>
      </c>
      <c r="N74" s="130">
        <v>1</v>
      </c>
      <c r="O74" s="98">
        <v>0.8</v>
      </c>
      <c r="P74" s="98">
        <v>0.7</v>
      </c>
      <c r="Q74" s="132">
        <f t="shared" si="3"/>
        <v>0.75</v>
      </c>
      <c r="R74" s="98">
        <v>15.4</v>
      </c>
      <c r="S74" s="98">
        <v>144</v>
      </c>
      <c r="T74" s="132">
        <f t="shared" si="4"/>
        <v>22</v>
      </c>
      <c r="U74" s="246">
        <v>128</v>
      </c>
      <c r="V74" s="132">
        <f t="shared" si="5"/>
        <v>2816</v>
      </c>
      <c r="W74" s="130">
        <v>5</v>
      </c>
      <c r="X74" s="246" t="s">
        <v>46</v>
      </c>
      <c r="Y74" s="246" t="s">
        <v>88</v>
      </c>
      <c r="Z74" s="246" t="s">
        <v>97</v>
      </c>
      <c r="AA74" s="130" t="s">
        <v>55</v>
      </c>
      <c r="AB74" s="246" t="s">
        <v>350</v>
      </c>
    </row>
    <row r="75" spans="1:28" x14ac:dyDescent="0.15">
      <c r="A75" s="246" t="s">
        <v>51</v>
      </c>
      <c r="B75" s="246" t="s">
        <v>348</v>
      </c>
      <c r="C75" s="246">
        <v>2018</v>
      </c>
      <c r="D75" s="106" t="s">
        <v>395</v>
      </c>
      <c r="E75" s="246" t="s">
        <v>224</v>
      </c>
      <c r="F75" s="246" t="s">
        <v>201</v>
      </c>
      <c r="G75" s="246" t="s">
        <v>42</v>
      </c>
      <c r="H75" s="246" t="s">
        <v>164</v>
      </c>
      <c r="I75" s="246" t="s">
        <v>155</v>
      </c>
      <c r="J75" s="246" t="s">
        <v>38</v>
      </c>
      <c r="K75" s="246" t="s">
        <v>156</v>
      </c>
      <c r="L75" s="98">
        <v>2</v>
      </c>
      <c r="N75" s="130">
        <v>1</v>
      </c>
      <c r="O75" s="98">
        <v>0.75</v>
      </c>
      <c r="P75" s="98">
        <v>0.85</v>
      </c>
      <c r="Q75" s="132">
        <f t="shared" si="3"/>
        <v>0.8</v>
      </c>
      <c r="R75" s="98">
        <v>14.9</v>
      </c>
      <c r="S75" s="98">
        <v>140</v>
      </c>
      <c r="T75" s="132">
        <f t="shared" si="4"/>
        <v>22</v>
      </c>
      <c r="U75" s="246">
        <v>128</v>
      </c>
      <c r="V75" s="132">
        <f t="shared" si="5"/>
        <v>2816</v>
      </c>
      <c r="W75" s="130">
        <v>5</v>
      </c>
      <c r="X75" s="246" t="s">
        <v>46</v>
      </c>
      <c r="Y75" s="246" t="s">
        <v>88</v>
      </c>
      <c r="Z75" s="246" t="s">
        <v>97</v>
      </c>
      <c r="AA75" s="130" t="s">
        <v>55</v>
      </c>
      <c r="AB75" s="246" t="s">
        <v>350</v>
      </c>
    </row>
    <row r="76" spans="1:28" x14ac:dyDescent="0.15">
      <c r="A76" s="246" t="s">
        <v>51</v>
      </c>
      <c r="B76" s="246" t="s">
        <v>348</v>
      </c>
      <c r="C76" s="246">
        <v>2018</v>
      </c>
      <c r="D76" s="106" t="s">
        <v>395</v>
      </c>
      <c r="E76" s="246" t="s">
        <v>224</v>
      </c>
      <c r="F76" s="246" t="s">
        <v>201</v>
      </c>
      <c r="G76" s="246" t="s">
        <v>42</v>
      </c>
      <c r="H76" s="246" t="s">
        <v>164</v>
      </c>
      <c r="I76" s="246" t="s">
        <v>155</v>
      </c>
      <c r="J76" s="246" t="s">
        <v>38</v>
      </c>
      <c r="K76" s="246" t="s">
        <v>156</v>
      </c>
      <c r="L76" s="98">
        <v>3</v>
      </c>
      <c r="N76" s="130">
        <v>1</v>
      </c>
      <c r="O76" s="98">
        <v>0.8</v>
      </c>
      <c r="P76" s="98">
        <v>0.8</v>
      </c>
      <c r="Q76" s="132">
        <f t="shared" si="3"/>
        <v>0.8</v>
      </c>
      <c r="R76" s="115">
        <v>15.3</v>
      </c>
      <c r="S76" s="98">
        <v>142</v>
      </c>
      <c r="T76" s="132">
        <f t="shared" si="4"/>
        <v>22</v>
      </c>
      <c r="U76" s="246">
        <v>128</v>
      </c>
      <c r="V76" s="132">
        <f t="shared" si="5"/>
        <v>2816</v>
      </c>
      <c r="W76" s="130">
        <v>5</v>
      </c>
      <c r="X76" s="246" t="s">
        <v>46</v>
      </c>
      <c r="Y76" s="246" t="s">
        <v>88</v>
      </c>
      <c r="Z76" s="246" t="s">
        <v>97</v>
      </c>
      <c r="AA76" s="130" t="s">
        <v>55</v>
      </c>
      <c r="AB76" s="246" t="s">
        <v>350</v>
      </c>
    </row>
    <row r="77" spans="1:28" x14ac:dyDescent="0.15">
      <c r="A77" s="246"/>
      <c r="B77" s="246"/>
      <c r="C77" s="246"/>
      <c r="D77" s="106"/>
      <c r="E77" s="246"/>
      <c r="F77" s="246"/>
      <c r="G77" s="246"/>
      <c r="H77" s="246"/>
      <c r="I77" s="246"/>
      <c r="J77" s="246"/>
      <c r="K77" s="246"/>
      <c r="N77" s="130"/>
      <c r="Q77" s="132" t="str">
        <f t="shared" si="3"/>
        <v/>
      </c>
      <c r="T77" s="132" t="str">
        <f t="shared" si="4"/>
        <v/>
      </c>
      <c r="V77" s="132" t="str">
        <f t="shared" si="5"/>
        <v/>
      </c>
      <c r="W77" s="130"/>
      <c r="X77" s="246"/>
      <c r="Y77" s="246"/>
      <c r="Z77" s="246"/>
      <c r="AA77" s="130"/>
      <c r="AB77" s="246"/>
    </row>
    <row r="78" spans="1:28" x14ac:dyDescent="0.15">
      <c r="A78" s="246"/>
      <c r="B78" s="246"/>
      <c r="C78" s="246"/>
      <c r="D78" s="106"/>
      <c r="E78" s="246"/>
      <c r="F78" s="246"/>
      <c r="G78" s="246"/>
      <c r="H78" s="246"/>
      <c r="I78" s="246"/>
      <c r="J78" s="246"/>
      <c r="K78" s="246"/>
      <c r="N78" s="130"/>
      <c r="Q78" s="132" t="str">
        <f t="shared" si="3"/>
        <v/>
      </c>
      <c r="T78" s="132" t="str">
        <f t="shared" si="4"/>
        <v/>
      </c>
      <c r="V78" s="132" t="str">
        <f t="shared" si="5"/>
        <v/>
      </c>
      <c r="W78" s="130"/>
      <c r="X78" s="246"/>
      <c r="Y78" s="246"/>
      <c r="Z78" s="246"/>
      <c r="AA78" s="130"/>
      <c r="AB78" s="246"/>
    </row>
    <row r="79" spans="1:28" x14ac:dyDescent="0.15">
      <c r="A79" s="246"/>
      <c r="B79" s="246"/>
      <c r="C79" s="246"/>
      <c r="D79" s="106"/>
      <c r="E79" s="246"/>
      <c r="F79" s="246"/>
      <c r="G79" s="246"/>
      <c r="H79" s="246"/>
      <c r="I79" s="246"/>
      <c r="J79" s="246"/>
      <c r="K79" s="246"/>
      <c r="N79" s="130"/>
      <c r="Q79" s="132" t="str">
        <f t="shared" si="3"/>
        <v/>
      </c>
      <c r="T79" s="132" t="str">
        <f t="shared" si="4"/>
        <v/>
      </c>
      <c r="V79" s="132" t="str">
        <f t="shared" si="5"/>
        <v/>
      </c>
      <c r="W79" s="130"/>
      <c r="X79" s="246"/>
      <c r="Y79" s="246"/>
      <c r="Z79" s="246"/>
      <c r="AA79" s="130"/>
      <c r="AB79" s="246"/>
    </row>
    <row r="80" spans="1:28" x14ac:dyDescent="0.15">
      <c r="A80" s="246"/>
      <c r="B80" s="246"/>
      <c r="C80" s="246"/>
      <c r="D80" s="106"/>
      <c r="E80" s="246"/>
      <c r="F80" s="246"/>
      <c r="G80" s="246"/>
      <c r="H80" s="246"/>
      <c r="I80" s="246"/>
      <c r="J80" s="246"/>
      <c r="K80" s="246"/>
      <c r="N80" s="130"/>
      <c r="Q80" s="132" t="str">
        <f t="shared" si="3"/>
        <v/>
      </c>
      <c r="T80" s="132" t="str">
        <f t="shared" si="4"/>
        <v/>
      </c>
      <c r="V80" s="132" t="str">
        <f t="shared" si="5"/>
        <v/>
      </c>
      <c r="W80" s="130"/>
      <c r="X80" s="246"/>
      <c r="Y80" s="246"/>
      <c r="Z80" s="246"/>
      <c r="AA80" s="130"/>
      <c r="AB80" s="246"/>
    </row>
    <row r="81" spans="1:28" x14ac:dyDescent="0.15">
      <c r="A81" s="246"/>
      <c r="B81" s="246"/>
      <c r="C81" s="246"/>
      <c r="D81" s="106"/>
      <c r="E81" s="246"/>
      <c r="F81" s="246"/>
      <c r="G81" s="246"/>
      <c r="H81" s="246"/>
      <c r="I81" s="246"/>
      <c r="J81" s="246"/>
      <c r="K81" s="246"/>
      <c r="N81" s="130"/>
      <c r="Q81" s="132" t="str">
        <f t="shared" si="3"/>
        <v/>
      </c>
      <c r="T81" s="132" t="str">
        <f t="shared" si="4"/>
        <v/>
      </c>
      <c r="V81" s="132" t="str">
        <f t="shared" si="5"/>
        <v/>
      </c>
      <c r="W81" s="130"/>
      <c r="X81" s="246"/>
      <c r="Y81" s="246"/>
      <c r="Z81" s="246"/>
      <c r="AA81" s="130"/>
      <c r="AB81" s="246"/>
    </row>
    <row r="82" spans="1:28" x14ac:dyDescent="0.15">
      <c r="A82" s="246"/>
      <c r="B82" s="246"/>
      <c r="C82" s="246"/>
      <c r="D82" s="106"/>
      <c r="E82" s="246"/>
      <c r="F82" s="246"/>
      <c r="G82" s="246"/>
      <c r="H82" s="246"/>
      <c r="I82" s="246"/>
      <c r="J82" s="246"/>
      <c r="K82" s="246"/>
      <c r="N82" s="130"/>
      <c r="Q82" s="132" t="str">
        <f t="shared" si="3"/>
        <v/>
      </c>
      <c r="T82" s="132" t="str">
        <f t="shared" si="4"/>
        <v/>
      </c>
      <c r="V82" s="132" t="str">
        <f t="shared" si="5"/>
        <v/>
      </c>
      <c r="W82" s="130"/>
      <c r="X82" s="246"/>
      <c r="Y82" s="246"/>
      <c r="Z82" s="246"/>
      <c r="AA82" s="130"/>
      <c r="AB82" s="246"/>
    </row>
    <row r="83" spans="1:28" x14ac:dyDescent="0.15">
      <c r="A83" s="246"/>
      <c r="B83" s="246"/>
      <c r="C83" s="246"/>
      <c r="D83" s="106"/>
      <c r="E83" s="246"/>
      <c r="F83" s="246"/>
      <c r="G83" s="246"/>
      <c r="H83" s="246"/>
      <c r="I83" s="246"/>
      <c r="J83" s="246"/>
      <c r="K83" s="246"/>
      <c r="N83" s="130"/>
      <c r="Q83" s="132" t="str">
        <f t="shared" si="3"/>
        <v/>
      </c>
      <c r="T83" s="132" t="str">
        <f t="shared" si="4"/>
        <v/>
      </c>
      <c r="V83" s="132" t="str">
        <f t="shared" si="5"/>
        <v/>
      </c>
      <c r="W83" s="130"/>
      <c r="X83" s="246"/>
      <c r="Y83" s="246"/>
      <c r="Z83" s="246"/>
      <c r="AA83" s="130"/>
      <c r="AB83" s="246"/>
    </row>
    <row r="84" spans="1:28" x14ac:dyDescent="0.15">
      <c r="A84" s="246"/>
      <c r="B84" s="246"/>
      <c r="C84" s="246"/>
      <c r="D84" s="106"/>
      <c r="E84" s="246"/>
      <c r="F84" s="246"/>
      <c r="G84" s="246"/>
      <c r="H84" s="246"/>
      <c r="I84" s="246"/>
      <c r="J84" s="246"/>
      <c r="K84" s="246"/>
      <c r="N84" s="130"/>
      <c r="Q84" s="132" t="str">
        <f t="shared" si="3"/>
        <v/>
      </c>
      <c r="T84" s="132" t="str">
        <f t="shared" si="4"/>
        <v/>
      </c>
      <c r="V84" s="132" t="str">
        <f t="shared" si="5"/>
        <v/>
      </c>
      <c r="W84" s="130"/>
      <c r="X84" s="246"/>
      <c r="Y84" s="246"/>
      <c r="Z84" s="246"/>
      <c r="AA84" s="130"/>
      <c r="AB84" s="246"/>
    </row>
    <row r="85" spans="1:28" x14ac:dyDescent="0.15">
      <c r="A85" s="246"/>
      <c r="B85" s="246"/>
      <c r="C85" s="246"/>
      <c r="D85" s="106"/>
      <c r="E85" s="246"/>
      <c r="F85" s="246"/>
      <c r="G85" s="246"/>
      <c r="H85" s="246"/>
      <c r="I85" s="246"/>
      <c r="J85" s="246"/>
      <c r="K85" s="246"/>
      <c r="N85" s="130"/>
      <c r="Q85" s="132" t="str">
        <f t="shared" si="3"/>
        <v/>
      </c>
      <c r="T85" s="132" t="str">
        <f t="shared" si="4"/>
        <v/>
      </c>
      <c r="V85" s="132" t="str">
        <f t="shared" si="5"/>
        <v/>
      </c>
      <c r="W85" s="130"/>
      <c r="X85" s="246"/>
      <c r="Y85" s="246"/>
      <c r="Z85" s="246"/>
      <c r="AA85" s="130"/>
      <c r="AB85" s="246"/>
    </row>
    <row r="86" spans="1:28" x14ac:dyDescent="0.15">
      <c r="A86" s="246"/>
      <c r="B86" s="246"/>
      <c r="C86" s="130"/>
      <c r="D86" s="131"/>
      <c r="E86" s="246"/>
      <c r="F86" s="246"/>
      <c r="G86" s="130"/>
      <c r="H86" s="130"/>
      <c r="I86" s="130"/>
      <c r="J86" s="130"/>
      <c r="K86" s="246"/>
      <c r="N86" s="130"/>
      <c r="W86" s="130"/>
      <c r="X86" s="130"/>
      <c r="Y86" s="130"/>
      <c r="Z86" s="130"/>
      <c r="AA86" s="130"/>
      <c r="AB86" s="246"/>
    </row>
    <row r="87" spans="1:28" x14ac:dyDescent="0.15">
      <c r="A87" s="246"/>
      <c r="B87" s="246"/>
      <c r="C87" s="130"/>
      <c r="D87" s="131"/>
      <c r="E87" s="246"/>
      <c r="F87" s="246"/>
      <c r="G87" s="130"/>
      <c r="H87" s="130"/>
      <c r="I87" s="130"/>
      <c r="J87" s="130"/>
      <c r="K87" s="130"/>
      <c r="N87" s="130"/>
      <c r="W87" s="130"/>
      <c r="X87" s="130"/>
      <c r="Y87" s="130"/>
      <c r="Z87" s="130"/>
      <c r="AA87" s="130"/>
      <c r="AB87" s="246"/>
    </row>
    <row r="88" spans="1:28" x14ac:dyDescent="0.15">
      <c r="A88" s="246"/>
      <c r="B88" s="246"/>
      <c r="C88" s="130"/>
      <c r="D88" s="131"/>
      <c r="E88" s="246"/>
      <c r="F88" s="246"/>
      <c r="G88" s="130"/>
      <c r="H88" s="130"/>
      <c r="I88" s="130"/>
      <c r="J88" s="130"/>
      <c r="K88" s="130"/>
      <c r="N88" s="130"/>
      <c r="W88" s="130"/>
      <c r="X88" s="130"/>
      <c r="Y88" s="130"/>
      <c r="Z88" s="130"/>
      <c r="AA88" s="130"/>
      <c r="AB88" s="246"/>
    </row>
    <row r="89" spans="1:28" x14ac:dyDescent="0.15">
      <c r="E89" s="246"/>
      <c r="F89" s="246"/>
    </row>
    <row r="90" spans="1:28" x14ac:dyDescent="0.15">
      <c r="E90" s="246"/>
      <c r="F90" s="246"/>
    </row>
    <row r="91" spans="1:28" x14ac:dyDescent="0.15">
      <c r="E91" s="246"/>
      <c r="F91" s="246"/>
    </row>
    <row r="92" spans="1:28" x14ac:dyDescent="0.15">
      <c r="E92" s="246"/>
      <c r="F92" s="246"/>
    </row>
    <row r="93" spans="1:28" x14ac:dyDescent="0.15">
      <c r="E93" s="246"/>
      <c r="F93" s="246"/>
    </row>
    <row r="94" spans="1:28" x14ac:dyDescent="0.15">
      <c r="E94" s="246"/>
      <c r="F94" s="246"/>
    </row>
    <row r="95" spans="1:28" x14ac:dyDescent="0.15">
      <c r="E95" s="246"/>
      <c r="F95" s="246"/>
    </row>
    <row r="96" spans="1:28" x14ac:dyDescent="0.15">
      <c r="E96" s="246"/>
      <c r="F96" s="246"/>
    </row>
    <row r="97" spans="5:6" x14ac:dyDescent="0.15">
      <c r="E97" s="246"/>
      <c r="F97" s="246"/>
    </row>
    <row r="98" spans="5:6" x14ac:dyDescent="0.15">
      <c r="E98" s="246"/>
      <c r="F98" s="246"/>
    </row>
    <row r="99" spans="5:6" x14ac:dyDescent="0.15">
      <c r="E99" s="246"/>
      <c r="F99" s="246"/>
    </row>
    <row r="100" spans="5:6" x14ac:dyDescent="0.15">
      <c r="E100" s="246"/>
      <c r="F100" s="246"/>
    </row>
    <row r="101" spans="5:6" x14ac:dyDescent="0.15">
      <c r="E101" s="246"/>
      <c r="F101" s="246"/>
    </row>
    <row r="102" spans="5:6" x14ac:dyDescent="0.15">
      <c r="E102" s="246"/>
      <c r="F102" s="246"/>
    </row>
    <row r="103" spans="5:6" x14ac:dyDescent="0.15">
      <c r="E103" s="246"/>
      <c r="F103" s="246"/>
    </row>
    <row r="104" spans="5:6" x14ac:dyDescent="0.15">
      <c r="E104" s="246"/>
      <c r="F104" s="246"/>
    </row>
    <row r="105" spans="5:6" x14ac:dyDescent="0.15">
      <c r="E105" s="246"/>
      <c r="F105" s="246"/>
    </row>
    <row r="106" spans="5:6" x14ac:dyDescent="0.15">
      <c r="E106" s="246"/>
      <c r="F106" s="246"/>
    </row>
    <row r="107" spans="5:6" x14ac:dyDescent="0.15">
      <c r="E107" s="246"/>
      <c r="F107" s="246"/>
    </row>
    <row r="108" spans="5:6" x14ac:dyDescent="0.15">
      <c r="E108" s="246"/>
      <c r="F108" s="246"/>
    </row>
    <row r="109" spans="5:6" x14ac:dyDescent="0.15">
      <c r="E109" s="246"/>
      <c r="F109" s="246"/>
    </row>
    <row r="110" spans="5:6" x14ac:dyDescent="0.15">
      <c r="E110" s="246"/>
      <c r="F110" s="246"/>
    </row>
    <row r="111" spans="5:6" x14ac:dyDescent="0.15">
      <c r="E111" s="246"/>
      <c r="F111" s="246"/>
    </row>
    <row r="112" spans="5:6" x14ac:dyDescent="0.15">
      <c r="E112" s="246"/>
      <c r="F112" s="246"/>
    </row>
    <row r="113" spans="5:6" x14ac:dyDescent="0.15">
      <c r="E113" s="246"/>
      <c r="F113" s="246"/>
    </row>
    <row r="114" spans="5:6" x14ac:dyDescent="0.15">
      <c r="E114" s="246"/>
      <c r="F114" s="246"/>
    </row>
    <row r="115" spans="5:6" x14ac:dyDescent="0.15">
      <c r="E115" s="246"/>
      <c r="F115" s="246"/>
    </row>
    <row r="116" spans="5:6" x14ac:dyDescent="0.15">
      <c r="E116" s="246"/>
      <c r="F116" s="246"/>
    </row>
    <row r="117" spans="5:6" x14ac:dyDescent="0.15">
      <c r="E117" s="246"/>
      <c r="F117" s="246"/>
    </row>
    <row r="118" spans="5:6" x14ac:dyDescent="0.15">
      <c r="E118" s="246"/>
      <c r="F118" s="246"/>
    </row>
    <row r="119" spans="5:6" x14ac:dyDescent="0.15">
      <c r="E119" s="246"/>
      <c r="F119" s="246"/>
    </row>
    <row r="120" spans="5:6" x14ac:dyDescent="0.15">
      <c r="E120" s="246"/>
      <c r="F120" s="246"/>
    </row>
    <row r="121" spans="5:6" x14ac:dyDescent="0.15">
      <c r="E121" s="246"/>
      <c r="F121" s="246"/>
    </row>
    <row r="122" spans="5:6" x14ac:dyDescent="0.15">
      <c r="E122" s="246"/>
      <c r="F122" s="246"/>
    </row>
    <row r="123" spans="5:6" x14ac:dyDescent="0.15">
      <c r="E123" s="246"/>
      <c r="F123" s="246"/>
    </row>
    <row r="124" spans="5:6" x14ac:dyDescent="0.15">
      <c r="E124" s="246"/>
      <c r="F124" s="246"/>
    </row>
    <row r="125" spans="5:6" x14ac:dyDescent="0.15">
      <c r="E125" s="246"/>
      <c r="F125" s="246"/>
    </row>
    <row r="126" spans="5:6" x14ac:dyDescent="0.15">
      <c r="E126" s="246"/>
      <c r="F126" s="246"/>
    </row>
    <row r="127" spans="5:6" x14ac:dyDescent="0.15">
      <c r="E127" s="246"/>
      <c r="F127" s="246"/>
    </row>
    <row r="128" spans="5:6" x14ac:dyDescent="0.15">
      <c r="E128" s="246"/>
      <c r="F128" s="246"/>
    </row>
    <row r="129" spans="5:6" x14ac:dyDescent="0.15">
      <c r="E129" s="246"/>
      <c r="F129" s="246"/>
    </row>
    <row r="130" spans="5:6" x14ac:dyDescent="0.15">
      <c r="E130" s="246"/>
      <c r="F130" s="246"/>
    </row>
    <row r="131" spans="5:6" x14ac:dyDescent="0.15">
      <c r="E131" s="246"/>
      <c r="F131" s="246"/>
    </row>
    <row r="132" spans="5:6" x14ac:dyDescent="0.15">
      <c r="E132" s="246"/>
      <c r="F132" s="246"/>
    </row>
    <row r="133" spans="5:6" x14ac:dyDescent="0.15">
      <c r="E133" s="246"/>
      <c r="F133" s="246"/>
    </row>
    <row r="134" spans="5:6" x14ac:dyDescent="0.15">
      <c r="E134" s="246"/>
      <c r="F134" s="246"/>
    </row>
    <row r="135" spans="5:6" x14ac:dyDescent="0.15">
      <c r="E135" s="246"/>
      <c r="F135" s="246"/>
    </row>
    <row r="136" spans="5:6" x14ac:dyDescent="0.15">
      <c r="E136" s="246"/>
      <c r="F136" s="246"/>
    </row>
    <row r="137" spans="5:6" x14ac:dyDescent="0.15">
      <c r="E137" s="246"/>
      <c r="F137" s="246"/>
    </row>
    <row r="138" spans="5:6" x14ac:dyDescent="0.15">
      <c r="E138" s="246"/>
      <c r="F138" s="246"/>
    </row>
    <row r="139" spans="5:6" x14ac:dyDescent="0.15">
      <c r="E139" s="246"/>
      <c r="F139" s="246"/>
    </row>
    <row r="140" spans="5:6" x14ac:dyDescent="0.15">
      <c r="E140" s="246"/>
      <c r="F140" s="246"/>
    </row>
    <row r="141" spans="5:6" x14ac:dyDescent="0.15">
      <c r="E141" s="246"/>
      <c r="F141" s="246"/>
    </row>
    <row r="142" spans="5:6" x14ac:dyDescent="0.15">
      <c r="E142" s="246"/>
      <c r="F142" s="246"/>
    </row>
    <row r="143" spans="5:6" x14ac:dyDescent="0.15">
      <c r="E143" s="246"/>
      <c r="F143" s="246"/>
    </row>
    <row r="144" spans="5:6" x14ac:dyDescent="0.15">
      <c r="E144" s="246"/>
      <c r="F144" s="246"/>
    </row>
    <row r="145" spans="5:6" x14ac:dyDescent="0.15">
      <c r="E145" s="246"/>
      <c r="F145" s="246"/>
    </row>
    <row r="146" spans="5:6" x14ac:dyDescent="0.15">
      <c r="E146" s="246"/>
      <c r="F146" s="246"/>
    </row>
    <row r="147" spans="5:6" x14ac:dyDescent="0.15">
      <c r="E147" s="246"/>
      <c r="F147" s="246"/>
    </row>
    <row r="148" spans="5:6" x14ac:dyDescent="0.15">
      <c r="E148" s="246"/>
      <c r="F148" s="246"/>
    </row>
    <row r="149" spans="5:6" x14ac:dyDescent="0.15">
      <c r="E149" s="246"/>
      <c r="F149" s="246"/>
    </row>
    <row r="150" spans="5:6" x14ac:dyDescent="0.15">
      <c r="E150" s="246"/>
      <c r="F150" s="246"/>
    </row>
    <row r="151" spans="5:6" x14ac:dyDescent="0.15">
      <c r="E151" s="246"/>
      <c r="F151" s="246"/>
    </row>
    <row r="152" spans="5:6" x14ac:dyDescent="0.15">
      <c r="E152" s="246"/>
      <c r="F152" s="246"/>
    </row>
    <row r="153" spans="5:6" x14ac:dyDescent="0.15">
      <c r="E153" s="246"/>
      <c r="F153" s="246"/>
    </row>
    <row r="154" spans="5:6" x14ac:dyDescent="0.15">
      <c r="E154" s="246"/>
      <c r="F154" s="246"/>
    </row>
    <row r="155" spans="5:6" x14ac:dyDescent="0.15">
      <c r="E155" s="246"/>
      <c r="F155" s="246"/>
    </row>
    <row r="156" spans="5:6" x14ac:dyDescent="0.15">
      <c r="E156" s="246"/>
      <c r="F156" s="246"/>
    </row>
    <row r="157" spans="5:6" x14ac:dyDescent="0.15">
      <c r="E157" s="246"/>
      <c r="F157" s="246"/>
    </row>
    <row r="158" spans="5:6" x14ac:dyDescent="0.15">
      <c r="E158" s="246"/>
      <c r="F158" s="246"/>
    </row>
    <row r="159" spans="5:6" x14ac:dyDescent="0.15">
      <c r="E159" s="246"/>
      <c r="F159" s="246"/>
    </row>
    <row r="160" spans="5:6" x14ac:dyDescent="0.15">
      <c r="E160" s="246"/>
      <c r="F160" s="246"/>
    </row>
    <row r="161" spans="5:6" x14ac:dyDescent="0.15">
      <c r="E161" s="246"/>
      <c r="F161" s="246"/>
    </row>
    <row r="162" spans="5:6" x14ac:dyDescent="0.15">
      <c r="E162" s="246"/>
      <c r="F162" s="246"/>
    </row>
    <row r="163" spans="5:6" x14ac:dyDescent="0.15">
      <c r="E163" s="246"/>
      <c r="F163" s="246"/>
    </row>
    <row r="164" spans="5:6" x14ac:dyDescent="0.15">
      <c r="E164" s="246"/>
      <c r="F164" s="246"/>
    </row>
    <row r="165" spans="5:6" x14ac:dyDescent="0.15">
      <c r="E165" s="246"/>
      <c r="F165" s="246"/>
    </row>
    <row r="166" spans="5:6" x14ac:dyDescent="0.15">
      <c r="E166" s="246"/>
      <c r="F166" s="246"/>
    </row>
    <row r="167" spans="5:6" x14ac:dyDescent="0.15">
      <c r="E167" s="246"/>
      <c r="F167" s="246"/>
    </row>
    <row r="168" spans="5:6" x14ac:dyDescent="0.15">
      <c r="E168" s="246"/>
      <c r="F168" s="246"/>
    </row>
    <row r="169" spans="5:6" x14ac:dyDescent="0.15">
      <c r="E169" s="246"/>
      <c r="F169" s="246"/>
    </row>
    <row r="170" spans="5:6" x14ac:dyDescent="0.15">
      <c r="E170" s="246"/>
      <c r="F170" s="246"/>
    </row>
    <row r="171" spans="5:6" x14ac:dyDescent="0.15">
      <c r="E171" s="246"/>
      <c r="F171" s="246"/>
    </row>
    <row r="172" spans="5:6" x14ac:dyDescent="0.15">
      <c r="E172" s="246"/>
      <c r="F172" s="246"/>
    </row>
    <row r="173" spans="5:6" x14ac:dyDescent="0.15">
      <c r="E173" s="246"/>
      <c r="F173" s="246"/>
    </row>
    <row r="174" spans="5:6" x14ac:dyDescent="0.15">
      <c r="E174" s="246"/>
      <c r="F174" s="246"/>
    </row>
    <row r="175" spans="5:6" x14ac:dyDescent="0.15">
      <c r="E175" s="246"/>
      <c r="F175" s="246"/>
    </row>
    <row r="176" spans="5:6" x14ac:dyDescent="0.15">
      <c r="E176" s="246"/>
      <c r="F176" s="246"/>
    </row>
    <row r="177" spans="5:6" x14ac:dyDescent="0.15">
      <c r="E177" s="246"/>
      <c r="F177" s="246"/>
    </row>
    <row r="178" spans="5:6" x14ac:dyDescent="0.15">
      <c r="E178" s="246"/>
      <c r="F178" s="246"/>
    </row>
    <row r="179" spans="5:6" x14ac:dyDescent="0.15">
      <c r="E179" s="246"/>
      <c r="F179" s="246"/>
    </row>
    <row r="180" spans="5:6" x14ac:dyDescent="0.15">
      <c r="E180" s="246"/>
      <c r="F180" s="246"/>
    </row>
    <row r="181" spans="5:6" x14ac:dyDescent="0.15">
      <c r="E181" s="246"/>
      <c r="F181" s="246"/>
    </row>
    <row r="182" spans="5:6" x14ac:dyDescent="0.15">
      <c r="E182" s="246"/>
      <c r="F182" s="246"/>
    </row>
    <row r="183" spans="5:6" x14ac:dyDescent="0.15">
      <c r="E183" s="246"/>
      <c r="F183" s="246"/>
    </row>
    <row r="184" spans="5:6" x14ac:dyDescent="0.15">
      <c r="E184" s="246"/>
      <c r="F184" s="246"/>
    </row>
    <row r="185" spans="5:6" x14ac:dyDescent="0.15">
      <c r="E185" s="246"/>
      <c r="F185" s="246"/>
    </row>
    <row r="186" spans="5:6" x14ac:dyDescent="0.15">
      <c r="E186" s="246"/>
      <c r="F186" s="246"/>
    </row>
    <row r="187" spans="5:6" x14ac:dyDescent="0.15">
      <c r="E187" s="246"/>
      <c r="F187" s="246"/>
    </row>
    <row r="188" spans="5:6" x14ac:dyDescent="0.15">
      <c r="E188" s="246"/>
      <c r="F188" s="246"/>
    </row>
    <row r="189" spans="5:6" x14ac:dyDescent="0.15">
      <c r="E189" s="246"/>
      <c r="F189" s="246"/>
    </row>
    <row r="190" spans="5:6" x14ac:dyDescent="0.15">
      <c r="E190" s="246"/>
      <c r="F190" s="246"/>
    </row>
    <row r="191" spans="5:6" x14ac:dyDescent="0.15">
      <c r="E191" s="246"/>
      <c r="F191" s="246"/>
    </row>
    <row r="192" spans="5:6" x14ac:dyDescent="0.15">
      <c r="E192" s="246"/>
      <c r="F192" s="246"/>
    </row>
    <row r="193" spans="5:6" x14ac:dyDescent="0.15">
      <c r="E193" s="246"/>
      <c r="F193" s="246"/>
    </row>
    <row r="194" spans="5:6" x14ac:dyDescent="0.15">
      <c r="E194" s="246"/>
      <c r="F194" s="246"/>
    </row>
    <row r="195" spans="5:6" x14ac:dyDescent="0.15">
      <c r="E195" s="246"/>
      <c r="F195" s="246"/>
    </row>
    <row r="196" spans="5:6" x14ac:dyDescent="0.15">
      <c r="E196" s="246"/>
      <c r="F196" s="246"/>
    </row>
    <row r="197" spans="5:6" x14ac:dyDescent="0.15">
      <c r="E197" s="246"/>
      <c r="F197" s="246"/>
    </row>
    <row r="198" spans="5:6" x14ac:dyDescent="0.15">
      <c r="E198" s="246"/>
      <c r="F198" s="246"/>
    </row>
    <row r="199" spans="5:6" x14ac:dyDescent="0.15">
      <c r="E199" s="246"/>
      <c r="F199" s="246"/>
    </row>
    <row r="200" spans="5:6" x14ac:dyDescent="0.15">
      <c r="E200" s="246"/>
      <c r="F200" s="246"/>
    </row>
    <row r="201" spans="5:6" x14ac:dyDescent="0.15">
      <c r="E201" s="246"/>
      <c r="F201" s="246"/>
    </row>
    <row r="202" spans="5:6" x14ac:dyDescent="0.15">
      <c r="E202" s="246"/>
      <c r="F202" s="246"/>
    </row>
    <row r="203" spans="5:6" x14ac:dyDescent="0.15">
      <c r="E203" s="246"/>
      <c r="F203" s="246"/>
    </row>
    <row r="204" spans="5:6" x14ac:dyDescent="0.15">
      <c r="E204" s="246"/>
      <c r="F204" s="246"/>
    </row>
    <row r="205" spans="5:6" x14ac:dyDescent="0.15">
      <c r="E205" s="246"/>
      <c r="F205" s="246"/>
    </row>
    <row r="206" spans="5:6" x14ac:dyDescent="0.15">
      <c r="E206" s="246"/>
      <c r="F206" s="246"/>
    </row>
    <row r="207" spans="5:6" x14ac:dyDescent="0.15">
      <c r="E207" s="246"/>
      <c r="F207" s="246"/>
    </row>
    <row r="208" spans="5:6" x14ac:dyDescent="0.15">
      <c r="E208" s="246"/>
      <c r="F208" s="246"/>
    </row>
    <row r="209" spans="5:6" x14ac:dyDescent="0.15">
      <c r="E209" s="246"/>
      <c r="F209" s="246"/>
    </row>
    <row r="210" spans="5:6" x14ac:dyDescent="0.15">
      <c r="E210" s="246"/>
      <c r="F210" s="246"/>
    </row>
    <row r="211" spans="5:6" x14ac:dyDescent="0.15">
      <c r="E211" s="246"/>
      <c r="F211" s="246"/>
    </row>
    <row r="212" spans="5:6" x14ac:dyDescent="0.15">
      <c r="E212" s="246"/>
      <c r="F212" s="246"/>
    </row>
    <row r="213" spans="5:6" x14ac:dyDescent="0.15">
      <c r="E213" s="246"/>
      <c r="F213" s="246"/>
    </row>
    <row r="214" spans="5:6" x14ac:dyDescent="0.15">
      <c r="E214" s="246"/>
      <c r="F214" s="246"/>
    </row>
    <row r="215" spans="5:6" x14ac:dyDescent="0.15">
      <c r="E215" s="246"/>
      <c r="F215" s="246"/>
    </row>
    <row r="216" spans="5:6" x14ac:dyDescent="0.15">
      <c r="E216" s="246"/>
      <c r="F216" s="246"/>
    </row>
    <row r="217" spans="5:6" x14ac:dyDescent="0.15">
      <c r="E217" s="246"/>
      <c r="F217" s="246"/>
    </row>
    <row r="218" spans="5:6" x14ac:dyDescent="0.15">
      <c r="E218" s="246"/>
      <c r="F218" s="246"/>
    </row>
    <row r="219" spans="5:6" x14ac:dyDescent="0.15">
      <c r="E219" s="246"/>
      <c r="F219" s="246"/>
    </row>
    <row r="220" spans="5:6" x14ac:dyDescent="0.15">
      <c r="E220" s="246"/>
      <c r="F220" s="246"/>
    </row>
    <row r="221" spans="5:6" x14ac:dyDescent="0.15">
      <c r="E221" s="246"/>
      <c r="F221" s="246"/>
    </row>
    <row r="222" spans="5:6" x14ac:dyDescent="0.15">
      <c r="E222" s="246"/>
      <c r="F222" s="246"/>
    </row>
    <row r="223" spans="5:6" x14ac:dyDescent="0.15">
      <c r="E223" s="246"/>
      <c r="F223" s="246"/>
    </row>
    <row r="224" spans="5:6" x14ac:dyDescent="0.15">
      <c r="E224" s="246"/>
      <c r="F224" s="246"/>
    </row>
    <row r="225" spans="5:6" x14ac:dyDescent="0.15">
      <c r="E225" s="246"/>
      <c r="F225" s="246"/>
    </row>
    <row r="226" spans="5:6" x14ac:dyDescent="0.15">
      <c r="E226" s="246"/>
      <c r="F226" s="246"/>
    </row>
    <row r="227" spans="5:6" x14ac:dyDescent="0.15">
      <c r="E227" s="246"/>
      <c r="F227" s="246"/>
    </row>
    <row r="228" spans="5:6" x14ac:dyDescent="0.15">
      <c r="E228" s="246"/>
      <c r="F228" s="246"/>
    </row>
    <row r="229" spans="5:6" x14ac:dyDescent="0.15">
      <c r="E229" s="246"/>
      <c r="F229" s="246"/>
    </row>
    <row r="230" spans="5:6" x14ac:dyDescent="0.15">
      <c r="E230" s="246"/>
      <c r="F230" s="246"/>
    </row>
    <row r="231" spans="5:6" x14ac:dyDescent="0.15">
      <c r="E231" s="246"/>
      <c r="F231" s="246"/>
    </row>
    <row r="232" spans="5:6" x14ac:dyDescent="0.15">
      <c r="E232" s="246"/>
      <c r="F232" s="246"/>
    </row>
    <row r="233" spans="5:6" x14ac:dyDescent="0.15">
      <c r="E233" s="246"/>
      <c r="F233" s="246"/>
    </row>
    <row r="234" spans="5:6" x14ac:dyDescent="0.15">
      <c r="E234" s="246"/>
      <c r="F234" s="246"/>
    </row>
    <row r="235" spans="5:6" x14ac:dyDescent="0.15">
      <c r="E235" s="246"/>
      <c r="F235" s="246"/>
    </row>
    <row r="236" spans="5:6" x14ac:dyDescent="0.15">
      <c r="E236" s="246"/>
      <c r="F236" s="246"/>
    </row>
    <row r="237" spans="5:6" x14ac:dyDescent="0.15">
      <c r="E237" s="246"/>
      <c r="F237" s="246"/>
    </row>
    <row r="238" spans="5:6" x14ac:dyDescent="0.15">
      <c r="E238" s="246"/>
      <c r="F238" s="246"/>
    </row>
    <row r="239" spans="5:6" x14ac:dyDescent="0.15">
      <c r="E239" s="246"/>
      <c r="F239" s="246"/>
    </row>
    <row r="240" spans="5:6" x14ac:dyDescent="0.15">
      <c r="E240" s="246"/>
      <c r="F240" s="246"/>
    </row>
    <row r="241" spans="5:6" x14ac:dyDescent="0.15">
      <c r="E241" s="246"/>
      <c r="F241" s="246"/>
    </row>
    <row r="242" spans="5:6" x14ac:dyDescent="0.15">
      <c r="E242" s="246"/>
      <c r="F242" s="246"/>
    </row>
    <row r="243" spans="5:6" x14ac:dyDescent="0.15">
      <c r="E243" s="246"/>
      <c r="F243" s="246"/>
    </row>
    <row r="244" spans="5:6" x14ac:dyDescent="0.15">
      <c r="E244" s="246"/>
      <c r="F244" s="246"/>
    </row>
    <row r="245" spans="5:6" x14ac:dyDescent="0.15">
      <c r="E245" s="246"/>
      <c r="F245" s="246"/>
    </row>
    <row r="246" spans="5:6" x14ac:dyDescent="0.15">
      <c r="E246" s="246"/>
      <c r="F246" s="246"/>
    </row>
    <row r="247" spans="5:6" x14ac:dyDescent="0.15">
      <c r="E247" s="246"/>
      <c r="F247" s="246"/>
    </row>
    <row r="248" spans="5:6" x14ac:dyDescent="0.15">
      <c r="E248" s="246"/>
      <c r="F248" s="246"/>
    </row>
    <row r="249" spans="5:6" x14ac:dyDescent="0.15">
      <c r="E249" s="246"/>
      <c r="F249" s="246"/>
    </row>
    <row r="250" spans="5:6" x14ac:dyDescent="0.15">
      <c r="E250" s="246"/>
      <c r="F250" s="246"/>
    </row>
    <row r="251" spans="5:6" x14ac:dyDescent="0.15">
      <c r="E251" s="246"/>
      <c r="F251" s="246"/>
    </row>
    <row r="252" spans="5:6" x14ac:dyDescent="0.15">
      <c r="E252" s="246"/>
      <c r="F252" s="246"/>
    </row>
    <row r="253" spans="5:6" x14ac:dyDescent="0.15">
      <c r="E253" s="246"/>
      <c r="F253" s="246"/>
    </row>
    <row r="254" spans="5:6" x14ac:dyDescent="0.15">
      <c r="E254" s="246"/>
      <c r="F254" s="246"/>
    </row>
    <row r="255" spans="5:6" x14ac:dyDescent="0.15">
      <c r="E255" s="246"/>
      <c r="F255" s="246"/>
    </row>
    <row r="256" spans="5:6" x14ac:dyDescent="0.15">
      <c r="E256" s="246"/>
      <c r="F256" s="246"/>
    </row>
    <row r="257" spans="5:6" x14ac:dyDescent="0.15">
      <c r="E257" s="246"/>
      <c r="F257" s="246"/>
    </row>
    <row r="258" spans="5:6" x14ac:dyDescent="0.15">
      <c r="E258" s="246"/>
      <c r="F258" s="246"/>
    </row>
    <row r="259" spans="5:6" x14ac:dyDescent="0.15">
      <c r="E259" s="246"/>
      <c r="F259" s="246"/>
    </row>
    <row r="260" spans="5:6" x14ac:dyDescent="0.15">
      <c r="E260" s="246"/>
      <c r="F260" s="246"/>
    </row>
    <row r="261" spans="5:6" x14ac:dyDescent="0.15">
      <c r="E261" s="246"/>
      <c r="F261" s="246"/>
    </row>
    <row r="262" spans="5:6" x14ac:dyDescent="0.15">
      <c r="E262" s="246"/>
      <c r="F262" s="246"/>
    </row>
    <row r="263" spans="5:6" x14ac:dyDescent="0.15">
      <c r="E263" s="246"/>
      <c r="F263" s="246"/>
    </row>
    <row r="264" spans="5:6" x14ac:dyDescent="0.15">
      <c r="E264" s="246"/>
      <c r="F264" s="246"/>
    </row>
    <row r="265" spans="5:6" x14ac:dyDescent="0.15">
      <c r="E265" s="246"/>
      <c r="F265" s="246"/>
    </row>
    <row r="266" spans="5:6" x14ac:dyDescent="0.15">
      <c r="E266" s="246"/>
      <c r="F266" s="246"/>
    </row>
    <row r="267" spans="5:6" x14ac:dyDescent="0.15">
      <c r="E267" s="246"/>
      <c r="F267" s="246"/>
    </row>
    <row r="268" spans="5:6" x14ac:dyDescent="0.15">
      <c r="E268" s="246"/>
      <c r="F268" s="246"/>
    </row>
    <row r="269" spans="5:6" x14ac:dyDescent="0.15">
      <c r="E269" s="246"/>
      <c r="F269" s="246"/>
    </row>
    <row r="270" spans="5:6" x14ac:dyDescent="0.15">
      <c r="E270" s="246"/>
      <c r="F270" s="246"/>
    </row>
    <row r="271" spans="5:6" x14ac:dyDescent="0.15">
      <c r="E271" s="246"/>
      <c r="F271" s="246"/>
    </row>
    <row r="272" spans="5:6" x14ac:dyDescent="0.15">
      <c r="E272" s="246"/>
      <c r="F272" s="246"/>
    </row>
    <row r="273" spans="5:6" x14ac:dyDescent="0.15">
      <c r="E273" s="246"/>
      <c r="F273" s="246"/>
    </row>
    <row r="274" spans="5:6" x14ac:dyDescent="0.15">
      <c r="E274" s="246"/>
      <c r="F274" s="246"/>
    </row>
    <row r="275" spans="5:6" x14ac:dyDescent="0.15">
      <c r="E275" s="246"/>
      <c r="F275" s="246"/>
    </row>
    <row r="276" spans="5:6" x14ac:dyDescent="0.15">
      <c r="E276" s="246"/>
      <c r="F276" s="246"/>
    </row>
    <row r="277" spans="5:6" x14ac:dyDescent="0.15">
      <c r="E277" s="246"/>
      <c r="F277" s="246"/>
    </row>
    <row r="278" spans="5:6" x14ac:dyDescent="0.15">
      <c r="E278" s="246"/>
      <c r="F278" s="246"/>
    </row>
    <row r="279" spans="5:6" x14ac:dyDescent="0.15">
      <c r="E279" s="246"/>
      <c r="F279" s="246"/>
    </row>
    <row r="280" spans="5:6" x14ac:dyDescent="0.15">
      <c r="E280" s="246"/>
      <c r="F280" s="246"/>
    </row>
    <row r="281" spans="5:6" x14ac:dyDescent="0.15">
      <c r="E281" s="246"/>
      <c r="F281" s="246"/>
    </row>
    <row r="282" spans="5:6" x14ac:dyDescent="0.15">
      <c r="E282" s="246"/>
      <c r="F282" s="246"/>
    </row>
    <row r="283" spans="5:6" x14ac:dyDescent="0.15">
      <c r="E283" s="246"/>
      <c r="F283" s="246"/>
    </row>
    <row r="284" spans="5:6" x14ac:dyDescent="0.15">
      <c r="E284" s="246"/>
      <c r="F284" s="246"/>
    </row>
    <row r="285" spans="5:6" x14ac:dyDescent="0.15">
      <c r="E285" s="246"/>
      <c r="F285" s="246"/>
    </row>
    <row r="286" spans="5:6" x14ac:dyDescent="0.15">
      <c r="E286" s="246"/>
      <c r="F286" s="246"/>
    </row>
    <row r="287" spans="5:6" x14ac:dyDescent="0.15">
      <c r="E287" s="246"/>
      <c r="F287" s="246"/>
    </row>
    <row r="288" spans="5:6" x14ac:dyDescent="0.15">
      <c r="E288" s="246"/>
      <c r="F288" s="246"/>
    </row>
    <row r="289" spans="5:6" x14ac:dyDescent="0.15">
      <c r="E289" s="246"/>
      <c r="F289" s="246"/>
    </row>
    <row r="290" spans="5:6" x14ac:dyDescent="0.15">
      <c r="E290" s="246"/>
      <c r="F290" s="246"/>
    </row>
    <row r="291" spans="5:6" x14ac:dyDescent="0.15">
      <c r="E291" s="246"/>
      <c r="F291" s="246"/>
    </row>
    <row r="292" spans="5:6" x14ac:dyDescent="0.15">
      <c r="E292" s="246"/>
      <c r="F292" s="246"/>
    </row>
    <row r="293" spans="5:6" x14ac:dyDescent="0.15">
      <c r="E293" s="246"/>
      <c r="F293" s="246"/>
    </row>
    <row r="294" spans="5:6" x14ac:dyDescent="0.15">
      <c r="E294" s="246"/>
      <c r="F294" s="246"/>
    </row>
    <row r="295" spans="5:6" x14ac:dyDescent="0.15">
      <c r="E295" s="246"/>
      <c r="F295" s="246"/>
    </row>
    <row r="296" spans="5:6" x14ac:dyDescent="0.15">
      <c r="E296" s="246"/>
      <c r="F296" s="246"/>
    </row>
    <row r="297" spans="5:6" x14ac:dyDescent="0.15">
      <c r="E297" s="246"/>
      <c r="F297" s="246"/>
    </row>
    <row r="298" spans="5:6" x14ac:dyDescent="0.15">
      <c r="E298" s="246"/>
      <c r="F298" s="246"/>
    </row>
    <row r="299" spans="5:6" x14ac:dyDescent="0.15">
      <c r="E299" s="246"/>
      <c r="F299" s="246"/>
    </row>
    <row r="300" spans="5:6" x14ac:dyDescent="0.15">
      <c r="E300" s="246"/>
      <c r="F300" s="246"/>
    </row>
    <row r="301" spans="5:6" x14ac:dyDescent="0.15">
      <c r="E301" s="246"/>
      <c r="F301" s="246"/>
    </row>
    <row r="302" spans="5:6" x14ac:dyDescent="0.15">
      <c r="E302" s="246"/>
      <c r="F302" s="246"/>
    </row>
    <row r="303" spans="5:6" x14ac:dyDescent="0.15">
      <c r="E303" s="246"/>
      <c r="F303" s="246"/>
    </row>
    <row r="304" spans="5:6" x14ac:dyDescent="0.15">
      <c r="E304" s="246"/>
      <c r="F304" s="246"/>
    </row>
    <row r="305" spans="5:6" x14ac:dyDescent="0.15">
      <c r="E305" s="246"/>
      <c r="F305" s="246"/>
    </row>
    <row r="306" spans="5:6" x14ac:dyDescent="0.15">
      <c r="E306" s="246"/>
      <c r="F306" s="246"/>
    </row>
    <row r="307" spans="5:6" x14ac:dyDescent="0.15">
      <c r="E307" s="246"/>
      <c r="F307" s="246"/>
    </row>
    <row r="308" spans="5:6" x14ac:dyDescent="0.15">
      <c r="E308" s="246"/>
      <c r="F308" s="246"/>
    </row>
    <row r="309" spans="5:6" x14ac:dyDescent="0.15">
      <c r="E309" s="246"/>
      <c r="F309" s="246"/>
    </row>
    <row r="310" spans="5:6" x14ac:dyDescent="0.15">
      <c r="E310" s="246"/>
      <c r="F310" s="246"/>
    </row>
    <row r="311" spans="5:6" x14ac:dyDescent="0.15">
      <c r="E311" s="246"/>
      <c r="F311" s="246"/>
    </row>
    <row r="312" spans="5:6" x14ac:dyDescent="0.15">
      <c r="E312" s="246"/>
      <c r="F312" s="246"/>
    </row>
    <row r="313" spans="5:6" x14ac:dyDescent="0.15">
      <c r="E313" s="246"/>
      <c r="F313" s="246"/>
    </row>
    <row r="314" spans="5:6" x14ac:dyDescent="0.15">
      <c r="E314" s="246"/>
      <c r="F314" s="246"/>
    </row>
    <row r="315" spans="5:6" x14ac:dyDescent="0.15">
      <c r="E315" s="246"/>
      <c r="F315" s="246"/>
    </row>
    <row r="316" spans="5:6" x14ac:dyDescent="0.15">
      <c r="E316" s="246"/>
      <c r="F316" s="246"/>
    </row>
    <row r="317" spans="5:6" x14ac:dyDescent="0.15">
      <c r="E317" s="246"/>
      <c r="F317" s="246"/>
    </row>
    <row r="318" spans="5:6" x14ac:dyDescent="0.15">
      <c r="E318" s="246"/>
      <c r="F318" s="246"/>
    </row>
    <row r="319" spans="5:6" x14ac:dyDescent="0.15">
      <c r="E319" s="246"/>
      <c r="F319" s="246"/>
    </row>
    <row r="320" spans="5:6" x14ac:dyDescent="0.15">
      <c r="E320" s="246"/>
      <c r="F320" s="246"/>
    </row>
    <row r="321" spans="5:6" x14ac:dyDescent="0.15">
      <c r="E321" s="246"/>
      <c r="F321" s="246"/>
    </row>
    <row r="322" spans="5:6" x14ac:dyDescent="0.15">
      <c r="E322" s="246"/>
      <c r="F322" s="246"/>
    </row>
    <row r="323" spans="5:6" x14ac:dyDescent="0.15">
      <c r="E323" s="246"/>
      <c r="F323" s="246"/>
    </row>
    <row r="324" spans="5:6" x14ac:dyDescent="0.15">
      <c r="E324" s="246"/>
      <c r="F324" s="246"/>
    </row>
    <row r="325" spans="5:6" x14ac:dyDescent="0.15">
      <c r="E325" s="246"/>
      <c r="F325" s="246"/>
    </row>
    <row r="326" spans="5:6" x14ac:dyDescent="0.15">
      <c r="E326" s="246"/>
      <c r="F326" s="246"/>
    </row>
    <row r="327" spans="5:6" x14ac:dyDescent="0.15">
      <c r="E327" s="246"/>
      <c r="F327" s="246"/>
    </row>
    <row r="328" spans="5:6" x14ac:dyDescent="0.15">
      <c r="E328" s="246"/>
      <c r="F328" s="246"/>
    </row>
    <row r="329" spans="5:6" x14ac:dyDescent="0.15">
      <c r="E329" s="246"/>
      <c r="F329" s="246"/>
    </row>
    <row r="330" spans="5:6" x14ac:dyDescent="0.15">
      <c r="E330" s="246"/>
      <c r="F330" s="246"/>
    </row>
    <row r="331" spans="5:6" x14ac:dyDescent="0.15">
      <c r="E331" s="246"/>
      <c r="F331" s="246"/>
    </row>
    <row r="332" spans="5:6" x14ac:dyDescent="0.15">
      <c r="E332" s="246"/>
      <c r="F332" s="246"/>
    </row>
    <row r="333" spans="5:6" x14ac:dyDescent="0.15">
      <c r="E333" s="246"/>
      <c r="F333" s="246"/>
    </row>
    <row r="334" spans="5:6" x14ac:dyDescent="0.15">
      <c r="E334" s="246"/>
      <c r="F334" s="246"/>
    </row>
    <row r="335" spans="5:6" x14ac:dyDescent="0.15">
      <c r="E335" s="246"/>
      <c r="F335" s="246"/>
    </row>
    <row r="336" spans="5:6" x14ac:dyDescent="0.15">
      <c r="E336" s="246"/>
      <c r="F336" s="246"/>
    </row>
    <row r="337" spans="5:6" x14ac:dyDescent="0.15">
      <c r="E337" s="246"/>
      <c r="F337" s="246"/>
    </row>
    <row r="338" spans="5:6" x14ac:dyDescent="0.15">
      <c r="E338" s="246"/>
      <c r="F338" s="246"/>
    </row>
    <row r="339" spans="5:6" x14ac:dyDescent="0.15">
      <c r="E339" s="246"/>
      <c r="F339" s="246"/>
    </row>
    <row r="340" spans="5:6" x14ac:dyDescent="0.15">
      <c r="E340" s="246"/>
      <c r="F340" s="246"/>
    </row>
    <row r="341" spans="5:6" x14ac:dyDescent="0.15">
      <c r="E341" s="246"/>
      <c r="F341" s="246"/>
    </row>
    <row r="342" spans="5:6" x14ac:dyDescent="0.15">
      <c r="E342" s="246"/>
      <c r="F342" s="246"/>
    </row>
    <row r="343" spans="5:6" x14ac:dyDescent="0.15">
      <c r="E343" s="246"/>
      <c r="F343" s="246"/>
    </row>
    <row r="344" spans="5:6" x14ac:dyDescent="0.15">
      <c r="E344" s="246"/>
      <c r="F344" s="246"/>
    </row>
    <row r="345" spans="5:6" x14ac:dyDescent="0.15">
      <c r="E345" s="246"/>
      <c r="F345" s="246"/>
    </row>
    <row r="346" spans="5:6" x14ac:dyDescent="0.15">
      <c r="E346" s="246"/>
      <c r="F346" s="246"/>
    </row>
    <row r="347" spans="5:6" x14ac:dyDescent="0.15">
      <c r="E347" s="246"/>
      <c r="F347" s="246"/>
    </row>
    <row r="348" spans="5:6" x14ac:dyDescent="0.15">
      <c r="E348" s="246"/>
      <c r="F348" s="246"/>
    </row>
    <row r="349" spans="5:6" x14ac:dyDescent="0.15">
      <c r="E349" s="246"/>
      <c r="F349" s="246"/>
    </row>
    <row r="350" spans="5:6" x14ac:dyDescent="0.15">
      <c r="E350" s="246"/>
      <c r="F350" s="246"/>
    </row>
    <row r="351" spans="5:6" x14ac:dyDescent="0.15">
      <c r="E351" s="246"/>
      <c r="F351" s="246"/>
    </row>
    <row r="352" spans="5:6" x14ac:dyDescent="0.15">
      <c r="E352" s="246"/>
      <c r="F352" s="246"/>
    </row>
    <row r="353" spans="5:6" x14ac:dyDescent="0.15">
      <c r="E353" s="246"/>
      <c r="F353" s="246"/>
    </row>
    <row r="354" spans="5:6" x14ac:dyDescent="0.15">
      <c r="E354" s="246"/>
      <c r="F354" s="246"/>
    </row>
    <row r="355" spans="5:6" x14ac:dyDescent="0.15">
      <c r="E355" s="246"/>
      <c r="F355" s="246"/>
    </row>
    <row r="356" spans="5:6" x14ac:dyDescent="0.15">
      <c r="E356" s="246"/>
      <c r="F356" s="246"/>
    </row>
    <row r="357" spans="5:6" x14ac:dyDescent="0.15">
      <c r="E357" s="246"/>
      <c r="F357" s="246"/>
    </row>
    <row r="358" spans="5:6" x14ac:dyDescent="0.15">
      <c r="E358" s="246"/>
      <c r="F358" s="246"/>
    </row>
    <row r="359" spans="5:6" x14ac:dyDescent="0.15">
      <c r="E359" s="246"/>
      <c r="F359" s="246"/>
    </row>
    <row r="360" spans="5:6" x14ac:dyDescent="0.15">
      <c r="E360" s="246"/>
      <c r="F360" s="246"/>
    </row>
    <row r="361" spans="5:6" x14ac:dyDescent="0.15">
      <c r="E361" s="246"/>
      <c r="F361" s="246"/>
    </row>
    <row r="362" spans="5:6" x14ac:dyDescent="0.15">
      <c r="E362" s="246"/>
      <c r="F362" s="246"/>
    </row>
    <row r="363" spans="5:6" x14ac:dyDescent="0.15">
      <c r="E363" s="246"/>
      <c r="F363" s="246"/>
    </row>
    <row r="364" spans="5:6" x14ac:dyDescent="0.15">
      <c r="E364" s="246"/>
      <c r="F364" s="246"/>
    </row>
    <row r="365" spans="5:6" x14ac:dyDescent="0.15">
      <c r="E365" s="246"/>
      <c r="F365" s="246"/>
    </row>
    <row r="366" spans="5:6" x14ac:dyDescent="0.15">
      <c r="E366" s="246"/>
      <c r="F366" s="246"/>
    </row>
    <row r="367" spans="5:6" x14ac:dyDescent="0.15">
      <c r="E367" s="246"/>
      <c r="F367" s="246"/>
    </row>
    <row r="368" spans="5:6" x14ac:dyDescent="0.15">
      <c r="E368" s="246"/>
      <c r="F368" s="246"/>
    </row>
    <row r="369" spans="5:6" x14ac:dyDescent="0.15">
      <c r="E369" s="246"/>
      <c r="F369" s="246"/>
    </row>
    <row r="370" spans="5:6" x14ac:dyDescent="0.15">
      <c r="E370" s="246"/>
      <c r="F370" s="246"/>
    </row>
    <row r="371" spans="5:6" x14ac:dyDescent="0.15">
      <c r="E371" s="246"/>
      <c r="F371" s="246"/>
    </row>
    <row r="372" spans="5:6" x14ac:dyDescent="0.15">
      <c r="E372" s="246"/>
      <c r="F372" s="246"/>
    </row>
    <row r="373" spans="5:6" x14ac:dyDescent="0.15">
      <c r="E373" s="246"/>
      <c r="F373" s="246"/>
    </row>
    <row r="374" spans="5:6" x14ac:dyDescent="0.15">
      <c r="E374" s="246"/>
      <c r="F374" s="246"/>
    </row>
    <row r="375" spans="5:6" x14ac:dyDescent="0.15">
      <c r="E375" s="246"/>
      <c r="F375" s="246"/>
    </row>
    <row r="376" spans="5:6" x14ac:dyDescent="0.15">
      <c r="E376" s="246"/>
      <c r="F376" s="246"/>
    </row>
    <row r="377" spans="5:6" x14ac:dyDescent="0.15">
      <c r="E377" s="246"/>
      <c r="F377" s="246"/>
    </row>
    <row r="378" spans="5:6" x14ac:dyDescent="0.15">
      <c r="E378" s="246"/>
      <c r="F378" s="246"/>
    </row>
    <row r="379" spans="5:6" x14ac:dyDescent="0.15">
      <c r="E379" s="246"/>
      <c r="F379" s="246"/>
    </row>
    <row r="380" spans="5:6" x14ac:dyDescent="0.15">
      <c r="E380" s="246"/>
      <c r="F380" s="246"/>
    </row>
    <row r="381" spans="5:6" x14ac:dyDescent="0.15">
      <c r="E381" s="246"/>
      <c r="F381" s="246"/>
    </row>
    <row r="382" spans="5:6" x14ac:dyDescent="0.15">
      <c r="E382" s="246"/>
      <c r="F382" s="246"/>
    </row>
    <row r="383" spans="5:6" x14ac:dyDescent="0.15">
      <c r="E383" s="246"/>
      <c r="F383" s="246"/>
    </row>
    <row r="384" spans="5:6" x14ac:dyDescent="0.15">
      <c r="E384" s="246"/>
      <c r="F384" s="246"/>
    </row>
    <row r="385" spans="5:6" x14ac:dyDescent="0.15">
      <c r="E385" s="246"/>
      <c r="F385" s="246"/>
    </row>
    <row r="386" spans="5:6" x14ac:dyDescent="0.15">
      <c r="E386" s="246"/>
      <c r="F386" s="246"/>
    </row>
    <row r="387" spans="5:6" x14ac:dyDescent="0.15">
      <c r="E387" s="246"/>
      <c r="F387" s="246"/>
    </row>
    <row r="388" spans="5:6" x14ac:dyDescent="0.15">
      <c r="E388" s="246"/>
      <c r="F388" s="246"/>
    </row>
    <row r="389" spans="5:6" x14ac:dyDescent="0.15">
      <c r="E389" s="246"/>
      <c r="F389" s="246"/>
    </row>
    <row r="390" spans="5:6" x14ac:dyDescent="0.15">
      <c r="E390" s="246"/>
      <c r="F390" s="246"/>
    </row>
    <row r="391" spans="5:6" x14ac:dyDescent="0.15">
      <c r="E391" s="246"/>
      <c r="F391" s="246"/>
    </row>
    <row r="392" spans="5:6" x14ac:dyDescent="0.15">
      <c r="E392" s="246"/>
      <c r="F392" s="246"/>
    </row>
    <row r="393" spans="5:6" x14ac:dyDescent="0.15">
      <c r="E393" s="246"/>
      <c r="F393" s="246"/>
    </row>
    <row r="394" spans="5:6" x14ac:dyDescent="0.15">
      <c r="E394" s="246"/>
      <c r="F394" s="246"/>
    </row>
    <row r="395" spans="5:6" x14ac:dyDescent="0.15">
      <c r="E395" s="246"/>
      <c r="F395" s="246"/>
    </row>
    <row r="396" spans="5:6" x14ac:dyDescent="0.15">
      <c r="E396" s="246"/>
      <c r="F396" s="246"/>
    </row>
    <row r="397" spans="5:6" x14ac:dyDescent="0.15">
      <c r="E397" s="246"/>
      <c r="F397" s="246"/>
    </row>
    <row r="398" spans="5:6" x14ac:dyDescent="0.15">
      <c r="E398" s="246"/>
      <c r="F398" s="246"/>
    </row>
    <row r="399" spans="5:6" x14ac:dyDescent="0.15">
      <c r="E399" s="246"/>
      <c r="F399" s="246"/>
    </row>
    <row r="400" spans="5:6" x14ac:dyDescent="0.15">
      <c r="E400" s="246"/>
      <c r="F400" s="246"/>
    </row>
    <row r="401" spans="5:6" x14ac:dyDescent="0.15">
      <c r="E401" s="246"/>
      <c r="F401" s="246"/>
    </row>
    <row r="402" spans="5:6" x14ac:dyDescent="0.15">
      <c r="E402" s="246"/>
      <c r="F402" s="246"/>
    </row>
    <row r="403" spans="5:6" x14ac:dyDescent="0.15">
      <c r="E403" s="246"/>
      <c r="F403" s="246"/>
    </row>
    <row r="404" spans="5:6" x14ac:dyDescent="0.15">
      <c r="E404" s="246"/>
      <c r="F404" s="246"/>
    </row>
    <row r="405" spans="5:6" x14ac:dyDescent="0.15">
      <c r="E405" s="246"/>
      <c r="F405" s="246"/>
    </row>
    <row r="406" spans="5:6" x14ac:dyDescent="0.15">
      <c r="E406" s="246"/>
      <c r="F406" s="246"/>
    </row>
    <row r="407" spans="5:6" x14ac:dyDescent="0.15">
      <c r="E407" s="246"/>
      <c r="F407" s="246"/>
    </row>
    <row r="408" spans="5:6" x14ac:dyDescent="0.15">
      <c r="E408" s="246"/>
      <c r="F408" s="246"/>
    </row>
    <row r="409" spans="5:6" x14ac:dyDescent="0.15">
      <c r="E409" s="246"/>
      <c r="F409" s="246"/>
    </row>
    <row r="410" spans="5:6" x14ac:dyDescent="0.15">
      <c r="E410" s="246"/>
      <c r="F410" s="246"/>
    </row>
    <row r="411" spans="5:6" x14ac:dyDescent="0.15">
      <c r="E411" s="246"/>
      <c r="F411" s="246"/>
    </row>
    <row r="412" spans="5:6" x14ac:dyDescent="0.15">
      <c r="E412" s="246"/>
      <c r="F412" s="246"/>
    </row>
    <row r="413" spans="5:6" x14ac:dyDescent="0.15">
      <c r="E413" s="246"/>
      <c r="F413" s="246"/>
    </row>
    <row r="414" spans="5:6" x14ac:dyDescent="0.15">
      <c r="E414" s="246"/>
      <c r="F414" s="246"/>
    </row>
    <row r="415" spans="5:6" x14ac:dyDescent="0.15">
      <c r="E415" s="246"/>
      <c r="F415" s="246"/>
    </row>
    <row r="416" spans="5:6" x14ac:dyDescent="0.15">
      <c r="E416" s="246"/>
      <c r="F416" s="246"/>
    </row>
    <row r="417" spans="5:6" x14ac:dyDescent="0.15">
      <c r="E417" s="246"/>
      <c r="F417" s="246"/>
    </row>
    <row r="418" spans="5:6" x14ac:dyDescent="0.15">
      <c r="E418" s="246"/>
      <c r="F418" s="246"/>
    </row>
    <row r="419" spans="5:6" x14ac:dyDescent="0.15">
      <c r="E419" s="246"/>
      <c r="F419" s="246"/>
    </row>
    <row r="420" spans="5:6" x14ac:dyDescent="0.15">
      <c r="E420" s="246"/>
      <c r="F420" s="246"/>
    </row>
    <row r="421" spans="5:6" x14ac:dyDescent="0.15">
      <c r="E421" s="246"/>
      <c r="F421" s="246"/>
    </row>
    <row r="422" spans="5:6" x14ac:dyDescent="0.15">
      <c r="E422" s="246"/>
      <c r="F422" s="246"/>
    </row>
    <row r="423" spans="5:6" x14ac:dyDescent="0.15">
      <c r="E423" s="246"/>
      <c r="F423" s="246"/>
    </row>
    <row r="424" spans="5:6" x14ac:dyDescent="0.15">
      <c r="E424" s="246"/>
      <c r="F424" s="246"/>
    </row>
    <row r="425" spans="5:6" x14ac:dyDescent="0.15">
      <c r="E425" s="246"/>
      <c r="F425" s="246"/>
    </row>
    <row r="426" spans="5:6" x14ac:dyDescent="0.15">
      <c r="E426" s="246"/>
      <c r="F426" s="246"/>
    </row>
    <row r="427" spans="5:6" x14ac:dyDescent="0.15">
      <c r="E427" s="246"/>
      <c r="F427" s="246"/>
    </row>
    <row r="428" spans="5:6" x14ac:dyDescent="0.15">
      <c r="E428" s="246"/>
      <c r="F428" s="246"/>
    </row>
    <row r="429" spans="5:6" x14ac:dyDescent="0.15">
      <c r="E429" s="246"/>
      <c r="F429" s="246"/>
    </row>
    <row r="430" spans="5:6" x14ac:dyDescent="0.15">
      <c r="E430" s="246"/>
      <c r="F430" s="246"/>
    </row>
    <row r="431" spans="5:6" x14ac:dyDescent="0.15">
      <c r="E431" s="246"/>
      <c r="F431" s="246"/>
    </row>
    <row r="432" spans="5:6" x14ac:dyDescent="0.15">
      <c r="E432" s="246"/>
      <c r="F432" s="246"/>
    </row>
    <row r="433" spans="5:6" x14ac:dyDescent="0.15">
      <c r="E433" s="246"/>
      <c r="F433" s="246"/>
    </row>
    <row r="434" spans="5:6" x14ac:dyDescent="0.15">
      <c r="E434" s="246"/>
      <c r="F434" s="246"/>
    </row>
    <row r="435" spans="5:6" x14ac:dyDescent="0.15">
      <c r="E435" s="246"/>
      <c r="F435" s="246"/>
    </row>
    <row r="436" spans="5:6" x14ac:dyDescent="0.15">
      <c r="E436" s="246"/>
      <c r="F436" s="246"/>
    </row>
    <row r="437" spans="5:6" x14ac:dyDescent="0.15">
      <c r="E437" s="246"/>
      <c r="F437" s="246"/>
    </row>
    <row r="438" spans="5:6" x14ac:dyDescent="0.15">
      <c r="E438" s="246"/>
      <c r="F438" s="246"/>
    </row>
    <row r="439" spans="5:6" x14ac:dyDescent="0.15">
      <c r="E439" s="246"/>
      <c r="F439" s="246"/>
    </row>
    <row r="440" spans="5:6" x14ac:dyDescent="0.15">
      <c r="E440" s="246"/>
      <c r="F440" s="246"/>
    </row>
    <row r="441" spans="5:6" x14ac:dyDescent="0.15">
      <c r="E441" s="246"/>
      <c r="F441" s="246"/>
    </row>
    <row r="442" spans="5:6" x14ac:dyDescent="0.15">
      <c r="E442" s="246"/>
      <c r="F442" s="246"/>
    </row>
    <row r="443" spans="5:6" x14ac:dyDescent="0.15">
      <c r="E443" s="246"/>
      <c r="F443" s="246"/>
    </row>
    <row r="444" spans="5:6" x14ac:dyDescent="0.15">
      <c r="E444" s="246"/>
      <c r="F444" s="246"/>
    </row>
    <row r="445" spans="5:6" x14ac:dyDescent="0.15">
      <c r="E445" s="246"/>
      <c r="F445" s="246"/>
    </row>
    <row r="446" spans="5:6" x14ac:dyDescent="0.15">
      <c r="E446" s="246"/>
      <c r="F446" s="246"/>
    </row>
    <row r="447" spans="5:6" x14ac:dyDescent="0.15">
      <c r="E447" s="246"/>
      <c r="F447" s="246"/>
    </row>
    <row r="448" spans="5:6" x14ac:dyDescent="0.15">
      <c r="E448" s="246"/>
      <c r="F448" s="246"/>
    </row>
    <row r="449" spans="5:6" x14ac:dyDescent="0.15">
      <c r="E449" s="246"/>
      <c r="F449" s="246"/>
    </row>
    <row r="450" spans="5:6" x14ac:dyDescent="0.15">
      <c r="E450" s="246"/>
      <c r="F450" s="246"/>
    </row>
    <row r="451" spans="5:6" x14ac:dyDescent="0.15">
      <c r="E451" s="246"/>
      <c r="F451" s="246"/>
    </row>
    <row r="452" spans="5:6" x14ac:dyDescent="0.15">
      <c r="E452" s="246"/>
      <c r="F452" s="246"/>
    </row>
    <row r="453" spans="5:6" x14ac:dyDescent="0.15">
      <c r="E453" s="246"/>
      <c r="F453" s="246"/>
    </row>
    <row r="454" spans="5:6" x14ac:dyDescent="0.15">
      <c r="E454" s="246"/>
      <c r="F454" s="246"/>
    </row>
    <row r="455" spans="5:6" x14ac:dyDescent="0.15">
      <c r="E455" s="246"/>
      <c r="F455" s="246"/>
    </row>
    <row r="456" spans="5:6" x14ac:dyDescent="0.15">
      <c r="E456" s="246"/>
      <c r="F456" s="246"/>
    </row>
    <row r="457" spans="5:6" x14ac:dyDescent="0.15">
      <c r="E457" s="246"/>
      <c r="F457" s="246"/>
    </row>
    <row r="458" spans="5:6" x14ac:dyDescent="0.15">
      <c r="E458" s="246"/>
      <c r="F458" s="246"/>
    </row>
    <row r="459" spans="5:6" x14ac:dyDescent="0.15">
      <c r="E459" s="246"/>
      <c r="F459" s="246"/>
    </row>
    <row r="460" spans="5:6" x14ac:dyDescent="0.15">
      <c r="E460" s="246"/>
      <c r="F460" s="246"/>
    </row>
    <row r="461" spans="5:6" x14ac:dyDescent="0.15">
      <c r="E461" s="246"/>
      <c r="F461" s="246"/>
    </row>
    <row r="462" spans="5:6" x14ac:dyDescent="0.15">
      <c r="E462" s="246"/>
      <c r="F462" s="246"/>
    </row>
    <row r="463" spans="5:6" x14ac:dyDescent="0.15">
      <c r="E463" s="246"/>
      <c r="F463" s="246"/>
    </row>
    <row r="464" spans="5:6" x14ac:dyDescent="0.15">
      <c r="E464" s="246"/>
      <c r="F464" s="246"/>
    </row>
    <row r="465" spans="5:6" x14ac:dyDescent="0.15">
      <c r="E465" s="246"/>
      <c r="F465" s="246"/>
    </row>
    <row r="466" spans="5:6" x14ac:dyDescent="0.15">
      <c r="E466" s="246"/>
      <c r="F466" s="246"/>
    </row>
    <row r="467" spans="5:6" x14ac:dyDescent="0.15">
      <c r="E467" s="246"/>
      <c r="F467" s="246"/>
    </row>
    <row r="468" spans="5:6" x14ac:dyDescent="0.15">
      <c r="E468" s="246"/>
      <c r="F468" s="246"/>
    </row>
    <row r="469" spans="5:6" x14ac:dyDescent="0.15">
      <c r="E469" s="246"/>
      <c r="F469" s="246"/>
    </row>
    <row r="470" spans="5:6" x14ac:dyDescent="0.15">
      <c r="E470" s="246"/>
      <c r="F470" s="246"/>
    </row>
    <row r="471" spans="5:6" x14ac:dyDescent="0.15">
      <c r="E471" s="246"/>
      <c r="F471" s="246"/>
    </row>
    <row r="472" spans="5:6" x14ac:dyDescent="0.15">
      <c r="E472" s="246"/>
      <c r="F472" s="246"/>
    </row>
    <row r="473" spans="5:6" x14ac:dyDescent="0.15">
      <c r="E473" s="246"/>
      <c r="F473" s="246"/>
    </row>
    <row r="474" spans="5:6" x14ac:dyDescent="0.15">
      <c r="E474" s="246"/>
      <c r="F474" s="246"/>
    </row>
    <row r="475" spans="5:6" x14ac:dyDescent="0.15">
      <c r="E475" s="246"/>
      <c r="F475" s="246"/>
    </row>
    <row r="476" spans="5:6" x14ac:dyDescent="0.15">
      <c r="E476" s="246"/>
      <c r="F476" s="246"/>
    </row>
    <row r="477" spans="5:6" x14ac:dyDescent="0.15">
      <c r="E477" s="246"/>
      <c r="F477" s="246"/>
    </row>
    <row r="478" spans="5:6" x14ac:dyDescent="0.15">
      <c r="E478" s="246"/>
      <c r="F478" s="246"/>
    </row>
    <row r="479" spans="5:6" x14ac:dyDescent="0.15">
      <c r="E479" s="246"/>
      <c r="F479" s="246"/>
    </row>
    <row r="480" spans="5:6" x14ac:dyDescent="0.15">
      <c r="E480" s="246"/>
      <c r="F480" s="246"/>
    </row>
    <row r="481" spans="5:6" x14ac:dyDescent="0.15">
      <c r="E481" s="246"/>
      <c r="F481" s="246"/>
    </row>
    <row r="482" spans="5:6" x14ac:dyDescent="0.15">
      <c r="E482" s="246"/>
      <c r="F482" s="246"/>
    </row>
    <row r="483" spans="5:6" x14ac:dyDescent="0.15">
      <c r="E483" s="246"/>
      <c r="F483" s="246"/>
    </row>
    <row r="484" spans="5:6" x14ac:dyDescent="0.15">
      <c r="E484" s="246"/>
      <c r="F484" s="246"/>
    </row>
    <row r="485" spans="5:6" x14ac:dyDescent="0.15">
      <c r="E485" s="246"/>
      <c r="F485" s="246"/>
    </row>
    <row r="486" spans="5:6" x14ac:dyDescent="0.15">
      <c r="E486" s="246"/>
      <c r="F486" s="246"/>
    </row>
    <row r="487" spans="5:6" x14ac:dyDescent="0.15">
      <c r="E487" s="246"/>
      <c r="F487" s="246"/>
    </row>
    <row r="488" spans="5:6" x14ac:dyDescent="0.15">
      <c r="E488" s="246"/>
      <c r="F488" s="246"/>
    </row>
    <row r="489" spans="5:6" x14ac:dyDescent="0.15">
      <c r="E489" s="246"/>
      <c r="F489" s="246"/>
    </row>
    <row r="490" spans="5:6" x14ac:dyDescent="0.15">
      <c r="E490" s="246"/>
      <c r="F490" s="246"/>
    </row>
    <row r="491" spans="5:6" x14ac:dyDescent="0.15">
      <c r="E491" s="246"/>
      <c r="F491" s="246"/>
    </row>
    <row r="492" spans="5:6" x14ac:dyDescent="0.15">
      <c r="E492" s="246"/>
      <c r="F492" s="246"/>
    </row>
    <row r="493" spans="5:6" x14ac:dyDescent="0.15">
      <c r="E493" s="246"/>
      <c r="F493" s="246"/>
    </row>
    <row r="494" spans="5:6" x14ac:dyDescent="0.15">
      <c r="E494" s="246"/>
      <c r="F494" s="246"/>
    </row>
    <row r="495" spans="5:6" x14ac:dyDescent="0.15">
      <c r="E495" s="246"/>
      <c r="F495" s="246"/>
    </row>
    <row r="496" spans="5:6" x14ac:dyDescent="0.15">
      <c r="E496" s="246"/>
      <c r="F496" s="246"/>
    </row>
    <row r="497" spans="5:6" x14ac:dyDescent="0.15">
      <c r="E497" s="246"/>
      <c r="F497" s="246"/>
    </row>
    <row r="498" spans="5:6" x14ac:dyDescent="0.15">
      <c r="E498" s="246"/>
      <c r="F498" s="246"/>
    </row>
    <row r="499" spans="5:6" x14ac:dyDescent="0.15">
      <c r="E499" s="246"/>
      <c r="F499" s="246"/>
    </row>
    <row r="500" spans="5:6" x14ac:dyDescent="0.15">
      <c r="E500" s="246"/>
      <c r="F500" s="246"/>
    </row>
    <row r="501" spans="5:6" x14ac:dyDescent="0.15">
      <c r="E501" s="246"/>
      <c r="F501" s="246"/>
    </row>
    <row r="502" spans="5:6" x14ac:dyDescent="0.15">
      <c r="E502" s="246"/>
      <c r="F502" s="246"/>
    </row>
    <row r="503" spans="5:6" x14ac:dyDescent="0.15">
      <c r="E503" s="246"/>
      <c r="F503" s="246"/>
    </row>
    <row r="504" spans="5:6" x14ac:dyDescent="0.15">
      <c r="E504" s="246"/>
      <c r="F504" s="246"/>
    </row>
    <row r="505" spans="5:6" x14ac:dyDescent="0.15">
      <c r="E505" s="246"/>
      <c r="F505" s="246"/>
    </row>
    <row r="506" spans="5:6" x14ac:dyDescent="0.15">
      <c r="E506" s="246"/>
      <c r="F506" s="246"/>
    </row>
    <row r="507" spans="5:6" x14ac:dyDescent="0.15">
      <c r="E507" s="246"/>
      <c r="F507" s="246"/>
    </row>
    <row r="508" spans="5:6" x14ac:dyDescent="0.15">
      <c r="E508" s="246"/>
      <c r="F508" s="246"/>
    </row>
    <row r="509" spans="5:6" x14ac:dyDescent="0.15">
      <c r="E509" s="246"/>
      <c r="F509" s="246"/>
    </row>
    <row r="510" spans="5:6" x14ac:dyDescent="0.15">
      <c r="E510" s="246"/>
      <c r="F510" s="246"/>
    </row>
    <row r="511" spans="5:6" x14ac:dyDescent="0.15">
      <c r="E511" s="246"/>
      <c r="F511" s="246"/>
    </row>
    <row r="512" spans="5:6" x14ac:dyDescent="0.15">
      <c r="E512" s="246"/>
      <c r="F512" s="246"/>
    </row>
    <row r="513" spans="5:6" x14ac:dyDescent="0.15">
      <c r="E513" s="246"/>
      <c r="F513" s="246"/>
    </row>
    <row r="514" spans="5:6" x14ac:dyDescent="0.15">
      <c r="E514" s="246"/>
      <c r="F514" s="246"/>
    </row>
    <row r="515" spans="5:6" x14ac:dyDescent="0.15">
      <c r="E515" s="246"/>
      <c r="F515" s="246"/>
    </row>
    <row r="516" spans="5:6" x14ac:dyDescent="0.15">
      <c r="E516" s="246"/>
      <c r="F516" s="246"/>
    </row>
    <row r="517" spans="5:6" x14ac:dyDescent="0.15">
      <c r="E517" s="246"/>
      <c r="F517" s="246"/>
    </row>
    <row r="518" spans="5:6" x14ac:dyDescent="0.15">
      <c r="E518" s="246"/>
      <c r="F518" s="246"/>
    </row>
    <row r="519" spans="5:6" x14ac:dyDescent="0.15">
      <c r="E519" s="246"/>
      <c r="F519" s="246"/>
    </row>
    <row r="520" spans="5:6" x14ac:dyDescent="0.15">
      <c r="E520" s="246"/>
      <c r="F520" s="246"/>
    </row>
    <row r="521" spans="5:6" x14ac:dyDescent="0.15">
      <c r="E521" s="246"/>
      <c r="F521" s="246"/>
    </row>
    <row r="522" spans="5:6" x14ac:dyDescent="0.15">
      <c r="E522" s="246"/>
      <c r="F522" s="246"/>
    </row>
    <row r="523" spans="5:6" x14ac:dyDescent="0.15">
      <c r="E523" s="246"/>
      <c r="F523" s="246"/>
    </row>
    <row r="524" spans="5:6" x14ac:dyDescent="0.15">
      <c r="E524" s="246"/>
      <c r="F524" s="246"/>
    </row>
    <row r="525" spans="5:6" x14ac:dyDescent="0.15">
      <c r="E525" s="246"/>
      <c r="F525" s="246"/>
    </row>
    <row r="526" spans="5:6" x14ac:dyDescent="0.15">
      <c r="E526" s="246"/>
      <c r="F526" s="246"/>
    </row>
    <row r="527" spans="5:6" x14ac:dyDescent="0.15">
      <c r="E527" s="246"/>
      <c r="F527" s="246"/>
    </row>
    <row r="528" spans="5:6" x14ac:dyDescent="0.15">
      <c r="E528" s="246"/>
      <c r="F528" s="246"/>
    </row>
    <row r="529" spans="5:6" x14ac:dyDescent="0.15">
      <c r="E529" s="246"/>
      <c r="F529" s="246"/>
    </row>
    <row r="530" spans="5:6" x14ac:dyDescent="0.15">
      <c r="E530" s="246"/>
      <c r="F530" s="246"/>
    </row>
    <row r="531" spans="5:6" x14ac:dyDescent="0.15">
      <c r="E531" s="246"/>
      <c r="F531" s="246"/>
    </row>
    <row r="532" spans="5:6" x14ac:dyDescent="0.15">
      <c r="E532" s="246"/>
      <c r="F532" s="246"/>
    </row>
    <row r="533" spans="5:6" x14ac:dyDescent="0.15">
      <c r="E533" s="246"/>
      <c r="F533" s="246"/>
    </row>
    <row r="534" spans="5:6" x14ac:dyDescent="0.15">
      <c r="E534" s="246"/>
      <c r="F534" s="246"/>
    </row>
    <row r="535" spans="5:6" x14ac:dyDescent="0.15">
      <c r="E535" s="246"/>
      <c r="F535" s="246"/>
    </row>
    <row r="536" spans="5:6" x14ac:dyDescent="0.15">
      <c r="E536" s="246"/>
      <c r="F536" s="246"/>
    </row>
    <row r="537" spans="5:6" x14ac:dyDescent="0.15">
      <c r="E537" s="246"/>
      <c r="F537" s="246"/>
    </row>
    <row r="538" spans="5:6" x14ac:dyDescent="0.15">
      <c r="E538" s="246"/>
      <c r="F538" s="246"/>
    </row>
    <row r="539" spans="5:6" x14ac:dyDescent="0.15">
      <c r="E539" s="246"/>
      <c r="F539" s="246"/>
    </row>
    <row r="540" spans="5:6" x14ac:dyDescent="0.15">
      <c r="E540" s="246"/>
      <c r="F540" s="246"/>
    </row>
    <row r="541" spans="5:6" x14ac:dyDescent="0.15">
      <c r="E541" s="246"/>
      <c r="F541" s="246"/>
    </row>
    <row r="542" spans="5:6" x14ac:dyDescent="0.15">
      <c r="E542" s="246"/>
      <c r="F542" s="246"/>
    </row>
    <row r="543" spans="5:6" x14ac:dyDescent="0.15">
      <c r="E543" s="246"/>
      <c r="F543" s="246"/>
    </row>
    <row r="544" spans="5:6" x14ac:dyDescent="0.15">
      <c r="E544" s="246"/>
      <c r="F544" s="246"/>
    </row>
    <row r="545" spans="5:6" x14ac:dyDescent="0.15">
      <c r="E545" s="246"/>
      <c r="F545" s="246"/>
    </row>
    <row r="546" spans="5:6" x14ac:dyDescent="0.15">
      <c r="E546" s="246"/>
      <c r="F546" s="246"/>
    </row>
    <row r="547" spans="5:6" x14ac:dyDescent="0.15">
      <c r="E547" s="246"/>
      <c r="F547" s="246"/>
    </row>
    <row r="548" spans="5:6" x14ac:dyDescent="0.15">
      <c r="E548" s="246"/>
      <c r="F548" s="246"/>
    </row>
    <row r="549" spans="5:6" x14ac:dyDescent="0.15">
      <c r="E549" s="246"/>
      <c r="F549" s="246"/>
    </row>
    <row r="550" spans="5:6" x14ac:dyDescent="0.15">
      <c r="E550" s="246"/>
      <c r="F550" s="246"/>
    </row>
    <row r="551" spans="5:6" x14ac:dyDescent="0.15">
      <c r="E551" s="246"/>
      <c r="F551" s="246"/>
    </row>
    <row r="552" spans="5:6" x14ac:dyDescent="0.15">
      <c r="E552" s="246"/>
      <c r="F552" s="246"/>
    </row>
    <row r="553" spans="5:6" x14ac:dyDescent="0.15">
      <c r="E553" s="246"/>
      <c r="F553" s="246"/>
    </row>
    <row r="554" spans="5:6" x14ac:dyDescent="0.15">
      <c r="E554" s="246"/>
      <c r="F554" s="246"/>
    </row>
    <row r="555" spans="5:6" x14ac:dyDescent="0.15">
      <c r="E555" s="246"/>
      <c r="F555" s="246"/>
    </row>
    <row r="556" spans="5:6" x14ac:dyDescent="0.15">
      <c r="E556" s="246"/>
      <c r="F556" s="246"/>
    </row>
    <row r="557" spans="5:6" x14ac:dyDescent="0.15">
      <c r="E557" s="246"/>
      <c r="F557" s="246"/>
    </row>
    <row r="558" spans="5:6" x14ac:dyDescent="0.15">
      <c r="E558" s="246"/>
      <c r="F558" s="246"/>
    </row>
    <row r="559" spans="5:6" x14ac:dyDescent="0.15">
      <c r="E559" s="246"/>
      <c r="F559" s="246"/>
    </row>
    <row r="560" spans="5:6" x14ac:dyDescent="0.15">
      <c r="E560" s="246"/>
      <c r="F560" s="246"/>
    </row>
    <row r="561" spans="5:6" x14ac:dyDescent="0.15">
      <c r="E561" s="246"/>
      <c r="F561" s="246"/>
    </row>
    <row r="562" spans="5:6" x14ac:dyDescent="0.15">
      <c r="E562" s="246"/>
      <c r="F562" s="246"/>
    </row>
    <row r="563" spans="5:6" x14ac:dyDescent="0.15">
      <c r="E563" s="246"/>
      <c r="F563" s="246"/>
    </row>
    <row r="564" spans="5:6" x14ac:dyDescent="0.15">
      <c r="E564" s="246"/>
      <c r="F564" s="246"/>
    </row>
    <row r="565" spans="5:6" x14ac:dyDescent="0.15">
      <c r="E565" s="246"/>
      <c r="F565" s="246"/>
    </row>
    <row r="566" spans="5:6" x14ac:dyDescent="0.15">
      <c r="E566" s="246"/>
      <c r="F566" s="246"/>
    </row>
    <row r="567" spans="5:6" x14ac:dyDescent="0.15">
      <c r="E567" s="246"/>
      <c r="F567" s="246"/>
    </row>
    <row r="568" spans="5:6" x14ac:dyDescent="0.15">
      <c r="E568" s="246"/>
      <c r="F568" s="246"/>
    </row>
    <row r="569" spans="5:6" x14ac:dyDescent="0.15">
      <c r="E569" s="246"/>
      <c r="F569" s="246"/>
    </row>
    <row r="570" spans="5:6" x14ac:dyDescent="0.15">
      <c r="E570" s="246"/>
      <c r="F570" s="246"/>
    </row>
    <row r="571" spans="5:6" x14ac:dyDescent="0.15">
      <c r="E571" s="246"/>
      <c r="F571" s="246"/>
    </row>
    <row r="572" spans="5:6" x14ac:dyDescent="0.15">
      <c r="E572" s="246"/>
      <c r="F572" s="246"/>
    </row>
    <row r="573" spans="5:6" x14ac:dyDescent="0.15">
      <c r="E573" s="246"/>
      <c r="F573" s="246"/>
    </row>
    <row r="574" spans="5:6" x14ac:dyDescent="0.15">
      <c r="E574" s="246"/>
      <c r="F574" s="246"/>
    </row>
    <row r="575" spans="5:6" x14ac:dyDescent="0.15">
      <c r="E575" s="246"/>
      <c r="F575" s="246"/>
    </row>
    <row r="576" spans="5:6" x14ac:dyDescent="0.15">
      <c r="E576" s="246"/>
      <c r="F576" s="246"/>
    </row>
    <row r="577" spans="5:6" x14ac:dyDescent="0.15">
      <c r="E577" s="246"/>
      <c r="F577" s="246"/>
    </row>
    <row r="578" spans="5:6" x14ac:dyDescent="0.15">
      <c r="E578" s="246"/>
      <c r="F578" s="246"/>
    </row>
    <row r="579" spans="5:6" x14ac:dyDescent="0.15">
      <c r="E579" s="246"/>
      <c r="F579" s="246"/>
    </row>
    <row r="580" spans="5:6" x14ac:dyDescent="0.15">
      <c r="E580" s="246"/>
      <c r="F580" s="246"/>
    </row>
    <row r="581" spans="5:6" x14ac:dyDescent="0.15">
      <c r="E581" s="246"/>
      <c r="F581" s="246"/>
    </row>
    <row r="582" spans="5:6" x14ac:dyDescent="0.15">
      <c r="E582" s="246"/>
      <c r="F582" s="246"/>
    </row>
    <row r="583" spans="5:6" x14ac:dyDescent="0.15">
      <c r="E583" s="246"/>
      <c r="F583" s="246"/>
    </row>
    <row r="584" spans="5:6" x14ac:dyDescent="0.15">
      <c r="E584" s="246"/>
      <c r="F584" s="246"/>
    </row>
    <row r="585" spans="5:6" x14ac:dyDescent="0.15">
      <c r="E585" s="246"/>
      <c r="F585" s="246"/>
    </row>
    <row r="586" spans="5:6" x14ac:dyDescent="0.15">
      <c r="E586" s="246"/>
      <c r="F586" s="246"/>
    </row>
    <row r="587" spans="5:6" x14ac:dyDescent="0.15">
      <c r="E587" s="246"/>
      <c r="F587" s="246"/>
    </row>
    <row r="588" spans="5:6" x14ac:dyDescent="0.15">
      <c r="E588" s="246"/>
      <c r="F588" s="246"/>
    </row>
    <row r="589" spans="5:6" x14ac:dyDescent="0.15">
      <c r="E589" s="246"/>
      <c r="F589" s="246"/>
    </row>
    <row r="590" spans="5:6" x14ac:dyDescent="0.15">
      <c r="E590" s="246"/>
      <c r="F590" s="246"/>
    </row>
    <row r="591" spans="5:6" x14ac:dyDescent="0.15">
      <c r="E591" s="246"/>
      <c r="F591" s="246"/>
    </row>
    <row r="592" spans="5:6" x14ac:dyDescent="0.15">
      <c r="E592" s="246"/>
      <c r="F592" s="246"/>
    </row>
    <row r="593" spans="5:6" x14ac:dyDescent="0.15">
      <c r="E593" s="246"/>
      <c r="F593" s="246"/>
    </row>
    <row r="594" spans="5:6" x14ac:dyDescent="0.15">
      <c r="E594" s="246"/>
      <c r="F594" s="246"/>
    </row>
    <row r="595" spans="5:6" x14ac:dyDescent="0.15">
      <c r="E595" s="246"/>
      <c r="F595" s="246"/>
    </row>
    <row r="596" spans="5:6" x14ac:dyDescent="0.15">
      <c r="E596" s="246"/>
      <c r="F596" s="246"/>
    </row>
    <row r="597" spans="5:6" x14ac:dyDescent="0.15">
      <c r="E597" s="246"/>
      <c r="F597" s="246"/>
    </row>
    <row r="598" spans="5:6" x14ac:dyDescent="0.15">
      <c r="E598" s="246"/>
      <c r="F598" s="246"/>
    </row>
    <row r="599" spans="5:6" x14ac:dyDescent="0.15">
      <c r="E599" s="246"/>
      <c r="F599" s="246"/>
    </row>
    <row r="600" spans="5:6" x14ac:dyDescent="0.15">
      <c r="E600" s="246"/>
      <c r="F600" s="246"/>
    </row>
    <row r="601" spans="5:6" x14ac:dyDescent="0.15">
      <c r="E601" s="246"/>
      <c r="F601" s="246"/>
    </row>
    <row r="602" spans="5:6" x14ac:dyDescent="0.15">
      <c r="E602" s="246"/>
      <c r="F602" s="246"/>
    </row>
    <row r="603" spans="5:6" x14ac:dyDescent="0.15">
      <c r="E603" s="246"/>
      <c r="F603" s="246"/>
    </row>
    <row r="604" spans="5:6" x14ac:dyDescent="0.15">
      <c r="E604" s="246"/>
      <c r="F604" s="246"/>
    </row>
    <row r="605" spans="5:6" x14ac:dyDescent="0.15">
      <c r="E605" s="246"/>
      <c r="F605" s="246"/>
    </row>
    <row r="606" spans="5:6" x14ac:dyDescent="0.15">
      <c r="E606" s="246"/>
      <c r="F606" s="246"/>
    </row>
    <row r="607" spans="5:6" x14ac:dyDescent="0.15">
      <c r="E607" s="246"/>
      <c r="F607" s="246"/>
    </row>
    <row r="608" spans="5:6" x14ac:dyDescent="0.15">
      <c r="E608" s="246"/>
      <c r="F608" s="246"/>
    </row>
    <row r="609" spans="5:6" x14ac:dyDescent="0.15">
      <c r="E609" s="246"/>
      <c r="F609" s="246"/>
    </row>
    <row r="610" spans="5:6" x14ac:dyDescent="0.15">
      <c r="E610" s="246"/>
      <c r="F610" s="246"/>
    </row>
    <row r="611" spans="5:6" x14ac:dyDescent="0.15">
      <c r="E611" s="246"/>
      <c r="F611" s="246"/>
    </row>
    <row r="612" spans="5:6" x14ac:dyDescent="0.15">
      <c r="E612" s="246"/>
      <c r="F612" s="246"/>
    </row>
    <row r="613" spans="5:6" x14ac:dyDescent="0.15">
      <c r="E613" s="246"/>
      <c r="F613" s="246"/>
    </row>
    <row r="614" spans="5:6" x14ac:dyDescent="0.15">
      <c r="E614" s="246"/>
      <c r="F614" s="246"/>
    </row>
    <row r="615" spans="5:6" x14ac:dyDescent="0.15">
      <c r="E615" s="246"/>
      <c r="F615" s="246"/>
    </row>
    <row r="616" spans="5:6" x14ac:dyDescent="0.15">
      <c r="E616" s="246"/>
      <c r="F616" s="246"/>
    </row>
    <row r="617" spans="5:6" x14ac:dyDescent="0.15">
      <c r="E617" s="246"/>
      <c r="F617" s="246"/>
    </row>
    <row r="618" spans="5:6" x14ac:dyDescent="0.15">
      <c r="E618" s="246"/>
      <c r="F618" s="246"/>
    </row>
    <row r="619" spans="5:6" x14ac:dyDescent="0.15">
      <c r="E619" s="246"/>
      <c r="F619" s="246"/>
    </row>
    <row r="620" spans="5:6" x14ac:dyDescent="0.15">
      <c r="E620" s="246"/>
      <c r="F620" s="246"/>
    </row>
    <row r="621" spans="5:6" x14ac:dyDescent="0.15">
      <c r="E621" s="246"/>
      <c r="F621" s="246"/>
    </row>
    <row r="622" spans="5:6" x14ac:dyDescent="0.15">
      <c r="E622" s="246"/>
      <c r="F622" s="246"/>
    </row>
    <row r="623" spans="5:6" x14ac:dyDescent="0.15">
      <c r="E623" s="246"/>
      <c r="F623" s="246"/>
    </row>
    <row r="624" spans="5:6" x14ac:dyDescent="0.15">
      <c r="E624" s="246"/>
      <c r="F624" s="246"/>
    </row>
    <row r="625" spans="5:6" x14ac:dyDescent="0.15">
      <c r="E625" s="246"/>
      <c r="F625" s="246"/>
    </row>
    <row r="626" spans="5:6" x14ac:dyDescent="0.15">
      <c r="E626" s="246"/>
      <c r="F626" s="246"/>
    </row>
    <row r="627" spans="5:6" x14ac:dyDescent="0.15">
      <c r="E627" s="246"/>
      <c r="F627" s="246"/>
    </row>
    <row r="628" spans="5:6" x14ac:dyDescent="0.15">
      <c r="E628" s="246"/>
      <c r="F628" s="246"/>
    </row>
    <row r="629" spans="5:6" x14ac:dyDescent="0.15">
      <c r="E629" s="246"/>
      <c r="F629" s="246"/>
    </row>
    <row r="630" spans="5:6" x14ac:dyDescent="0.15">
      <c r="E630" s="246"/>
      <c r="F630" s="246"/>
    </row>
    <row r="631" spans="5:6" x14ac:dyDescent="0.15">
      <c r="E631" s="246"/>
      <c r="F631" s="246"/>
    </row>
    <row r="632" spans="5:6" x14ac:dyDescent="0.15">
      <c r="E632" s="246"/>
      <c r="F632" s="246"/>
    </row>
    <row r="633" spans="5:6" x14ac:dyDescent="0.15">
      <c r="E633" s="246"/>
      <c r="F633" s="246"/>
    </row>
    <row r="634" spans="5:6" x14ac:dyDescent="0.15">
      <c r="E634" s="246"/>
      <c r="F634" s="246"/>
    </row>
    <row r="635" spans="5:6" x14ac:dyDescent="0.15">
      <c r="E635" s="246"/>
      <c r="F635" s="246"/>
    </row>
    <row r="636" spans="5:6" x14ac:dyDescent="0.15">
      <c r="E636" s="246"/>
      <c r="F636" s="246"/>
    </row>
    <row r="637" spans="5:6" x14ac:dyDescent="0.15">
      <c r="E637" s="246"/>
      <c r="F637" s="246"/>
    </row>
    <row r="638" spans="5:6" x14ac:dyDescent="0.15">
      <c r="E638" s="246"/>
      <c r="F638" s="246"/>
    </row>
    <row r="639" spans="5:6" x14ac:dyDescent="0.15">
      <c r="E639" s="246"/>
      <c r="F639" s="246"/>
    </row>
    <row r="640" spans="5:6" x14ac:dyDescent="0.15">
      <c r="E640" s="246"/>
      <c r="F640" s="246"/>
    </row>
    <row r="641" spans="5:6" x14ac:dyDescent="0.15">
      <c r="E641" s="246"/>
      <c r="F641" s="246"/>
    </row>
    <row r="642" spans="5:6" x14ac:dyDescent="0.15">
      <c r="E642" s="246"/>
      <c r="F642" s="246"/>
    </row>
    <row r="643" spans="5:6" x14ac:dyDescent="0.15">
      <c r="E643" s="246"/>
      <c r="F643" s="246"/>
    </row>
    <row r="644" spans="5:6" x14ac:dyDescent="0.15">
      <c r="E644" s="246"/>
      <c r="F644" s="246"/>
    </row>
    <row r="645" spans="5:6" x14ac:dyDescent="0.15">
      <c r="E645" s="246"/>
      <c r="F645" s="246"/>
    </row>
    <row r="646" spans="5:6" x14ac:dyDescent="0.15">
      <c r="E646" s="246"/>
      <c r="F646" s="246"/>
    </row>
    <row r="647" spans="5:6" x14ac:dyDescent="0.15">
      <c r="E647" s="246"/>
      <c r="F647" s="246"/>
    </row>
    <row r="648" spans="5:6" x14ac:dyDescent="0.15">
      <c r="E648" s="246"/>
      <c r="F648" s="246"/>
    </row>
    <row r="649" spans="5:6" x14ac:dyDescent="0.15">
      <c r="E649" s="246"/>
      <c r="F649" s="246"/>
    </row>
    <row r="650" spans="5:6" x14ac:dyDescent="0.15">
      <c r="E650" s="246"/>
      <c r="F650" s="246"/>
    </row>
    <row r="651" spans="5:6" x14ac:dyDescent="0.15">
      <c r="E651" s="246"/>
      <c r="F651" s="246"/>
    </row>
    <row r="652" spans="5:6" x14ac:dyDescent="0.15">
      <c r="E652" s="246"/>
      <c r="F652" s="246"/>
    </row>
    <row r="653" spans="5:6" x14ac:dyDescent="0.15">
      <c r="E653" s="246"/>
      <c r="F653" s="246"/>
    </row>
    <row r="654" spans="5:6" x14ac:dyDescent="0.15">
      <c r="E654" s="246"/>
      <c r="F654" s="246"/>
    </row>
    <row r="655" spans="5:6" x14ac:dyDescent="0.15">
      <c r="E655" s="246"/>
      <c r="F655" s="246"/>
    </row>
    <row r="656" spans="5:6" x14ac:dyDescent="0.15">
      <c r="E656" s="246"/>
      <c r="F656" s="246"/>
    </row>
    <row r="657" spans="5:6" x14ac:dyDescent="0.15">
      <c r="E657" s="246"/>
      <c r="F657" s="246"/>
    </row>
    <row r="658" spans="5:6" x14ac:dyDescent="0.15">
      <c r="E658" s="246"/>
      <c r="F658" s="246"/>
    </row>
    <row r="659" spans="5:6" x14ac:dyDescent="0.15">
      <c r="E659" s="246"/>
      <c r="F659" s="246"/>
    </row>
    <row r="660" spans="5:6" x14ac:dyDescent="0.15">
      <c r="E660" s="246"/>
      <c r="F660" s="246"/>
    </row>
    <row r="661" spans="5:6" x14ac:dyDescent="0.15">
      <c r="E661" s="246"/>
      <c r="F661" s="246"/>
    </row>
    <row r="662" spans="5:6" x14ac:dyDescent="0.15">
      <c r="E662" s="246"/>
      <c r="F662" s="246"/>
    </row>
    <row r="663" spans="5:6" x14ac:dyDescent="0.15">
      <c r="E663" s="246"/>
      <c r="F663" s="246"/>
    </row>
    <row r="664" spans="5:6" x14ac:dyDescent="0.15">
      <c r="E664" s="246"/>
      <c r="F664" s="246"/>
    </row>
    <row r="665" spans="5:6" x14ac:dyDescent="0.15">
      <c r="E665" s="246"/>
      <c r="F665" s="246"/>
    </row>
    <row r="666" spans="5:6" x14ac:dyDescent="0.15">
      <c r="E666" s="246"/>
      <c r="F666" s="246"/>
    </row>
    <row r="667" spans="5:6" x14ac:dyDescent="0.15">
      <c r="E667" s="246"/>
      <c r="F667" s="246"/>
    </row>
    <row r="668" spans="5:6" x14ac:dyDescent="0.15">
      <c r="E668" s="246"/>
      <c r="F668" s="246"/>
    </row>
    <row r="669" spans="5:6" x14ac:dyDescent="0.15">
      <c r="E669" s="246"/>
      <c r="F669" s="246"/>
    </row>
    <row r="670" spans="5:6" x14ac:dyDescent="0.15">
      <c r="E670" s="246"/>
      <c r="F670" s="246"/>
    </row>
    <row r="671" spans="5:6" x14ac:dyDescent="0.15">
      <c r="E671" s="246"/>
      <c r="F671" s="246"/>
    </row>
    <row r="672" spans="5:6" x14ac:dyDescent="0.15">
      <c r="E672" s="246"/>
      <c r="F672" s="246"/>
    </row>
    <row r="673" spans="5:6" x14ac:dyDescent="0.15">
      <c r="E673" s="246"/>
      <c r="F673" s="246"/>
    </row>
    <row r="674" spans="5:6" x14ac:dyDescent="0.15">
      <c r="E674" s="246"/>
      <c r="F674" s="246"/>
    </row>
    <row r="675" spans="5:6" x14ac:dyDescent="0.15">
      <c r="E675" s="246"/>
      <c r="F675" s="246"/>
    </row>
    <row r="676" spans="5:6" x14ac:dyDescent="0.15">
      <c r="E676" s="246"/>
      <c r="F676" s="246"/>
    </row>
    <row r="677" spans="5:6" x14ac:dyDescent="0.15">
      <c r="E677" s="246"/>
      <c r="F677" s="246"/>
    </row>
    <row r="678" spans="5:6" x14ac:dyDescent="0.15">
      <c r="E678" s="246"/>
      <c r="F678" s="246"/>
    </row>
    <row r="679" spans="5:6" x14ac:dyDescent="0.15">
      <c r="E679" s="246"/>
      <c r="F679" s="246"/>
    </row>
    <row r="680" spans="5:6" x14ac:dyDescent="0.15">
      <c r="E680" s="246"/>
      <c r="F680" s="246"/>
    </row>
    <row r="681" spans="5:6" x14ac:dyDescent="0.15">
      <c r="E681" s="246"/>
      <c r="F681" s="246"/>
    </row>
    <row r="682" spans="5:6" x14ac:dyDescent="0.15">
      <c r="E682" s="246"/>
      <c r="F682" s="246"/>
    </row>
    <row r="683" spans="5:6" x14ac:dyDescent="0.15">
      <c r="E683" s="246"/>
      <c r="F683" s="246"/>
    </row>
    <row r="684" spans="5:6" x14ac:dyDescent="0.15">
      <c r="E684" s="246"/>
      <c r="F684" s="246"/>
    </row>
    <row r="685" spans="5:6" x14ac:dyDescent="0.15">
      <c r="E685" s="246"/>
      <c r="F685" s="246"/>
    </row>
    <row r="686" spans="5:6" x14ac:dyDescent="0.15">
      <c r="E686" s="246"/>
      <c r="F686" s="246"/>
    </row>
    <row r="687" spans="5:6" x14ac:dyDescent="0.15">
      <c r="E687" s="246"/>
      <c r="F687" s="246"/>
    </row>
    <row r="688" spans="5:6" x14ac:dyDescent="0.15">
      <c r="E688" s="246"/>
      <c r="F688" s="246"/>
    </row>
    <row r="689" spans="5:6" x14ac:dyDescent="0.15">
      <c r="E689" s="246"/>
      <c r="F689" s="246"/>
    </row>
    <row r="690" spans="5:6" x14ac:dyDescent="0.15">
      <c r="E690" s="246"/>
      <c r="F690" s="246"/>
    </row>
    <row r="691" spans="5:6" x14ac:dyDescent="0.15">
      <c r="E691" s="246"/>
      <c r="F691" s="246"/>
    </row>
    <row r="692" spans="5:6" x14ac:dyDescent="0.15">
      <c r="E692" s="246"/>
      <c r="F692" s="246"/>
    </row>
    <row r="693" spans="5:6" x14ac:dyDescent="0.15">
      <c r="E693" s="246"/>
      <c r="F693" s="246"/>
    </row>
    <row r="694" spans="5:6" x14ac:dyDescent="0.15">
      <c r="E694" s="246"/>
      <c r="F694" s="246"/>
    </row>
    <row r="695" spans="5:6" x14ac:dyDescent="0.15">
      <c r="E695" s="246"/>
      <c r="F695" s="246"/>
    </row>
    <row r="696" spans="5:6" x14ac:dyDescent="0.15">
      <c r="E696" s="246"/>
      <c r="F696" s="246"/>
    </row>
    <row r="697" spans="5:6" x14ac:dyDescent="0.15">
      <c r="E697" s="246"/>
      <c r="F697" s="246"/>
    </row>
    <row r="698" spans="5:6" x14ac:dyDescent="0.15">
      <c r="E698" s="246"/>
      <c r="F698" s="246"/>
    </row>
    <row r="699" spans="5:6" x14ac:dyDescent="0.15">
      <c r="E699" s="246"/>
      <c r="F699" s="246"/>
    </row>
    <row r="700" spans="5:6" x14ac:dyDescent="0.15">
      <c r="E700" s="246"/>
      <c r="F700" s="246"/>
    </row>
    <row r="701" spans="5:6" x14ac:dyDescent="0.15">
      <c r="E701" s="246"/>
      <c r="F701" s="246"/>
    </row>
    <row r="702" spans="5:6" x14ac:dyDescent="0.15">
      <c r="E702" s="246"/>
      <c r="F702" s="246"/>
    </row>
    <row r="703" spans="5:6" x14ac:dyDescent="0.15">
      <c r="E703" s="246"/>
      <c r="F703" s="246"/>
    </row>
    <row r="704" spans="5:6" x14ac:dyDescent="0.15">
      <c r="E704" s="246"/>
      <c r="F704" s="246"/>
    </row>
    <row r="705" spans="5:6" x14ac:dyDescent="0.15">
      <c r="E705" s="246"/>
      <c r="F705" s="246"/>
    </row>
    <row r="706" spans="5:6" x14ac:dyDescent="0.15">
      <c r="E706" s="246"/>
      <c r="F706" s="246"/>
    </row>
    <row r="707" spans="5:6" x14ac:dyDescent="0.15">
      <c r="E707" s="246"/>
      <c r="F707" s="246"/>
    </row>
    <row r="708" spans="5:6" x14ac:dyDescent="0.15">
      <c r="E708" s="246"/>
      <c r="F708" s="246"/>
    </row>
    <row r="709" spans="5:6" x14ac:dyDescent="0.15">
      <c r="E709" s="246"/>
      <c r="F709" s="246"/>
    </row>
    <row r="710" spans="5:6" x14ac:dyDescent="0.15">
      <c r="E710" s="246"/>
      <c r="F710" s="246"/>
    </row>
    <row r="711" spans="5:6" x14ac:dyDescent="0.15">
      <c r="E711" s="246"/>
      <c r="F711" s="246"/>
    </row>
    <row r="712" spans="5:6" x14ac:dyDescent="0.15">
      <c r="E712" s="246"/>
      <c r="F712" s="246"/>
    </row>
    <row r="713" spans="5:6" x14ac:dyDescent="0.15">
      <c r="E713" s="246"/>
      <c r="F713" s="246"/>
    </row>
    <row r="714" spans="5:6" x14ac:dyDescent="0.15">
      <c r="E714" s="246"/>
      <c r="F714" s="246"/>
    </row>
    <row r="715" spans="5:6" x14ac:dyDescent="0.15">
      <c r="E715" s="246"/>
      <c r="F715" s="246"/>
    </row>
    <row r="716" spans="5:6" x14ac:dyDescent="0.15">
      <c r="E716" s="246"/>
      <c r="F716" s="246"/>
    </row>
    <row r="717" spans="5:6" x14ac:dyDescent="0.15">
      <c r="E717" s="246"/>
      <c r="F717" s="246"/>
    </row>
    <row r="718" spans="5:6" x14ac:dyDescent="0.15">
      <c r="E718" s="246"/>
      <c r="F718" s="246"/>
    </row>
    <row r="719" spans="5:6" x14ac:dyDescent="0.15">
      <c r="E719" s="246"/>
      <c r="F719" s="246"/>
    </row>
    <row r="720" spans="5:6" x14ac:dyDescent="0.15">
      <c r="E720" s="246"/>
      <c r="F720" s="246"/>
    </row>
    <row r="721" spans="5:6" x14ac:dyDescent="0.15">
      <c r="E721" s="246"/>
      <c r="F721" s="246"/>
    </row>
    <row r="722" spans="5:6" x14ac:dyDescent="0.15">
      <c r="E722" s="246"/>
      <c r="F722" s="246"/>
    </row>
    <row r="723" spans="5:6" x14ac:dyDescent="0.15">
      <c r="E723" s="246"/>
      <c r="F723" s="246"/>
    </row>
    <row r="724" spans="5:6" x14ac:dyDescent="0.15">
      <c r="E724" s="246"/>
      <c r="F724" s="246"/>
    </row>
    <row r="725" spans="5:6" x14ac:dyDescent="0.15">
      <c r="E725" s="246"/>
      <c r="F725" s="246"/>
    </row>
    <row r="726" spans="5:6" x14ac:dyDescent="0.15">
      <c r="E726" s="246"/>
      <c r="F726" s="246"/>
    </row>
    <row r="727" spans="5:6" x14ac:dyDescent="0.15">
      <c r="E727" s="246"/>
      <c r="F727" s="246"/>
    </row>
    <row r="728" spans="5:6" x14ac:dyDescent="0.15">
      <c r="E728" s="246"/>
      <c r="F728" s="246"/>
    </row>
    <row r="729" spans="5:6" x14ac:dyDescent="0.15">
      <c r="E729" s="246"/>
    </row>
  </sheetData>
  <phoneticPr fontId="3"/>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20"/>
  <sheetViews>
    <sheetView topLeftCell="A22" zoomScale="80" zoomScaleNormal="80" workbookViewId="0">
      <selection activeCell="Q60" sqref="Q60"/>
    </sheetView>
  </sheetViews>
  <sheetFormatPr defaultRowHeight="13.5" x14ac:dyDescent="0.15"/>
  <cols>
    <col min="1" max="3" width="9" style="208" customWidth="1"/>
    <col min="4" max="4" width="10.5" style="208" customWidth="1"/>
    <col min="5" max="5" width="11.25" style="208" bestFit="1" customWidth="1"/>
    <col min="6" max="7" width="9" style="208"/>
    <col min="8" max="10" width="9" style="208" customWidth="1"/>
    <col min="11" max="11" width="11.375" style="208" customWidth="1"/>
    <col min="12" max="16" width="9" style="208" customWidth="1"/>
    <col min="17" max="17" width="9" style="217" customWidth="1"/>
    <col min="18" max="18" width="9" style="208"/>
    <col min="19" max="19" width="9.5" style="208" bestFit="1" customWidth="1"/>
    <col min="20" max="20" width="9" style="217" customWidth="1"/>
    <col min="21" max="21" width="9" style="208"/>
    <col min="22" max="22" width="9" style="217" customWidth="1"/>
    <col min="23" max="28" width="9" style="208"/>
    <col min="29" max="29" width="26.5" style="208" customWidth="1"/>
    <col min="30" max="32" width="9" style="208"/>
    <col min="33" max="33" width="15.75" style="208" bestFit="1" customWidth="1"/>
    <col min="34" max="34" width="15" style="208" bestFit="1" customWidth="1"/>
    <col min="35" max="256" width="9" style="208"/>
    <col min="257" max="259" width="9" style="208" customWidth="1"/>
    <col min="260" max="260" width="10.5" style="208" customWidth="1"/>
    <col min="261" max="261" width="11.25" style="208" bestFit="1" customWidth="1"/>
    <col min="262" max="263" width="9" style="208"/>
    <col min="264" max="273" width="9" style="208" customWidth="1"/>
    <col min="274" max="274" width="9" style="208"/>
    <col min="275" max="275" width="9.5" style="208" bestFit="1" customWidth="1"/>
    <col min="276" max="276" width="9" style="208" customWidth="1"/>
    <col min="277" max="277" width="9" style="208"/>
    <col min="278" max="278" width="9" style="208" customWidth="1"/>
    <col min="279" max="284" width="9" style="208"/>
    <col min="285" max="285" width="26.5" style="208" customWidth="1"/>
    <col min="286" max="288" width="9" style="208"/>
    <col min="289" max="289" width="14.75" style="208" bestFit="1" customWidth="1"/>
    <col min="290" max="512" width="9" style="208"/>
    <col min="513" max="515" width="9" style="208" customWidth="1"/>
    <col min="516" max="516" width="10.5" style="208" customWidth="1"/>
    <col min="517" max="517" width="11.25" style="208" bestFit="1" customWidth="1"/>
    <col min="518" max="519" width="9" style="208"/>
    <col min="520" max="529" width="9" style="208" customWidth="1"/>
    <col min="530" max="530" width="9" style="208"/>
    <col min="531" max="531" width="9.5" style="208" bestFit="1" customWidth="1"/>
    <col min="532" max="532" width="9" style="208" customWidth="1"/>
    <col min="533" max="533" width="9" style="208"/>
    <col min="534" max="534" width="9" style="208" customWidth="1"/>
    <col min="535" max="540" width="9" style="208"/>
    <col min="541" max="541" width="26.5" style="208" customWidth="1"/>
    <col min="542" max="544" width="9" style="208"/>
    <col min="545" max="545" width="14.75" style="208" bestFit="1" customWidth="1"/>
    <col min="546" max="768" width="9" style="208"/>
    <col min="769" max="771" width="9" style="208" customWidth="1"/>
    <col min="772" max="772" width="10.5" style="208" customWidth="1"/>
    <col min="773" max="773" width="11.25" style="208" bestFit="1" customWidth="1"/>
    <col min="774" max="775" width="9" style="208"/>
    <col min="776" max="785" width="9" style="208" customWidth="1"/>
    <col min="786" max="786" width="9" style="208"/>
    <col min="787" max="787" width="9.5" style="208" bestFit="1" customWidth="1"/>
    <col min="788" max="788" width="9" style="208" customWidth="1"/>
    <col min="789" max="789" width="9" style="208"/>
    <col min="790" max="790" width="9" style="208" customWidth="1"/>
    <col min="791" max="796" width="9" style="208"/>
    <col min="797" max="797" width="26.5" style="208" customWidth="1"/>
    <col min="798" max="800" width="9" style="208"/>
    <col min="801" max="801" width="14.75" style="208" bestFit="1" customWidth="1"/>
    <col min="802" max="1024" width="9" style="208"/>
    <col min="1025" max="1027" width="9" style="208" customWidth="1"/>
    <col min="1028" max="1028" width="10.5" style="208" customWidth="1"/>
    <col min="1029" max="1029" width="11.25" style="208" bestFit="1" customWidth="1"/>
    <col min="1030" max="1031" width="9" style="208"/>
    <col min="1032" max="1041" width="9" style="208" customWidth="1"/>
    <col min="1042" max="1042" width="9" style="208"/>
    <col min="1043" max="1043" width="9.5" style="208" bestFit="1" customWidth="1"/>
    <col min="1044" max="1044" width="9" style="208" customWidth="1"/>
    <col min="1045" max="1045" width="9" style="208"/>
    <col min="1046" max="1046" width="9" style="208" customWidth="1"/>
    <col min="1047" max="1052" width="9" style="208"/>
    <col min="1053" max="1053" width="26.5" style="208" customWidth="1"/>
    <col min="1054" max="1056" width="9" style="208"/>
    <col min="1057" max="1057" width="14.75" style="208" bestFit="1" customWidth="1"/>
    <col min="1058" max="1280" width="9" style="208"/>
    <col min="1281" max="1283" width="9" style="208" customWidth="1"/>
    <col min="1284" max="1284" width="10.5" style="208" customWidth="1"/>
    <col min="1285" max="1285" width="11.25" style="208" bestFit="1" customWidth="1"/>
    <col min="1286" max="1287" width="9" style="208"/>
    <col min="1288" max="1297" width="9" style="208" customWidth="1"/>
    <col min="1298" max="1298" width="9" style="208"/>
    <col min="1299" max="1299" width="9.5" style="208" bestFit="1" customWidth="1"/>
    <col min="1300" max="1300" width="9" style="208" customWidth="1"/>
    <col min="1301" max="1301" width="9" style="208"/>
    <col min="1302" max="1302" width="9" style="208" customWidth="1"/>
    <col min="1303" max="1308" width="9" style="208"/>
    <col min="1309" max="1309" width="26.5" style="208" customWidth="1"/>
    <col min="1310" max="1312" width="9" style="208"/>
    <col min="1313" max="1313" width="14.75" style="208" bestFit="1" customWidth="1"/>
    <col min="1314" max="1536" width="9" style="208"/>
    <col min="1537" max="1539" width="9" style="208" customWidth="1"/>
    <col min="1540" max="1540" width="10.5" style="208" customWidth="1"/>
    <col min="1541" max="1541" width="11.25" style="208" bestFit="1" customWidth="1"/>
    <col min="1542" max="1543" width="9" style="208"/>
    <col min="1544" max="1553" width="9" style="208" customWidth="1"/>
    <col min="1554" max="1554" width="9" style="208"/>
    <col min="1555" max="1555" width="9.5" style="208" bestFit="1" customWidth="1"/>
    <col min="1556" max="1556" width="9" style="208" customWidth="1"/>
    <col min="1557" max="1557" width="9" style="208"/>
    <col min="1558" max="1558" width="9" style="208" customWidth="1"/>
    <col min="1559" max="1564" width="9" style="208"/>
    <col min="1565" max="1565" width="26.5" style="208" customWidth="1"/>
    <col min="1566" max="1568" width="9" style="208"/>
    <col min="1569" max="1569" width="14.75" style="208" bestFit="1" customWidth="1"/>
    <col min="1570" max="1792" width="9" style="208"/>
    <col min="1793" max="1795" width="9" style="208" customWidth="1"/>
    <col min="1796" max="1796" width="10.5" style="208" customWidth="1"/>
    <col min="1797" max="1797" width="11.25" style="208" bestFit="1" customWidth="1"/>
    <col min="1798" max="1799" width="9" style="208"/>
    <col min="1800" max="1809" width="9" style="208" customWidth="1"/>
    <col min="1810" max="1810" width="9" style="208"/>
    <col min="1811" max="1811" width="9.5" style="208" bestFit="1" customWidth="1"/>
    <col min="1812" max="1812" width="9" style="208" customWidth="1"/>
    <col min="1813" max="1813" width="9" style="208"/>
    <col min="1814" max="1814" width="9" style="208" customWidth="1"/>
    <col min="1815" max="1820" width="9" style="208"/>
    <col min="1821" max="1821" width="26.5" style="208" customWidth="1"/>
    <col min="1822" max="1824" width="9" style="208"/>
    <col min="1825" max="1825" width="14.75" style="208" bestFit="1" customWidth="1"/>
    <col min="1826" max="2048" width="9" style="208"/>
    <col min="2049" max="2051" width="9" style="208" customWidth="1"/>
    <col min="2052" max="2052" width="10.5" style="208" customWidth="1"/>
    <col min="2053" max="2053" width="11.25" style="208" bestFit="1" customWidth="1"/>
    <col min="2054" max="2055" width="9" style="208"/>
    <col min="2056" max="2065" width="9" style="208" customWidth="1"/>
    <col min="2066" max="2066" width="9" style="208"/>
    <col min="2067" max="2067" width="9.5" style="208" bestFit="1" customWidth="1"/>
    <col min="2068" max="2068" width="9" style="208" customWidth="1"/>
    <col min="2069" max="2069" width="9" style="208"/>
    <col min="2070" max="2070" width="9" style="208" customWidth="1"/>
    <col min="2071" max="2076" width="9" style="208"/>
    <col min="2077" max="2077" width="26.5" style="208" customWidth="1"/>
    <col min="2078" max="2080" width="9" style="208"/>
    <col min="2081" max="2081" width="14.75" style="208" bestFit="1" customWidth="1"/>
    <col min="2082" max="2304" width="9" style="208"/>
    <col min="2305" max="2307" width="9" style="208" customWidth="1"/>
    <col min="2308" max="2308" width="10.5" style="208" customWidth="1"/>
    <col min="2309" max="2309" width="11.25" style="208" bestFit="1" customWidth="1"/>
    <col min="2310" max="2311" width="9" style="208"/>
    <col min="2312" max="2321" width="9" style="208" customWidth="1"/>
    <col min="2322" max="2322" width="9" style="208"/>
    <col min="2323" max="2323" width="9.5" style="208" bestFit="1" customWidth="1"/>
    <col min="2324" max="2324" width="9" style="208" customWidth="1"/>
    <col min="2325" max="2325" width="9" style="208"/>
    <col min="2326" max="2326" width="9" style="208" customWidth="1"/>
    <col min="2327" max="2332" width="9" style="208"/>
    <col min="2333" max="2333" width="26.5" style="208" customWidth="1"/>
    <col min="2334" max="2336" width="9" style="208"/>
    <col min="2337" max="2337" width="14.75" style="208" bestFit="1" customWidth="1"/>
    <col min="2338" max="2560" width="9" style="208"/>
    <col min="2561" max="2563" width="9" style="208" customWidth="1"/>
    <col min="2564" max="2564" width="10.5" style="208" customWidth="1"/>
    <col min="2565" max="2565" width="11.25" style="208" bestFit="1" customWidth="1"/>
    <col min="2566" max="2567" width="9" style="208"/>
    <col min="2568" max="2577" width="9" style="208" customWidth="1"/>
    <col min="2578" max="2578" width="9" style="208"/>
    <col min="2579" max="2579" width="9.5" style="208" bestFit="1" customWidth="1"/>
    <col min="2580" max="2580" width="9" style="208" customWidth="1"/>
    <col min="2581" max="2581" width="9" style="208"/>
    <col min="2582" max="2582" width="9" style="208" customWidth="1"/>
    <col min="2583" max="2588" width="9" style="208"/>
    <col min="2589" max="2589" width="26.5" style="208" customWidth="1"/>
    <col min="2590" max="2592" width="9" style="208"/>
    <col min="2593" max="2593" width="14.75" style="208" bestFit="1" customWidth="1"/>
    <col min="2594" max="2816" width="9" style="208"/>
    <col min="2817" max="2819" width="9" style="208" customWidth="1"/>
    <col min="2820" max="2820" width="10.5" style="208" customWidth="1"/>
    <col min="2821" max="2821" width="11.25" style="208" bestFit="1" customWidth="1"/>
    <col min="2822" max="2823" width="9" style="208"/>
    <col min="2824" max="2833" width="9" style="208" customWidth="1"/>
    <col min="2834" max="2834" width="9" style="208"/>
    <col min="2835" max="2835" width="9.5" style="208" bestFit="1" customWidth="1"/>
    <col min="2836" max="2836" width="9" style="208" customWidth="1"/>
    <col min="2837" max="2837" width="9" style="208"/>
    <col min="2838" max="2838" width="9" style="208" customWidth="1"/>
    <col min="2839" max="2844" width="9" style="208"/>
    <col min="2845" max="2845" width="26.5" style="208" customWidth="1"/>
    <col min="2846" max="2848" width="9" style="208"/>
    <col min="2849" max="2849" width="14.75" style="208" bestFit="1" customWidth="1"/>
    <col min="2850" max="3072" width="9" style="208"/>
    <col min="3073" max="3075" width="9" style="208" customWidth="1"/>
    <col min="3076" max="3076" width="10.5" style="208" customWidth="1"/>
    <col min="3077" max="3077" width="11.25" style="208" bestFit="1" customWidth="1"/>
    <col min="3078" max="3079" width="9" style="208"/>
    <col min="3080" max="3089" width="9" style="208" customWidth="1"/>
    <col min="3090" max="3090" width="9" style="208"/>
    <col min="3091" max="3091" width="9.5" style="208" bestFit="1" customWidth="1"/>
    <col min="3092" max="3092" width="9" style="208" customWidth="1"/>
    <col min="3093" max="3093" width="9" style="208"/>
    <col min="3094" max="3094" width="9" style="208" customWidth="1"/>
    <col min="3095" max="3100" width="9" style="208"/>
    <col min="3101" max="3101" width="26.5" style="208" customWidth="1"/>
    <col min="3102" max="3104" width="9" style="208"/>
    <col min="3105" max="3105" width="14.75" style="208" bestFit="1" customWidth="1"/>
    <col min="3106" max="3328" width="9" style="208"/>
    <col min="3329" max="3331" width="9" style="208" customWidth="1"/>
    <col min="3332" max="3332" width="10.5" style="208" customWidth="1"/>
    <col min="3333" max="3333" width="11.25" style="208" bestFit="1" customWidth="1"/>
    <col min="3334" max="3335" width="9" style="208"/>
    <col min="3336" max="3345" width="9" style="208" customWidth="1"/>
    <col min="3346" max="3346" width="9" style="208"/>
    <col min="3347" max="3347" width="9.5" style="208" bestFit="1" customWidth="1"/>
    <col min="3348" max="3348" width="9" style="208" customWidth="1"/>
    <col min="3349" max="3349" width="9" style="208"/>
    <col min="3350" max="3350" width="9" style="208" customWidth="1"/>
    <col min="3351" max="3356" width="9" style="208"/>
    <col min="3357" max="3357" width="26.5" style="208" customWidth="1"/>
    <col min="3358" max="3360" width="9" style="208"/>
    <col min="3361" max="3361" width="14.75" style="208" bestFit="1" customWidth="1"/>
    <col min="3362" max="3584" width="9" style="208"/>
    <col min="3585" max="3587" width="9" style="208" customWidth="1"/>
    <col min="3588" max="3588" width="10.5" style="208" customWidth="1"/>
    <col min="3589" max="3589" width="11.25" style="208" bestFit="1" customWidth="1"/>
    <col min="3590" max="3591" width="9" style="208"/>
    <col min="3592" max="3601" width="9" style="208" customWidth="1"/>
    <col min="3602" max="3602" width="9" style="208"/>
    <col min="3603" max="3603" width="9.5" style="208" bestFit="1" customWidth="1"/>
    <col min="3604" max="3604" width="9" style="208" customWidth="1"/>
    <col min="3605" max="3605" width="9" style="208"/>
    <col min="3606" max="3606" width="9" style="208" customWidth="1"/>
    <col min="3607" max="3612" width="9" style="208"/>
    <col min="3613" max="3613" width="26.5" style="208" customWidth="1"/>
    <col min="3614" max="3616" width="9" style="208"/>
    <col min="3617" max="3617" width="14.75" style="208" bestFit="1" customWidth="1"/>
    <col min="3618" max="3840" width="9" style="208"/>
    <col min="3841" max="3843" width="9" style="208" customWidth="1"/>
    <col min="3844" max="3844" width="10.5" style="208" customWidth="1"/>
    <col min="3845" max="3845" width="11.25" style="208" bestFit="1" customWidth="1"/>
    <col min="3846" max="3847" width="9" style="208"/>
    <col min="3848" max="3857" width="9" style="208" customWidth="1"/>
    <col min="3858" max="3858" width="9" style="208"/>
    <col min="3859" max="3859" width="9.5" style="208" bestFit="1" customWidth="1"/>
    <col min="3860" max="3860" width="9" style="208" customWidth="1"/>
    <col min="3861" max="3861" width="9" style="208"/>
    <col min="3862" max="3862" width="9" style="208" customWidth="1"/>
    <col min="3863" max="3868" width="9" style="208"/>
    <col min="3869" max="3869" width="26.5" style="208" customWidth="1"/>
    <col min="3870" max="3872" width="9" style="208"/>
    <col min="3873" max="3873" width="14.75" style="208" bestFit="1" customWidth="1"/>
    <col min="3874" max="4096" width="9" style="208"/>
    <col min="4097" max="4099" width="9" style="208" customWidth="1"/>
    <col min="4100" max="4100" width="10.5" style="208" customWidth="1"/>
    <col min="4101" max="4101" width="11.25" style="208" bestFit="1" customWidth="1"/>
    <col min="4102" max="4103" width="9" style="208"/>
    <col min="4104" max="4113" width="9" style="208" customWidth="1"/>
    <col min="4114" max="4114" width="9" style="208"/>
    <col min="4115" max="4115" width="9.5" style="208" bestFit="1" customWidth="1"/>
    <col min="4116" max="4116" width="9" style="208" customWidth="1"/>
    <col min="4117" max="4117" width="9" style="208"/>
    <col min="4118" max="4118" width="9" style="208" customWidth="1"/>
    <col min="4119" max="4124" width="9" style="208"/>
    <col min="4125" max="4125" width="26.5" style="208" customWidth="1"/>
    <col min="4126" max="4128" width="9" style="208"/>
    <col min="4129" max="4129" width="14.75" style="208" bestFit="1" customWidth="1"/>
    <col min="4130" max="4352" width="9" style="208"/>
    <col min="4353" max="4355" width="9" style="208" customWidth="1"/>
    <col min="4356" max="4356" width="10.5" style="208" customWidth="1"/>
    <col min="4357" max="4357" width="11.25" style="208" bestFit="1" customWidth="1"/>
    <col min="4358" max="4359" width="9" style="208"/>
    <col min="4360" max="4369" width="9" style="208" customWidth="1"/>
    <col min="4370" max="4370" width="9" style="208"/>
    <col min="4371" max="4371" width="9.5" style="208" bestFit="1" customWidth="1"/>
    <col min="4372" max="4372" width="9" style="208" customWidth="1"/>
    <col min="4373" max="4373" width="9" style="208"/>
    <col min="4374" max="4374" width="9" style="208" customWidth="1"/>
    <col min="4375" max="4380" width="9" style="208"/>
    <col min="4381" max="4381" width="26.5" style="208" customWidth="1"/>
    <col min="4382" max="4384" width="9" style="208"/>
    <col min="4385" max="4385" width="14.75" style="208" bestFit="1" customWidth="1"/>
    <col min="4386" max="4608" width="9" style="208"/>
    <col min="4609" max="4611" width="9" style="208" customWidth="1"/>
    <col min="4612" max="4612" width="10.5" style="208" customWidth="1"/>
    <col min="4613" max="4613" width="11.25" style="208" bestFit="1" customWidth="1"/>
    <col min="4614" max="4615" width="9" style="208"/>
    <col min="4616" max="4625" width="9" style="208" customWidth="1"/>
    <col min="4626" max="4626" width="9" style="208"/>
    <col min="4627" max="4627" width="9.5" style="208" bestFit="1" customWidth="1"/>
    <col min="4628" max="4628" width="9" style="208" customWidth="1"/>
    <col min="4629" max="4629" width="9" style="208"/>
    <col min="4630" max="4630" width="9" style="208" customWidth="1"/>
    <col min="4631" max="4636" width="9" style="208"/>
    <col min="4637" max="4637" width="26.5" style="208" customWidth="1"/>
    <col min="4638" max="4640" width="9" style="208"/>
    <col min="4641" max="4641" width="14.75" style="208" bestFit="1" customWidth="1"/>
    <col min="4642" max="4864" width="9" style="208"/>
    <col min="4865" max="4867" width="9" style="208" customWidth="1"/>
    <col min="4868" max="4868" width="10.5" style="208" customWidth="1"/>
    <col min="4869" max="4869" width="11.25" style="208" bestFit="1" customWidth="1"/>
    <col min="4870" max="4871" width="9" style="208"/>
    <col min="4872" max="4881" width="9" style="208" customWidth="1"/>
    <col min="4882" max="4882" width="9" style="208"/>
    <col min="4883" max="4883" width="9.5" style="208" bestFit="1" customWidth="1"/>
    <col min="4884" max="4884" width="9" style="208" customWidth="1"/>
    <col min="4885" max="4885" width="9" style="208"/>
    <col min="4886" max="4886" width="9" style="208" customWidth="1"/>
    <col min="4887" max="4892" width="9" style="208"/>
    <col min="4893" max="4893" width="26.5" style="208" customWidth="1"/>
    <col min="4894" max="4896" width="9" style="208"/>
    <col min="4897" max="4897" width="14.75" style="208" bestFit="1" customWidth="1"/>
    <col min="4898" max="5120" width="9" style="208"/>
    <col min="5121" max="5123" width="9" style="208" customWidth="1"/>
    <col min="5124" max="5124" width="10.5" style="208" customWidth="1"/>
    <col min="5125" max="5125" width="11.25" style="208" bestFit="1" customWidth="1"/>
    <col min="5126" max="5127" width="9" style="208"/>
    <col min="5128" max="5137" width="9" style="208" customWidth="1"/>
    <col min="5138" max="5138" width="9" style="208"/>
    <col min="5139" max="5139" width="9.5" style="208" bestFit="1" customWidth="1"/>
    <col min="5140" max="5140" width="9" style="208" customWidth="1"/>
    <col min="5141" max="5141" width="9" style="208"/>
    <col min="5142" max="5142" width="9" style="208" customWidth="1"/>
    <col min="5143" max="5148" width="9" style="208"/>
    <col min="5149" max="5149" width="26.5" style="208" customWidth="1"/>
    <col min="5150" max="5152" width="9" style="208"/>
    <col min="5153" max="5153" width="14.75" style="208" bestFit="1" customWidth="1"/>
    <col min="5154" max="5376" width="9" style="208"/>
    <col min="5377" max="5379" width="9" style="208" customWidth="1"/>
    <col min="5380" max="5380" width="10.5" style="208" customWidth="1"/>
    <col min="5381" max="5381" width="11.25" style="208" bestFit="1" customWidth="1"/>
    <col min="5382" max="5383" width="9" style="208"/>
    <col min="5384" max="5393" width="9" style="208" customWidth="1"/>
    <col min="5394" max="5394" width="9" style="208"/>
    <col min="5395" max="5395" width="9.5" style="208" bestFit="1" customWidth="1"/>
    <col min="5396" max="5396" width="9" style="208" customWidth="1"/>
    <col min="5397" max="5397" width="9" style="208"/>
    <col min="5398" max="5398" width="9" style="208" customWidth="1"/>
    <col min="5399" max="5404" width="9" style="208"/>
    <col min="5405" max="5405" width="26.5" style="208" customWidth="1"/>
    <col min="5406" max="5408" width="9" style="208"/>
    <col min="5409" max="5409" width="14.75" style="208" bestFit="1" customWidth="1"/>
    <col min="5410" max="5632" width="9" style="208"/>
    <col min="5633" max="5635" width="9" style="208" customWidth="1"/>
    <col min="5636" max="5636" width="10.5" style="208" customWidth="1"/>
    <col min="5637" max="5637" width="11.25" style="208" bestFit="1" customWidth="1"/>
    <col min="5638" max="5639" width="9" style="208"/>
    <col min="5640" max="5649" width="9" style="208" customWidth="1"/>
    <col min="5650" max="5650" width="9" style="208"/>
    <col min="5651" max="5651" width="9.5" style="208" bestFit="1" customWidth="1"/>
    <col min="5652" max="5652" width="9" style="208" customWidth="1"/>
    <col min="5653" max="5653" width="9" style="208"/>
    <col min="5654" max="5654" width="9" style="208" customWidth="1"/>
    <col min="5655" max="5660" width="9" style="208"/>
    <col min="5661" max="5661" width="26.5" style="208" customWidth="1"/>
    <col min="5662" max="5664" width="9" style="208"/>
    <col min="5665" max="5665" width="14.75" style="208" bestFit="1" customWidth="1"/>
    <col min="5666" max="5888" width="9" style="208"/>
    <col min="5889" max="5891" width="9" style="208" customWidth="1"/>
    <col min="5892" max="5892" width="10.5" style="208" customWidth="1"/>
    <col min="5893" max="5893" width="11.25" style="208" bestFit="1" customWidth="1"/>
    <col min="5894" max="5895" width="9" style="208"/>
    <col min="5896" max="5905" width="9" style="208" customWidth="1"/>
    <col min="5906" max="5906" width="9" style="208"/>
    <col min="5907" max="5907" width="9.5" style="208" bestFit="1" customWidth="1"/>
    <col min="5908" max="5908" width="9" style="208" customWidth="1"/>
    <col min="5909" max="5909" width="9" style="208"/>
    <col min="5910" max="5910" width="9" style="208" customWidth="1"/>
    <col min="5911" max="5916" width="9" style="208"/>
    <col min="5917" max="5917" width="26.5" style="208" customWidth="1"/>
    <col min="5918" max="5920" width="9" style="208"/>
    <col min="5921" max="5921" width="14.75" style="208" bestFit="1" customWidth="1"/>
    <col min="5922" max="6144" width="9" style="208"/>
    <col min="6145" max="6147" width="9" style="208" customWidth="1"/>
    <col min="6148" max="6148" width="10.5" style="208" customWidth="1"/>
    <col min="6149" max="6149" width="11.25" style="208" bestFit="1" customWidth="1"/>
    <col min="6150" max="6151" width="9" style="208"/>
    <col min="6152" max="6161" width="9" style="208" customWidth="1"/>
    <col min="6162" max="6162" width="9" style="208"/>
    <col min="6163" max="6163" width="9.5" style="208" bestFit="1" customWidth="1"/>
    <col min="6164" max="6164" width="9" style="208" customWidth="1"/>
    <col min="6165" max="6165" width="9" style="208"/>
    <col min="6166" max="6166" width="9" style="208" customWidth="1"/>
    <col min="6167" max="6172" width="9" style="208"/>
    <col min="6173" max="6173" width="26.5" style="208" customWidth="1"/>
    <col min="6174" max="6176" width="9" style="208"/>
    <col min="6177" max="6177" width="14.75" style="208" bestFit="1" customWidth="1"/>
    <col min="6178" max="6400" width="9" style="208"/>
    <col min="6401" max="6403" width="9" style="208" customWidth="1"/>
    <col min="6404" max="6404" width="10.5" style="208" customWidth="1"/>
    <col min="6405" max="6405" width="11.25" style="208" bestFit="1" customWidth="1"/>
    <col min="6406" max="6407" width="9" style="208"/>
    <col min="6408" max="6417" width="9" style="208" customWidth="1"/>
    <col min="6418" max="6418" width="9" style="208"/>
    <col min="6419" max="6419" width="9.5" style="208" bestFit="1" customWidth="1"/>
    <col min="6420" max="6420" width="9" style="208" customWidth="1"/>
    <col min="6421" max="6421" width="9" style="208"/>
    <col min="6422" max="6422" width="9" style="208" customWidth="1"/>
    <col min="6423" max="6428" width="9" style="208"/>
    <col min="6429" max="6429" width="26.5" style="208" customWidth="1"/>
    <col min="6430" max="6432" width="9" style="208"/>
    <col min="6433" max="6433" width="14.75" style="208" bestFit="1" customWidth="1"/>
    <col min="6434" max="6656" width="9" style="208"/>
    <col min="6657" max="6659" width="9" style="208" customWidth="1"/>
    <col min="6660" max="6660" width="10.5" style="208" customWidth="1"/>
    <col min="6661" max="6661" width="11.25" style="208" bestFit="1" customWidth="1"/>
    <col min="6662" max="6663" width="9" style="208"/>
    <col min="6664" max="6673" width="9" style="208" customWidth="1"/>
    <col min="6674" max="6674" width="9" style="208"/>
    <col min="6675" max="6675" width="9.5" style="208" bestFit="1" customWidth="1"/>
    <col min="6676" max="6676" width="9" style="208" customWidth="1"/>
    <col min="6677" max="6677" width="9" style="208"/>
    <col min="6678" max="6678" width="9" style="208" customWidth="1"/>
    <col min="6679" max="6684" width="9" style="208"/>
    <col min="6685" max="6685" width="26.5" style="208" customWidth="1"/>
    <col min="6686" max="6688" width="9" style="208"/>
    <col min="6689" max="6689" width="14.75" style="208" bestFit="1" customWidth="1"/>
    <col min="6690" max="6912" width="9" style="208"/>
    <col min="6913" max="6915" width="9" style="208" customWidth="1"/>
    <col min="6916" max="6916" width="10.5" style="208" customWidth="1"/>
    <col min="6917" max="6917" width="11.25" style="208" bestFit="1" customWidth="1"/>
    <col min="6918" max="6919" width="9" style="208"/>
    <col min="6920" max="6929" width="9" style="208" customWidth="1"/>
    <col min="6930" max="6930" width="9" style="208"/>
    <col min="6931" max="6931" width="9.5" style="208" bestFit="1" customWidth="1"/>
    <col min="6932" max="6932" width="9" style="208" customWidth="1"/>
    <col min="6933" max="6933" width="9" style="208"/>
    <col min="6934" max="6934" width="9" style="208" customWidth="1"/>
    <col min="6935" max="6940" width="9" style="208"/>
    <col min="6941" max="6941" width="26.5" style="208" customWidth="1"/>
    <col min="6942" max="6944" width="9" style="208"/>
    <col min="6945" max="6945" width="14.75" style="208" bestFit="1" customWidth="1"/>
    <col min="6946" max="7168" width="9" style="208"/>
    <col min="7169" max="7171" width="9" style="208" customWidth="1"/>
    <col min="7172" max="7172" width="10.5" style="208" customWidth="1"/>
    <col min="7173" max="7173" width="11.25" style="208" bestFit="1" customWidth="1"/>
    <col min="7174" max="7175" width="9" style="208"/>
    <col min="7176" max="7185" width="9" style="208" customWidth="1"/>
    <col min="7186" max="7186" width="9" style="208"/>
    <col min="7187" max="7187" width="9.5" style="208" bestFit="1" customWidth="1"/>
    <col min="7188" max="7188" width="9" style="208" customWidth="1"/>
    <col min="7189" max="7189" width="9" style="208"/>
    <col min="7190" max="7190" width="9" style="208" customWidth="1"/>
    <col min="7191" max="7196" width="9" style="208"/>
    <col min="7197" max="7197" width="26.5" style="208" customWidth="1"/>
    <col min="7198" max="7200" width="9" style="208"/>
    <col min="7201" max="7201" width="14.75" style="208" bestFit="1" customWidth="1"/>
    <col min="7202" max="7424" width="9" style="208"/>
    <col min="7425" max="7427" width="9" style="208" customWidth="1"/>
    <col min="7428" max="7428" width="10.5" style="208" customWidth="1"/>
    <col min="7429" max="7429" width="11.25" style="208" bestFit="1" customWidth="1"/>
    <col min="7430" max="7431" width="9" style="208"/>
    <col min="7432" max="7441" width="9" style="208" customWidth="1"/>
    <col min="7442" max="7442" width="9" style="208"/>
    <col min="7443" max="7443" width="9.5" style="208" bestFit="1" customWidth="1"/>
    <col min="7444" max="7444" width="9" style="208" customWidth="1"/>
    <col min="7445" max="7445" width="9" style="208"/>
    <col min="7446" max="7446" width="9" style="208" customWidth="1"/>
    <col min="7447" max="7452" width="9" style="208"/>
    <col min="7453" max="7453" width="26.5" style="208" customWidth="1"/>
    <col min="7454" max="7456" width="9" style="208"/>
    <col min="7457" max="7457" width="14.75" style="208" bestFit="1" customWidth="1"/>
    <col min="7458" max="7680" width="9" style="208"/>
    <col min="7681" max="7683" width="9" style="208" customWidth="1"/>
    <col min="7684" max="7684" width="10.5" style="208" customWidth="1"/>
    <col min="7685" max="7685" width="11.25" style="208" bestFit="1" customWidth="1"/>
    <col min="7686" max="7687" width="9" style="208"/>
    <col min="7688" max="7697" width="9" style="208" customWidth="1"/>
    <col min="7698" max="7698" width="9" style="208"/>
    <col min="7699" max="7699" width="9.5" style="208" bestFit="1" customWidth="1"/>
    <col min="7700" max="7700" width="9" style="208" customWidth="1"/>
    <col min="7701" max="7701" width="9" style="208"/>
    <col min="7702" max="7702" width="9" style="208" customWidth="1"/>
    <col min="7703" max="7708" width="9" style="208"/>
    <col min="7709" max="7709" width="26.5" style="208" customWidth="1"/>
    <col min="7710" max="7712" width="9" style="208"/>
    <col min="7713" max="7713" width="14.75" style="208" bestFit="1" customWidth="1"/>
    <col min="7714" max="7936" width="9" style="208"/>
    <col min="7937" max="7939" width="9" style="208" customWidth="1"/>
    <col min="7940" max="7940" width="10.5" style="208" customWidth="1"/>
    <col min="7941" max="7941" width="11.25" style="208" bestFit="1" customWidth="1"/>
    <col min="7942" max="7943" width="9" style="208"/>
    <col min="7944" max="7953" width="9" style="208" customWidth="1"/>
    <col min="7954" max="7954" width="9" style="208"/>
    <col min="7955" max="7955" width="9.5" style="208" bestFit="1" customWidth="1"/>
    <col min="7956" max="7956" width="9" style="208" customWidth="1"/>
    <col min="7957" max="7957" width="9" style="208"/>
    <col min="7958" max="7958" width="9" style="208" customWidth="1"/>
    <col min="7959" max="7964" width="9" style="208"/>
    <col min="7965" max="7965" width="26.5" style="208" customWidth="1"/>
    <col min="7966" max="7968" width="9" style="208"/>
    <col min="7969" max="7969" width="14.75" style="208" bestFit="1" customWidth="1"/>
    <col min="7970" max="8192" width="9" style="208"/>
    <col min="8193" max="8195" width="9" style="208" customWidth="1"/>
    <col min="8196" max="8196" width="10.5" style="208" customWidth="1"/>
    <col min="8197" max="8197" width="11.25" style="208" bestFit="1" customWidth="1"/>
    <col min="8198" max="8199" width="9" style="208"/>
    <col min="8200" max="8209" width="9" style="208" customWidth="1"/>
    <col min="8210" max="8210" width="9" style="208"/>
    <col min="8211" max="8211" width="9.5" style="208" bestFit="1" customWidth="1"/>
    <col min="8212" max="8212" width="9" style="208" customWidth="1"/>
    <col min="8213" max="8213" width="9" style="208"/>
    <col min="8214" max="8214" width="9" style="208" customWidth="1"/>
    <col min="8215" max="8220" width="9" style="208"/>
    <col min="8221" max="8221" width="26.5" style="208" customWidth="1"/>
    <col min="8222" max="8224" width="9" style="208"/>
    <col min="8225" max="8225" width="14.75" style="208" bestFit="1" customWidth="1"/>
    <col min="8226" max="8448" width="9" style="208"/>
    <col min="8449" max="8451" width="9" style="208" customWidth="1"/>
    <col min="8452" max="8452" width="10.5" style="208" customWidth="1"/>
    <col min="8453" max="8453" width="11.25" style="208" bestFit="1" customWidth="1"/>
    <col min="8454" max="8455" width="9" style="208"/>
    <col min="8456" max="8465" width="9" style="208" customWidth="1"/>
    <col min="8466" max="8466" width="9" style="208"/>
    <col min="8467" max="8467" width="9.5" style="208" bestFit="1" customWidth="1"/>
    <col min="8468" max="8468" width="9" style="208" customWidth="1"/>
    <col min="8469" max="8469" width="9" style="208"/>
    <col min="8470" max="8470" width="9" style="208" customWidth="1"/>
    <col min="8471" max="8476" width="9" style="208"/>
    <col min="8477" max="8477" width="26.5" style="208" customWidth="1"/>
    <col min="8478" max="8480" width="9" style="208"/>
    <col min="8481" max="8481" width="14.75" style="208" bestFit="1" customWidth="1"/>
    <col min="8482" max="8704" width="9" style="208"/>
    <col min="8705" max="8707" width="9" style="208" customWidth="1"/>
    <col min="8708" max="8708" width="10.5" style="208" customWidth="1"/>
    <col min="8709" max="8709" width="11.25" style="208" bestFit="1" customWidth="1"/>
    <col min="8710" max="8711" width="9" style="208"/>
    <col min="8712" max="8721" width="9" style="208" customWidth="1"/>
    <col min="8722" max="8722" width="9" style="208"/>
    <col min="8723" max="8723" width="9.5" style="208" bestFit="1" customWidth="1"/>
    <col min="8724" max="8724" width="9" style="208" customWidth="1"/>
    <col min="8725" max="8725" width="9" style="208"/>
    <col min="8726" max="8726" width="9" style="208" customWidth="1"/>
    <col min="8727" max="8732" width="9" style="208"/>
    <col min="8733" max="8733" width="26.5" style="208" customWidth="1"/>
    <col min="8734" max="8736" width="9" style="208"/>
    <col min="8737" max="8737" width="14.75" style="208" bestFit="1" customWidth="1"/>
    <col min="8738" max="8960" width="9" style="208"/>
    <col min="8961" max="8963" width="9" style="208" customWidth="1"/>
    <col min="8964" max="8964" width="10.5" style="208" customWidth="1"/>
    <col min="8965" max="8965" width="11.25" style="208" bestFit="1" customWidth="1"/>
    <col min="8966" max="8967" width="9" style="208"/>
    <col min="8968" max="8977" width="9" style="208" customWidth="1"/>
    <col min="8978" max="8978" width="9" style="208"/>
    <col min="8979" max="8979" width="9.5" style="208" bestFit="1" customWidth="1"/>
    <col min="8980" max="8980" width="9" style="208" customWidth="1"/>
    <col min="8981" max="8981" width="9" style="208"/>
    <col min="8982" max="8982" width="9" style="208" customWidth="1"/>
    <col min="8983" max="8988" width="9" style="208"/>
    <col min="8989" max="8989" width="26.5" style="208" customWidth="1"/>
    <col min="8990" max="8992" width="9" style="208"/>
    <col min="8993" max="8993" width="14.75" style="208" bestFit="1" customWidth="1"/>
    <col min="8994" max="9216" width="9" style="208"/>
    <col min="9217" max="9219" width="9" style="208" customWidth="1"/>
    <col min="9220" max="9220" width="10.5" style="208" customWidth="1"/>
    <col min="9221" max="9221" width="11.25" style="208" bestFit="1" customWidth="1"/>
    <col min="9222" max="9223" width="9" style="208"/>
    <col min="9224" max="9233" width="9" style="208" customWidth="1"/>
    <col min="9234" max="9234" width="9" style="208"/>
    <col min="9235" max="9235" width="9.5" style="208" bestFit="1" customWidth="1"/>
    <col min="9236" max="9236" width="9" style="208" customWidth="1"/>
    <col min="9237" max="9237" width="9" style="208"/>
    <col min="9238" max="9238" width="9" style="208" customWidth="1"/>
    <col min="9239" max="9244" width="9" style="208"/>
    <col min="9245" max="9245" width="26.5" style="208" customWidth="1"/>
    <col min="9246" max="9248" width="9" style="208"/>
    <col min="9249" max="9249" width="14.75" style="208" bestFit="1" customWidth="1"/>
    <col min="9250" max="9472" width="9" style="208"/>
    <col min="9473" max="9475" width="9" style="208" customWidth="1"/>
    <col min="9476" max="9476" width="10.5" style="208" customWidth="1"/>
    <col min="9477" max="9477" width="11.25" style="208" bestFit="1" customWidth="1"/>
    <col min="9478" max="9479" width="9" style="208"/>
    <col min="9480" max="9489" width="9" style="208" customWidth="1"/>
    <col min="9490" max="9490" width="9" style="208"/>
    <col min="9491" max="9491" width="9.5" style="208" bestFit="1" customWidth="1"/>
    <col min="9492" max="9492" width="9" style="208" customWidth="1"/>
    <col min="9493" max="9493" width="9" style="208"/>
    <col min="9494" max="9494" width="9" style="208" customWidth="1"/>
    <col min="9495" max="9500" width="9" style="208"/>
    <col min="9501" max="9501" width="26.5" style="208" customWidth="1"/>
    <col min="9502" max="9504" width="9" style="208"/>
    <col min="9505" max="9505" width="14.75" style="208" bestFit="1" customWidth="1"/>
    <col min="9506" max="9728" width="9" style="208"/>
    <col min="9729" max="9731" width="9" style="208" customWidth="1"/>
    <col min="9732" max="9732" width="10.5" style="208" customWidth="1"/>
    <col min="9733" max="9733" width="11.25" style="208" bestFit="1" customWidth="1"/>
    <col min="9734" max="9735" width="9" style="208"/>
    <col min="9736" max="9745" width="9" style="208" customWidth="1"/>
    <col min="9746" max="9746" width="9" style="208"/>
    <col min="9747" max="9747" width="9.5" style="208" bestFit="1" customWidth="1"/>
    <col min="9748" max="9748" width="9" style="208" customWidth="1"/>
    <col min="9749" max="9749" width="9" style="208"/>
    <col min="9750" max="9750" width="9" style="208" customWidth="1"/>
    <col min="9751" max="9756" width="9" style="208"/>
    <col min="9757" max="9757" width="26.5" style="208" customWidth="1"/>
    <col min="9758" max="9760" width="9" style="208"/>
    <col min="9761" max="9761" width="14.75" style="208" bestFit="1" customWidth="1"/>
    <col min="9762" max="9984" width="9" style="208"/>
    <col min="9985" max="9987" width="9" style="208" customWidth="1"/>
    <col min="9988" max="9988" width="10.5" style="208" customWidth="1"/>
    <col min="9989" max="9989" width="11.25" style="208" bestFit="1" customWidth="1"/>
    <col min="9990" max="9991" width="9" style="208"/>
    <col min="9992" max="10001" width="9" style="208" customWidth="1"/>
    <col min="10002" max="10002" width="9" style="208"/>
    <col min="10003" max="10003" width="9.5" style="208" bestFit="1" customWidth="1"/>
    <col min="10004" max="10004" width="9" style="208" customWidth="1"/>
    <col min="10005" max="10005" width="9" style="208"/>
    <col min="10006" max="10006" width="9" style="208" customWidth="1"/>
    <col min="10007" max="10012" width="9" style="208"/>
    <col min="10013" max="10013" width="26.5" style="208" customWidth="1"/>
    <col min="10014" max="10016" width="9" style="208"/>
    <col min="10017" max="10017" width="14.75" style="208" bestFit="1" customWidth="1"/>
    <col min="10018" max="10240" width="9" style="208"/>
    <col min="10241" max="10243" width="9" style="208" customWidth="1"/>
    <col min="10244" max="10244" width="10.5" style="208" customWidth="1"/>
    <col min="10245" max="10245" width="11.25" style="208" bestFit="1" customWidth="1"/>
    <col min="10246" max="10247" width="9" style="208"/>
    <col min="10248" max="10257" width="9" style="208" customWidth="1"/>
    <col min="10258" max="10258" width="9" style="208"/>
    <col min="10259" max="10259" width="9.5" style="208" bestFit="1" customWidth="1"/>
    <col min="10260" max="10260" width="9" style="208" customWidth="1"/>
    <col min="10261" max="10261" width="9" style="208"/>
    <col min="10262" max="10262" width="9" style="208" customWidth="1"/>
    <col min="10263" max="10268" width="9" style="208"/>
    <col min="10269" max="10269" width="26.5" style="208" customWidth="1"/>
    <col min="10270" max="10272" width="9" style="208"/>
    <col min="10273" max="10273" width="14.75" style="208" bestFit="1" customWidth="1"/>
    <col min="10274" max="10496" width="9" style="208"/>
    <col min="10497" max="10499" width="9" style="208" customWidth="1"/>
    <col min="10500" max="10500" width="10.5" style="208" customWidth="1"/>
    <col min="10501" max="10501" width="11.25" style="208" bestFit="1" customWidth="1"/>
    <col min="10502" max="10503" width="9" style="208"/>
    <col min="10504" max="10513" width="9" style="208" customWidth="1"/>
    <col min="10514" max="10514" width="9" style="208"/>
    <col min="10515" max="10515" width="9.5" style="208" bestFit="1" customWidth="1"/>
    <col min="10516" max="10516" width="9" style="208" customWidth="1"/>
    <col min="10517" max="10517" width="9" style="208"/>
    <col min="10518" max="10518" width="9" style="208" customWidth="1"/>
    <col min="10519" max="10524" width="9" style="208"/>
    <col min="10525" max="10525" width="26.5" style="208" customWidth="1"/>
    <col min="10526" max="10528" width="9" style="208"/>
    <col min="10529" max="10529" width="14.75" style="208" bestFit="1" customWidth="1"/>
    <col min="10530" max="10752" width="9" style="208"/>
    <col min="10753" max="10755" width="9" style="208" customWidth="1"/>
    <col min="10756" max="10756" width="10.5" style="208" customWidth="1"/>
    <col min="10757" max="10757" width="11.25" style="208" bestFit="1" customWidth="1"/>
    <col min="10758" max="10759" width="9" style="208"/>
    <col min="10760" max="10769" width="9" style="208" customWidth="1"/>
    <col min="10770" max="10770" width="9" style="208"/>
    <col min="10771" max="10771" width="9.5" style="208" bestFit="1" customWidth="1"/>
    <col min="10772" max="10772" width="9" style="208" customWidth="1"/>
    <col min="10773" max="10773" width="9" style="208"/>
    <col min="10774" max="10774" width="9" style="208" customWidth="1"/>
    <col min="10775" max="10780" width="9" style="208"/>
    <col min="10781" max="10781" width="26.5" style="208" customWidth="1"/>
    <col min="10782" max="10784" width="9" style="208"/>
    <col min="10785" max="10785" width="14.75" style="208" bestFit="1" customWidth="1"/>
    <col min="10786" max="11008" width="9" style="208"/>
    <col min="11009" max="11011" width="9" style="208" customWidth="1"/>
    <col min="11012" max="11012" width="10.5" style="208" customWidth="1"/>
    <col min="11013" max="11013" width="11.25" style="208" bestFit="1" customWidth="1"/>
    <col min="11014" max="11015" width="9" style="208"/>
    <col min="11016" max="11025" width="9" style="208" customWidth="1"/>
    <col min="11026" max="11026" width="9" style="208"/>
    <col min="11027" max="11027" width="9.5" style="208" bestFit="1" customWidth="1"/>
    <col min="11028" max="11028" width="9" style="208" customWidth="1"/>
    <col min="11029" max="11029" width="9" style="208"/>
    <col min="11030" max="11030" width="9" style="208" customWidth="1"/>
    <col min="11031" max="11036" width="9" style="208"/>
    <col min="11037" max="11037" width="26.5" style="208" customWidth="1"/>
    <col min="11038" max="11040" width="9" style="208"/>
    <col min="11041" max="11041" width="14.75" style="208" bestFit="1" customWidth="1"/>
    <col min="11042" max="11264" width="9" style="208"/>
    <col min="11265" max="11267" width="9" style="208" customWidth="1"/>
    <col min="11268" max="11268" width="10.5" style="208" customWidth="1"/>
    <col min="11269" max="11269" width="11.25" style="208" bestFit="1" customWidth="1"/>
    <col min="11270" max="11271" width="9" style="208"/>
    <col min="11272" max="11281" width="9" style="208" customWidth="1"/>
    <col min="11282" max="11282" width="9" style="208"/>
    <col min="11283" max="11283" width="9.5" style="208" bestFit="1" customWidth="1"/>
    <col min="11284" max="11284" width="9" style="208" customWidth="1"/>
    <col min="11285" max="11285" width="9" style="208"/>
    <col min="11286" max="11286" width="9" style="208" customWidth="1"/>
    <col min="11287" max="11292" width="9" style="208"/>
    <col min="11293" max="11293" width="26.5" style="208" customWidth="1"/>
    <col min="11294" max="11296" width="9" style="208"/>
    <col min="11297" max="11297" width="14.75" style="208" bestFit="1" customWidth="1"/>
    <col min="11298" max="11520" width="9" style="208"/>
    <col min="11521" max="11523" width="9" style="208" customWidth="1"/>
    <col min="11524" max="11524" width="10.5" style="208" customWidth="1"/>
    <col min="11525" max="11525" width="11.25" style="208" bestFit="1" customWidth="1"/>
    <col min="11526" max="11527" width="9" style="208"/>
    <col min="11528" max="11537" width="9" style="208" customWidth="1"/>
    <col min="11538" max="11538" width="9" style="208"/>
    <col min="11539" max="11539" width="9.5" style="208" bestFit="1" customWidth="1"/>
    <col min="11540" max="11540" width="9" style="208" customWidth="1"/>
    <col min="11541" max="11541" width="9" style="208"/>
    <col min="11542" max="11542" width="9" style="208" customWidth="1"/>
    <col min="11543" max="11548" width="9" style="208"/>
    <col min="11549" max="11549" width="26.5" style="208" customWidth="1"/>
    <col min="11550" max="11552" width="9" style="208"/>
    <col min="11553" max="11553" width="14.75" style="208" bestFit="1" customWidth="1"/>
    <col min="11554" max="11776" width="9" style="208"/>
    <col min="11777" max="11779" width="9" style="208" customWidth="1"/>
    <col min="11780" max="11780" width="10.5" style="208" customWidth="1"/>
    <col min="11781" max="11781" width="11.25" style="208" bestFit="1" customWidth="1"/>
    <col min="11782" max="11783" width="9" style="208"/>
    <col min="11784" max="11793" width="9" style="208" customWidth="1"/>
    <col min="11794" max="11794" width="9" style="208"/>
    <col min="11795" max="11795" width="9.5" style="208" bestFit="1" customWidth="1"/>
    <col min="11796" max="11796" width="9" style="208" customWidth="1"/>
    <col min="11797" max="11797" width="9" style="208"/>
    <col min="11798" max="11798" width="9" style="208" customWidth="1"/>
    <col min="11799" max="11804" width="9" style="208"/>
    <col min="11805" max="11805" width="26.5" style="208" customWidth="1"/>
    <col min="11806" max="11808" width="9" style="208"/>
    <col min="11809" max="11809" width="14.75" style="208" bestFit="1" customWidth="1"/>
    <col min="11810" max="12032" width="9" style="208"/>
    <col min="12033" max="12035" width="9" style="208" customWidth="1"/>
    <col min="12036" max="12036" width="10.5" style="208" customWidth="1"/>
    <col min="12037" max="12037" width="11.25" style="208" bestFit="1" customWidth="1"/>
    <col min="12038" max="12039" width="9" style="208"/>
    <col min="12040" max="12049" width="9" style="208" customWidth="1"/>
    <col min="12050" max="12050" width="9" style="208"/>
    <col min="12051" max="12051" width="9.5" style="208" bestFit="1" customWidth="1"/>
    <col min="12052" max="12052" width="9" style="208" customWidth="1"/>
    <col min="12053" max="12053" width="9" style="208"/>
    <col min="12054" max="12054" width="9" style="208" customWidth="1"/>
    <col min="12055" max="12060" width="9" style="208"/>
    <col min="12061" max="12061" width="26.5" style="208" customWidth="1"/>
    <col min="12062" max="12064" width="9" style="208"/>
    <col min="12065" max="12065" width="14.75" style="208" bestFit="1" customWidth="1"/>
    <col min="12066" max="12288" width="9" style="208"/>
    <col min="12289" max="12291" width="9" style="208" customWidth="1"/>
    <col min="12292" max="12292" width="10.5" style="208" customWidth="1"/>
    <col min="12293" max="12293" width="11.25" style="208" bestFit="1" customWidth="1"/>
    <col min="12294" max="12295" width="9" style="208"/>
    <col min="12296" max="12305" width="9" style="208" customWidth="1"/>
    <col min="12306" max="12306" width="9" style="208"/>
    <col min="12307" max="12307" width="9.5" style="208" bestFit="1" customWidth="1"/>
    <col min="12308" max="12308" width="9" style="208" customWidth="1"/>
    <col min="12309" max="12309" width="9" style="208"/>
    <col min="12310" max="12310" width="9" style="208" customWidth="1"/>
    <col min="12311" max="12316" width="9" style="208"/>
    <col min="12317" max="12317" width="26.5" style="208" customWidth="1"/>
    <col min="12318" max="12320" width="9" style="208"/>
    <col min="12321" max="12321" width="14.75" style="208" bestFit="1" customWidth="1"/>
    <col min="12322" max="12544" width="9" style="208"/>
    <col min="12545" max="12547" width="9" style="208" customWidth="1"/>
    <col min="12548" max="12548" width="10.5" style="208" customWidth="1"/>
    <col min="12549" max="12549" width="11.25" style="208" bestFit="1" customWidth="1"/>
    <col min="12550" max="12551" width="9" style="208"/>
    <col min="12552" max="12561" width="9" style="208" customWidth="1"/>
    <col min="12562" max="12562" width="9" style="208"/>
    <col min="12563" max="12563" width="9.5" style="208" bestFit="1" customWidth="1"/>
    <col min="12564" max="12564" width="9" style="208" customWidth="1"/>
    <col min="12565" max="12565" width="9" style="208"/>
    <col min="12566" max="12566" width="9" style="208" customWidth="1"/>
    <col min="12567" max="12572" width="9" style="208"/>
    <col min="12573" max="12573" width="26.5" style="208" customWidth="1"/>
    <col min="12574" max="12576" width="9" style="208"/>
    <col min="12577" max="12577" width="14.75" style="208" bestFit="1" customWidth="1"/>
    <col min="12578" max="12800" width="9" style="208"/>
    <col min="12801" max="12803" width="9" style="208" customWidth="1"/>
    <col min="12804" max="12804" width="10.5" style="208" customWidth="1"/>
    <col min="12805" max="12805" width="11.25" style="208" bestFit="1" customWidth="1"/>
    <col min="12806" max="12807" width="9" style="208"/>
    <col min="12808" max="12817" width="9" style="208" customWidth="1"/>
    <col min="12818" max="12818" width="9" style="208"/>
    <col min="12819" max="12819" width="9.5" style="208" bestFit="1" customWidth="1"/>
    <col min="12820" max="12820" width="9" style="208" customWidth="1"/>
    <col min="12821" max="12821" width="9" style="208"/>
    <col min="12822" max="12822" width="9" style="208" customWidth="1"/>
    <col min="12823" max="12828" width="9" style="208"/>
    <col min="12829" max="12829" width="26.5" style="208" customWidth="1"/>
    <col min="12830" max="12832" width="9" style="208"/>
    <col min="12833" max="12833" width="14.75" style="208" bestFit="1" customWidth="1"/>
    <col min="12834" max="13056" width="9" style="208"/>
    <col min="13057" max="13059" width="9" style="208" customWidth="1"/>
    <col min="13060" max="13060" width="10.5" style="208" customWidth="1"/>
    <col min="13061" max="13061" width="11.25" style="208" bestFit="1" customWidth="1"/>
    <col min="13062" max="13063" width="9" style="208"/>
    <col min="13064" max="13073" width="9" style="208" customWidth="1"/>
    <col min="13074" max="13074" width="9" style="208"/>
    <col min="13075" max="13075" width="9.5" style="208" bestFit="1" customWidth="1"/>
    <col min="13076" max="13076" width="9" style="208" customWidth="1"/>
    <col min="13077" max="13077" width="9" style="208"/>
    <col min="13078" max="13078" width="9" style="208" customWidth="1"/>
    <col min="13079" max="13084" width="9" style="208"/>
    <col min="13085" max="13085" width="26.5" style="208" customWidth="1"/>
    <col min="13086" max="13088" width="9" style="208"/>
    <col min="13089" max="13089" width="14.75" style="208" bestFit="1" customWidth="1"/>
    <col min="13090" max="13312" width="9" style="208"/>
    <col min="13313" max="13315" width="9" style="208" customWidth="1"/>
    <col min="13316" max="13316" width="10.5" style="208" customWidth="1"/>
    <col min="13317" max="13317" width="11.25" style="208" bestFit="1" customWidth="1"/>
    <col min="13318" max="13319" width="9" style="208"/>
    <col min="13320" max="13329" width="9" style="208" customWidth="1"/>
    <col min="13330" max="13330" width="9" style="208"/>
    <col min="13331" max="13331" width="9.5" style="208" bestFit="1" customWidth="1"/>
    <col min="13332" max="13332" width="9" style="208" customWidth="1"/>
    <col min="13333" max="13333" width="9" style="208"/>
    <col min="13334" max="13334" width="9" style="208" customWidth="1"/>
    <col min="13335" max="13340" width="9" style="208"/>
    <col min="13341" max="13341" width="26.5" style="208" customWidth="1"/>
    <col min="13342" max="13344" width="9" style="208"/>
    <col min="13345" max="13345" width="14.75" style="208" bestFit="1" customWidth="1"/>
    <col min="13346" max="13568" width="9" style="208"/>
    <col min="13569" max="13571" width="9" style="208" customWidth="1"/>
    <col min="13572" max="13572" width="10.5" style="208" customWidth="1"/>
    <col min="13573" max="13573" width="11.25" style="208" bestFit="1" customWidth="1"/>
    <col min="13574" max="13575" width="9" style="208"/>
    <col min="13576" max="13585" width="9" style="208" customWidth="1"/>
    <col min="13586" max="13586" width="9" style="208"/>
    <col min="13587" max="13587" width="9.5" style="208" bestFit="1" customWidth="1"/>
    <col min="13588" max="13588" width="9" style="208" customWidth="1"/>
    <col min="13589" max="13589" width="9" style="208"/>
    <col min="13590" max="13590" width="9" style="208" customWidth="1"/>
    <col min="13591" max="13596" width="9" style="208"/>
    <col min="13597" max="13597" width="26.5" style="208" customWidth="1"/>
    <col min="13598" max="13600" width="9" style="208"/>
    <col min="13601" max="13601" width="14.75" style="208" bestFit="1" customWidth="1"/>
    <col min="13602" max="13824" width="9" style="208"/>
    <col min="13825" max="13827" width="9" style="208" customWidth="1"/>
    <col min="13828" max="13828" width="10.5" style="208" customWidth="1"/>
    <col min="13829" max="13829" width="11.25" style="208" bestFit="1" customWidth="1"/>
    <col min="13830" max="13831" width="9" style="208"/>
    <col min="13832" max="13841" width="9" style="208" customWidth="1"/>
    <col min="13842" max="13842" width="9" style="208"/>
    <col min="13843" max="13843" width="9.5" style="208" bestFit="1" customWidth="1"/>
    <col min="13844" max="13844" width="9" style="208" customWidth="1"/>
    <col min="13845" max="13845" width="9" style="208"/>
    <col min="13846" max="13846" width="9" style="208" customWidth="1"/>
    <col min="13847" max="13852" width="9" style="208"/>
    <col min="13853" max="13853" width="26.5" style="208" customWidth="1"/>
    <col min="13854" max="13856" width="9" style="208"/>
    <col min="13857" max="13857" width="14.75" style="208" bestFit="1" customWidth="1"/>
    <col min="13858" max="14080" width="9" style="208"/>
    <col min="14081" max="14083" width="9" style="208" customWidth="1"/>
    <col min="14084" max="14084" width="10.5" style="208" customWidth="1"/>
    <col min="14085" max="14085" width="11.25" style="208" bestFit="1" customWidth="1"/>
    <col min="14086" max="14087" width="9" style="208"/>
    <col min="14088" max="14097" width="9" style="208" customWidth="1"/>
    <col min="14098" max="14098" width="9" style="208"/>
    <col min="14099" max="14099" width="9.5" style="208" bestFit="1" customWidth="1"/>
    <col min="14100" max="14100" width="9" style="208" customWidth="1"/>
    <col min="14101" max="14101" width="9" style="208"/>
    <col min="14102" max="14102" width="9" style="208" customWidth="1"/>
    <col min="14103" max="14108" width="9" style="208"/>
    <col min="14109" max="14109" width="26.5" style="208" customWidth="1"/>
    <col min="14110" max="14112" width="9" style="208"/>
    <col min="14113" max="14113" width="14.75" style="208" bestFit="1" customWidth="1"/>
    <col min="14114" max="14336" width="9" style="208"/>
    <col min="14337" max="14339" width="9" style="208" customWidth="1"/>
    <col min="14340" max="14340" width="10.5" style="208" customWidth="1"/>
    <col min="14341" max="14341" width="11.25" style="208" bestFit="1" customWidth="1"/>
    <col min="14342" max="14343" width="9" style="208"/>
    <col min="14344" max="14353" width="9" style="208" customWidth="1"/>
    <col min="14354" max="14354" width="9" style="208"/>
    <col min="14355" max="14355" width="9.5" style="208" bestFit="1" customWidth="1"/>
    <col min="14356" max="14356" width="9" style="208" customWidth="1"/>
    <col min="14357" max="14357" width="9" style="208"/>
    <col min="14358" max="14358" width="9" style="208" customWidth="1"/>
    <col min="14359" max="14364" width="9" style="208"/>
    <col min="14365" max="14365" width="26.5" style="208" customWidth="1"/>
    <col min="14366" max="14368" width="9" style="208"/>
    <col min="14369" max="14369" width="14.75" style="208" bestFit="1" customWidth="1"/>
    <col min="14370" max="14592" width="9" style="208"/>
    <col min="14593" max="14595" width="9" style="208" customWidth="1"/>
    <col min="14596" max="14596" width="10.5" style="208" customWidth="1"/>
    <col min="14597" max="14597" width="11.25" style="208" bestFit="1" customWidth="1"/>
    <col min="14598" max="14599" width="9" style="208"/>
    <col min="14600" max="14609" width="9" style="208" customWidth="1"/>
    <col min="14610" max="14610" width="9" style="208"/>
    <col min="14611" max="14611" width="9.5" style="208" bestFit="1" customWidth="1"/>
    <col min="14612" max="14612" width="9" style="208" customWidth="1"/>
    <col min="14613" max="14613" width="9" style="208"/>
    <col min="14614" max="14614" width="9" style="208" customWidth="1"/>
    <col min="14615" max="14620" width="9" style="208"/>
    <col min="14621" max="14621" width="26.5" style="208" customWidth="1"/>
    <col min="14622" max="14624" width="9" style="208"/>
    <col min="14625" max="14625" width="14.75" style="208" bestFit="1" customWidth="1"/>
    <col min="14626" max="14848" width="9" style="208"/>
    <col min="14849" max="14851" width="9" style="208" customWidth="1"/>
    <col min="14852" max="14852" width="10.5" style="208" customWidth="1"/>
    <col min="14853" max="14853" width="11.25" style="208" bestFit="1" customWidth="1"/>
    <col min="14854" max="14855" width="9" style="208"/>
    <col min="14856" max="14865" width="9" style="208" customWidth="1"/>
    <col min="14866" max="14866" width="9" style="208"/>
    <col min="14867" max="14867" width="9.5" style="208" bestFit="1" customWidth="1"/>
    <col min="14868" max="14868" width="9" style="208" customWidth="1"/>
    <col min="14869" max="14869" width="9" style="208"/>
    <col min="14870" max="14870" width="9" style="208" customWidth="1"/>
    <col min="14871" max="14876" width="9" style="208"/>
    <col min="14877" max="14877" width="26.5" style="208" customWidth="1"/>
    <col min="14878" max="14880" width="9" style="208"/>
    <col min="14881" max="14881" width="14.75" style="208" bestFit="1" customWidth="1"/>
    <col min="14882" max="15104" width="9" style="208"/>
    <col min="15105" max="15107" width="9" style="208" customWidth="1"/>
    <col min="15108" max="15108" width="10.5" style="208" customWidth="1"/>
    <col min="15109" max="15109" width="11.25" style="208" bestFit="1" customWidth="1"/>
    <col min="15110" max="15111" width="9" style="208"/>
    <col min="15112" max="15121" width="9" style="208" customWidth="1"/>
    <col min="15122" max="15122" width="9" style="208"/>
    <col min="15123" max="15123" width="9.5" style="208" bestFit="1" customWidth="1"/>
    <col min="15124" max="15124" width="9" style="208" customWidth="1"/>
    <col min="15125" max="15125" width="9" style="208"/>
    <col min="15126" max="15126" width="9" style="208" customWidth="1"/>
    <col min="15127" max="15132" width="9" style="208"/>
    <col min="15133" max="15133" width="26.5" style="208" customWidth="1"/>
    <col min="15134" max="15136" width="9" style="208"/>
    <col min="15137" max="15137" width="14.75" style="208" bestFit="1" customWidth="1"/>
    <col min="15138" max="15360" width="9" style="208"/>
    <col min="15361" max="15363" width="9" style="208" customWidth="1"/>
    <col min="15364" max="15364" width="10.5" style="208" customWidth="1"/>
    <col min="15365" max="15365" width="11.25" style="208" bestFit="1" customWidth="1"/>
    <col min="15366" max="15367" width="9" style="208"/>
    <col min="15368" max="15377" width="9" style="208" customWidth="1"/>
    <col min="15378" max="15378" width="9" style="208"/>
    <col min="15379" max="15379" width="9.5" style="208" bestFit="1" customWidth="1"/>
    <col min="15380" max="15380" width="9" style="208" customWidth="1"/>
    <col min="15381" max="15381" width="9" style="208"/>
    <col min="15382" max="15382" width="9" style="208" customWidth="1"/>
    <col min="15383" max="15388" width="9" style="208"/>
    <col min="15389" max="15389" width="26.5" style="208" customWidth="1"/>
    <col min="15390" max="15392" width="9" style="208"/>
    <col min="15393" max="15393" width="14.75" style="208" bestFit="1" customWidth="1"/>
    <col min="15394" max="15616" width="9" style="208"/>
    <col min="15617" max="15619" width="9" style="208" customWidth="1"/>
    <col min="15620" max="15620" width="10.5" style="208" customWidth="1"/>
    <col min="15621" max="15621" width="11.25" style="208" bestFit="1" customWidth="1"/>
    <col min="15622" max="15623" width="9" style="208"/>
    <col min="15624" max="15633" width="9" style="208" customWidth="1"/>
    <col min="15634" max="15634" width="9" style="208"/>
    <col min="15635" max="15635" width="9.5" style="208" bestFit="1" customWidth="1"/>
    <col min="15636" max="15636" width="9" style="208" customWidth="1"/>
    <col min="15637" max="15637" width="9" style="208"/>
    <col min="15638" max="15638" width="9" style="208" customWidth="1"/>
    <col min="15639" max="15644" width="9" style="208"/>
    <col min="15645" max="15645" width="26.5" style="208" customWidth="1"/>
    <col min="15646" max="15648" width="9" style="208"/>
    <col min="15649" max="15649" width="14.75" style="208" bestFit="1" customWidth="1"/>
    <col min="15650" max="15872" width="9" style="208"/>
    <col min="15873" max="15875" width="9" style="208" customWidth="1"/>
    <col min="15876" max="15876" width="10.5" style="208" customWidth="1"/>
    <col min="15877" max="15877" width="11.25" style="208" bestFit="1" customWidth="1"/>
    <col min="15878" max="15879" width="9" style="208"/>
    <col min="15880" max="15889" width="9" style="208" customWidth="1"/>
    <col min="15890" max="15890" width="9" style="208"/>
    <col min="15891" max="15891" width="9.5" style="208" bestFit="1" customWidth="1"/>
    <col min="15892" max="15892" width="9" style="208" customWidth="1"/>
    <col min="15893" max="15893" width="9" style="208"/>
    <col min="15894" max="15894" width="9" style="208" customWidth="1"/>
    <col min="15895" max="15900" width="9" style="208"/>
    <col min="15901" max="15901" width="26.5" style="208" customWidth="1"/>
    <col min="15902" max="15904" width="9" style="208"/>
    <col min="15905" max="15905" width="14.75" style="208" bestFit="1" customWidth="1"/>
    <col min="15906" max="16128" width="9" style="208"/>
    <col min="16129" max="16131" width="9" style="208" customWidth="1"/>
    <col min="16132" max="16132" width="10.5" style="208" customWidth="1"/>
    <col min="16133" max="16133" width="11.25" style="208" bestFit="1" customWidth="1"/>
    <col min="16134" max="16135" width="9" style="208"/>
    <col min="16136" max="16145" width="9" style="208" customWidth="1"/>
    <col min="16146" max="16146" width="9" style="208"/>
    <col min="16147" max="16147" width="9.5" style="208" bestFit="1" customWidth="1"/>
    <col min="16148" max="16148" width="9" style="208" customWidth="1"/>
    <col min="16149" max="16149" width="9" style="208"/>
    <col min="16150" max="16150" width="9" style="208" customWidth="1"/>
    <col min="16151" max="16156" width="9" style="208"/>
    <col min="16157" max="16157" width="26.5" style="208" customWidth="1"/>
    <col min="16158" max="16160" width="9" style="208"/>
    <col min="16161" max="16161" width="14.75" style="208" bestFit="1" customWidth="1"/>
    <col min="16162" max="16384" width="9" style="208"/>
  </cols>
  <sheetData>
    <row r="1" spans="1:53" ht="44.25" customHeight="1" x14ac:dyDescent="0.15">
      <c r="A1" s="133" t="s">
        <v>249</v>
      </c>
      <c r="B1" s="202" t="s">
        <v>1</v>
      </c>
      <c r="C1" s="202" t="s">
        <v>285</v>
      </c>
      <c r="D1" s="203" t="s">
        <v>3</v>
      </c>
      <c r="E1" s="203" t="s">
        <v>250</v>
      </c>
      <c r="F1" s="203" t="s">
        <v>5</v>
      </c>
      <c r="G1" s="203" t="s">
        <v>6</v>
      </c>
      <c r="H1" s="203" t="s">
        <v>398</v>
      </c>
      <c r="I1" s="203" t="s">
        <v>8</v>
      </c>
      <c r="J1" s="203" t="s">
        <v>9</v>
      </c>
      <c r="K1" s="203" t="s">
        <v>10</v>
      </c>
      <c r="L1" s="203" t="s">
        <v>159</v>
      </c>
      <c r="M1" s="203" t="s">
        <v>12</v>
      </c>
      <c r="N1" s="203" t="s">
        <v>13</v>
      </c>
      <c r="O1" s="203" t="s">
        <v>270</v>
      </c>
      <c r="P1" s="203" t="s">
        <v>15</v>
      </c>
      <c r="Q1" s="204" t="s">
        <v>16</v>
      </c>
      <c r="R1" s="203" t="s">
        <v>354</v>
      </c>
      <c r="S1" s="203" t="s">
        <v>286</v>
      </c>
      <c r="T1" s="204" t="s">
        <v>19</v>
      </c>
      <c r="U1" s="205" t="s">
        <v>108</v>
      </c>
      <c r="V1" s="206" t="s">
        <v>20</v>
      </c>
      <c r="W1" s="203" t="s">
        <v>21</v>
      </c>
      <c r="X1" s="203" t="s">
        <v>22</v>
      </c>
      <c r="Y1" s="203" t="s">
        <v>23</v>
      </c>
      <c r="Z1" s="203" t="s">
        <v>24</v>
      </c>
      <c r="AA1" s="134" t="s">
        <v>25</v>
      </c>
      <c r="AB1" s="135" t="s">
        <v>160</v>
      </c>
      <c r="AC1" s="136"/>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161</v>
      </c>
      <c r="AY1" s="214" t="s">
        <v>162</v>
      </c>
      <c r="AZ1" s="214" t="s">
        <v>163</v>
      </c>
      <c r="BA1" s="215" t="s">
        <v>173</v>
      </c>
    </row>
    <row r="2" spans="1:53" s="143" customFormat="1" x14ac:dyDescent="0.15">
      <c r="A2" s="137" t="s">
        <v>61</v>
      </c>
      <c r="B2" s="137" t="s">
        <v>349</v>
      </c>
      <c r="C2" s="137">
        <v>2018</v>
      </c>
      <c r="D2" s="138" t="s">
        <v>361</v>
      </c>
      <c r="E2" s="137" t="s">
        <v>252</v>
      </c>
      <c r="F2" s="137" t="s">
        <v>251</v>
      </c>
      <c r="G2" s="137" t="s">
        <v>42</v>
      </c>
      <c r="H2" s="247" t="s">
        <v>157</v>
      </c>
      <c r="I2" s="247" t="s">
        <v>155</v>
      </c>
      <c r="J2" s="137" t="s">
        <v>38</v>
      </c>
      <c r="K2" s="247" t="s">
        <v>156</v>
      </c>
      <c r="L2" s="247">
        <v>1</v>
      </c>
      <c r="M2" s="247"/>
      <c r="N2" s="247">
        <v>1</v>
      </c>
      <c r="O2" s="247">
        <v>0.75</v>
      </c>
      <c r="P2" s="247">
        <v>0.7</v>
      </c>
      <c r="Q2" s="139">
        <f t="shared" ref="Q2:Q66" si="0">IF(OR(O2="",P2=""),"",AVERAGE(O2,P2))</f>
        <v>0.72499999999999998</v>
      </c>
      <c r="R2" s="247">
        <v>17.100000000000001</v>
      </c>
      <c r="S2" s="247">
        <v>131</v>
      </c>
      <c r="T2" s="140">
        <f t="shared" ref="T2:T65" si="1">IF(H2="","",IF(OR(H2="GREEN",H2="GK"),IF(S2&gt;=$AX$2,VLOOKUP(S2,$AX$2:$AY$15,2,1),""),IF(S2&gt;=$AZ$2,VLOOKUP(S2,$AZ$2:$BA$15,2,1),"")))</f>
        <v>25</v>
      </c>
      <c r="U2" s="247">
        <v>118</v>
      </c>
      <c r="V2" s="141">
        <f>IF(OR(N2="",U2="",T2=""),"",U2/N2*T2)</f>
        <v>2950</v>
      </c>
      <c r="W2" s="247">
        <v>3</v>
      </c>
      <c r="X2" s="137" t="s">
        <v>39</v>
      </c>
      <c r="Y2" s="247" t="s">
        <v>90</v>
      </c>
      <c r="Z2" s="247" t="s">
        <v>88</v>
      </c>
      <c r="AA2" s="247" t="s">
        <v>69</v>
      </c>
      <c r="AB2" s="137" t="s">
        <v>351</v>
      </c>
      <c r="AC2" s="142"/>
      <c r="AE2" s="218" t="s">
        <v>35</v>
      </c>
      <c r="AG2" s="49" t="s">
        <v>252</v>
      </c>
      <c r="AH2" s="49" t="s">
        <v>251</v>
      </c>
      <c r="AJ2" s="144" t="s">
        <v>36</v>
      </c>
      <c r="AL2" s="219" t="s">
        <v>127</v>
      </c>
      <c r="AN2" s="144" t="s">
        <v>37</v>
      </c>
      <c r="AP2" s="219" t="s">
        <v>38</v>
      </c>
      <c r="AR2" s="219" t="s">
        <v>120</v>
      </c>
      <c r="AT2" s="144" t="s">
        <v>39</v>
      </c>
      <c r="AV2" s="219" t="s">
        <v>40</v>
      </c>
      <c r="AX2" s="145">
        <v>1</v>
      </c>
      <c r="AY2" s="146">
        <v>50</v>
      </c>
      <c r="AZ2" s="146">
        <v>1</v>
      </c>
      <c r="BA2" s="147">
        <v>50</v>
      </c>
    </row>
    <row r="3" spans="1:53" x14ac:dyDescent="0.15">
      <c r="A3" s="137" t="s">
        <v>61</v>
      </c>
      <c r="B3" s="137" t="s">
        <v>349</v>
      </c>
      <c r="C3" s="137">
        <v>2018</v>
      </c>
      <c r="D3" s="138" t="s">
        <v>361</v>
      </c>
      <c r="E3" s="137" t="s">
        <v>252</v>
      </c>
      <c r="F3" s="137" t="s">
        <v>251</v>
      </c>
      <c r="G3" s="137" t="s">
        <v>42</v>
      </c>
      <c r="H3" s="247" t="s">
        <v>157</v>
      </c>
      <c r="I3" s="247" t="s">
        <v>155</v>
      </c>
      <c r="J3" s="137" t="s">
        <v>38</v>
      </c>
      <c r="K3" s="247" t="s">
        <v>156</v>
      </c>
      <c r="L3" s="247">
        <v>2</v>
      </c>
      <c r="M3" s="247"/>
      <c r="N3" s="247">
        <v>1</v>
      </c>
      <c r="O3" s="247">
        <v>0.7</v>
      </c>
      <c r="P3" s="247">
        <v>0.75</v>
      </c>
      <c r="Q3" s="139">
        <f t="shared" si="0"/>
        <v>0.72499999999999998</v>
      </c>
      <c r="R3" s="247">
        <v>17.3</v>
      </c>
      <c r="S3" s="247">
        <v>142</v>
      </c>
      <c r="T3" s="140">
        <f t="shared" si="1"/>
        <v>22</v>
      </c>
      <c r="U3" s="247">
        <v>118</v>
      </c>
      <c r="V3" s="141">
        <f t="shared" ref="V3:V66" si="2">IF(OR(N3="",U3="",T3=""),"",U3/N3*T3)</f>
        <v>2596</v>
      </c>
      <c r="W3" s="247">
        <v>3</v>
      </c>
      <c r="X3" s="137" t="s">
        <v>39</v>
      </c>
      <c r="Y3" s="247" t="s">
        <v>90</v>
      </c>
      <c r="Z3" s="247" t="s">
        <v>88</v>
      </c>
      <c r="AA3" s="247" t="s">
        <v>69</v>
      </c>
      <c r="AB3" s="137" t="s">
        <v>351</v>
      </c>
      <c r="AC3" s="142"/>
      <c r="AE3" s="223" t="s">
        <v>41</v>
      </c>
      <c r="AG3" s="49" t="s">
        <v>253</v>
      </c>
      <c r="AH3" s="49" t="s">
        <v>254</v>
      </c>
      <c r="AJ3" s="224" t="s">
        <v>42</v>
      </c>
      <c r="AL3" s="224" t="s">
        <v>128</v>
      </c>
      <c r="AN3" s="224" t="s">
        <v>43</v>
      </c>
      <c r="AP3" s="224" t="s">
        <v>44</v>
      </c>
      <c r="AR3" s="238" t="s">
        <v>45</v>
      </c>
      <c r="AT3" s="224" t="s">
        <v>46</v>
      </c>
      <c r="AV3" s="238" t="s">
        <v>47</v>
      </c>
      <c r="AX3" s="225">
        <v>72</v>
      </c>
      <c r="AY3" s="226">
        <v>46</v>
      </c>
      <c r="AZ3" s="226">
        <v>71</v>
      </c>
      <c r="BA3" s="227">
        <v>42</v>
      </c>
    </row>
    <row r="4" spans="1:53" x14ac:dyDescent="0.15">
      <c r="A4" s="137" t="s">
        <v>61</v>
      </c>
      <c r="B4" s="137" t="s">
        <v>349</v>
      </c>
      <c r="C4" s="137">
        <v>2018</v>
      </c>
      <c r="D4" s="138" t="s">
        <v>361</v>
      </c>
      <c r="E4" s="137" t="s">
        <v>252</v>
      </c>
      <c r="F4" s="137" t="s">
        <v>251</v>
      </c>
      <c r="G4" s="137" t="s">
        <v>42</v>
      </c>
      <c r="H4" s="247" t="s">
        <v>157</v>
      </c>
      <c r="I4" s="247" t="s">
        <v>155</v>
      </c>
      <c r="J4" s="137" t="s">
        <v>38</v>
      </c>
      <c r="K4" s="247" t="s">
        <v>156</v>
      </c>
      <c r="L4" s="247">
        <v>3</v>
      </c>
      <c r="M4" s="247"/>
      <c r="N4" s="247">
        <v>1</v>
      </c>
      <c r="O4" s="247">
        <v>0.65</v>
      </c>
      <c r="P4" s="247">
        <v>0.65</v>
      </c>
      <c r="Q4" s="139">
        <f t="shared" si="0"/>
        <v>0.65</v>
      </c>
      <c r="R4" s="247">
        <v>17.3</v>
      </c>
      <c r="S4" s="247">
        <v>132</v>
      </c>
      <c r="T4" s="140">
        <f t="shared" si="1"/>
        <v>25</v>
      </c>
      <c r="U4" s="247">
        <v>118</v>
      </c>
      <c r="V4" s="141">
        <f t="shared" si="2"/>
        <v>2950</v>
      </c>
      <c r="W4" s="247">
        <v>3</v>
      </c>
      <c r="X4" s="137" t="s">
        <v>39</v>
      </c>
      <c r="Y4" s="247" t="s">
        <v>90</v>
      </c>
      <c r="Z4" s="247" t="s">
        <v>88</v>
      </c>
      <c r="AA4" s="247" t="s">
        <v>69</v>
      </c>
      <c r="AB4" s="137" t="s">
        <v>351</v>
      </c>
      <c r="AC4" s="142"/>
      <c r="AE4" s="223" t="s">
        <v>34</v>
      </c>
      <c r="AG4" s="49" t="s">
        <v>255</v>
      </c>
      <c r="AH4" s="49" t="s">
        <v>256</v>
      </c>
      <c r="AJ4" s="228" t="s">
        <v>48</v>
      </c>
      <c r="AL4" s="228" t="s">
        <v>129</v>
      </c>
      <c r="AN4" s="229" t="s">
        <v>49</v>
      </c>
      <c r="AP4" s="224" t="s">
        <v>178</v>
      </c>
      <c r="AR4" s="238" t="s">
        <v>179</v>
      </c>
      <c r="AT4" s="229"/>
      <c r="AV4" s="238" t="s">
        <v>50</v>
      </c>
      <c r="AX4" s="225">
        <v>75</v>
      </c>
      <c r="AY4" s="226">
        <v>42</v>
      </c>
      <c r="AZ4" s="226">
        <v>76</v>
      </c>
      <c r="BA4" s="227">
        <v>39</v>
      </c>
    </row>
    <row r="5" spans="1:53" x14ac:dyDescent="0.15">
      <c r="A5" s="137" t="s">
        <v>61</v>
      </c>
      <c r="B5" s="137" t="s">
        <v>349</v>
      </c>
      <c r="C5" s="137">
        <v>2018</v>
      </c>
      <c r="D5" s="138" t="s">
        <v>361</v>
      </c>
      <c r="E5" s="137" t="s">
        <v>252</v>
      </c>
      <c r="F5" s="137" t="s">
        <v>251</v>
      </c>
      <c r="G5" s="137" t="s">
        <v>42</v>
      </c>
      <c r="H5" s="247" t="s">
        <v>164</v>
      </c>
      <c r="I5" s="247" t="s">
        <v>155</v>
      </c>
      <c r="J5" s="137" t="s">
        <v>38</v>
      </c>
      <c r="K5" s="247" t="s">
        <v>156</v>
      </c>
      <c r="L5" s="247">
        <v>1</v>
      </c>
      <c r="M5" s="247"/>
      <c r="N5" s="247">
        <v>1</v>
      </c>
      <c r="O5" s="247">
        <v>0.6</v>
      </c>
      <c r="P5" s="247">
        <v>0.5</v>
      </c>
      <c r="Q5" s="139">
        <f t="shared" si="0"/>
        <v>0.55000000000000004</v>
      </c>
      <c r="R5" s="247">
        <v>17.7</v>
      </c>
      <c r="S5" s="247">
        <v>126</v>
      </c>
      <c r="T5" s="140">
        <f t="shared" si="1"/>
        <v>27</v>
      </c>
      <c r="U5" s="247">
        <v>137</v>
      </c>
      <c r="V5" s="141">
        <f t="shared" si="2"/>
        <v>3699</v>
      </c>
      <c r="W5" s="247">
        <v>3</v>
      </c>
      <c r="X5" s="137" t="s">
        <v>39</v>
      </c>
      <c r="Y5" s="247" t="s">
        <v>90</v>
      </c>
      <c r="Z5" s="247" t="s">
        <v>88</v>
      </c>
      <c r="AA5" s="247" t="s">
        <v>69</v>
      </c>
      <c r="AB5" s="137" t="s">
        <v>351</v>
      </c>
      <c r="AC5" s="142"/>
      <c r="AE5" s="223" t="s">
        <v>51</v>
      </c>
      <c r="AG5" s="49" t="s">
        <v>257</v>
      </c>
      <c r="AH5" s="49" t="s">
        <v>258</v>
      </c>
      <c r="AJ5" s="228"/>
      <c r="AL5" s="230" t="s">
        <v>166</v>
      </c>
      <c r="AN5" s="230" t="s">
        <v>167</v>
      </c>
      <c r="AP5" s="224" t="s">
        <v>259</v>
      </c>
      <c r="AR5" s="238" t="s">
        <v>54</v>
      </c>
      <c r="AT5" s="247"/>
      <c r="AV5" s="238" t="s">
        <v>55</v>
      </c>
      <c r="AX5" s="225">
        <v>84</v>
      </c>
      <c r="AY5" s="226">
        <v>39</v>
      </c>
      <c r="AZ5" s="226">
        <v>84</v>
      </c>
      <c r="BA5" s="227">
        <v>36</v>
      </c>
    </row>
    <row r="6" spans="1:53" x14ac:dyDescent="0.15">
      <c r="A6" s="137" t="s">
        <v>61</v>
      </c>
      <c r="B6" s="137" t="s">
        <v>349</v>
      </c>
      <c r="C6" s="137">
        <v>2018</v>
      </c>
      <c r="D6" s="138" t="s">
        <v>361</v>
      </c>
      <c r="E6" s="137" t="s">
        <v>252</v>
      </c>
      <c r="F6" s="137" t="s">
        <v>251</v>
      </c>
      <c r="G6" s="137" t="s">
        <v>42</v>
      </c>
      <c r="H6" s="247" t="s">
        <v>164</v>
      </c>
      <c r="I6" s="247" t="s">
        <v>155</v>
      </c>
      <c r="J6" s="137" t="s">
        <v>38</v>
      </c>
      <c r="K6" s="247" t="s">
        <v>156</v>
      </c>
      <c r="L6" s="247">
        <v>2</v>
      </c>
      <c r="M6" s="247"/>
      <c r="N6" s="247">
        <v>1</v>
      </c>
      <c r="O6" s="247">
        <v>0.5</v>
      </c>
      <c r="P6" s="247">
        <v>0.6</v>
      </c>
      <c r="Q6" s="139">
        <f t="shared" si="0"/>
        <v>0.55000000000000004</v>
      </c>
      <c r="R6" s="247">
        <v>17.3</v>
      </c>
      <c r="S6" s="247">
        <v>123</v>
      </c>
      <c r="T6" s="140">
        <f t="shared" si="1"/>
        <v>27</v>
      </c>
      <c r="U6" s="247">
        <v>137</v>
      </c>
      <c r="V6" s="141">
        <f t="shared" si="2"/>
        <v>3699</v>
      </c>
      <c r="W6" s="247">
        <v>3</v>
      </c>
      <c r="X6" s="137" t="s">
        <v>39</v>
      </c>
      <c r="Y6" s="247" t="s">
        <v>90</v>
      </c>
      <c r="Z6" s="247" t="s">
        <v>88</v>
      </c>
      <c r="AA6" s="247" t="s">
        <v>69</v>
      </c>
      <c r="AB6" s="137" t="s">
        <v>351</v>
      </c>
      <c r="AC6" s="142"/>
      <c r="AE6" s="223" t="s">
        <v>56</v>
      </c>
      <c r="AG6" s="49" t="s">
        <v>260</v>
      </c>
      <c r="AH6" s="49" t="s">
        <v>261</v>
      </c>
      <c r="AJ6" s="228"/>
      <c r="AL6" s="230" t="s">
        <v>168</v>
      </c>
      <c r="AN6" s="230" t="s">
        <v>169</v>
      </c>
      <c r="AP6" s="224" t="s">
        <v>53</v>
      </c>
      <c r="AR6" s="238" t="s">
        <v>59</v>
      </c>
      <c r="AT6" s="247"/>
      <c r="AV6" s="238" t="s">
        <v>60</v>
      </c>
      <c r="AX6" s="225">
        <v>97</v>
      </c>
      <c r="AY6" s="226">
        <v>36</v>
      </c>
      <c r="AZ6" s="226">
        <v>99</v>
      </c>
      <c r="BA6" s="227">
        <v>33</v>
      </c>
    </row>
    <row r="7" spans="1:53" x14ac:dyDescent="0.15">
      <c r="A7" s="137" t="s">
        <v>61</v>
      </c>
      <c r="B7" s="137" t="s">
        <v>349</v>
      </c>
      <c r="C7" s="137">
        <v>2018</v>
      </c>
      <c r="D7" s="138" t="s">
        <v>361</v>
      </c>
      <c r="E7" s="137" t="s">
        <v>252</v>
      </c>
      <c r="F7" s="137" t="s">
        <v>251</v>
      </c>
      <c r="G7" s="137" t="s">
        <v>42</v>
      </c>
      <c r="H7" s="247" t="s">
        <v>164</v>
      </c>
      <c r="I7" s="247" t="s">
        <v>155</v>
      </c>
      <c r="J7" s="137" t="s">
        <v>38</v>
      </c>
      <c r="K7" s="247" t="s">
        <v>156</v>
      </c>
      <c r="L7" s="247">
        <v>3</v>
      </c>
      <c r="M7" s="247"/>
      <c r="N7" s="247">
        <v>1</v>
      </c>
      <c r="O7" s="247">
        <v>0.5</v>
      </c>
      <c r="P7" s="247">
        <v>0.65</v>
      </c>
      <c r="Q7" s="139">
        <f t="shared" si="0"/>
        <v>0.57499999999999996</v>
      </c>
      <c r="R7" s="247">
        <v>18.3</v>
      </c>
      <c r="S7" s="247">
        <v>130</v>
      </c>
      <c r="T7" s="140">
        <f t="shared" si="1"/>
        <v>25</v>
      </c>
      <c r="U7" s="247">
        <v>137</v>
      </c>
      <c r="V7" s="141">
        <f t="shared" si="2"/>
        <v>3425</v>
      </c>
      <c r="W7" s="247">
        <v>3</v>
      </c>
      <c r="X7" s="137" t="s">
        <v>39</v>
      </c>
      <c r="Y7" s="247" t="s">
        <v>90</v>
      </c>
      <c r="Z7" s="247" t="s">
        <v>88</v>
      </c>
      <c r="AA7" s="247" t="s">
        <v>69</v>
      </c>
      <c r="AB7" s="137" t="s">
        <v>351</v>
      </c>
      <c r="AC7" s="142"/>
      <c r="AE7" s="223" t="s">
        <v>61</v>
      </c>
      <c r="AG7" s="49" t="s">
        <v>262</v>
      </c>
      <c r="AH7" s="49" t="s">
        <v>263</v>
      </c>
      <c r="AJ7" s="228"/>
      <c r="AL7" s="235" t="s">
        <v>184</v>
      </c>
      <c r="AN7" s="148"/>
      <c r="AP7" s="224" t="s">
        <v>58</v>
      </c>
      <c r="AR7" s="231" t="s">
        <v>122</v>
      </c>
      <c r="AT7" s="247"/>
      <c r="AV7" s="238" t="s">
        <v>64</v>
      </c>
      <c r="AX7" s="225">
        <v>109</v>
      </c>
      <c r="AY7" s="226">
        <v>33</v>
      </c>
      <c r="AZ7" s="226">
        <v>113</v>
      </c>
      <c r="BA7" s="227">
        <v>30</v>
      </c>
    </row>
    <row r="8" spans="1:53" x14ac:dyDescent="0.15">
      <c r="A8" s="137" t="s">
        <v>61</v>
      </c>
      <c r="B8" s="137" t="s">
        <v>367</v>
      </c>
      <c r="C8" s="137">
        <v>2018</v>
      </c>
      <c r="D8" s="138" t="s">
        <v>368</v>
      </c>
      <c r="E8" s="137" t="s">
        <v>253</v>
      </c>
      <c r="F8" s="137" t="s">
        <v>254</v>
      </c>
      <c r="G8" s="137" t="s">
        <v>42</v>
      </c>
      <c r="H8" s="247" t="s">
        <v>157</v>
      </c>
      <c r="I8" s="247" t="s">
        <v>155</v>
      </c>
      <c r="J8" s="137" t="s">
        <v>38</v>
      </c>
      <c r="K8" s="247" t="s">
        <v>156</v>
      </c>
      <c r="L8" s="247">
        <v>1</v>
      </c>
      <c r="M8" s="247"/>
      <c r="N8" s="247">
        <v>4</v>
      </c>
      <c r="O8" s="247">
        <v>0.6</v>
      </c>
      <c r="P8" s="247">
        <v>0.6</v>
      </c>
      <c r="Q8" s="139">
        <f t="shared" si="0"/>
        <v>0.6</v>
      </c>
      <c r="R8" s="247">
        <v>17.2</v>
      </c>
      <c r="S8" s="247">
        <v>111</v>
      </c>
      <c r="T8" s="140">
        <f t="shared" si="1"/>
        <v>33</v>
      </c>
      <c r="U8" s="247">
        <v>398</v>
      </c>
      <c r="V8" s="141">
        <f t="shared" si="2"/>
        <v>3283.5</v>
      </c>
      <c r="W8" s="247">
        <v>3</v>
      </c>
      <c r="X8" s="137" t="s">
        <v>46</v>
      </c>
      <c r="Y8" s="247" t="s">
        <v>69</v>
      </c>
      <c r="Z8" s="247" t="s">
        <v>90</v>
      </c>
      <c r="AA8" s="247" t="s">
        <v>88</v>
      </c>
      <c r="AB8" s="137" t="s">
        <v>399</v>
      </c>
      <c r="AC8" s="142"/>
      <c r="AE8" s="223" t="s">
        <v>59</v>
      </c>
      <c r="AG8" s="49" t="s">
        <v>264</v>
      </c>
      <c r="AH8" s="49" t="s">
        <v>265</v>
      </c>
      <c r="AJ8" s="229"/>
      <c r="AL8" s="235" t="s">
        <v>357</v>
      </c>
      <c r="AN8" s="230"/>
      <c r="AP8" s="224" t="s">
        <v>62</v>
      </c>
      <c r="AR8" s="238" t="s">
        <v>81</v>
      </c>
      <c r="AV8" s="238" t="s">
        <v>97</v>
      </c>
      <c r="AX8" s="225">
        <v>119</v>
      </c>
      <c r="AY8" s="226">
        <v>30</v>
      </c>
      <c r="AZ8" s="226">
        <v>121</v>
      </c>
      <c r="BA8" s="227">
        <v>27</v>
      </c>
    </row>
    <row r="9" spans="1:53" x14ac:dyDescent="0.15">
      <c r="A9" s="137" t="s">
        <v>61</v>
      </c>
      <c r="B9" s="137" t="s">
        <v>367</v>
      </c>
      <c r="C9" s="137">
        <v>2018</v>
      </c>
      <c r="D9" s="138" t="s">
        <v>368</v>
      </c>
      <c r="E9" s="137" t="s">
        <v>253</v>
      </c>
      <c r="F9" s="137" t="s">
        <v>254</v>
      </c>
      <c r="G9" s="137" t="s">
        <v>42</v>
      </c>
      <c r="H9" s="247" t="s">
        <v>157</v>
      </c>
      <c r="I9" s="247" t="s">
        <v>155</v>
      </c>
      <c r="J9" s="137" t="s">
        <v>38</v>
      </c>
      <c r="K9" s="247" t="s">
        <v>156</v>
      </c>
      <c r="L9" s="247">
        <v>2</v>
      </c>
      <c r="M9" s="247"/>
      <c r="N9" s="247">
        <v>4</v>
      </c>
      <c r="O9" s="247">
        <v>0.6</v>
      </c>
      <c r="P9" s="247">
        <v>0.5</v>
      </c>
      <c r="Q9" s="139">
        <f t="shared" si="0"/>
        <v>0.55000000000000004</v>
      </c>
      <c r="R9" s="142">
        <v>17</v>
      </c>
      <c r="S9" s="247">
        <v>112</v>
      </c>
      <c r="T9" s="140">
        <f t="shared" si="1"/>
        <v>33</v>
      </c>
      <c r="U9" s="247">
        <v>398</v>
      </c>
      <c r="V9" s="141">
        <f t="shared" si="2"/>
        <v>3283.5</v>
      </c>
      <c r="W9" s="247">
        <v>3</v>
      </c>
      <c r="X9" s="137" t="s">
        <v>46</v>
      </c>
      <c r="Y9" s="247" t="s">
        <v>69</v>
      </c>
      <c r="Z9" s="247" t="s">
        <v>90</v>
      </c>
      <c r="AA9" s="247" t="s">
        <v>88</v>
      </c>
      <c r="AB9" s="137" t="s">
        <v>399</v>
      </c>
      <c r="AC9" s="142"/>
      <c r="AE9" s="223" t="s">
        <v>98</v>
      </c>
      <c r="AG9" s="49" t="s">
        <v>133</v>
      </c>
      <c r="AH9" s="49" t="s">
        <v>266</v>
      </c>
      <c r="AL9" s="230"/>
      <c r="AN9" s="230"/>
      <c r="AP9" s="224" t="s">
        <v>95</v>
      </c>
      <c r="AR9" s="231" t="s">
        <v>89</v>
      </c>
      <c r="AV9" s="238" t="s">
        <v>102</v>
      </c>
      <c r="AX9" s="225">
        <v>128</v>
      </c>
      <c r="AY9" s="226">
        <v>27</v>
      </c>
      <c r="AZ9" s="226">
        <v>129</v>
      </c>
      <c r="BA9" s="227">
        <v>25</v>
      </c>
    </row>
    <row r="10" spans="1:53" x14ac:dyDescent="0.15">
      <c r="A10" s="137" t="s">
        <v>61</v>
      </c>
      <c r="B10" s="137" t="s">
        <v>370</v>
      </c>
      <c r="C10" s="137">
        <v>2018</v>
      </c>
      <c r="D10" s="138" t="s">
        <v>371</v>
      </c>
      <c r="E10" s="137" t="s">
        <v>253</v>
      </c>
      <c r="F10" s="137" t="s">
        <v>254</v>
      </c>
      <c r="G10" s="137" t="s">
        <v>42</v>
      </c>
      <c r="H10" s="247" t="s">
        <v>157</v>
      </c>
      <c r="I10" s="247" t="s">
        <v>155</v>
      </c>
      <c r="J10" s="137" t="s">
        <v>38</v>
      </c>
      <c r="K10" s="247" t="s">
        <v>156</v>
      </c>
      <c r="L10" s="247">
        <v>3</v>
      </c>
      <c r="M10" s="247"/>
      <c r="N10" s="247">
        <v>4</v>
      </c>
      <c r="O10" s="247">
        <v>0.7</v>
      </c>
      <c r="P10" s="247">
        <v>0.65</v>
      </c>
      <c r="Q10" s="139">
        <f t="shared" si="0"/>
        <v>0.67500000000000004</v>
      </c>
      <c r="R10" s="247">
        <v>17.2</v>
      </c>
      <c r="S10" s="247">
        <v>99</v>
      </c>
      <c r="T10" s="140">
        <f t="shared" si="1"/>
        <v>33</v>
      </c>
      <c r="U10" s="247">
        <v>398</v>
      </c>
      <c r="V10" s="141">
        <f t="shared" si="2"/>
        <v>3283.5</v>
      </c>
      <c r="W10" s="247">
        <v>3</v>
      </c>
      <c r="X10" s="137" t="s">
        <v>46</v>
      </c>
      <c r="Y10" s="247" t="s">
        <v>69</v>
      </c>
      <c r="Z10" s="247" t="s">
        <v>90</v>
      </c>
      <c r="AA10" s="247" t="s">
        <v>88</v>
      </c>
      <c r="AB10" s="137" t="s">
        <v>400</v>
      </c>
      <c r="AC10" s="142"/>
      <c r="AE10" s="223" t="s">
        <v>103</v>
      </c>
      <c r="AG10" s="49" t="s">
        <v>267</v>
      </c>
      <c r="AH10" s="49" t="s">
        <v>268</v>
      </c>
      <c r="AL10" s="228"/>
      <c r="AP10" s="224" t="s">
        <v>100</v>
      </c>
      <c r="AR10" s="231" t="s">
        <v>123</v>
      </c>
      <c r="AV10" s="238" t="s">
        <v>106</v>
      </c>
      <c r="AX10" s="225">
        <v>138</v>
      </c>
      <c r="AY10" s="226">
        <v>25</v>
      </c>
      <c r="AZ10" s="226">
        <v>138</v>
      </c>
      <c r="BA10" s="227">
        <v>22</v>
      </c>
    </row>
    <row r="11" spans="1:53" x14ac:dyDescent="0.15">
      <c r="A11" s="137" t="s">
        <v>401</v>
      </c>
      <c r="B11" s="137" t="s">
        <v>370</v>
      </c>
      <c r="C11" s="137">
        <v>2018</v>
      </c>
      <c r="D11" s="138" t="s">
        <v>371</v>
      </c>
      <c r="E11" s="137" t="s">
        <v>253</v>
      </c>
      <c r="F11" s="137" t="s">
        <v>254</v>
      </c>
      <c r="G11" s="137" t="s">
        <v>42</v>
      </c>
      <c r="H11" s="247" t="s">
        <v>164</v>
      </c>
      <c r="I11" s="247" t="s">
        <v>155</v>
      </c>
      <c r="J11" s="137" t="s">
        <v>38</v>
      </c>
      <c r="K11" s="247" t="s">
        <v>156</v>
      </c>
      <c r="L11" s="247">
        <v>1</v>
      </c>
      <c r="M11" s="247"/>
      <c r="N11" s="247">
        <v>1</v>
      </c>
      <c r="O11" s="247">
        <v>0.5</v>
      </c>
      <c r="P11" s="247">
        <v>0.55000000000000004</v>
      </c>
      <c r="Q11" s="139">
        <f t="shared" si="0"/>
        <v>0.52500000000000002</v>
      </c>
      <c r="R11" s="247">
        <v>17.899999999999999</v>
      </c>
      <c r="S11" s="247">
        <v>143</v>
      </c>
      <c r="T11" s="140">
        <f t="shared" si="1"/>
        <v>22</v>
      </c>
      <c r="U11" s="247">
        <v>158</v>
      </c>
      <c r="V11" s="141">
        <f t="shared" si="2"/>
        <v>3476</v>
      </c>
      <c r="W11" s="247">
        <v>3</v>
      </c>
      <c r="X11" s="137" t="s">
        <v>46</v>
      </c>
      <c r="Y11" s="247" t="s">
        <v>69</v>
      </c>
      <c r="Z11" s="247" t="s">
        <v>90</v>
      </c>
      <c r="AA11" s="247" t="s">
        <v>88</v>
      </c>
      <c r="AB11" s="137" t="s">
        <v>400</v>
      </c>
      <c r="AC11" s="142"/>
      <c r="AE11" s="223" t="s">
        <v>65</v>
      </c>
      <c r="AG11" s="49" t="s">
        <v>269</v>
      </c>
      <c r="AH11" s="49" t="s">
        <v>268</v>
      </c>
      <c r="AL11" s="149"/>
      <c r="AP11" s="224" t="s">
        <v>104</v>
      </c>
      <c r="AR11" s="231" t="s">
        <v>87</v>
      </c>
      <c r="AV11" s="150" t="s">
        <v>402</v>
      </c>
      <c r="AX11" s="225">
        <v>151</v>
      </c>
      <c r="AY11" s="226">
        <v>22</v>
      </c>
      <c r="AZ11" s="226">
        <v>152</v>
      </c>
      <c r="BA11" s="227">
        <v>18</v>
      </c>
    </row>
    <row r="12" spans="1:53" x14ac:dyDescent="0.15">
      <c r="A12" s="137" t="s">
        <v>61</v>
      </c>
      <c r="B12" s="137" t="s">
        <v>375</v>
      </c>
      <c r="C12" s="137">
        <v>2018</v>
      </c>
      <c r="D12" s="138" t="s">
        <v>376</v>
      </c>
      <c r="E12" s="137" t="s">
        <v>253</v>
      </c>
      <c r="F12" s="137" t="s">
        <v>254</v>
      </c>
      <c r="G12" s="137" t="s">
        <v>42</v>
      </c>
      <c r="H12" s="247" t="s">
        <v>164</v>
      </c>
      <c r="I12" s="247" t="s">
        <v>155</v>
      </c>
      <c r="J12" s="137" t="s">
        <v>38</v>
      </c>
      <c r="K12" s="247" t="s">
        <v>156</v>
      </c>
      <c r="L12" s="247">
        <v>2</v>
      </c>
      <c r="M12" s="247"/>
      <c r="N12" s="247">
        <v>1</v>
      </c>
      <c r="O12" s="247">
        <v>0.5</v>
      </c>
      <c r="P12" s="247">
        <v>0.5</v>
      </c>
      <c r="Q12" s="139">
        <f t="shared" si="0"/>
        <v>0.5</v>
      </c>
      <c r="R12" s="142">
        <v>18.2</v>
      </c>
      <c r="S12" s="247">
        <v>137</v>
      </c>
      <c r="T12" s="140">
        <f t="shared" si="1"/>
        <v>25</v>
      </c>
      <c r="U12" s="247">
        <v>158</v>
      </c>
      <c r="V12" s="141">
        <f t="shared" si="2"/>
        <v>3950</v>
      </c>
      <c r="W12" s="247">
        <v>3</v>
      </c>
      <c r="X12" s="137" t="s">
        <v>46</v>
      </c>
      <c r="Y12" s="247" t="s">
        <v>69</v>
      </c>
      <c r="Z12" s="247" t="s">
        <v>90</v>
      </c>
      <c r="AA12" s="247" t="s">
        <v>88</v>
      </c>
      <c r="AB12" s="137" t="s">
        <v>403</v>
      </c>
      <c r="AC12" s="142"/>
      <c r="AE12" s="223" t="s">
        <v>70</v>
      </c>
      <c r="AG12" s="224"/>
      <c r="AH12" s="223"/>
      <c r="AL12" s="149"/>
      <c r="AP12" s="224" t="s">
        <v>67</v>
      </c>
      <c r="AR12" s="231" t="s">
        <v>124</v>
      </c>
      <c r="AV12" s="150" t="s">
        <v>404</v>
      </c>
      <c r="AX12" s="225">
        <v>180</v>
      </c>
      <c r="AY12" s="226">
        <v>18</v>
      </c>
      <c r="AZ12" s="226">
        <v>181</v>
      </c>
      <c r="BA12" s="227">
        <v>16</v>
      </c>
    </row>
    <row r="13" spans="1:53" x14ac:dyDescent="0.15">
      <c r="A13" s="137" t="s">
        <v>61</v>
      </c>
      <c r="B13" s="137" t="s">
        <v>379</v>
      </c>
      <c r="C13" s="137">
        <v>2018</v>
      </c>
      <c r="D13" s="138" t="s">
        <v>380</v>
      </c>
      <c r="E13" s="137" t="s">
        <v>253</v>
      </c>
      <c r="F13" s="137" t="s">
        <v>254</v>
      </c>
      <c r="G13" s="137" t="s">
        <v>42</v>
      </c>
      <c r="H13" s="247" t="s">
        <v>164</v>
      </c>
      <c r="I13" s="247" t="s">
        <v>155</v>
      </c>
      <c r="J13" s="137" t="s">
        <v>38</v>
      </c>
      <c r="K13" s="247" t="s">
        <v>156</v>
      </c>
      <c r="L13" s="247">
        <v>3</v>
      </c>
      <c r="M13" s="247"/>
      <c r="N13" s="247">
        <v>1</v>
      </c>
      <c r="O13" s="247">
        <v>0.7</v>
      </c>
      <c r="P13" s="247">
        <v>0.65</v>
      </c>
      <c r="Q13" s="139">
        <f t="shared" si="0"/>
        <v>0.67500000000000004</v>
      </c>
      <c r="R13" s="247">
        <v>17.899999999999999</v>
      </c>
      <c r="S13" s="247">
        <v>136</v>
      </c>
      <c r="T13" s="140">
        <f t="shared" si="1"/>
        <v>25</v>
      </c>
      <c r="U13" s="247">
        <v>158</v>
      </c>
      <c r="V13" s="141">
        <f t="shared" si="2"/>
        <v>3950</v>
      </c>
      <c r="W13" s="247">
        <v>3</v>
      </c>
      <c r="X13" s="137" t="s">
        <v>46</v>
      </c>
      <c r="Y13" s="247" t="s">
        <v>69</v>
      </c>
      <c r="Z13" s="247" t="s">
        <v>90</v>
      </c>
      <c r="AA13" s="247" t="s">
        <v>88</v>
      </c>
      <c r="AB13" s="137" t="s">
        <v>405</v>
      </c>
      <c r="AC13" s="142"/>
      <c r="AE13" s="223" t="s">
        <v>73</v>
      </c>
      <c r="AG13" s="224"/>
      <c r="AH13" s="223"/>
      <c r="AL13" s="151"/>
      <c r="AP13" s="224" t="s">
        <v>71</v>
      </c>
      <c r="AR13" s="231" t="s">
        <v>103</v>
      </c>
      <c r="AV13" s="150" t="s">
        <v>406</v>
      </c>
      <c r="AX13" s="225"/>
      <c r="AY13" s="226"/>
      <c r="AZ13" s="226"/>
      <c r="BA13" s="227"/>
    </row>
    <row r="14" spans="1:53" x14ac:dyDescent="0.15">
      <c r="A14" s="137" t="s">
        <v>61</v>
      </c>
      <c r="B14" s="137" t="s">
        <v>381</v>
      </c>
      <c r="C14" s="137">
        <v>2018</v>
      </c>
      <c r="D14" s="138" t="s">
        <v>382</v>
      </c>
      <c r="E14" s="137" t="s">
        <v>255</v>
      </c>
      <c r="F14" s="137" t="s">
        <v>256</v>
      </c>
      <c r="G14" s="137" t="s">
        <v>42</v>
      </c>
      <c r="H14" s="247" t="s">
        <v>157</v>
      </c>
      <c r="I14" s="247" t="s">
        <v>155</v>
      </c>
      <c r="J14" s="137" t="s">
        <v>38</v>
      </c>
      <c r="K14" s="247" t="s">
        <v>156</v>
      </c>
      <c r="L14" s="247">
        <v>1</v>
      </c>
      <c r="M14" s="247"/>
      <c r="N14" s="247">
        <v>1</v>
      </c>
      <c r="O14" s="247">
        <v>0.5</v>
      </c>
      <c r="P14" s="247">
        <v>0.55000000000000004</v>
      </c>
      <c r="Q14" s="139">
        <f t="shared" si="0"/>
        <v>0.52500000000000002</v>
      </c>
      <c r="R14" s="247">
        <v>17.399999999999999</v>
      </c>
      <c r="S14" s="247">
        <v>166</v>
      </c>
      <c r="T14" s="140">
        <f t="shared" si="1"/>
        <v>18</v>
      </c>
      <c r="U14" s="247">
        <v>138</v>
      </c>
      <c r="V14" s="141">
        <f t="shared" si="2"/>
        <v>2484</v>
      </c>
      <c r="W14" s="247">
        <v>11</v>
      </c>
      <c r="X14" s="137" t="s">
        <v>46</v>
      </c>
      <c r="Y14" s="247" t="s">
        <v>90</v>
      </c>
      <c r="Z14" s="247" t="s">
        <v>88</v>
      </c>
      <c r="AA14" s="247" t="s">
        <v>97</v>
      </c>
      <c r="AB14" s="137" t="s">
        <v>407</v>
      </c>
      <c r="AC14" s="142"/>
      <c r="AE14" s="223" t="s">
        <v>76</v>
      </c>
      <c r="AG14" s="224"/>
      <c r="AH14" s="223"/>
      <c r="AL14" s="235"/>
      <c r="AP14" s="224" t="s">
        <v>74</v>
      </c>
      <c r="AR14" s="231" t="s">
        <v>125</v>
      </c>
      <c r="AV14" s="150" t="s">
        <v>408</v>
      </c>
      <c r="AX14" s="225"/>
      <c r="AY14" s="226"/>
      <c r="AZ14" s="226"/>
      <c r="BA14" s="227"/>
    </row>
    <row r="15" spans="1:53" x14ac:dyDescent="0.15">
      <c r="A15" s="137" t="s">
        <v>61</v>
      </c>
      <c r="B15" s="137" t="s">
        <v>381</v>
      </c>
      <c r="C15" s="137">
        <v>2018</v>
      </c>
      <c r="D15" s="138" t="s">
        <v>382</v>
      </c>
      <c r="E15" s="137" t="s">
        <v>255</v>
      </c>
      <c r="F15" s="137" t="s">
        <v>256</v>
      </c>
      <c r="G15" s="137" t="s">
        <v>42</v>
      </c>
      <c r="H15" s="247" t="s">
        <v>157</v>
      </c>
      <c r="I15" s="247" t="s">
        <v>155</v>
      </c>
      <c r="J15" s="137" t="s">
        <v>38</v>
      </c>
      <c r="K15" s="247" t="s">
        <v>156</v>
      </c>
      <c r="L15" s="247">
        <v>2</v>
      </c>
      <c r="M15" s="247"/>
      <c r="N15" s="247">
        <v>1</v>
      </c>
      <c r="O15" s="247">
        <v>0.75</v>
      </c>
      <c r="P15" s="247">
        <v>0.65</v>
      </c>
      <c r="Q15" s="139">
        <f t="shared" si="0"/>
        <v>0.7</v>
      </c>
      <c r="R15" s="142">
        <v>17.399999999999999</v>
      </c>
      <c r="S15" s="247">
        <v>186</v>
      </c>
      <c r="T15" s="140">
        <f t="shared" si="1"/>
        <v>16</v>
      </c>
      <c r="U15" s="247">
        <v>138</v>
      </c>
      <c r="V15" s="141">
        <f t="shared" si="2"/>
        <v>2208</v>
      </c>
      <c r="W15" s="247">
        <v>11</v>
      </c>
      <c r="X15" s="137" t="s">
        <v>46</v>
      </c>
      <c r="Y15" s="247" t="s">
        <v>90</v>
      </c>
      <c r="Z15" s="247" t="s">
        <v>88</v>
      </c>
      <c r="AA15" s="247" t="s">
        <v>97</v>
      </c>
      <c r="AB15" s="137" t="s">
        <v>407</v>
      </c>
      <c r="AC15" s="142"/>
      <c r="AE15" s="223" t="s">
        <v>79</v>
      </c>
      <c r="AG15" s="224"/>
      <c r="AH15" s="224"/>
      <c r="AL15" s="235"/>
      <c r="AP15" s="224" t="s">
        <v>77</v>
      </c>
      <c r="AR15" s="231" t="s">
        <v>94</v>
      </c>
      <c r="AV15" s="150" t="s">
        <v>409</v>
      </c>
      <c r="AX15" s="232"/>
      <c r="AY15" s="233"/>
      <c r="AZ15" s="233"/>
      <c r="BA15" s="234"/>
    </row>
    <row r="16" spans="1:53" x14ac:dyDescent="0.15">
      <c r="A16" s="137" t="s">
        <v>61</v>
      </c>
      <c r="B16" s="137" t="s">
        <v>385</v>
      </c>
      <c r="C16" s="137">
        <v>2018</v>
      </c>
      <c r="D16" s="138" t="s">
        <v>386</v>
      </c>
      <c r="E16" s="137" t="s">
        <v>255</v>
      </c>
      <c r="F16" s="137" t="s">
        <v>256</v>
      </c>
      <c r="G16" s="137" t="s">
        <v>42</v>
      </c>
      <c r="H16" s="247" t="s">
        <v>157</v>
      </c>
      <c r="I16" s="247" t="s">
        <v>155</v>
      </c>
      <c r="J16" s="137" t="s">
        <v>38</v>
      </c>
      <c r="K16" s="247" t="s">
        <v>156</v>
      </c>
      <c r="L16" s="247">
        <v>3</v>
      </c>
      <c r="M16" s="247"/>
      <c r="N16" s="247">
        <v>1</v>
      </c>
      <c r="O16" s="247">
        <v>0.5</v>
      </c>
      <c r="P16" s="247">
        <v>0.6</v>
      </c>
      <c r="Q16" s="139">
        <f t="shared" si="0"/>
        <v>0.55000000000000004</v>
      </c>
      <c r="R16" s="247">
        <v>17.100000000000001</v>
      </c>
      <c r="S16" s="247">
        <v>155</v>
      </c>
      <c r="T16" s="140">
        <f t="shared" si="1"/>
        <v>18</v>
      </c>
      <c r="U16" s="247">
        <v>138</v>
      </c>
      <c r="V16" s="141">
        <f t="shared" si="2"/>
        <v>2484</v>
      </c>
      <c r="W16" s="247">
        <v>11</v>
      </c>
      <c r="X16" s="137" t="s">
        <v>46</v>
      </c>
      <c r="Y16" s="247" t="s">
        <v>90</v>
      </c>
      <c r="Z16" s="247" t="s">
        <v>88</v>
      </c>
      <c r="AA16" s="247" t="s">
        <v>97</v>
      </c>
      <c r="AB16" s="137" t="s">
        <v>410</v>
      </c>
      <c r="AC16" s="142"/>
      <c r="AE16" s="223" t="s">
        <v>82</v>
      </c>
      <c r="AG16" s="224"/>
      <c r="AH16" s="224"/>
      <c r="AP16" s="224" t="s">
        <v>80</v>
      </c>
      <c r="AR16" s="238" t="s">
        <v>63</v>
      </c>
      <c r="AV16" s="150" t="s">
        <v>411</v>
      </c>
    </row>
    <row r="17" spans="1:48" x14ac:dyDescent="0.15">
      <c r="A17" s="137" t="s">
        <v>61</v>
      </c>
      <c r="B17" s="137" t="s">
        <v>385</v>
      </c>
      <c r="C17" s="137">
        <v>2018</v>
      </c>
      <c r="D17" s="138" t="s">
        <v>386</v>
      </c>
      <c r="E17" s="137" t="s">
        <v>255</v>
      </c>
      <c r="F17" s="137" t="s">
        <v>256</v>
      </c>
      <c r="G17" s="137" t="s">
        <v>42</v>
      </c>
      <c r="H17" s="247" t="s">
        <v>219</v>
      </c>
      <c r="I17" s="247" t="s">
        <v>155</v>
      </c>
      <c r="J17" s="137" t="s">
        <v>38</v>
      </c>
      <c r="K17" s="247" t="s">
        <v>156</v>
      </c>
      <c r="L17" s="247">
        <v>1</v>
      </c>
      <c r="M17" s="247"/>
      <c r="N17" s="247">
        <v>4</v>
      </c>
      <c r="O17" s="247">
        <v>0.5</v>
      </c>
      <c r="P17" s="247">
        <v>0.5</v>
      </c>
      <c r="Q17" s="139">
        <f t="shared" si="0"/>
        <v>0.5</v>
      </c>
      <c r="R17" s="247">
        <v>17.7</v>
      </c>
      <c r="S17" s="247">
        <v>93</v>
      </c>
      <c r="T17" s="140">
        <f t="shared" si="1"/>
        <v>36</v>
      </c>
      <c r="U17" s="247">
        <v>358</v>
      </c>
      <c r="V17" s="141">
        <f t="shared" si="2"/>
        <v>3222</v>
      </c>
      <c r="W17" s="247">
        <v>11</v>
      </c>
      <c r="X17" s="137" t="s">
        <v>46</v>
      </c>
      <c r="Y17" s="247" t="s">
        <v>90</v>
      </c>
      <c r="Z17" s="247" t="s">
        <v>88</v>
      </c>
      <c r="AA17" s="247" t="s">
        <v>97</v>
      </c>
      <c r="AB17" s="137" t="s">
        <v>410</v>
      </c>
      <c r="AC17" s="142"/>
      <c r="AE17" s="223" t="s">
        <v>85</v>
      </c>
      <c r="AP17" s="239" t="s">
        <v>110</v>
      </c>
      <c r="AR17" s="238" t="s">
        <v>96</v>
      </c>
      <c r="AV17" s="150" t="s">
        <v>412</v>
      </c>
    </row>
    <row r="18" spans="1:48" x14ac:dyDescent="0.15">
      <c r="A18" s="137" t="s">
        <v>61</v>
      </c>
      <c r="B18" s="137" t="s">
        <v>385</v>
      </c>
      <c r="C18" s="137">
        <v>2018</v>
      </c>
      <c r="D18" s="138" t="s">
        <v>386</v>
      </c>
      <c r="E18" s="137" t="s">
        <v>255</v>
      </c>
      <c r="F18" s="137" t="s">
        <v>256</v>
      </c>
      <c r="G18" s="137" t="s">
        <v>42</v>
      </c>
      <c r="H18" s="247" t="s">
        <v>219</v>
      </c>
      <c r="I18" s="247" t="s">
        <v>155</v>
      </c>
      <c r="J18" s="137" t="s">
        <v>38</v>
      </c>
      <c r="K18" s="247" t="s">
        <v>156</v>
      </c>
      <c r="L18" s="247">
        <v>2</v>
      </c>
      <c r="M18" s="247"/>
      <c r="N18" s="247">
        <v>4</v>
      </c>
      <c r="O18" s="247">
        <v>0.5</v>
      </c>
      <c r="P18" s="247">
        <v>0.5</v>
      </c>
      <c r="Q18" s="139">
        <f t="shared" si="0"/>
        <v>0.5</v>
      </c>
      <c r="R18" s="142">
        <v>18</v>
      </c>
      <c r="S18" s="247">
        <v>95</v>
      </c>
      <c r="T18" s="140">
        <f t="shared" si="1"/>
        <v>36</v>
      </c>
      <c r="U18" s="247">
        <v>358</v>
      </c>
      <c r="V18" s="141">
        <f t="shared" si="2"/>
        <v>3222</v>
      </c>
      <c r="W18" s="247">
        <v>11</v>
      </c>
      <c r="X18" s="137" t="s">
        <v>46</v>
      </c>
      <c r="Y18" s="247" t="s">
        <v>90</v>
      </c>
      <c r="Z18" s="247" t="s">
        <v>88</v>
      </c>
      <c r="AA18" s="247" t="s">
        <v>97</v>
      </c>
      <c r="AB18" s="137" t="s">
        <v>410</v>
      </c>
      <c r="AC18" s="142"/>
      <c r="AE18" s="223" t="s">
        <v>87</v>
      </c>
      <c r="AP18" s="239" t="s">
        <v>111</v>
      </c>
      <c r="AR18" s="238" t="s">
        <v>101</v>
      </c>
      <c r="AV18" s="150" t="s">
        <v>358</v>
      </c>
    </row>
    <row r="19" spans="1:48" x14ac:dyDescent="0.15">
      <c r="A19" s="137" t="s">
        <v>61</v>
      </c>
      <c r="B19" s="137" t="s">
        <v>375</v>
      </c>
      <c r="C19" s="137">
        <v>2018</v>
      </c>
      <c r="D19" s="138" t="s">
        <v>376</v>
      </c>
      <c r="E19" s="137" t="s">
        <v>255</v>
      </c>
      <c r="F19" s="137" t="s">
        <v>256</v>
      </c>
      <c r="G19" s="137" t="s">
        <v>42</v>
      </c>
      <c r="H19" s="247" t="s">
        <v>219</v>
      </c>
      <c r="I19" s="247" t="s">
        <v>155</v>
      </c>
      <c r="J19" s="137" t="s">
        <v>38</v>
      </c>
      <c r="K19" s="247" t="s">
        <v>156</v>
      </c>
      <c r="L19" s="247">
        <v>3</v>
      </c>
      <c r="M19" s="247"/>
      <c r="N19" s="247">
        <v>4</v>
      </c>
      <c r="O19" s="142">
        <v>0.5</v>
      </c>
      <c r="P19" s="247">
        <v>0.5</v>
      </c>
      <c r="Q19" s="139">
        <f t="shared" si="0"/>
        <v>0.5</v>
      </c>
      <c r="R19" s="247">
        <v>17.600000000000001</v>
      </c>
      <c r="S19" s="247">
        <v>92</v>
      </c>
      <c r="T19" s="140">
        <f t="shared" si="1"/>
        <v>36</v>
      </c>
      <c r="U19" s="247">
        <v>358</v>
      </c>
      <c r="V19" s="141">
        <f t="shared" si="2"/>
        <v>3222</v>
      </c>
      <c r="W19" s="247">
        <v>11</v>
      </c>
      <c r="X19" s="137" t="s">
        <v>46</v>
      </c>
      <c r="Y19" s="247" t="s">
        <v>90</v>
      </c>
      <c r="Z19" s="247" t="s">
        <v>88</v>
      </c>
      <c r="AA19" s="247" t="s">
        <v>97</v>
      </c>
      <c r="AB19" s="137" t="s">
        <v>403</v>
      </c>
      <c r="AC19" s="142"/>
      <c r="AE19" s="236" t="s">
        <v>89</v>
      </c>
      <c r="AP19" s="239" t="s">
        <v>112</v>
      </c>
      <c r="AR19" s="231" t="s">
        <v>126</v>
      </c>
      <c r="AV19" s="150" t="s">
        <v>413</v>
      </c>
    </row>
    <row r="20" spans="1:48" x14ac:dyDescent="0.15">
      <c r="A20" s="137" t="s">
        <v>61</v>
      </c>
      <c r="B20" s="137" t="s">
        <v>375</v>
      </c>
      <c r="C20" s="137">
        <v>2018</v>
      </c>
      <c r="D20" s="138" t="s">
        <v>376</v>
      </c>
      <c r="E20" s="137" t="s">
        <v>255</v>
      </c>
      <c r="F20" s="137" t="s">
        <v>256</v>
      </c>
      <c r="G20" s="137" t="s">
        <v>42</v>
      </c>
      <c r="H20" s="247" t="s">
        <v>164</v>
      </c>
      <c r="I20" s="247" t="s">
        <v>155</v>
      </c>
      <c r="J20" s="137" t="s">
        <v>38</v>
      </c>
      <c r="K20" s="247" t="s">
        <v>156</v>
      </c>
      <c r="L20" s="247">
        <v>1</v>
      </c>
      <c r="M20" s="247"/>
      <c r="N20" s="247">
        <v>1</v>
      </c>
      <c r="O20" s="247">
        <v>0.5</v>
      </c>
      <c r="P20" s="247">
        <v>0.5</v>
      </c>
      <c r="Q20" s="139">
        <f t="shared" si="0"/>
        <v>0.5</v>
      </c>
      <c r="R20" s="247">
        <v>18.899999999999999</v>
      </c>
      <c r="S20" s="247">
        <v>147</v>
      </c>
      <c r="T20" s="140">
        <f t="shared" si="1"/>
        <v>22</v>
      </c>
      <c r="U20" s="247">
        <v>158</v>
      </c>
      <c r="V20" s="141">
        <f t="shared" si="2"/>
        <v>3476</v>
      </c>
      <c r="W20" s="247">
        <v>11</v>
      </c>
      <c r="X20" s="137" t="s">
        <v>46</v>
      </c>
      <c r="Y20" s="247" t="s">
        <v>90</v>
      </c>
      <c r="Z20" s="247" t="s">
        <v>88</v>
      </c>
      <c r="AA20" s="247" t="s">
        <v>97</v>
      </c>
      <c r="AB20" s="137" t="s">
        <v>403</v>
      </c>
      <c r="AC20" s="142"/>
      <c r="AE20" s="223"/>
      <c r="AP20" s="239" t="s">
        <v>113</v>
      </c>
      <c r="AR20" s="238" t="s">
        <v>105</v>
      </c>
      <c r="AV20" s="150" t="s">
        <v>414</v>
      </c>
    </row>
    <row r="21" spans="1:48" x14ac:dyDescent="0.15">
      <c r="A21" s="137" t="s">
        <v>61</v>
      </c>
      <c r="B21" s="137" t="s">
        <v>375</v>
      </c>
      <c r="C21" s="137">
        <v>2018</v>
      </c>
      <c r="D21" s="138" t="s">
        <v>376</v>
      </c>
      <c r="E21" s="137" t="s">
        <v>255</v>
      </c>
      <c r="F21" s="137" t="s">
        <v>256</v>
      </c>
      <c r="G21" s="137" t="s">
        <v>42</v>
      </c>
      <c r="H21" s="247" t="s">
        <v>164</v>
      </c>
      <c r="I21" s="247" t="s">
        <v>155</v>
      </c>
      <c r="J21" s="137" t="s">
        <v>38</v>
      </c>
      <c r="K21" s="247" t="s">
        <v>156</v>
      </c>
      <c r="L21" s="247">
        <v>2</v>
      </c>
      <c r="M21" s="247"/>
      <c r="N21" s="247">
        <v>1</v>
      </c>
      <c r="O21" s="247">
        <v>0.5</v>
      </c>
      <c r="P21" s="247">
        <v>0.5</v>
      </c>
      <c r="Q21" s="139">
        <f t="shared" si="0"/>
        <v>0.5</v>
      </c>
      <c r="R21" s="247">
        <v>17.5</v>
      </c>
      <c r="S21" s="247">
        <v>155</v>
      </c>
      <c r="T21" s="140">
        <f t="shared" si="1"/>
        <v>18</v>
      </c>
      <c r="U21" s="247">
        <v>158</v>
      </c>
      <c r="V21" s="141">
        <f t="shared" si="2"/>
        <v>2844</v>
      </c>
      <c r="W21" s="247">
        <v>11</v>
      </c>
      <c r="X21" s="137" t="s">
        <v>46</v>
      </c>
      <c r="Y21" s="247" t="s">
        <v>90</v>
      </c>
      <c r="Z21" s="247" t="s">
        <v>88</v>
      </c>
      <c r="AA21" s="247" t="s">
        <v>97</v>
      </c>
      <c r="AB21" s="137" t="s">
        <v>403</v>
      </c>
      <c r="AC21" s="142"/>
      <c r="AE21" s="223"/>
      <c r="AP21" s="239" t="s">
        <v>114</v>
      </c>
      <c r="AR21" s="238" t="s">
        <v>68</v>
      </c>
      <c r="AV21" s="150" t="s">
        <v>415</v>
      </c>
    </row>
    <row r="22" spans="1:48" x14ac:dyDescent="0.15">
      <c r="A22" s="137" t="s">
        <v>61</v>
      </c>
      <c r="B22" s="137" t="s">
        <v>375</v>
      </c>
      <c r="C22" s="137">
        <v>2018</v>
      </c>
      <c r="D22" s="138" t="s">
        <v>376</v>
      </c>
      <c r="E22" s="137" t="s">
        <v>255</v>
      </c>
      <c r="F22" s="137" t="s">
        <v>256</v>
      </c>
      <c r="G22" s="137" t="s">
        <v>42</v>
      </c>
      <c r="H22" s="247" t="s">
        <v>164</v>
      </c>
      <c r="I22" s="247" t="s">
        <v>155</v>
      </c>
      <c r="J22" s="137" t="s">
        <v>38</v>
      </c>
      <c r="K22" s="247" t="s">
        <v>156</v>
      </c>
      <c r="L22" s="247">
        <v>3</v>
      </c>
      <c r="M22" s="247"/>
      <c r="N22" s="247">
        <v>1</v>
      </c>
      <c r="O22" s="142">
        <v>0.5</v>
      </c>
      <c r="P22" s="247">
        <v>0.55000000000000004</v>
      </c>
      <c r="Q22" s="139">
        <f t="shared" si="0"/>
        <v>0.52500000000000002</v>
      </c>
      <c r="R22" s="247">
        <v>17.399999999999999</v>
      </c>
      <c r="S22" s="247">
        <v>155</v>
      </c>
      <c r="T22" s="140">
        <f t="shared" si="1"/>
        <v>18</v>
      </c>
      <c r="U22" s="247">
        <v>158</v>
      </c>
      <c r="V22" s="141">
        <f t="shared" si="2"/>
        <v>2844</v>
      </c>
      <c r="W22" s="247">
        <v>11</v>
      </c>
      <c r="X22" s="137" t="s">
        <v>46</v>
      </c>
      <c r="Y22" s="247" t="s">
        <v>90</v>
      </c>
      <c r="Z22" s="247" t="s">
        <v>88</v>
      </c>
      <c r="AA22" s="247" t="s">
        <v>97</v>
      </c>
      <c r="AB22" s="137" t="s">
        <v>403</v>
      </c>
      <c r="AC22" s="142"/>
      <c r="AE22" s="236"/>
      <c r="AP22" s="239" t="s">
        <v>115</v>
      </c>
      <c r="AR22" s="238" t="s">
        <v>83</v>
      </c>
      <c r="AV22" s="224"/>
    </row>
    <row r="23" spans="1:48" x14ac:dyDescent="0.15">
      <c r="A23" s="137" t="s">
        <v>61</v>
      </c>
      <c r="B23" s="137" t="s">
        <v>375</v>
      </c>
      <c r="C23" s="137">
        <v>2018</v>
      </c>
      <c r="D23" s="138" t="s">
        <v>376</v>
      </c>
      <c r="E23" s="137" t="s">
        <v>257</v>
      </c>
      <c r="F23" s="137" t="s">
        <v>258</v>
      </c>
      <c r="G23" s="137" t="s">
        <v>42</v>
      </c>
      <c r="H23" s="247" t="s">
        <v>157</v>
      </c>
      <c r="I23" s="247" t="s">
        <v>155</v>
      </c>
      <c r="J23" s="137" t="s">
        <v>38</v>
      </c>
      <c r="K23" s="247" t="s">
        <v>156</v>
      </c>
      <c r="L23" s="247">
        <v>1</v>
      </c>
      <c r="M23" s="247"/>
      <c r="N23" s="247">
        <v>1</v>
      </c>
      <c r="O23" s="247">
        <v>0.5</v>
      </c>
      <c r="P23" s="247">
        <v>0.5</v>
      </c>
      <c r="Q23" s="139">
        <f t="shared" si="0"/>
        <v>0.5</v>
      </c>
      <c r="R23" s="247">
        <v>17.5</v>
      </c>
      <c r="S23" s="247">
        <v>128</v>
      </c>
      <c r="T23" s="140">
        <f t="shared" si="1"/>
        <v>27</v>
      </c>
      <c r="U23" s="247">
        <v>138</v>
      </c>
      <c r="V23" s="141">
        <f t="shared" si="2"/>
        <v>3726</v>
      </c>
      <c r="W23" s="247">
        <v>12</v>
      </c>
      <c r="X23" s="137" t="s">
        <v>46</v>
      </c>
      <c r="Y23" s="247" t="s">
        <v>97</v>
      </c>
      <c r="Z23" s="247" t="s">
        <v>69</v>
      </c>
      <c r="AA23" s="247" t="s">
        <v>55</v>
      </c>
      <c r="AB23" s="137" t="s">
        <v>403</v>
      </c>
      <c r="AC23" s="142"/>
      <c r="AE23" s="223"/>
      <c r="AP23" s="239" t="s">
        <v>390</v>
      </c>
      <c r="AR23" s="238" t="s">
        <v>61</v>
      </c>
    </row>
    <row r="24" spans="1:48" x14ac:dyDescent="0.15">
      <c r="A24" s="137" t="s">
        <v>61</v>
      </c>
      <c r="B24" s="137" t="s">
        <v>375</v>
      </c>
      <c r="C24" s="137">
        <v>2018</v>
      </c>
      <c r="D24" s="138" t="s">
        <v>376</v>
      </c>
      <c r="E24" s="137" t="s">
        <v>257</v>
      </c>
      <c r="F24" s="137" t="s">
        <v>258</v>
      </c>
      <c r="G24" s="137" t="s">
        <v>42</v>
      </c>
      <c r="H24" s="247" t="s">
        <v>157</v>
      </c>
      <c r="I24" s="247" t="s">
        <v>155</v>
      </c>
      <c r="J24" s="137" t="s">
        <v>38</v>
      </c>
      <c r="K24" s="247" t="s">
        <v>156</v>
      </c>
      <c r="L24" s="247">
        <v>2</v>
      </c>
      <c r="M24" s="247"/>
      <c r="N24" s="247">
        <v>1</v>
      </c>
      <c r="O24" s="247">
        <v>0.5</v>
      </c>
      <c r="P24" s="247">
        <v>0.65</v>
      </c>
      <c r="Q24" s="139">
        <f t="shared" si="0"/>
        <v>0.57499999999999996</v>
      </c>
      <c r="R24" s="247">
        <v>17.2</v>
      </c>
      <c r="S24" s="247">
        <v>125</v>
      </c>
      <c r="T24" s="140">
        <f t="shared" si="1"/>
        <v>27</v>
      </c>
      <c r="U24" s="247">
        <v>138</v>
      </c>
      <c r="V24" s="141">
        <f t="shared" si="2"/>
        <v>3726</v>
      </c>
      <c r="W24" s="247">
        <v>12</v>
      </c>
      <c r="X24" s="137" t="s">
        <v>46</v>
      </c>
      <c r="Y24" s="247" t="s">
        <v>97</v>
      </c>
      <c r="Z24" s="247" t="s">
        <v>69</v>
      </c>
      <c r="AA24" s="247" t="s">
        <v>55</v>
      </c>
      <c r="AB24" s="137" t="s">
        <v>403</v>
      </c>
      <c r="AC24" s="142"/>
      <c r="AE24" s="223"/>
      <c r="AP24" s="239" t="s">
        <v>391</v>
      </c>
      <c r="AR24" s="238" t="s">
        <v>91</v>
      </c>
    </row>
    <row r="25" spans="1:48" x14ac:dyDescent="0.15">
      <c r="A25" s="137" t="s">
        <v>61</v>
      </c>
      <c r="B25" s="137" t="s">
        <v>375</v>
      </c>
      <c r="C25" s="137">
        <v>2018</v>
      </c>
      <c r="D25" s="138" t="s">
        <v>376</v>
      </c>
      <c r="E25" s="137" t="s">
        <v>257</v>
      </c>
      <c r="F25" s="137" t="s">
        <v>258</v>
      </c>
      <c r="G25" s="137" t="s">
        <v>42</v>
      </c>
      <c r="H25" s="247" t="s">
        <v>157</v>
      </c>
      <c r="I25" s="247" t="s">
        <v>155</v>
      </c>
      <c r="J25" s="137" t="s">
        <v>38</v>
      </c>
      <c r="K25" s="247" t="s">
        <v>156</v>
      </c>
      <c r="L25" s="247">
        <v>3</v>
      </c>
      <c r="M25" s="247"/>
      <c r="N25" s="247">
        <v>1</v>
      </c>
      <c r="O25" s="247">
        <v>0.5</v>
      </c>
      <c r="P25" s="247">
        <v>0.55000000000000004</v>
      </c>
      <c r="Q25" s="139">
        <f t="shared" si="0"/>
        <v>0.52500000000000002</v>
      </c>
      <c r="R25" s="247">
        <v>16.899999999999999</v>
      </c>
      <c r="S25" s="247">
        <v>135</v>
      </c>
      <c r="T25" s="140">
        <f t="shared" si="1"/>
        <v>25</v>
      </c>
      <c r="U25" s="247">
        <v>138</v>
      </c>
      <c r="V25" s="141">
        <f t="shared" si="2"/>
        <v>3450</v>
      </c>
      <c r="W25" s="247">
        <v>12</v>
      </c>
      <c r="X25" s="137" t="s">
        <v>46</v>
      </c>
      <c r="Y25" s="247" t="s">
        <v>97</v>
      </c>
      <c r="Z25" s="247" t="s">
        <v>69</v>
      </c>
      <c r="AA25" s="247" t="s">
        <v>55</v>
      </c>
      <c r="AB25" s="137" t="s">
        <v>403</v>
      </c>
      <c r="AC25" s="142"/>
      <c r="AE25" s="236"/>
      <c r="AP25" s="239" t="s">
        <v>116</v>
      </c>
      <c r="AR25" s="42" t="s">
        <v>92</v>
      </c>
    </row>
    <row r="26" spans="1:48" x14ac:dyDescent="0.15">
      <c r="A26" s="137" t="s">
        <v>61</v>
      </c>
      <c r="B26" s="137" t="s">
        <v>375</v>
      </c>
      <c r="C26" s="137">
        <v>2018</v>
      </c>
      <c r="D26" s="138" t="s">
        <v>376</v>
      </c>
      <c r="E26" s="137" t="s">
        <v>257</v>
      </c>
      <c r="F26" s="137" t="s">
        <v>258</v>
      </c>
      <c r="G26" s="137" t="s">
        <v>42</v>
      </c>
      <c r="H26" s="247" t="s">
        <v>219</v>
      </c>
      <c r="I26" s="247" t="s">
        <v>155</v>
      </c>
      <c r="J26" s="137" t="s">
        <v>38</v>
      </c>
      <c r="K26" s="247" t="s">
        <v>156</v>
      </c>
      <c r="L26" s="247">
        <v>1</v>
      </c>
      <c r="M26" s="247"/>
      <c r="N26" s="247">
        <v>4</v>
      </c>
      <c r="O26" s="247">
        <v>0.5</v>
      </c>
      <c r="P26" s="142">
        <v>0.55000000000000004</v>
      </c>
      <c r="Q26" s="139">
        <f t="shared" si="0"/>
        <v>0.52500000000000002</v>
      </c>
      <c r="R26" s="247">
        <v>17.2</v>
      </c>
      <c r="S26" s="247">
        <v>111</v>
      </c>
      <c r="T26" s="140">
        <f t="shared" si="1"/>
        <v>33</v>
      </c>
      <c r="U26" s="247">
        <v>429</v>
      </c>
      <c r="V26" s="141">
        <f t="shared" si="2"/>
        <v>3539.25</v>
      </c>
      <c r="W26" s="247">
        <v>12</v>
      </c>
      <c r="X26" s="137" t="s">
        <v>46</v>
      </c>
      <c r="Y26" s="247" t="s">
        <v>97</v>
      </c>
      <c r="Z26" s="247" t="s">
        <v>69</v>
      </c>
      <c r="AA26" s="247" t="s">
        <v>55</v>
      </c>
      <c r="AB26" s="137" t="s">
        <v>403</v>
      </c>
      <c r="AC26" s="142"/>
      <c r="AD26" s="235"/>
      <c r="AE26" s="236"/>
      <c r="AP26" s="239" t="s">
        <v>117</v>
      </c>
      <c r="AR26" s="224" t="s">
        <v>299</v>
      </c>
    </row>
    <row r="27" spans="1:48" x14ac:dyDescent="0.15">
      <c r="A27" s="137" t="s">
        <v>61</v>
      </c>
      <c r="B27" s="137" t="s">
        <v>375</v>
      </c>
      <c r="C27" s="137">
        <v>2018</v>
      </c>
      <c r="D27" s="138" t="s">
        <v>376</v>
      </c>
      <c r="E27" s="137" t="s">
        <v>257</v>
      </c>
      <c r="F27" s="137" t="s">
        <v>258</v>
      </c>
      <c r="G27" s="137" t="s">
        <v>42</v>
      </c>
      <c r="H27" s="247" t="s">
        <v>219</v>
      </c>
      <c r="I27" s="247" t="s">
        <v>155</v>
      </c>
      <c r="J27" s="137" t="s">
        <v>38</v>
      </c>
      <c r="K27" s="247" t="s">
        <v>156</v>
      </c>
      <c r="L27" s="247">
        <v>2</v>
      </c>
      <c r="M27" s="247"/>
      <c r="N27" s="247">
        <v>4</v>
      </c>
      <c r="O27" s="247">
        <v>0.5</v>
      </c>
      <c r="P27" s="142">
        <v>0.5</v>
      </c>
      <c r="Q27" s="139">
        <f t="shared" si="0"/>
        <v>0.5</v>
      </c>
      <c r="R27" s="247">
        <v>17</v>
      </c>
      <c r="S27" s="247">
        <v>109</v>
      </c>
      <c r="T27" s="140">
        <f t="shared" si="1"/>
        <v>33</v>
      </c>
      <c r="U27" s="247">
        <v>429</v>
      </c>
      <c r="V27" s="141">
        <f t="shared" si="2"/>
        <v>3539.25</v>
      </c>
      <c r="W27" s="247">
        <v>12</v>
      </c>
      <c r="X27" s="137" t="s">
        <v>46</v>
      </c>
      <c r="Y27" s="247" t="s">
        <v>97</v>
      </c>
      <c r="Z27" s="247" t="s">
        <v>69</v>
      </c>
      <c r="AA27" s="247" t="s">
        <v>55</v>
      </c>
      <c r="AB27" s="137" t="s">
        <v>403</v>
      </c>
      <c r="AC27" s="142"/>
      <c r="AD27" s="235"/>
      <c r="AE27" s="229"/>
      <c r="AP27" s="239" t="s">
        <v>118</v>
      </c>
      <c r="AR27" s="224"/>
    </row>
    <row r="28" spans="1:48" x14ac:dyDescent="0.15">
      <c r="A28" s="137" t="s">
        <v>61</v>
      </c>
      <c r="B28" s="137" t="s">
        <v>375</v>
      </c>
      <c r="C28" s="137">
        <v>2018</v>
      </c>
      <c r="D28" s="138" t="s">
        <v>376</v>
      </c>
      <c r="E28" s="137" t="s">
        <v>257</v>
      </c>
      <c r="F28" s="137" t="s">
        <v>258</v>
      </c>
      <c r="G28" s="137" t="s">
        <v>42</v>
      </c>
      <c r="H28" s="247" t="s">
        <v>219</v>
      </c>
      <c r="I28" s="247" t="s">
        <v>155</v>
      </c>
      <c r="J28" s="137" t="s">
        <v>38</v>
      </c>
      <c r="K28" s="247" t="s">
        <v>156</v>
      </c>
      <c r="L28" s="247">
        <v>3</v>
      </c>
      <c r="M28" s="247"/>
      <c r="N28" s="247">
        <v>4</v>
      </c>
      <c r="O28" s="247">
        <v>0.55000000000000004</v>
      </c>
      <c r="P28" s="142">
        <v>0.55000000000000004</v>
      </c>
      <c r="Q28" s="139">
        <f t="shared" si="0"/>
        <v>0.55000000000000004</v>
      </c>
      <c r="R28" s="247">
        <v>15.7</v>
      </c>
      <c r="S28" s="247">
        <v>111</v>
      </c>
      <c r="T28" s="140">
        <f t="shared" si="1"/>
        <v>33</v>
      </c>
      <c r="U28" s="247">
        <v>429</v>
      </c>
      <c r="V28" s="141">
        <f t="shared" si="2"/>
        <v>3539.25</v>
      </c>
      <c r="W28" s="247">
        <v>12</v>
      </c>
      <c r="X28" s="137" t="s">
        <v>46</v>
      </c>
      <c r="Y28" s="247" t="s">
        <v>97</v>
      </c>
      <c r="Z28" s="247" t="s">
        <v>69</v>
      </c>
      <c r="AA28" s="247" t="s">
        <v>55</v>
      </c>
      <c r="AB28" s="137" t="s">
        <v>403</v>
      </c>
      <c r="AC28" s="142"/>
      <c r="AD28" s="235"/>
      <c r="AP28" s="228"/>
      <c r="AR28" s="224"/>
    </row>
    <row r="29" spans="1:48" x14ac:dyDescent="0.15">
      <c r="A29" s="137" t="s">
        <v>61</v>
      </c>
      <c r="B29" s="137" t="s">
        <v>375</v>
      </c>
      <c r="C29" s="137">
        <v>2018</v>
      </c>
      <c r="D29" s="138" t="s">
        <v>376</v>
      </c>
      <c r="E29" s="137" t="s">
        <v>257</v>
      </c>
      <c r="F29" s="137" t="s">
        <v>258</v>
      </c>
      <c r="G29" s="137" t="s">
        <v>42</v>
      </c>
      <c r="H29" s="247" t="s">
        <v>164</v>
      </c>
      <c r="I29" s="247" t="s">
        <v>155</v>
      </c>
      <c r="J29" s="137" t="s">
        <v>38</v>
      </c>
      <c r="K29" s="247" t="s">
        <v>156</v>
      </c>
      <c r="L29" s="247">
        <v>1</v>
      </c>
      <c r="M29" s="247"/>
      <c r="N29" s="247">
        <v>1</v>
      </c>
      <c r="O29" s="247">
        <v>0.7</v>
      </c>
      <c r="P29" s="247">
        <v>0.55000000000000004</v>
      </c>
      <c r="Q29" s="139">
        <f t="shared" si="0"/>
        <v>0.625</v>
      </c>
      <c r="R29" s="247">
        <v>17.5</v>
      </c>
      <c r="S29" s="247">
        <v>130</v>
      </c>
      <c r="T29" s="140">
        <f t="shared" si="1"/>
        <v>25</v>
      </c>
      <c r="U29" s="247">
        <v>149</v>
      </c>
      <c r="V29" s="141">
        <f t="shared" si="2"/>
        <v>3725</v>
      </c>
      <c r="W29" s="247">
        <v>12</v>
      </c>
      <c r="X29" s="137" t="s">
        <v>46</v>
      </c>
      <c r="Y29" s="247" t="s">
        <v>97</v>
      </c>
      <c r="Z29" s="247" t="s">
        <v>69</v>
      </c>
      <c r="AA29" s="247" t="s">
        <v>55</v>
      </c>
      <c r="AB29" s="137" t="s">
        <v>403</v>
      </c>
      <c r="AC29" s="142"/>
    </row>
    <row r="30" spans="1:48" x14ac:dyDescent="0.15">
      <c r="A30" s="137" t="s">
        <v>61</v>
      </c>
      <c r="B30" s="137" t="s">
        <v>375</v>
      </c>
      <c r="C30" s="137">
        <v>2018</v>
      </c>
      <c r="D30" s="138" t="s">
        <v>376</v>
      </c>
      <c r="E30" s="137" t="s">
        <v>257</v>
      </c>
      <c r="F30" s="137" t="s">
        <v>258</v>
      </c>
      <c r="G30" s="137" t="s">
        <v>42</v>
      </c>
      <c r="H30" s="247" t="s">
        <v>164</v>
      </c>
      <c r="I30" s="247" t="s">
        <v>155</v>
      </c>
      <c r="J30" s="137" t="s">
        <v>38</v>
      </c>
      <c r="K30" s="247" t="s">
        <v>156</v>
      </c>
      <c r="L30" s="247">
        <v>2</v>
      </c>
      <c r="M30" s="247"/>
      <c r="N30" s="247">
        <v>1</v>
      </c>
      <c r="O30" s="247">
        <v>0.5</v>
      </c>
      <c r="P30" s="142">
        <v>0.5</v>
      </c>
      <c r="Q30" s="139">
        <f t="shared" si="0"/>
        <v>0.5</v>
      </c>
      <c r="R30" s="247">
        <v>18.8</v>
      </c>
      <c r="S30" s="247">
        <v>129</v>
      </c>
      <c r="T30" s="140">
        <f t="shared" si="1"/>
        <v>25</v>
      </c>
      <c r="U30" s="247">
        <v>149</v>
      </c>
      <c r="V30" s="141">
        <f t="shared" si="2"/>
        <v>3725</v>
      </c>
      <c r="W30" s="247">
        <v>12</v>
      </c>
      <c r="X30" s="137" t="s">
        <v>46</v>
      </c>
      <c r="Y30" s="247" t="s">
        <v>97</v>
      </c>
      <c r="Z30" s="247" t="s">
        <v>69</v>
      </c>
      <c r="AA30" s="247" t="s">
        <v>55</v>
      </c>
      <c r="AB30" s="137" t="s">
        <v>403</v>
      </c>
      <c r="AC30" s="142"/>
    </row>
    <row r="31" spans="1:48" x14ac:dyDescent="0.15">
      <c r="A31" s="137" t="s">
        <v>61</v>
      </c>
      <c r="B31" s="137" t="s">
        <v>375</v>
      </c>
      <c r="C31" s="137">
        <v>2018</v>
      </c>
      <c r="D31" s="138" t="s">
        <v>376</v>
      </c>
      <c r="E31" s="137" t="s">
        <v>257</v>
      </c>
      <c r="F31" s="137" t="s">
        <v>258</v>
      </c>
      <c r="G31" s="137" t="s">
        <v>42</v>
      </c>
      <c r="H31" s="247" t="s">
        <v>164</v>
      </c>
      <c r="I31" s="247" t="s">
        <v>155</v>
      </c>
      <c r="J31" s="137" t="s">
        <v>38</v>
      </c>
      <c r="K31" s="247" t="s">
        <v>156</v>
      </c>
      <c r="L31" s="247">
        <v>3</v>
      </c>
      <c r="M31" s="247"/>
      <c r="N31" s="247">
        <v>1</v>
      </c>
      <c r="O31" s="247">
        <v>0.5</v>
      </c>
      <c r="P31" s="247">
        <v>0.5</v>
      </c>
      <c r="Q31" s="139">
        <f t="shared" si="0"/>
        <v>0.5</v>
      </c>
      <c r="R31" s="247">
        <v>18.399999999999999</v>
      </c>
      <c r="S31" s="247">
        <v>128</v>
      </c>
      <c r="T31" s="140">
        <f t="shared" si="1"/>
        <v>27</v>
      </c>
      <c r="U31" s="247">
        <v>149</v>
      </c>
      <c r="V31" s="141">
        <f t="shared" si="2"/>
        <v>4023</v>
      </c>
      <c r="W31" s="247">
        <v>12</v>
      </c>
      <c r="X31" s="137" t="s">
        <v>46</v>
      </c>
      <c r="Y31" s="247" t="s">
        <v>97</v>
      </c>
      <c r="Z31" s="247" t="s">
        <v>69</v>
      </c>
      <c r="AA31" s="247" t="s">
        <v>55</v>
      </c>
      <c r="AB31" s="137" t="s">
        <v>403</v>
      </c>
      <c r="AC31" s="142"/>
    </row>
    <row r="32" spans="1:48" x14ac:dyDescent="0.15">
      <c r="A32" s="137" t="s">
        <v>61</v>
      </c>
      <c r="B32" s="137" t="s">
        <v>375</v>
      </c>
      <c r="C32" s="137">
        <v>2018</v>
      </c>
      <c r="D32" s="138" t="s">
        <v>376</v>
      </c>
      <c r="E32" s="137" t="s">
        <v>257</v>
      </c>
      <c r="F32" s="137" t="s">
        <v>258</v>
      </c>
      <c r="G32" s="137" t="s">
        <v>42</v>
      </c>
      <c r="H32" s="247" t="s">
        <v>157</v>
      </c>
      <c r="I32" s="247" t="s">
        <v>158</v>
      </c>
      <c r="J32" s="137" t="s">
        <v>38</v>
      </c>
      <c r="K32" s="247" t="s">
        <v>156</v>
      </c>
      <c r="L32" s="247">
        <v>1</v>
      </c>
      <c r="M32" s="247"/>
      <c r="N32" s="247">
        <v>4</v>
      </c>
      <c r="O32" s="247">
        <v>0.5</v>
      </c>
      <c r="P32" s="247">
        <v>0.55000000000000004</v>
      </c>
      <c r="Q32" s="139">
        <f t="shared" si="0"/>
        <v>0.52500000000000002</v>
      </c>
      <c r="R32" s="247">
        <v>17.2</v>
      </c>
      <c r="S32" s="247">
        <v>92</v>
      </c>
      <c r="T32" s="140">
        <f t="shared" si="1"/>
        <v>36</v>
      </c>
      <c r="U32" s="247">
        <v>429</v>
      </c>
      <c r="V32" s="141">
        <f t="shared" si="2"/>
        <v>3861</v>
      </c>
      <c r="W32" s="247">
        <v>12</v>
      </c>
      <c r="X32" s="137" t="s">
        <v>46</v>
      </c>
      <c r="Y32" s="247" t="s">
        <v>97</v>
      </c>
      <c r="Z32" s="247" t="s">
        <v>69</v>
      </c>
      <c r="AA32" s="247" t="s">
        <v>55</v>
      </c>
      <c r="AB32" s="137" t="s">
        <v>403</v>
      </c>
      <c r="AC32" s="142"/>
    </row>
    <row r="33" spans="1:29" x14ac:dyDescent="0.15">
      <c r="A33" s="137" t="s">
        <v>61</v>
      </c>
      <c r="B33" s="137" t="s">
        <v>375</v>
      </c>
      <c r="C33" s="137">
        <v>2018</v>
      </c>
      <c r="D33" s="138" t="s">
        <v>376</v>
      </c>
      <c r="E33" s="137" t="s">
        <v>257</v>
      </c>
      <c r="F33" s="137" t="s">
        <v>258</v>
      </c>
      <c r="G33" s="137" t="s">
        <v>42</v>
      </c>
      <c r="H33" s="247" t="s">
        <v>157</v>
      </c>
      <c r="I33" s="247" t="s">
        <v>158</v>
      </c>
      <c r="J33" s="137" t="s">
        <v>38</v>
      </c>
      <c r="K33" s="247" t="s">
        <v>156</v>
      </c>
      <c r="L33" s="247">
        <v>2</v>
      </c>
      <c r="M33" s="247"/>
      <c r="N33" s="247">
        <v>4</v>
      </c>
      <c r="O33" s="247">
        <v>0.5</v>
      </c>
      <c r="P33" s="247">
        <v>0.5</v>
      </c>
      <c r="Q33" s="139">
        <f t="shared" si="0"/>
        <v>0.5</v>
      </c>
      <c r="R33" s="247">
        <v>17.100000000000001</v>
      </c>
      <c r="S33" s="247">
        <v>99</v>
      </c>
      <c r="T33" s="140">
        <f t="shared" si="1"/>
        <v>33</v>
      </c>
      <c r="U33" s="247">
        <v>429</v>
      </c>
      <c r="V33" s="141">
        <f t="shared" si="2"/>
        <v>3539.25</v>
      </c>
      <c r="W33" s="247">
        <v>12</v>
      </c>
      <c r="X33" s="137" t="s">
        <v>46</v>
      </c>
      <c r="Y33" s="247" t="s">
        <v>97</v>
      </c>
      <c r="Z33" s="247" t="s">
        <v>69</v>
      </c>
      <c r="AA33" s="247" t="s">
        <v>55</v>
      </c>
      <c r="AB33" s="137" t="s">
        <v>403</v>
      </c>
      <c r="AC33" s="142"/>
    </row>
    <row r="34" spans="1:29" x14ac:dyDescent="0.15">
      <c r="A34" s="137" t="s">
        <v>61</v>
      </c>
      <c r="B34" s="137" t="s">
        <v>375</v>
      </c>
      <c r="C34" s="137">
        <v>2018</v>
      </c>
      <c r="D34" s="138" t="s">
        <v>376</v>
      </c>
      <c r="E34" s="137" t="s">
        <v>257</v>
      </c>
      <c r="F34" s="137" t="s">
        <v>258</v>
      </c>
      <c r="G34" s="137" t="s">
        <v>42</v>
      </c>
      <c r="H34" s="247" t="s">
        <v>157</v>
      </c>
      <c r="I34" s="247" t="s">
        <v>158</v>
      </c>
      <c r="J34" s="137" t="s">
        <v>38</v>
      </c>
      <c r="K34" s="247" t="s">
        <v>156</v>
      </c>
      <c r="L34" s="247">
        <v>3</v>
      </c>
      <c r="M34" s="247"/>
      <c r="N34" s="247">
        <v>4</v>
      </c>
      <c r="O34" s="247">
        <v>0.6</v>
      </c>
      <c r="P34" s="247">
        <v>0.55000000000000004</v>
      </c>
      <c r="Q34" s="139">
        <f t="shared" si="0"/>
        <v>0.57499999999999996</v>
      </c>
      <c r="R34" s="247">
        <v>15.7</v>
      </c>
      <c r="S34" s="247">
        <v>100</v>
      </c>
      <c r="T34" s="140">
        <f t="shared" si="1"/>
        <v>33</v>
      </c>
      <c r="U34" s="247">
        <v>429</v>
      </c>
      <c r="V34" s="141">
        <f t="shared" si="2"/>
        <v>3539.25</v>
      </c>
      <c r="W34" s="247">
        <v>12</v>
      </c>
      <c r="X34" s="137" t="s">
        <v>46</v>
      </c>
      <c r="Y34" s="247" t="s">
        <v>97</v>
      </c>
      <c r="Z34" s="247" t="s">
        <v>69</v>
      </c>
      <c r="AA34" s="247" t="s">
        <v>55</v>
      </c>
      <c r="AB34" s="137" t="s">
        <v>403</v>
      </c>
      <c r="AC34" s="142"/>
    </row>
    <row r="35" spans="1:29" x14ac:dyDescent="0.15">
      <c r="A35" s="137" t="s">
        <v>61</v>
      </c>
      <c r="B35" s="137" t="s">
        <v>375</v>
      </c>
      <c r="C35" s="137">
        <v>2018</v>
      </c>
      <c r="D35" s="138" t="s">
        <v>376</v>
      </c>
      <c r="E35" s="137" t="s">
        <v>257</v>
      </c>
      <c r="F35" s="137" t="s">
        <v>258</v>
      </c>
      <c r="G35" s="137" t="s">
        <v>42</v>
      </c>
      <c r="H35" s="247" t="s">
        <v>164</v>
      </c>
      <c r="I35" s="247" t="s">
        <v>158</v>
      </c>
      <c r="J35" s="137" t="s">
        <v>38</v>
      </c>
      <c r="K35" s="247" t="s">
        <v>156</v>
      </c>
      <c r="L35" s="247">
        <v>1</v>
      </c>
      <c r="M35" s="247"/>
      <c r="N35" s="247">
        <v>2</v>
      </c>
      <c r="O35" s="247">
        <v>0.5</v>
      </c>
      <c r="P35" s="247">
        <v>0.5</v>
      </c>
      <c r="Q35" s="139">
        <f t="shared" si="0"/>
        <v>0.5</v>
      </c>
      <c r="R35" s="247">
        <v>18.7</v>
      </c>
      <c r="S35" s="247">
        <v>154</v>
      </c>
      <c r="T35" s="140">
        <f t="shared" si="1"/>
        <v>18</v>
      </c>
      <c r="U35" s="247">
        <v>429</v>
      </c>
      <c r="V35" s="141">
        <f t="shared" si="2"/>
        <v>3861</v>
      </c>
      <c r="W35" s="247">
        <v>12</v>
      </c>
      <c r="X35" s="137" t="s">
        <v>46</v>
      </c>
      <c r="Y35" s="247" t="s">
        <v>97</v>
      </c>
      <c r="Z35" s="247" t="s">
        <v>69</v>
      </c>
      <c r="AA35" s="247" t="s">
        <v>55</v>
      </c>
      <c r="AB35" s="137" t="s">
        <v>403</v>
      </c>
      <c r="AC35" s="142"/>
    </row>
    <row r="36" spans="1:29" x14ac:dyDescent="0.15">
      <c r="A36" s="137" t="s">
        <v>61</v>
      </c>
      <c r="B36" s="137" t="s">
        <v>375</v>
      </c>
      <c r="C36" s="137">
        <v>2018</v>
      </c>
      <c r="D36" s="138" t="s">
        <v>376</v>
      </c>
      <c r="E36" s="137" t="s">
        <v>257</v>
      </c>
      <c r="F36" s="137" t="s">
        <v>258</v>
      </c>
      <c r="G36" s="137" t="s">
        <v>42</v>
      </c>
      <c r="H36" s="247" t="s">
        <v>164</v>
      </c>
      <c r="I36" s="247" t="s">
        <v>158</v>
      </c>
      <c r="J36" s="137" t="s">
        <v>38</v>
      </c>
      <c r="K36" s="247" t="s">
        <v>156</v>
      </c>
      <c r="L36" s="247">
        <v>2</v>
      </c>
      <c r="M36" s="247"/>
      <c r="N36" s="247">
        <v>2</v>
      </c>
      <c r="O36" s="247">
        <v>0.5</v>
      </c>
      <c r="P36" s="247">
        <v>0.5</v>
      </c>
      <c r="Q36" s="139">
        <f t="shared" si="0"/>
        <v>0.5</v>
      </c>
      <c r="R36" s="247">
        <v>18.7</v>
      </c>
      <c r="S36" s="247">
        <v>166</v>
      </c>
      <c r="T36" s="140">
        <f t="shared" si="1"/>
        <v>18</v>
      </c>
      <c r="U36" s="247">
        <v>429</v>
      </c>
      <c r="V36" s="141">
        <f t="shared" si="2"/>
        <v>3861</v>
      </c>
      <c r="W36" s="247">
        <v>12</v>
      </c>
      <c r="X36" s="137" t="s">
        <v>46</v>
      </c>
      <c r="Y36" s="247" t="s">
        <v>97</v>
      </c>
      <c r="Z36" s="247" t="s">
        <v>69</v>
      </c>
      <c r="AA36" s="247" t="s">
        <v>55</v>
      </c>
      <c r="AB36" s="137" t="s">
        <v>403</v>
      </c>
      <c r="AC36" s="142"/>
    </row>
    <row r="37" spans="1:29" x14ac:dyDescent="0.15">
      <c r="A37" s="137" t="s">
        <v>61</v>
      </c>
      <c r="B37" s="137" t="s">
        <v>375</v>
      </c>
      <c r="C37" s="137">
        <v>2018</v>
      </c>
      <c r="D37" s="138" t="s">
        <v>376</v>
      </c>
      <c r="E37" s="137" t="s">
        <v>257</v>
      </c>
      <c r="F37" s="137" t="s">
        <v>258</v>
      </c>
      <c r="G37" s="137" t="s">
        <v>42</v>
      </c>
      <c r="H37" s="247" t="s">
        <v>164</v>
      </c>
      <c r="I37" s="247" t="s">
        <v>158</v>
      </c>
      <c r="J37" s="137" t="s">
        <v>38</v>
      </c>
      <c r="K37" s="247" t="s">
        <v>156</v>
      </c>
      <c r="L37" s="247">
        <v>3</v>
      </c>
      <c r="M37" s="247"/>
      <c r="N37" s="247">
        <v>2</v>
      </c>
      <c r="O37" s="247">
        <v>0.5</v>
      </c>
      <c r="P37" s="247">
        <v>0.5</v>
      </c>
      <c r="Q37" s="139">
        <f t="shared" si="0"/>
        <v>0.5</v>
      </c>
      <c r="R37" s="247">
        <v>18.5</v>
      </c>
      <c r="S37" s="247">
        <v>147</v>
      </c>
      <c r="T37" s="140">
        <f t="shared" si="1"/>
        <v>22</v>
      </c>
      <c r="U37" s="247">
        <v>429</v>
      </c>
      <c r="V37" s="141">
        <f t="shared" si="2"/>
        <v>4719</v>
      </c>
      <c r="W37" s="247">
        <v>12</v>
      </c>
      <c r="X37" s="137" t="s">
        <v>46</v>
      </c>
      <c r="Y37" s="247" t="s">
        <v>97</v>
      </c>
      <c r="Z37" s="247" t="s">
        <v>69</v>
      </c>
      <c r="AA37" s="247" t="s">
        <v>55</v>
      </c>
      <c r="AB37" s="137" t="s">
        <v>403</v>
      </c>
      <c r="AC37" s="142"/>
    </row>
    <row r="38" spans="1:29" x14ac:dyDescent="0.15">
      <c r="A38" s="137" t="s">
        <v>61</v>
      </c>
      <c r="B38" s="137" t="s">
        <v>375</v>
      </c>
      <c r="C38" s="137">
        <v>2018</v>
      </c>
      <c r="D38" s="138" t="s">
        <v>376</v>
      </c>
      <c r="E38" s="137" t="s">
        <v>260</v>
      </c>
      <c r="F38" s="137" t="s">
        <v>261</v>
      </c>
      <c r="G38" s="137" t="s">
        <v>42</v>
      </c>
      <c r="H38" s="247" t="s">
        <v>164</v>
      </c>
      <c r="I38" s="247" t="s">
        <v>155</v>
      </c>
      <c r="J38" s="137" t="s">
        <v>38</v>
      </c>
      <c r="K38" s="247" t="s">
        <v>156</v>
      </c>
      <c r="L38" s="247">
        <v>1</v>
      </c>
      <c r="M38" s="247"/>
      <c r="N38" s="247">
        <v>1</v>
      </c>
      <c r="O38" s="247">
        <v>0.6</v>
      </c>
      <c r="P38" s="247">
        <v>0.6</v>
      </c>
      <c r="Q38" s="139">
        <f t="shared" si="0"/>
        <v>0.6</v>
      </c>
      <c r="R38" s="247">
        <v>17.7</v>
      </c>
      <c r="S38" s="247">
        <v>138</v>
      </c>
      <c r="T38" s="140">
        <f t="shared" si="1"/>
        <v>22</v>
      </c>
      <c r="U38" s="247">
        <v>105</v>
      </c>
      <c r="V38" s="141">
        <f t="shared" si="2"/>
        <v>2310</v>
      </c>
      <c r="W38" s="247">
        <v>13</v>
      </c>
      <c r="X38" s="137" t="s">
        <v>46</v>
      </c>
      <c r="Y38" s="247" t="s">
        <v>69</v>
      </c>
      <c r="Z38" s="247" t="s">
        <v>55</v>
      </c>
      <c r="AA38" s="247" t="s">
        <v>88</v>
      </c>
      <c r="AB38" s="137" t="s">
        <v>403</v>
      </c>
      <c r="AC38" s="142"/>
    </row>
    <row r="39" spans="1:29" x14ac:dyDescent="0.15">
      <c r="A39" s="137" t="s">
        <v>61</v>
      </c>
      <c r="B39" s="137" t="s">
        <v>375</v>
      </c>
      <c r="C39" s="137">
        <v>2018</v>
      </c>
      <c r="D39" s="138" t="s">
        <v>376</v>
      </c>
      <c r="E39" s="137" t="s">
        <v>260</v>
      </c>
      <c r="F39" s="137" t="s">
        <v>261</v>
      </c>
      <c r="G39" s="137" t="s">
        <v>42</v>
      </c>
      <c r="H39" s="247" t="s">
        <v>164</v>
      </c>
      <c r="I39" s="247" t="s">
        <v>155</v>
      </c>
      <c r="J39" s="137" t="s">
        <v>38</v>
      </c>
      <c r="K39" s="247" t="s">
        <v>156</v>
      </c>
      <c r="L39" s="247">
        <v>2</v>
      </c>
      <c r="M39" s="247"/>
      <c r="N39" s="247">
        <v>1</v>
      </c>
      <c r="O39" s="247">
        <v>0.5</v>
      </c>
      <c r="P39" s="247">
        <v>0.5</v>
      </c>
      <c r="Q39" s="139">
        <f t="shared" si="0"/>
        <v>0.5</v>
      </c>
      <c r="R39" s="247">
        <v>17.399999999999999</v>
      </c>
      <c r="S39" s="247">
        <v>147</v>
      </c>
      <c r="T39" s="140">
        <f t="shared" si="1"/>
        <v>22</v>
      </c>
      <c r="U39" s="247">
        <v>105</v>
      </c>
      <c r="V39" s="141">
        <f t="shared" si="2"/>
        <v>2310</v>
      </c>
      <c r="W39" s="247">
        <v>13</v>
      </c>
      <c r="X39" s="137" t="s">
        <v>46</v>
      </c>
      <c r="Y39" s="247" t="s">
        <v>69</v>
      </c>
      <c r="Z39" s="247" t="s">
        <v>55</v>
      </c>
      <c r="AA39" s="247" t="s">
        <v>88</v>
      </c>
      <c r="AB39" s="137" t="s">
        <v>403</v>
      </c>
      <c r="AC39" s="142"/>
    </row>
    <row r="40" spans="1:29" x14ac:dyDescent="0.15">
      <c r="A40" s="137" t="s">
        <v>61</v>
      </c>
      <c r="B40" s="137" t="s">
        <v>375</v>
      </c>
      <c r="C40" s="137">
        <v>2018</v>
      </c>
      <c r="D40" s="138" t="s">
        <v>376</v>
      </c>
      <c r="E40" s="137" t="s">
        <v>260</v>
      </c>
      <c r="F40" s="137" t="s">
        <v>261</v>
      </c>
      <c r="G40" s="137" t="s">
        <v>42</v>
      </c>
      <c r="H40" s="247" t="s">
        <v>164</v>
      </c>
      <c r="I40" s="247" t="s">
        <v>155</v>
      </c>
      <c r="J40" s="137" t="s">
        <v>38</v>
      </c>
      <c r="K40" s="247" t="s">
        <v>156</v>
      </c>
      <c r="L40" s="247">
        <v>3</v>
      </c>
      <c r="M40" s="247"/>
      <c r="N40" s="247">
        <v>1</v>
      </c>
      <c r="O40" s="247">
        <v>0.65</v>
      </c>
      <c r="P40" s="247">
        <v>0.5</v>
      </c>
      <c r="Q40" s="139">
        <f t="shared" si="0"/>
        <v>0.57499999999999996</v>
      </c>
      <c r="R40" s="247">
        <v>17.2</v>
      </c>
      <c r="S40" s="247">
        <v>137</v>
      </c>
      <c r="T40" s="140">
        <f t="shared" si="1"/>
        <v>25</v>
      </c>
      <c r="U40" s="247">
        <v>105</v>
      </c>
      <c r="V40" s="141">
        <f t="shared" si="2"/>
        <v>2625</v>
      </c>
      <c r="W40" s="247">
        <v>13</v>
      </c>
      <c r="X40" s="137" t="s">
        <v>46</v>
      </c>
      <c r="Y40" s="247" t="s">
        <v>69</v>
      </c>
      <c r="Z40" s="247" t="s">
        <v>55</v>
      </c>
      <c r="AA40" s="247" t="s">
        <v>88</v>
      </c>
      <c r="AB40" s="137" t="s">
        <v>403</v>
      </c>
      <c r="AC40" s="142"/>
    </row>
    <row r="41" spans="1:29" x14ac:dyDescent="0.15">
      <c r="A41" s="137" t="s">
        <v>61</v>
      </c>
      <c r="B41" s="137" t="s">
        <v>375</v>
      </c>
      <c r="C41" s="137">
        <v>2018</v>
      </c>
      <c r="D41" s="138" t="s">
        <v>376</v>
      </c>
      <c r="E41" s="137" t="s">
        <v>260</v>
      </c>
      <c r="F41" s="137" t="s">
        <v>261</v>
      </c>
      <c r="G41" s="137" t="s">
        <v>42</v>
      </c>
      <c r="H41" s="247" t="s">
        <v>157</v>
      </c>
      <c r="I41" s="247" t="s">
        <v>158</v>
      </c>
      <c r="J41" s="137" t="s">
        <v>38</v>
      </c>
      <c r="K41" s="247" t="s">
        <v>156</v>
      </c>
      <c r="L41" s="247">
        <v>1</v>
      </c>
      <c r="M41" s="247"/>
      <c r="N41" s="247">
        <v>1</v>
      </c>
      <c r="O41" s="247">
        <v>0.85</v>
      </c>
      <c r="P41" s="247">
        <v>0.85</v>
      </c>
      <c r="Q41" s="139">
        <f t="shared" si="0"/>
        <v>0.85</v>
      </c>
      <c r="R41" s="247">
        <v>11.1</v>
      </c>
      <c r="S41" s="247">
        <v>128</v>
      </c>
      <c r="T41" s="140">
        <f t="shared" si="1"/>
        <v>27</v>
      </c>
      <c r="U41" s="247">
        <v>138</v>
      </c>
      <c r="V41" s="141">
        <f t="shared" si="2"/>
        <v>3726</v>
      </c>
      <c r="W41" s="247">
        <v>13</v>
      </c>
      <c r="X41" s="137" t="s">
        <v>46</v>
      </c>
      <c r="Y41" s="247" t="s">
        <v>69</v>
      </c>
      <c r="Z41" s="247" t="s">
        <v>55</v>
      </c>
      <c r="AA41" s="247" t="s">
        <v>88</v>
      </c>
      <c r="AB41" s="137" t="s">
        <v>403</v>
      </c>
      <c r="AC41" s="142"/>
    </row>
    <row r="42" spans="1:29" x14ac:dyDescent="0.15">
      <c r="A42" s="137" t="s">
        <v>61</v>
      </c>
      <c r="B42" s="137" t="s">
        <v>375</v>
      </c>
      <c r="C42" s="137">
        <v>2018</v>
      </c>
      <c r="D42" s="138" t="s">
        <v>376</v>
      </c>
      <c r="E42" s="137" t="s">
        <v>260</v>
      </c>
      <c r="F42" s="137" t="s">
        <v>261</v>
      </c>
      <c r="G42" s="137" t="s">
        <v>42</v>
      </c>
      <c r="H42" s="247" t="s">
        <v>157</v>
      </c>
      <c r="I42" s="247" t="s">
        <v>158</v>
      </c>
      <c r="J42" s="137" t="s">
        <v>38</v>
      </c>
      <c r="K42" s="247" t="s">
        <v>156</v>
      </c>
      <c r="L42" s="247">
        <v>2</v>
      </c>
      <c r="M42" s="247"/>
      <c r="N42" s="247">
        <v>1</v>
      </c>
      <c r="O42" s="247">
        <v>0.85</v>
      </c>
      <c r="P42" s="247">
        <v>0.75</v>
      </c>
      <c r="Q42" s="139">
        <f t="shared" si="0"/>
        <v>0.8</v>
      </c>
      <c r="R42" s="247">
        <v>17.2</v>
      </c>
      <c r="S42" s="247">
        <v>127</v>
      </c>
      <c r="T42" s="140">
        <f t="shared" si="1"/>
        <v>27</v>
      </c>
      <c r="U42" s="247">
        <v>138</v>
      </c>
      <c r="V42" s="141">
        <f t="shared" si="2"/>
        <v>3726</v>
      </c>
      <c r="W42" s="247">
        <v>13</v>
      </c>
      <c r="X42" s="137" t="s">
        <v>46</v>
      </c>
      <c r="Y42" s="247" t="s">
        <v>69</v>
      </c>
      <c r="Z42" s="247" t="s">
        <v>55</v>
      </c>
      <c r="AA42" s="247" t="s">
        <v>88</v>
      </c>
      <c r="AB42" s="137" t="s">
        <v>403</v>
      </c>
      <c r="AC42" s="142"/>
    </row>
    <row r="43" spans="1:29" x14ac:dyDescent="0.15">
      <c r="A43" s="137" t="s">
        <v>61</v>
      </c>
      <c r="B43" s="137" t="s">
        <v>375</v>
      </c>
      <c r="C43" s="137">
        <v>2018</v>
      </c>
      <c r="D43" s="138" t="s">
        <v>376</v>
      </c>
      <c r="E43" s="137" t="s">
        <v>260</v>
      </c>
      <c r="F43" s="137" t="s">
        <v>261</v>
      </c>
      <c r="G43" s="137" t="s">
        <v>42</v>
      </c>
      <c r="H43" s="247" t="s">
        <v>157</v>
      </c>
      <c r="I43" s="247" t="s">
        <v>158</v>
      </c>
      <c r="J43" s="137" t="s">
        <v>38</v>
      </c>
      <c r="K43" s="247" t="s">
        <v>156</v>
      </c>
      <c r="L43" s="247">
        <v>3</v>
      </c>
      <c r="M43" s="247"/>
      <c r="N43" s="247">
        <v>1</v>
      </c>
      <c r="O43" s="247">
        <v>0.7</v>
      </c>
      <c r="P43" s="247">
        <v>0.8</v>
      </c>
      <c r="Q43" s="139">
        <f t="shared" si="0"/>
        <v>0.75</v>
      </c>
      <c r="R43" s="247">
        <v>17</v>
      </c>
      <c r="S43" s="247">
        <v>129</v>
      </c>
      <c r="T43" s="140">
        <f t="shared" si="1"/>
        <v>25</v>
      </c>
      <c r="U43" s="247">
        <v>138</v>
      </c>
      <c r="V43" s="141">
        <f t="shared" si="2"/>
        <v>3450</v>
      </c>
      <c r="W43" s="247">
        <v>13</v>
      </c>
      <c r="X43" s="137" t="s">
        <v>46</v>
      </c>
      <c r="Y43" s="247" t="s">
        <v>69</v>
      </c>
      <c r="Z43" s="247" t="s">
        <v>55</v>
      </c>
      <c r="AA43" s="247" t="s">
        <v>88</v>
      </c>
      <c r="AB43" s="137" t="s">
        <v>403</v>
      </c>
      <c r="AC43" s="142"/>
    </row>
    <row r="44" spans="1:29" x14ac:dyDescent="0.15">
      <c r="A44" s="137" t="s">
        <v>61</v>
      </c>
      <c r="B44" s="137" t="s">
        <v>375</v>
      </c>
      <c r="C44" s="137">
        <v>2018</v>
      </c>
      <c r="D44" s="138" t="s">
        <v>376</v>
      </c>
      <c r="E44" s="137" t="s">
        <v>262</v>
      </c>
      <c r="F44" s="137" t="s">
        <v>263</v>
      </c>
      <c r="G44" s="137" t="s">
        <v>42</v>
      </c>
      <c r="H44" s="247" t="s">
        <v>157</v>
      </c>
      <c r="I44" s="247" t="s">
        <v>155</v>
      </c>
      <c r="J44" s="137" t="s">
        <v>38</v>
      </c>
      <c r="K44" s="247" t="s">
        <v>156</v>
      </c>
      <c r="L44" s="247">
        <v>1</v>
      </c>
      <c r="M44" s="247"/>
      <c r="N44" s="247">
        <v>1</v>
      </c>
      <c r="O44" s="247">
        <v>0.5</v>
      </c>
      <c r="P44" s="247">
        <v>0.5</v>
      </c>
      <c r="Q44" s="139">
        <f t="shared" si="0"/>
        <v>0.5</v>
      </c>
      <c r="R44" s="247">
        <v>17.600000000000001</v>
      </c>
      <c r="S44" s="247">
        <v>130</v>
      </c>
      <c r="T44" s="140">
        <f t="shared" si="1"/>
        <v>25</v>
      </c>
      <c r="U44" s="247">
        <v>98</v>
      </c>
      <c r="V44" s="141">
        <f t="shared" si="2"/>
        <v>2450</v>
      </c>
      <c r="W44" s="247">
        <v>9</v>
      </c>
      <c r="X44" s="137" t="s">
        <v>46</v>
      </c>
      <c r="Y44" s="247" t="s">
        <v>69</v>
      </c>
      <c r="Z44" s="247" t="s">
        <v>55</v>
      </c>
      <c r="AA44" s="247" t="s">
        <v>88</v>
      </c>
      <c r="AB44" s="137" t="s">
        <v>403</v>
      </c>
      <c r="AC44" s="247"/>
    </row>
    <row r="45" spans="1:29" x14ac:dyDescent="0.15">
      <c r="A45" s="137" t="s">
        <v>61</v>
      </c>
      <c r="B45" s="137" t="s">
        <v>375</v>
      </c>
      <c r="C45" s="137">
        <v>2018</v>
      </c>
      <c r="D45" s="138" t="s">
        <v>376</v>
      </c>
      <c r="E45" s="137" t="s">
        <v>262</v>
      </c>
      <c r="F45" s="137" t="s">
        <v>263</v>
      </c>
      <c r="G45" s="137" t="s">
        <v>42</v>
      </c>
      <c r="H45" s="247" t="s">
        <v>157</v>
      </c>
      <c r="I45" s="247" t="s">
        <v>155</v>
      </c>
      <c r="J45" s="137" t="s">
        <v>38</v>
      </c>
      <c r="K45" s="247" t="s">
        <v>156</v>
      </c>
      <c r="L45" s="247">
        <v>2</v>
      </c>
      <c r="M45" s="247"/>
      <c r="N45" s="247">
        <v>1</v>
      </c>
      <c r="O45" s="247">
        <v>0.5</v>
      </c>
      <c r="P45" s="247">
        <v>0.5</v>
      </c>
      <c r="Q45" s="139">
        <f t="shared" si="0"/>
        <v>0.5</v>
      </c>
      <c r="R45" s="247">
        <v>17.2</v>
      </c>
      <c r="S45" s="247">
        <v>101</v>
      </c>
      <c r="T45" s="140">
        <f t="shared" si="1"/>
        <v>33</v>
      </c>
      <c r="U45" s="247">
        <v>98</v>
      </c>
      <c r="V45" s="141">
        <f t="shared" si="2"/>
        <v>3234</v>
      </c>
      <c r="W45" s="247">
        <v>9</v>
      </c>
      <c r="X45" s="137" t="s">
        <v>46</v>
      </c>
      <c r="Y45" s="247" t="s">
        <v>69</v>
      </c>
      <c r="Z45" s="247" t="s">
        <v>55</v>
      </c>
      <c r="AA45" s="247" t="s">
        <v>88</v>
      </c>
      <c r="AB45" s="137" t="s">
        <v>403</v>
      </c>
      <c r="AC45" s="247"/>
    </row>
    <row r="46" spans="1:29" x14ac:dyDescent="0.15">
      <c r="A46" s="137" t="s">
        <v>61</v>
      </c>
      <c r="B46" s="137" t="s">
        <v>375</v>
      </c>
      <c r="C46" s="137">
        <v>2018</v>
      </c>
      <c r="D46" s="138" t="s">
        <v>376</v>
      </c>
      <c r="E46" s="137" t="s">
        <v>262</v>
      </c>
      <c r="F46" s="137" t="s">
        <v>263</v>
      </c>
      <c r="G46" s="137" t="s">
        <v>42</v>
      </c>
      <c r="H46" s="247" t="s">
        <v>157</v>
      </c>
      <c r="I46" s="247" t="s">
        <v>155</v>
      </c>
      <c r="J46" s="137" t="s">
        <v>38</v>
      </c>
      <c r="K46" s="247" t="s">
        <v>156</v>
      </c>
      <c r="L46" s="247">
        <v>3</v>
      </c>
      <c r="M46" s="247"/>
      <c r="N46" s="247">
        <v>1</v>
      </c>
      <c r="O46" s="247">
        <v>0.5</v>
      </c>
      <c r="P46" s="247">
        <v>0.5</v>
      </c>
      <c r="Q46" s="139">
        <f t="shared" si="0"/>
        <v>0.5</v>
      </c>
      <c r="R46" s="247">
        <v>17</v>
      </c>
      <c r="S46" s="247">
        <v>98</v>
      </c>
      <c r="T46" s="140">
        <f t="shared" si="1"/>
        <v>36</v>
      </c>
      <c r="U46" s="247">
        <v>98</v>
      </c>
      <c r="V46" s="141">
        <f t="shared" si="2"/>
        <v>3528</v>
      </c>
      <c r="W46" s="247">
        <v>9</v>
      </c>
      <c r="X46" s="137" t="s">
        <v>46</v>
      </c>
      <c r="Y46" s="247" t="s">
        <v>69</v>
      </c>
      <c r="Z46" s="247" t="s">
        <v>55</v>
      </c>
      <c r="AA46" s="247" t="s">
        <v>88</v>
      </c>
      <c r="AB46" s="137" t="s">
        <v>403</v>
      </c>
      <c r="AC46" s="247"/>
    </row>
    <row r="47" spans="1:29" x14ac:dyDescent="0.15">
      <c r="A47" s="137" t="s">
        <v>61</v>
      </c>
      <c r="B47" s="137" t="s">
        <v>375</v>
      </c>
      <c r="C47" s="137">
        <v>2018</v>
      </c>
      <c r="D47" s="138" t="s">
        <v>376</v>
      </c>
      <c r="E47" s="137" t="s">
        <v>262</v>
      </c>
      <c r="F47" s="137" t="s">
        <v>263</v>
      </c>
      <c r="G47" s="137" t="s">
        <v>42</v>
      </c>
      <c r="H47" s="247" t="s">
        <v>164</v>
      </c>
      <c r="I47" s="247" t="s">
        <v>155</v>
      </c>
      <c r="J47" s="137" t="s">
        <v>38</v>
      </c>
      <c r="K47" s="247" t="s">
        <v>156</v>
      </c>
      <c r="L47" s="247">
        <v>1</v>
      </c>
      <c r="M47" s="247"/>
      <c r="N47" s="247">
        <v>1</v>
      </c>
      <c r="O47" s="247">
        <v>0.5</v>
      </c>
      <c r="P47" s="247">
        <v>0.55000000000000004</v>
      </c>
      <c r="Q47" s="139">
        <f t="shared" si="0"/>
        <v>0.52500000000000002</v>
      </c>
      <c r="R47" s="247">
        <v>18.8</v>
      </c>
      <c r="S47" s="247">
        <v>162</v>
      </c>
      <c r="T47" s="140">
        <f t="shared" si="1"/>
        <v>18</v>
      </c>
      <c r="U47" s="247">
        <v>128</v>
      </c>
      <c r="V47" s="141">
        <f t="shared" si="2"/>
        <v>2304</v>
      </c>
      <c r="W47" s="247">
        <v>9</v>
      </c>
      <c r="X47" s="137" t="s">
        <v>46</v>
      </c>
      <c r="Y47" s="247" t="s">
        <v>69</v>
      </c>
      <c r="Z47" s="247" t="s">
        <v>55</v>
      </c>
      <c r="AA47" s="247" t="s">
        <v>88</v>
      </c>
      <c r="AB47" s="137" t="s">
        <v>403</v>
      </c>
      <c r="AC47" s="142"/>
    </row>
    <row r="48" spans="1:29" x14ac:dyDescent="0.15">
      <c r="A48" s="137" t="s">
        <v>61</v>
      </c>
      <c r="B48" s="137" t="s">
        <v>375</v>
      </c>
      <c r="C48" s="137">
        <v>2018</v>
      </c>
      <c r="D48" s="138" t="s">
        <v>376</v>
      </c>
      <c r="E48" s="137" t="s">
        <v>262</v>
      </c>
      <c r="F48" s="137" t="s">
        <v>263</v>
      </c>
      <c r="G48" s="137" t="s">
        <v>42</v>
      </c>
      <c r="H48" s="247" t="s">
        <v>164</v>
      </c>
      <c r="I48" s="247" t="s">
        <v>155</v>
      </c>
      <c r="J48" s="137" t="s">
        <v>38</v>
      </c>
      <c r="K48" s="247" t="s">
        <v>156</v>
      </c>
      <c r="L48" s="247">
        <v>2</v>
      </c>
      <c r="M48" s="247"/>
      <c r="N48" s="247">
        <v>1</v>
      </c>
      <c r="O48" s="247">
        <v>0.6</v>
      </c>
      <c r="P48" s="247">
        <v>0.5</v>
      </c>
      <c r="Q48" s="139">
        <f t="shared" si="0"/>
        <v>0.55000000000000004</v>
      </c>
      <c r="R48" s="247">
        <v>18.7</v>
      </c>
      <c r="S48" s="247">
        <v>168</v>
      </c>
      <c r="T48" s="140">
        <f t="shared" si="1"/>
        <v>18</v>
      </c>
      <c r="U48" s="247">
        <v>128</v>
      </c>
      <c r="V48" s="141">
        <f t="shared" si="2"/>
        <v>2304</v>
      </c>
      <c r="W48" s="247">
        <v>9</v>
      </c>
      <c r="X48" s="137" t="s">
        <v>46</v>
      </c>
      <c r="Y48" s="247" t="s">
        <v>69</v>
      </c>
      <c r="Z48" s="247" t="s">
        <v>55</v>
      </c>
      <c r="AA48" s="247" t="s">
        <v>88</v>
      </c>
      <c r="AB48" s="137" t="s">
        <v>403</v>
      </c>
      <c r="AC48" s="142"/>
    </row>
    <row r="49" spans="1:29" x14ac:dyDescent="0.15">
      <c r="A49" s="137" t="s">
        <v>61</v>
      </c>
      <c r="B49" s="137" t="s">
        <v>375</v>
      </c>
      <c r="C49" s="137">
        <v>2018</v>
      </c>
      <c r="D49" s="138" t="s">
        <v>376</v>
      </c>
      <c r="E49" s="137" t="s">
        <v>262</v>
      </c>
      <c r="F49" s="137" t="s">
        <v>263</v>
      </c>
      <c r="G49" s="137" t="s">
        <v>42</v>
      </c>
      <c r="H49" s="247" t="s">
        <v>164</v>
      </c>
      <c r="I49" s="247" t="s">
        <v>155</v>
      </c>
      <c r="J49" s="137" t="s">
        <v>38</v>
      </c>
      <c r="K49" s="247" t="s">
        <v>156</v>
      </c>
      <c r="L49" s="247">
        <v>3</v>
      </c>
      <c r="M49" s="247"/>
      <c r="N49" s="247">
        <v>1</v>
      </c>
      <c r="O49" s="247">
        <v>0.5</v>
      </c>
      <c r="P49" s="247">
        <v>0.5</v>
      </c>
      <c r="Q49" s="139">
        <f t="shared" si="0"/>
        <v>0.5</v>
      </c>
      <c r="R49" s="247">
        <v>17.7</v>
      </c>
      <c r="S49" s="247">
        <v>168</v>
      </c>
      <c r="T49" s="140">
        <f t="shared" si="1"/>
        <v>18</v>
      </c>
      <c r="U49" s="247">
        <v>128</v>
      </c>
      <c r="V49" s="141">
        <f t="shared" si="2"/>
        <v>2304</v>
      </c>
      <c r="W49" s="247">
        <v>9</v>
      </c>
      <c r="X49" s="137" t="s">
        <v>46</v>
      </c>
      <c r="Y49" s="247" t="s">
        <v>69</v>
      </c>
      <c r="Z49" s="247" t="s">
        <v>55</v>
      </c>
      <c r="AA49" s="247" t="s">
        <v>88</v>
      </c>
      <c r="AB49" s="137" t="s">
        <v>403</v>
      </c>
      <c r="AC49" s="142"/>
    </row>
    <row r="50" spans="1:29" x14ac:dyDescent="0.15">
      <c r="A50" s="137" t="s">
        <v>61</v>
      </c>
      <c r="B50" s="137" t="s">
        <v>375</v>
      </c>
      <c r="C50" s="137">
        <v>2018</v>
      </c>
      <c r="D50" s="138" t="s">
        <v>376</v>
      </c>
      <c r="E50" s="137" t="s">
        <v>264</v>
      </c>
      <c r="F50" s="137" t="s">
        <v>265</v>
      </c>
      <c r="G50" s="137" t="s">
        <v>42</v>
      </c>
      <c r="H50" s="247" t="s">
        <v>157</v>
      </c>
      <c r="I50" s="247" t="s">
        <v>155</v>
      </c>
      <c r="J50" s="137" t="s">
        <v>38</v>
      </c>
      <c r="K50" s="247" t="s">
        <v>156</v>
      </c>
      <c r="L50" s="247">
        <v>1</v>
      </c>
      <c r="M50" s="247"/>
      <c r="N50" s="247">
        <v>1</v>
      </c>
      <c r="O50" s="247">
        <v>0.75</v>
      </c>
      <c r="P50" s="247">
        <v>0.65</v>
      </c>
      <c r="Q50" s="139">
        <f t="shared" si="0"/>
        <v>0.7</v>
      </c>
      <c r="R50" s="247">
        <v>17.600000000000001</v>
      </c>
      <c r="S50" s="247">
        <v>141</v>
      </c>
      <c r="T50" s="140">
        <f t="shared" si="1"/>
        <v>22</v>
      </c>
      <c r="U50" s="247">
        <v>138</v>
      </c>
      <c r="V50" s="141">
        <f t="shared" si="2"/>
        <v>3036</v>
      </c>
      <c r="W50" s="247">
        <v>6</v>
      </c>
      <c r="X50" s="137" t="s">
        <v>39</v>
      </c>
      <c r="Y50" s="247" t="s">
        <v>69</v>
      </c>
      <c r="Z50" s="247" t="s">
        <v>90</v>
      </c>
      <c r="AA50" s="247" t="s">
        <v>78</v>
      </c>
      <c r="AB50" s="137" t="s">
        <v>403</v>
      </c>
      <c r="AC50" s="142"/>
    </row>
    <row r="51" spans="1:29" x14ac:dyDescent="0.15">
      <c r="A51" s="137" t="s">
        <v>61</v>
      </c>
      <c r="B51" s="137" t="s">
        <v>375</v>
      </c>
      <c r="C51" s="137">
        <v>2018</v>
      </c>
      <c r="D51" s="138" t="s">
        <v>376</v>
      </c>
      <c r="E51" s="137" t="s">
        <v>264</v>
      </c>
      <c r="F51" s="137" t="s">
        <v>265</v>
      </c>
      <c r="G51" s="137" t="s">
        <v>42</v>
      </c>
      <c r="H51" s="247" t="s">
        <v>157</v>
      </c>
      <c r="I51" s="247" t="s">
        <v>155</v>
      </c>
      <c r="J51" s="137" t="s">
        <v>38</v>
      </c>
      <c r="K51" s="247" t="s">
        <v>156</v>
      </c>
      <c r="L51" s="247">
        <v>2</v>
      </c>
      <c r="M51" s="247"/>
      <c r="N51" s="247">
        <v>1</v>
      </c>
      <c r="O51" s="247">
        <v>0.55000000000000004</v>
      </c>
      <c r="P51" s="247">
        <v>0.65</v>
      </c>
      <c r="Q51" s="139">
        <f t="shared" si="0"/>
        <v>0.60000000000000009</v>
      </c>
      <c r="R51" s="247">
        <v>17</v>
      </c>
      <c r="S51" s="247">
        <v>140</v>
      </c>
      <c r="T51" s="140">
        <f t="shared" si="1"/>
        <v>22</v>
      </c>
      <c r="U51" s="247">
        <v>138</v>
      </c>
      <c r="V51" s="141">
        <f t="shared" si="2"/>
        <v>3036</v>
      </c>
      <c r="W51" s="247">
        <v>6</v>
      </c>
      <c r="X51" s="137" t="s">
        <v>39</v>
      </c>
      <c r="Y51" s="247" t="s">
        <v>69</v>
      </c>
      <c r="Z51" s="247" t="s">
        <v>90</v>
      </c>
      <c r="AA51" s="247" t="s">
        <v>78</v>
      </c>
      <c r="AB51" s="137" t="s">
        <v>403</v>
      </c>
      <c r="AC51" s="142"/>
    </row>
    <row r="52" spans="1:29" x14ac:dyDescent="0.15">
      <c r="A52" s="137" t="s">
        <v>61</v>
      </c>
      <c r="B52" s="137" t="s">
        <v>375</v>
      </c>
      <c r="C52" s="137">
        <v>2018</v>
      </c>
      <c r="D52" s="138" t="s">
        <v>376</v>
      </c>
      <c r="E52" s="137" t="s">
        <v>264</v>
      </c>
      <c r="F52" s="137" t="s">
        <v>265</v>
      </c>
      <c r="G52" s="137" t="s">
        <v>42</v>
      </c>
      <c r="H52" s="247" t="s">
        <v>157</v>
      </c>
      <c r="I52" s="247" t="s">
        <v>155</v>
      </c>
      <c r="J52" s="137" t="s">
        <v>38</v>
      </c>
      <c r="K52" s="247" t="s">
        <v>156</v>
      </c>
      <c r="L52" s="247">
        <v>3</v>
      </c>
      <c r="M52" s="247"/>
      <c r="N52" s="247">
        <v>1</v>
      </c>
      <c r="O52" s="247">
        <v>0.65</v>
      </c>
      <c r="P52" s="247">
        <v>0.5</v>
      </c>
      <c r="Q52" s="139">
        <f t="shared" si="0"/>
        <v>0.57499999999999996</v>
      </c>
      <c r="R52" s="247">
        <v>17.7</v>
      </c>
      <c r="S52" s="247">
        <v>137</v>
      </c>
      <c r="T52" s="140">
        <f t="shared" si="1"/>
        <v>25</v>
      </c>
      <c r="U52" s="247">
        <v>138</v>
      </c>
      <c r="V52" s="141">
        <f t="shared" si="2"/>
        <v>3450</v>
      </c>
      <c r="W52" s="247">
        <v>6</v>
      </c>
      <c r="X52" s="137" t="s">
        <v>39</v>
      </c>
      <c r="Y52" s="247" t="s">
        <v>69</v>
      </c>
      <c r="Z52" s="247" t="s">
        <v>90</v>
      </c>
      <c r="AA52" s="247" t="s">
        <v>78</v>
      </c>
      <c r="AB52" s="137" t="s">
        <v>403</v>
      </c>
      <c r="AC52" s="142"/>
    </row>
    <row r="53" spans="1:29" x14ac:dyDescent="0.15">
      <c r="A53" s="137" t="s">
        <v>61</v>
      </c>
      <c r="B53" s="137" t="s">
        <v>375</v>
      </c>
      <c r="C53" s="137">
        <v>2018</v>
      </c>
      <c r="D53" s="138" t="s">
        <v>376</v>
      </c>
      <c r="E53" s="137" t="s">
        <v>264</v>
      </c>
      <c r="F53" s="137" t="s">
        <v>265</v>
      </c>
      <c r="G53" s="137" t="s">
        <v>42</v>
      </c>
      <c r="H53" s="247" t="s">
        <v>164</v>
      </c>
      <c r="I53" s="247" t="s">
        <v>155</v>
      </c>
      <c r="J53" s="137" t="s">
        <v>38</v>
      </c>
      <c r="K53" s="247" t="s">
        <v>156</v>
      </c>
      <c r="L53" s="247">
        <v>1</v>
      </c>
      <c r="M53" s="247"/>
      <c r="N53" s="247">
        <v>1</v>
      </c>
      <c r="O53" s="247">
        <v>0.5</v>
      </c>
      <c r="P53" s="247">
        <v>0.5</v>
      </c>
      <c r="Q53" s="139">
        <f t="shared" si="0"/>
        <v>0.5</v>
      </c>
      <c r="R53" s="247">
        <v>17.600000000000001</v>
      </c>
      <c r="S53" s="247">
        <v>137</v>
      </c>
      <c r="T53" s="140">
        <f t="shared" si="1"/>
        <v>25</v>
      </c>
      <c r="U53" s="247">
        <v>149</v>
      </c>
      <c r="V53" s="141">
        <f t="shared" si="2"/>
        <v>3725</v>
      </c>
      <c r="W53" s="247">
        <v>6</v>
      </c>
      <c r="X53" s="137" t="s">
        <v>39</v>
      </c>
      <c r="Y53" s="247" t="s">
        <v>69</v>
      </c>
      <c r="Z53" s="247" t="s">
        <v>90</v>
      </c>
      <c r="AA53" s="247" t="s">
        <v>78</v>
      </c>
      <c r="AB53" s="137" t="s">
        <v>403</v>
      </c>
      <c r="AC53" s="142"/>
    </row>
    <row r="54" spans="1:29" x14ac:dyDescent="0.15">
      <c r="A54" s="137" t="s">
        <v>61</v>
      </c>
      <c r="B54" s="137" t="s">
        <v>375</v>
      </c>
      <c r="C54" s="137">
        <v>2018</v>
      </c>
      <c r="D54" s="138" t="s">
        <v>376</v>
      </c>
      <c r="E54" s="137" t="s">
        <v>264</v>
      </c>
      <c r="F54" s="137" t="s">
        <v>265</v>
      </c>
      <c r="G54" s="137" t="s">
        <v>42</v>
      </c>
      <c r="H54" s="247" t="s">
        <v>164</v>
      </c>
      <c r="I54" s="247" t="s">
        <v>155</v>
      </c>
      <c r="J54" s="137" t="s">
        <v>38</v>
      </c>
      <c r="K54" s="247" t="s">
        <v>156</v>
      </c>
      <c r="L54" s="247">
        <v>2</v>
      </c>
      <c r="M54" s="247"/>
      <c r="N54" s="247">
        <v>1</v>
      </c>
      <c r="O54" s="247">
        <v>0.55000000000000004</v>
      </c>
      <c r="P54" s="247">
        <v>0.5</v>
      </c>
      <c r="Q54" s="139">
        <f t="shared" si="0"/>
        <v>0.52500000000000002</v>
      </c>
      <c r="R54" s="247">
        <v>18.600000000000001</v>
      </c>
      <c r="S54" s="247">
        <v>145</v>
      </c>
      <c r="T54" s="140">
        <f t="shared" si="1"/>
        <v>22</v>
      </c>
      <c r="U54" s="247">
        <v>149</v>
      </c>
      <c r="V54" s="141">
        <f t="shared" si="2"/>
        <v>3278</v>
      </c>
      <c r="W54" s="247">
        <v>6</v>
      </c>
      <c r="X54" s="137" t="s">
        <v>39</v>
      </c>
      <c r="Y54" s="247" t="s">
        <v>69</v>
      </c>
      <c r="Z54" s="247" t="s">
        <v>90</v>
      </c>
      <c r="AA54" s="247" t="s">
        <v>78</v>
      </c>
      <c r="AB54" s="137" t="s">
        <v>403</v>
      </c>
      <c r="AC54" s="142"/>
    </row>
    <row r="55" spans="1:29" x14ac:dyDescent="0.15">
      <c r="A55" s="137" t="s">
        <v>61</v>
      </c>
      <c r="B55" s="137" t="s">
        <v>375</v>
      </c>
      <c r="C55" s="137">
        <v>2018</v>
      </c>
      <c r="D55" s="138" t="s">
        <v>376</v>
      </c>
      <c r="E55" s="137" t="s">
        <v>264</v>
      </c>
      <c r="F55" s="137" t="s">
        <v>265</v>
      </c>
      <c r="G55" s="137" t="s">
        <v>42</v>
      </c>
      <c r="H55" s="247" t="s">
        <v>164</v>
      </c>
      <c r="I55" s="247" t="s">
        <v>155</v>
      </c>
      <c r="J55" s="137" t="s">
        <v>38</v>
      </c>
      <c r="K55" s="247" t="s">
        <v>156</v>
      </c>
      <c r="L55" s="247">
        <v>3</v>
      </c>
      <c r="M55" s="247"/>
      <c r="N55" s="247">
        <v>1</v>
      </c>
      <c r="O55" s="247">
        <v>0.5</v>
      </c>
      <c r="P55" s="247">
        <v>0.5</v>
      </c>
      <c r="Q55" s="139">
        <f t="shared" si="0"/>
        <v>0.5</v>
      </c>
      <c r="R55" s="247">
        <v>17.600000000000001</v>
      </c>
      <c r="S55" s="247">
        <v>133</v>
      </c>
      <c r="T55" s="140">
        <f t="shared" si="1"/>
        <v>25</v>
      </c>
      <c r="U55" s="247">
        <v>149</v>
      </c>
      <c r="V55" s="141">
        <f t="shared" si="2"/>
        <v>3725</v>
      </c>
      <c r="W55" s="247">
        <v>6</v>
      </c>
      <c r="X55" s="137" t="s">
        <v>39</v>
      </c>
      <c r="Y55" s="247" t="s">
        <v>69</v>
      </c>
      <c r="Z55" s="247" t="s">
        <v>90</v>
      </c>
      <c r="AA55" s="247" t="s">
        <v>78</v>
      </c>
      <c r="AB55" s="137" t="s">
        <v>403</v>
      </c>
      <c r="AC55" s="142"/>
    </row>
    <row r="56" spans="1:29" x14ac:dyDescent="0.15">
      <c r="A56" s="137" t="s">
        <v>61</v>
      </c>
      <c r="B56" s="137" t="s">
        <v>375</v>
      </c>
      <c r="C56" s="137">
        <v>2018</v>
      </c>
      <c r="D56" s="138" t="s">
        <v>376</v>
      </c>
      <c r="E56" s="137" t="s">
        <v>133</v>
      </c>
      <c r="F56" s="137" t="s">
        <v>266</v>
      </c>
      <c r="G56" s="137" t="s">
        <v>42</v>
      </c>
      <c r="H56" s="247" t="s">
        <v>157</v>
      </c>
      <c r="I56" s="247" t="s">
        <v>155</v>
      </c>
      <c r="J56" s="137" t="s">
        <v>38</v>
      </c>
      <c r="K56" s="247" t="s">
        <v>156</v>
      </c>
      <c r="L56" s="247">
        <v>1</v>
      </c>
      <c r="M56" s="247"/>
      <c r="N56" s="247">
        <v>1</v>
      </c>
      <c r="O56" s="247">
        <v>0.75</v>
      </c>
      <c r="P56" s="247">
        <v>0.9</v>
      </c>
      <c r="Q56" s="139">
        <f t="shared" si="0"/>
        <v>0.82499999999999996</v>
      </c>
      <c r="R56" s="247">
        <v>17</v>
      </c>
      <c r="S56" s="247">
        <v>161</v>
      </c>
      <c r="T56" s="140">
        <f t="shared" si="1"/>
        <v>18</v>
      </c>
      <c r="U56" s="247">
        <v>105</v>
      </c>
      <c r="V56" s="141">
        <f t="shared" si="2"/>
        <v>1890</v>
      </c>
      <c r="W56" s="247">
        <v>18</v>
      </c>
      <c r="X56" s="137" t="s">
        <v>46</v>
      </c>
      <c r="Y56" s="247" t="s">
        <v>69</v>
      </c>
      <c r="Z56" s="247" t="s">
        <v>97</v>
      </c>
      <c r="AA56" s="247" t="s">
        <v>55</v>
      </c>
      <c r="AB56" s="137" t="s">
        <v>403</v>
      </c>
      <c r="AC56" s="142"/>
    </row>
    <row r="57" spans="1:29" x14ac:dyDescent="0.15">
      <c r="A57" s="137" t="s">
        <v>61</v>
      </c>
      <c r="B57" s="137" t="s">
        <v>375</v>
      </c>
      <c r="C57" s="137">
        <v>2018</v>
      </c>
      <c r="D57" s="138" t="s">
        <v>376</v>
      </c>
      <c r="E57" s="137" t="s">
        <v>133</v>
      </c>
      <c r="F57" s="137" t="s">
        <v>266</v>
      </c>
      <c r="G57" s="137" t="s">
        <v>42</v>
      </c>
      <c r="H57" s="247" t="s">
        <v>157</v>
      </c>
      <c r="I57" s="247" t="s">
        <v>155</v>
      </c>
      <c r="J57" s="137" t="s">
        <v>38</v>
      </c>
      <c r="K57" s="247" t="s">
        <v>156</v>
      </c>
      <c r="L57" s="247">
        <v>2</v>
      </c>
      <c r="M57" s="247"/>
      <c r="N57" s="247">
        <v>1</v>
      </c>
      <c r="O57" s="247">
        <v>0.9</v>
      </c>
      <c r="P57" s="247">
        <v>1.5</v>
      </c>
      <c r="Q57" s="139">
        <f t="shared" si="0"/>
        <v>1.2</v>
      </c>
      <c r="R57" s="247">
        <v>16.899999999999999</v>
      </c>
      <c r="S57" s="247">
        <v>192</v>
      </c>
      <c r="T57" s="140">
        <f t="shared" si="1"/>
        <v>16</v>
      </c>
      <c r="U57" s="247">
        <v>105</v>
      </c>
      <c r="V57" s="141">
        <f t="shared" si="2"/>
        <v>1680</v>
      </c>
      <c r="W57" s="247">
        <v>18</v>
      </c>
      <c r="X57" s="137" t="s">
        <v>46</v>
      </c>
      <c r="Y57" s="247" t="s">
        <v>69</v>
      </c>
      <c r="Z57" s="247" t="s">
        <v>97</v>
      </c>
      <c r="AA57" s="247" t="s">
        <v>55</v>
      </c>
      <c r="AB57" s="137" t="s">
        <v>403</v>
      </c>
      <c r="AC57" s="142"/>
    </row>
    <row r="58" spans="1:29" x14ac:dyDescent="0.15">
      <c r="A58" s="137" t="s">
        <v>61</v>
      </c>
      <c r="B58" s="137" t="s">
        <v>375</v>
      </c>
      <c r="C58" s="137">
        <v>2018</v>
      </c>
      <c r="D58" s="138" t="s">
        <v>376</v>
      </c>
      <c r="E58" s="137" t="s">
        <v>133</v>
      </c>
      <c r="F58" s="137" t="s">
        <v>266</v>
      </c>
      <c r="G58" s="137" t="s">
        <v>42</v>
      </c>
      <c r="H58" s="247" t="s">
        <v>157</v>
      </c>
      <c r="I58" s="247" t="s">
        <v>155</v>
      </c>
      <c r="J58" s="137" t="s">
        <v>38</v>
      </c>
      <c r="K58" s="247" t="s">
        <v>156</v>
      </c>
      <c r="L58" s="247">
        <v>3</v>
      </c>
      <c r="M58" s="247"/>
      <c r="N58" s="247">
        <v>1</v>
      </c>
      <c r="O58" s="247">
        <v>0.95</v>
      </c>
      <c r="P58" s="247">
        <v>1</v>
      </c>
      <c r="Q58" s="139">
        <f t="shared" si="0"/>
        <v>0.97499999999999998</v>
      </c>
      <c r="R58" s="247">
        <v>17.100000000000001</v>
      </c>
      <c r="S58" s="247">
        <v>155</v>
      </c>
      <c r="T58" s="140">
        <f t="shared" si="1"/>
        <v>18</v>
      </c>
      <c r="U58" s="247">
        <v>105</v>
      </c>
      <c r="V58" s="141">
        <f t="shared" si="2"/>
        <v>1890</v>
      </c>
      <c r="W58" s="247">
        <v>18</v>
      </c>
      <c r="X58" s="137" t="s">
        <v>46</v>
      </c>
      <c r="Y58" s="247" t="s">
        <v>69</v>
      </c>
      <c r="Z58" s="247" t="s">
        <v>97</v>
      </c>
      <c r="AA58" s="247" t="s">
        <v>55</v>
      </c>
      <c r="AB58" s="137" t="s">
        <v>403</v>
      </c>
      <c r="AC58" s="142"/>
    </row>
    <row r="59" spans="1:29" x14ac:dyDescent="0.15">
      <c r="A59" s="137" t="s">
        <v>61</v>
      </c>
      <c r="B59" s="137" t="s">
        <v>375</v>
      </c>
      <c r="C59" s="137">
        <v>2018</v>
      </c>
      <c r="D59" s="138" t="s">
        <v>376</v>
      </c>
      <c r="E59" s="137" t="s">
        <v>133</v>
      </c>
      <c r="F59" s="137" t="s">
        <v>266</v>
      </c>
      <c r="G59" s="137" t="s">
        <v>42</v>
      </c>
      <c r="H59" s="247" t="s">
        <v>164</v>
      </c>
      <c r="I59" s="247" t="s">
        <v>155</v>
      </c>
      <c r="J59" s="137" t="s">
        <v>38</v>
      </c>
      <c r="K59" s="247" t="s">
        <v>156</v>
      </c>
      <c r="L59" s="247">
        <v>1</v>
      </c>
      <c r="M59" s="247"/>
      <c r="N59" s="247">
        <v>1</v>
      </c>
      <c r="O59" s="247">
        <v>0.5</v>
      </c>
      <c r="P59" s="247">
        <v>0.6</v>
      </c>
      <c r="Q59" s="139">
        <f t="shared" si="0"/>
        <v>0.55000000000000004</v>
      </c>
      <c r="R59" s="247">
        <v>18.399999999999999</v>
      </c>
      <c r="S59" s="247">
        <v>159</v>
      </c>
      <c r="T59" s="140">
        <f t="shared" si="1"/>
        <v>18</v>
      </c>
      <c r="U59" s="247">
        <v>149</v>
      </c>
      <c r="V59" s="141">
        <f t="shared" si="2"/>
        <v>2682</v>
      </c>
      <c r="W59" s="247">
        <v>18</v>
      </c>
      <c r="X59" s="137" t="s">
        <v>46</v>
      </c>
      <c r="Y59" s="247" t="s">
        <v>69</v>
      </c>
      <c r="Z59" s="247" t="s">
        <v>97</v>
      </c>
      <c r="AA59" s="247" t="s">
        <v>55</v>
      </c>
      <c r="AB59" s="137" t="s">
        <v>403</v>
      </c>
      <c r="AC59" s="247"/>
    </row>
    <row r="60" spans="1:29" x14ac:dyDescent="0.15">
      <c r="A60" s="137" t="s">
        <v>61</v>
      </c>
      <c r="B60" s="137" t="s">
        <v>375</v>
      </c>
      <c r="C60" s="137">
        <v>2018</v>
      </c>
      <c r="D60" s="138" t="s">
        <v>376</v>
      </c>
      <c r="E60" s="137" t="s">
        <v>133</v>
      </c>
      <c r="F60" s="137" t="s">
        <v>266</v>
      </c>
      <c r="G60" s="137" t="s">
        <v>42</v>
      </c>
      <c r="H60" s="247" t="s">
        <v>164</v>
      </c>
      <c r="I60" s="247" t="s">
        <v>155</v>
      </c>
      <c r="J60" s="137" t="s">
        <v>38</v>
      </c>
      <c r="K60" s="247" t="s">
        <v>156</v>
      </c>
      <c r="L60" s="247">
        <v>2</v>
      </c>
      <c r="M60" s="247"/>
      <c r="N60" s="247">
        <v>1</v>
      </c>
      <c r="O60" s="247">
        <v>0.6</v>
      </c>
      <c r="P60" s="247">
        <v>0.55000000000000004</v>
      </c>
      <c r="Q60" s="139">
        <f t="shared" si="0"/>
        <v>0.57499999999999996</v>
      </c>
      <c r="R60" s="247">
        <v>17.5</v>
      </c>
      <c r="S60" s="247">
        <v>179</v>
      </c>
      <c r="T60" s="140">
        <f t="shared" si="1"/>
        <v>18</v>
      </c>
      <c r="U60" s="247">
        <v>149</v>
      </c>
      <c r="V60" s="141">
        <f t="shared" si="2"/>
        <v>2682</v>
      </c>
      <c r="W60" s="247">
        <v>18</v>
      </c>
      <c r="X60" s="137" t="s">
        <v>46</v>
      </c>
      <c r="Y60" s="247" t="s">
        <v>69</v>
      </c>
      <c r="Z60" s="247" t="s">
        <v>97</v>
      </c>
      <c r="AA60" s="247" t="s">
        <v>55</v>
      </c>
      <c r="AB60" s="137" t="s">
        <v>403</v>
      </c>
      <c r="AC60" s="247"/>
    </row>
    <row r="61" spans="1:29" x14ac:dyDescent="0.15">
      <c r="A61" s="137" t="s">
        <v>61</v>
      </c>
      <c r="B61" s="137" t="s">
        <v>375</v>
      </c>
      <c r="C61" s="137">
        <v>2018</v>
      </c>
      <c r="D61" s="138" t="s">
        <v>376</v>
      </c>
      <c r="E61" s="137" t="s">
        <v>133</v>
      </c>
      <c r="F61" s="137" t="s">
        <v>266</v>
      </c>
      <c r="G61" s="137" t="s">
        <v>42</v>
      </c>
      <c r="H61" s="247" t="s">
        <v>164</v>
      </c>
      <c r="I61" s="247" t="s">
        <v>155</v>
      </c>
      <c r="J61" s="137" t="s">
        <v>38</v>
      </c>
      <c r="K61" s="247" t="s">
        <v>156</v>
      </c>
      <c r="L61" s="247">
        <v>3</v>
      </c>
      <c r="M61" s="247"/>
      <c r="N61" s="247">
        <v>1</v>
      </c>
      <c r="O61" s="247">
        <v>0.5</v>
      </c>
      <c r="P61" s="247">
        <v>0.65</v>
      </c>
      <c r="Q61" s="139">
        <f t="shared" si="0"/>
        <v>0.57499999999999996</v>
      </c>
      <c r="R61" s="247">
        <v>18</v>
      </c>
      <c r="S61" s="247">
        <v>169</v>
      </c>
      <c r="T61" s="140">
        <f t="shared" si="1"/>
        <v>18</v>
      </c>
      <c r="U61" s="247">
        <v>149</v>
      </c>
      <c r="V61" s="141">
        <f t="shared" si="2"/>
        <v>2682</v>
      </c>
      <c r="W61" s="247">
        <v>18</v>
      </c>
      <c r="X61" s="137" t="s">
        <v>46</v>
      </c>
      <c r="Y61" s="247" t="s">
        <v>69</v>
      </c>
      <c r="Z61" s="247" t="s">
        <v>97</v>
      </c>
      <c r="AA61" s="247" t="s">
        <v>55</v>
      </c>
      <c r="AB61" s="137" t="s">
        <v>403</v>
      </c>
      <c r="AC61" s="247"/>
    </row>
    <row r="62" spans="1:29" x14ac:dyDescent="0.15">
      <c r="A62" s="137" t="s">
        <v>61</v>
      </c>
      <c r="B62" s="137" t="s">
        <v>375</v>
      </c>
      <c r="C62" s="137">
        <v>2018</v>
      </c>
      <c r="D62" s="138" t="s">
        <v>376</v>
      </c>
      <c r="E62" s="137" t="s">
        <v>133</v>
      </c>
      <c r="F62" s="137" t="s">
        <v>266</v>
      </c>
      <c r="G62" s="137" t="s">
        <v>42</v>
      </c>
      <c r="H62" s="247" t="s">
        <v>157</v>
      </c>
      <c r="I62" s="247" t="s">
        <v>158</v>
      </c>
      <c r="J62" s="137" t="s">
        <v>38</v>
      </c>
      <c r="K62" s="247" t="s">
        <v>156</v>
      </c>
      <c r="L62" s="247">
        <v>1</v>
      </c>
      <c r="M62" s="247"/>
      <c r="N62" s="247">
        <v>4</v>
      </c>
      <c r="O62" s="247">
        <v>0.65</v>
      </c>
      <c r="P62" s="247">
        <v>0.65</v>
      </c>
      <c r="Q62" s="139">
        <f>IF(OR(O62="",P62=""),"",AVERAGE(O62,P62))</f>
        <v>0.65</v>
      </c>
      <c r="R62" s="247">
        <v>15.6</v>
      </c>
      <c r="S62" s="247">
        <v>102</v>
      </c>
      <c r="T62" s="140">
        <f t="shared" si="1"/>
        <v>33</v>
      </c>
      <c r="U62" s="247">
        <v>429</v>
      </c>
      <c r="V62" s="141">
        <f t="shared" si="2"/>
        <v>3539.25</v>
      </c>
      <c r="W62" s="247">
        <v>18</v>
      </c>
      <c r="X62" s="137" t="s">
        <v>46</v>
      </c>
      <c r="Y62" s="247" t="s">
        <v>69</v>
      </c>
      <c r="Z62" s="247" t="s">
        <v>97</v>
      </c>
      <c r="AA62" s="247" t="s">
        <v>55</v>
      </c>
      <c r="AB62" s="137" t="s">
        <v>403</v>
      </c>
      <c r="AC62" s="247"/>
    </row>
    <row r="63" spans="1:29" x14ac:dyDescent="0.15">
      <c r="A63" s="137" t="s">
        <v>61</v>
      </c>
      <c r="B63" s="137" t="s">
        <v>375</v>
      </c>
      <c r="C63" s="137">
        <v>2018</v>
      </c>
      <c r="D63" s="138" t="s">
        <v>376</v>
      </c>
      <c r="E63" s="137" t="s">
        <v>133</v>
      </c>
      <c r="F63" s="137" t="s">
        <v>266</v>
      </c>
      <c r="G63" s="137" t="s">
        <v>42</v>
      </c>
      <c r="H63" s="247" t="s">
        <v>157</v>
      </c>
      <c r="I63" s="247" t="s">
        <v>158</v>
      </c>
      <c r="J63" s="137" t="s">
        <v>38</v>
      </c>
      <c r="K63" s="247" t="s">
        <v>156</v>
      </c>
      <c r="L63" s="247">
        <v>2</v>
      </c>
      <c r="M63" s="247"/>
      <c r="N63" s="247">
        <v>4</v>
      </c>
      <c r="O63" s="247">
        <v>0.65</v>
      </c>
      <c r="P63" s="247">
        <v>0.5</v>
      </c>
      <c r="Q63" s="139">
        <f t="shared" si="0"/>
        <v>0.57499999999999996</v>
      </c>
      <c r="R63" s="247">
        <v>17</v>
      </c>
      <c r="S63" s="247">
        <v>93</v>
      </c>
      <c r="T63" s="140">
        <f t="shared" si="1"/>
        <v>36</v>
      </c>
      <c r="U63" s="247">
        <v>429</v>
      </c>
      <c r="V63" s="141">
        <f t="shared" si="2"/>
        <v>3861</v>
      </c>
      <c r="W63" s="247">
        <v>18</v>
      </c>
      <c r="X63" s="137" t="s">
        <v>46</v>
      </c>
      <c r="Y63" s="247" t="s">
        <v>69</v>
      </c>
      <c r="Z63" s="247" t="s">
        <v>97</v>
      </c>
      <c r="AA63" s="247" t="s">
        <v>55</v>
      </c>
      <c r="AB63" s="137" t="s">
        <v>403</v>
      </c>
      <c r="AC63" s="247"/>
    </row>
    <row r="64" spans="1:29" x14ac:dyDescent="0.15">
      <c r="A64" s="137" t="s">
        <v>61</v>
      </c>
      <c r="B64" s="137" t="s">
        <v>375</v>
      </c>
      <c r="C64" s="137">
        <v>2018</v>
      </c>
      <c r="D64" s="138" t="s">
        <v>376</v>
      </c>
      <c r="E64" s="137" t="s">
        <v>133</v>
      </c>
      <c r="F64" s="137" t="s">
        <v>266</v>
      </c>
      <c r="G64" s="137" t="s">
        <v>42</v>
      </c>
      <c r="H64" s="247" t="s">
        <v>157</v>
      </c>
      <c r="I64" s="247" t="s">
        <v>158</v>
      </c>
      <c r="J64" s="137" t="s">
        <v>38</v>
      </c>
      <c r="K64" s="247" t="s">
        <v>156</v>
      </c>
      <c r="L64" s="247">
        <v>3</v>
      </c>
      <c r="M64" s="247"/>
      <c r="N64" s="247">
        <v>4</v>
      </c>
      <c r="O64" s="247">
        <v>0.6</v>
      </c>
      <c r="P64" s="247">
        <v>0.6</v>
      </c>
      <c r="Q64" s="139">
        <f t="shared" si="0"/>
        <v>0.6</v>
      </c>
      <c r="R64" s="247">
        <v>15.6</v>
      </c>
      <c r="S64" s="247">
        <v>95</v>
      </c>
      <c r="T64" s="140">
        <f t="shared" si="1"/>
        <v>36</v>
      </c>
      <c r="U64" s="247">
        <v>429</v>
      </c>
      <c r="V64" s="141">
        <f t="shared" si="2"/>
        <v>3861</v>
      </c>
      <c r="W64" s="247">
        <v>18</v>
      </c>
      <c r="X64" s="137" t="s">
        <v>46</v>
      </c>
      <c r="Y64" s="247" t="s">
        <v>69</v>
      </c>
      <c r="Z64" s="247" t="s">
        <v>97</v>
      </c>
      <c r="AA64" s="247" t="s">
        <v>55</v>
      </c>
      <c r="AB64" s="137" t="s">
        <v>403</v>
      </c>
      <c r="AC64" s="247"/>
    </row>
    <row r="65" spans="1:29" x14ac:dyDescent="0.15">
      <c r="A65" s="137" t="s">
        <v>61</v>
      </c>
      <c r="B65" s="137" t="s">
        <v>375</v>
      </c>
      <c r="C65" s="137">
        <v>2018</v>
      </c>
      <c r="D65" s="138" t="s">
        <v>376</v>
      </c>
      <c r="E65" s="137" t="s">
        <v>267</v>
      </c>
      <c r="F65" s="137" t="s">
        <v>268</v>
      </c>
      <c r="G65" s="137" t="s">
        <v>42</v>
      </c>
      <c r="H65" s="247" t="s">
        <v>157</v>
      </c>
      <c r="I65" s="247" t="s">
        <v>155</v>
      </c>
      <c r="J65" s="137" t="s">
        <v>38</v>
      </c>
      <c r="K65" s="247" t="s">
        <v>156</v>
      </c>
      <c r="L65" s="247">
        <v>1</v>
      </c>
      <c r="M65" s="247"/>
      <c r="N65" s="247">
        <v>1</v>
      </c>
      <c r="O65" s="247">
        <v>0.6</v>
      </c>
      <c r="P65" s="247">
        <v>0.75</v>
      </c>
      <c r="Q65" s="139">
        <f t="shared" si="0"/>
        <v>0.67500000000000004</v>
      </c>
      <c r="R65" s="247">
        <v>17.399999999999999</v>
      </c>
      <c r="S65" s="247">
        <v>135</v>
      </c>
      <c r="T65" s="140">
        <f t="shared" si="1"/>
        <v>25</v>
      </c>
      <c r="U65" s="247">
        <v>128</v>
      </c>
      <c r="V65" s="141">
        <f t="shared" si="2"/>
        <v>3200</v>
      </c>
      <c r="W65" s="247">
        <v>14</v>
      </c>
      <c r="X65" s="137" t="s">
        <v>46</v>
      </c>
      <c r="Y65" s="247" t="s">
        <v>88</v>
      </c>
      <c r="Z65" s="247" t="s">
        <v>69</v>
      </c>
      <c r="AA65" s="247" t="s">
        <v>78</v>
      </c>
      <c r="AB65" s="137" t="s">
        <v>403</v>
      </c>
      <c r="AC65" s="142"/>
    </row>
    <row r="66" spans="1:29" x14ac:dyDescent="0.15">
      <c r="A66" s="137" t="s">
        <v>61</v>
      </c>
      <c r="B66" s="137" t="s">
        <v>375</v>
      </c>
      <c r="C66" s="137">
        <v>2018</v>
      </c>
      <c r="D66" s="138" t="s">
        <v>376</v>
      </c>
      <c r="E66" s="137" t="s">
        <v>267</v>
      </c>
      <c r="F66" s="137" t="s">
        <v>268</v>
      </c>
      <c r="G66" s="137" t="s">
        <v>42</v>
      </c>
      <c r="H66" s="247" t="s">
        <v>157</v>
      </c>
      <c r="I66" s="247" t="s">
        <v>155</v>
      </c>
      <c r="J66" s="137" t="s">
        <v>38</v>
      </c>
      <c r="K66" s="247" t="s">
        <v>156</v>
      </c>
      <c r="L66" s="247">
        <v>2</v>
      </c>
      <c r="M66" s="247"/>
      <c r="N66" s="247">
        <v>1</v>
      </c>
      <c r="O66" s="247">
        <v>0.75</v>
      </c>
      <c r="P66" s="247">
        <v>0.75</v>
      </c>
      <c r="Q66" s="139">
        <f t="shared" si="0"/>
        <v>0.75</v>
      </c>
      <c r="R66" s="247">
        <v>17.7</v>
      </c>
      <c r="S66" s="247">
        <v>143</v>
      </c>
      <c r="T66" s="140">
        <f t="shared" ref="T66:T85" si="3">IF(H66="","",IF(OR(H66="GREEN",H66="GK"),IF(S66&gt;=$AX$2,VLOOKUP(S66,$AX$2:$AY$15,2,1),""),IF(S66&gt;=$AZ$2,VLOOKUP(S66,$AZ$2:$BA$15,2,1),"")))</f>
        <v>22</v>
      </c>
      <c r="U66" s="247">
        <v>128</v>
      </c>
      <c r="V66" s="141">
        <f t="shared" si="2"/>
        <v>2816</v>
      </c>
      <c r="W66" s="247">
        <v>14</v>
      </c>
      <c r="X66" s="137" t="s">
        <v>46</v>
      </c>
      <c r="Y66" s="247" t="s">
        <v>88</v>
      </c>
      <c r="Z66" s="247" t="s">
        <v>69</v>
      </c>
      <c r="AA66" s="247" t="s">
        <v>78</v>
      </c>
      <c r="AB66" s="137" t="s">
        <v>403</v>
      </c>
      <c r="AC66" s="142"/>
    </row>
    <row r="67" spans="1:29" x14ac:dyDescent="0.15">
      <c r="A67" s="137" t="s">
        <v>61</v>
      </c>
      <c r="B67" s="137" t="s">
        <v>375</v>
      </c>
      <c r="C67" s="137">
        <v>2018</v>
      </c>
      <c r="D67" s="138" t="s">
        <v>376</v>
      </c>
      <c r="E67" s="137" t="s">
        <v>267</v>
      </c>
      <c r="F67" s="137" t="s">
        <v>268</v>
      </c>
      <c r="G67" s="137" t="s">
        <v>42</v>
      </c>
      <c r="H67" s="247" t="s">
        <v>157</v>
      </c>
      <c r="I67" s="247" t="s">
        <v>155</v>
      </c>
      <c r="J67" s="137" t="s">
        <v>38</v>
      </c>
      <c r="K67" s="247" t="s">
        <v>156</v>
      </c>
      <c r="L67" s="247">
        <v>3</v>
      </c>
      <c r="M67" s="247"/>
      <c r="N67" s="247">
        <v>1</v>
      </c>
      <c r="O67" s="247">
        <v>0.7</v>
      </c>
      <c r="P67" s="247">
        <v>0.75</v>
      </c>
      <c r="Q67" s="139">
        <f t="shared" ref="Q67:Q85" si="4">IF(OR(O67="",P67=""),"",AVERAGE(O67,P67))</f>
        <v>0.72499999999999998</v>
      </c>
      <c r="R67" s="142">
        <v>17</v>
      </c>
      <c r="S67" s="247">
        <v>138</v>
      </c>
      <c r="T67" s="140">
        <f t="shared" si="3"/>
        <v>22</v>
      </c>
      <c r="U67" s="247">
        <v>128</v>
      </c>
      <c r="V67" s="141">
        <f t="shared" ref="V67:V85" si="5">IF(OR(N67="",U67="",T67=""),"",U67/N67*T67)</f>
        <v>2816</v>
      </c>
      <c r="W67" s="247">
        <v>14</v>
      </c>
      <c r="X67" s="137" t="s">
        <v>46</v>
      </c>
      <c r="Y67" s="247" t="s">
        <v>88</v>
      </c>
      <c r="Z67" s="247" t="s">
        <v>69</v>
      </c>
      <c r="AA67" s="247" t="s">
        <v>78</v>
      </c>
      <c r="AB67" s="137" t="s">
        <v>403</v>
      </c>
      <c r="AC67" s="142"/>
    </row>
    <row r="68" spans="1:29" x14ac:dyDescent="0.15">
      <c r="A68" s="137" t="s">
        <v>61</v>
      </c>
      <c r="B68" s="137" t="s">
        <v>375</v>
      </c>
      <c r="C68" s="137">
        <v>2018</v>
      </c>
      <c r="D68" s="138" t="s">
        <v>376</v>
      </c>
      <c r="E68" s="137" t="s">
        <v>267</v>
      </c>
      <c r="F68" s="137" t="s">
        <v>268</v>
      </c>
      <c r="G68" s="137" t="s">
        <v>42</v>
      </c>
      <c r="H68" s="247" t="s">
        <v>164</v>
      </c>
      <c r="I68" s="247" t="s">
        <v>155</v>
      </c>
      <c r="J68" s="137" t="s">
        <v>38</v>
      </c>
      <c r="K68" s="247" t="s">
        <v>156</v>
      </c>
      <c r="L68" s="247">
        <v>1</v>
      </c>
      <c r="M68" s="247"/>
      <c r="N68" s="247">
        <v>1</v>
      </c>
      <c r="O68" s="247">
        <v>0.5</v>
      </c>
      <c r="P68" s="247">
        <v>0.5</v>
      </c>
      <c r="Q68" s="139">
        <f t="shared" si="4"/>
        <v>0.5</v>
      </c>
      <c r="R68" s="247">
        <v>18</v>
      </c>
      <c r="S68" s="247">
        <v>128</v>
      </c>
      <c r="T68" s="140">
        <f t="shared" si="3"/>
        <v>27</v>
      </c>
      <c r="U68" s="247">
        <v>138</v>
      </c>
      <c r="V68" s="141">
        <f t="shared" si="5"/>
        <v>3726</v>
      </c>
      <c r="W68" s="247">
        <v>14</v>
      </c>
      <c r="X68" s="137" t="s">
        <v>46</v>
      </c>
      <c r="Y68" s="247" t="s">
        <v>88</v>
      </c>
      <c r="Z68" s="247" t="s">
        <v>69</v>
      </c>
      <c r="AA68" s="247" t="s">
        <v>78</v>
      </c>
      <c r="AB68" s="137" t="s">
        <v>403</v>
      </c>
      <c r="AC68" s="142"/>
    </row>
    <row r="69" spans="1:29" x14ac:dyDescent="0.15">
      <c r="A69" s="137" t="s">
        <v>61</v>
      </c>
      <c r="B69" s="137" t="s">
        <v>375</v>
      </c>
      <c r="C69" s="137">
        <v>2018</v>
      </c>
      <c r="D69" s="138" t="s">
        <v>376</v>
      </c>
      <c r="E69" s="137" t="s">
        <v>267</v>
      </c>
      <c r="F69" s="137" t="s">
        <v>268</v>
      </c>
      <c r="G69" s="137" t="s">
        <v>42</v>
      </c>
      <c r="H69" s="247" t="s">
        <v>164</v>
      </c>
      <c r="I69" s="247" t="s">
        <v>155</v>
      </c>
      <c r="J69" s="137" t="s">
        <v>38</v>
      </c>
      <c r="K69" s="247" t="s">
        <v>156</v>
      </c>
      <c r="L69" s="247">
        <v>2</v>
      </c>
      <c r="M69" s="247"/>
      <c r="N69" s="247">
        <v>1</v>
      </c>
      <c r="O69" s="247">
        <v>0.5</v>
      </c>
      <c r="P69" s="247">
        <v>0.55000000000000004</v>
      </c>
      <c r="Q69" s="139">
        <f t="shared" si="4"/>
        <v>0.52500000000000002</v>
      </c>
      <c r="R69" s="142">
        <v>18.2</v>
      </c>
      <c r="S69" s="247">
        <v>133</v>
      </c>
      <c r="T69" s="140">
        <f t="shared" si="3"/>
        <v>25</v>
      </c>
      <c r="U69" s="247">
        <v>138</v>
      </c>
      <c r="V69" s="141">
        <f t="shared" si="5"/>
        <v>3450</v>
      </c>
      <c r="W69" s="247">
        <v>14</v>
      </c>
      <c r="X69" s="137" t="s">
        <v>46</v>
      </c>
      <c r="Y69" s="247" t="s">
        <v>88</v>
      </c>
      <c r="Z69" s="247" t="s">
        <v>69</v>
      </c>
      <c r="AA69" s="247" t="s">
        <v>78</v>
      </c>
      <c r="AB69" s="137" t="s">
        <v>403</v>
      </c>
      <c r="AC69" s="142"/>
    </row>
    <row r="70" spans="1:29" x14ac:dyDescent="0.15">
      <c r="A70" s="137" t="s">
        <v>61</v>
      </c>
      <c r="B70" s="137" t="s">
        <v>375</v>
      </c>
      <c r="C70" s="137">
        <v>2018</v>
      </c>
      <c r="D70" s="138" t="s">
        <v>376</v>
      </c>
      <c r="E70" s="137" t="s">
        <v>267</v>
      </c>
      <c r="F70" s="137" t="s">
        <v>268</v>
      </c>
      <c r="G70" s="137" t="s">
        <v>42</v>
      </c>
      <c r="H70" s="247" t="s">
        <v>164</v>
      </c>
      <c r="I70" s="247" t="s">
        <v>155</v>
      </c>
      <c r="J70" s="137" t="s">
        <v>38</v>
      </c>
      <c r="K70" s="247" t="s">
        <v>156</v>
      </c>
      <c r="L70" s="247">
        <v>3</v>
      </c>
      <c r="M70" s="247"/>
      <c r="N70" s="247">
        <v>1</v>
      </c>
      <c r="O70" s="247">
        <v>0.5</v>
      </c>
      <c r="P70" s="247">
        <v>0.55000000000000004</v>
      </c>
      <c r="Q70" s="139">
        <f t="shared" si="4"/>
        <v>0.52500000000000002</v>
      </c>
      <c r="R70" s="142">
        <v>17.399999999999999</v>
      </c>
      <c r="S70" s="247">
        <v>134</v>
      </c>
      <c r="T70" s="140">
        <f t="shared" si="3"/>
        <v>25</v>
      </c>
      <c r="U70" s="247">
        <v>138</v>
      </c>
      <c r="V70" s="141">
        <f t="shared" si="5"/>
        <v>3450</v>
      </c>
      <c r="W70" s="247">
        <v>14</v>
      </c>
      <c r="X70" s="137" t="s">
        <v>46</v>
      </c>
      <c r="Y70" s="247" t="s">
        <v>88</v>
      </c>
      <c r="Z70" s="247" t="s">
        <v>69</v>
      </c>
      <c r="AA70" s="247" t="s">
        <v>78</v>
      </c>
      <c r="AB70" s="137" t="s">
        <v>403</v>
      </c>
      <c r="AC70" s="142"/>
    </row>
    <row r="71" spans="1:29" x14ac:dyDescent="0.15">
      <c r="A71" s="137" t="s">
        <v>61</v>
      </c>
      <c r="B71" s="137" t="s">
        <v>375</v>
      </c>
      <c r="C71" s="137">
        <v>2018</v>
      </c>
      <c r="D71" s="138" t="s">
        <v>376</v>
      </c>
      <c r="E71" s="137" t="s">
        <v>269</v>
      </c>
      <c r="F71" s="137" t="s">
        <v>268</v>
      </c>
      <c r="G71" s="137" t="s">
        <v>42</v>
      </c>
      <c r="H71" s="247" t="s">
        <v>157</v>
      </c>
      <c r="I71" s="247" t="s">
        <v>155</v>
      </c>
      <c r="J71" s="137" t="s">
        <v>38</v>
      </c>
      <c r="K71" s="247" t="s">
        <v>156</v>
      </c>
      <c r="L71" s="247">
        <v>1</v>
      </c>
      <c r="M71" s="247"/>
      <c r="N71" s="247">
        <v>1</v>
      </c>
      <c r="O71" s="247">
        <v>0.75</v>
      </c>
      <c r="P71" s="247">
        <v>0.65</v>
      </c>
      <c r="Q71" s="139">
        <f t="shared" si="4"/>
        <v>0.7</v>
      </c>
      <c r="R71" s="247">
        <v>17</v>
      </c>
      <c r="S71" s="247">
        <v>139</v>
      </c>
      <c r="T71" s="140">
        <f t="shared" si="3"/>
        <v>22</v>
      </c>
      <c r="U71" s="247">
        <v>149</v>
      </c>
      <c r="V71" s="141">
        <f t="shared" si="5"/>
        <v>3278</v>
      </c>
      <c r="W71" s="247">
        <v>18</v>
      </c>
      <c r="X71" s="137" t="s">
        <v>46</v>
      </c>
      <c r="Y71" s="247" t="s">
        <v>88</v>
      </c>
      <c r="Z71" s="247" t="s">
        <v>69</v>
      </c>
      <c r="AA71" s="247" t="s">
        <v>97</v>
      </c>
      <c r="AB71" s="137" t="s">
        <v>403</v>
      </c>
      <c r="AC71" s="142"/>
    </row>
    <row r="72" spans="1:29" x14ac:dyDescent="0.15">
      <c r="A72" s="137" t="s">
        <v>61</v>
      </c>
      <c r="B72" s="137" t="s">
        <v>375</v>
      </c>
      <c r="C72" s="137">
        <v>2018</v>
      </c>
      <c r="D72" s="138" t="s">
        <v>376</v>
      </c>
      <c r="E72" s="137" t="s">
        <v>269</v>
      </c>
      <c r="F72" s="137" t="s">
        <v>268</v>
      </c>
      <c r="G72" s="137" t="s">
        <v>42</v>
      </c>
      <c r="H72" s="247" t="s">
        <v>157</v>
      </c>
      <c r="I72" s="247" t="s">
        <v>155</v>
      </c>
      <c r="J72" s="137" t="s">
        <v>38</v>
      </c>
      <c r="K72" s="247" t="s">
        <v>156</v>
      </c>
      <c r="L72" s="247">
        <v>2</v>
      </c>
      <c r="M72" s="247"/>
      <c r="N72" s="247">
        <v>1</v>
      </c>
      <c r="O72" s="247">
        <v>0.6</v>
      </c>
      <c r="P72" s="247">
        <v>0.65</v>
      </c>
      <c r="Q72" s="139">
        <f t="shared" si="4"/>
        <v>0.625</v>
      </c>
      <c r="R72" s="247">
        <v>17</v>
      </c>
      <c r="S72" s="247">
        <v>130</v>
      </c>
      <c r="T72" s="140">
        <f t="shared" si="3"/>
        <v>25</v>
      </c>
      <c r="U72" s="247">
        <v>149</v>
      </c>
      <c r="V72" s="141">
        <f t="shared" si="5"/>
        <v>3725</v>
      </c>
      <c r="W72" s="247">
        <v>18</v>
      </c>
      <c r="X72" s="137" t="s">
        <v>46</v>
      </c>
      <c r="Y72" s="247" t="s">
        <v>88</v>
      </c>
      <c r="Z72" s="247" t="s">
        <v>69</v>
      </c>
      <c r="AA72" s="247" t="s">
        <v>97</v>
      </c>
      <c r="AB72" s="137" t="s">
        <v>403</v>
      </c>
      <c r="AC72" s="142"/>
    </row>
    <row r="73" spans="1:29" x14ac:dyDescent="0.15">
      <c r="A73" s="137" t="s">
        <v>61</v>
      </c>
      <c r="B73" s="137" t="s">
        <v>375</v>
      </c>
      <c r="C73" s="137">
        <v>2018</v>
      </c>
      <c r="D73" s="138" t="s">
        <v>376</v>
      </c>
      <c r="E73" s="137" t="s">
        <v>269</v>
      </c>
      <c r="F73" s="137" t="s">
        <v>268</v>
      </c>
      <c r="G73" s="137" t="s">
        <v>42</v>
      </c>
      <c r="H73" s="247" t="s">
        <v>157</v>
      </c>
      <c r="I73" s="247" t="s">
        <v>155</v>
      </c>
      <c r="J73" s="137" t="s">
        <v>38</v>
      </c>
      <c r="K73" s="247" t="s">
        <v>156</v>
      </c>
      <c r="L73" s="247">
        <v>3</v>
      </c>
      <c r="M73" s="247"/>
      <c r="N73" s="247">
        <v>1</v>
      </c>
      <c r="O73" s="247">
        <v>0.6</v>
      </c>
      <c r="P73" s="247">
        <v>0.75</v>
      </c>
      <c r="Q73" s="139">
        <f t="shared" si="4"/>
        <v>0.67500000000000004</v>
      </c>
      <c r="R73" s="247">
        <v>17.8</v>
      </c>
      <c r="S73" s="247">
        <v>139</v>
      </c>
      <c r="T73" s="140">
        <f t="shared" si="3"/>
        <v>22</v>
      </c>
      <c r="U73" s="247">
        <v>149</v>
      </c>
      <c r="V73" s="141">
        <f t="shared" si="5"/>
        <v>3278</v>
      </c>
      <c r="W73" s="247">
        <v>18</v>
      </c>
      <c r="X73" s="137" t="s">
        <v>46</v>
      </c>
      <c r="Y73" s="247" t="s">
        <v>88</v>
      </c>
      <c r="Z73" s="247" t="s">
        <v>69</v>
      </c>
      <c r="AA73" s="247" t="s">
        <v>97</v>
      </c>
      <c r="AB73" s="137" t="s">
        <v>403</v>
      </c>
      <c r="AC73" s="142"/>
    </row>
    <row r="74" spans="1:29" x14ac:dyDescent="0.15">
      <c r="A74" s="137" t="s">
        <v>61</v>
      </c>
      <c r="B74" s="137" t="s">
        <v>375</v>
      </c>
      <c r="C74" s="137">
        <v>2018</v>
      </c>
      <c r="D74" s="138" t="s">
        <v>376</v>
      </c>
      <c r="E74" s="137" t="s">
        <v>269</v>
      </c>
      <c r="F74" s="137" t="s">
        <v>268</v>
      </c>
      <c r="G74" s="137" t="s">
        <v>42</v>
      </c>
      <c r="H74" s="247" t="s">
        <v>164</v>
      </c>
      <c r="I74" s="247" t="s">
        <v>155</v>
      </c>
      <c r="J74" s="137" t="s">
        <v>38</v>
      </c>
      <c r="K74" s="247" t="s">
        <v>156</v>
      </c>
      <c r="L74" s="247">
        <v>1</v>
      </c>
      <c r="M74" s="247"/>
      <c r="N74" s="247">
        <v>1</v>
      </c>
      <c r="O74" s="247">
        <v>0.5</v>
      </c>
      <c r="P74" s="247">
        <v>0.55000000000000004</v>
      </c>
      <c r="Q74" s="139">
        <f t="shared" si="4"/>
        <v>0.52500000000000002</v>
      </c>
      <c r="R74" s="247">
        <v>17.600000000000001</v>
      </c>
      <c r="S74" s="247">
        <v>134</v>
      </c>
      <c r="T74" s="140">
        <f t="shared" si="3"/>
        <v>25</v>
      </c>
      <c r="U74" s="247">
        <v>149</v>
      </c>
      <c r="V74" s="141">
        <f t="shared" si="5"/>
        <v>3725</v>
      </c>
      <c r="W74" s="247">
        <v>18</v>
      </c>
      <c r="X74" s="137" t="s">
        <v>46</v>
      </c>
      <c r="Y74" s="247" t="s">
        <v>88</v>
      </c>
      <c r="Z74" s="247" t="s">
        <v>69</v>
      </c>
      <c r="AA74" s="247" t="s">
        <v>97</v>
      </c>
      <c r="AB74" s="137" t="s">
        <v>403</v>
      </c>
      <c r="AC74" s="247"/>
    </row>
    <row r="75" spans="1:29" x14ac:dyDescent="0.15">
      <c r="A75" s="137" t="s">
        <v>61</v>
      </c>
      <c r="B75" s="137" t="s">
        <v>375</v>
      </c>
      <c r="C75" s="137">
        <v>2018</v>
      </c>
      <c r="D75" s="138" t="s">
        <v>376</v>
      </c>
      <c r="E75" s="137" t="s">
        <v>269</v>
      </c>
      <c r="F75" s="137" t="s">
        <v>268</v>
      </c>
      <c r="G75" s="137" t="s">
        <v>42</v>
      </c>
      <c r="H75" s="247" t="s">
        <v>164</v>
      </c>
      <c r="I75" s="247" t="s">
        <v>155</v>
      </c>
      <c r="J75" s="137" t="s">
        <v>38</v>
      </c>
      <c r="K75" s="247" t="s">
        <v>156</v>
      </c>
      <c r="L75" s="247">
        <v>2</v>
      </c>
      <c r="M75" s="247"/>
      <c r="N75" s="247">
        <v>1</v>
      </c>
      <c r="O75" s="247">
        <v>0.6</v>
      </c>
      <c r="P75" s="247">
        <v>0.5</v>
      </c>
      <c r="Q75" s="139">
        <f t="shared" si="4"/>
        <v>0.55000000000000004</v>
      </c>
      <c r="R75" s="247">
        <v>17.399999999999999</v>
      </c>
      <c r="S75" s="247">
        <v>136</v>
      </c>
      <c r="T75" s="140">
        <f t="shared" si="3"/>
        <v>25</v>
      </c>
      <c r="U75" s="247">
        <v>149</v>
      </c>
      <c r="V75" s="141">
        <f t="shared" si="5"/>
        <v>3725</v>
      </c>
      <c r="W75" s="247">
        <v>18</v>
      </c>
      <c r="X75" s="137" t="s">
        <v>46</v>
      </c>
      <c r="Y75" s="247" t="s">
        <v>88</v>
      </c>
      <c r="Z75" s="247" t="s">
        <v>69</v>
      </c>
      <c r="AA75" s="247" t="s">
        <v>97</v>
      </c>
      <c r="AB75" s="137" t="s">
        <v>403</v>
      </c>
      <c r="AC75" s="247"/>
    </row>
    <row r="76" spans="1:29" x14ac:dyDescent="0.15">
      <c r="A76" s="137" t="s">
        <v>61</v>
      </c>
      <c r="B76" s="137" t="s">
        <v>375</v>
      </c>
      <c r="C76" s="137">
        <v>2018</v>
      </c>
      <c r="D76" s="138" t="s">
        <v>376</v>
      </c>
      <c r="E76" s="137" t="s">
        <v>269</v>
      </c>
      <c r="F76" s="137" t="s">
        <v>268</v>
      </c>
      <c r="G76" s="137" t="s">
        <v>42</v>
      </c>
      <c r="H76" s="247" t="s">
        <v>164</v>
      </c>
      <c r="I76" s="247" t="s">
        <v>155</v>
      </c>
      <c r="J76" s="137" t="s">
        <v>38</v>
      </c>
      <c r="K76" s="247" t="s">
        <v>156</v>
      </c>
      <c r="L76" s="247">
        <v>3</v>
      </c>
      <c r="M76" s="247"/>
      <c r="N76" s="247">
        <v>1</v>
      </c>
      <c r="O76" s="247">
        <v>0.6</v>
      </c>
      <c r="P76" s="247">
        <v>0.5</v>
      </c>
      <c r="Q76" s="139">
        <f t="shared" si="4"/>
        <v>0.55000000000000004</v>
      </c>
      <c r="R76" s="247">
        <v>17.5</v>
      </c>
      <c r="S76" s="247">
        <v>137</v>
      </c>
      <c r="T76" s="140">
        <f t="shared" si="3"/>
        <v>25</v>
      </c>
      <c r="U76" s="247">
        <v>149</v>
      </c>
      <c r="V76" s="141">
        <f t="shared" si="5"/>
        <v>3725</v>
      </c>
      <c r="W76" s="247">
        <v>18</v>
      </c>
      <c r="X76" s="137" t="s">
        <v>46</v>
      </c>
      <c r="Y76" s="247" t="s">
        <v>88</v>
      </c>
      <c r="Z76" s="247" t="s">
        <v>69</v>
      </c>
      <c r="AA76" s="247" t="s">
        <v>97</v>
      </c>
      <c r="AB76" s="137" t="s">
        <v>403</v>
      </c>
      <c r="AC76" s="247"/>
    </row>
    <row r="77" spans="1:29" x14ac:dyDescent="0.15">
      <c r="A77" s="137"/>
      <c r="B77" s="137"/>
      <c r="C77" s="137"/>
      <c r="D77" s="138"/>
      <c r="E77" s="137"/>
      <c r="F77" s="137"/>
      <c r="G77" s="137"/>
      <c r="H77" s="247"/>
      <c r="I77" s="247"/>
      <c r="J77" s="137"/>
      <c r="K77" s="247"/>
      <c r="L77" s="247"/>
      <c r="M77" s="247"/>
      <c r="N77" s="247"/>
      <c r="O77" s="247"/>
      <c r="P77" s="247"/>
      <c r="Q77" s="139"/>
      <c r="R77" s="247"/>
      <c r="S77" s="247"/>
      <c r="T77" s="140"/>
      <c r="U77" s="247"/>
      <c r="V77" s="141"/>
      <c r="W77" s="247"/>
      <c r="X77" s="137"/>
      <c r="Y77" s="247"/>
      <c r="Z77" s="247"/>
      <c r="AA77" s="247"/>
      <c r="AB77" s="137"/>
      <c r="AC77" s="247"/>
    </row>
    <row r="78" spans="1:29" x14ac:dyDescent="0.15">
      <c r="A78" s="137"/>
      <c r="B78" s="137"/>
      <c r="C78" s="137"/>
      <c r="D78" s="138"/>
      <c r="E78" s="137"/>
      <c r="F78" s="137"/>
      <c r="G78" s="137"/>
      <c r="H78" s="247"/>
      <c r="I78" s="247"/>
      <c r="J78" s="137"/>
      <c r="K78" s="247"/>
      <c r="L78" s="247"/>
      <c r="M78" s="247"/>
      <c r="N78" s="247"/>
      <c r="O78" s="247"/>
      <c r="P78" s="247"/>
      <c r="Q78" s="139"/>
      <c r="R78" s="247"/>
      <c r="S78" s="247"/>
      <c r="T78" s="140"/>
      <c r="U78" s="247"/>
      <c r="V78" s="141"/>
      <c r="W78" s="247"/>
      <c r="X78" s="137"/>
      <c r="Y78" s="247"/>
      <c r="Z78" s="247"/>
      <c r="AA78" s="247"/>
      <c r="AB78" s="137"/>
      <c r="AC78" s="247"/>
    </row>
    <row r="79" spans="1:29" x14ac:dyDescent="0.15">
      <c r="A79" s="137"/>
      <c r="B79" s="137"/>
      <c r="C79" s="137"/>
      <c r="D79" s="138"/>
      <c r="E79" s="137"/>
      <c r="F79" s="137"/>
      <c r="G79" s="137"/>
      <c r="H79" s="247"/>
      <c r="I79" s="247"/>
      <c r="J79" s="137"/>
      <c r="K79" s="247"/>
      <c r="L79" s="247"/>
      <c r="M79" s="247"/>
      <c r="N79" s="247"/>
      <c r="O79" s="247"/>
      <c r="P79" s="247"/>
      <c r="Q79" s="139"/>
      <c r="R79" s="247"/>
      <c r="S79" s="247"/>
      <c r="T79" s="140"/>
      <c r="U79" s="247"/>
      <c r="V79" s="141"/>
      <c r="W79" s="247"/>
      <c r="X79" s="137"/>
      <c r="Y79" s="247"/>
      <c r="Z79" s="247"/>
      <c r="AA79" s="247"/>
      <c r="AB79" s="137"/>
      <c r="AC79" s="247"/>
    </row>
    <row r="80" spans="1:29" x14ac:dyDescent="0.15">
      <c r="A80" s="137"/>
      <c r="B80" s="137"/>
      <c r="C80" s="137"/>
      <c r="D80" s="138"/>
      <c r="E80" s="137"/>
      <c r="F80" s="137"/>
      <c r="G80" s="137"/>
      <c r="H80" s="247"/>
      <c r="I80" s="247"/>
      <c r="J80" s="137"/>
      <c r="K80" s="247"/>
      <c r="L80" s="247"/>
      <c r="M80" s="247"/>
      <c r="N80" s="247"/>
      <c r="O80" s="247"/>
      <c r="P80" s="247"/>
      <c r="Q80" s="139" t="str">
        <f t="shared" si="4"/>
        <v/>
      </c>
      <c r="R80" s="247"/>
      <c r="S80" s="247"/>
      <c r="T80" s="140" t="str">
        <f t="shared" si="3"/>
        <v/>
      </c>
      <c r="U80" s="247"/>
      <c r="V80" s="141" t="str">
        <f t="shared" si="5"/>
        <v/>
      </c>
      <c r="W80" s="247"/>
      <c r="X80" s="137"/>
      <c r="Y80" s="247"/>
      <c r="Z80" s="247"/>
      <c r="AA80" s="247"/>
      <c r="AB80" s="137"/>
      <c r="AC80" s="247"/>
    </row>
    <row r="81" spans="1:29" x14ac:dyDescent="0.15">
      <c r="A81" s="137"/>
      <c r="B81" s="137"/>
      <c r="C81" s="137"/>
      <c r="D81" s="138"/>
      <c r="E81" s="137"/>
      <c r="F81" s="137"/>
      <c r="G81" s="137"/>
      <c r="H81" s="247"/>
      <c r="I81" s="247"/>
      <c r="J81" s="137"/>
      <c r="K81" s="247"/>
      <c r="L81" s="247"/>
      <c r="M81" s="247"/>
      <c r="N81" s="247"/>
      <c r="O81" s="247"/>
      <c r="P81" s="247"/>
      <c r="Q81" s="139" t="str">
        <f t="shared" si="4"/>
        <v/>
      </c>
      <c r="R81" s="247"/>
      <c r="S81" s="247"/>
      <c r="T81" s="140" t="str">
        <f t="shared" si="3"/>
        <v/>
      </c>
      <c r="U81" s="247"/>
      <c r="V81" s="141" t="str">
        <f t="shared" si="5"/>
        <v/>
      </c>
      <c r="W81" s="247"/>
      <c r="X81" s="137"/>
      <c r="Y81" s="247"/>
      <c r="Z81" s="247"/>
      <c r="AA81" s="247"/>
      <c r="AB81" s="137"/>
      <c r="AC81" s="247"/>
    </row>
    <row r="82" spans="1:29" x14ac:dyDescent="0.15">
      <c r="A82" s="137"/>
      <c r="B82" s="137"/>
      <c r="C82" s="137"/>
      <c r="D82" s="138"/>
      <c r="E82" s="137"/>
      <c r="F82" s="137"/>
      <c r="G82" s="137"/>
      <c r="H82" s="247"/>
      <c r="I82" s="247"/>
      <c r="J82" s="137"/>
      <c r="K82" s="247"/>
      <c r="L82" s="247"/>
      <c r="M82" s="247"/>
      <c r="N82" s="247"/>
      <c r="O82" s="247"/>
      <c r="P82" s="247"/>
      <c r="Q82" s="139" t="str">
        <f t="shared" si="4"/>
        <v/>
      </c>
      <c r="R82" s="247"/>
      <c r="S82" s="247"/>
      <c r="T82" s="140" t="str">
        <f t="shared" si="3"/>
        <v/>
      </c>
      <c r="U82" s="247"/>
      <c r="V82" s="141" t="str">
        <f t="shared" si="5"/>
        <v/>
      </c>
      <c r="W82" s="247"/>
      <c r="X82" s="137"/>
      <c r="Y82" s="247"/>
      <c r="Z82" s="247"/>
      <c r="AA82" s="247"/>
      <c r="AB82" s="137"/>
      <c r="AC82" s="247"/>
    </row>
    <row r="83" spans="1:29" x14ac:dyDescent="0.15">
      <c r="A83" s="137"/>
      <c r="B83" s="137"/>
      <c r="C83" s="137"/>
      <c r="D83" s="138"/>
      <c r="E83" s="137"/>
      <c r="F83" s="137"/>
      <c r="G83" s="137"/>
      <c r="H83" s="247"/>
      <c r="I83" s="247"/>
      <c r="J83" s="137"/>
      <c r="K83" s="247"/>
      <c r="L83" s="247"/>
      <c r="M83" s="247"/>
      <c r="N83" s="247"/>
      <c r="O83" s="247"/>
      <c r="P83" s="247"/>
      <c r="Q83" s="139" t="str">
        <f t="shared" si="4"/>
        <v/>
      </c>
      <c r="R83" s="247"/>
      <c r="S83" s="247"/>
      <c r="T83" s="140" t="str">
        <f t="shared" si="3"/>
        <v/>
      </c>
      <c r="U83" s="247"/>
      <c r="V83" s="141" t="str">
        <f t="shared" si="5"/>
        <v/>
      </c>
      <c r="W83" s="247"/>
      <c r="X83" s="137"/>
      <c r="Y83" s="247"/>
      <c r="Z83" s="247"/>
      <c r="AA83" s="247"/>
      <c r="AB83" s="137"/>
      <c r="AC83" s="247"/>
    </row>
    <row r="84" spans="1:29" x14ac:dyDescent="0.15">
      <c r="A84" s="137"/>
      <c r="B84" s="137"/>
      <c r="C84" s="137"/>
      <c r="D84" s="138"/>
      <c r="E84" s="137"/>
      <c r="F84" s="137"/>
      <c r="G84" s="137"/>
      <c r="H84" s="247"/>
      <c r="I84" s="247"/>
      <c r="J84" s="137"/>
      <c r="K84" s="247"/>
      <c r="L84" s="247"/>
      <c r="M84" s="247"/>
      <c r="N84" s="247"/>
      <c r="O84" s="247"/>
      <c r="P84" s="247"/>
      <c r="Q84" s="139" t="str">
        <f t="shared" si="4"/>
        <v/>
      </c>
      <c r="R84" s="247"/>
      <c r="S84" s="247"/>
      <c r="T84" s="140" t="str">
        <f t="shared" si="3"/>
        <v/>
      </c>
      <c r="U84" s="247"/>
      <c r="V84" s="141" t="str">
        <f t="shared" si="5"/>
        <v/>
      </c>
      <c r="W84" s="247"/>
      <c r="X84" s="137"/>
      <c r="Y84" s="247"/>
      <c r="Z84" s="247"/>
      <c r="AA84" s="247"/>
      <c r="AB84" s="137"/>
      <c r="AC84" s="247"/>
    </row>
    <row r="85" spans="1:29" x14ac:dyDescent="0.15">
      <c r="A85" s="137"/>
      <c r="B85" s="137"/>
      <c r="C85" s="137"/>
      <c r="D85" s="138"/>
      <c r="E85" s="137"/>
      <c r="F85" s="137"/>
      <c r="G85" s="137"/>
      <c r="H85" s="247"/>
      <c r="I85" s="247"/>
      <c r="J85" s="137"/>
      <c r="K85" s="247"/>
      <c r="L85" s="247"/>
      <c r="M85" s="247"/>
      <c r="N85" s="247"/>
      <c r="O85" s="247"/>
      <c r="P85" s="247"/>
      <c r="Q85" s="139" t="str">
        <f t="shared" si="4"/>
        <v/>
      </c>
      <c r="R85" s="247"/>
      <c r="S85" s="247"/>
      <c r="T85" s="140" t="str">
        <f t="shared" si="3"/>
        <v/>
      </c>
      <c r="U85" s="247"/>
      <c r="V85" s="141" t="str">
        <f t="shared" si="5"/>
        <v/>
      </c>
      <c r="W85" s="247"/>
      <c r="X85" s="137"/>
      <c r="Y85" s="247"/>
      <c r="Z85" s="247"/>
      <c r="AA85" s="247"/>
      <c r="AB85" s="137"/>
      <c r="AC85" s="247"/>
    </row>
    <row r="86" spans="1:29" x14ac:dyDescent="0.15">
      <c r="A86" s="137"/>
      <c r="B86" s="137"/>
      <c r="C86" s="137"/>
      <c r="D86" s="138"/>
      <c r="E86" s="247"/>
      <c r="F86" s="247"/>
      <c r="G86" s="137"/>
      <c r="H86" s="247"/>
      <c r="I86" s="247"/>
      <c r="J86" s="137"/>
      <c r="K86" s="247"/>
      <c r="L86" s="247"/>
      <c r="M86" s="247"/>
      <c r="N86" s="247"/>
      <c r="O86" s="247"/>
      <c r="P86" s="247"/>
      <c r="Q86" s="139"/>
      <c r="R86" s="247"/>
      <c r="S86" s="247"/>
      <c r="T86" s="140"/>
      <c r="U86" s="247"/>
      <c r="V86" s="141"/>
      <c r="W86" s="247"/>
      <c r="X86" s="137"/>
      <c r="Y86" s="247"/>
      <c r="Z86" s="247"/>
      <c r="AA86" s="247"/>
      <c r="AB86" s="137"/>
      <c r="AC86" s="247"/>
    </row>
    <row r="87" spans="1:29" x14ac:dyDescent="0.15">
      <c r="A87" s="137"/>
      <c r="B87" s="137"/>
      <c r="C87" s="137"/>
      <c r="D87" s="138"/>
      <c r="E87" s="247"/>
      <c r="F87" s="247"/>
      <c r="G87" s="137"/>
      <c r="H87" s="247"/>
      <c r="I87" s="247"/>
      <c r="J87" s="137"/>
      <c r="K87" s="247"/>
      <c r="L87" s="247"/>
      <c r="M87" s="247"/>
      <c r="N87" s="247"/>
      <c r="O87" s="247"/>
      <c r="P87" s="247"/>
      <c r="Q87" s="139"/>
      <c r="R87" s="247"/>
      <c r="S87" s="247"/>
      <c r="T87" s="140"/>
      <c r="U87" s="247"/>
      <c r="V87" s="141"/>
      <c r="W87" s="247"/>
      <c r="X87" s="137"/>
      <c r="Y87" s="247"/>
      <c r="Z87" s="247"/>
      <c r="AA87" s="247"/>
      <c r="AB87" s="137"/>
      <c r="AC87" s="247"/>
    </row>
    <row r="88" spans="1:29" x14ac:dyDescent="0.15">
      <c r="A88" s="137"/>
      <c r="B88" s="137"/>
      <c r="C88" s="137"/>
      <c r="D88" s="138"/>
      <c r="E88" s="247"/>
      <c r="F88" s="247"/>
      <c r="G88" s="137"/>
      <c r="H88" s="247"/>
      <c r="I88" s="247"/>
      <c r="J88" s="137"/>
      <c r="K88" s="247"/>
      <c r="L88" s="247"/>
      <c r="M88" s="247"/>
      <c r="N88" s="247"/>
      <c r="O88" s="247"/>
      <c r="P88" s="247"/>
      <c r="Q88" s="139"/>
      <c r="R88" s="247"/>
      <c r="S88" s="247"/>
      <c r="T88" s="140"/>
      <c r="U88" s="247"/>
      <c r="V88" s="141"/>
      <c r="W88" s="247"/>
      <c r="X88" s="137"/>
      <c r="Y88" s="247"/>
      <c r="Z88" s="247"/>
      <c r="AA88" s="247"/>
      <c r="AB88" s="137"/>
      <c r="AC88" s="247"/>
    </row>
    <row r="89" spans="1:29" x14ac:dyDescent="0.15">
      <c r="A89" s="137"/>
      <c r="B89" s="137"/>
      <c r="C89" s="137"/>
      <c r="D89" s="138"/>
      <c r="E89" s="247"/>
      <c r="F89" s="247"/>
      <c r="G89" s="137"/>
      <c r="H89" s="247"/>
      <c r="I89" s="247"/>
      <c r="J89" s="137"/>
      <c r="K89" s="247"/>
      <c r="L89" s="247"/>
      <c r="M89" s="247"/>
      <c r="N89" s="247"/>
      <c r="O89" s="247"/>
      <c r="P89" s="247"/>
      <c r="Q89" s="139"/>
      <c r="R89" s="247"/>
      <c r="S89" s="247"/>
      <c r="T89" s="140"/>
      <c r="U89" s="247"/>
      <c r="V89" s="141"/>
      <c r="W89" s="247"/>
      <c r="X89" s="137"/>
      <c r="Y89" s="247"/>
      <c r="Z89" s="247"/>
      <c r="AA89" s="247"/>
      <c r="AB89" s="137"/>
      <c r="AC89" s="247"/>
    </row>
    <row r="90" spans="1:29" x14ac:dyDescent="0.15">
      <c r="A90" s="137"/>
      <c r="B90" s="137"/>
      <c r="C90" s="137"/>
      <c r="D90" s="138"/>
      <c r="E90" s="247"/>
      <c r="F90" s="247"/>
      <c r="G90" s="137"/>
      <c r="H90" s="247"/>
      <c r="I90" s="247"/>
      <c r="J90" s="137"/>
      <c r="K90" s="247"/>
      <c r="L90" s="247"/>
      <c r="M90" s="247"/>
      <c r="N90" s="247"/>
      <c r="O90" s="247"/>
      <c r="P90" s="247"/>
      <c r="Q90" s="139"/>
      <c r="R90" s="247"/>
      <c r="S90" s="247"/>
      <c r="T90" s="140"/>
      <c r="U90" s="247"/>
      <c r="V90" s="141"/>
      <c r="W90" s="247"/>
      <c r="X90" s="137"/>
      <c r="Y90" s="247"/>
      <c r="Z90" s="247"/>
      <c r="AA90" s="247"/>
      <c r="AB90" s="137"/>
      <c r="AC90" s="247"/>
    </row>
    <row r="91" spans="1:29" x14ac:dyDescent="0.15">
      <c r="A91" s="137"/>
      <c r="B91" s="137"/>
      <c r="C91" s="137"/>
      <c r="D91" s="138"/>
      <c r="E91" s="247"/>
      <c r="F91" s="247"/>
      <c r="G91" s="137"/>
      <c r="H91" s="247"/>
      <c r="I91" s="247"/>
      <c r="J91" s="137"/>
      <c r="K91" s="247"/>
      <c r="L91" s="247"/>
      <c r="M91" s="247"/>
      <c r="N91" s="247"/>
      <c r="O91" s="247"/>
      <c r="P91" s="247"/>
      <c r="Q91" s="139"/>
      <c r="R91" s="247"/>
      <c r="S91" s="247"/>
      <c r="T91" s="140"/>
      <c r="U91" s="247"/>
      <c r="V91" s="141"/>
      <c r="W91" s="247"/>
      <c r="X91" s="137"/>
      <c r="Y91" s="247"/>
      <c r="Z91" s="247"/>
      <c r="AA91" s="247"/>
      <c r="AB91" s="137"/>
      <c r="AC91" s="247"/>
    </row>
    <row r="92" spans="1:29" x14ac:dyDescent="0.15">
      <c r="A92" s="137"/>
      <c r="B92" s="137"/>
      <c r="C92" s="137"/>
      <c r="D92" s="138"/>
      <c r="E92" s="247"/>
      <c r="F92" s="247"/>
      <c r="G92" s="137"/>
      <c r="H92" s="247"/>
      <c r="I92" s="247"/>
      <c r="J92" s="137"/>
      <c r="K92" s="247"/>
      <c r="L92" s="247"/>
      <c r="M92" s="247"/>
      <c r="N92" s="247"/>
      <c r="O92" s="247"/>
      <c r="P92" s="247"/>
      <c r="Q92" s="139"/>
      <c r="R92" s="247"/>
      <c r="S92" s="247"/>
      <c r="T92" s="140"/>
      <c r="U92" s="247"/>
      <c r="V92" s="141"/>
      <c r="W92" s="247"/>
      <c r="X92" s="137"/>
      <c r="Y92" s="247"/>
      <c r="Z92" s="247"/>
      <c r="AA92" s="247"/>
      <c r="AB92" s="137"/>
      <c r="AC92" s="247"/>
    </row>
    <row r="93" spans="1:29" x14ac:dyDescent="0.15">
      <c r="A93" s="137"/>
      <c r="B93" s="137"/>
      <c r="C93" s="137"/>
      <c r="D93" s="138"/>
      <c r="E93" s="247"/>
      <c r="F93" s="247"/>
      <c r="G93" s="137"/>
      <c r="H93" s="247"/>
      <c r="I93" s="247"/>
      <c r="J93" s="137"/>
      <c r="K93" s="247"/>
      <c r="L93" s="247"/>
      <c r="M93" s="247"/>
      <c r="N93" s="247"/>
      <c r="O93" s="247"/>
      <c r="P93" s="247"/>
      <c r="Q93" s="139"/>
      <c r="R93" s="247"/>
      <c r="S93" s="247"/>
      <c r="T93" s="140"/>
      <c r="U93" s="247"/>
      <c r="V93" s="141"/>
      <c r="W93" s="247"/>
      <c r="X93" s="137"/>
      <c r="Y93" s="247"/>
      <c r="Z93" s="247"/>
      <c r="AA93" s="247"/>
      <c r="AB93" s="137"/>
      <c r="AC93" s="247"/>
    </row>
    <row r="94" spans="1:29" x14ac:dyDescent="0.15">
      <c r="A94" s="137"/>
      <c r="B94" s="137"/>
      <c r="C94" s="137"/>
      <c r="D94" s="138"/>
      <c r="E94" s="247"/>
      <c r="F94" s="247"/>
      <c r="G94" s="137"/>
      <c r="H94" s="247"/>
      <c r="I94" s="247"/>
      <c r="J94" s="137"/>
      <c r="K94" s="247"/>
      <c r="L94" s="247"/>
      <c r="M94" s="247"/>
      <c r="N94" s="247"/>
      <c r="O94" s="247"/>
      <c r="P94" s="247"/>
      <c r="Q94" s="139"/>
      <c r="R94" s="247"/>
      <c r="S94" s="247"/>
      <c r="T94" s="140"/>
      <c r="U94" s="247"/>
      <c r="V94" s="141"/>
      <c r="W94" s="247"/>
      <c r="X94" s="137"/>
      <c r="Y94" s="247"/>
      <c r="Z94" s="247"/>
      <c r="AA94" s="247"/>
      <c r="AB94" s="137"/>
      <c r="AC94" s="247"/>
    </row>
    <row r="95" spans="1:29" x14ac:dyDescent="0.15">
      <c r="K95" s="247"/>
      <c r="AC95" s="247"/>
    </row>
    <row r="96" spans="1:29" x14ac:dyDescent="0.15">
      <c r="A96" s="137"/>
      <c r="B96" s="137"/>
      <c r="C96" s="137"/>
      <c r="D96" s="138"/>
      <c r="E96" s="247"/>
      <c r="F96" s="247"/>
      <c r="G96" s="137"/>
      <c r="H96" s="247"/>
      <c r="I96" s="247"/>
      <c r="J96" s="137"/>
      <c r="K96" s="247"/>
      <c r="L96" s="247"/>
      <c r="M96" s="247"/>
      <c r="N96" s="247"/>
      <c r="O96" s="247"/>
      <c r="P96" s="247"/>
      <c r="Q96" s="139"/>
      <c r="R96" s="247"/>
      <c r="S96" s="247"/>
      <c r="T96" s="140"/>
      <c r="U96" s="247"/>
      <c r="V96" s="141"/>
      <c r="W96" s="247"/>
      <c r="X96" s="137"/>
      <c r="Y96" s="247"/>
      <c r="Z96" s="247"/>
      <c r="AA96" s="247"/>
      <c r="AB96" s="137"/>
      <c r="AC96" s="247"/>
    </row>
    <row r="97" spans="1:29" x14ac:dyDescent="0.15">
      <c r="A97" s="137"/>
      <c r="B97" s="137"/>
      <c r="C97" s="137"/>
      <c r="D97" s="138"/>
      <c r="E97" s="247"/>
      <c r="F97" s="247"/>
      <c r="G97" s="137"/>
      <c r="H97" s="247"/>
      <c r="I97" s="247"/>
      <c r="J97" s="137"/>
      <c r="K97" s="247"/>
      <c r="L97" s="247"/>
      <c r="M97" s="247"/>
      <c r="N97" s="247"/>
      <c r="O97" s="247"/>
      <c r="P97" s="247"/>
      <c r="Q97" s="139"/>
      <c r="R97" s="247"/>
      <c r="S97" s="247"/>
      <c r="T97" s="140"/>
      <c r="U97" s="247"/>
      <c r="V97" s="141"/>
      <c r="W97" s="247"/>
      <c r="X97" s="137"/>
      <c r="Y97" s="247"/>
      <c r="Z97" s="247"/>
      <c r="AA97" s="247"/>
      <c r="AB97" s="137"/>
      <c r="AC97" s="247"/>
    </row>
    <row r="98" spans="1:29" x14ac:dyDescent="0.15">
      <c r="A98" s="137"/>
      <c r="B98" s="137"/>
      <c r="C98" s="137"/>
      <c r="D98" s="138"/>
      <c r="E98" s="247"/>
      <c r="F98" s="247"/>
      <c r="G98" s="137"/>
      <c r="H98" s="247"/>
      <c r="I98" s="247"/>
      <c r="J98" s="137"/>
      <c r="K98" s="247"/>
      <c r="L98" s="247"/>
      <c r="M98" s="247"/>
      <c r="N98" s="247"/>
      <c r="O98" s="247"/>
      <c r="P98" s="247"/>
      <c r="Q98" s="139"/>
      <c r="R98" s="247"/>
      <c r="S98" s="247"/>
      <c r="T98" s="140"/>
      <c r="U98" s="247"/>
      <c r="V98" s="141"/>
      <c r="W98" s="247"/>
      <c r="X98" s="137"/>
      <c r="Y98" s="247"/>
      <c r="Z98" s="247"/>
      <c r="AA98" s="247"/>
      <c r="AB98" s="137"/>
      <c r="AC98" s="247"/>
    </row>
    <row r="99" spans="1:29" x14ac:dyDescent="0.15">
      <c r="A99" s="137"/>
      <c r="B99" s="137"/>
      <c r="C99" s="137"/>
      <c r="D99" s="138"/>
      <c r="E99" s="247"/>
      <c r="F99" s="247"/>
      <c r="G99" s="137"/>
      <c r="H99" s="247"/>
      <c r="I99" s="247"/>
      <c r="J99" s="137"/>
      <c r="K99" s="247"/>
      <c r="L99" s="247"/>
      <c r="M99" s="247"/>
      <c r="N99" s="247"/>
      <c r="O99" s="247"/>
      <c r="P99" s="247"/>
      <c r="Q99" s="139"/>
      <c r="R99" s="247"/>
      <c r="S99" s="247"/>
      <c r="T99" s="140"/>
      <c r="U99" s="247"/>
      <c r="V99" s="141"/>
      <c r="W99" s="247"/>
      <c r="X99" s="137"/>
      <c r="Y99" s="247"/>
      <c r="Z99" s="247"/>
      <c r="AA99" s="247"/>
      <c r="AB99" s="137"/>
      <c r="AC99" s="247"/>
    </row>
    <row r="100" spans="1:29" x14ac:dyDescent="0.15">
      <c r="A100" s="137"/>
      <c r="B100" s="137"/>
      <c r="C100" s="137"/>
      <c r="D100" s="138"/>
      <c r="E100" s="247"/>
      <c r="F100" s="247"/>
      <c r="G100" s="137"/>
      <c r="H100" s="247"/>
      <c r="I100" s="247"/>
      <c r="J100" s="137"/>
      <c r="K100" s="247"/>
      <c r="L100" s="247"/>
      <c r="M100" s="247"/>
      <c r="N100" s="247"/>
      <c r="O100" s="247"/>
      <c r="P100" s="247"/>
      <c r="Q100" s="139"/>
      <c r="R100" s="247"/>
      <c r="S100" s="247"/>
      <c r="T100" s="140"/>
      <c r="U100" s="247"/>
      <c r="V100" s="141"/>
      <c r="W100" s="247"/>
      <c r="X100" s="137"/>
      <c r="Y100" s="247"/>
      <c r="Z100" s="247"/>
      <c r="AA100" s="247"/>
      <c r="AB100" s="137"/>
      <c r="AC100" s="247"/>
    </row>
    <row r="101" spans="1:29" x14ac:dyDescent="0.15">
      <c r="A101" s="137"/>
      <c r="B101" s="137"/>
      <c r="C101" s="137"/>
      <c r="D101" s="138"/>
      <c r="E101" s="247"/>
      <c r="F101" s="247"/>
      <c r="G101" s="137"/>
      <c r="H101" s="247"/>
      <c r="I101" s="247"/>
      <c r="J101" s="137"/>
      <c r="K101" s="247"/>
      <c r="L101" s="247"/>
      <c r="M101" s="247"/>
      <c r="N101" s="247"/>
      <c r="O101" s="247"/>
      <c r="P101" s="247"/>
      <c r="Q101" s="139"/>
      <c r="R101" s="247"/>
      <c r="S101" s="247"/>
      <c r="T101" s="140"/>
      <c r="U101" s="247"/>
      <c r="V101" s="141"/>
      <c r="W101" s="247"/>
      <c r="X101" s="137"/>
      <c r="Y101" s="247"/>
      <c r="Z101" s="247"/>
      <c r="AA101" s="247"/>
      <c r="AB101" s="137"/>
      <c r="AC101" s="247"/>
    </row>
    <row r="102" spans="1:29" x14ac:dyDescent="0.15">
      <c r="A102" s="137"/>
      <c r="B102" s="137"/>
      <c r="C102" s="137"/>
      <c r="D102" s="138"/>
      <c r="E102" s="247"/>
      <c r="F102" s="247"/>
      <c r="G102" s="137"/>
      <c r="H102" s="247"/>
      <c r="I102" s="247"/>
      <c r="J102" s="137"/>
      <c r="K102" s="247"/>
      <c r="L102" s="247"/>
      <c r="M102" s="247"/>
      <c r="N102" s="247"/>
      <c r="O102" s="247"/>
      <c r="P102" s="247"/>
      <c r="Q102" s="139"/>
      <c r="R102" s="247"/>
      <c r="S102" s="247"/>
      <c r="T102" s="140"/>
      <c r="U102" s="247"/>
      <c r="V102" s="141"/>
      <c r="W102" s="247"/>
      <c r="X102" s="137"/>
      <c r="Y102" s="247"/>
      <c r="Z102" s="247"/>
      <c r="AA102" s="247"/>
      <c r="AB102" s="137"/>
      <c r="AC102" s="247"/>
    </row>
    <row r="103" spans="1:29" x14ac:dyDescent="0.15">
      <c r="A103" s="137"/>
      <c r="B103" s="137"/>
      <c r="C103" s="137"/>
      <c r="D103" s="138"/>
      <c r="E103" s="247"/>
      <c r="F103" s="247"/>
      <c r="G103" s="137"/>
      <c r="H103" s="247"/>
      <c r="I103" s="247"/>
      <c r="J103" s="137"/>
      <c r="K103" s="247"/>
      <c r="L103" s="247"/>
      <c r="M103" s="247"/>
      <c r="N103" s="247"/>
      <c r="O103" s="247"/>
      <c r="P103" s="247"/>
      <c r="Q103" s="139"/>
      <c r="R103" s="247"/>
      <c r="S103" s="247"/>
      <c r="T103" s="140"/>
      <c r="U103" s="247"/>
      <c r="V103" s="141"/>
      <c r="W103" s="247"/>
      <c r="X103" s="137"/>
      <c r="Y103" s="247"/>
      <c r="Z103" s="247"/>
      <c r="AA103" s="247"/>
      <c r="AB103" s="137"/>
      <c r="AC103" s="247"/>
    </row>
    <row r="104" spans="1:29" x14ac:dyDescent="0.15">
      <c r="A104" s="137"/>
      <c r="B104" s="137"/>
      <c r="C104" s="137"/>
      <c r="D104" s="138"/>
      <c r="E104" s="247"/>
      <c r="F104" s="247"/>
      <c r="G104" s="137"/>
      <c r="H104" s="247"/>
      <c r="I104" s="247"/>
      <c r="J104" s="137"/>
      <c r="K104" s="247"/>
      <c r="L104" s="247"/>
      <c r="M104" s="247"/>
      <c r="N104" s="247"/>
      <c r="O104" s="247"/>
      <c r="P104" s="247"/>
      <c r="Q104" s="139"/>
      <c r="R104" s="247"/>
      <c r="S104" s="247"/>
      <c r="T104" s="140"/>
      <c r="U104" s="247"/>
      <c r="V104" s="141"/>
      <c r="W104" s="247"/>
      <c r="X104" s="137"/>
      <c r="Y104" s="247"/>
      <c r="Z104" s="247"/>
      <c r="AA104" s="247"/>
      <c r="AB104" s="137"/>
      <c r="AC104" s="247"/>
    </row>
    <row r="105" spans="1:29" x14ac:dyDescent="0.15">
      <c r="A105" s="137"/>
      <c r="B105" s="137"/>
      <c r="C105" s="137"/>
      <c r="D105" s="138"/>
      <c r="E105" s="247"/>
      <c r="F105" s="247"/>
      <c r="G105" s="137"/>
      <c r="H105" s="247"/>
      <c r="I105" s="247"/>
      <c r="J105" s="137"/>
      <c r="K105" s="247"/>
      <c r="L105" s="247"/>
      <c r="M105" s="247"/>
      <c r="N105" s="247"/>
      <c r="O105" s="247"/>
      <c r="P105" s="247"/>
      <c r="Q105" s="139"/>
      <c r="R105" s="247"/>
      <c r="S105" s="247"/>
      <c r="T105" s="140"/>
      <c r="U105" s="247"/>
      <c r="V105" s="141"/>
      <c r="W105" s="247"/>
      <c r="X105" s="137"/>
      <c r="Y105" s="247"/>
      <c r="Z105" s="247"/>
      <c r="AA105" s="247"/>
      <c r="AB105" s="137"/>
      <c r="AC105" s="247"/>
    </row>
    <row r="106" spans="1:29" x14ac:dyDescent="0.15">
      <c r="A106" s="137"/>
      <c r="B106" s="137"/>
      <c r="C106" s="137"/>
      <c r="D106" s="138"/>
      <c r="E106" s="247"/>
      <c r="F106" s="247"/>
      <c r="G106" s="137"/>
      <c r="H106" s="247"/>
      <c r="I106" s="247"/>
      <c r="J106" s="137"/>
      <c r="K106" s="247"/>
      <c r="L106" s="247"/>
      <c r="M106" s="247"/>
      <c r="N106" s="247"/>
      <c r="O106" s="247"/>
      <c r="P106" s="247"/>
      <c r="Q106" s="139"/>
      <c r="R106" s="247"/>
      <c r="S106" s="247"/>
      <c r="T106" s="140"/>
      <c r="U106" s="247"/>
      <c r="V106" s="141"/>
      <c r="W106" s="247"/>
      <c r="X106" s="137"/>
      <c r="Y106" s="247"/>
      <c r="Z106" s="247"/>
      <c r="AA106" s="247"/>
      <c r="AB106" s="137"/>
      <c r="AC106" s="247"/>
    </row>
    <row r="107" spans="1:29" x14ac:dyDescent="0.15">
      <c r="A107" s="137"/>
      <c r="B107" s="137"/>
      <c r="C107" s="137"/>
      <c r="D107" s="138"/>
      <c r="E107" s="247"/>
      <c r="F107" s="247"/>
      <c r="G107" s="137"/>
      <c r="H107" s="247"/>
      <c r="I107" s="247"/>
      <c r="J107" s="137"/>
      <c r="K107" s="247"/>
      <c r="L107" s="247"/>
      <c r="M107" s="247"/>
      <c r="N107" s="247"/>
      <c r="O107" s="247"/>
      <c r="P107" s="247"/>
      <c r="Q107" s="139"/>
      <c r="R107" s="247"/>
      <c r="S107" s="247"/>
      <c r="T107" s="140"/>
      <c r="U107" s="247"/>
      <c r="V107" s="141"/>
      <c r="W107" s="247"/>
      <c r="X107" s="137"/>
      <c r="Y107" s="247"/>
      <c r="Z107" s="247"/>
      <c r="AA107" s="247"/>
      <c r="AB107" s="137"/>
      <c r="AC107" s="247"/>
    </row>
    <row r="108" spans="1:29" x14ac:dyDescent="0.15">
      <c r="A108" s="137"/>
      <c r="B108" s="137"/>
      <c r="C108" s="137"/>
      <c r="D108" s="138"/>
      <c r="E108" s="247"/>
      <c r="F108" s="247"/>
      <c r="G108" s="137"/>
      <c r="H108" s="247"/>
      <c r="I108" s="247"/>
      <c r="J108" s="137"/>
      <c r="K108" s="247"/>
      <c r="L108" s="247"/>
      <c r="M108" s="247"/>
      <c r="N108" s="247"/>
      <c r="O108" s="247"/>
      <c r="P108" s="247"/>
      <c r="Q108" s="139"/>
      <c r="R108" s="247"/>
      <c r="S108" s="247"/>
      <c r="T108" s="140"/>
      <c r="U108" s="247"/>
      <c r="V108" s="141"/>
      <c r="W108" s="247"/>
      <c r="X108" s="137"/>
      <c r="Y108" s="247"/>
      <c r="Z108" s="247"/>
      <c r="AA108" s="247"/>
      <c r="AB108" s="137"/>
      <c r="AC108" s="247"/>
    </row>
    <row r="109" spans="1:29" x14ac:dyDescent="0.15">
      <c r="A109" s="137"/>
      <c r="B109" s="137"/>
      <c r="C109" s="137"/>
      <c r="D109" s="138"/>
      <c r="E109" s="247"/>
      <c r="F109" s="247"/>
      <c r="G109" s="137"/>
      <c r="H109" s="247"/>
      <c r="I109" s="247"/>
      <c r="J109" s="137"/>
      <c r="K109" s="247"/>
      <c r="L109" s="247"/>
      <c r="M109" s="247"/>
      <c r="N109" s="247"/>
      <c r="O109" s="247"/>
      <c r="P109" s="247"/>
      <c r="Q109" s="139"/>
      <c r="R109" s="247"/>
      <c r="S109" s="247"/>
      <c r="T109" s="140"/>
      <c r="U109" s="247"/>
      <c r="V109" s="141"/>
      <c r="W109" s="247"/>
      <c r="X109" s="137"/>
      <c r="Y109" s="247"/>
      <c r="Z109" s="247"/>
      <c r="AA109" s="247"/>
      <c r="AB109" s="137"/>
      <c r="AC109" s="247"/>
    </row>
    <row r="110" spans="1:29" x14ac:dyDescent="0.15">
      <c r="A110" s="137"/>
      <c r="B110" s="137"/>
      <c r="C110" s="137"/>
      <c r="D110" s="138"/>
      <c r="E110" s="247"/>
      <c r="F110" s="247"/>
      <c r="G110" s="137"/>
      <c r="H110" s="247"/>
      <c r="I110" s="247"/>
      <c r="J110" s="137"/>
      <c r="K110" s="247"/>
      <c r="L110" s="247"/>
      <c r="M110" s="247"/>
      <c r="N110" s="247"/>
      <c r="O110" s="247"/>
      <c r="P110" s="247"/>
      <c r="Q110" s="139"/>
      <c r="R110" s="247"/>
      <c r="S110" s="247"/>
      <c r="T110" s="140"/>
      <c r="U110" s="247"/>
      <c r="V110" s="141"/>
      <c r="W110" s="247"/>
      <c r="X110" s="137"/>
      <c r="Y110" s="247"/>
      <c r="Z110" s="247"/>
      <c r="AA110" s="247"/>
      <c r="AB110" s="137"/>
      <c r="AC110" s="247"/>
    </row>
    <row r="111" spans="1:29" x14ac:dyDescent="0.15">
      <c r="A111" s="137"/>
      <c r="B111" s="137"/>
      <c r="C111" s="137"/>
      <c r="D111" s="138"/>
      <c r="E111" s="247"/>
      <c r="F111" s="247"/>
      <c r="G111" s="137"/>
      <c r="H111" s="247"/>
      <c r="I111" s="247"/>
      <c r="J111" s="137"/>
      <c r="K111" s="247"/>
      <c r="L111" s="247"/>
      <c r="M111" s="247"/>
      <c r="N111" s="247"/>
      <c r="O111" s="247"/>
      <c r="P111" s="247"/>
      <c r="Q111" s="139"/>
      <c r="R111" s="247"/>
      <c r="S111" s="247"/>
      <c r="T111" s="140"/>
      <c r="U111" s="247"/>
      <c r="V111" s="141"/>
      <c r="W111" s="247"/>
      <c r="X111" s="137"/>
      <c r="Y111" s="247"/>
      <c r="Z111" s="247"/>
      <c r="AA111" s="247"/>
      <c r="AB111" s="137"/>
      <c r="AC111" s="247"/>
    </row>
    <row r="112" spans="1:29" x14ac:dyDescent="0.15">
      <c r="A112" s="137"/>
      <c r="B112" s="137"/>
      <c r="C112" s="137"/>
      <c r="D112" s="138"/>
      <c r="E112" s="247"/>
      <c r="F112" s="247"/>
      <c r="G112" s="137"/>
      <c r="H112" s="247"/>
      <c r="I112" s="247"/>
      <c r="J112" s="137"/>
      <c r="K112" s="247"/>
      <c r="L112" s="247"/>
      <c r="M112" s="247"/>
      <c r="N112" s="247"/>
      <c r="O112" s="247"/>
      <c r="P112" s="247"/>
      <c r="Q112" s="139"/>
      <c r="R112" s="247"/>
      <c r="S112" s="247"/>
      <c r="T112" s="140"/>
      <c r="U112" s="247"/>
      <c r="V112" s="141"/>
      <c r="W112" s="247"/>
      <c r="X112" s="137"/>
      <c r="Y112" s="247"/>
      <c r="Z112" s="247"/>
      <c r="AA112" s="247"/>
      <c r="AB112" s="137"/>
      <c r="AC112" s="247"/>
    </row>
    <row r="113" spans="1:29" x14ac:dyDescent="0.15">
      <c r="A113" s="247"/>
      <c r="B113" s="247"/>
      <c r="C113" s="247"/>
      <c r="D113" s="247"/>
      <c r="E113" s="247"/>
      <c r="F113" s="247"/>
      <c r="G113" s="247"/>
      <c r="H113" s="247"/>
      <c r="I113" s="247"/>
      <c r="J113" s="247"/>
      <c r="K113" s="247"/>
      <c r="L113" s="247"/>
      <c r="M113" s="247"/>
      <c r="N113" s="247"/>
      <c r="O113" s="247"/>
      <c r="P113" s="247"/>
      <c r="Q113" s="140"/>
      <c r="R113" s="247"/>
      <c r="S113" s="247"/>
      <c r="T113" s="140"/>
      <c r="U113" s="247"/>
      <c r="V113" s="140"/>
      <c r="W113" s="247"/>
      <c r="X113" s="247"/>
      <c r="Y113" s="247"/>
      <c r="Z113" s="247"/>
      <c r="AA113" s="247"/>
      <c r="AB113" s="247"/>
      <c r="AC113" s="247"/>
    </row>
    <row r="114" spans="1:29" x14ac:dyDescent="0.15">
      <c r="A114" s="247"/>
      <c r="B114" s="247"/>
      <c r="C114" s="247"/>
      <c r="D114" s="247"/>
      <c r="E114" s="247"/>
      <c r="F114" s="247"/>
      <c r="G114" s="247"/>
      <c r="H114" s="247"/>
      <c r="I114" s="247"/>
      <c r="J114" s="247"/>
      <c r="K114" s="247"/>
      <c r="L114" s="247" t="s">
        <v>416</v>
      </c>
      <c r="M114" s="247"/>
      <c r="N114" s="247"/>
      <c r="O114" s="247"/>
      <c r="P114" s="247"/>
      <c r="Q114" s="140"/>
      <c r="R114" s="247"/>
      <c r="S114" s="247"/>
      <c r="T114" s="140"/>
      <c r="U114" s="247"/>
      <c r="V114" s="140"/>
      <c r="W114" s="247"/>
      <c r="X114" s="247"/>
      <c r="Y114" s="247"/>
      <c r="Z114" s="247"/>
      <c r="AA114" s="247"/>
      <c r="AB114" s="247"/>
      <c r="AC114" s="247"/>
    </row>
    <row r="115" spans="1:29" x14ac:dyDescent="0.15">
      <c r="K115" s="247"/>
    </row>
    <row r="116" spans="1:29" x14ac:dyDescent="0.15">
      <c r="K116" s="247"/>
    </row>
    <row r="117" spans="1:29" x14ac:dyDescent="0.15">
      <c r="K117" s="247"/>
    </row>
    <row r="118" spans="1:29" x14ac:dyDescent="0.15">
      <c r="K118" s="247"/>
    </row>
    <row r="119" spans="1:29" x14ac:dyDescent="0.15">
      <c r="K119" s="247"/>
    </row>
    <row r="120" spans="1:29" x14ac:dyDescent="0.15">
      <c r="K120" s="247"/>
    </row>
  </sheetData>
  <autoFilter ref="A1:BA1"/>
  <phoneticPr fontId="3"/>
  <dataValidations count="21">
    <dataValidation type="list" allowBlank="1" showInputMessage="1" showErrorMessage="1" sqref="K2:K120">
      <formula1>$AR$2:$AR$26</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K981814:K98190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K916278:K916367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K850742:K850831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K785206:K785295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K719670:K719759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K654134:K65422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K588598:K588687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K523062:K523151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K457526:K457615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K391990:K392079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K326454:K32654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K260918:K261007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K195382:K195471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K129846:K129935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K64310:K64399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RNW2:RNW73 RXS2:RXS73 SHO2:SHO73 SRK2:SRK73 TBG2:TBG73 TLC2:TLC73 TUY2:TUY73 UEU2:UEU73 UOQ2:UOQ73 UYM2:UYM73 VII2:VII73 VSE2:VSE73 WCA2:WCA73 WLW2:WLW73 WVS2:WVS73">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J981814:J98190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J916278:J916367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J850742:J850831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J785206:J785295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J719670:J719759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J654134:J65422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J588598:J588687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J523062:J523151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J457526:J457615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J391990:J392079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J326454:J32654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J260918:J261007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J195382:J195471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J129846:J129935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J64310:J64399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RNV2:RNV73 RXR2:RXR73 SHN2:SHN73 SRJ2:SRJ73 TBF2:TBF73 TLB2:TLB73 TUX2:TUX73 UET2:UET73 UOP2:UOP73 UYL2:UYL73 VIH2:VIH73 VSD2:VSD73 WBZ2:WBZ73 WLV2:WLV73 WVR2:WVR73">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96:X500 X2:X94">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B96:B112 B2:B94"/>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96:G500 G2:G94">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96:I500 I2:I94">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formula1>$AV$2:$AV$22</formula1>
    </dataValidation>
    <dataValidation type="list" allowBlank="1" showInputMessage="1" showErrorMessage="1" sqref="K121:K500">
      <formula1>$AR$2:$AR$25</formula1>
    </dataValidation>
    <dataValidation type="list" allowBlank="1" showInputMessage="1" showErrorMessage="1" sqref="J96:J500 J2:J94">
      <formula1>$AP$2:$AP$27</formula1>
    </dataValidation>
    <dataValidation type="list" allowBlank="1" showInputMessage="1" showErrorMessage="1" sqref="F96:F500 F2:F94">
      <formula1>$AH$2:$AH$10</formula1>
    </dataValidation>
    <dataValidation type="list" allowBlank="1" showInputMessage="1" showErrorMessage="1" sqref="E96:E500 E2:E94">
      <formula1>$AG$2:$AG$11</formula1>
    </dataValidation>
    <dataValidation type="list" allowBlank="1" showInputMessage="1" showErrorMessage="1" sqref="A96:A500 A2:A94">
      <formula1>$AE$2:$AE$19</formula1>
    </dataValidation>
    <dataValidation type="list" allowBlank="1" showInputMessage="1" showErrorMessage="1" sqref="H96:H500 H2:H94">
      <formula1>$AL$2:$AL$8</formula1>
    </dataValidation>
    <dataValidation type="list" allowBlank="1" showInputMessage="1" showErrorMessage="1" sqref="Y96:AA500 Y2:AA94">
      <formula1>$AV$2:$AV$21</formula1>
    </dataValidation>
    <dataValidation type="decimal" allowBlank="1" showInputMessage="1" showErrorMessage="1" error="硬度を正しく入力して下さい。" sqref="O96:P500 O41:P94 O5:O7 P5:P40 O17:O22">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52"/>
  <sheetViews>
    <sheetView zoomScale="85" zoomScaleNormal="85" workbookViewId="0">
      <selection activeCell="O21" sqref="O21"/>
    </sheetView>
  </sheetViews>
  <sheetFormatPr defaultColWidth="8.875" defaultRowHeight="13.5" x14ac:dyDescent="0.15"/>
  <cols>
    <col min="1" max="3" width="8.875" style="208"/>
    <col min="4" max="4" width="13.5" style="208" bestFit="1" customWidth="1"/>
    <col min="5" max="5" width="9.625" style="208" bestFit="1" customWidth="1"/>
    <col min="6" max="16" width="8.875" style="208"/>
    <col min="17" max="17" width="8.875" style="217"/>
    <col min="18" max="19" width="8.875" style="208"/>
    <col min="20" max="20" width="8.875" style="217"/>
    <col min="21" max="21" width="8.875" style="208"/>
    <col min="22" max="22" width="8.875" style="217"/>
    <col min="23" max="32" width="8.875" style="208"/>
    <col min="33" max="33" width="19.625" style="208" bestFit="1" customWidth="1"/>
    <col min="34" max="259" width="8.875" style="208"/>
    <col min="260" max="260" width="10.5" style="208" bestFit="1" customWidth="1"/>
    <col min="261" max="261" width="9.625" style="208" bestFit="1" customWidth="1"/>
    <col min="262" max="515" width="8.875" style="208"/>
    <col min="516" max="516" width="10.5" style="208" bestFit="1" customWidth="1"/>
    <col min="517" max="517" width="9.625" style="208" bestFit="1" customWidth="1"/>
    <col min="518" max="771" width="8.875" style="208"/>
    <col min="772" max="772" width="10.5" style="208" bestFit="1" customWidth="1"/>
    <col min="773" max="773" width="9.625" style="208" bestFit="1" customWidth="1"/>
    <col min="774" max="1027" width="8.875" style="208"/>
    <col min="1028" max="1028" width="10.5" style="208" bestFit="1" customWidth="1"/>
    <col min="1029" max="1029" width="9.625" style="208" bestFit="1" customWidth="1"/>
    <col min="1030" max="1283" width="8.875" style="208"/>
    <col min="1284" max="1284" width="10.5" style="208" bestFit="1" customWidth="1"/>
    <col min="1285" max="1285" width="9.625" style="208" bestFit="1" customWidth="1"/>
    <col min="1286" max="1539" width="8.875" style="208"/>
    <col min="1540" max="1540" width="10.5" style="208" bestFit="1" customWidth="1"/>
    <col min="1541" max="1541" width="9.625" style="208" bestFit="1" customWidth="1"/>
    <col min="1542" max="1795" width="8.875" style="208"/>
    <col min="1796" max="1796" width="10.5" style="208" bestFit="1" customWidth="1"/>
    <col min="1797" max="1797" width="9.625" style="208" bestFit="1" customWidth="1"/>
    <col min="1798" max="2051" width="8.875" style="208"/>
    <col min="2052" max="2052" width="10.5" style="208" bestFit="1" customWidth="1"/>
    <col min="2053" max="2053" width="9.625" style="208" bestFit="1" customWidth="1"/>
    <col min="2054" max="2307" width="8.875" style="208"/>
    <col min="2308" max="2308" width="10.5" style="208" bestFit="1" customWidth="1"/>
    <col min="2309" max="2309" width="9.625" style="208" bestFit="1" customWidth="1"/>
    <col min="2310" max="2563" width="8.875" style="208"/>
    <col min="2564" max="2564" width="10.5" style="208" bestFit="1" customWidth="1"/>
    <col min="2565" max="2565" width="9.625" style="208" bestFit="1" customWidth="1"/>
    <col min="2566" max="2819" width="8.875" style="208"/>
    <col min="2820" max="2820" width="10.5" style="208" bestFit="1" customWidth="1"/>
    <col min="2821" max="2821" width="9.625" style="208" bestFit="1" customWidth="1"/>
    <col min="2822" max="3075" width="8.875" style="208"/>
    <col min="3076" max="3076" width="10.5" style="208" bestFit="1" customWidth="1"/>
    <col min="3077" max="3077" width="9.625" style="208" bestFit="1" customWidth="1"/>
    <col min="3078" max="3331" width="8.875" style="208"/>
    <col min="3332" max="3332" width="10.5" style="208" bestFit="1" customWidth="1"/>
    <col min="3333" max="3333" width="9.625" style="208" bestFit="1" customWidth="1"/>
    <col min="3334" max="3587" width="8.875" style="208"/>
    <col min="3588" max="3588" width="10.5" style="208" bestFit="1" customWidth="1"/>
    <col min="3589" max="3589" width="9.625" style="208" bestFit="1" customWidth="1"/>
    <col min="3590" max="3843" width="8.875" style="208"/>
    <col min="3844" max="3844" width="10.5" style="208" bestFit="1" customWidth="1"/>
    <col min="3845" max="3845" width="9.625" style="208" bestFit="1" customWidth="1"/>
    <col min="3846" max="4099" width="8.875" style="208"/>
    <col min="4100" max="4100" width="10.5" style="208" bestFit="1" customWidth="1"/>
    <col min="4101" max="4101" width="9.625" style="208" bestFit="1" customWidth="1"/>
    <col min="4102" max="4355" width="8.875" style="208"/>
    <col min="4356" max="4356" width="10.5" style="208" bestFit="1" customWidth="1"/>
    <col min="4357" max="4357" width="9.625" style="208" bestFit="1" customWidth="1"/>
    <col min="4358" max="4611" width="8.875" style="208"/>
    <col min="4612" max="4612" width="10.5" style="208" bestFit="1" customWidth="1"/>
    <col min="4613" max="4613" width="9.625" style="208" bestFit="1" customWidth="1"/>
    <col min="4614" max="4867" width="8.875" style="208"/>
    <col min="4868" max="4868" width="10.5" style="208" bestFit="1" customWidth="1"/>
    <col min="4869" max="4869" width="9.625" style="208" bestFit="1" customWidth="1"/>
    <col min="4870" max="5123" width="8.875" style="208"/>
    <col min="5124" max="5124" width="10.5" style="208" bestFit="1" customWidth="1"/>
    <col min="5125" max="5125" width="9.625" style="208" bestFit="1" customWidth="1"/>
    <col min="5126" max="5379" width="8.875" style="208"/>
    <col min="5380" max="5380" width="10.5" style="208" bestFit="1" customWidth="1"/>
    <col min="5381" max="5381" width="9.625" style="208" bestFit="1" customWidth="1"/>
    <col min="5382" max="5635" width="8.875" style="208"/>
    <col min="5636" max="5636" width="10.5" style="208" bestFit="1" customWidth="1"/>
    <col min="5637" max="5637" width="9.625" style="208" bestFit="1" customWidth="1"/>
    <col min="5638" max="5891" width="8.875" style="208"/>
    <col min="5892" max="5892" width="10.5" style="208" bestFit="1" customWidth="1"/>
    <col min="5893" max="5893" width="9.625" style="208" bestFit="1" customWidth="1"/>
    <col min="5894" max="6147" width="8.875" style="208"/>
    <col min="6148" max="6148" width="10.5" style="208" bestFit="1" customWidth="1"/>
    <col min="6149" max="6149" width="9.625" style="208" bestFit="1" customWidth="1"/>
    <col min="6150" max="6403" width="8.875" style="208"/>
    <col min="6404" max="6404" width="10.5" style="208" bestFit="1" customWidth="1"/>
    <col min="6405" max="6405" width="9.625" style="208" bestFit="1" customWidth="1"/>
    <col min="6406" max="6659" width="8.875" style="208"/>
    <col min="6660" max="6660" width="10.5" style="208" bestFit="1" customWidth="1"/>
    <col min="6661" max="6661" width="9.625" style="208" bestFit="1" customWidth="1"/>
    <col min="6662" max="6915" width="8.875" style="208"/>
    <col min="6916" max="6916" width="10.5" style="208" bestFit="1" customWidth="1"/>
    <col min="6917" max="6917" width="9.625" style="208" bestFit="1" customWidth="1"/>
    <col min="6918" max="7171" width="8.875" style="208"/>
    <col min="7172" max="7172" width="10.5" style="208" bestFit="1" customWidth="1"/>
    <col min="7173" max="7173" width="9.625" style="208" bestFit="1" customWidth="1"/>
    <col min="7174" max="7427" width="8.875" style="208"/>
    <col min="7428" max="7428" width="10.5" style="208" bestFit="1" customWidth="1"/>
    <col min="7429" max="7429" width="9.625" style="208" bestFit="1" customWidth="1"/>
    <col min="7430" max="7683" width="8.875" style="208"/>
    <col min="7684" max="7684" width="10.5" style="208" bestFit="1" customWidth="1"/>
    <col min="7685" max="7685" width="9.625" style="208" bestFit="1" customWidth="1"/>
    <col min="7686" max="7939" width="8.875" style="208"/>
    <col min="7940" max="7940" width="10.5" style="208" bestFit="1" customWidth="1"/>
    <col min="7941" max="7941" width="9.625" style="208" bestFit="1" customWidth="1"/>
    <col min="7942" max="8195" width="8.875" style="208"/>
    <col min="8196" max="8196" width="10.5" style="208" bestFit="1" customWidth="1"/>
    <col min="8197" max="8197" width="9.625" style="208" bestFit="1" customWidth="1"/>
    <col min="8198" max="8451" width="8.875" style="208"/>
    <col min="8452" max="8452" width="10.5" style="208" bestFit="1" customWidth="1"/>
    <col min="8453" max="8453" width="9.625" style="208" bestFit="1" customWidth="1"/>
    <col min="8454" max="8707" width="8.875" style="208"/>
    <col min="8708" max="8708" width="10.5" style="208" bestFit="1" customWidth="1"/>
    <col min="8709" max="8709" width="9.625" style="208" bestFit="1" customWidth="1"/>
    <col min="8710" max="8963" width="8.875" style="208"/>
    <col min="8964" max="8964" width="10.5" style="208" bestFit="1" customWidth="1"/>
    <col min="8965" max="8965" width="9.625" style="208" bestFit="1" customWidth="1"/>
    <col min="8966" max="9219" width="8.875" style="208"/>
    <col min="9220" max="9220" width="10.5" style="208" bestFit="1" customWidth="1"/>
    <col min="9221" max="9221" width="9.625" style="208" bestFit="1" customWidth="1"/>
    <col min="9222" max="9475" width="8.875" style="208"/>
    <col min="9476" max="9476" width="10.5" style="208" bestFit="1" customWidth="1"/>
    <col min="9477" max="9477" width="9.625" style="208" bestFit="1" customWidth="1"/>
    <col min="9478" max="9731" width="8.875" style="208"/>
    <col min="9732" max="9732" width="10.5" style="208" bestFit="1" customWidth="1"/>
    <col min="9733" max="9733" width="9.625" style="208" bestFit="1" customWidth="1"/>
    <col min="9734" max="9987" width="8.875" style="208"/>
    <col min="9988" max="9988" width="10.5" style="208" bestFit="1" customWidth="1"/>
    <col min="9989" max="9989" width="9.625" style="208" bestFit="1" customWidth="1"/>
    <col min="9990" max="10243" width="8.875" style="208"/>
    <col min="10244" max="10244" width="10.5" style="208" bestFit="1" customWidth="1"/>
    <col min="10245" max="10245" width="9.625" style="208" bestFit="1" customWidth="1"/>
    <col min="10246" max="10499" width="8.875" style="208"/>
    <col min="10500" max="10500" width="10.5" style="208" bestFit="1" customWidth="1"/>
    <col min="10501" max="10501" width="9.625" style="208" bestFit="1" customWidth="1"/>
    <col min="10502" max="10755" width="8.875" style="208"/>
    <col min="10756" max="10756" width="10.5" style="208" bestFit="1" customWidth="1"/>
    <col min="10757" max="10757" width="9.625" style="208" bestFit="1" customWidth="1"/>
    <col min="10758" max="11011" width="8.875" style="208"/>
    <col min="11012" max="11012" width="10.5" style="208" bestFit="1" customWidth="1"/>
    <col min="11013" max="11013" width="9.625" style="208" bestFit="1" customWidth="1"/>
    <col min="11014" max="11267" width="8.875" style="208"/>
    <col min="11268" max="11268" width="10.5" style="208" bestFit="1" customWidth="1"/>
    <col min="11269" max="11269" width="9.625" style="208" bestFit="1" customWidth="1"/>
    <col min="11270" max="11523" width="8.875" style="208"/>
    <col min="11524" max="11524" width="10.5" style="208" bestFit="1" customWidth="1"/>
    <col min="11525" max="11525" width="9.625" style="208" bestFit="1" customWidth="1"/>
    <col min="11526" max="11779" width="8.875" style="208"/>
    <col min="11780" max="11780" width="10.5" style="208" bestFit="1" customWidth="1"/>
    <col min="11781" max="11781" width="9.625" style="208" bestFit="1" customWidth="1"/>
    <col min="11782" max="12035" width="8.875" style="208"/>
    <col min="12036" max="12036" width="10.5" style="208" bestFit="1" customWidth="1"/>
    <col min="12037" max="12037" width="9.625" style="208" bestFit="1" customWidth="1"/>
    <col min="12038" max="12291" width="8.875" style="208"/>
    <col min="12292" max="12292" width="10.5" style="208" bestFit="1" customWidth="1"/>
    <col min="12293" max="12293" width="9.625" style="208" bestFit="1" customWidth="1"/>
    <col min="12294" max="12547" width="8.875" style="208"/>
    <col min="12548" max="12548" width="10.5" style="208" bestFit="1" customWidth="1"/>
    <col min="12549" max="12549" width="9.625" style="208" bestFit="1" customWidth="1"/>
    <col min="12550" max="12803" width="8.875" style="208"/>
    <col min="12804" max="12804" width="10.5" style="208" bestFit="1" customWidth="1"/>
    <col min="12805" max="12805" width="9.625" style="208" bestFit="1" customWidth="1"/>
    <col min="12806" max="13059" width="8.875" style="208"/>
    <col min="13060" max="13060" width="10.5" style="208" bestFit="1" customWidth="1"/>
    <col min="13061" max="13061" width="9.625" style="208" bestFit="1" customWidth="1"/>
    <col min="13062" max="13315" width="8.875" style="208"/>
    <col min="13316" max="13316" width="10.5" style="208" bestFit="1" customWidth="1"/>
    <col min="13317" max="13317" width="9.625" style="208" bestFit="1" customWidth="1"/>
    <col min="13318" max="13571" width="8.875" style="208"/>
    <col min="13572" max="13572" width="10.5" style="208" bestFit="1" customWidth="1"/>
    <col min="13573" max="13573" width="9.625" style="208" bestFit="1" customWidth="1"/>
    <col min="13574" max="13827" width="8.875" style="208"/>
    <col min="13828" max="13828" width="10.5" style="208" bestFit="1" customWidth="1"/>
    <col min="13829" max="13829" width="9.625" style="208" bestFit="1" customWidth="1"/>
    <col min="13830" max="14083" width="8.875" style="208"/>
    <col min="14084" max="14084" width="10.5" style="208" bestFit="1" customWidth="1"/>
    <col min="14085" max="14085" width="9.625" style="208" bestFit="1" customWidth="1"/>
    <col min="14086" max="14339" width="8.875" style="208"/>
    <col min="14340" max="14340" width="10.5" style="208" bestFit="1" customWidth="1"/>
    <col min="14341" max="14341" width="9.625" style="208" bestFit="1" customWidth="1"/>
    <col min="14342" max="14595" width="8.875" style="208"/>
    <col min="14596" max="14596" width="10.5" style="208" bestFit="1" customWidth="1"/>
    <col min="14597" max="14597" width="9.625" style="208" bestFit="1" customWidth="1"/>
    <col min="14598" max="14851" width="8.875" style="208"/>
    <col min="14852" max="14852" width="10.5" style="208" bestFit="1" customWidth="1"/>
    <col min="14853" max="14853" width="9.625" style="208" bestFit="1" customWidth="1"/>
    <col min="14854" max="15107" width="8.875" style="208"/>
    <col min="15108" max="15108" width="10.5" style="208" bestFit="1" customWidth="1"/>
    <col min="15109" max="15109" width="9.625" style="208" bestFit="1" customWidth="1"/>
    <col min="15110" max="15363" width="8.875" style="208"/>
    <col min="15364" max="15364" width="10.5" style="208" bestFit="1" customWidth="1"/>
    <col min="15365" max="15365" width="9.625" style="208" bestFit="1" customWidth="1"/>
    <col min="15366" max="15619" width="8.875" style="208"/>
    <col min="15620" max="15620" width="10.5" style="208" bestFit="1" customWidth="1"/>
    <col min="15621" max="15621" width="9.625" style="208" bestFit="1" customWidth="1"/>
    <col min="15622" max="15875" width="8.875" style="208"/>
    <col min="15876" max="15876" width="10.5" style="208" bestFit="1" customWidth="1"/>
    <col min="15877" max="15877" width="9.625" style="208" bestFit="1" customWidth="1"/>
    <col min="15878" max="16131" width="8.875" style="208"/>
    <col min="16132" max="16132" width="10.5" style="208" bestFit="1" customWidth="1"/>
    <col min="16133" max="16133" width="9.625" style="208" bestFit="1" customWidth="1"/>
    <col min="16134" max="16384" width="8.875" style="208"/>
  </cols>
  <sheetData>
    <row r="1" spans="1:53" ht="45" x14ac:dyDescent="0.15">
      <c r="A1" s="240" t="s">
        <v>0</v>
      </c>
      <c r="B1" s="202" t="s">
        <v>1</v>
      </c>
      <c r="C1" s="202" t="s">
        <v>285</v>
      </c>
      <c r="D1" s="203" t="s">
        <v>3</v>
      </c>
      <c r="E1" s="241" t="s">
        <v>4</v>
      </c>
      <c r="F1" s="241" t="s">
        <v>5</v>
      </c>
      <c r="G1" s="241" t="s">
        <v>6</v>
      </c>
      <c r="H1" s="241" t="s">
        <v>7</v>
      </c>
      <c r="I1" s="241" t="s">
        <v>8</v>
      </c>
      <c r="J1" s="241" t="s">
        <v>9</v>
      </c>
      <c r="K1" s="241" t="s">
        <v>10</v>
      </c>
      <c r="L1" s="203" t="s">
        <v>159</v>
      </c>
      <c r="M1" s="203" t="s">
        <v>12</v>
      </c>
      <c r="N1" s="203" t="s">
        <v>417</v>
      </c>
      <c r="O1" s="203" t="s">
        <v>270</v>
      </c>
      <c r="P1" s="203" t="s">
        <v>15</v>
      </c>
      <c r="Q1" s="204" t="s">
        <v>16</v>
      </c>
      <c r="R1" s="203" t="s">
        <v>354</v>
      </c>
      <c r="S1" s="203" t="s">
        <v>286</v>
      </c>
      <c r="T1" s="204" t="s">
        <v>19</v>
      </c>
      <c r="U1" s="205" t="s">
        <v>329</v>
      </c>
      <c r="V1" s="206" t="s">
        <v>20</v>
      </c>
      <c r="W1" s="203" t="s">
        <v>21</v>
      </c>
      <c r="X1" s="241" t="s">
        <v>22</v>
      </c>
      <c r="Y1" s="241" t="s">
        <v>23</v>
      </c>
      <c r="Z1" s="241" t="s">
        <v>24</v>
      </c>
      <c r="AA1" s="242" t="s">
        <v>25</v>
      </c>
      <c r="AB1" s="207" t="s">
        <v>160</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161</v>
      </c>
      <c r="AY1" s="214" t="s">
        <v>162</v>
      </c>
      <c r="AZ1" s="214" t="s">
        <v>163</v>
      </c>
      <c r="BA1" s="215" t="s">
        <v>173</v>
      </c>
    </row>
    <row r="2" spans="1:53" x14ac:dyDescent="0.15">
      <c r="A2" s="208" t="s">
        <v>59</v>
      </c>
      <c r="B2" s="237" t="s">
        <v>349</v>
      </c>
      <c r="C2" s="152">
        <v>2018</v>
      </c>
      <c r="D2" s="153" t="s">
        <v>418</v>
      </c>
      <c r="E2" s="208" t="s">
        <v>419</v>
      </c>
      <c r="F2" s="208" t="s">
        <v>313</v>
      </c>
      <c r="G2" s="208" t="s">
        <v>36</v>
      </c>
      <c r="H2" s="208" t="s">
        <v>164</v>
      </c>
      <c r="I2" s="208" t="s">
        <v>155</v>
      </c>
      <c r="J2" s="208" t="s">
        <v>38</v>
      </c>
      <c r="K2" s="208" t="s">
        <v>156</v>
      </c>
      <c r="L2" s="208">
        <v>1</v>
      </c>
      <c r="N2" s="208">
        <v>4</v>
      </c>
      <c r="O2" s="208">
        <v>0.5</v>
      </c>
      <c r="P2" s="208">
        <v>0.4</v>
      </c>
      <c r="Q2" s="245">
        <f>IF(OR(O2="",P2=""),"",AVERAGE(O2,P2))</f>
        <v>0.45</v>
      </c>
      <c r="R2" s="208">
        <v>16.100000000000001</v>
      </c>
      <c r="S2" s="208">
        <v>136</v>
      </c>
      <c r="T2" s="217">
        <f t="shared" ref="T2:T73" si="0">IF(H2="","",IF(OR(H2="GREEN",H2="GK"),IF(S2&gt;=$AX$2,VLOOKUP(S2,$AX$2:$AY$12,2,1),""),IF(S2&gt;=$AZ$2,VLOOKUP(S2,$AZ$2:$BA$12,2,1),"")))</f>
        <v>25</v>
      </c>
      <c r="U2" s="208">
        <v>480</v>
      </c>
      <c r="V2" s="217">
        <f t="shared" ref="V2:V70" si="1">IF(J2="","",IF(OR(J2="GREEN",J2="GK"),IF(U2&gt;=$AX$2,VLOOKUP(U2,$AX$2:$AY$12,2,1),""),IF(U2&gt;=$AZ$2,VLOOKUP(U2,$AZ$2:$BA$12,2,1),"")))</f>
        <v>16</v>
      </c>
      <c r="W2" s="208">
        <v>2</v>
      </c>
      <c r="X2" s="208" t="s">
        <v>39</v>
      </c>
      <c r="Y2" s="208" t="s">
        <v>90</v>
      </c>
      <c r="Z2" s="208" t="s">
        <v>69</v>
      </c>
      <c r="AA2" s="208" t="s">
        <v>47</v>
      </c>
      <c r="AB2" s="237" t="s">
        <v>420</v>
      </c>
      <c r="AE2" s="218" t="s">
        <v>35</v>
      </c>
      <c r="AG2" s="154" t="s">
        <v>320</v>
      </c>
      <c r="AH2" s="155" t="s">
        <v>312</v>
      </c>
      <c r="AJ2" s="248" t="s">
        <v>36</v>
      </c>
      <c r="AL2" s="219" t="s">
        <v>127</v>
      </c>
      <c r="AN2" s="156" t="s">
        <v>421</v>
      </c>
      <c r="AP2" s="219" t="s">
        <v>38</v>
      </c>
      <c r="AR2" s="219" t="s">
        <v>422</v>
      </c>
      <c r="AT2" s="248" t="s">
        <v>39</v>
      </c>
      <c r="AV2" s="224" t="s">
        <v>55</v>
      </c>
      <c r="AX2" s="157">
        <v>1</v>
      </c>
      <c r="AY2" s="158">
        <v>50</v>
      </c>
      <c r="AZ2" s="158">
        <v>1</v>
      </c>
      <c r="BA2" s="159">
        <v>50</v>
      </c>
    </row>
    <row r="3" spans="1:53" x14ac:dyDescent="0.15">
      <c r="A3" s="208" t="s">
        <v>59</v>
      </c>
      <c r="B3" s="237" t="s">
        <v>423</v>
      </c>
      <c r="C3" s="152">
        <v>2018</v>
      </c>
      <c r="D3" s="153" t="s">
        <v>424</v>
      </c>
      <c r="E3" s="208" t="s">
        <v>425</v>
      </c>
      <c r="F3" s="208" t="s">
        <v>313</v>
      </c>
      <c r="G3" s="208" t="s">
        <v>36</v>
      </c>
      <c r="H3" s="208" t="s">
        <v>164</v>
      </c>
      <c r="I3" s="208" t="s">
        <v>155</v>
      </c>
      <c r="J3" s="208" t="s">
        <v>38</v>
      </c>
      <c r="K3" s="208" t="s">
        <v>156</v>
      </c>
      <c r="L3" s="208">
        <v>2</v>
      </c>
      <c r="N3" s="208">
        <v>4</v>
      </c>
      <c r="O3" s="208">
        <v>0.56999999999999995</v>
      </c>
      <c r="P3" s="208">
        <v>0.45</v>
      </c>
      <c r="Q3" s="245">
        <f t="shared" ref="Q3:Q73" si="2">IF(OR(O3="",P3=""),"",AVERAGE(O3,P3))</f>
        <v>0.51</v>
      </c>
      <c r="R3" s="208">
        <v>16.600000000000001</v>
      </c>
      <c r="S3" s="208">
        <v>133</v>
      </c>
      <c r="T3" s="217">
        <f t="shared" si="0"/>
        <v>25</v>
      </c>
      <c r="U3" s="208">
        <v>480</v>
      </c>
      <c r="V3" s="217">
        <f t="shared" si="1"/>
        <v>16</v>
      </c>
      <c r="W3" s="208">
        <v>2</v>
      </c>
      <c r="X3" s="208" t="s">
        <v>39</v>
      </c>
      <c r="Y3" s="208" t="s">
        <v>90</v>
      </c>
      <c r="Z3" s="208" t="s">
        <v>69</v>
      </c>
      <c r="AA3" s="208" t="s">
        <v>47</v>
      </c>
      <c r="AB3" s="237" t="s">
        <v>426</v>
      </c>
      <c r="AE3" s="223" t="s">
        <v>41</v>
      </c>
      <c r="AG3" s="154" t="s">
        <v>321</v>
      </c>
      <c r="AH3" s="155" t="s">
        <v>313</v>
      </c>
      <c r="AJ3" s="224" t="s">
        <v>42</v>
      </c>
      <c r="AL3" s="224" t="s">
        <v>128</v>
      </c>
      <c r="AN3" s="224" t="s">
        <v>43</v>
      </c>
      <c r="AP3" s="224" t="s">
        <v>44</v>
      </c>
      <c r="AR3" s="238" t="s">
        <v>45</v>
      </c>
      <c r="AT3" s="224" t="s">
        <v>46</v>
      </c>
      <c r="AV3" s="224" t="s">
        <v>427</v>
      </c>
      <c r="AX3" s="225">
        <v>72</v>
      </c>
      <c r="AY3" s="226">
        <v>46</v>
      </c>
      <c r="AZ3" s="226">
        <v>71</v>
      </c>
      <c r="BA3" s="227">
        <v>42</v>
      </c>
    </row>
    <row r="4" spans="1:53" x14ac:dyDescent="0.15">
      <c r="A4" s="208" t="s">
        <v>59</v>
      </c>
      <c r="B4" s="237" t="s">
        <v>423</v>
      </c>
      <c r="C4" s="152">
        <v>2018</v>
      </c>
      <c r="D4" s="153" t="s">
        <v>424</v>
      </c>
      <c r="E4" s="208" t="s">
        <v>425</v>
      </c>
      <c r="F4" s="208" t="s">
        <v>313</v>
      </c>
      <c r="G4" s="208" t="s">
        <v>36</v>
      </c>
      <c r="H4" s="208" t="s">
        <v>164</v>
      </c>
      <c r="I4" s="208" t="s">
        <v>428</v>
      </c>
      <c r="J4" s="208" t="s">
        <v>38</v>
      </c>
      <c r="K4" s="208" t="s">
        <v>156</v>
      </c>
      <c r="L4" s="208">
        <v>3</v>
      </c>
      <c r="N4" s="208">
        <v>4</v>
      </c>
      <c r="O4" s="208">
        <v>0.55000000000000004</v>
      </c>
      <c r="P4" s="208">
        <v>0.43</v>
      </c>
      <c r="Q4" s="245">
        <f t="shared" si="2"/>
        <v>0.49</v>
      </c>
      <c r="R4" s="208">
        <v>16.7</v>
      </c>
      <c r="S4" s="208">
        <v>135</v>
      </c>
      <c r="T4" s="217">
        <f t="shared" si="0"/>
        <v>25</v>
      </c>
      <c r="U4" s="208">
        <v>480</v>
      </c>
      <c r="V4" s="217">
        <f t="shared" si="1"/>
        <v>16</v>
      </c>
      <c r="W4" s="208">
        <v>2</v>
      </c>
      <c r="X4" s="208" t="s">
        <v>39</v>
      </c>
      <c r="Y4" s="208" t="s">
        <v>90</v>
      </c>
      <c r="Z4" s="208" t="s">
        <v>69</v>
      </c>
      <c r="AA4" s="208" t="s">
        <v>47</v>
      </c>
      <c r="AB4" s="237" t="s">
        <v>426</v>
      </c>
      <c r="AE4" s="223" t="s">
        <v>34</v>
      </c>
      <c r="AG4" s="154" t="s">
        <v>322</v>
      </c>
      <c r="AH4" s="155" t="s">
        <v>314</v>
      </c>
      <c r="AJ4" s="228" t="s">
        <v>48</v>
      </c>
      <c r="AL4" s="228" t="s">
        <v>129</v>
      </c>
      <c r="AN4" s="229" t="s">
        <v>49</v>
      </c>
      <c r="AP4" s="224" t="s">
        <v>429</v>
      </c>
      <c r="AR4" s="238" t="s">
        <v>271</v>
      </c>
      <c r="AT4" s="229"/>
      <c r="AV4" s="224" t="s">
        <v>430</v>
      </c>
      <c r="AX4" s="225">
        <v>75</v>
      </c>
      <c r="AY4" s="226">
        <v>42</v>
      </c>
      <c r="AZ4" s="226">
        <v>76</v>
      </c>
      <c r="BA4" s="227">
        <v>39</v>
      </c>
    </row>
    <row r="5" spans="1:53" x14ac:dyDescent="0.15">
      <c r="A5" s="208" t="s">
        <v>59</v>
      </c>
      <c r="B5" s="237" t="s">
        <v>423</v>
      </c>
      <c r="C5" s="152">
        <v>2018</v>
      </c>
      <c r="D5" s="153" t="s">
        <v>424</v>
      </c>
      <c r="E5" s="208" t="s">
        <v>425</v>
      </c>
      <c r="F5" s="208" t="s">
        <v>313</v>
      </c>
      <c r="G5" s="208" t="s">
        <v>36</v>
      </c>
      <c r="H5" s="208" t="s">
        <v>157</v>
      </c>
      <c r="I5" s="208" t="s">
        <v>155</v>
      </c>
      <c r="J5" s="208" t="s">
        <v>38</v>
      </c>
      <c r="K5" s="208" t="s">
        <v>156</v>
      </c>
      <c r="L5" s="208">
        <v>1</v>
      </c>
      <c r="N5" s="216">
        <v>5</v>
      </c>
      <c r="O5" s="208">
        <v>0.7</v>
      </c>
      <c r="P5" s="208">
        <v>0.65</v>
      </c>
      <c r="Q5" s="245">
        <f t="shared" si="2"/>
        <v>0.67500000000000004</v>
      </c>
      <c r="R5" s="208">
        <v>13.2</v>
      </c>
      <c r="S5" s="208">
        <v>90</v>
      </c>
      <c r="T5" s="217">
        <f t="shared" si="0"/>
        <v>36</v>
      </c>
      <c r="U5" s="208">
        <v>222</v>
      </c>
      <c r="V5" s="217">
        <f t="shared" si="1"/>
        <v>16</v>
      </c>
      <c r="W5" s="208">
        <v>3</v>
      </c>
      <c r="X5" s="208" t="s">
        <v>39</v>
      </c>
      <c r="Y5" s="208" t="s">
        <v>90</v>
      </c>
      <c r="Z5" s="208" t="s">
        <v>69</v>
      </c>
      <c r="AA5" s="208" t="s">
        <v>47</v>
      </c>
      <c r="AB5" s="237" t="s">
        <v>426</v>
      </c>
      <c r="AE5" s="223" t="s">
        <v>51</v>
      </c>
      <c r="AG5" s="154" t="s">
        <v>272</v>
      </c>
      <c r="AH5" s="155" t="s">
        <v>315</v>
      </c>
      <c r="AJ5" s="229"/>
      <c r="AL5" s="230" t="s">
        <v>431</v>
      </c>
      <c r="AN5" s="72" t="s">
        <v>432</v>
      </c>
      <c r="AP5" s="224" t="s">
        <v>433</v>
      </c>
      <c r="AR5" s="238" t="s">
        <v>54</v>
      </c>
      <c r="AV5" s="224" t="s">
        <v>434</v>
      </c>
      <c r="AX5" s="225">
        <v>84</v>
      </c>
      <c r="AY5" s="226">
        <v>39</v>
      </c>
      <c r="AZ5" s="226">
        <v>84</v>
      </c>
      <c r="BA5" s="227">
        <v>36</v>
      </c>
    </row>
    <row r="6" spans="1:53" x14ac:dyDescent="0.15">
      <c r="A6" s="208" t="s">
        <v>59</v>
      </c>
      <c r="B6" s="237" t="s">
        <v>423</v>
      </c>
      <c r="C6" s="152">
        <v>2018</v>
      </c>
      <c r="D6" s="153" t="s">
        <v>424</v>
      </c>
      <c r="E6" s="208" t="s">
        <v>425</v>
      </c>
      <c r="F6" s="208" t="s">
        <v>313</v>
      </c>
      <c r="G6" s="208" t="s">
        <v>36</v>
      </c>
      <c r="H6" s="208" t="s">
        <v>157</v>
      </c>
      <c r="I6" s="208" t="s">
        <v>155</v>
      </c>
      <c r="J6" s="208" t="s">
        <v>38</v>
      </c>
      <c r="K6" s="208" t="s">
        <v>156</v>
      </c>
      <c r="L6" s="208">
        <v>2</v>
      </c>
      <c r="N6" s="216">
        <v>5</v>
      </c>
      <c r="O6" s="208">
        <v>0.5</v>
      </c>
      <c r="P6" s="208">
        <v>0.56000000000000005</v>
      </c>
      <c r="Q6" s="245">
        <f t="shared" si="2"/>
        <v>0.53</v>
      </c>
      <c r="R6" s="208">
        <v>13.3</v>
      </c>
      <c r="S6" s="208">
        <v>93</v>
      </c>
      <c r="T6" s="217">
        <f t="shared" si="0"/>
        <v>36</v>
      </c>
      <c r="U6" s="208">
        <v>222</v>
      </c>
      <c r="V6" s="217">
        <f t="shared" si="1"/>
        <v>16</v>
      </c>
      <c r="W6" s="208">
        <v>3</v>
      </c>
      <c r="X6" s="208" t="s">
        <v>39</v>
      </c>
      <c r="Y6" s="208" t="s">
        <v>90</v>
      </c>
      <c r="Z6" s="208" t="s">
        <v>69</v>
      </c>
      <c r="AA6" s="208" t="s">
        <v>47</v>
      </c>
      <c r="AB6" s="237" t="s">
        <v>426</v>
      </c>
      <c r="AE6" s="223" t="s">
        <v>56</v>
      </c>
      <c r="AG6" s="154" t="s">
        <v>323</v>
      </c>
      <c r="AH6" s="155" t="s">
        <v>316</v>
      </c>
      <c r="AL6" s="230" t="s">
        <v>435</v>
      </c>
      <c r="AN6" s="230" t="s">
        <v>436</v>
      </c>
      <c r="AP6" s="224" t="s">
        <v>53</v>
      </c>
      <c r="AR6" s="238" t="s">
        <v>170</v>
      </c>
      <c r="AV6" s="224" t="s">
        <v>60</v>
      </c>
      <c r="AX6" s="225">
        <v>97</v>
      </c>
      <c r="AY6" s="226">
        <v>36</v>
      </c>
      <c r="AZ6" s="226">
        <v>99</v>
      </c>
      <c r="BA6" s="227">
        <v>33</v>
      </c>
    </row>
    <row r="7" spans="1:53" x14ac:dyDescent="0.15">
      <c r="A7" s="208" t="s">
        <v>59</v>
      </c>
      <c r="B7" s="237" t="s">
        <v>375</v>
      </c>
      <c r="C7" s="152">
        <v>2018</v>
      </c>
      <c r="D7" s="153" t="s">
        <v>437</v>
      </c>
      <c r="E7" s="208" t="s">
        <v>438</v>
      </c>
      <c r="F7" s="208" t="s">
        <v>313</v>
      </c>
      <c r="G7" s="208" t="s">
        <v>36</v>
      </c>
      <c r="H7" s="208" t="s">
        <v>157</v>
      </c>
      <c r="I7" s="208" t="s">
        <v>155</v>
      </c>
      <c r="J7" s="208" t="s">
        <v>38</v>
      </c>
      <c r="K7" s="208" t="s">
        <v>156</v>
      </c>
      <c r="L7" s="208">
        <v>3</v>
      </c>
      <c r="N7" s="216">
        <v>5</v>
      </c>
      <c r="O7" s="208">
        <v>0.55000000000000004</v>
      </c>
      <c r="P7" s="208">
        <v>0.63</v>
      </c>
      <c r="Q7" s="245">
        <f t="shared" si="2"/>
        <v>0.59000000000000008</v>
      </c>
      <c r="R7" s="208">
        <v>13.5</v>
      </c>
      <c r="S7" s="208">
        <v>95</v>
      </c>
      <c r="T7" s="217">
        <f t="shared" si="0"/>
        <v>36</v>
      </c>
      <c r="U7" s="208">
        <v>222</v>
      </c>
      <c r="V7" s="217">
        <f t="shared" si="1"/>
        <v>16</v>
      </c>
      <c r="W7" s="208">
        <v>3</v>
      </c>
      <c r="X7" s="208" t="s">
        <v>39</v>
      </c>
      <c r="Y7" s="208" t="s">
        <v>90</v>
      </c>
      <c r="Z7" s="208" t="s">
        <v>69</v>
      </c>
      <c r="AA7" s="208" t="s">
        <v>47</v>
      </c>
      <c r="AB7" s="237" t="s">
        <v>439</v>
      </c>
      <c r="AE7" s="223" t="s">
        <v>61</v>
      </c>
      <c r="AG7" s="154" t="s">
        <v>324</v>
      </c>
      <c r="AH7" s="155" t="s">
        <v>317</v>
      </c>
      <c r="AL7" s="235" t="s">
        <v>440</v>
      </c>
      <c r="AP7" s="224" t="s">
        <v>58</v>
      </c>
      <c r="AR7" s="231" t="s">
        <v>273</v>
      </c>
      <c r="AV7" s="224" t="s">
        <v>64</v>
      </c>
      <c r="AX7" s="225">
        <v>109</v>
      </c>
      <c r="AY7" s="226">
        <v>33</v>
      </c>
      <c r="AZ7" s="226">
        <v>113</v>
      </c>
      <c r="BA7" s="227">
        <v>30</v>
      </c>
    </row>
    <row r="8" spans="1:53" x14ac:dyDescent="0.15">
      <c r="A8" s="208" t="s">
        <v>59</v>
      </c>
      <c r="B8" s="237" t="s">
        <v>441</v>
      </c>
      <c r="C8" s="152">
        <v>2018</v>
      </c>
      <c r="D8" s="153" t="s">
        <v>442</v>
      </c>
      <c r="E8" s="208" t="s">
        <v>320</v>
      </c>
      <c r="F8" s="208" t="s">
        <v>312</v>
      </c>
      <c r="G8" s="208" t="s">
        <v>36</v>
      </c>
      <c r="H8" s="208" t="s">
        <v>164</v>
      </c>
      <c r="I8" s="208" t="s">
        <v>155</v>
      </c>
      <c r="J8" s="208" t="s">
        <v>38</v>
      </c>
      <c r="K8" s="208" t="s">
        <v>156</v>
      </c>
      <c r="L8" s="208">
        <v>1</v>
      </c>
      <c r="N8" s="208">
        <v>4</v>
      </c>
      <c r="O8" s="208">
        <v>0.55000000000000004</v>
      </c>
      <c r="P8" s="208">
        <v>0.44</v>
      </c>
      <c r="Q8" s="245">
        <f t="shared" si="2"/>
        <v>0.495</v>
      </c>
      <c r="R8" s="208">
        <v>15.5</v>
      </c>
      <c r="S8" s="208">
        <v>142</v>
      </c>
      <c r="T8" s="217">
        <f t="shared" si="0"/>
        <v>22</v>
      </c>
      <c r="U8" s="208">
        <v>437</v>
      </c>
      <c r="V8" s="217">
        <f t="shared" si="1"/>
        <v>16</v>
      </c>
      <c r="W8" s="208">
        <v>5</v>
      </c>
      <c r="X8" s="208" t="s">
        <v>39</v>
      </c>
      <c r="Y8" s="208" t="s">
        <v>69</v>
      </c>
      <c r="Z8" s="208" t="s">
        <v>97</v>
      </c>
      <c r="AA8" s="208" t="s">
        <v>88</v>
      </c>
      <c r="AB8" s="237" t="s">
        <v>426</v>
      </c>
      <c r="AE8" s="223" t="s">
        <v>59</v>
      </c>
      <c r="AG8" s="160" t="s">
        <v>325</v>
      </c>
      <c r="AH8" s="155" t="s">
        <v>318</v>
      </c>
      <c r="AL8" s="235" t="s">
        <v>443</v>
      </c>
      <c r="AP8" s="224" t="s">
        <v>62</v>
      </c>
      <c r="AR8" s="238" t="s">
        <v>81</v>
      </c>
      <c r="AV8" s="224" t="s">
        <v>97</v>
      </c>
      <c r="AX8" s="225">
        <v>119</v>
      </c>
      <c r="AY8" s="226">
        <v>30</v>
      </c>
      <c r="AZ8" s="226">
        <v>121</v>
      </c>
      <c r="BA8" s="227">
        <v>27</v>
      </c>
    </row>
    <row r="9" spans="1:53" x14ac:dyDescent="0.15">
      <c r="A9" s="208" t="s">
        <v>59</v>
      </c>
      <c r="B9" s="237" t="s">
        <v>423</v>
      </c>
      <c r="C9" s="152">
        <v>2018</v>
      </c>
      <c r="D9" s="153" t="s">
        <v>424</v>
      </c>
      <c r="E9" s="208" t="s">
        <v>320</v>
      </c>
      <c r="F9" s="208" t="s">
        <v>312</v>
      </c>
      <c r="G9" s="208" t="s">
        <v>36</v>
      </c>
      <c r="H9" s="208" t="s">
        <v>164</v>
      </c>
      <c r="I9" s="208" t="s">
        <v>155</v>
      </c>
      <c r="J9" s="208" t="s">
        <v>38</v>
      </c>
      <c r="K9" s="208" t="s">
        <v>156</v>
      </c>
      <c r="L9" s="208">
        <v>2</v>
      </c>
      <c r="N9" s="208">
        <v>4</v>
      </c>
      <c r="O9" s="208">
        <v>0.33</v>
      </c>
      <c r="P9" s="208">
        <v>0.36</v>
      </c>
      <c r="Q9" s="245">
        <f t="shared" si="2"/>
        <v>0.34499999999999997</v>
      </c>
      <c r="R9" s="208">
        <v>16.100000000000001</v>
      </c>
      <c r="S9" s="208">
        <v>145</v>
      </c>
      <c r="T9" s="217">
        <f t="shared" si="0"/>
        <v>22</v>
      </c>
      <c r="U9" s="208">
        <v>437</v>
      </c>
      <c r="V9" s="217">
        <f t="shared" si="1"/>
        <v>16</v>
      </c>
      <c r="W9" s="208">
        <v>5</v>
      </c>
      <c r="X9" s="208" t="s">
        <v>39</v>
      </c>
      <c r="Y9" s="208" t="s">
        <v>69</v>
      </c>
      <c r="Z9" s="208" t="s">
        <v>97</v>
      </c>
      <c r="AA9" s="208" t="s">
        <v>88</v>
      </c>
      <c r="AB9" s="237" t="s">
        <v>426</v>
      </c>
      <c r="AE9" s="223" t="s">
        <v>98</v>
      </c>
      <c r="AG9" s="160" t="s">
        <v>326</v>
      </c>
      <c r="AH9" s="155" t="s">
        <v>318</v>
      </c>
      <c r="AL9" s="230"/>
      <c r="AP9" s="224" t="s">
        <v>275</v>
      </c>
      <c r="AR9" s="231" t="s">
        <v>89</v>
      </c>
      <c r="AV9" s="224" t="s">
        <v>102</v>
      </c>
      <c r="AX9" s="225">
        <v>128</v>
      </c>
      <c r="AY9" s="226">
        <v>27</v>
      </c>
      <c r="AZ9" s="226">
        <v>129</v>
      </c>
      <c r="BA9" s="227">
        <v>25</v>
      </c>
    </row>
    <row r="10" spans="1:53" x14ac:dyDescent="0.15">
      <c r="A10" s="208" t="s">
        <v>59</v>
      </c>
      <c r="B10" s="237" t="s">
        <v>370</v>
      </c>
      <c r="C10" s="152">
        <v>2018</v>
      </c>
      <c r="D10" s="153" t="s">
        <v>444</v>
      </c>
      <c r="E10" s="208" t="s">
        <v>320</v>
      </c>
      <c r="F10" s="208" t="s">
        <v>312</v>
      </c>
      <c r="G10" s="208" t="s">
        <v>36</v>
      </c>
      <c r="H10" s="208" t="s">
        <v>164</v>
      </c>
      <c r="I10" s="208" t="s">
        <v>155</v>
      </c>
      <c r="J10" s="208" t="s">
        <v>38</v>
      </c>
      <c r="K10" s="208" t="s">
        <v>156</v>
      </c>
      <c r="L10" s="208">
        <v>3</v>
      </c>
      <c r="N10" s="208">
        <v>4</v>
      </c>
      <c r="O10" s="208">
        <v>0.47</v>
      </c>
      <c r="P10" s="208">
        <v>0.55000000000000004</v>
      </c>
      <c r="Q10" s="245">
        <f t="shared" si="2"/>
        <v>0.51</v>
      </c>
      <c r="R10" s="208">
        <v>15.9</v>
      </c>
      <c r="S10" s="208">
        <v>144</v>
      </c>
      <c r="T10" s="217">
        <f t="shared" si="0"/>
        <v>22</v>
      </c>
      <c r="U10" s="208">
        <v>437</v>
      </c>
      <c r="V10" s="217">
        <f t="shared" si="1"/>
        <v>16</v>
      </c>
      <c r="W10" s="208">
        <v>5</v>
      </c>
      <c r="X10" s="208" t="s">
        <v>39</v>
      </c>
      <c r="Y10" s="208" t="s">
        <v>69</v>
      </c>
      <c r="Z10" s="208" t="s">
        <v>97</v>
      </c>
      <c r="AA10" s="208" t="s">
        <v>88</v>
      </c>
      <c r="AB10" s="237" t="s">
        <v>426</v>
      </c>
      <c r="AE10" s="223" t="s">
        <v>103</v>
      </c>
      <c r="AG10" s="154" t="s">
        <v>327</v>
      </c>
      <c r="AH10" s="155" t="s">
        <v>315</v>
      </c>
      <c r="AL10" s="88"/>
      <c r="AP10" s="224" t="s">
        <v>100</v>
      </c>
      <c r="AR10" s="231" t="s">
        <v>123</v>
      </c>
      <c r="AV10" s="224" t="s">
        <v>106</v>
      </c>
      <c r="AX10" s="225">
        <v>138</v>
      </c>
      <c r="AY10" s="226">
        <v>25</v>
      </c>
      <c r="AZ10" s="226">
        <v>138</v>
      </c>
      <c r="BA10" s="227">
        <v>22</v>
      </c>
    </row>
    <row r="11" spans="1:53" x14ac:dyDescent="0.15">
      <c r="A11" s="208" t="s">
        <v>59</v>
      </c>
      <c r="B11" s="237" t="s">
        <v>423</v>
      </c>
      <c r="C11" s="152">
        <v>2018</v>
      </c>
      <c r="D11" s="153" t="s">
        <v>424</v>
      </c>
      <c r="E11" s="208" t="s">
        <v>320</v>
      </c>
      <c r="F11" s="208" t="s">
        <v>312</v>
      </c>
      <c r="G11" s="208" t="s">
        <v>36</v>
      </c>
      <c r="H11" s="208" t="s">
        <v>157</v>
      </c>
      <c r="I11" s="208" t="s">
        <v>155</v>
      </c>
      <c r="J11" s="208" t="s">
        <v>38</v>
      </c>
      <c r="K11" s="208" t="s">
        <v>156</v>
      </c>
      <c r="L11" s="208">
        <v>1</v>
      </c>
      <c r="N11" s="208">
        <v>4</v>
      </c>
      <c r="O11" s="208">
        <v>0.88</v>
      </c>
      <c r="P11" s="208">
        <v>0.9</v>
      </c>
      <c r="Q11" s="245">
        <f t="shared" si="2"/>
        <v>0.89</v>
      </c>
      <c r="R11" s="208">
        <v>14.3</v>
      </c>
      <c r="S11" s="208">
        <v>104</v>
      </c>
      <c r="T11" s="217">
        <f t="shared" si="0"/>
        <v>33</v>
      </c>
      <c r="U11" s="208">
        <v>297</v>
      </c>
      <c r="V11" s="217">
        <f t="shared" si="1"/>
        <v>16</v>
      </c>
      <c r="W11" s="208">
        <v>8</v>
      </c>
      <c r="X11" s="208" t="s">
        <v>39</v>
      </c>
      <c r="Y11" s="208" t="s">
        <v>69</v>
      </c>
      <c r="Z11" s="208" t="s">
        <v>97</v>
      </c>
      <c r="AA11" s="208" t="s">
        <v>88</v>
      </c>
      <c r="AB11" s="237" t="s">
        <v>426</v>
      </c>
      <c r="AE11" s="223" t="s">
        <v>65</v>
      </c>
      <c r="AG11" s="160" t="s">
        <v>328</v>
      </c>
      <c r="AH11" s="155" t="s">
        <v>319</v>
      </c>
      <c r="AL11" s="88"/>
      <c r="AP11" s="224" t="s">
        <v>274</v>
      </c>
      <c r="AR11" s="231" t="s">
        <v>276</v>
      </c>
      <c r="AV11" s="224" t="s">
        <v>445</v>
      </c>
      <c r="AX11" s="225">
        <v>151</v>
      </c>
      <c r="AY11" s="226">
        <v>22</v>
      </c>
      <c r="AZ11" s="226">
        <v>152</v>
      </c>
      <c r="BA11" s="227">
        <v>18</v>
      </c>
    </row>
    <row r="12" spans="1:53" x14ac:dyDescent="0.15">
      <c r="A12" s="208" t="s">
        <v>59</v>
      </c>
      <c r="B12" s="237" t="s">
        <v>446</v>
      </c>
      <c r="C12" s="152">
        <v>2018</v>
      </c>
      <c r="D12" s="153" t="s">
        <v>447</v>
      </c>
      <c r="E12" s="208" t="s">
        <v>320</v>
      </c>
      <c r="F12" s="208" t="s">
        <v>312</v>
      </c>
      <c r="G12" s="208" t="s">
        <v>36</v>
      </c>
      <c r="H12" s="208" t="s">
        <v>157</v>
      </c>
      <c r="I12" s="208" t="s">
        <v>155</v>
      </c>
      <c r="J12" s="208" t="s">
        <v>38</v>
      </c>
      <c r="K12" s="208" t="s">
        <v>156</v>
      </c>
      <c r="L12" s="208">
        <v>2</v>
      </c>
      <c r="N12" s="208">
        <v>4</v>
      </c>
      <c r="O12" s="208">
        <v>0.63</v>
      </c>
      <c r="P12" s="208">
        <v>0.82</v>
      </c>
      <c r="Q12" s="245">
        <f t="shared" si="2"/>
        <v>0.72499999999999998</v>
      </c>
      <c r="R12" s="208">
        <v>15</v>
      </c>
      <c r="S12" s="208">
        <v>96</v>
      </c>
      <c r="T12" s="217">
        <f t="shared" si="0"/>
        <v>36</v>
      </c>
      <c r="U12" s="208">
        <v>297</v>
      </c>
      <c r="V12" s="217">
        <f t="shared" si="1"/>
        <v>16</v>
      </c>
      <c r="W12" s="208">
        <v>8</v>
      </c>
      <c r="X12" s="208" t="s">
        <v>39</v>
      </c>
      <c r="Y12" s="208" t="s">
        <v>69</v>
      </c>
      <c r="Z12" s="208" t="s">
        <v>97</v>
      </c>
      <c r="AA12" s="208" t="s">
        <v>88</v>
      </c>
      <c r="AB12" s="237" t="s">
        <v>426</v>
      </c>
      <c r="AE12" s="223" t="s">
        <v>70</v>
      </c>
      <c r="AG12" s="231"/>
      <c r="AH12" s="161"/>
      <c r="AL12" s="88"/>
      <c r="AP12" s="224" t="s">
        <v>67</v>
      </c>
      <c r="AR12" s="231" t="s">
        <v>124</v>
      </c>
      <c r="AV12" s="224" t="s">
        <v>72</v>
      </c>
      <c r="AX12" s="232">
        <v>180</v>
      </c>
      <c r="AY12" s="233">
        <v>18</v>
      </c>
      <c r="AZ12" s="233">
        <v>181</v>
      </c>
      <c r="BA12" s="234">
        <v>16</v>
      </c>
    </row>
    <row r="13" spans="1:53" x14ac:dyDescent="0.15">
      <c r="A13" s="208" t="s">
        <v>59</v>
      </c>
      <c r="B13" s="237" t="s">
        <v>379</v>
      </c>
      <c r="C13" s="152">
        <v>2018</v>
      </c>
      <c r="D13" s="153" t="s">
        <v>448</v>
      </c>
      <c r="E13" s="208" t="s">
        <v>320</v>
      </c>
      <c r="F13" s="208" t="s">
        <v>312</v>
      </c>
      <c r="G13" s="208" t="s">
        <v>36</v>
      </c>
      <c r="H13" s="208" t="s">
        <v>157</v>
      </c>
      <c r="I13" s="208" t="s">
        <v>155</v>
      </c>
      <c r="J13" s="208" t="s">
        <v>38</v>
      </c>
      <c r="K13" s="208" t="s">
        <v>156</v>
      </c>
      <c r="L13" s="208">
        <v>3</v>
      </c>
      <c r="N13" s="208">
        <v>4</v>
      </c>
      <c r="O13" s="208">
        <v>0.85</v>
      </c>
      <c r="P13" s="208">
        <v>0.91</v>
      </c>
      <c r="Q13" s="245">
        <f t="shared" si="2"/>
        <v>0.88</v>
      </c>
      <c r="R13" s="208">
        <v>14.3</v>
      </c>
      <c r="S13" s="208">
        <v>106</v>
      </c>
      <c r="T13" s="217">
        <f t="shared" si="0"/>
        <v>33</v>
      </c>
      <c r="U13" s="208">
        <v>297</v>
      </c>
      <c r="V13" s="217">
        <f t="shared" si="1"/>
        <v>16</v>
      </c>
      <c r="W13" s="208">
        <v>8</v>
      </c>
      <c r="X13" s="208" t="s">
        <v>39</v>
      </c>
      <c r="Y13" s="208" t="s">
        <v>69</v>
      </c>
      <c r="Z13" s="208" t="s">
        <v>97</v>
      </c>
      <c r="AA13" s="208" t="s">
        <v>88</v>
      </c>
      <c r="AB13" s="237" t="s">
        <v>426</v>
      </c>
      <c r="AE13" s="223" t="s">
        <v>73</v>
      </c>
      <c r="AG13" s="224"/>
      <c r="AH13" s="224"/>
      <c r="AP13" s="224" t="s">
        <v>71</v>
      </c>
      <c r="AR13" s="231" t="s">
        <v>103</v>
      </c>
      <c r="AV13" s="224" t="s">
        <v>75</v>
      </c>
    </row>
    <row r="14" spans="1:53" x14ac:dyDescent="0.15">
      <c r="A14" s="208" t="s">
        <v>59</v>
      </c>
      <c r="B14" s="237" t="s">
        <v>381</v>
      </c>
      <c r="C14" s="152">
        <v>2018</v>
      </c>
      <c r="D14" s="153" t="s">
        <v>449</v>
      </c>
      <c r="E14" s="208" t="s">
        <v>272</v>
      </c>
      <c r="F14" s="208" t="s">
        <v>315</v>
      </c>
      <c r="G14" s="208" t="s">
        <v>36</v>
      </c>
      <c r="H14" s="208" t="s">
        <v>164</v>
      </c>
      <c r="I14" s="208" t="s">
        <v>155</v>
      </c>
      <c r="J14" s="208" t="s">
        <v>38</v>
      </c>
      <c r="K14" s="208" t="s">
        <v>156</v>
      </c>
      <c r="L14" s="208">
        <v>1</v>
      </c>
      <c r="N14" s="208">
        <v>4</v>
      </c>
      <c r="O14" s="208">
        <v>0.5</v>
      </c>
      <c r="P14" s="208">
        <v>0.45</v>
      </c>
      <c r="Q14" s="245">
        <f t="shared" si="2"/>
        <v>0.47499999999999998</v>
      </c>
      <c r="R14" s="208">
        <v>16</v>
      </c>
      <c r="S14" s="208">
        <v>110</v>
      </c>
      <c r="T14" s="217">
        <f t="shared" si="0"/>
        <v>33</v>
      </c>
      <c r="U14" s="208">
        <v>499</v>
      </c>
      <c r="V14" s="217">
        <f t="shared" si="1"/>
        <v>16</v>
      </c>
      <c r="W14" s="208">
        <v>6</v>
      </c>
      <c r="X14" s="208" t="s">
        <v>46</v>
      </c>
      <c r="Y14" s="208" t="s">
        <v>90</v>
      </c>
      <c r="Z14" s="208" t="s">
        <v>69</v>
      </c>
      <c r="AA14" s="208" t="s">
        <v>47</v>
      </c>
      <c r="AB14" s="237" t="s">
        <v>450</v>
      </c>
      <c r="AE14" s="223" t="s">
        <v>76</v>
      </c>
      <c r="AG14" s="224"/>
      <c r="AH14" s="224"/>
      <c r="AP14" s="224" t="s">
        <v>277</v>
      </c>
      <c r="AR14" s="231" t="s">
        <v>125</v>
      </c>
      <c r="AV14" s="224" t="s">
        <v>78</v>
      </c>
    </row>
    <row r="15" spans="1:53" x14ac:dyDescent="0.15">
      <c r="A15" s="208" t="s">
        <v>59</v>
      </c>
      <c r="B15" s="237" t="s">
        <v>381</v>
      </c>
      <c r="C15" s="152">
        <v>2018</v>
      </c>
      <c r="D15" s="153" t="s">
        <v>449</v>
      </c>
      <c r="E15" s="208" t="s">
        <v>272</v>
      </c>
      <c r="F15" s="208" t="s">
        <v>315</v>
      </c>
      <c r="G15" s="208" t="s">
        <v>36</v>
      </c>
      <c r="H15" s="208" t="s">
        <v>164</v>
      </c>
      <c r="I15" s="208" t="s">
        <v>155</v>
      </c>
      <c r="J15" s="208" t="s">
        <v>38</v>
      </c>
      <c r="K15" s="208" t="s">
        <v>156</v>
      </c>
      <c r="L15" s="208">
        <v>2</v>
      </c>
      <c r="N15" s="208">
        <v>4</v>
      </c>
      <c r="O15" s="208">
        <v>0.4</v>
      </c>
      <c r="P15" s="208">
        <v>0.38</v>
      </c>
      <c r="Q15" s="245">
        <f t="shared" si="2"/>
        <v>0.39</v>
      </c>
      <c r="R15" s="208">
        <v>15.2</v>
      </c>
      <c r="S15" s="208">
        <v>110</v>
      </c>
      <c r="T15" s="217">
        <f t="shared" si="0"/>
        <v>33</v>
      </c>
      <c r="U15" s="208">
        <v>499</v>
      </c>
      <c r="V15" s="217">
        <f t="shared" si="1"/>
        <v>16</v>
      </c>
      <c r="W15" s="208">
        <v>6</v>
      </c>
      <c r="X15" s="208" t="s">
        <v>46</v>
      </c>
      <c r="Y15" s="208" t="s">
        <v>90</v>
      </c>
      <c r="Z15" s="208" t="s">
        <v>69</v>
      </c>
      <c r="AA15" s="208" t="s">
        <v>47</v>
      </c>
      <c r="AB15" s="237" t="s">
        <v>450</v>
      </c>
      <c r="AE15" s="223" t="s">
        <v>79</v>
      </c>
      <c r="AG15" s="224"/>
      <c r="AH15" s="224"/>
      <c r="AP15" s="224" t="s">
        <v>278</v>
      </c>
      <c r="AR15" s="231" t="s">
        <v>94</v>
      </c>
      <c r="AV15" s="224" t="s">
        <v>107</v>
      </c>
    </row>
    <row r="16" spans="1:53" x14ac:dyDescent="0.15">
      <c r="A16" s="208" t="s">
        <v>59</v>
      </c>
      <c r="B16" s="237" t="s">
        <v>385</v>
      </c>
      <c r="C16" s="152">
        <v>2018</v>
      </c>
      <c r="D16" s="153" t="s">
        <v>451</v>
      </c>
      <c r="E16" s="208" t="s">
        <v>272</v>
      </c>
      <c r="F16" s="208" t="s">
        <v>315</v>
      </c>
      <c r="G16" s="208" t="s">
        <v>36</v>
      </c>
      <c r="H16" s="208" t="s">
        <v>164</v>
      </c>
      <c r="I16" s="208" t="s">
        <v>155</v>
      </c>
      <c r="J16" s="208" t="s">
        <v>38</v>
      </c>
      <c r="K16" s="208" t="s">
        <v>156</v>
      </c>
      <c r="L16" s="208">
        <v>3</v>
      </c>
      <c r="N16" s="208">
        <v>4</v>
      </c>
      <c r="O16" s="208">
        <v>0.55000000000000004</v>
      </c>
      <c r="P16" s="208">
        <v>0.52</v>
      </c>
      <c r="Q16" s="245">
        <f t="shared" si="2"/>
        <v>0.53500000000000003</v>
      </c>
      <c r="R16" s="208">
        <v>15.8</v>
      </c>
      <c r="S16" s="208">
        <v>108</v>
      </c>
      <c r="T16" s="217">
        <f t="shared" si="0"/>
        <v>33</v>
      </c>
      <c r="U16" s="208">
        <v>499</v>
      </c>
      <c r="V16" s="217">
        <f t="shared" si="1"/>
        <v>16</v>
      </c>
      <c r="W16" s="208">
        <v>6</v>
      </c>
      <c r="X16" s="208" t="s">
        <v>46</v>
      </c>
      <c r="Y16" s="208" t="s">
        <v>90</v>
      </c>
      <c r="Z16" s="208" t="s">
        <v>69</v>
      </c>
      <c r="AA16" s="208" t="s">
        <v>47</v>
      </c>
      <c r="AB16" s="237" t="s">
        <v>452</v>
      </c>
      <c r="AE16" s="223" t="s">
        <v>82</v>
      </c>
      <c r="AG16" s="229"/>
      <c r="AH16" s="229"/>
      <c r="AP16" s="224" t="s">
        <v>80</v>
      </c>
      <c r="AR16" s="238" t="s">
        <v>63</v>
      </c>
      <c r="AV16" s="224" t="s">
        <v>84</v>
      </c>
    </row>
    <row r="17" spans="1:48" x14ac:dyDescent="0.15">
      <c r="A17" s="208" t="s">
        <v>59</v>
      </c>
      <c r="B17" s="237" t="s">
        <v>385</v>
      </c>
      <c r="C17" s="152">
        <v>2018</v>
      </c>
      <c r="D17" s="153" t="s">
        <v>451</v>
      </c>
      <c r="E17" s="208" t="s">
        <v>272</v>
      </c>
      <c r="F17" s="208" t="s">
        <v>315</v>
      </c>
      <c r="G17" s="208" t="s">
        <v>36</v>
      </c>
      <c r="H17" s="208" t="s">
        <v>157</v>
      </c>
      <c r="I17" s="208" t="s">
        <v>155</v>
      </c>
      <c r="J17" s="208" t="s">
        <v>38</v>
      </c>
      <c r="K17" s="208" t="s">
        <v>156</v>
      </c>
      <c r="L17" s="208">
        <v>1</v>
      </c>
      <c r="N17" s="208">
        <v>3</v>
      </c>
      <c r="O17" s="208">
        <v>0.57999999999999996</v>
      </c>
      <c r="P17" s="208">
        <v>0.68</v>
      </c>
      <c r="Q17" s="245">
        <f t="shared" si="2"/>
        <v>0.63</v>
      </c>
      <c r="R17" s="208">
        <v>15.1</v>
      </c>
      <c r="S17" s="208">
        <v>150</v>
      </c>
      <c r="T17" s="217">
        <f t="shared" si="0"/>
        <v>22</v>
      </c>
      <c r="U17" s="208">
        <v>350</v>
      </c>
      <c r="V17" s="217">
        <f t="shared" si="1"/>
        <v>16</v>
      </c>
      <c r="W17" s="208">
        <v>7</v>
      </c>
      <c r="X17" s="208" t="s">
        <v>46</v>
      </c>
      <c r="Y17" s="208" t="s">
        <v>90</v>
      </c>
      <c r="Z17" s="208" t="s">
        <v>69</v>
      </c>
      <c r="AA17" s="208" t="s">
        <v>47</v>
      </c>
      <c r="AB17" s="237" t="s">
        <v>452</v>
      </c>
      <c r="AE17" s="223" t="s">
        <v>85</v>
      </c>
      <c r="AP17" s="239" t="s">
        <v>110</v>
      </c>
      <c r="AR17" s="238" t="s">
        <v>96</v>
      </c>
      <c r="AV17" s="224" t="s">
        <v>86</v>
      </c>
    </row>
    <row r="18" spans="1:48" x14ac:dyDescent="0.15">
      <c r="A18" s="208" t="s">
        <v>59</v>
      </c>
      <c r="B18" s="237" t="s">
        <v>385</v>
      </c>
      <c r="C18" s="152">
        <v>2018</v>
      </c>
      <c r="D18" s="153" t="s">
        <v>451</v>
      </c>
      <c r="E18" s="208" t="s">
        <v>272</v>
      </c>
      <c r="F18" s="208" t="s">
        <v>315</v>
      </c>
      <c r="G18" s="208" t="s">
        <v>36</v>
      </c>
      <c r="H18" s="208" t="s">
        <v>157</v>
      </c>
      <c r="I18" s="208" t="s">
        <v>155</v>
      </c>
      <c r="J18" s="208" t="s">
        <v>38</v>
      </c>
      <c r="K18" s="208" t="s">
        <v>156</v>
      </c>
      <c r="L18" s="208">
        <v>2</v>
      </c>
      <c r="N18" s="208">
        <v>3</v>
      </c>
      <c r="O18" s="208">
        <v>0.44</v>
      </c>
      <c r="P18" s="208">
        <v>0.43</v>
      </c>
      <c r="Q18" s="245">
        <f t="shared" si="2"/>
        <v>0.435</v>
      </c>
      <c r="R18" s="208">
        <v>17.5</v>
      </c>
      <c r="S18" s="208">
        <v>147</v>
      </c>
      <c r="T18" s="217">
        <f t="shared" si="0"/>
        <v>22</v>
      </c>
      <c r="U18" s="208">
        <v>350</v>
      </c>
      <c r="V18" s="217">
        <f t="shared" si="1"/>
        <v>16</v>
      </c>
      <c r="W18" s="208">
        <v>7</v>
      </c>
      <c r="X18" s="208" t="s">
        <v>46</v>
      </c>
      <c r="Y18" s="208" t="s">
        <v>90</v>
      </c>
      <c r="Z18" s="208" t="s">
        <v>69</v>
      </c>
      <c r="AA18" s="208" t="s">
        <v>47</v>
      </c>
      <c r="AB18" s="237" t="s">
        <v>452</v>
      </c>
      <c r="AE18" s="223" t="s">
        <v>87</v>
      </c>
      <c r="AP18" s="239" t="s">
        <v>280</v>
      </c>
      <c r="AR18" s="238" t="s">
        <v>101</v>
      </c>
      <c r="AV18" s="224" t="s">
        <v>88</v>
      </c>
    </row>
    <row r="19" spans="1:48" x14ac:dyDescent="0.15">
      <c r="A19" s="208" t="s">
        <v>59</v>
      </c>
      <c r="B19" s="237" t="s">
        <v>375</v>
      </c>
      <c r="C19" s="152">
        <v>2018</v>
      </c>
      <c r="D19" s="153" t="s">
        <v>437</v>
      </c>
      <c r="E19" s="208" t="s">
        <v>272</v>
      </c>
      <c r="F19" s="208" t="s">
        <v>315</v>
      </c>
      <c r="G19" s="208" t="s">
        <v>36</v>
      </c>
      <c r="H19" s="208" t="s">
        <v>157</v>
      </c>
      <c r="I19" s="208" t="s">
        <v>155</v>
      </c>
      <c r="J19" s="208" t="s">
        <v>38</v>
      </c>
      <c r="K19" s="208" t="s">
        <v>156</v>
      </c>
      <c r="L19" s="208">
        <v>3</v>
      </c>
      <c r="N19" s="208">
        <v>3</v>
      </c>
      <c r="O19" s="208">
        <v>0.64</v>
      </c>
      <c r="P19" s="208">
        <v>0.65</v>
      </c>
      <c r="Q19" s="245">
        <f t="shared" si="2"/>
        <v>0.64500000000000002</v>
      </c>
      <c r="R19" s="208">
        <v>14.9</v>
      </c>
      <c r="S19" s="208">
        <v>160</v>
      </c>
      <c r="T19" s="217">
        <f t="shared" si="0"/>
        <v>18</v>
      </c>
      <c r="U19" s="208">
        <v>350</v>
      </c>
      <c r="V19" s="217">
        <f t="shared" si="1"/>
        <v>16</v>
      </c>
      <c r="W19" s="208">
        <v>7</v>
      </c>
      <c r="X19" s="208" t="s">
        <v>46</v>
      </c>
      <c r="Y19" s="208" t="s">
        <v>90</v>
      </c>
      <c r="Z19" s="208" t="s">
        <v>69</v>
      </c>
      <c r="AA19" s="208" t="s">
        <v>47</v>
      </c>
      <c r="AB19" s="237" t="s">
        <v>439</v>
      </c>
      <c r="AD19" s="237"/>
      <c r="AE19" s="236" t="s">
        <v>89</v>
      </c>
      <c r="AP19" s="239" t="s">
        <v>112</v>
      </c>
      <c r="AR19" s="231" t="s">
        <v>126</v>
      </c>
      <c r="AV19" s="224" t="s">
        <v>281</v>
      </c>
    </row>
    <row r="20" spans="1:48" x14ac:dyDescent="0.15">
      <c r="A20" s="208" t="s">
        <v>59</v>
      </c>
      <c r="B20" s="237" t="s">
        <v>453</v>
      </c>
      <c r="C20" s="152">
        <v>2018</v>
      </c>
      <c r="D20" s="153" t="s">
        <v>454</v>
      </c>
      <c r="E20" s="208" t="s">
        <v>327</v>
      </c>
      <c r="F20" s="208" t="s">
        <v>315</v>
      </c>
      <c r="G20" s="208" t="s">
        <v>36</v>
      </c>
      <c r="H20" s="208" t="s">
        <v>164</v>
      </c>
      <c r="I20" s="208" t="s">
        <v>155</v>
      </c>
      <c r="J20" s="208" t="s">
        <v>38</v>
      </c>
      <c r="K20" s="208" t="s">
        <v>156</v>
      </c>
      <c r="L20" s="208">
        <v>1</v>
      </c>
      <c r="N20" s="208">
        <v>2</v>
      </c>
      <c r="O20" s="208">
        <v>0.5</v>
      </c>
      <c r="P20" s="208">
        <v>0.6</v>
      </c>
      <c r="Q20" s="245">
        <f t="shared" si="2"/>
        <v>0.55000000000000004</v>
      </c>
      <c r="R20" s="208">
        <v>14.8</v>
      </c>
      <c r="S20" s="208">
        <v>163</v>
      </c>
      <c r="T20" s="217">
        <f t="shared" si="0"/>
        <v>18</v>
      </c>
      <c r="U20" s="208">
        <v>410</v>
      </c>
      <c r="V20" s="217">
        <f t="shared" si="1"/>
        <v>16</v>
      </c>
      <c r="W20" s="208">
        <v>4</v>
      </c>
      <c r="X20" s="208" t="s">
        <v>46</v>
      </c>
      <c r="Y20" s="208" t="s">
        <v>78</v>
      </c>
      <c r="Z20" s="208" t="s">
        <v>90</v>
      </c>
      <c r="AA20" s="208" t="s">
        <v>69</v>
      </c>
      <c r="AB20" s="237" t="s">
        <v>455</v>
      </c>
      <c r="AD20" s="237"/>
      <c r="AE20" s="236"/>
      <c r="AP20" s="239" t="s">
        <v>113</v>
      </c>
      <c r="AR20" s="238" t="s">
        <v>105</v>
      </c>
      <c r="AV20" s="228" t="s">
        <v>456</v>
      </c>
    </row>
    <row r="21" spans="1:48" x14ac:dyDescent="0.15">
      <c r="A21" s="208" t="s">
        <v>59</v>
      </c>
      <c r="B21" s="237" t="s">
        <v>453</v>
      </c>
      <c r="C21" s="152">
        <v>2018</v>
      </c>
      <c r="D21" s="153" t="s">
        <v>454</v>
      </c>
      <c r="E21" s="208" t="s">
        <v>327</v>
      </c>
      <c r="F21" s="208" t="s">
        <v>315</v>
      </c>
      <c r="G21" s="208" t="s">
        <v>36</v>
      </c>
      <c r="H21" s="208" t="s">
        <v>164</v>
      </c>
      <c r="I21" s="208" t="s">
        <v>155</v>
      </c>
      <c r="J21" s="208" t="s">
        <v>38</v>
      </c>
      <c r="K21" s="208" t="s">
        <v>156</v>
      </c>
      <c r="L21" s="208">
        <v>2</v>
      </c>
      <c r="N21" s="208">
        <v>2</v>
      </c>
      <c r="O21" s="208">
        <v>0.66</v>
      </c>
      <c r="P21" s="208">
        <v>0.6</v>
      </c>
      <c r="Q21" s="245">
        <f t="shared" si="2"/>
        <v>0.63</v>
      </c>
      <c r="R21" s="208">
        <v>15.6</v>
      </c>
      <c r="S21" s="208">
        <v>155</v>
      </c>
      <c r="T21" s="217">
        <f t="shared" si="0"/>
        <v>18</v>
      </c>
      <c r="U21" s="208">
        <v>410</v>
      </c>
      <c r="V21" s="217">
        <f t="shared" si="1"/>
        <v>16</v>
      </c>
      <c r="W21" s="208">
        <v>4</v>
      </c>
      <c r="X21" s="208" t="s">
        <v>46</v>
      </c>
      <c r="Y21" s="208" t="s">
        <v>78</v>
      </c>
      <c r="Z21" s="208" t="s">
        <v>90</v>
      </c>
      <c r="AA21" s="208" t="s">
        <v>69</v>
      </c>
      <c r="AB21" s="237" t="s">
        <v>455</v>
      </c>
      <c r="AD21" s="237"/>
      <c r="AE21" s="229"/>
      <c r="AP21" s="239" t="s">
        <v>282</v>
      </c>
      <c r="AR21" s="238" t="s">
        <v>68</v>
      </c>
      <c r="AV21" s="228" t="s">
        <v>457</v>
      </c>
    </row>
    <row r="22" spans="1:48" x14ac:dyDescent="0.15">
      <c r="A22" s="208" t="s">
        <v>59</v>
      </c>
      <c r="B22" s="237" t="s">
        <v>453</v>
      </c>
      <c r="C22" s="152">
        <v>2018</v>
      </c>
      <c r="D22" s="153" t="s">
        <v>454</v>
      </c>
      <c r="E22" s="208" t="s">
        <v>327</v>
      </c>
      <c r="F22" s="208" t="s">
        <v>315</v>
      </c>
      <c r="G22" s="208" t="s">
        <v>36</v>
      </c>
      <c r="H22" s="208" t="s">
        <v>164</v>
      </c>
      <c r="I22" s="208" t="s">
        <v>155</v>
      </c>
      <c r="J22" s="208" t="s">
        <v>38</v>
      </c>
      <c r="K22" s="208" t="s">
        <v>156</v>
      </c>
      <c r="L22" s="208">
        <v>3</v>
      </c>
      <c r="N22" s="208">
        <v>2</v>
      </c>
      <c r="O22" s="208">
        <v>0.6</v>
      </c>
      <c r="P22" s="208">
        <v>0.6</v>
      </c>
      <c r="Q22" s="245">
        <f t="shared" si="2"/>
        <v>0.6</v>
      </c>
      <c r="R22" s="208">
        <v>14.7</v>
      </c>
      <c r="S22" s="208">
        <v>163</v>
      </c>
      <c r="T22" s="217">
        <f t="shared" si="0"/>
        <v>18</v>
      </c>
      <c r="U22" s="208">
        <v>410</v>
      </c>
      <c r="V22" s="217">
        <f t="shared" si="1"/>
        <v>16</v>
      </c>
      <c r="W22" s="208">
        <v>4</v>
      </c>
      <c r="X22" s="208" t="s">
        <v>46</v>
      </c>
      <c r="Y22" s="208" t="s">
        <v>78</v>
      </c>
      <c r="Z22" s="208" t="s">
        <v>90</v>
      </c>
      <c r="AA22" s="208" t="s">
        <v>69</v>
      </c>
      <c r="AB22" s="237" t="s">
        <v>455</v>
      </c>
      <c r="AD22" s="237"/>
      <c r="AP22" s="239" t="s">
        <v>279</v>
      </c>
      <c r="AR22" s="238" t="s">
        <v>83</v>
      </c>
      <c r="AV22" s="228" t="s">
        <v>283</v>
      </c>
    </row>
    <row r="23" spans="1:48" x14ac:dyDescent="0.15">
      <c r="A23" s="208" t="s">
        <v>59</v>
      </c>
      <c r="B23" s="237" t="s">
        <v>453</v>
      </c>
      <c r="C23" s="152">
        <v>2018</v>
      </c>
      <c r="D23" s="153" t="s">
        <v>454</v>
      </c>
      <c r="E23" s="208" t="s">
        <v>327</v>
      </c>
      <c r="F23" s="208" t="s">
        <v>315</v>
      </c>
      <c r="G23" s="208" t="s">
        <v>36</v>
      </c>
      <c r="H23" s="208" t="s">
        <v>157</v>
      </c>
      <c r="I23" s="208" t="s">
        <v>155</v>
      </c>
      <c r="J23" s="208" t="s">
        <v>38</v>
      </c>
      <c r="K23" s="208" t="s">
        <v>156</v>
      </c>
      <c r="L23" s="208">
        <v>1</v>
      </c>
      <c r="N23" s="208">
        <v>4</v>
      </c>
      <c r="O23" s="208">
        <v>0.42</v>
      </c>
      <c r="P23" s="208">
        <v>0.48</v>
      </c>
      <c r="Q23" s="245">
        <f t="shared" si="2"/>
        <v>0.44999999999999996</v>
      </c>
      <c r="R23" s="208">
        <v>12</v>
      </c>
      <c r="S23" s="208">
        <v>100</v>
      </c>
      <c r="T23" s="217">
        <f t="shared" si="0"/>
        <v>33</v>
      </c>
      <c r="U23" s="208">
        <v>410</v>
      </c>
      <c r="V23" s="217">
        <f t="shared" si="1"/>
        <v>16</v>
      </c>
      <c r="W23" s="208">
        <v>2</v>
      </c>
      <c r="X23" s="208" t="s">
        <v>46</v>
      </c>
      <c r="Y23" s="208" t="s">
        <v>78</v>
      </c>
      <c r="Z23" s="208" t="s">
        <v>90</v>
      </c>
      <c r="AA23" s="208" t="s">
        <v>69</v>
      </c>
      <c r="AB23" s="237" t="s">
        <v>455</v>
      </c>
      <c r="AP23" s="239" t="s">
        <v>458</v>
      </c>
      <c r="AR23" s="238" t="s">
        <v>61</v>
      </c>
      <c r="AV23" s="228" t="s">
        <v>459</v>
      </c>
    </row>
    <row r="24" spans="1:48" x14ac:dyDescent="0.15">
      <c r="A24" s="208" t="s">
        <v>59</v>
      </c>
      <c r="B24" s="237" t="s">
        <v>453</v>
      </c>
      <c r="C24" s="152">
        <v>2018</v>
      </c>
      <c r="D24" s="153" t="s">
        <v>454</v>
      </c>
      <c r="E24" s="208" t="s">
        <v>327</v>
      </c>
      <c r="F24" s="208" t="s">
        <v>315</v>
      </c>
      <c r="G24" s="208" t="s">
        <v>36</v>
      </c>
      <c r="H24" s="208" t="s">
        <v>157</v>
      </c>
      <c r="I24" s="208" t="s">
        <v>155</v>
      </c>
      <c r="J24" s="208" t="s">
        <v>38</v>
      </c>
      <c r="K24" s="208" t="s">
        <v>156</v>
      </c>
      <c r="L24" s="208">
        <v>2</v>
      </c>
      <c r="N24" s="208">
        <v>4</v>
      </c>
      <c r="O24" s="208">
        <v>0.33</v>
      </c>
      <c r="P24" s="208">
        <v>0.25</v>
      </c>
      <c r="Q24" s="245">
        <f t="shared" si="2"/>
        <v>0.29000000000000004</v>
      </c>
      <c r="R24" s="208">
        <v>13</v>
      </c>
      <c r="S24" s="208">
        <v>96</v>
      </c>
      <c r="T24" s="217">
        <f t="shared" si="0"/>
        <v>36</v>
      </c>
      <c r="U24" s="208">
        <v>410</v>
      </c>
      <c r="V24" s="217">
        <f t="shared" si="1"/>
        <v>16</v>
      </c>
      <c r="W24" s="208">
        <v>2</v>
      </c>
      <c r="X24" s="208" t="s">
        <v>46</v>
      </c>
      <c r="Y24" s="208" t="s">
        <v>78</v>
      </c>
      <c r="Z24" s="208" t="s">
        <v>90</v>
      </c>
      <c r="AA24" s="208" t="s">
        <v>69</v>
      </c>
      <c r="AB24" s="237" t="s">
        <v>455</v>
      </c>
      <c r="AP24" s="239" t="s">
        <v>460</v>
      </c>
      <c r="AR24" s="238" t="s">
        <v>91</v>
      </c>
      <c r="AV24" s="228" t="s">
        <v>461</v>
      </c>
    </row>
    <row r="25" spans="1:48" x14ac:dyDescent="0.15">
      <c r="A25" s="208" t="s">
        <v>59</v>
      </c>
      <c r="B25" s="237" t="s">
        <v>453</v>
      </c>
      <c r="C25" s="152">
        <v>2018</v>
      </c>
      <c r="D25" s="153" t="s">
        <v>454</v>
      </c>
      <c r="E25" s="208" t="s">
        <v>327</v>
      </c>
      <c r="F25" s="208" t="s">
        <v>315</v>
      </c>
      <c r="G25" s="208" t="s">
        <v>36</v>
      </c>
      <c r="H25" s="208" t="s">
        <v>157</v>
      </c>
      <c r="I25" s="208" t="s">
        <v>155</v>
      </c>
      <c r="J25" s="208" t="s">
        <v>38</v>
      </c>
      <c r="K25" s="208" t="s">
        <v>156</v>
      </c>
      <c r="L25" s="208">
        <v>3</v>
      </c>
      <c r="N25" s="208">
        <v>4</v>
      </c>
      <c r="O25" s="208">
        <v>0.45</v>
      </c>
      <c r="P25" s="208">
        <v>0.52</v>
      </c>
      <c r="Q25" s="245">
        <f t="shared" si="2"/>
        <v>0.48499999999999999</v>
      </c>
      <c r="R25" s="208">
        <v>12.6</v>
      </c>
      <c r="S25" s="208">
        <v>95</v>
      </c>
      <c r="T25" s="217">
        <f t="shared" si="0"/>
        <v>36</v>
      </c>
      <c r="U25" s="208">
        <v>410</v>
      </c>
      <c r="V25" s="217">
        <f t="shared" si="1"/>
        <v>16</v>
      </c>
      <c r="W25" s="208">
        <v>2</v>
      </c>
      <c r="X25" s="208" t="s">
        <v>46</v>
      </c>
      <c r="Y25" s="208" t="s">
        <v>78</v>
      </c>
      <c r="Z25" s="208" t="s">
        <v>90</v>
      </c>
      <c r="AA25" s="208" t="s">
        <v>69</v>
      </c>
      <c r="AB25" s="237" t="s">
        <v>455</v>
      </c>
      <c r="AD25" s="237"/>
      <c r="AP25" s="239" t="s">
        <v>116</v>
      </c>
      <c r="AR25" s="42" t="s">
        <v>92</v>
      </c>
      <c r="AV25" s="228" t="s">
        <v>462</v>
      </c>
    </row>
    <row r="26" spans="1:48" x14ac:dyDescent="0.15">
      <c r="A26" s="208" t="s">
        <v>59</v>
      </c>
      <c r="B26" s="237" t="s">
        <v>453</v>
      </c>
      <c r="C26" s="152">
        <v>2018</v>
      </c>
      <c r="D26" s="153" t="s">
        <v>454</v>
      </c>
      <c r="E26" s="208" t="s">
        <v>326</v>
      </c>
      <c r="F26" s="208" t="s">
        <v>318</v>
      </c>
      <c r="G26" s="208" t="s">
        <v>36</v>
      </c>
      <c r="H26" s="208" t="s">
        <v>164</v>
      </c>
      <c r="I26" s="208" t="s">
        <v>155</v>
      </c>
      <c r="J26" s="208" t="s">
        <v>38</v>
      </c>
      <c r="K26" s="208" t="s">
        <v>156</v>
      </c>
      <c r="L26" s="208">
        <v>1</v>
      </c>
      <c r="N26" s="208">
        <v>1</v>
      </c>
      <c r="O26" s="208">
        <v>0.62</v>
      </c>
      <c r="P26" s="208">
        <v>0.56999999999999995</v>
      </c>
      <c r="Q26" s="245">
        <f t="shared" si="2"/>
        <v>0.59499999999999997</v>
      </c>
      <c r="R26" s="208">
        <v>17.2</v>
      </c>
      <c r="S26" s="208">
        <v>130</v>
      </c>
      <c r="T26" s="217">
        <f t="shared" si="0"/>
        <v>25</v>
      </c>
      <c r="U26" s="208">
        <v>128</v>
      </c>
      <c r="V26" s="217">
        <f t="shared" si="1"/>
        <v>27</v>
      </c>
      <c r="W26" s="208">
        <v>4</v>
      </c>
      <c r="X26" s="208" t="s">
        <v>46</v>
      </c>
      <c r="Y26" s="208" t="s">
        <v>86</v>
      </c>
      <c r="Z26" s="208" t="s">
        <v>88</v>
      </c>
      <c r="AA26" s="208" t="s">
        <v>69</v>
      </c>
      <c r="AB26" s="237" t="s">
        <v>455</v>
      </c>
      <c r="AD26" s="237"/>
      <c r="AP26" s="239" t="s">
        <v>117</v>
      </c>
      <c r="AR26" s="228" t="s">
        <v>284</v>
      </c>
      <c r="AV26" s="228"/>
    </row>
    <row r="27" spans="1:48" x14ac:dyDescent="0.15">
      <c r="A27" s="208" t="s">
        <v>59</v>
      </c>
      <c r="B27" s="237" t="s">
        <v>453</v>
      </c>
      <c r="C27" s="152">
        <v>2018</v>
      </c>
      <c r="D27" s="153" t="s">
        <v>454</v>
      </c>
      <c r="E27" s="208" t="s">
        <v>326</v>
      </c>
      <c r="F27" s="208" t="s">
        <v>318</v>
      </c>
      <c r="G27" s="208" t="s">
        <v>36</v>
      </c>
      <c r="H27" s="208" t="s">
        <v>164</v>
      </c>
      <c r="I27" s="208" t="s">
        <v>155</v>
      </c>
      <c r="J27" s="208" t="s">
        <v>38</v>
      </c>
      <c r="K27" s="208" t="s">
        <v>156</v>
      </c>
      <c r="L27" s="208">
        <v>2</v>
      </c>
      <c r="N27" s="208">
        <v>1</v>
      </c>
      <c r="O27" s="208">
        <v>0.56999999999999995</v>
      </c>
      <c r="P27" s="208">
        <v>0.56999999999999995</v>
      </c>
      <c r="Q27" s="245">
        <f t="shared" si="2"/>
        <v>0.56999999999999995</v>
      </c>
      <c r="R27" s="208">
        <v>14.9</v>
      </c>
      <c r="S27" s="208">
        <v>132</v>
      </c>
      <c r="T27" s="217">
        <f t="shared" si="0"/>
        <v>25</v>
      </c>
      <c r="U27" s="208">
        <v>128</v>
      </c>
      <c r="V27" s="217">
        <f t="shared" si="1"/>
        <v>27</v>
      </c>
      <c r="W27" s="208">
        <v>4</v>
      </c>
      <c r="X27" s="208" t="s">
        <v>46</v>
      </c>
      <c r="Y27" s="208" t="s">
        <v>86</v>
      </c>
      <c r="Z27" s="208" t="s">
        <v>88</v>
      </c>
      <c r="AA27" s="208" t="s">
        <v>69</v>
      </c>
      <c r="AB27" s="237" t="s">
        <v>455</v>
      </c>
      <c r="AD27" s="237"/>
      <c r="AP27" s="239" t="s">
        <v>118</v>
      </c>
      <c r="AR27" s="229" t="s">
        <v>299</v>
      </c>
      <c r="AV27" s="228"/>
    </row>
    <row r="28" spans="1:48" x14ac:dyDescent="0.15">
      <c r="A28" s="208" t="s">
        <v>59</v>
      </c>
      <c r="B28" s="237" t="s">
        <v>453</v>
      </c>
      <c r="C28" s="152">
        <v>2018</v>
      </c>
      <c r="D28" s="153" t="s">
        <v>454</v>
      </c>
      <c r="E28" s="208" t="s">
        <v>326</v>
      </c>
      <c r="F28" s="208" t="s">
        <v>318</v>
      </c>
      <c r="G28" s="208" t="s">
        <v>36</v>
      </c>
      <c r="H28" s="208" t="s">
        <v>164</v>
      </c>
      <c r="I28" s="208" t="s">
        <v>155</v>
      </c>
      <c r="J28" s="208" t="s">
        <v>38</v>
      </c>
      <c r="K28" s="208" t="s">
        <v>156</v>
      </c>
      <c r="L28" s="208">
        <v>3</v>
      </c>
      <c r="N28" s="208">
        <v>1</v>
      </c>
      <c r="O28" s="208">
        <v>0.55000000000000004</v>
      </c>
      <c r="P28" s="208">
        <v>0.64</v>
      </c>
      <c r="Q28" s="245">
        <f t="shared" si="2"/>
        <v>0.59499999999999997</v>
      </c>
      <c r="R28" s="208">
        <v>16.600000000000001</v>
      </c>
      <c r="S28" s="208">
        <v>135</v>
      </c>
      <c r="T28" s="217">
        <f t="shared" si="0"/>
        <v>25</v>
      </c>
      <c r="U28" s="208">
        <v>128</v>
      </c>
      <c r="V28" s="217">
        <f t="shared" si="1"/>
        <v>27</v>
      </c>
      <c r="W28" s="208">
        <v>4</v>
      </c>
      <c r="X28" s="208" t="s">
        <v>46</v>
      </c>
      <c r="Y28" s="208" t="s">
        <v>86</v>
      </c>
      <c r="Z28" s="208" t="s">
        <v>88</v>
      </c>
      <c r="AA28" s="208" t="s">
        <v>69</v>
      </c>
      <c r="AB28" s="237" t="s">
        <v>455</v>
      </c>
      <c r="AD28" s="237"/>
      <c r="AV28" s="228"/>
    </row>
    <row r="29" spans="1:48" x14ac:dyDescent="0.15">
      <c r="A29" s="208" t="s">
        <v>59</v>
      </c>
      <c r="B29" s="237" t="s">
        <v>453</v>
      </c>
      <c r="C29" s="152">
        <v>2018</v>
      </c>
      <c r="D29" s="153" t="s">
        <v>454</v>
      </c>
      <c r="E29" s="208" t="s">
        <v>326</v>
      </c>
      <c r="F29" s="208" t="s">
        <v>318</v>
      </c>
      <c r="G29" s="208" t="s">
        <v>36</v>
      </c>
      <c r="H29" s="208" t="s">
        <v>157</v>
      </c>
      <c r="I29" s="208" t="s">
        <v>155</v>
      </c>
      <c r="J29" s="208" t="s">
        <v>38</v>
      </c>
      <c r="K29" s="208" t="s">
        <v>156</v>
      </c>
      <c r="L29" s="208">
        <v>1</v>
      </c>
      <c r="N29" s="208">
        <v>1</v>
      </c>
      <c r="O29" s="208">
        <v>0.73</v>
      </c>
      <c r="P29" s="208">
        <v>0.62</v>
      </c>
      <c r="Q29" s="245">
        <f t="shared" si="2"/>
        <v>0.67500000000000004</v>
      </c>
      <c r="R29" s="208">
        <v>13.3</v>
      </c>
      <c r="S29" s="208">
        <v>135</v>
      </c>
      <c r="T29" s="217">
        <f t="shared" si="0"/>
        <v>25</v>
      </c>
      <c r="U29" s="208">
        <v>128</v>
      </c>
      <c r="V29" s="217">
        <f t="shared" si="1"/>
        <v>27</v>
      </c>
      <c r="W29" s="208">
        <v>2</v>
      </c>
      <c r="X29" s="208" t="s">
        <v>46</v>
      </c>
      <c r="Y29" s="208" t="s">
        <v>86</v>
      </c>
      <c r="Z29" s="208" t="s">
        <v>88</v>
      </c>
      <c r="AA29" s="208" t="s">
        <v>69</v>
      </c>
      <c r="AB29" s="237" t="s">
        <v>455</v>
      </c>
      <c r="AV29" s="228"/>
    </row>
    <row r="30" spans="1:48" x14ac:dyDescent="0.15">
      <c r="A30" s="208" t="s">
        <v>59</v>
      </c>
      <c r="B30" s="237" t="s">
        <v>453</v>
      </c>
      <c r="C30" s="152">
        <v>2018</v>
      </c>
      <c r="D30" s="153" t="s">
        <v>454</v>
      </c>
      <c r="E30" s="208" t="s">
        <v>326</v>
      </c>
      <c r="F30" s="208" t="s">
        <v>318</v>
      </c>
      <c r="G30" s="208" t="s">
        <v>36</v>
      </c>
      <c r="H30" s="208" t="s">
        <v>157</v>
      </c>
      <c r="I30" s="208" t="s">
        <v>155</v>
      </c>
      <c r="J30" s="208" t="s">
        <v>38</v>
      </c>
      <c r="K30" s="208" t="s">
        <v>156</v>
      </c>
      <c r="L30" s="208">
        <v>2</v>
      </c>
      <c r="N30" s="208">
        <v>1</v>
      </c>
      <c r="O30" s="208">
        <v>0.73</v>
      </c>
      <c r="P30" s="208">
        <v>0.6</v>
      </c>
      <c r="Q30" s="245">
        <f t="shared" si="2"/>
        <v>0.66500000000000004</v>
      </c>
      <c r="R30" s="208">
        <v>13.7</v>
      </c>
      <c r="S30" s="208">
        <v>136</v>
      </c>
      <c r="T30" s="217">
        <f t="shared" si="0"/>
        <v>25</v>
      </c>
      <c r="U30" s="208">
        <v>128</v>
      </c>
      <c r="V30" s="217">
        <f t="shared" si="1"/>
        <v>27</v>
      </c>
      <c r="W30" s="208">
        <v>2</v>
      </c>
      <c r="X30" s="208" t="s">
        <v>46</v>
      </c>
      <c r="Y30" s="208" t="s">
        <v>86</v>
      </c>
      <c r="Z30" s="208" t="s">
        <v>88</v>
      </c>
      <c r="AA30" s="208" t="s">
        <v>69</v>
      </c>
      <c r="AB30" s="237" t="s">
        <v>455</v>
      </c>
      <c r="AV30" s="228"/>
    </row>
    <row r="31" spans="1:48" x14ac:dyDescent="0.15">
      <c r="A31" s="208" t="s">
        <v>59</v>
      </c>
      <c r="B31" s="237" t="s">
        <v>453</v>
      </c>
      <c r="C31" s="152">
        <v>2018</v>
      </c>
      <c r="D31" s="153" t="s">
        <v>454</v>
      </c>
      <c r="E31" s="208" t="s">
        <v>326</v>
      </c>
      <c r="F31" s="208" t="s">
        <v>318</v>
      </c>
      <c r="G31" s="208" t="s">
        <v>36</v>
      </c>
      <c r="H31" s="208" t="s">
        <v>157</v>
      </c>
      <c r="I31" s="208" t="s">
        <v>155</v>
      </c>
      <c r="J31" s="208" t="s">
        <v>38</v>
      </c>
      <c r="K31" s="208" t="s">
        <v>156</v>
      </c>
      <c r="L31" s="208">
        <v>3</v>
      </c>
      <c r="N31" s="208">
        <v>1</v>
      </c>
      <c r="O31" s="208">
        <v>0.75</v>
      </c>
      <c r="P31" s="208">
        <v>0.67</v>
      </c>
      <c r="Q31" s="245">
        <f t="shared" si="2"/>
        <v>0.71</v>
      </c>
      <c r="R31" s="208">
        <v>13.8</v>
      </c>
      <c r="S31" s="208">
        <v>130</v>
      </c>
      <c r="T31" s="217">
        <f t="shared" si="0"/>
        <v>25</v>
      </c>
      <c r="U31" s="208">
        <v>128</v>
      </c>
      <c r="V31" s="217">
        <f t="shared" si="1"/>
        <v>27</v>
      </c>
      <c r="W31" s="208">
        <v>2</v>
      </c>
      <c r="X31" s="208" t="s">
        <v>46</v>
      </c>
      <c r="Y31" s="208" t="s">
        <v>86</v>
      </c>
      <c r="Z31" s="208" t="s">
        <v>88</v>
      </c>
      <c r="AA31" s="208" t="s">
        <v>69</v>
      </c>
      <c r="AB31" s="237" t="s">
        <v>455</v>
      </c>
      <c r="AV31" s="228"/>
    </row>
    <row r="32" spans="1:48" x14ac:dyDescent="0.15">
      <c r="A32" s="208" t="s">
        <v>59</v>
      </c>
      <c r="B32" s="237" t="s">
        <v>453</v>
      </c>
      <c r="C32" s="152">
        <v>2018</v>
      </c>
      <c r="D32" s="153" t="s">
        <v>454</v>
      </c>
      <c r="E32" s="208" t="s">
        <v>325</v>
      </c>
      <c r="F32" s="208" t="s">
        <v>318</v>
      </c>
      <c r="G32" s="208" t="s">
        <v>36</v>
      </c>
      <c r="H32" s="208" t="s">
        <v>164</v>
      </c>
      <c r="I32" s="208" t="s">
        <v>155</v>
      </c>
      <c r="J32" s="208" t="s">
        <v>38</v>
      </c>
      <c r="K32" s="208" t="s">
        <v>156</v>
      </c>
      <c r="L32" s="208">
        <v>1</v>
      </c>
      <c r="N32" s="208">
        <v>3</v>
      </c>
      <c r="O32" s="208">
        <v>0.6</v>
      </c>
      <c r="P32" s="208">
        <v>0.56999999999999995</v>
      </c>
      <c r="Q32" s="245">
        <f t="shared" si="2"/>
        <v>0.58499999999999996</v>
      </c>
      <c r="R32" s="208">
        <v>17.399999999999999</v>
      </c>
      <c r="S32" s="208">
        <v>115</v>
      </c>
      <c r="T32" s="217">
        <f t="shared" si="0"/>
        <v>30</v>
      </c>
      <c r="U32" s="208">
        <v>429</v>
      </c>
      <c r="V32" s="217">
        <f t="shared" si="1"/>
        <v>16</v>
      </c>
      <c r="W32" s="208">
        <v>4</v>
      </c>
      <c r="X32" s="208" t="s">
        <v>46</v>
      </c>
      <c r="Y32" s="208" t="s">
        <v>69</v>
      </c>
      <c r="Z32" s="208" t="s">
        <v>47</v>
      </c>
      <c r="AA32" s="208" t="s">
        <v>88</v>
      </c>
      <c r="AB32" s="237" t="s">
        <v>455</v>
      </c>
      <c r="AV32" s="228"/>
    </row>
    <row r="33" spans="1:48" x14ac:dyDescent="0.15">
      <c r="A33" s="208" t="s">
        <v>59</v>
      </c>
      <c r="B33" s="237" t="s">
        <v>453</v>
      </c>
      <c r="C33" s="152">
        <v>2018</v>
      </c>
      <c r="D33" s="153" t="s">
        <v>454</v>
      </c>
      <c r="E33" s="208" t="s">
        <v>325</v>
      </c>
      <c r="F33" s="208" t="s">
        <v>318</v>
      </c>
      <c r="G33" s="208" t="s">
        <v>36</v>
      </c>
      <c r="H33" s="208" t="s">
        <v>164</v>
      </c>
      <c r="I33" s="208" t="s">
        <v>155</v>
      </c>
      <c r="J33" s="208" t="s">
        <v>38</v>
      </c>
      <c r="K33" s="208" t="s">
        <v>156</v>
      </c>
      <c r="L33" s="208">
        <v>2</v>
      </c>
      <c r="N33" s="208">
        <v>3</v>
      </c>
      <c r="O33" s="208">
        <v>0.68</v>
      </c>
      <c r="P33" s="208">
        <v>0.45</v>
      </c>
      <c r="Q33" s="245">
        <f t="shared" si="2"/>
        <v>0.56500000000000006</v>
      </c>
      <c r="R33" s="208">
        <v>16.8</v>
      </c>
      <c r="S33" s="208">
        <v>110</v>
      </c>
      <c r="T33" s="217">
        <f t="shared" si="0"/>
        <v>33</v>
      </c>
      <c r="U33" s="208">
        <v>429</v>
      </c>
      <c r="V33" s="217">
        <f t="shared" si="1"/>
        <v>16</v>
      </c>
      <c r="W33" s="208">
        <v>4</v>
      </c>
      <c r="X33" s="208" t="s">
        <v>46</v>
      </c>
      <c r="Y33" s="208" t="s">
        <v>69</v>
      </c>
      <c r="Z33" s="208" t="s">
        <v>47</v>
      </c>
      <c r="AA33" s="208" t="s">
        <v>88</v>
      </c>
      <c r="AB33" s="237" t="s">
        <v>455</v>
      </c>
      <c r="AV33" s="228"/>
    </row>
    <row r="34" spans="1:48" x14ac:dyDescent="0.15">
      <c r="A34" s="208" t="s">
        <v>59</v>
      </c>
      <c r="B34" s="237" t="s">
        <v>453</v>
      </c>
      <c r="C34" s="152">
        <v>2018</v>
      </c>
      <c r="D34" s="153" t="s">
        <v>454</v>
      </c>
      <c r="E34" s="208" t="s">
        <v>325</v>
      </c>
      <c r="F34" s="208" t="s">
        <v>318</v>
      </c>
      <c r="G34" s="208" t="s">
        <v>36</v>
      </c>
      <c r="H34" s="208" t="s">
        <v>164</v>
      </c>
      <c r="I34" s="208" t="s">
        <v>155</v>
      </c>
      <c r="J34" s="208" t="s">
        <v>38</v>
      </c>
      <c r="K34" s="208" t="s">
        <v>156</v>
      </c>
      <c r="L34" s="208">
        <v>3</v>
      </c>
      <c r="N34" s="208">
        <v>3</v>
      </c>
      <c r="O34" s="208">
        <v>0.65</v>
      </c>
      <c r="P34" s="208">
        <v>0.62</v>
      </c>
      <c r="Q34" s="245">
        <f t="shared" si="2"/>
        <v>0.63500000000000001</v>
      </c>
      <c r="R34" s="208">
        <v>16.600000000000001</v>
      </c>
      <c r="S34" s="208">
        <v>111</v>
      </c>
      <c r="T34" s="217">
        <f t="shared" si="0"/>
        <v>33</v>
      </c>
      <c r="U34" s="208">
        <v>429</v>
      </c>
      <c r="V34" s="217">
        <f t="shared" si="1"/>
        <v>16</v>
      </c>
      <c r="W34" s="208">
        <v>4</v>
      </c>
      <c r="X34" s="208" t="s">
        <v>46</v>
      </c>
      <c r="Y34" s="208" t="s">
        <v>69</v>
      </c>
      <c r="Z34" s="208" t="s">
        <v>47</v>
      </c>
      <c r="AA34" s="208" t="s">
        <v>88</v>
      </c>
      <c r="AB34" s="237" t="s">
        <v>455</v>
      </c>
      <c r="AV34" s="228"/>
    </row>
    <row r="35" spans="1:48" x14ac:dyDescent="0.15">
      <c r="A35" s="208" t="s">
        <v>59</v>
      </c>
      <c r="B35" s="237" t="s">
        <v>453</v>
      </c>
      <c r="C35" s="152">
        <v>2018</v>
      </c>
      <c r="D35" s="153" t="s">
        <v>454</v>
      </c>
      <c r="E35" s="208" t="s">
        <v>325</v>
      </c>
      <c r="F35" s="208" t="s">
        <v>318</v>
      </c>
      <c r="G35" s="208" t="s">
        <v>36</v>
      </c>
      <c r="H35" s="208" t="s">
        <v>157</v>
      </c>
      <c r="I35" s="208" t="s">
        <v>155</v>
      </c>
      <c r="J35" s="208" t="s">
        <v>38</v>
      </c>
      <c r="K35" s="208" t="s">
        <v>156</v>
      </c>
      <c r="L35" s="208">
        <v>1</v>
      </c>
      <c r="N35" s="208">
        <v>3</v>
      </c>
      <c r="O35" s="208">
        <v>0.8</v>
      </c>
      <c r="P35" s="208">
        <v>1.0900000000000001</v>
      </c>
      <c r="Q35" s="245">
        <f t="shared" si="2"/>
        <v>0.94500000000000006</v>
      </c>
      <c r="R35" s="208">
        <v>15.1</v>
      </c>
      <c r="S35" s="208">
        <v>110</v>
      </c>
      <c r="T35" s="217">
        <f t="shared" si="0"/>
        <v>33</v>
      </c>
      <c r="U35" s="208">
        <v>321</v>
      </c>
      <c r="V35" s="217">
        <f t="shared" si="1"/>
        <v>16</v>
      </c>
      <c r="W35" s="208">
        <v>4</v>
      </c>
      <c r="X35" s="208" t="s">
        <v>46</v>
      </c>
      <c r="Y35" s="208" t="s">
        <v>69</v>
      </c>
      <c r="Z35" s="208" t="s">
        <v>47</v>
      </c>
      <c r="AA35" s="208" t="s">
        <v>88</v>
      </c>
      <c r="AB35" s="237" t="s">
        <v>455</v>
      </c>
      <c r="AV35" s="228"/>
    </row>
    <row r="36" spans="1:48" x14ac:dyDescent="0.15">
      <c r="A36" s="208" t="s">
        <v>59</v>
      </c>
      <c r="B36" s="237" t="s">
        <v>453</v>
      </c>
      <c r="C36" s="152">
        <v>2018</v>
      </c>
      <c r="D36" s="153" t="s">
        <v>454</v>
      </c>
      <c r="E36" s="208" t="s">
        <v>325</v>
      </c>
      <c r="F36" s="208" t="s">
        <v>318</v>
      </c>
      <c r="G36" s="208" t="s">
        <v>36</v>
      </c>
      <c r="H36" s="208" t="s">
        <v>157</v>
      </c>
      <c r="I36" s="208" t="s">
        <v>155</v>
      </c>
      <c r="J36" s="208" t="s">
        <v>38</v>
      </c>
      <c r="K36" s="208" t="s">
        <v>156</v>
      </c>
      <c r="L36" s="208">
        <v>2</v>
      </c>
      <c r="N36" s="208">
        <v>3</v>
      </c>
      <c r="O36" s="208">
        <v>0.75</v>
      </c>
      <c r="P36" s="208">
        <v>0.65</v>
      </c>
      <c r="Q36" s="245">
        <f t="shared" si="2"/>
        <v>0.7</v>
      </c>
      <c r="R36" s="208">
        <v>15.5</v>
      </c>
      <c r="S36" s="208">
        <v>105</v>
      </c>
      <c r="T36" s="217">
        <f t="shared" si="0"/>
        <v>33</v>
      </c>
      <c r="U36" s="208">
        <v>321</v>
      </c>
      <c r="V36" s="217">
        <f t="shared" si="1"/>
        <v>16</v>
      </c>
      <c r="W36" s="208">
        <v>4</v>
      </c>
      <c r="X36" s="208" t="s">
        <v>46</v>
      </c>
      <c r="Y36" s="208" t="s">
        <v>69</v>
      </c>
      <c r="Z36" s="208" t="s">
        <v>47</v>
      </c>
      <c r="AA36" s="208" t="s">
        <v>88</v>
      </c>
      <c r="AB36" s="237" t="s">
        <v>455</v>
      </c>
      <c r="AV36" s="228"/>
    </row>
    <row r="37" spans="1:48" x14ac:dyDescent="0.15">
      <c r="A37" s="208" t="s">
        <v>59</v>
      </c>
      <c r="B37" s="237" t="s">
        <v>453</v>
      </c>
      <c r="C37" s="152">
        <v>2018</v>
      </c>
      <c r="D37" s="153" t="s">
        <v>454</v>
      </c>
      <c r="E37" s="208" t="s">
        <v>325</v>
      </c>
      <c r="F37" s="208" t="s">
        <v>318</v>
      </c>
      <c r="G37" s="208" t="s">
        <v>36</v>
      </c>
      <c r="H37" s="208" t="s">
        <v>157</v>
      </c>
      <c r="I37" s="208" t="s">
        <v>155</v>
      </c>
      <c r="J37" s="208" t="s">
        <v>38</v>
      </c>
      <c r="K37" s="208" t="s">
        <v>156</v>
      </c>
      <c r="L37" s="208">
        <v>3</v>
      </c>
      <c r="N37" s="216">
        <v>3</v>
      </c>
      <c r="O37" s="208">
        <v>0.92</v>
      </c>
      <c r="P37" s="208">
        <v>0.87</v>
      </c>
      <c r="Q37" s="245">
        <f t="shared" si="2"/>
        <v>0.89500000000000002</v>
      </c>
      <c r="R37" s="208">
        <v>14.8</v>
      </c>
      <c r="S37" s="208">
        <v>111</v>
      </c>
      <c r="T37" s="217">
        <f t="shared" si="0"/>
        <v>33</v>
      </c>
      <c r="U37" s="208">
        <v>321</v>
      </c>
      <c r="V37" s="217">
        <f t="shared" si="1"/>
        <v>16</v>
      </c>
      <c r="W37" s="208">
        <v>4</v>
      </c>
      <c r="X37" s="208" t="s">
        <v>46</v>
      </c>
      <c r="Y37" s="208" t="s">
        <v>69</v>
      </c>
      <c r="Z37" s="208" t="s">
        <v>47</v>
      </c>
      <c r="AA37" s="208" t="s">
        <v>88</v>
      </c>
      <c r="AB37" s="237" t="s">
        <v>455</v>
      </c>
      <c r="AV37" s="228"/>
    </row>
    <row r="38" spans="1:48" x14ac:dyDescent="0.15">
      <c r="A38" s="208" t="s">
        <v>59</v>
      </c>
      <c r="B38" s="237" t="s">
        <v>453</v>
      </c>
      <c r="C38" s="152">
        <v>2018</v>
      </c>
      <c r="D38" s="153" t="s">
        <v>454</v>
      </c>
      <c r="E38" s="208" t="s">
        <v>325</v>
      </c>
      <c r="F38" s="208" t="s">
        <v>318</v>
      </c>
      <c r="G38" s="208" t="s">
        <v>36</v>
      </c>
      <c r="H38" s="208" t="s">
        <v>164</v>
      </c>
      <c r="I38" s="208" t="s">
        <v>158</v>
      </c>
      <c r="J38" s="208" t="s">
        <v>38</v>
      </c>
      <c r="K38" s="208" t="s">
        <v>156</v>
      </c>
      <c r="L38" s="208">
        <v>1</v>
      </c>
      <c r="N38" s="216">
        <v>2</v>
      </c>
      <c r="O38" s="208">
        <v>0.57999999999999996</v>
      </c>
      <c r="P38" s="208">
        <v>0.5</v>
      </c>
      <c r="Q38" s="245">
        <f t="shared" si="2"/>
        <v>0.54</v>
      </c>
      <c r="R38" s="208">
        <v>14.9</v>
      </c>
      <c r="S38" s="208">
        <v>135</v>
      </c>
      <c r="T38" s="217">
        <f t="shared" si="0"/>
        <v>25</v>
      </c>
      <c r="U38" s="208">
        <v>429</v>
      </c>
      <c r="V38" s="217">
        <f t="shared" si="1"/>
        <v>16</v>
      </c>
      <c r="W38" s="208">
        <v>1</v>
      </c>
      <c r="X38" s="208" t="s">
        <v>46</v>
      </c>
      <c r="Y38" s="208" t="s">
        <v>69</v>
      </c>
      <c r="Z38" s="208" t="s">
        <v>47</v>
      </c>
      <c r="AA38" s="208" t="s">
        <v>88</v>
      </c>
      <c r="AB38" s="237" t="s">
        <v>455</v>
      </c>
      <c r="AV38" s="229"/>
    </row>
    <row r="39" spans="1:48" x14ac:dyDescent="0.15">
      <c r="A39" s="208" t="s">
        <v>59</v>
      </c>
      <c r="B39" s="237" t="s">
        <v>453</v>
      </c>
      <c r="C39" s="152">
        <v>2018</v>
      </c>
      <c r="D39" s="153" t="s">
        <v>454</v>
      </c>
      <c r="E39" s="208" t="s">
        <v>325</v>
      </c>
      <c r="F39" s="208" t="s">
        <v>318</v>
      </c>
      <c r="G39" s="208" t="s">
        <v>36</v>
      </c>
      <c r="H39" s="208" t="s">
        <v>164</v>
      </c>
      <c r="I39" s="208" t="s">
        <v>158</v>
      </c>
      <c r="J39" s="208" t="s">
        <v>38</v>
      </c>
      <c r="K39" s="208" t="s">
        <v>156</v>
      </c>
      <c r="L39" s="208">
        <v>2</v>
      </c>
      <c r="N39" s="216">
        <v>2</v>
      </c>
      <c r="O39" s="208">
        <v>0.52</v>
      </c>
      <c r="P39" s="208">
        <v>0.4</v>
      </c>
      <c r="Q39" s="245">
        <f t="shared" si="2"/>
        <v>0.46</v>
      </c>
      <c r="R39" s="208">
        <v>15.4</v>
      </c>
      <c r="S39" s="208">
        <v>136</v>
      </c>
      <c r="T39" s="217">
        <f t="shared" si="0"/>
        <v>25</v>
      </c>
      <c r="U39" s="208">
        <v>429</v>
      </c>
      <c r="V39" s="217">
        <f t="shared" si="1"/>
        <v>16</v>
      </c>
      <c r="W39" s="208">
        <v>1</v>
      </c>
      <c r="X39" s="208" t="s">
        <v>46</v>
      </c>
      <c r="Y39" s="208" t="s">
        <v>69</v>
      </c>
      <c r="Z39" s="208" t="s">
        <v>47</v>
      </c>
      <c r="AA39" s="208" t="s">
        <v>88</v>
      </c>
      <c r="AB39" s="237" t="s">
        <v>455</v>
      </c>
    </row>
    <row r="40" spans="1:48" x14ac:dyDescent="0.15">
      <c r="A40" s="208" t="s">
        <v>59</v>
      </c>
      <c r="B40" s="237" t="s">
        <v>453</v>
      </c>
      <c r="C40" s="152">
        <v>2018</v>
      </c>
      <c r="D40" s="153" t="s">
        <v>454</v>
      </c>
      <c r="E40" s="208" t="s">
        <v>325</v>
      </c>
      <c r="F40" s="208" t="s">
        <v>318</v>
      </c>
      <c r="G40" s="208" t="s">
        <v>36</v>
      </c>
      <c r="H40" s="208" t="s">
        <v>164</v>
      </c>
      <c r="I40" s="208" t="s">
        <v>158</v>
      </c>
      <c r="J40" s="208" t="s">
        <v>38</v>
      </c>
      <c r="K40" s="208" t="s">
        <v>156</v>
      </c>
      <c r="L40" s="208">
        <v>3</v>
      </c>
      <c r="N40" s="216">
        <v>2</v>
      </c>
      <c r="O40" s="208">
        <v>0.56000000000000005</v>
      </c>
      <c r="P40" s="208">
        <v>0.52</v>
      </c>
      <c r="Q40" s="245">
        <f t="shared" si="2"/>
        <v>0.54</v>
      </c>
      <c r="R40" s="208">
        <v>15.1</v>
      </c>
      <c r="S40" s="208">
        <v>132</v>
      </c>
      <c r="T40" s="217">
        <f t="shared" si="0"/>
        <v>25</v>
      </c>
      <c r="U40" s="208">
        <v>429</v>
      </c>
      <c r="V40" s="217">
        <f t="shared" si="1"/>
        <v>16</v>
      </c>
      <c r="W40" s="208">
        <v>1</v>
      </c>
      <c r="X40" s="208" t="s">
        <v>46</v>
      </c>
      <c r="Y40" s="208" t="s">
        <v>69</v>
      </c>
      <c r="Z40" s="208" t="s">
        <v>47</v>
      </c>
      <c r="AA40" s="208" t="s">
        <v>88</v>
      </c>
      <c r="AB40" s="237" t="s">
        <v>455</v>
      </c>
    </row>
    <row r="41" spans="1:48" x14ac:dyDescent="0.15">
      <c r="A41" s="208" t="s">
        <v>59</v>
      </c>
      <c r="B41" s="237" t="s">
        <v>453</v>
      </c>
      <c r="C41" s="152">
        <v>2018</v>
      </c>
      <c r="D41" s="153" t="s">
        <v>454</v>
      </c>
      <c r="E41" s="208" t="s">
        <v>324</v>
      </c>
      <c r="F41" s="208" t="s">
        <v>317</v>
      </c>
      <c r="G41" s="208" t="s">
        <v>36</v>
      </c>
      <c r="H41" s="208" t="s">
        <v>164</v>
      </c>
      <c r="I41" s="208" t="s">
        <v>155</v>
      </c>
      <c r="J41" s="208" t="s">
        <v>38</v>
      </c>
      <c r="K41" s="208" t="s">
        <v>156</v>
      </c>
      <c r="L41" s="208">
        <v>1</v>
      </c>
      <c r="N41" s="208">
        <v>2</v>
      </c>
      <c r="O41" s="208">
        <v>0.2</v>
      </c>
      <c r="P41" s="208">
        <v>0.28000000000000003</v>
      </c>
      <c r="Q41" s="245">
        <f t="shared" si="2"/>
        <v>0.24000000000000002</v>
      </c>
      <c r="R41" s="208">
        <v>16</v>
      </c>
      <c r="S41" s="208">
        <v>150</v>
      </c>
      <c r="T41" s="217">
        <f t="shared" si="0"/>
        <v>22</v>
      </c>
      <c r="U41" s="208">
        <v>399</v>
      </c>
      <c r="V41" s="217">
        <f t="shared" si="1"/>
        <v>16</v>
      </c>
      <c r="W41" s="208">
        <v>12</v>
      </c>
      <c r="X41" s="208" t="s">
        <v>46</v>
      </c>
      <c r="Y41" s="208" t="s">
        <v>69</v>
      </c>
      <c r="Z41" s="208" t="s">
        <v>55</v>
      </c>
      <c r="AA41" s="208" t="s">
        <v>97</v>
      </c>
      <c r="AB41" s="237" t="s">
        <v>463</v>
      </c>
    </row>
    <row r="42" spans="1:48" x14ac:dyDescent="0.15">
      <c r="A42" s="208" t="s">
        <v>59</v>
      </c>
      <c r="B42" s="237" t="s">
        <v>441</v>
      </c>
      <c r="C42" s="152">
        <v>2018</v>
      </c>
      <c r="D42" s="153" t="s">
        <v>442</v>
      </c>
      <c r="E42" s="208" t="s">
        <v>324</v>
      </c>
      <c r="F42" s="208" t="s">
        <v>317</v>
      </c>
      <c r="G42" s="208" t="s">
        <v>36</v>
      </c>
      <c r="H42" s="208" t="s">
        <v>164</v>
      </c>
      <c r="I42" s="208" t="s">
        <v>155</v>
      </c>
      <c r="J42" s="208" t="s">
        <v>38</v>
      </c>
      <c r="K42" s="208" t="s">
        <v>156</v>
      </c>
      <c r="L42" s="208">
        <v>2</v>
      </c>
      <c r="N42" s="208">
        <v>2</v>
      </c>
      <c r="O42" s="208">
        <v>0.23</v>
      </c>
      <c r="P42" s="208">
        <v>0.25</v>
      </c>
      <c r="Q42" s="245">
        <f t="shared" si="2"/>
        <v>0.24</v>
      </c>
      <c r="R42" s="208">
        <v>16.100000000000001</v>
      </c>
      <c r="S42" s="208">
        <v>160</v>
      </c>
      <c r="T42" s="217">
        <f t="shared" si="0"/>
        <v>18</v>
      </c>
      <c r="U42" s="208">
        <v>399</v>
      </c>
      <c r="V42" s="217">
        <f t="shared" si="1"/>
        <v>16</v>
      </c>
      <c r="W42" s="208">
        <v>12</v>
      </c>
      <c r="X42" s="208" t="s">
        <v>46</v>
      </c>
      <c r="Y42" s="208" t="s">
        <v>69</v>
      </c>
      <c r="Z42" s="208" t="s">
        <v>55</v>
      </c>
      <c r="AA42" s="208" t="s">
        <v>97</v>
      </c>
      <c r="AB42" s="237" t="s">
        <v>463</v>
      </c>
    </row>
    <row r="43" spans="1:48" x14ac:dyDescent="0.15">
      <c r="A43" s="208" t="s">
        <v>59</v>
      </c>
      <c r="B43" s="237" t="s">
        <v>441</v>
      </c>
      <c r="C43" s="152">
        <v>2018</v>
      </c>
      <c r="D43" s="153" t="s">
        <v>442</v>
      </c>
      <c r="E43" s="208" t="s">
        <v>324</v>
      </c>
      <c r="F43" s="208" t="s">
        <v>317</v>
      </c>
      <c r="G43" s="208" t="s">
        <v>36</v>
      </c>
      <c r="H43" s="208" t="s">
        <v>164</v>
      </c>
      <c r="I43" s="208" t="s">
        <v>155</v>
      </c>
      <c r="J43" s="208" t="s">
        <v>38</v>
      </c>
      <c r="K43" s="208" t="s">
        <v>156</v>
      </c>
      <c r="L43" s="208">
        <v>3</v>
      </c>
      <c r="N43" s="208">
        <v>2</v>
      </c>
      <c r="O43" s="208">
        <v>0.35</v>
      </c>
      <c r="P43" s="208">
        <v>0.4</v>
      </c>
      <c r="Q43" s="245">
        <f t="shared" si="2"/>
        <v>0.375</v>
      </c>
      <c r="R43" s="208">
        <v>16</v>
      </c>
      <c r="S43" s="208">
        <v>164</v>
      </c>
      <c r="T43" s="217">
        <f t="shared" si="0"/>
        <v>18</v>
      </c>
      <c r="U43" s="208">
        <v>399</v>
      </c>
      <c r="V43" s="217">
        <f t="shared" si="1"/>
        <v>16</v>
      </c>
      <c r="W43" s="208">
        <v>12</v>
      </c>
      <c r="X43" s="208" t="s">
        <v>46</v>
      </c>
      <c r="Y43" s="208" t="s">
        <v>69</v>
      </c>
      <c r="Z43" s="208" t="s">
        <v>55</v>
      </c>
      <c r="AA43" s="208" t="s">
        <v>97</v>
      </c>
      <c r="AB43" s="237" t="s">
        <v>463</v>
      </c>
    </row>
    <row r="44" spans="1:48" x14ac:dyDescent="0.15">
      <c r="A44" s="208" t="s">
        <v>59</v>
      </c>
      <c r="B44" s="237" t="s">
        <v>441</v>
      </c>
      <c r="C44" s="152">
        <v>2018</v>
      </c>
      <c r="D44" s="153" t="s">
        <v>442</v>
      </c>
      <c r="E44" s="208" t="s">
        <v>324</v>
      </c>
      <c r="F44" s="208" t="s">
        <v>317</v>
      </c>
      <c r="G44" s="208" t="s">
        <v>36</v>
      </c>
      <c r="H44" s="208" t="s">
        <v>157</v>
      </c>
      <c r="I44" s="208" t="s">
        <v>155</v>
      </c>
      <c r="J44" s="208" t="s">
        <v>38</v>
      </c>
      <c r="K44" s="208" t="s">
        <v>156</v>
      </c>
      <c r="L44" s="208">
        <v>1</v>
      </c>
      <c r="N44" s="208">
        <v>3</v>
      </c>
      <c r="O44" s="208">
        <v>0.55000000000000004</v>
      </c>
      <c r="P44" s="208">
        <v>0.56000000000000005</v>
      </c>
      <c r="Q44" s="245">
        <f t="shared" si="2"/>
        <v>0.55500000000000005</v>
      </c>
      <c r="R44" s="208">
        <v>15.5</v>
      </c>
      <c r="S44" s="208">
        <v>126</v>
      </c>
      <c r="T44" s="217">
        <f t="shared" si="0"/>
        <v>27</v>
      </c>
      <c r="U44" s="208">
        <v>399</v>
      </c>
      <c r="V44" s="217">
        <f t="shared" si="1"/>
        <v>16</v>
      </c>
      <c r="W44" s="208">
        <v>10</v>
      </c>
      <c r="X44" s="208" t="s">
        <v>46</v>
      </c>
      <c r="Y44" s="208" t="s">
        <v>69</v>
      </c>
      <c r="Z44" s="208" t="s">
        <v>55</v>
      </c>
      <c r="AA44" s="208" t="s">
        <v>97</v>
      </c>
      <c r="AB44" s="237" t="s">
        <v>463</v>
      </c>
    </row>
    <row r="45" spans="1:48" x14ac:dyDescent="0.15">
      <c r="A45" s="208" t="s">
        <v>59</v>
      </c>
      <c r="B45" s="237" t="s">
        <v>441</v>
      </c>
      <c r="C45" s="152">
        <v>2018</v>
      </c>
      <c r="D45" s="153" t="s">
        <v>442</v>
      </c>
      <c r="E45" s="208" t="s">
        <v>324</v>
      </c>
      <c r="F45" s="208" t="s">
        <v>317</v>
      </c>
      <c r="G45" s="208" t="s">
        <v>36</v>
      </c>
      <c r="H45" s="208" t="s">
        <v>157</v>
      </c>
      <c r="I45" s="208" t="s">
        <v>155</v>
      </c>
      <c r="J45" s="208" t="s">
        <v>38</v>
      </c>
      <c r="K45" s="208" t="s">
        <v>156</v>
      </c>
      <c r="L45" s="208">
        <v>2</v>
      </c>
      <c r="N45" s="208">
        <v>3</v>
      </c>
      <c r="O45" s="208">
        <v>0.5</v>
      </c>
      <c r="P45" s="208">
        <v>0.46</v>
      </c>
      <c r="Q45" s="245">
        <f t="shared" si="2"/>
        <v>0.48</v>
      </c>
      <c r="R45" s="208">
        <v>15.6</v>
      </c>
      <c r="S45" s="208">
        <v>130</v>
      </c>
      <c r="T45" s="217">
        <f t="shared" si="0"/>
        <v>25</v>
      </c>
      <c r="U45" s="208">
        <v>399</v>
      </c>
      <c r="V45" s="217">
        <f t="shared" si="1"/>
        <v>16</v>
      </c>
      <c r="W45" s="208">
        <v>10</v>
      </c>
      <c r="X45" s="208" t="s">
        <v>46</v>
      </c>
      <c r="Y45" s="208" t="s">
        <v>69</v>
      </c>
      <c r="Z45" s="208" t="s">
        <v>55</v>
      </c>
      <c r="AA45" s="208" t="s">
        <v>97</v>
      </c>
      <c r="AB45" s="237" t="s">
        <v>463</v>
      </c>
    </row>
    <row r="46" spans="1:48" x14ac:dyDescent="0.15">
      <c r="A46" s="208" t="s">
        <v>59</v>
      </c>
      <c r="B46" s="237" t="s">
        <v>441</v>
      </c>
      <c r="C46" s="152">
        <v>2018</v>
      </c>
      <c r="D46" s="153" t="s">
        <v>442</v>
      </c>
      <c r="E46" s="208" t="s">
        <v>324</v>
      </c>
      <c r="F46" s="208" t="s">
        <v>317</v>
      </c>
      <c r="G46" s="208" t="s">
        <v>36</v>
      </c>
      <c r="H46" s="208" t="s">
        <v>157</v>
      </c>
      <c r="I46" s="208" t="s">
        <v>155</v>
      </c>
      <c r="J46" s="208" t="s">
        <v>38</v>
      </c>
      <c r="K46" s="208" t="s">
        <v>156</v>
      </c>
      <c r="L46" s="208">
        <v>3</v>
      </c>
      <c r="N46" s="208">
        <v>3</v>
      </c>
      <c r="O46" s="208">
        <v>0.55000000000000004</v>
      </c>
      <c r="P46" s="208">
        <v>0.5</v>
      </c>
      <c r="Q46" s="245">
        <f t="shared" si="2"/>
        <v>0.52500000000000002</v>
      </c>
      <c r="R46" s="208">
        <v>15.1</v>
      </c>
      <c r="S46" s="208">
        <v>125</v>
      </c>
      <c r="T46" s="217">
        <f t="shared" si="0"/>
        <v>27</v>
      </c>
      <c r="U46" s="208">
        <v>399</v>
      </c>
      <c r="V46" s="217">
        <f t="shared" si="1"/>
        <v>16</v>
      </c>
      <c r="W46" s="208">
        <v>10</v>
      </c>
      <c r="X46" s="208" t="s">
        <v>46</v>
      </c>
      <c r="Y46" s="208" t="s">
        <v>69</v>
      </c>
      <c r="Z46" s="208" t="s">
        <v>55</v>
      </c>
      <c r="AA46" s="208" t="s">
        <v>97</v>
      </c>
      <c r="AB46" s="237" t="s">
        <v>463</v>
      </c>
    </row>
    <row r="47" spans="1:48" x14ac:dyDescent="0.15">
      <c r="A47" s="208" t="s">
        <v>59</v>
      </c>
      <c r="B47" s="237" t="s">
        <v>441</v>
      </c>
      <c r="C47" s="152">
        <v>2018</v>
      </c>
      <c r="D47" s="153" t="s">
        <v>442</v>
      </c>
      <c r="E47" s="208" t="s">
        <v>324</v>
      </c>
      <c r="F47" s="208" t="s">
        <v>317</v>
      </c>
      <c r="G47" s="208" t="s">
        <v>36</v>
      </c>
      <c r="H47" s="208" t="s">
        <v>219</v>
      </c>
      <c r="I47" s="208" t="s">
        <v>155</v>
      </c>
      <c r="J47" s="208" t="s">
        <v>38</v>
      </c>
      <c r="K47" s="208" t="s">
        <v>156</v>
      </c>
      <c r="L47" s="208">
        <v>1</v>
      </c>
      <c r="N47" s="208">
        <v>4</v>
      </c>
      <c r="O47" s="208">
        <v>0.53</v>
      </c>
      <c r="P47" s="208">
        <v>0.48</v>
      </c>
      <c r="Q47" s="245">
        <f t="shared" si="2"/>
        <v>0.505</v>
      </c>
      <c r="R47" s="208">
        <v>17.899999999999999</v>
      </c>
      <c r="S47" s="208">
        <v>91</v>
      </c>
      <c r="T47" s="217">
        <f t="shared" si="0"/>
        <v>36</v>
      </c>
      <c r="U47" s="208">
        <v>380</v>
      </c>
      <c r="V47" s="217">
        <f t="shared" si="1"/>
        <v>16</v>
      </c>
      <c r="W47" s="208">
        <v>2</v>
      </c>
      <c r="X47" s="208" t="s">
        <v>39</v>
      </c>
      <c r="Y47" s="208" t="s">
        <v>69</v>
      </c>
      <c r="Z47" s="208" t="s">
        <v>55</v>
      </c>
      <c r="AA47" s="208" t="s">
        <v>97</v>
      </c>
      <c r="AB47" s="237" t="s">
        <v>463</v>
      </c>
    </row>
    <row r="48" spans="1:48" x14ac:dyDescent="0.15">
      <c r="A48" s="208" t="s">
        <v>59</v>
      </c>
      <c r="B48" s="237" t="s">
        <v>441</v>
      </c>
      <c r="C48" s="152">
        <v>2018</v>
      </c>
      <c r="D48" s="153" t="s">
        <v>442</v>
      </c>
      <c r="E48" s="208" t="s">
        <v>324</v>
      </c>
      <c r="F48" s="208" t="s">
        <v>317</v>
      </c>
      <c r="G48" s="208" t="s">
        <v>36</v>
      </c>
      <c r="H48" s="208" t="s">
        <v>219</v>
      </c>
      <c r="I48" s="208" t="s">
        <v>155</v>
      </c>
      <c r="J48" s="208" t="s">
        <v>38</v>
      </c>
      <c r="K48" s="208" t="s">
        <v>156</v>
      </c>
      <c r="L48" s="208">
        <v>2</v>
      </c>
      <c r="N48" s="208">
        <v>4</v>
      </c>
      <c r="O48" s="208">
        <v>0.6</v>
      </c>
      <c r="P48" s="208">
        <v>0.55000000000000004</v>
      </c>
      <c r="Q48" s="245">
        <f t="shared" si="2"/>
        <v>0.57499999999999996</v>
      </c>
      <c r="R48" s="208">
        <v>15.5</v>
      </c>
      <c r="S48" s="208">
        <v>92</v>
      </c>
      <c r="T48" s="217">
        <f t="shared" si="0"/>
        <v>36</v>
      </c>
      <c r="U48" s="208">
        <v>380</v>
      </c>
      <c r="V48" s="217">
        <f t="shared" si="1"/>
        <v>16</v>
      </c>
      <c r="W48" s="208">
        <v>2</v>
      </c>
      <c r="X48" s="208" t="s">
        <v>39</v>
      </c>
      <c r="Y48" s="208" t="s">
        <v>69</v>
      </c>
      <c r="Z48" s="208" t="s">
        <v>55</v>
      </c>
      <c r="AA48" s="208" t="s">
        <v>97</v>
      </c>
      <c r="AB48" s="237" t="s">
        <v>463</v>
      </c>
    </row>
    <row r="49" spans="1:28" x14ac:dyDescent="0.15">
      <c r="A49" s="208" t="s">
        <v>59</v>
      </c>
      <c r="B49" s="237" t="s">
        <v>441</v>
      </c>
      <c r="C49" s="152">
        <v>2018</v>
      </c>
      <c r="D49" s="153" t="s">
        <v>442</v>
      </c>
      <c r="E49" s="208" t="s">
        <v>324</v>
      </c>
      <c r="F49" s="208" t="s">
        <v>317</v>
      </c>
      <c r="G49" s="208" t="s">
        <v>36</v>
      </c>
      <c r="H49" s="208" t="s">
        <v>219</v>
      </c>
      <c r="I49" s="208" t="s">
        <v>155</v>
      </c>
      <c r="J49" s="208" t="s">
        <v>38</v>
      </c>
      <c r="K49" s="208" t="s">
        <v>156</v>
      </c>
      <c r="L49" s="208">
        <v>3</v>
      </c>
      <c r="N49" s="208">
        <v>4</v>
      </c>
      <c r="O49" s="208">
        <v>0.52</v>
      </c>
      <c r="P49" s="208">
        <v>0.6</v>
      </c>
      <c r="Q49" s="245">
        <f t="shared" si="2"/>
        <v>0.56000000000000005</v>
      </c>
      <c r="R49" s="208">
        <v>17.7</v>
      </c>
      <c r="S49" s="208">
        <v>92</v>
      </c>
      <c r="T49" s="217">
        <f t="shared" si="0"/>
        <v>36</v>
      </c>
      <c r="U49" s="208">
        <v>380</v>
      </c>
      <c r="V49" s="217">
        <f t="shared" si="1"/>
        <v>16</v>
      </c>
      <c r="W49" s="208">
        <v>2</v>
      </c>
      <c r="X49" s="208" t="s">
        <v>39</v>
      </c>
      <c r="Y49" s="208" t="s">
        <v>69</v>
      </c>
      <c r="Z49" s="208" t="s">
        <v>55</v>
      </c>
      <c r="AA49" s="208" t="s">
        <v>97</v>
      </c>
      <c r="AB49" s="237" t="s">
        <v>463</v>
      </c>
    </row>
    <row r="50" spans="1:28" x14ac:dyDescent="0.15">
      <c r="A50" s="208" t="s">
        <v>59</v>
      </c>
      <c r="B50" s="237" t="s">
        <v>441</v>
      </c>
      <c r="C50" s="152">
        <v>2018</v>
      </c>
      <c r="D50" s="153" t="s">
        <v>442</v>
      </c>
      <c r="E50" s="208" t="s">
        <v>322</v>
      </c>
      <c r="F50" s="208" t="s">
        <v>314</v>
      </c>
      <c r="G50" s="208" t="s">
        <v>36</v>
      </c>
      <c r="H50" s="208" t="s">
        <v>164</v>
      </c>
      <c r="I50" s="208" t="s">
        <v>155</v>
      </c>
      <c r="J50" s="208" t="s">
        <v>38</v>
      </c>
      <c r="K50" s="208" t="s">
        <v>156</v>
      </c>
      <c r="L50" s="208">
        <v>1</v>
      </c>
      <c r="N50" s="208">
        <v>4</v>
      </c>
      <c r="O50" s="208">
        <v>0.4</v>
      </c>
      <c r="P50" s="208">
        <v>0.38</v>
      </c>
      <c r="Q50" s="245">
        <f t="shared" si="2"/>
        <v>0.39</v>
      </c>
      <c r="R50" s="208">
        <v>17</v>
      </c>
      <c r="S50" s="208">
        <v>111</v>
      </c>
      <c r="T50" s="217">
        <f t="shared" si="0"/>
        <v>33</v>
      </c>
      <c r="U50" s="208">
        <v>518</v>
      </c>
      <c r="V50" s="217">
        <f t="shared" si="1"/>
        <v>16</v>
      </c>
      <c r="W50" s="208">
        <v>3</v>
      </c>
      <c r="X50" s="208" t="s">
        <v>46</v>
      </c>
      <c r="Y50" s="208" t="s">
        <v>97</v>
      </c>
      <c r="Z50" s="208" t="s">
        <v>78</v>
      </c>
      <c r="AA50" s="208" t="s">
        <v>88</v>
      </c>
      <c r="AB50" s="237" t="s">
        <v>463</v>
      </c>
    </row>
    <row r="51" spans="1:28" x14ac:dyDescent="0.15">
      <c r="A51" s="208" t="s">
        <v>59</v>
      </c>
      <c r="B51" s="237" t="s">
        <v>441</v>
      </c>
      <c r="C51" s="152">
        <v>2018</v>
      </c>
      <c r="D51" s="153" t="s">
        <v>442</v>
      </c>
      <c r="E51" s="208" t="s">
        <v>322</v>
      </c>
      <c r="F51" s="208" t="s">
        <v>314</v>
      </c>
      <c r="G51" s="208" t="s">
        <v>36</v>
      </c>
      <c r="H51" s="208" t="s">
        <v>164</v>
      </c>
      <c r="I51" s="208" t="s">
        <v>155</v>
      </c>
      <c r="J51" s="208" t="s">
        <v>38</v>
      </c>
      <c r="K51" s="208" t="s">
        <v>156</v>
      </c>
      <c r="L51" s="208">
        <v>2</v>
      </c>
      <c r="N51" s="208">
        <v>4</v>
      </c>
      <c r="O51" s="208">
        <v>0.3</v>
      </c>
      <c r="P51" s="208">
        <v>0.25</v>
      </c>
      <c r="Q51" s="245">
        <f t="shared" si="2"/>
        <v>0.27500000000000002</v>
      </c>
      <c r="R51" s="208">
        <v>13.5</v>
      </c>
      <c r="S51" s="208">
        <v>109</v>
      </c>
      <c r="T51" s="217">
        <f t="shared" si="0"/>
        <v>33</v>
      </c>
      <c r="U51" s="208">
        <v>518</v>
      </c>
      <c r="V51" s="217">
        <f t="shared" si="1"/>
        <v>16</v>
      </c>
      <c r="W51" s="208">
        <v>3</v>
      </c>
      <c r="X51" s="208" t="s">
        <v>46</v>
      </c>
      <c r="Y51" s="208" t="s">
        <v>97</v>
      </c>
      <c r="Z51" s="208" t="s">
        <v>78</v>
      </c>
      <c r="AA51" s="208" t="s">
        <v>88</v>
      </c>
      <c r="AB51" s="237" t="s">
        <v>463</v>
      </c>
    </row>
    <row r="52" spans="1:28" x14ac:dyDescent="0.15">
      <c r="A52" s="208" t="s">
        <v>59</v>
      </c>
      <c r="B52" s="237" t="s">
        <v>441</v>
      </c>
      <c r="C52" s="152">
        <v>2018</v>
      </c>
      <c r="D52" s="153" t="s">
        <v>442</v>
      </c>
      <c r="E52" s="208" t="s">
        <v>322</v>
      </c>
      <c r="F52" s="208" t="s">
        <v>314</v>
      </c>
      <c r="G52" s="208" t="s">
        <v>36</v>
      </c>
      <c r="H52" s="208" t="s">
        <v>164</v>
      </c>
      <c r="I52" s="208" t="s">
        <v>155</v>
      </c>
      <c r="J52" s="208" t="s">
        <v>38</v>
      </c>
      <c r="K52" s="208" t="s">
        <v>156</v>
      </c>
      <c r="L52" s="208">
        <v>3</v>
      </c>
      <c r="N52" s="208">
        <v>4</v>
      </c>
      <c r="O52" s="208">
        <v>0.42</v>
      </c>
      <c r="P52" s="208">
        <v>0.35</v>
      </c>
      <c r="Q52" s="245">
        <f t="shared" si="2"/>
        <v>0.38500000000000001</v>
      </c>
      <c r="R52" s="208">
        <v>16.600000000000001</v>
      </c>
      <c r="S52" s="208">
        <v>111</v>
      </c>
      <c r="T52" s="217">
        <f t="shared" si="0"/>
        <v>33</v>
      </c>
      <c r="U52" s="208">
        <v>518</v>
      </c>
      <c r="V52" s="217">
        <f t="shared" si="1"/>
        <v>16</v>
      </c>
      <c r="W52" s="208">
        <v>3</v>
      </c>
      <c r="X52" s="208" t="s">
        <v>46</v>
      </c>
      <c r="Y52" s="208" t="s">
        <v>97</v>
      </c>
      <c r="Z52" s="208" t="s">
        <v>78</v>
      </c>
      <c r="AA52" s="208" t="s">
        <v>88</v>
      </c>
      <c r="AB52" s="237" t="s">
        <v>463</v>
      </c>
    </row>
    <row r="53" spans="1:28" x14ac:dyDescent="0.15">
      <c r="A53" s="208" t="s">
        <v>59</v>
      </c>
      <c r="B53" s="237" t="s">
        <v>441</v>
      </c>
      <c r="C53" s="152">
        <v>2018</v>
      </c>
      <c r="D53" s="153" t="s">
        <v>442</v>
      </c>
      <c r="E53" s="208" t="s">
        <v>322</v>
      </c>
      <c r="F53" s="208" t="s">
        <v>314</v>
      </c>
      <c r="G53" s="208" t="s">
        <v>36</v>
      </c>
      <c r="H53" s="208" t="s">
        <v>157</v>
      </c>
      <c r="I53" s="208" t="s">
        <v>155</v>
      </c>
      <c r="J53" s="208" t="s">
        <v>38</v>
      </c>
      <c r="K53" s="208" t="s">
        <v>156</v>
      </c>
      <c r="L53" s="208">
        <v>1</v>
      </c>
      <c r="N53" s="208">
        <v>5</v>
      </c>
      <c r="O53" s="208">
        <v>0.45</v>
      </c>
      <c r="P53" s="208">
        <v>0.5</v>
      </c>
      <c r="Q53" s="245">
        <f t="shared" si="2"/>
        <v>0.47499999999999998</v>
      </c>
      <c r="R53" s="208">
        <v>14.5</v>
      </c>
      <c r="S53" s="208">
        <v>85</v>
      </c>
      <c r="T53" s="217">
        <f t="shared" si="0"/>
        <v>36</v>
      </c>
      <c r="U53" s="208">
        <v>429</v>
      </c>
      <c r="V53" s="217">
        <f t="shared" si="1"/>
        <v>16</v>
      </c>
      <c r="W53" s="208">
        <v>1</v>
      </c>
      <c r="X53" s="208" t="s">
        <v>46</v>
      </c>
      <c r="Y53" s="208" t="s">
        <v>97</v>
      </c>
      <c r="Z53" s="208" t="s">
        <v>78</v>
      </c>
      <c r="AA53" s="208" t="s">
        <v>88</v>
      </c>
      <c r="AB53" s="237" t="s">
        <v>463</v>
      </c>
    </row>
    <row r="54" spans="1:28" x14ac:dyDescent="0.15">
      <c r="A54" s="208" t="s">
        <v>59</v>
      </c>
      <c r="B54" s="237" t="s">
        <v>441</v>
      </c>
      <c r="C54" s="152">
        <v>2018</v>
      </c>
      <c r="D54" s="153" t="s">
        <v>442</v>
      </c>
      <c r="E54" s="208" t="s">
        <v>322</v>
      </c>
      <c r="F54" s="208" t="s">
        <v>314</v>
      </c>
      <c r="G54" s="208" t="s">
        <v>36</v>
      </c>
      <c r="H54" s="208" t="s">
        <v>157</v>
      </c>
      <c r="I54" s="208" t="s">
        <v>155</v>
      </c>
      <c r="J54" s="208" t="s">
        <v>38</v>
      </c>
      <c r="K54" s="208" t="s">
        <v>156</v>
      </c>
      <c r="L54" s="208">
        <v>2</v>
      </c>
      <c r="N54" s="208">
        <v>5</v>
      </c>
      <c r="O54" s="208">
        <v>0.5</v>
      </c>
      <c r="P54" s="208">
        <v>0.48</v>
      </c>
      <c r="Q54" s="245">
        <f t="shared" si="2"/>
        <v>0.49</v>
      </c>
      <c r="R54" s="208">
        <v>15.6</v>
      </c>
      <c r="S54" s="208">
        <v>89</v>
      </c>
      <c r="T54" s="217">
        <f t="shared" si="0"/>
        <v>36</v>
      </c>
      <c r="U54" s="208">
        <v>429</v>
      </c>
      <c r="V54" s="217">
        <f t="shared" si="1"/>
        <v>16</v>
      </c>
      <c r="W54" s="208">
        <v>1</v>
      </c>
      <c r="X54" s="208" t="s">
        <v>46</v>
      </c>
      <c r="Y54" s="208" t="s">
        <v>97</v>
      </c>
      <c r="Z54" s="208" t="s">
        <v>78</v>
      </c>
      <c r="AA54" s="208" t="s">
        <v>88</v>
      </c>
      <c r="AB54" s="237" t="s">
        <v>463</v>
      </c>
    </row>
    <row r="55" spans="1:28" x14ac:dyDescent="0.15">
      <c r="A55" s="208" t="s">
        <v>59</v>
      </c>
      <c r="B55" s="237" t="s">
        <v>441</v>
      </c>
      <c r="C55" s="152">
        <v>2018</v>
      </c>
      <c r="D55" s="153" t="s">
        <v>442</v>
      </c>
      <c r="E55" s="208" t="s">
        <v>322</v>
      </c>
      <c r="F55" s="208" t="s">
        <v>314</v>
      </c>
      <c r="G55" s="208" t="s">
        <v>36</v>
      </c>
      <c r="H55" s="208" t="s">
        <v>157</v>
      </c>
      <c r="I55" s="208" t="s">
        <v>155</v>
      </c>
      <c r="J55" s="208" t="s">
        <v>38</v>
      </c>
      <c r="K55" s="208" t="s">
        <v>156</v>
      </c>
      <c r="L55" s="208">
        <v>3</v>
      </c>
      <c r="N55" s="208">
        <v>5</v>
      </c>
      <c r="O55" s="208">
        <v>0.6</v>
      </c>
      <c r="P55" s="208">
        <v>0.56999999999999995</v>
      </c>
      <c r="Q55" s="245">
        <f t="shared" si="2"/>
        <v>0.58499999999999996</v>
      </c>
      <c r="R55" s="208">
        <v>14.8</v>
      </c>
      <c r="S55" s="208">
        <v>81</v>
      </c>
      <c r="T55" s="217">
        <f t="shared" si="0"/>
        <v>39</v>
      </c>
      <c r="U55" s="208">
        <v>429</v>
      </c>
      <c r="V55" s="217">
        <f t="shared" si="1"/>
        <v>16</v>
      </c>
      <c r="W55" s="208">
        <v>1</v>
      </c>
      <c r="X55" s="208" t="s">
        <v>46</v>
      </c>
      <c r="Y55" s="208" t="s">
        <v>97</v>
      </c>
      <c r="Z55" s="208" t="s">
        <v>78</v>
      </c>
      <c r="AA55" s="208" t="s">
        <v>88</v>
      </c>
      <c r="AB55" s="237" t="s">
        <v>463</v>
      </c>
    </row>
    <row r="56" spans="1:28" x14ac:dyDescent="0.15">
      <c r="A56" s="208" t="s">
        <v>59</v>
      </c>
      <c r="B56" s="237" t="s">
        <v>441</v>
      </c>
      <c r="C56" s="152">
        <v>2018</v>
      </c>
      <c r="D56" s="153" t="s">
        <v>442</v>
      </c>
      <c r="E56" s="208" t="s">
        <v>328</v>
      </c>
      <c r="F56" s="208" t="s">
        <v>319</v>
      </c>
      <c r="G56" s="208" t="s">
        <v>36</v>
      </c>
      <c r="H56" s="208" t="s">
        <v>164</v>
      </c>
      <c r="I56" s="208" t="s">
        <v>155</v>
      </c>
      <c r="J56" s="208" t="s">
        <v>38</v>
      </c>
      <c r="K56" s="208" t="s">
        <v>156</v>
      </c>
      <c r="L56" s="208">
        <v>1</v>
      </c>
      <c r="N56" s="208">
        <v>4</v>
      </c>
      <c r="O56" s="208">
        <v>0.3</v>
      </c>
      <c r="P56" s="208">
        <v>0.23</v>
      </c>
      <c r="Q56" s="245">
        <f t="shared" si="2"/>
        <v>0.26500000000000001</v>
      </c>
      <c r="R56" s="208">
        <v>18.8</v>
      </c>
      <c r="S56" s="208">
        <v>125</v>
      </c>
      <c r="T56" s="217">
        <f t="shared" si="0"/>
        <v>27</v>
      </c>
      <c r="U56" s="208">
        <v>480</v>
      </c>
      <c r="V56" s="217">
        <f t="shared" si="1"/>
        <v>16</v>
      </c>
      <c r="W56" s="208">
        <v>6</v>
      </c>
      <c r="X56" s="208" t="s">
        <v>46</v>
      </c>
      <c r="Y56" s="208" t="s">
        <v>97</v>
      </c>
      <c r="Z56" s="208" t="s">
        <v>55</v>
      </c>
      <c r="AA56" s="208" t="s">
        <v>69</v>
      </c>
      <c r="AB56" s="237" t="s">
        <v>463</v>
      </c>
    </row>
    <row r="57" spans="1:28" x14ac:dyDescent="0.15">
      <c r="A57" s="208" t="s">
        <v>59</v>
      </c>
      <c r="B57" s="237" t="s">
        <v>441</v>
      </c>
      <c r="C57" s="152">
        <v>2018</v>
      </c>
      <c r="D57" s="153" t="s">
        <v>442</v>
      </c>
      <c r="E57" s="208" t="s">
        <v>328</v>
      </c>
      <c r="F57" s="208" t="s">
        <v>319</v>
      </c>
      <c r="G57" s="208" t="s">
        <v>36</v>
      </c>
      <c r="H57" s="208" t="s">
        <v>164</v>
      </c>
      <c r="I57" s="208" t="s">
        <v>155</v>
      </c>
      <c r="J57" s="208" t="s">
        <v>38</v>
      </c>
      <c r="K57" s="208" t="s">
        <v>156</v>
      </c>
      <c r="L57" s="208">
        <v>2</v>
      </c>
      <c r="N57" s="208">
        <v>4</v>
      </c>
      <c r="O57" s="208">
        <v>0.5</v>
      </c>
      <c r="P57" s="208">
        <v>0.27</v>
      </c>
      <c r="Q57" s="245">
        <f t="shared" si="2"/>
        <v>0.38500000000000001</v>
      </c>
      <c r="R57" s="208">
        <v>16.7</v>
      </c>
      <c r="S57" s="208">
        <v>126</v>
      </c>
      <c r="T57" s="217">
        <f t="shared" si="0"/>
        <v>27</v>
      </c>
      <c r="U57" s="208">
        <v>480</v>
      </c>
      <c r="V57" s="217">
        <f t="shared" si="1"/>
        <v>16</v>
      </c>
      <c r="W57" s="208">
        <v>6</v>
      </c>
      <c r="X57" s="208" t="s">
        <v>46</v>
      </c>
      <c r="Y57" s="208" t="s">
        <v>97</v>
      </c>
      <c r="Z57" s="208" t="s">
        <v>55</v>
      </c>
      <c r="AA57" s="208" t="s">
        <v>69</v>
      </c>
      <c r="AB57" s="237" t="s">
        <v>463</v>
      </c>
    </row>
    <row r="58" spans="1:28" x14ac:dyDescent="0.15">
      <c r="A58" s="208" t="s">
        <v>59</v>
      </c>
      <c r="B58" s="237" t="s">
        <v>441</v>
      </c>
      <c r="C58" s="152">
        <v>2018</v>
      </c>
      <c r="D58" s="153" t="s">
        <v>442</v>
      </c>
      <c r="E58" s="208" t="s">
        <v>328</v>
      </c>
      <c r="F58" s="208" t="s">
        <v>319</v>
      </c>
      <c r="G58" s="208" t="s">
        <v>36</v>
      </c>
      <c r="H58" s="208" t="s">
        <v>164</v>
      </c>
      <c r="I58" s="208" t="s">
        <v>155</v>
      </c>
      <c r="J58" s="208" t="s">
        <v>38</v>
      </c>
      <c r="K58" s="208" t="s">
        <v>156</v>
      </c>
      <c r="L58" s="208">
        <v>3</v>
      </c>
      <c r="N58" s="208">
        <v>4</v>
      </c>
      <c r="O58" s="208">
        <v>0.3</v>
      </c>
      <c r="P58" s="208">
        <v>0.42</v>
      </c>
      <c r="Q58" s="245">
        <f t="shared" si="2"/>
        <v>0.36</v>
      </c>
      <c r="R58" s="208">
        <v>16.5</v>
      </c>
      <c r="S58" s="208">
        <v>126</v>
      </c>
      <c r="T58" s="217">
        <f t="shared" si="0"/>
        <v>27</v>
      </c>
      <c r="U58" s="208">
        <v>480</v>
      </c>
      <c r="V58" s="217">
        <f t="shared" si="1"/>
        <v>16</v>
      </c>
      <c r="W58" s="208">
        <v>6</v>
      </c>
      <c r="X58" s="208" t="s">
        <v>46</v>
      </c>
      <c r="Y58" s="208" t="s">
        <v>97</v>
      </c>
      <c r="Z58" s="208" t="s">
        <v>55</v>
      </c>
      <c r="AA58" s="208" t="s">
        <v>69</v>
      </c>
      <c r="AB58" s="237" t="s">
        <v>463</v>
      </c>
    </row>
    <row r="59" spans="1:28" x14ac:dyDescent="0.15">
      <c r="A59" s="208" t="s">
        <v>59</v>
      </c>
      <c r="B59" s="237" t="s">
        <v>441</v>
      </c>
      <c r="C59" s="152">
        <v>2018</v>
      </c>
      <c r="D59" s="153" t="s">
        <v>442</v>
      </c>
      <c r="E59" s="208" t="s">
        <v>328</v>
      </c>
      <c r="F59" s="208" t="s">
        <v>319</v>
      </c>
      <c r="G59" s="208" t="s">
        <v>36</v>
      </c>
      <c r="H59" s="208" t="s">
        <v>157</v>
      </c>
      <c r="I59" s="208" t="s">
        <v>155</v>
      </c>
      <c r="J59" s="208" t="s">
        <v>38</v>
      </c>
      <c r="K59" s="208" t="s">
        <v>156</v>
      </c>
      <c r="L59" s="208">
        <v>1</v>
      </c>
      <c r="N59" s="208">
        <v>4</v>
      </c>
      <c r="O59" s="208">
        <v>0.76</v>
      </c>
      <c r="P59" s="208">
        <v>0.9</v>
      </c>
      <c r="Q59" s="245">
        <f t="shared" si="2"/>
        <v>0.83000000000000007</v>
      </c>
      <c r="R59" s="208">
        <v>15.4</v>
      </c>
      <c r="S59" s="208">
        <v>149</v>
      </c>
      <c r="T59" s="217">
        <f t="shared" si="0"/>
        <v>22</v>
      </c>
      <c r="U59" s="208">
        <v>348</v>
      </c>
      <c r="V59" s="217">
        <f t="shared" si="1"/>
        <v>16</v>
      </c>
      <c r="W59" s="208">
        <v>8</v>
      </c>
      <c r="X59" s="208" t="s">
        <v>46</v>
      </c>
      <c r="Y59" s="208" t="s">
        <v>97</v>
      </c>
      <c r="Z59" s="208" t="s">
        <v>55</v>
      </c>
      <c r="AA59" s="208" t="s">
        <v>69</v>
      </c>
      <c r="AB59" s="237" t="s">
        <v>463</v>
      </c>
    </row>
    <row r="60" spans="1:28" x14ac:dyDescent="0.15">
      <c r="A60" s="208" t="s">
        <v>59</v>
      </c>
      <c r="B60" s="237" t="s">
        <v>441</v>
      </c>
      <c r="C60" s="152">
        <v>2018</v>
      </c>
      <c r="D60" s="153" t="s">
        <v>442</v>
      </c>
      <c r="E60" s="208" t="s">
        <v>328</v>
      </c>
      <c r="F60" s="208" t="s">
        <v>319</v>
      </c>
      <c r="G60" s="208" t="s">
        <v>36</v>
      </c>
      <c r="H60" s="208" t="s">
        <v>157</v>
      </c>
      <c r="I60" s="208" t="s">
        <v>155</v>
      </c>
      <c r="J60" s="208" t="s">
        <v>38</v>
      </c>
      <c r="K60" s="208" t="s">
        <v>156</v>
      </c>
      <c r="L60" s="208">
        <v>2</v>
      </c>
      <c r="N60" s="208">
        <v>4</v>
      </c>
      <c r="O60" s="208">
        <v>0.8</v>
      </c>
      <c r="P60" s="208">
        <v>0.9</v>
      </c>
      <c r="Q60" s="245">
        <f t="shared" si="2"/>
        <v>0.85000000000000009</v>
      </c>
      <c r="R60" s="208">
        <v>14.9</v>
      </c>
      <c r="S60" s="208">
        <v>142</v>
      </c>
      <c r="T60" s="217">
        <f t="shared" si="0"/>
        <v>22</v>
      </c>
      <c r="U60" s="208">
        <v>348</v>
      </c>
      <c r="V60" s="217">
        <f t="shared" si="1"/>
        <v>16</v>
      </c>
      <c r="W60" s="208">
        <v>8</v>
      </c>
      <c r="X60" s="208" t="s">
        <v>46</v>
      </c>
      <c r="Y60" s="208" t="s">
        <v>97</v>
      </c>
      <c r="Z60" s="208" t="s">
        <v>55</v>
      </c>
      <c r="AA60" s="208" t="s">
        <v>69</v>
      </c>
      <c r="AB60" s="237" t="s">
        <v>463</v>
      </c>
    </row>
    <row r="61" spans="1:28" x14ac:dyDescent="0.15">
      <c r="A61" s="208" t="s">
        <v>59</v>
      </c>
      <c r="B61" s="237" t="s">
        <v>441</v>
      </c>
      <c r="C61" s="152">
        <v>2018</v>
      </c>
      <c r="D61" s="153" t="s">
        <v>442</v>
      </c>
      <c r="E61" s="208" t="s">
        <v>328</v>
      </c>
      <c r="F61" s="208" t="s">
        <v>319</v>
      </c>
      <c r="G61" s="208" t="s">
        <v>36</v>
      </c>
      <c r="H61" s="208" t="s">
        <v>157</v>
      </c>
      <c r="I61" s="208" t="s">
        <v>155</v>
      </c>
      <c r="J61" s="208" t="s">
        <v>38</v>
      </c>
      <c r="K61" s="208" t="s">
        <v>156</v>
      </c>
      <c r="L61" s="208">
        <v>3</v>
      </c>
      <c r="N61" s="208">
        <v>4</v>
      </c>
      <c r="O61" s="208">
        <v>0.76</v>
      </c>
      <c r="P61" s="208">
        <v>0.8</v>
      </c>
      <c r="Q61" s="245">
        <f t="shared" si="2"/>
        <v>0.78</v>
      </c>
      <c r="R61" s="208">
        <v>15</v>
      </c>
      <c r="S61" s="208">
        <v>145</v>
      </c>
      <c r="T61" s="217">
        <f t="shared" si="0"/>
        <v>22</v>
      </c>
      <c r="U61" s="208">
        <v>348</v>
      </c>
      <c r="V61" s="217">
        <f t="shared" si="1"/>
        <v>16</v>
      </c>
      <c r="W61" s="208">
        <v>8</v>
      </c>
      <c r="X61" s="208" t="s">
        <v>46</v>
      </c>
      <c r="Y61" s="208" t="s">
        <v>97</v>
      </c>
      <c r="Z61" s="208" t="s">
        <v>55</v>
      </c>
      <c r="AA61" s="208" t="s">
        <v>69</v>
      </c>
      <c r="AB61" s="237" t="s">
        <v>463</v>
      </c>
    </row>
    <row r="62" spans="1:28" x14ac:dyDescent="0.15">
      <c r="A62" s="208" t="s">
        <v>59</v>
      </c>
      <c r="B62" s="237" t="s">
        <v>441</v>
      </c>
      <c r="C62" s="152">
        <v>2018</v>
      </c>
      <c r="D62" s="153" t="s">
        <v>442</v>
      </c>
      <c r="E62" s="208" t="s">
        <v>323</v>
      </c>
      <c r="F62" s="208" t="s">
        <v>316</v>
      </c>
      <c r="G62" s="208" t="s">
        <v>36</v>
      </c>
      <c r="H62" s="208" t="s">
        <v>164</v>
      </c>
      <c r="I62" s="208" t="s">
        <v>155</v>
      </c>
      <c r="J62" s="208" t="s">
        <v>38</v>
      </c>
      <c r="K62" s="208" t="s">
        <v>156</v>
      </c>
      <c r="L62" s="208">
        <v>1</v>
      </c>
      <c r="N62" s="208">
        <v>4</v>
      </c>
      <c r="O62" s="208">
        <v>0.47</v>
      </c>
      <c r="P62" s="208">
        <v>0.55000000000000004</v>
      </c>
      <c r="Q62" s="245">
        <f t="shared" si="2"/>
        <v>0.51</v>
      </c>
      <c r="R62" s="208">
        <v>15.9</v>
      </c>
      <c r="S62" s="208">
        <v>110</v>
      </c>
      <c r="T62" s="217">
        <f t="shared" si="0"/>
        <v>33</v>
      </c>
      <c r="U62" s="208">
        <v>494</v>
      </c>
      <c r="V62" s="217">
        <f t="shared" si="1"/>
        <v>16</v>
      </c>
      <c r="W62" s="208">
        <v>8</v>
      </c>
      <c r="X62" s="208" t="s">
        <v>46</v>
      </c>
      <c r="Y62" s="208" t="s">
        <v>55</v>
      </c>
      <c r="Z62" s="208" t="s">
        <v>97</v>
      </c>
      <c r="AA62" s="208" t="s">
        <v>69</v>
      </c>
      <c r="AB62" s="237" t="s">
        <v>463</v>
      </c>
    </row>
    <row r="63" spans="1:28" x14ac:dyDescent="0.15">
      <c r="A63" s="208" t="s">
        <v>59</v>
      </c>
      <c r="B63" s="237" t="s">
        <v>441</v>
      </c>
      <c r="C63" s="152">
        <v>2018</v>
      </c>
      <c r="D63" s="153" t="s">
        <v>442</v>
      </c>
      <c r="E63" s="208" t="s">
        <v>323</v>
      </c>
      <c r="F63" s="208" t="s">
        <v>316</v>
      </c>
      <c r="G63" s="208" t="s">
        <v>36</v>
      </c>
      <c r="H63" s="208" t="s">
        <v>164</v>
      </c>
      <c r="I63" s="208" t="s">
        <v>155</v>
      </c>
      <c r="J63" s="208" t="s">
        <v>38</v>
      </c>
      <c r="K63" s="208" t="s">
        <v>156</v>
      </c>
      <c r="L63" s="208">
        <v>2</v>
      </c>
      <c r="N63" s="208">
        <v>4</v>
      </c>
      <c r="O63" s="208">
        <v>0.6</v>
      </c>
      <c r="P63" s="208">
        <v>0.55000000000000004</v>
      </c>
      <c r="Q63" s="245">
        <f t="shared" si="2"/>
        <v>0.57499999999999996</v>
      </c>
      <c r="R63" s="208">
        <v>16.2</v>
      </c>
      <c r="S63" s="208">
        <v>115</v>
      </c>
      <c r="T63" s="217">
        <f t="shared" si="0"/>
        <v>30</v>
      </c>
      <c r="U63" s="208">
        <v>494</v>
      </c>
      <c r="V63" s="217">
        <f t="shared" si="1"/>
        <v>16</v>
      </c>
      <c r="W63" s="208">
        <v>8</v>
      </c>
      <c r="X63" s="208" t="s">
        <v>46</v>
      </c>
      <c r="Y63" s="208" t="s">
        <v>55</v>
      </c>
      <c r="Z63" s="208" t="s">
        <v>97</v>
      </c>
      <c r="AA63" s="208" t="s">
        <v>69</v>
      </c>
      <c r="AB63" s="237" t="s">
        <v>463</v>
      </c>
    </row>
    <row r="64" spans="1:28" x14ac:dyDescent="0.15">
      <c r="A64" s="208" t="s">
        <v>59</v>
      </c>
      <c r="B64" s="237" t="s">
        <v>441</v>
      </c>
      <c r="C64" s="152">
        <v>2018</v>
      </c>
      <c r="D64" s="153" t="s">
        <v>442</v>
      </c>
      <c r="E64" s="208" t="s">
        <v>323</v>
      </c>
      <c r="F64" s="208" t="s">
        <v>316</v>
      </c>
      <c r="G64" s="208" t="s">
        <v>36</v>
      </c>
      <c r="H64" s="208" t="s">
        <v>164</v>
      </c>
      <c r="I64" s="208" t="s">
        <v>155</v>
      </c>
      <c r="J64" s="208" t="s">
        <v>38</v>
      </c>
      <c r="K64" s="208" t="s">
        <v>156</v>
      </c>
      <c r="L64" s="208">
        <v>3</v>
      </c>
      <c r="N64" s="208">
        <v>4</v>
      </c>
      <c r="O64" s="208">
        <v>0.62</v>
      </c>
      <c r="P64" s="208">
        <v>0.56999999999999995</v>
      </c>
      <c r="Q64" s="245">
        <f t="shared" si="2"/>
        <v>0.59499999999999997</v>
      </c>
      <c r="R64" s="208">
        <v>16.5</v>
      </c>
      <c r="S64" s="208">
        <v>116</v>
      </c>
      <c r="T64" s="217">
        <f t="shared" si="0"/>
        <v>30</v>
      </c>
      <c r="U64" s="208">
        <v>494</v>
      </c>
      <c r="V64" s="217">
        <f t="shared" si="1"/>
        <v>16</v>
      </c>
      <c r="W64" s="208">
        <v>8</v>
      </c>
      <c r="X64" s="208" t="s">
        <v>46</v>
      </c>
      <c r="Y64" s="208" t="s">
        <v>55</v>
      </c>
      <c r="Z64" s="208" t="s">
        <v>97</v>
      </c>
      <c r="AA64" s="208" t="s">
        <v>69</v>
      </c>
      <c r="AB64" s="237" t="s">
        <v>463</v>
      </c>
    </row>
    <row r="65" spans="1:28" x14ac:dyDescent="0.15">
      <c r="A65" s="208" t="s">
        <v>59</v>
      </c>
      <c r="B65" s="237" t="s">
        <v>441</v>
      </c>
      <c r="C65" s="152">
        <v>2018</v>
      </c>
      <c r="D65" s="153" t="s">
        <v>442</v>
      </c>
      <c r="E65" s="208" t="s">
        <v>323</v>
      </c>
      <c r="F65" s="208" t="s">
        <v>316</v>
      </c>
      <c r="G65" s="208" t="s">
        <v>36</v>
      </c>
      <c r="H65" s="208" t="s">
        <v>157</v>
      </c>
      <c r="I65" s="208" t="s">
        <v>155</v>
      </c>
      <c r="J65" s="208" t="s">
        <v>38</v>
      </c>
      <c r="K65" s="208" t="s">
        <v>156</v>
      </c>
      <c r="L65" s="208">
        <v>1</v>
      </c>
      <c r="N65" s="208">
        <v>4</v>
      </c>
      <c r="O65" s="208">
        <v>0.56999999999999995</v>
      </c>
      <c r="P65" s="208">
        <v>0.55000000000000004</v>
      </c>
      <c r="Q65" s="245">
        <f t="shared" si="2"/>
        <v>0.56000000000000005</v>
      </c>
      <c r="R65" s="208">
        <v>15.1</v>
      </c>
      <c r="S65" s="208">
        <v>90</v>
      </c>
      <c r="T65" s="217">
        <f t="shared" si="0"/>
        <v>36</v>
      </c>
      <c r="U65" s="208">
        <v>321</v>
      </c>
      <c r="V65" s="217">
        <f t="shared" si="1"/>
        <v>16</v>
      </c>
      <c r="W65" s="208">
        <v>8</v>
      </c>
      <c r="X65" s="208" t="s">
        <v>46</v>
      </c>
      <c r="Y65" s="208" t="s">
        <v>55</v>
      </c>
      <c r="Z65" s="208" t="s">
        <v>97</v>
      </c>
      <c r="AA65" s="208" t="s">
        <v>69</v>
      </c>
      <c r="AB65" s="237" t="s">
        <v>463</v>
      </c>
    </row>
    <row r="66" spans="1:28" x14ac:dyDescent="0.15">
      <c r="A66" s="208" t="s">
        <v>59</v>
      </c>
      <c r="B66" s="237" t="s">
        <v>441</v>
      </c>
      <c r="C66" s="152">
        <v>2018</v>
      </c>
      <c r="D66" s="153" t="s">
        <v>442</v>
      </c>
      <c r="E66" s="208" t="s">
        <v>323</v>
      </c>
      <c r="F66" s="208" t="s">
        <v>316</v>
      </c>
      <c r="G66" s="208" t="s">
        <v>36</v>
      </c>
      <c r="H66" s="208" t="s">
        <v>157</v>
      </c>
      <c r="I66" s="208" t="s">
        <v>155</v>
      </c>
      <c r="J66" s="208" t="s">
        <v>38</v>
      </c>
      <c r="K66" s="208" t="s">
        <v>156</v>
      </c>
      <c r="L66" s="208">
        <v>2</v>
      </c>
      <c r="N66" s="208">
        <v>4</v>
      </c>
      <c r="O66" s="208">
        <v>0.56999999999999995</v>
      </c>
      <c r="P66" s="208">
        <v>0.66</v>
      </c>
      <c r="Q66" s="245">
        <f t="shared" si="2"/>
        <v>0.61499999999999999</v>
      </c>
      <c r="R66" s="208">
        <v>14.2</v>
      </c>
      <c r="S66" s="208">
        <v>85</v>
      </c>
      <c r="T66" s="217">
        <f t="shared" si="0"/>
        <v>36</v>
      </c>
      <c r="U66" s="208">
        <v>321</v>
      </c>
      <c r="V66" s="217">
        <f t="shared" si="1"/>
        <v>16</v>
      </c>
      <c r="W66" s="208">
        <v>8</v>
      </c>
      <c r="X66" s="208" t="s">
        <v>46</v>
      </c>
      <c r="Y66" s="208" t="s">
        <v>55</v>
      </c>
      <c r="Z66" s="208" t="s">
        <v>97</v>
      </c>
      <c r="AA66" s="208" t="s">
        <v>69</v>
      </c>
      <c r="AB66" s="237" t="s">
        <v>463</v>
      </c>
    </row>
    <row r="67" spans="1:28" x14ac:dyDescent="0.15">
      <c r="A67" s="208" t="s">
        <v>59</v>
      </c>
      <c r="B67" s="237" t="s">
        <v>441</v>
      </c>
      <c r="C67" s="152">
        <v>2018</v>
      </c>
      <c r="D67" s="153" t="s">
        <v>442</v>
      </c>
      <c r="E67" s="208" t="s">
        <v>323</v>
      </c>
      <c r="F67" s="208" t="s">
        <v>316</v>
      </c>
      <c r="G67" s="208" t="s">
        <v>36</v>
      </c>
      <c r="H67" s="208" t="s">
        <v>157</v>
      </c>
      <c r="I67" s="208" t="s">
        <v>155</v>
      </c>
      <c r="J67" s="208" t="s">
        <v>38</v>
      </c>
      <c r="K67" s="208" t="s">
        <v>156</v>
      </c>
      <c r="L67" s="208">
        <v>3</v>
      </c>
      <c r="N67" s="208">
        <v>4</v>
      </c>
      <c r="O67" s="208">
        <v>0.6</v>
      </c>
      <c r="P67" s="208">
        <v>0.67</v>
      </c>
      <c r="Q67" s="245">
        <f t="shared" si="2"/>
        <v>0.63500000000000001</v>
      </c>
      <c r="R67" s="208">
        <v>15.2</v>
      </c>
      <c r="S67" s="208">
        <v>92</v>
      </c>
      <c r="T67" s="217">
        <f t="shared" si="0"/>
        <v>36</v>
      </c>
      <c r="U67" s="208">
        <v>321</v>
      </c>
      <c r="V67" s="217">
        <f t="shared" si="1"/>
        <v>16</v>
      </c>
      <c r="W67" s="208">
        <v>8</v>
      </c>
      <c r="X67" s="208" t="s">
        <v>46</v>
      </c>
      <c r="Y67" s="208" t="s">
        <v>55</v>
      </c>
      <c r="Z67" s="208" t="s">
        <v>97</v>
      </c>
      <c r="AA67" s="208" t="s">
        <v>69</v>
      </c>
      <c r="AB67" s="237" t="s">
        <v>463</v>
      </c>
    </row>
    <row r="68" spans="1:28" x14ac:dyDescent="0.15">
      <c r="B68" s="237"/>
      <c r="C68" s="152"/>
      <c r="D68" s="153"/>
      <c r="Q68" s="245" t="str">
        <f t="shared" si="2"/>
        <v/>
      </c>
      <c r="T68" s="217" t="str">
        <f t="shared" si="0"/>
        <v/>
      </c>
      <c r="V68" s="217" t="str">
        <f t="shared" si="1"/>
        <v/>
      </c>
      <c r="AB68" s="237"/>
    </row>
    <row r="69" spans="1:28" x14ac:dyDescent="0.15">
      <c r="B69" s="237"/>
      <c r="C69" s="152"/>
      <c r="D69" s="153"/>
      <c r="Q69" s="245" t="str">
        <f t="shared" si="2"/>
        <v/>
      </c>
      <c r="T69" s="217" t="str">
        <f t="shared" si="0"/>
        <v/>
      </c>
      <c r="V69" s="217" t="str">
        <f t="shared" si="1"/>
        <v/>
      </c>
      <c r="AB69" s="237"/>
    </row>
    <row r="70" spans="1:28" x14ac:dyDescent="0.15">
      <c r="B70" s="237"/>
      <c r="C70" s="152"/>
      <c r="D70" s="153"/>
      <c r="Q70" s="245" t="str">
        <f t="shared" si="2"/>
        <v/>
      </c>
      <c r="T70" s="217" t="str">
        <f t="shared" si="0"/>
        <v/>
      </c>
      <c r="V70" s="217" t="str">
        <f t="shared" si="1"/>
        <v/>
      </c>
      <c r="AB70" s="237"/>
    </row>
    <row r="71" spans="1:28" x14ac:dyDescent="0.15">
      <c r="B71" s="237"/>
      <c r="C71" s="152"/>
      <c r="D71" s="153"/>
      <c r="Q71" s="245" t="str">
        <f t="shared" si="2"/>
        <v/>
      </c>
      <c r="T71" s="217" t="str">
        <f t="shared" si="0"/>
        <v/>
      </c>
      <c r="AB71" s="237"/>
    </row>
    <row r="72" spans="1:28" x14ac:dyDescent="0.15">
      <c r="B72" s="237"/>
      <c r="C72" s="152"/>
      <c r="D72" s="153"/>
      <c r="Q72" s="245" t="str">
        <f t="shared" si="2"/>
        <v/>
      </c>
      <c r="T72" s="217" t="str">
        <f t="shared" si="0"/>
        <v/>
      </c>
      <c r="AB72" s="237"/>
    </row>
    <row r="73" spans="1:28" x14ac:dyDescent="0.15">
      <c r="B73" s="237"/>
      <c r="C73" s="152"/>
      <c r="D73" s="153"/>
      <c r="Q73" s="245" t="str">
        <f t="shared" si="2"/>
        <v/>
      </c>
      <c r="T73" s="217" t="str">
        <f t="shared" si="0"/>
        <v/>
      </c>
      <c r="AB73" s="237"/>
    </row>
    <row r="74" spans="1:28" x14ac:dyDescent="0.15">
      <c r="B74" s="237"/>
      <c r="C74" s="152"/>
      <c r="D74" s="153"/>
      <c r="Q74" s="245"/>
      <c r="AB74" s="237"/>
    </row>
    <row r="75" spans="1:28" x14ac:dyDescent="0.15">
      <c r="B75" s="237"/>
      <c r="C75" s="152"/>
      <c r="D75" s="153"/>
      <c r="Q75" s="245"/>
      <c r="AB75" s="237"/>
    </row>
    <row r="76" spans="1:28" x14ac:dyDescent="0.15">
      <c r="B76" s="237"/>
      <c r="C76" s="152"/>
      <c r="D76" s="153"/>
      <c r="Q76" s="245"/>
      <c r="AB76" s="237"/>
    </row>
    <row r="77" spans="1:28" x14ac:dyDescent="0.15">
      <c r="B77" s="237"/>
      <c r="C77" s="152"/>
      <c r="D77" s="153"/>
      <c r="Q77" s="245"/>
      <c r="AB77" s="237"/>
    </row>
    <row r="78" spans="1:28" x14ac:dyDescent="0.15">
      <c r="B78" s="237"/>
      <c r="C78" s="152"/>
      <c r="D78" s="153"/>
      <c r="Q78" s="245"/>
      <c r="AB78" s="237"/>
    </row>
    <row r="79" spans="1:28" x14ac:dyDescent="0.15">
      <c r="B79" s="237"/>
      <c r="C79" s="152"/>
      <c r="D79" s="153"/>
      <c r="Q79" s="245"/>
      <c r="AB79" s="237"/>
    </row>
    <row r="80" spans="1:28" x14ac:dyDescent="0.15">
      <c r="B80" s="237"/>
      <c r="C80" s="152"/>
      <c r="D80" s="153"/>
      <c r="Q80" s="245"/>
      <c r="AB80" s="237"/>
    </row>
    <row r="81" spans="2:28" x14ac:dyDescent="0.15">
      <c r="B81" s="237"/>
      <c r="C81" s="152"/>
      <c r="D81" s="153"/>
      <c r="Q81" s="245"/>
      <c r="AB81" s="237"/>
    </row>
    <row r="82" spans="2:28" x14ac:dyDescent="0.15">
      <c r="B82" s="237"/>
      <c r="C82" s="152"/>
      <c r="D82" s="153"/>
      <c r="Q82" s="245"/>
      <c r="AB82" s="237"/>
    </row>
    <row r="83" spans="2:28" x14ac:dyDescent="0.15">
      <c r="B83" s="237"/>
      <c r="C83" s="152"/>
      <c r="Q83" s="245"/>
      <c r="AB83" s="237"/>
    </row>
    <row r="84" spans="2:28" x14ac:dyDescent="0.15">
      <c r="B84" s="237"/>
      <c r="C84" s="152"/>
      <c r="Q84" s="245"/>
      <c r="AB84" s="237"/>
    </row>
    <row r="85" spans="2:28" x14ac:dyDescent="0.15">
      <c r="B85" s="237"/>
      <c r="C85" s="152"/>
      <c r="Q85" s="245"/>
      <c r="AB85" s="237"/>
    </row>
    <row r="86" spans="2:28" x14ac:dyDescent="0.15">
      <c r="B86" s="237"/>
      <c r="C86" s="152"/>
      <c r="Q86" s="245"/>
      <c r="AB86" s="237"/>
    </row>
    <row r="87" spans="2:28" x14ac:dyDescent="0.15">
      <c r="B87" s="237"/>
      <c r="C87" s="152"/>
      <c r="Q87" s="245"/>
      <c r="AB87" s="237"/>
    </row>
    <row r="88" spans="2:28" x14ac:dyDescent="0.15">
      <c r="B88" s="237"/>
      <c r="C88" s="152"/>
      <c r="Q88" s="245"/>
      <c r="AB88" s="237"/>
    </row>
    <row r="89" spans="2:28" x14ac:dyDescent="0.15">
      <c r="B89" s="237"/>
      <c r="C89" s="152"/>
      <c r="Q89" s="245"/>
      <c r="AB89" s="237"/>
    </row>
    <row r="90" spans="2:28" x14ac:dyDescent="0.15">
      <c r="B90" s="237"/>
      <c r="C90" s="152"/>
      <c r="Q90" s="245"/>
      <c r="AB90" s="237"/>
    </row>
    <row r="91" spans="2:28" x14ac:dyDescent="0.15">
      <c r="B91" s="237"/>
      <c r="C91" s="152"/>
      <c r="Q91" s="245"/>
      <c r="AB91" s="237"/>
    </row>
    <row r="92" spans="2:28" x14ac:dyDescent="0.15">
      <c r="B92" s="237"/>
      <c r="C92" s="152"/>
      <c r="Q92" s="245"/>
      <c r="AB92" s="237"/>
    </row>
    <row r="93" spans="2:28" x14ac:dyDescent="0.15">
      <c r="B93" s="237"/>
      <c r="C93" s="152"/>
      <c r="Q93" s="245"/>
      <c r="AB93" s="237"/>
    </row>
    <row r="94" spans="2:28" x14ac:dyDescent="0.15">
      <c r="B94" s="237"/>
      <c r="C94" s="152"/>
      <c r="Q94" s="245"/>
      <c r="AB94" s="237"/>
    </row>
    <row r="95" spans="2:28" x14ac:dyDescent="0.15">
      <c r="B95" s="237"/>
      <c r="C95" s="152"/>
      <c r="Q95" s="245"/>
      <c r="AB95" s="237"/>
    </row>
    <row r="96" spans="2:28" x14ac:dyDescent="0.15">
      <c r="B96" s="237"/>
      <c r="C96" s="152"/>
      <c r="Q96" s="245"/>
      <c r="AB96" s="237"/>
    </row>
    <row r="97" spans="2:28" x14ac:dyDescent="0.15">
      <c r="B97" s="237"/>
      <c r="C97" s="152"/>
      <c r="Q97" s="245"/>
      <c r="AB97" s="237"/>
    </row>
    <row r="98" spans="2:28" x14ac:dyDescent="0.15">
      <c r="B98" s="237"/>
      <c r="C98" s="152"/>
      <c r="Q98" s="245"/>
      <c r="AB98" s="237"/>
    </row>
    <row r="99" spans="2:28" x14ac:dyDescent="0.15">
      <c r="B99" s="237"/>
      <c r="C99" s="152"/>
      <c r="AB99" s="237"/>
    </row>
    <row r="100" spans="2:28" x14ac:dyDescent="0.15">
      <c r="B100" s="237"/>
      <c r="C100" s="152"/>
      <c r="AB100" s="237"/>
    </row>
    <row r="101" spans="2:28" x14ac:dyDescent="0.15">
      <c r="Q101" s="217" t="str">
        <f t="shared" ref="Q101:Q152" si="3">IF(OR(O101="",P101=""),"",AVERAGE(O101,P101))</f>
        <v/>
      </c>
      <c r="T101" s="217" t="str">
        <f t="shared" ref="T101:T152" si="4">IF(H101="","",IF(OR(H101="GREEN",H101="GK"),IF(S101&gt;=$AX$2,VLOOKUP(S101,$AX$2:$AY$12,2,1),""),IF(S101&gt;=$AZ$2,VLOOKUP(S101,$AZ$2:$BA$12,2,1),"")))</f>
        <v/>
      </c>
      <c r="V101" s="217" t="str">
        <f t="shared" ref="V101:V152" si="5">IF(J101="","",IF(OR(J101="GREEN",J101="GK"),IF(U101&gt;=$AX$2,VLOOKUP(U101,$AX$2:$AY$12,2,1),""),IF(U101&gt;=$AZ$2,VLOOKUP(U101,$AZ$2:$BA$12,2,1),"")))</f>
        <v/>
      </c>
      <c r="AB101" s="237"/>
    </row>
    <row r="102" spans="2:28" x14ac:dyDescent="0.15">
      <c r="Q102" s="217" t="str">
        <f t="shared" si="3"/>
        <v/>
      </c>
      <c r="T102" s="217" t="str">
        <f t="shared" si="4"/>
        <v/>
      </c>
      <c r="V102" s="217" t="str">
        <f t="shared" si="5"/>
        <v/>
      </c>
    </row>
    <row r="103" spans="2:28" x14ac:dyDescent="0.15">
      <c r="Q103" s="217" t="str">
        <f t="shared" si="3"/>
        <v/>
      </c>
      <c r="T103" s="217" t="str">
        <f t="shared" si="4"/>
        <v/>
      </c>
      <c r="V103" s="217" t="str">
        <f t="shared" si="5"/>
        <v/>
      </c>
    </row>
    <row r="104" spans="2:28" x14ac:dyDescent="0.15">
      <c r="Q104" s="217" t="str">
        <f t="shared" si="3"/>
        <v/>
      </c>
      <c r="T104" s="217" t="str">
        <f t="shared" si="4"/>
        <v/>
      </c>
      <c r="V104" s="217" t="str">
        <f t="shared" si="5"/>
        <v/>
      </c>
    </row>
    <row r="105" spans="2:28" x14ac:dyDescent="0.15">
      <c r="Q105" s="217" t="str">
        <f t="shared" si="3"/>
        <v/>
      </c>
      <c r="T105" s="217" t="str">
        <f t="shared" si="4"/>
        <v/>
      </c>
      <c r="V105" s="217" t="str">
        <f t="shared" si="5"/>
        <v/>
      </c>
    </row>
    <row r="106" spans="2:28" x14ac:dyDescent="0.15">
      <c r="Q106" s="217" t="str">
        <f t="shared" si="3"/>
        <v/>
      </c>
      <c r="T106" s="217" t="str">
        <f t="shared" si="4"/>
        <v/>
      </c>
      <c r="V106" s="217" t="str">
        <f t="shared" si="5"/>
        <v/>
      </c>
    </row>
    <row r="107" spans="2:28" x14ac:dyDescent="0.15">
      <c r="Q107" s="217" t="str">
        <f t="shared" si="3"/>
        <v/>
      </c>
      <c r="T107" s="217" t="str">
        <f t="shared" si="4"/>
        <v/>
      </c>
      <c r="V107" s="217" t="str">
        <f t="shared" si="5"/>
        <v/>
      </c>
    </row>
    <row r="108" spans="2:28" x14ac:dyDescent="0.15">
      <c r="Q108" s="217" t="str">
        <f t="shared" si="3"/>
        <v/>
      </c>
      <c r="T108" s="217" t="str">
        <f t="shared" si="4"/>
        <v/>
      </c>
      <c r="V108" s="217" t="str">
        <f t="shared" si="5"/>
        <v/>
      </c>
    </row>
    <row r="109" spans="2:28" x14ac:dyDescent="0.15">
      <c r="Q109" s="217" t="str">
        <f t="shared" si="3"/>
        <v/>
      </c>
      <c r="T109" s="217" t="str">
        <f t="shared" si="4"/>
        <v/>
      </c>
      <c r="V109" s="217" t="str">
        <f t="shared" si="5"/>
        <v/>
      </c>
    </row>
    <row r="110" spans="2:28" x14ac:dyDescent="0.15">
      <c r="Q110" s="217" t="str">
        <f t="shared" si="3"/>
        <v/>
      </c>
      <c r="T110" s="217" t="str">
        <f t="shared" si="4"/>
        <v/>
      </c>
      <c r="V110" s="217" t="str">
        <f t="shared" si="5"/>
        <v/>
      </c>
    </row>
    <row r="111" spans="2:28" x14ac:dyDescent="0.15">
      <c r="Q111" s="217" t="str">
        <f t="shared" si="3"/>
        <v/>
      </c>
      <c r="T111" s="217" t="str">
        <f t="shared" si="4"/>
        <v/>
      </c>
      <c r="V111" s="217" t="str">
        <f t="shared" si="5"/>
        <v/>
      </c>
    </row>
    <row r="112" spans="2:28" x14ac:dyDescent="0.15">
      <c r="Q112" s="217" t="str">
        <f t="shared" si="3"/>
        <v/>
      </c>
      <c r="T112" s="217" t="str">
        <f t="shared" si="4"/>
        <v/>
      </c>
      <c r="V112" s="217" t="str">
        <f t="shared" si="5"/>
        <v/>
      </c>
    </row>
    <row r="113" spans="17:22" x14ac:dyDescent="0.15">
      <c r="Q113" s="217" t="str">
        <f t="shared" si="3"/>
        <v/>
      </c>
      <c r="T113" s="217" t="str">
        <f t="shared" si="4"/>
        <v/>
      </c>
      <c r="V113" s="217" t="str">
        <f t="shared" si="5"/>
        <v/>
      </c>
    </row>
    <row r="114" spans="17:22" x14ac:dyDescent="0.15">
      <c r="Q114" s="217" t="str">
        <f t="shared" si="3"/>
        <v/>
      </c>
      <c r="T114" s="217" t="str">
        <f t="shared" si="4"/>
        <v/>
      </c>
      <c r="V114" s="217" t="str">
        <f t="shared" si="5"/>
        <v/>
      </c>
    </row>
    <row r="115" spans="17:22" x14ac:dyDescent="0.15">
      <c r="Q115" s="217" t="str">
        <f t="shared" si="3"/>
        <v/>
      </c>
      <c r="T115" s="217" t="str">
        <f t="shared" si="4"/>
        <v/>
      </c>
      <c r="V115" s="217" t="str">
        <f t="shared" si="5"/>
        <v/>
      </c>
    </row>
    <row r="116" spans="17:22" x14ac:dyDescent="0.15">
      <c r="Q116" s="217" t="str">
        <f t="shared" si="3"/>
        <v/>
      </c>
      <c r="T116" s="217" t="str">
        <f t="shared" si="4"/>
        <v/>
      </c>
      <c r="V116" s="217" t="str">
        <f t="shared" si="5"/>
        <v/>
      </c>
    </row>
    <row r="117" spans="17:22" x14ac:dyDescent="0.15">
      <c r="Q117" s="217" t="str">
        <f t="shared" si="3"/>
        <v/>
      </c>
      <c r="T117" s="217" t="str">
        <f t="shared" si="4"/>
        <v/>
      </c>
      <c r="V117" s="217" t="str">
        <f t="shared" si="5"/>
        <v/>
      </c>
    </row>
    <row r="118" spans="17:22" x14ac:dyDescent="0.15">
      <c r="Q118" s="217" t="str">
        <f t="shared" si="3"/>
        <v/>
      </c>
      <c r="T118" s="217" t="str">
        <f t="shared" si="4"/>
        <v/>
      </c>
      <c r="V118" s="217" t="str">
        <f t="shared" si="5"/>
        <v/>
      </c>
    </row>
    <row r="119" spans="17:22" x14ac:dyDescent="0.15">
      <c r="Q119" s="217" t="str">
        <f t="shared" si="3"/>
        <v/>
      </c>
      <c r="T119" s="217" t="str">
        <f t="shared" si="4"/>
        <v/>
      </c>
      <c r="V119" s="217" t="str">
        <f t="shared" si="5"/>
        <v/>
      </c>
    </row>
    <row r="120" spans="17:22" x14ac:dyDescent="0.15">
      <c r="Q120" s="217" t="str">
        <f t="shared" si="3"/>
        <v/>
      </c>
      <c r="T120" s="217" t="str">
        <f t="shared" si="4"/>
        <v/>
      </c>
      <c r="V120" s="217" t="str">
        <f t="shared" si="5"/>
        <v/>
      </c>
    </row>
    <row r="121" spans="17:22" x14ac:dyDescent="0.15">
      <c r="Q121" s="217" t="str">
        <f t="shared" si="3"/>
        <v/>
      </c>
      <c r="T121" s="217" t="str">
        <f t="shared" si="4"/>
        <v/>
      </c>
      <c r="V121" s="217" t="str">
        <f t="shared" si="5"/>
        <v/>
      </c>
    </row>
    <row r="122" spans="17:22" x14ac:dyDescent="0.15">
      <c r="Q122" s="217" t="str">
        <f t="shared" si="3"/>
        <v/>
      </c>
      <c r="T122" s="217" t="str">
        <f t="shared" si="4"/>
        <v/>
      </c>
      <c r="V122" s="217" t="str">
        <f t="shared" si="5"/>
        <v/>
      </c>
    </row>
    <row r="123" spans="17:22" x14ac:dyDescent="0.15">
      <c r="Q123" s="217" t="str">
        <f t="shared" si="3"/>
        <v/>
      </c>
      <c r="T123" s="217" t="str">
        <f t="shared" si="4"/>
        <v/>
      </c>
      <c r="V123" s="217" t="str">
        <f t="shared" si="5"/>
        <v/>
      </c>
    </row>
    <row r="124" spans="17:22" x14ac:dyDescent="0.15">
      <c r="Q124" s="217" t="str">
        <f t="shared" si="3"/>
        <v/>
      </c>
      <c r="T124" s="217" t="str">
        <f t="shared" si="4"/>
        <v/>
      </c>
      <c r="V124" s="217" t="str">
        <f t="shared" si="5"/>
        <v/>
      </c>
    </row>
    <row r="125" spans="17:22" x14ac:dyDescent="0.15">
      <c r="Q125" s="217" t="str">
        <f t="shared" si="3"/>
        <v/>
      </c>
      <c r="T125" s="217" t="str">
        <f t="shared" si="4"/>
        <v/>
      </c>
      <c r="V125" s="217" t="str">
        <f t="shared" si="5"/>
        <v/>
      </c>
    </row>
    <row r="126" spans="17:22" x14ac:dyDescent="0.15">
      <c r="Q126" s="217" t="str">
        <f t="shared" si="3"/>
        <v/>
      </c>
      <c r="T126" s="217" t="str">
        <f t="shared" si="4"/>
        <v/>
      </c>
      <c r="V126" s="217" t="str">
        <f t="shared" si="5"/>
        <v/>
      </c>
    </row>
    <row r="127" spans="17:22" x14ac:dyDescent="0.15">
      <c r="Q127" s="217" t="str">
        <f t="shared" si="3"/>
        <v/>
      </c>
      <c r="T127" s="217" t="str">
        <f t="shared" si="4"/>
        <v/>
      </c>
      <c r="V127" s="217" t="str">
        <f t="shared" si="5"/>
        <v/>
      </c>
    </row>
    <row r="128" spans="17:22" x14ac:dyDescent="0.15">
      <c r="Q128" s="217" t="str">
        <f t="shared" si="3"/>
        <v/>
      </c>
      <c r="T128" s="217" t="str">
        <f t="shared" si="4"/>
        <v/>
      </c>
      <c r="V128" s="217" t="str">
        <f t="shared" si="5"/>
        <v/>
      </c>
    </row>
    <row r="129" spans="17:22" x14ac:dyDescent="0.15">
      <c r="Q129" s="217" t="str">
        <f t="shared" si="3"/>
        <v/>
      </c>
      <c r="T129" s="217" t="str">
        <f t="shared" si="4"/>
        <v/>
      </c>
      <c r="V129" s="217" t="str">
        <f t="shared" si="5"/>
        <v/>
      </c>
    </row>
    <row r="130" spans="17:22" x14ac:dyDescent="0.15">
      <c r="Q130" s="217" t="str">
        <f t="shared" si="3"/>
        <v/>
      </c>
      <c r="T130" s="217" t="str">
        <f t="shared" si="4"/>
        <v/>
      </c>
      <c r="V130" s="217" t="str">
        <f t="shared" si="5"/>
        <v/>
      </c>
    </row>
    <row r="131" spans="17:22" x14ac:dyDescent="0.15">
      <c r="Q131" s="217" t="str">
        <f t="shared" si="3"/>
        <v/>
      </c>
      <c r="T131" s="217" t="str">
        <f t="shared" si="4"/>
        <v/>
      </c>
      <c r="V131" s="217" t="str">
        <f t="shared" si="5"/>
        <v/>
      </c>
    </row>
    <row r="132" spans="17:22" x14ac:dyDescent="0.15">
      <c r="Q132" s="217" t="str">
        <f t="shared" si="3"/>
        <v/>
      </c>
      <c r="T132" s="217" t="str">
        <f t="shared" si="4"/>
        <v/>
      </c>
      <c r="V132" s="217" t="str">
        <f t="shared" si="5"/>
        <v/>
      </c>
    </row>
    <row r="133" spans="17:22" x14ac:dyDescent="0.15">
      <c r="Q133" s="217" t="str">
        <f t="shared" si="3"/>
        <v/>
      </c>
      <c r="T133" s="217" t="str">
        <f t="shared" si="4"/>
        <v/>
      </c>
      <c r="V133" s="217" t="str">
        <f t="shared" si="5"/>
        <v/>
      </c>
    </row>
    <row r="134" spans="17:22" x14ac:dyDescent="0.15">
      <c r="Q134" s="217" t="str">
        <f t="shared" si="3"/>
        <v/>
      </c>
      <c r="T134" s="217" t="str">
        <f t="shared" si="4"/>
        <v/>
      </c>
      <c r="V134" s="217" t="str">
        <f t="shared" si="5"/>
        <v/>
      </c>
    </row>
    <row r="135" spans="17:22" x14ac:dyDescent="0.15">
      <c r="Q135" s="217" t="str">
        <f t="shared" si="3"/>
        <v/>
      </c>
      <c r="T135" s="217" t="str">
        <f t="shared" si="4"/>
        <v/>
      </c>
      <c r="V135" s="217" t="str">
        <f t="shared" si="5"/>
        <v/>
      </c>
    </row>
    <row r="136" spans="17:22" x14ac:dyDescent="0.15">
      <c r="Q136" s="217" t="str">
        <f t="shared" si="3"/>
        <v/>
      </c>
      <c r="T136" s="217" t="str">
        <f t="shared" si="4"/>
        <v/>
      </c>
      <c r="V136" s="217" t="str">
        <f t="shared" si="5"/>
        <v/>
      </c>
    </row>
    <row r="137" spans="17:22" x14ac:dyDescent="0.15">
      <c r="Q137" s="217" t="str">
        <f t="shared" si="3"/>
        <v/>
      </c>
      <c r="T137" s="217" t="str">
        <f t="shared" si="4"/>
        <v/>
      </c>
      <c r="V137" s="217" t="str">
        <f t="shared" si="5"/>
        <v/>
      </c>
    </row>
    <row r="138" spans="17:22" x14ac:dyDescent="0.15">
      <c r="Q138" s="217" t="str">
        <f t="shared" si="3"/>
        <v/>
      </c>
      <c r="T138" s="217" t="str">
        <f t="shared" si="4"/>
        <v/>
      </c>
      <c r="V138" s="217" t="str">
        <f t="shared" si="5"/>
        <v/>
      </c>
    </row>
    <row r="139" spans="17:22" x14ac:dyDescent="0.15">
      <c r="Q139" s="217" t="str">
        <f t="shared" si="3"/>
        <v/>
      </c>
      <c r="T139" s="217" t="str">
        <f t="shared" si="4"/>
        <v/>
      </c>
      <c r="V139" s="217" t="str">
        <f t="shared" si="5"/>
        <v/>
      </c>
    </row>
    <row r="140" spans="17:22" x14ac:dyDescent="0.15">
      <c r="Q140" s="217" t="str">
        <f t="shared" si="3"/>
        <v/>
      </c>
      <c r="T140" s="217" t="str">
        <f t="shared" si="4"/>
        <v/>
      </c>
      <c r="V140" s="217" t="str">
        <f t="shared" si="5"/>
        <v/>
      </c>
    </row>
    <row r="141" spans="17:22" x14ac:dyDescent="0.15">
      <c r="Q141" s="217" t="str">
        <f t="shared" si="3"/>
        <v/>
      </c>
      <c r="T141" s="217" t="str">
        <f t="shared" si="4"/>
        <v/>
      </c>
      <c r="V141" s="217" t="str">
        <f t="shared" si="5"/>
        <v/>
      </c>
    </row>
    <row r="142" spans="17:22" x14ac:dyDescent="0.15">
      <c r="Q142" s="217" t="str">
        <f t="shared" si="3"/>
        <v/>
      </c>
      <c r="T142" s="217" t="str">
        <f t="shared" si="4"/>
        <v/>
      </c>
      <c r="V142" s="217" t="str">
        <f t="shared" si="5"/>
        <v/>
      </c>
    </row>
    <row r="143" spans="17:22" x14ac:dyDescent="0.15">
      <c r="Q143" s="217" t="str">
        <f t="shared" si="3"/>
        <v/>
      </c>
      <c r="T143" s="217" t="str">
        <f t="shared" si="4"/>
        <v/>
      </c>
      <c r="V143" s="217" t="str">
        <f t="shared" si="5"/>
        <v/>
      </c>
    </row>
    <row r="144" spans="17:22" x14ac:dyDescent="0.15">
      <c r="Q144" s="217" t="str">
        <f t="shared" si="3"/>
        <v/>
      </c>
      <c r="T144" s="217" t="str">
        <f t="shared" si="4"/>
        <v/>
      </c>
      <c r="V144" s="217" t="str">
        <f t="shared" si="5"/>
        <v/>
      </c>
    </row>
    <row r="145" spans="17:22" x14ac:dyDescent="0.15">
      <c r="Q145" s="217" t="str">
        <f t="shared" si="3"/>
        <v/>
      </c>
      <c r="T145" s="217" t="str">
        <f t="shared" si="4"/>
        <v/>
      </c>
      <c r="V145" s="217" t="str">
        <f t="shared" si="5"/>
        <v/>
      </c>
    </row>
    <row r="146" spans="17:22" x14ac:dyDescent="0.15">
      <c r="Q146" s="217" t="str">
        <f t="shared" si="3"/>
        <v/>
      </c>
      <c r="T146" s="217" t="str">
        <f t="shared" si="4"/>
        <v/>
      </c>
      <c r="V146" s="217" t="str">
        <f t="shared" si="5"/>
        <v/>
      </c>
    </row>
    <row r="147" spans="17:22" x14ac:dyDescent="0.15">
      <c r="Q147" s="217" t="str">
        <f t="shared" si="3"/>
        <v/>
      </c>
      <c r="T147" s="217" t="str">
        <f t="shared" si="4"/>
        <v/>
      </c>
      <c r="V147" s="217" t="str">
        <f t="shared" si="5"/>
        <v/>
      </c>
    </row>
    <row r="148" spans="17:22" x14ac:dyDescent="0.15">
      <c r="Q148" s="217" t="str">
        <f t="shared" si="3"/>
        <v/>
      </c>
      <c r="T148" s="217" t="str">
        <f t="shared" si="4"/>
        <v/>
      </c>
      <c r="V148" s="217" t="str">
        <f t="shared" si="5"/>
        <v/>
      </c>
    </row>
    <row r="149" spans="17:22" x14ac:dyDescent="0.15">
      <c r="Q149" s="217" t="str">
        <f t="shared" si="3"/>
        <v/>
      </c>
      <c r="T149" s="217" t="str">
        <f t="shared" si="4"/>
        <v/>
      </c>
      <c r="V149" s="217" t="str">
        <f t="shared" si="5"/>
        <v/>
      </c>
    </row>
    <row r="150" spans="17:22" x14ac:dyDescent="0.15">
      <c r="Q150" s="217" t="str">
        <f t="shared" si="3"/>
        <v/>
      </c>
      <c r="T150" s="217" t="str">
        <f t="shared" si="4"/>
        <v/>
      </c>
      <c r="V150" s="217" t="str">
        <f t="shared" si="5"/>
        <v/>
      </c>
    </row>
    <row r="151" spans="17:22" x14ac:dyDescent="0.15">
      <c r="Q151" s="217" t="str">
        <f t="shared" si="3"/>
        <v/>
      </c>
      <c r="T151" s="217" t="str">
        <f t="shared" si="4"/>
        <v/>
      </c>
      <c r="V151" s="217" t="str">
        <f t="shared" si="5"/>
        <v/>
      </c>
    </row>
    <row r="152" spans="17:22" x14ac:dyDescent="0.15">
      <c r="Q152" s="217" t="str">
        <f t="shared" si="3"/>
        <v/>
      </c>
      <c r="T152" s="217" t="str">
        <f t="shared" si="4"/>
        <v/>
      </c>
      <c r="V152" s="217" t="str">
        <f t="shared" si="5"/>
        <v/>
      </c>
    </row>
  </sheetData>
  <autoFilter ref="A1:BA152"/>
  <phoneticPr fontId="3"/>
  <dataValidations count="19">
    <dataValidation type="list" allowBlank="1" showInputMessage="1" showErrorMessage="1" sqref="K2:K434">
      <formula1>$AR$2:$AR$27</formula1>
    </dataValidation>
    <dataValidation type="list" allowBlank="1" showInputMessage="1" showErrorMessage="1" sqref="WVS983034:WVS983099 K435:K492 TC2:TC59 ACY2:ACY59 AMU2:AMU59 AWQ2:AWQ59 BGM2:BGM59 BQI2:BQI59 CAE2:CAE59 CKA2:CKA59 CTW2:CTW59 DDS2:DDS59 DNO2:DNO59 DXK2:DXK59 EHG2:EHG59 ERC2:ERC59 FAY2:FAY59 FKU2:FKU59 FUQ2:FUQ59 GEM2:GEM59 GOI2:GOI59 GYE2:GYE59 HIA2:HIA59 HRW2:HRW59 IBS2:IBS59 ILO2:ILO59 IVK2:IVK59 JFG2:JFG59 JPC2:JPC59 JYY2:JYY59 KIU2:KIU59 KSQ2:KSQ59 LCM2:LCM59 LMI2:LMI59 LWE2:LWE59 MGA2:MGA59 MPW2:MPW59 MZS2:MZS59 NJO2:NJO59 NTK2:NTK59 ODG2:ODG59 ONC2:ONC59 OWY2:OWY59 PGU2:PGU59 PQQ2:PQQ59 QAM2:QAM59 QKI2:QKI59 QUE2:QUE59 REA2:REA59 RNW2:RNW59 RXS2:RXS59 SHO2:SHO59 SRK2:SRK59 TBG2:TBG59 TLC2:TLC59 TUY2:TUY59 UEU2:UEU59 UOQ2:UOQ59 UYM2:UYM59 VII2:VII59 VSE2:VSE59 WCA2:WCA59 WLW2:WLW59 WVS2:WVS59 JG2:JG59 WLW983034:WLW983099 WCA983034:WCA983099 VSE983034:VSE983099 VII983034:VII983099 UYM983034:UYM983099 UOQ983034:UOQ983099 UEU983034:UEU983099 TUY983034:TUY983099 TLC983034:TLC983099 TBG983034:TBG983099 SRK983034:SRK983099 SHO983034:SHO983099 RXS983034:RXS983099 RNW983034:RNW983099 REA983034:REA983099 QUE983034:QUE983099 QKI983034:QKI983099 QAM983034:QAM983099 PQQ983034:PQQ983099 PGU983034:PGU983099 OWY983034:OWY983099 ONC983034:ONC983099 ODG983034:ODG983099 NTK983034:NTK983099 NJO983034:NJO983099 MZS983034:MZS983099 MPW983034:MPW983099 MGA983034:MGA983099 LWE983034:LWE983099 LMI983034:LMI983099 LCM983034:LCM983099 KSQ983034:KSQ983099 KIU983034:KIU983099 JYY983034:JYY983099 JPC983034:JPC983099 JFG983034:JFG983099 IVK983034:IVK983099 ILO983034:ILO983099 IBS983034:IBS983099 HRW983034:HRW983099 HIA983034:HIA983099 GYE983034:GYE983099 GOI983034:GOI983099 GEM983034:GEM983099 FUQ983034:FUQ983099 FKU983034:FKU983099 FAY983034:FAY983099 ERC983034:ERC983099 EHG983034:EHG983099 DXK983034:DXK983099 DNO983034:DNO983099 DDS983034:DDS983099 CTW983034:CTW983099 CKA983034:CKA983099 CAE983034:CAE983099 BQI983034:BQI983099 BGM983034:BGM983099 AWQ983034:AWQ983099 AMU983034:AMU983099 ACY983034:ACY983099 TC983034:TC983099 JG983034:JG983099 K983034:K983099 WVS917498:WVS917563 WLW917498:WLW917563 WCA917498:WCA917563 VSE917498:VSE917563 VII917498:VII917563 UYM917498:UYM917563 UOQ917498:UOQ917563 UEU917498:UEU917563 TUY917498:TUY917563 TLC917498:TLC917563 TBG917498:TBG917563 SRK917498:SRK917563 SHO917498:SHO917563 RXS917498:RXS917563 RNW917498:RNW917563 REA917498:REA917563 QUE917498:QUE917563 QKI917498:QKI917563 QAM917498:QAM917563 PQQ917498:PQQ917563 PGU917498:PGU917563 OWY917498:OWY917563 ONC917498:ONC917563 ODG917498:ODG917563 NTK917498:NTK917563 NJO917498:NJO917563 MZS917498:MZS917563 MPW917498:MPW917563 MGA917498:MGA917563 LWE917498:LWE917563 LMI917498:LMI917563 LCM917498:LCM917563 KSQ917498:KSQ917563 KIU917498:KIU917563 JYY917498:JYY917563 JPC917498:JPC917563 JFG917498:JFG917563 IVK917498:IVK917563 ILO917498:ILO917563 IBS917498:IBS917563 HRW917498:HRW917563 HIA917498:HIA917563 GYE917498:GYE917563 GOI917498:GOI917563 GEM917498:GEM917563 FUQ917498:FUQ917563 FKU917498:FKU917563 FAY917498:FAY917563 ERC917498:ERC917563 EHG917498:EHG917563 DXK917498:DXK917563 DNO917498:DNO917563 DDS917498:DDS917563 CTW917498:CTW917563 CKA917498:CKA917563 CAE917498:CAE917563 BQI917498:BQI917563 BGM917498:BGM917563 AWQ917498:AWQ917563 AMU917498:AMU917563 ACY917498:ACY917563 TC917498:TC917563 JG917498:JG917563 K917498:K917563 WVS851962:WVS852027 WLW851962:WLW852027 WCA851962:WCA852027 VSE851962:VSE852027 VII851962:VII852027 UYM851962:UYM852027 UOQ851962:UOQ852027 UEU851962:UEU852027 TUY851962:TUY852027 TLC851962:TLC852027 TBG851962:TBG852027 SRK851962:SRK852027 SHO851962:SHO852027 RXS851962:RXS852027 RNW851962:RNW852027 REA851962:REA852027 QUE851962:QUE852027 QKI851962:QKI852027 QAM851962:QAM852027 PQQ851962:PQQ852027 PGU851962:PGU852027 OWY851962:OWY852027 ONC851962:ONC852027 ODG851962:ODG852027 NTK851962:NTK852027 NJO851962:NJO852027 MZS851962:MZS852027 MPW851962:MPW852027 MGA851962:MGA852027 LWE851962:LWE852027 LMI851962:LMI852027 LCM851962:LCM852027 KSQ851962:KSQ852027 KIU851962:KIU852027 JYY851962:JYY852027 JPC851962:JPC852027 JFG851962:JFG852027 IVK851962:IVK852027 ILO851962:ILO852027 IBS851962:IBS852027 HRW851962:HRW852027 HIA851962:HIA852027 GYE851962:GYE852027 GOI851962:GOI852027 GEM851962:GEM852027 FUQ851962:FUQ852027 FKU851962:FKU852027 FAY851962:FAY852027 ERC851962:ERC852027 EHG851962:EHG852027 DXK851962:DXK852027 DNO851962:DNO852027 DDS851962:DDS852027 CTW851962:CTW852027 CKA851962:CKA852027 CAE851962:CAE852027 BQI851962:BQI852027 BGM851962:BGM852027 AWQ851962:AWQ852027 AMU851962:AMU852027 ACY851962:ACY852027 TC851962:TC852027 JG851962:JG852027 K851962:K852027 WVS786426:WVS786491 WLW786426:WLW786491 WCA786426:WCA786491 VSE786426:VSE786491 VII786426:VII786491 UYM786426:UYM786491 UOQ786426:UOQ786491 UEU786426:UEU786491 TUY786426:TUY786491 TLC786426:TLC786491 TBG786426:TBG786491 SRK786426:SRK786491 SHO786426:SHO786491 RXS786426:RXS786491 RNW786426:RNW786491 REA786426:REA786491 QUE786426:QUE786491 QKI786426:QKI786491 QAM786426:QAM786491 PQQ786426:PQQ786491 PGU786426:PGU786491 OWY786426:OWY786491 ONC786426:ONC786491 ODG786426:ODG786491 NTK786426:NTK786491 NJO786426:NJO786491 MZS786426:MZS786491 MPW786426:MPW786491 MGA786426:MGA786491 LWE786426:LWE786491 LMI786426:LMI786491 LCM786426:LCM786491 KSQ786426:KSQ786491 KIU786426:KIU786491 JYY786426:JYY786491 JPC786426:JPC786491 JFG786426:JFG786491 IVK786426:IVK786491 ILO786426:ILO786491 IBS786426:IBS786491 HRW786426:HRW786491 HIA786426:HIA786491 GYE786426:GYE786491 GOI786426:GOI786491 GEM786426:GEM786491 FUQ786426:FUQ786491 FKU786426:FKU786491 FAY786426:FAY786491 ERC786426:ERC786491 EHG786426:EHG786491 DXK786426:DXK786491 DNO786426:DNO786491 DDS786426:DDS786491 CTW786426:CTW786491 CKA786426:CKA786491 CAE786426:CAE786491 BQI786426:BQI786491 BGM786426:BGM786491 AWQ786426:AWQ786491 AMU786426:AMU786491 ACY786426:ACY786491 TC786426:TC786491 JG786426:JG786491 K786426:K786491 WVS720890:WVS720955 WLW720890:WLW720955 WCA720890:WCA720955 VSE720890:VSE720955 VII720890:VII720955 UYM720890:UYM720955 UOQ720890:UOQ720955 UEU720890:UEU720955 TUY720890:TUY720955 TLC720890:TLC720955 TBG720890:TBG720955 SRK720890:SRK720955 SHO720890:SHO720955 RXS720890:RXS720955 RNW720890:RNW720955 REA720890:REA720955 QUE720890:QUE720955 QKI720890:QKI720955 QAM720890:QAM720955 PQQ720890:PQQ720955 PGU720890:PGU720955 OWY720890:OWY720955 ONC720890:ONC720955 ODG720890:ODG720955 NTK720890:NTK720955 NJO720890:NJO720955 MZS720890:MZS720955 MPW720890:MPW720955 MGA720890:MGA720955 LWE720890:LWE720955 LMI720890:LMI720955 LCM720890:LCM720955 KSQ720890:KSQ720955 KIU720890:KIU720955 JYY720890:JYY720955 JPC720890:JPC720955 JFG720890:JFG720955 IVK720890:IVK720955 ILO720890:ILO720955 IBS720890:IBS720955 HRW720890:HRW720955 HIA720890:HIA720955 GYE720890:GYE720955 GOI720890:GOI720955 GEM720890:GEM720955 FUQ720890:FUQ720955 FKU720890:FKU720955 FAY720890:FAY720955 ERC720890:ERC720955 EHG720890:EHG720955 DXK720890:DXK720955 DNO720890:DNO720955 DDS720890:DDS720955 CTW720890:CTW720955 CKA720890:CKA720955 CAE720890:CAE720955 BQI720890:BQI720955 BGM720890:BGM720955 AWQ720890:AWQ720955 AMU720890:AMU720955 ACY720890:ACY720955 TC720890:TC720955 JG720890:JG720955 K720890:K720955 WVS655354:WVS655419 WLW655354:WLW655419 WCA655354:WCA655419 VSE655354:VSE655419 VII655354:VII655419 UYM655354:UYM655419 UOQ655354:UOQ655419 UEU655354:UEU655419 TUY655354:TUY655419 TLC655354:TLC655419 TBG655354:TBG655419 SRK655354:SRK655419 SHO655354:SHO655419 RXS655354:RXS655419 RNW655354:RNW655419 REA655354:REA655419 QUE655354:QUE655419 QKI655354:QKI655419 QAM655354:QAM655419 PQQ655354:PQQ655419 PGU655354:PGU655419 OWY655354:OWY655419 ONC655354:ONC655419 ODG655354:ODG655419 NTK655354:NTK655419 NJO655354:NJO655419 MZS655354:MZS655419 MPW655354:MPW655419 MGA655354:MGA655419 LWE655354:LWE655419 LMI655354:LMI655419 LCM655354:LCM655419 KSQ655354:KSQ655419 KIU655354:KIU655419 JYY655354:JYY655419 JPC655354:JPC655419 JFG655354:JFG655419 IVK655354:IVK655419 ILO655354:ILO655419 IBS655354:IBS655419 HRW655354:HRW655419 HIA655354:HIA655419 GYE655354:GYE655419 GOI655354:GOI655419 GEM655354:GEM655419 FUQ655354:FUQ655419 FKU655354:FKU655419 FAY655354:FAY655419 ERC655354:ERC655419 EHG655354:EHG655419 DXK655354:DXK655419 DNO655354:DNO655419 DDS655354:DDS655419 CTW655354:CTW655419 CKA655354:CKA655419 CAE655354:CAE655419 BQI655354:BQI655419 BGM655354:BGM655419 AWQ655354:AWQ655419 AMU655354:AMU655419 ACY655354:ACY655419 TC655354:TC655419 JG655354:JG655419 K655354:K655419 WVS589818:WVS589883 WLW589818:WLW589883 WCA589818:WCA589883 VSE589818:VSE589883 VII589818:VII589883 UYM589818:UYM589883 UOQ589818:UOQ589883 UEU589818:UEU589883 TUY589818:TUY589883 TLC589818:TLC589883 TBG589818:TBG589883 SRK589818:SRK589883 SHO589818:SHO589883 RXS589818:RXS589883 RNW589818:RNW589883 REA589818:REA589883 QUE589818:QUE589883 QKI589818:QKI589883 QAM589818:QAM589883 PQQ589818:PQQ589883 PGU589818:PGU589883 OWY589818:OWY589883 ONC589818:ONC589883 ODG589818:ODG589883 NTK589818:NTK589883 NJO589818:NJO589883 MZS589818:MZS589883 MPW589818:MPW589883 MGA589818:MGA589883 LWE589818:LWE589883 LMI589818:LMI589883 LCM589818:LCM589883 KSQ589818:KSQ589883 KIU589818:KIU589883 JYY589818:JYY589883 JPC589818:JPC589883 JFG589818:JFG589883 IVK589818:IVK589883 ILO589818:ILO589883 IBS589818:IBS589883 HRW589818:HRW589883 HIA589818:HIA589883 GYE589818:GYE589883 GOI589818:GOI589883 GEM589818:GEM589883 FUQ589818:FUQ589883 FKU589818:FKU589883 FAY589818:FAY589883 ERC589818:ERC589883 EHG589818:EHG589883 DXK589818:DXK589883 DNO589818:DNO589883 DDS589818:DDS589883 CTW589818:CTW589883 CKA589818:CKA589883 CAE589818:CAE589883 BQI589818:BQI589883 BGM589818:BGM589883 AWQ589818:AWQ589883 AMU589818:AMU589883 ACY589818:ACY589883 TC589818:TC589883 JG589818:JG589883 K589818:K589883 WVS524282:WVS524347 WLW524282:WLW524347 WCA524282:WCA524347 VSE524282:VSE524347 VII524282:VII524347 UYM524282:UYM524347 UOQ524282:UOQ524347 UEU524282:UEU524347 TUY524282:TUY524347 TLC524282:TLC524347 TBG524282:TBG524347 SRK524282:SRK524347 SHO524282:SHO524347 RXS524282:RXS524347 RNW524282:RNW524347 REA524282:REA524347 QUE524282:QUE524347 QKI524282:QKI524347 QAM524282:QAM524347 PQQ524282:PQQ524347 PGU524282:PGU524347 OWY524282:OWY524347 ONC524282:ONC524347 ODG524282:ODG524347 NTK524282:NTK524347 NJO524282:NJO524347 MZS524282:MZS524347 MPW524282:MPW524347 MGA524282:MGA524347 LWE524282:LWE524347 LMI524282:LMI524347 LCM524282:LCM524347 KSQ524282:KSQ524347 KIU524282:KIU524347 JYY524282:JYY524347 JPC524282:JPC524347 JFG524282:JFG524347 IVK524282:IVK524347 ILO524282:ILO524347 IBS524282:IBS524347 HRW524282:HRW524347 HIA524282:HIA524347 GYE524282:GYE524347 GOI524282:GOI524347 GEM524282:GEM524347 FUQ524282:FUQ524347 FKU524282:FKU524347 FAY524282:FAY524347 ERC524282:ERC524347 EHG524282:EHG524347 DXK524282:DXK524347 DNO524282:DNO524347 DDS524282:DDS524347 CTW524282:CTW524347 CKA524282:CKA524347 CAE524282:CAE524347 BQI524282:BQI524347 BGM524282:BGM524347 AWQ524282:AWQ524347 AMU524282:AMU524347 ACY524282:ACY524347 TC524282:TC524347 JG524282:JG524347 K524282:K524347 WVS458746:WVS458811 WLW458746:WLW458811 WCA458746:WCA458811 VSE458746:VSE458811 VII458746:VII458811 UYM458746:UYM458811 UOQ458746:UOQ458811 UEU458746:UEU458811 TUY458746:TUY458811 TLC458746:TLC458811 TBG458746:TBG458811 SRK458746:SRK458811 SHO458746:SHO458811 RXS458746:RXS458811 RNW458746:RNW458811 REA458746:REA458811 QUE458746:QUE458811 QKI458746:QKI458811 QAM458746:QAM458811 PQQ458746:PQQ458811 PGU458746:PGU458811 OWY458746:OWY458811 ONC458746:ONC458811 ODG458746:ODG458811 NTK458746:NTK458811 NJO458746:NJO458811 MZS458746:MZS458811 MPW458746:MPW458811 MGA458746:MGA458811 LWE458746:LWE458811 LMI458746:LMI458811 LCM458746:LCM458811 KSQ458746:KSQ458811 KIU458746:KIU458811 JYY458746:JYY458811 JPC458746:JPC458811 JFG458746:JFG458811 IVK458746:IVK458811 ILO458746:ILO458811 IBS458746:IBS458811 HRW458746:HRW458811 HIA458746:HIA458811 GYE458746:GYE458811 GOI458746:GOI458811 GEM458746:GEM458811 FUQ458746:FUQ458811 FKU458746:FKU458811 FAY458746:FAY458811 ERC458746:ERC458811 EHG458746:EHG458811 DXK458746:DXK458811 DNO458746:DNO458811 DDS458746:DDS458811 CTW458746:CTW458811 CKA458746:CKA458811 CAE458746:CAE458811 BQI458746:BQI458811 BGM458746:BGM458811 AWQ458746:AWQ458811 AMU458746:AMU458811 ACY458746:ACY458811 TC458746:TC458811 JG458746:JG458811 K458746:K458811 WVS393210:WVS393275 WLW393210:WLW393275 WCA393210:WCA393275 VSE393210:VSE393275 VII393210:VII393275 UYM393210:UYM393275 UOQ393210:UOQ393275 UEU393210:UEU393275 TUY393210:TUY393275 TLC393210:TLC393275 TBG393210:TBG393275 SRK393210:SRK393275 SHO393210:SHO393275 RXS393210:RXS393275 RNW393210:RNW393275 REA393210:REA393275 QUE393210:QUE393275 QKI393210:QKI393275 QAM393210:QAM393275 PQQ393210:PQQ393275 PGU393210:PGU393275 OWY393210:OWY393275 ONC393210:ONC393275 ODG393210:ODG393275 NTK393210:NTK393275 NJO393210:NJO393275 MZS393210:MZS393275 MPW393210:MPW393275 MGA393210:MGA393275 LWE393210:LWE393275 LMI393210:LMI393275 LCM393210:LCM393275 KSQ393210:KSQ393275 KIU393210:KIU393275 JYY393210:JYY393275 JPC393210:JPC393275 JFG393210:JFG393275 IVK393210:IVK393275 ILO393210:ILO393275 IBS393210:IBS393275 HRW393210:HRW393275 HIA393210:HIA393275 GYE393210:GYE393275 GOI393210:GOI393275 GEM393210:GEM393275 FUQ393210:FUQ393275 FKU393210:FKU393275 FAY393210:FAY393275 ERC393210:ERC393275 EHG393210:EHG393275 DXK393210:DXK393275 DNO393210:DNO393275 DDS393210:DDS393275 CTW393210:CTW393275 CKA393210:CKA393275 CAE393210:CAE393275 BQI393210:BQI393275 BGM393210:BGM393275 AWQ393210:AWQ393275 AMU393210:AMU393275 ACY393210:ACY393275 TC393210:TC393275 JG393210:JG393275 K393210:K393275 WVS327674:WVS327739 WLW327674:WLW327739 WCA327674:WCA327739 VSE327674:VSE327739 VII327674:VII327739 UYM327674:UYM327739 UOQ327674:UOQ327739 UEU327674:UEU327739 TUY327674:TUY327739 TLC327674:TLC327739 TBG327674:TBG327739 SRK327674:SRK327739 SHO327674:SHO327739 RXS327674:RXS327739 RNW327674:RNW327739 REA327674:REA327739 QUE327674:QUE327739 QKI327674:QKI327739 QAM327674:QAM327739 PQQ327674:PQQ327739 PGU327674:PGU327739 OWY327674:OWY327739 ONC327674:ONC327739 ODG327674:ODG327739 NTK327674:NTK327739 NJO327674:NJO327739 MZS327674:MZS327739 MPW327674:MPW327739 MGA327674:MGA327739 LWE327674:LWE327739 LMI327674:LMI327739 LCM327674:LCM327739 KSQ327674:KSQ327739 KIU327674:KIU327739 JYY327674:JYY327739 JPC327674:JPC327739 JFG327674:JFG327739 IVK327674:IVK327739 ILO327674:ILO327739 IBS327674:IBS327739 HRW327674:HRW327739 HIA327674:HIA327739 GYE327674:GYE327739 GOI327674:GOI327739 GEM327674:GEM327739 FUQ327674:FUQ327739 FKU327674:FKU327739 FAY327674:FAY327739 ERC327674:ERC327739 EHG327674:EHG327739 DXK327674:DXK327739 DNO327674:DNO327739 DDS327674:DDS327739 CTW327674:CTW327739 CKA327674:CKA327739 CAE327674:CAE327739 BQI327674:BQI327739 BGM327674:BGM327739 AWQ327674:AWQ327739 AMU327674:AMU327739 ACY327674:ACY327739 TC327674:TC327739 JG327674:JG327739 K327674:K327739 WVS262138:WVS262203 WLW262138:WLW262203 WCA262138:WCA262203 VSE262138:VSE262203 VII262138:VII262203 UYM262138:UYM262203 UOQ262138:UOQ262203 UEU262138:UEU262203 TUY262138:TUY262203 TLC262138:TLC262203 TBG262138:TBG262203 SRK262138:SRK262203 SHO262138:SHO262203 RXS262138:RXS262203 RNW262138:RNW262203 REA262138:REA262203 QUE262138:QUE262203 QKI262138:QKI262203 QAM262138:QAM262203 PQQ262138:PQQ262203 PGU262138:PGU262203 OWY262138:OWY262203 ONC262138:ONC262203 ODG262138:ODG262203 NTK262138:NTK262203 NJO262138:NJO262203 MZS262138:MZS262203 MPW262138:MPW262203 MGA262138:MGA262203 LWE262138:LWE262203 LMI262138:LMI262203 LCM262138:LCM262203 KSQ262138:KSQ262203 KIU262138:KIU262203 JYY262138:JYY262203 JPC262138:JPC262203 JFG262138:JFG262203 IVK262138:IVK262203 ILO262138:ILO262203 IBS262138:IBS262203 HRW262138:HRW262203 HIA262138:HIA262203 GYE262138:GYE262203 GOI262138:GOI262203 GEM262138:GEM262203 FUQ262138:FUQ262203 FKU262138:FKU262203 FAY262138:FAY262203 ERC262138:ERC262203 EHG262138:EHG262203 DXK262138:DXK262203 DNO262138:DNO262203 DDS262138:DDS262203 CTW262138:CTW262203 CKA262138:CKA262203 CAE262138:CAE262203 BQI262138:BQI262203 BGM262138:BGM262203 AWQ262138:AWQ262203 AMU262138:AMU262203 ACY262138:ACY262203 TC262138:TC262203 JG262138:JG262203 K262138:K262203 WVS196602:WVS196667 WLW196602:WLW196667 WCA196602:WCA196667 VSE196602:VSE196667 VII196602:VII196667 UYM196602:UYM196667 UOQ196602:UOQ196667 UEU196602:UEU196667 TUY196602:TUY196667 TLC196602:TLC196667 TBG196602:TBG196667 SRK196602:SRK196667 SHO196602:SHO196667 RXS196602:RXS196667 RNW196602:RNW196667 REA196602:REA196667 QUE196602:QUE196667 QKI196602:QKI196667 QAM196602:QAM196667 PQQ196602:PQQ196667 PGU196602:PGU196667 OWY196602:OWY196667 ONC196602:ONC196667 ODG196602:ODG196667 NTK196602:NTK196667 NJO196602:NJO196667 MZS196602:MZS196667 MPW196602:MPW196667 MGA196602:MGA196667 LWE196602:LWE196667 LMI196602:LMI196667 LCM196602:LCM196667 KSQ196602:KSQ196667 KIU196602:KIU196667 JYY196602:JYY196667 JPC196602:JPC196667 JFG196602:JFG196667 IVK196602:IVK196667 ILO196602:ILO196667 IBS196602:IBS196667 HRW196602:HRW196667 HIA196602:HIA196667 GYE196602:GYE196667 GOI196602:GOI196667 GEM196602:GEM196667 FUQ196602:FUQ196667 FKU196602:FKU196667 FAY196602:FAY196667 ERC196602:ERC196667 EHG196602:EHG196667 DXK196602:DXK196667 DNO196602:DNO196667 DDS196602:DDS196667 CTW196602:CTW196667 CKA196602:CKA196667 CAE196602:CAE196667 BQI196602:BQI196667 BGM196602:BGM196667 AWQ196602:AWQ196667 AMU196602:AMU196667 ACY196602:ACY196667 TC196602:TC196667 JG196602:JG196667 K196602:K196667 WVS131066:WVS131131 WLW131066:WLW131131 WCA131066:WCA131131 VSE131066:VSE131131 VII131066:VII131131 UYM131066:UYM131131 UOQ131066:UOQ131131 UEU131066:UEU131131 TUY131066:TUY131131 TLC131066:TLC131131 TBG131066:TBG131131 SRK131066:SRK131131 SHO131066:SHO131131 RXS131066:RXS131131 RNW131066:RNW131131 REA131066:REA131131 QUE131066:QUE131131 QKI131066:QKI131131 QAM131066:QAM131131 PQQ131066:PQQ131131 PGU131066:PGU131131 OWY131066:OWY131131 ONC131066:ONC131131 ODG131066:ODG131131 NTK131066:NTK131131 NJO131066:NJO131131 MZS131066:MZS131131 MPW131066:MPW131131 MGA131066:MGA131131 LWE131066:LWE131131 LMI131066:LMI131131 LCM131066:LCM131131 KSQ131066:KSQ131131 KIU131066:KIU131131 JYY131066:JYY131131 JPC131066:JPC131131 JFG131066:JFG131131 IVK131066:IVK131131 ILO131066:ILO131131 IBS131066:IBS131131 HRW131066:HRW131131 HIA131066:HIA131131 GYE131066:GYE131131 GOI131066:GOI131131 GEM131066:GEM131131 FUQ131066:FUQ131131 FKU131066:FKU131131 FAY131066:FAY131131 ERC131066:ERC131131 EHG131066:EHG131131 DXK131066:DXK131131 DNO131066:DNO131131 DDS131066:DDS131131 CTW131066:CTW131131 CKA131066:CKA131131 CAE131066:CAE131131 BQI131066:BQI131131 BGM131066:BGM131131 AWQ131066:AWQ131131 AMU131066:AMU131131 ACY131066:ACY131131 TC131066:TC131131 JG131066:JG131131 K131066:K131131 WVS65530:WVS65595 WLW65530:WLW65595 WCA65530:WCA65595 VSE65530:VSE65595 VII65530:VII65595 UYM65530:UYM65595 UOQ65530:UOQ65595 UEU65530:UEU65595 TUY65530:TUY65595 TLC65530:TLC65595 TBG65530:TBG65595 SRK65530:SRK65595 SHO65530:SHO65595 RXS65530:RXS65595 RNW65530:RNW65595 REA65530:REA65595 QUE65530:QUE65595 QKI65530:QKI65595 QAM65530:QAM65595 PQQ65530:PQQ65595 PGU65530:PGU65595 OWY65530:OWY65595 ONC65530:ONC65595 ODG65530:ODG65595 NTK65530:NTK65595 NJO65530:NJO65595 MZS65530:MZS65595 MPW65530:MPW65595 MGA65530:MGA65595 LWE65530:LWE65595 LMI65530:LMI65595 LCM65530:LCM65595 KSQ65530:KSQ65595 KIU65530:KIU65595 JYY65530:JYY65595 JPC65530:JPC65595 JFG65530:JFG65595 IVK65530:IVK65595 ILO65530:ILO65595 IBS65530:IBS65595 HRW65530:HRW65595 HIA65530:HIA65595 GYE65530:GYE65595 GOI65530:GOI65595 GEM65530:GEM65595 FUQ65530:FUQ65595 FKU65530:FKU65595 FAY65530:FAY65595 ERC65530:ERC65595 EHG65530:EHG65595 DXK65530:DXK65595 DNO65530:DNO65595 DDS65530:DDS65595 CTW65530:CTW65595 CKA65530:CKA65595 CAE65530:CAE65595 BQI65530:BQI65595 BGM65530:BGM65595 AWQ65530:AWQ65595 AMU65530:AMU65595 ACY65530:ACY65595 TC65530:TC65595 JG65530:JG65595 K65530:K65595">
      <formula1>$AR$2:$AR$25</formula1>
    </dataValidation>
    <dataValidation type="list" allowBlank="1" showInputMessage="1" showErrorMessage="1" sqref="WVR983034:WVR983099 J44:J492 JF2:JF59 TB2:TB59 ACX2:ACX59 AMT2:AMT59 AWP2:AWP59 BGL2:BGL59 BQH2:BQH59 CAD2:CAD59 CJZ2:CJZ59 CTV2:CTV59 DDR2:DDR59 DNN2:DNN59 DXJ2:DXJ59 EHF2:EHF59 ERB2:ERB59 FAX2:FAX59 FKT2:FKT59 FUP2:FUP59 GEL2:GEL59 GOH2:GOH59 GYD2:GYD59 HHZ2:HHZ59 HRV2:HRV59 IBR2:IBR59 ILN2:ILN59 IVJ2:IVJ59 JFF2:JFF59 JPB2:JPB59 JYX2:JYX59 KIT2:KIT59 KSP2:KSP59 LCL2:LCL59 LMH2:LMH59 LWD2:LWD59 MFZ2:MFZ59 MPV2:MPV59 MZR2:MZR59 NJN2:NJN59 NTJ2:NTJ59 ODF2:ODF59 ONB2:ONB59 OWX2:OWX59 PGT2:PGT59 PQP2:PQP59 QAL2:QAL59 QKH2:QKH59 QUD2:QUD59 RDZ2:RDZ59 RNV2:RNV59 RXR2:RXR59 SHN2:SHN59 SRJ2:SRJ59 TBF2:TBF59 TLB2:TLB59 TUX2:TUX59 UET2:UET59 UOP2:UOP59 UYL2:UYL59 VIH2:VIH59 VSD2:VSD59 WBZ2:WBZ59 WLV2:WLV59 WVR2:WVR59 WLV983034:WLV983099 WBZ983034:WBZ983099 VSD983034:VSD983099 VIH983034:VIH983099 UYL983034:UYL983099 UOP983034:UOP983099 UET983034:UET983099 TUX983034:TUX983099 TLB983034:TLB983099 TBF983034:TBF983099 SRJ983034:SRJ983099 SHN983034:SHN983099 RXR983034:RXR983099 RNV983034:RNV983099 RDZ983034:RDZ983099 QUD983034:QUD983099 QKH983034:QKH983099 QAL983034:QAL983099 PQP983034:PQP983099 PGT983034:PGT983099 OWX983034:OWX983099 ONB983034:ONB983099 ODF983034:ODF983099 NTJ983034:NTJ983099 NJN983034:NJN983099 MZR983034:MZR983099 MPV983034:MPV983099 MFZ983034:MFZ983099 LWD983034:LWD983099 LMH983034:LMH983099 LCL983034:LCL983099 KSP983034:KSP983099 KIT983034:KIT983099 JYX983034:JYX983099 JPB983034:JPB983099 JFF983034:JFF983099 IVJ983034:IVJ983099 ILN983034:ILN983099 IBR983034:IBR983099 HRV983034:HRV983099 HHZ983034:HHZ983099 GYD983034:GYD983099 GOH983034:GOH983099 GEL983034:GEL983099 FUP983034:FUP983099 FKT983034:FKT983099 FAX983034:FAX983099 ERB983034:ERB983099 EHF983034:EHF983099 DXJ983034:DXJ983099 DNN983034:DNN983099 DDR983034:DDR983099 CTV983034:CTV983099 CJZ983034:CJZ983099 CAD983034:CAD983099 BQH983034:BQH983099 BGL983034:BGL983099 AWP983034:AWP983099 AMT983034:AMT983099 ACX983034:ACX983099 TB983034:TB983099 JF983034:JF983099 J983034:J983099 WVR917498:WVR917563 WLV917498:WLV917563 WBZ917498:WBZ917563 VSD917498:VSD917563 VIH917498:VIH917563 UYL917498:UYL917563 UOP917498:UOP917563 UET917498:UET917563 TUX917498:TUX917563 TLB917498:TLB917563 TBF917498:TBF917563 SRJ917498:SRJ917563 SHN917498:SHN917563 RXR917498:RXR917563 RNV917498:RNV917563 RDZ917498:RDZ917563 QUD917498:QUD917563 QKH917498:QKH917563 QAL917498:QAL917563 PQP917498:PQP917563 PGT917498:PGT917563 OWX917498:OWX917563 ONB917498:ONB917563 ODF917498:ODF917563 NTJ917498:NTJ917563 NJN917498:NJN917563 MZR917498:MZR917563 MPV917498:MPV917563 MFZ917498:MFZ917563 LWD917498:LWD917563 LMH917498:LMH917563 LCL917498:LCL917563 KSP917498:KSP917563 KIT917498:KIT917563 JYX917498:JYX917563 JPB917498:JPB917563 JFF917498:JFF917563 IVJ917498:IVJ917563 ILN917498:ILN917563 IBR917498:IBR917563 HRV917498:HRV917563 HHZ917498:HHZ917563 GYD917498:GYD917563 GOH917498:GOH917563 GEL917498:GEL917563 FUP917498:FUP917563 FKT917498:FKT917563 FAX917498:FAX917563 ERB917498:ERB917563 EHF917498:EHF917563 DXJ917498:DXJ917563 DNN917498:DNN917563 DDR917498:DDR917563 CTV917498:CTV917563 CJZ917498:CJZ917563 CAD917498:CAD917563 BQH917498:BQH917563 BGL917498:BGL917563 AWP917498:AWP917563 AMT917498:AMT917563 ACX917498:ACX917563 TB917498:TB917563 JF917498:JF917563 J917498:J917563 WVR851962:WVR852027 WLV851962:WLV852027 WBZ851962:WBZ852027 VSD851962:VSD852027 VIH851962:VIH852027 UYL851962:UYL852027 UOP851962:UOP852027 UET851962:UET852027 TUX851962:TUX852027 TLB851962:TLB852027 TBF851962:TBF852027 SRJ851962:SRJ852027 SHN851962:SHN852027 RXR851962:RXR852027 RNV851962:RNV852027 RDZ851962:RDZ852027 QUD851962:QUD852027 QKH851962:QKH852027 QAL851962:QAL852027 PQP851962:PQP852027 PGT851962:PGT852027 OWX851962:OWX852027 ONB851962:ONB852027 ODF851962:ODF852027 NTJ851962:NTJ852027 NJN851962:NJN852027 MZR851962:MZR852027 MPV851962:MPV852027 MFZ851962:MFZ852027 LWD851962:LWD852027 LMH851962:LMH852027 LCL851962:LCL852027 KSP851962:KSP852027 KIT851962:KIT852027 JYX851962:JYX852027 JPB851962:JPB852027 JFF851962:JFF852027 IVJ851962:IVJ852027 ILN851962:ILN852027 IBR851962:IBR852027 HRV851962:HRV852027 HHZ851962:HHZ852027 GYD851962:GYD852027 GOH851962:GOH852027 GEL851962:GEL852027 FUP851962:FUP852027 FKT851962:FKT852027 FAX851962:FAX852027 ERB851962:ERB852027 EHF851962:EHF852027 DXJ851962:DXJ852027 DNN851962:DNN852027 DDR851962:DDR852027 CTV851962:CTV852027 CJZ851962:CJZ852027 CAD851962:CAD852027 BQH851962:BQH852027 BGL851962:BGL852027 AWP851962:AWP852027 AMT851962:AMT852027 ACX851962:ACX852027 TB851962:TB852027 JF851962:JF852027 J851962:J852027 WVR786426:WVR786491 WLV786426:WLV786491 WBZ786426:WBZ786491 VSD786426:VSD786491 VIH786426:VIH786491 UYL786426:UYL786491 UOP786426:UOP786491 UET786426:UET786491 TUX786426:TUX786491 TLB786426:TLB786491 TBF786426:TBF786491 SRJ786426:SRJ786491 SHN786426:SHN786491 RXR786426:RXR786491 RNV786426:RNV786491 RDZ786426:RDZ786491 QUD786426:QUD786491 QKH786426:QKH786491 QAL786426:QAL786491 PQP786426:PQP786491 PGT786426:PGT786491 OWX786426:OWX786491 ONB786426:ONB786491 ODF786426:ODF786491 NTJ786426:NTJ786491 NJN786426:NJN786491 MZR786426:MZR786491 MPV786426:MPV786491 MFZ786426:MFZ786491 LWD786426:LWD786491 LMH786426:LMH786491 LCL786426:LCL786491 KSP786426:KSP786491 KIT786426:KIT786491 JYX786426:JYX786491 JPB786426:JPB786491 JFF786426:JFF786491 IVJ786426:IVJ786491 ILN786426:ILN786491 IBR786426:IBR786491 HRV786426:HRV786491 HHZ786426:HHZ786491 GYD786426:GYD786491 GOH786426:GOH786491 GEL786426:GEL786491 FUP786426:FUP786491 FKT786426:FKT786491 FAX786426:FAX786491 ERB786426:ERB786491 EHF786426:EHF786491 DXJ786426:DXJ786491 DNN786426:DNN786491 DDR786426:DDR786491 CTV786426:CTV786491 CJZ786426:CJZ786491 CAD786426:CAD786491 BQH786426:BQH786491 BGL786426:BGL786491 AWP786426:AWP786491 AMT786426:AMT786491 ACX786426:ACX786491 TB786426:TB786491 JF786426:JF786491 J786426:J786491 WVR720890:WVR720955 WLV720890:WLV720955 WBZ720890:WBZ720955 VSD720890:VSD720955 VIH720890:VIH720955 UYL720890:UYL720955 UOP720890:UOP720955 UET720890:UET720955 TUX720890:TUX720955 TLB720890:TLB720955 TBF720890:TBF720955 SRJ720890:SRJ720955 SHN720890:SHN720955 RXR720890:RXR720955 RNV720890:RNV720955 RDZ720890:RDZ720955 QUD720890:QUD720955 QKH720890:QKH720955 QAL720890:QAL720955 PQP720890:PQP720955 PGT720890:PGT720955 OWX720890:OWX720955 ONB720890:ONB720955 ODF720890:ODF720955 NTJ720890:NTJ720955 NJN720890:NJN720955 MZR720890:MZR720955 MPV720890:MPV720955 MFZ720890:MFZ720955 LWD720890:LWD720955 LMH720890:LMH720955 LCL720890:LCL720955 KSP720890:KSP720955 KIT720890:KIT720955 JYX720890:JYX720955 JPB720890:JPB720955 JFF720890:JFF720955 IVJ720890:IVJ720955 ILN720890:ILN720955 IBR720890:IBR720955 HRV720890:HRV720955 HHZ720890:HHZ720955 GYD720890:GYD720955 GOH720890:GOH720955 GEL720890:GEL720955 FUP720890:FUP720955 FKT720890:FKT720955 FAX720890:FAX720955 ERB720890:ERB720955 EHF720890:EHF720955 DXJ720890:DXJ720955 DNN720890:DNN720955 DDR720890:DDR720955 CTV720890:CTV720955 CJZ720890:CJZ720955 CAD720890:CAD720955 BQH720890:BQH720955 BGL720890:BGL720955 AWP720890:AWP720955 AMT720890:AMT720955 ACX720890:ACX720955 TB720890:TB720955 JF720890:JF720955 J720890:J720955 WVR655354:WVR655419 WLV655354:WLV655419 WBZ655354:WBZ655419 VSD655354:VSD655419 VIH655354:VIH655419 UYL655354:UYL655419 UOP655354:UOP655419 UET655354:UET655419 TUX655354:TUX655419 TLB655354:TLB655419 TBF655354:TBF655419 SRJ655354:SRJ655419 SHN655354:SHN655419 RXR655354:RXR655419 RNV655354:RNV655419 RDZ655354:RDZ655419 QUD655354:QUD655419 QKH655354:QKH655419 QAL655354:QAL655419 PQP655354:PQP655419 PGT655354:PGT655419 OWX655354:OWX655419 ONB655354:ONB655419 ODF655354:ODF655419 NTJ655354:NTJ655419 NJN655354:NJN655419 MZR655354:MZR655419 MPV655354:MPV655419 MFZ655354:MFZ655419 LWD655354:LWD655419 LMH655354:LMH655419 LCL655354:LCL655419 KSP655354:KSP655419 KIT655354:KIT655419 JYX655354:JYX655419 JPB655354:JPB655419 JFF655354:JFF655419 IVJ655354:IVJ655419 ILN655354:ILN655419 IBR655354:IBR655419 HRV655354:HRV655419 HHZ655354:HHZ655419 GYD655354:GYD655419 GOH655354:GOH655419 GEL655354:GEL655419 FUP655354:FUP655419 FKT655354:FKT655419 FAX655354:FAX655419 ERB655354:ERB655419 EHF655354:EHF655419 DXJ655354:DXJ655419 DNN655354:DNN655419 DDR655354:DDR655419 CTV655354:CTV655419 CJZ655354:CJZ655419 CAD655354:CAD655419 BQH655354:BQH655419 BGL655354:BGL655419 AWP655354:AWP655419 AMT655354:AMT655419 ACX655354:ACX655419 TB655354:TB655419 JF655354:JF655419 J655354:J655419 WVR589818:WVR589883 WLV589818:WLV589883 WBZ589818:WBZ589883 VSD589818:VSD589883 VIH589818:VIH589883 UYL589818:UYL589883 UOP589818:UOP589883 UET589818:UET589883 TUX589818:TUX589883 TLB589818:TLB589883 TBF589818:TBF589883 SRJ589818:SRJ589883 SHN589818:SHN589883 RXR589818:RXR589883 RNV589818:RNV589883 RDZ589818:RDZ589883 QUD589818:QUD589883 QKH589818:QKH589883 QAL589818:QAL589883 PQP589818:PQP589883 PGT589818:PGT589883 OWX589818:OWX589883 ONB589818:ONB589883 ODF589818:ODF589883 NTJ589818:NTJ589883 NJN589818:NJN589883 MZR589818:MZR589883 MPV589818:MPV589883 MFZ589818:MFZ589883 LWD589818:LWD589883 LMH589818:LMH589883 LCL589818:LCL589883 KSP589818:KSP589883 KIT589818:KIT589883 JYX589818:JYX589883 JPB589818:JPB589883 JFF589818:JFF589883 IVJ589818:IVJ589883 ILN589818:ILN589883 IBR589818:IBR589883 HRV589818:HRV589883 HHZ589818:HHZ589883 GYD589818:GYD589883 GOH589818:GOH589883 GEL589818:GEL589883 FUP589818:FUP589883 FKT589818:FKT589883 FAX589818:FAX589883 ERB589818:ERB589883 EHF589818:EHF589883 DXJ589818:DXJ589883 DNN589818:DNN589883 DDR589818:DDR589883 CTV589818:CTV589883 CJZ589818:CJZ589883 CAD589818:CAD589883 BQH589818:BQH589883 BGL589818:BGL589883 AWP589818:AWP589883 AMT589818:AMT589883 ACX589818:ACX589883 TB589818:TB589883 JF589818:JF589883 J589818:J589883 WVR524282:WVR524347 WLV524282:WLV524347 WBZ524282:WBZ524347 VSD524282:VSD524347 VIH524282:VIH524347 UYL524282:UYL524347 UOP524282:UOP524347 UET524282:UET524347 TUX524282:TUX524347 TLB524282:TLB524347 TBF524282:TBF524347 SRJ524282:SRJ524347 SHN524282:SHN524347 RXR524282:RXR524347 RNV524282:RNV524347 RDZ524282:RDZ524347 QUD524282:QUD524347 QKH524282:QKH524347 QAL524282:QAL524347 PQP524282:PQP524347 PGT524282:PGT524347 OWX524282:OWX524347 ONB524282:ONB524347 ODF524282:ODF524347 NTJ524282:NTJ524347 NJN524282:NJN524347 MZR524282:MZR524347 MPV524282:MPV524347 MFZ524282:MFZ524347 LWD524282:LWD524347 LMH524282:LMH524347 LCL524282:LCL524347 KSP524282:KSP524347 KIT524282:KIT524347 JYX524282:JYX524347 JPB524282:JPB524347 JFF524282:JFF524347 IVJ524282:IVJ524347 ILN524282:ILN524347 IBR524282:IBR524347 HRV524282:HRV524347 HHZ524282:HHZ524347 GYD524282:GYD524347 GOH524282:GOH524347 GEL524282:GEL524347 FUP524282:FUP524347 FKT524282:FKT524347 FAX524282:FAX524347 ERB524282:ERB524347 EHF524282:EHF524347 DXJ524282:DXJ524347 DNN524282:DNN524347 DDR524282:DDR524347 CTV524282:CTV524347 CJZ524282:CJZ524347 CAD524282:CAD524347 BQH524282:BQH524347 BGL524282:BGL524347 AWP524282:AWP524347 AMT524282:AMT524347 ACX524282:ACX524347 TB524282:TB524347 JF524282:JF524347 J524282:J524347 WVR458746:WVR458811 WLV458746:WLV458811 WBZ458746:WBZ458811 VSD458746:VSD458811 VIH458746:VIH458811 UYL458746:UYL458811 UOP458746:UOP458811 UET458746:UET458811 TUX458746:TUX458811 TLB458746:TLB458811 TBF458746:TBF458811 SRJ458746:SRJ458811 SHN458746:SHN458811 RXR458746:RXR458811 RNV458746:RNV458811 RDZ458746:RDZ458811 QUD458746:QUD458811 QKH458746:QKH458811 QAL458746:QAL458811 PQP458746:PQP458811 PGT458746:PGT458811 OWX458746:OWX458811 ONB458746:ONB458811 ODF458746:ODF458811 NTJ458746:NTJ458811 NJN458746:NJN458811 MZR458746:MZR458811 MPV458746:MPV458811 MFZ458746:MFZ458811 LWD458746:LWD458811 LMH458746:LMH458811 LCL458746:LCL458811 KSP458746:KSP458811 KIT458746:KIT458811 JYX458746:JYX458811 JPB458746:JPB458811 JFF458746:JFF458811 IVJ458746:IVJ458811 ILN458746:ILN458811 IBR458746:IBR458811 HRV458746:HRV458811 HHZ458746:HHZ458811 GYD458746:GYD458811 GOH458746:GOH458811 GEL458746:GEL458811 FUP458746:FUP458811 FKT458746:FKT458811 FAX458746:FAX458811 ERB458746:ERB458811 EHF458746:EHF458811 DXJ458746:DXJ458811 DNN458746:DNN458811 DDR458746:DDR458811 CTV458746:CTV458811 CJZ458746:CJZ458811 CAD458746:CAD458811 BQH458746:BQH458811 BGL458746:BGL458811 AWP458746:AWP458811 AMT458746:AMT458811 ACX458746:ACX458811 TB458746:TB458811 JF458746:JF458811 J458746:J458811 WVR393210:WVR393275 WLV393210:WLV393275 WBZ393210:WBZ393275 VSD393210:VSD393275 VIH393210:VIH393275 UYL393210:UYL393275 UOP393210:UOP393275 UET393210:UET393275 TUX393210:TUX393275 TLB393210:TLB393275 TBF393210:TBF393275 SRJ393210:SRJ393275 SHN393210:SHN393275 RXR393210:RXR393275 RNV393210:RNV393275 RDZ393210:RDZ393275 QUD393210:QUD393275 QKH393210:QKH393275 QAL393210:QAL393275 PQP393210:PQP393275 PGT393210:PGT393275 OWX393210:OWX393275 ONB393210:ONB393275 ODF393210:ODF393275 NTJ393210:NTJ393275 NJN393210:NJN393275 MZR393210:MZR393275 MPV393210:MPV393275 MFZ393210:MFZ393275 LWD393210:LWD393275 LMH393210:LMH393275 LCL393210:LCL393275 KSP393210:KSP393275 KIT393210:KIT393275 JYX393210:JYX393275 JPB393210:JPB393275 JFF393210:JFF393275 IVJ393210:IVJ393275 ILN393210:ILN393275 IBR393210:IBR393275 HRV393210:HRV393275 HHZ393210:HHZ393275 GYD393210:GYD393275 GOH393210:GOH393275 GEL393210:GEL393275 FUP393210:FUP393275 FKT393210:FKT393275 FAX393210:FAX393275 ERB393210:ERB393275 EHF393210:EHF393275 DXJ393210:DXJ393275 DNN393210:DNN393275 DDR393210:DDR393275 CTV393210:CTV393275 CJZ393210:CJZ393275 CAD393210:CAD393275 BQH393210:BQH393275 BGL393210:BGL393275 AWP393210:AWP393275 AMT393210:AMT393275 ACX393210:ACX393275 TB393210:TB393275 JF393210:JF393275 J393210:J393275 WVR327674:WVR327739 WLV327674:WLV327739 WBZ327674:WBZ327739 VSD327674:VSD327739 VIH327674:VIH327739 UYL327674:UYL327739 UOP327674:UOP327739 UET327674:UET327739 TUX327674:TUX327739 TLB327674:TLB327739 TBF327674:TBF327739 SRJ327674:SRJ327739 SHN327674:SHN327739 RXR327674:RXR327739 RNV327674:RNV327739 RDZ327674:RDZ327739 QUD327674:QUD327739 QKH327674:QKH327739 QAL327674:QAL327739 PQP327674:PQP327739 PGT327674:PGT327739 OWX327674:OWX327739 ONB327674:ONB327739 ODF327674:ODF327739 NTJ327674:NTJ327739 NJN327674:NJN327739 MZR327674:MZR327739 MPV327674:MPV327739 MFZ327674:MFZ327739 LWD327674:LWD327739 LMH327674:LMH327739 LCL327674:LCL327739 KSP327674:KSP327739 KIT327674:KIT327739 JYX327674:JYX327739 JPB327674:JPB327739 JFF327674:JFF327739 IVJ327674:IVJ327739 ILN327674:ILN327739 IBR327674:IBR327739 HRV327674:HRV327739 HHZ327674:HHZ327739 GYD327674:GYD327739 GOH327674:GOH327739 GEL327674:GEL327739 FUP327674:FUP327739 FKT327674:FKT327739 FAX327674:FAX327739 ERB327674:ERB327739 EHF327674:EHF327739 DXJ327674:DXJ327739 DNN327674:DNN327739 DDR327674:DDR327739 CTV327674:CTV327739 CJZ327674:CJZ327739 CAD327674:CAD327739 BQH327674:BQH327739 BGL327674:BGL327739 AWP327674:AWP327739 AMT327674:AMT327739 ACX327674:ACX327739 TB327674:TB327739 JF327674:JF327739 J327674:J327739 WVR262138:WVR262203 WLV262138:WLV262203 WBZ262138:WBZ262203 VSD262138:VSD262203 VIH262138:VIH262203 UYL262138:UYL262203 UOP262138:UOP262203 UET262138:UET262203 TUX262138:TUX262203 TLB262138:TLB262203 TBF262138:TBF262203 SRJ262138:SRJ262203 SHN262138:SHN262203 RXR262138:RXR262203 RNV262138:RNV262203 RDZ262138:RDZ262203 QUD262138:QUD262203 QKH262138:QKH262203 QAL262138:QAL262203 PQP262138:PQP262203 PGT262138:PGT262203 OWX262138:OWX262203 ONB262138:ONB262203 ODF262138:ODF262203 NTJ262138:NTJ262203 NJN262138:NJN262203 MZR262138:MZR262203 MPV262138:MPV262203 MFZ262138:MFZ262203 LWD262138:LWD262203 LMH262138:LMH262203 LCL262138:LCL262203 KSP262138:KSP262203 KIT262138:KIT262203 JYX262138:JYX262203 JPB262138:JPB262203 JFF262138:JFF262203 IVJ262138:IVJ262203 ILN262138:ILN262203 IBR262138:IBR262203 HRV262138:HRV262203 HHZ262138:HHZ262203 GYD262138:GYD262203 GOH262138:GOH262203 GEL262138:GEL262203 FUP262138:FUP262203 FKT262138:FKT262203 FAX262138:FAX262203 ERB262138:ERB262203 EHF262138:EHF262203 DXJ262138:DXJ262203 DNN262138:DNN262203 DDR262138:DDR262203 CTV262138:CTV262203 CJZ262138:CJZ262203 CAD262138:CAD262203 BQH262138:BQH262203 BGL262138:BGL262203 AWP262138:AWP262203 AMT262138:AMT262203 ACX262138:ACX262203 TB262138:TB262203 JF262138:JF262203 J262138:J262203 WVR196602:WVR196667 WLV196602:WLV196667 WBZ196602:WBZ196667 VSD196602:VSD196667 VIH196602:VIH196667 UYL196602:UYL196667 UOP196602:UOP196667 UET196602:UET196667 TUX196602:TUX196667 TLB196602:TLB196667 TBF196602:TBF196667 SRJ196602:SRJ196667 SHN196602:SHN196667 RXR196602:RXR196667 RNV196602:RNV196667 RDZ196602:RDZ196667 QUD196602:QUD196667 QKH196602:QKH196667 QAL196602:QAL196667 PQP196602:PQP196667 PGT196602:PGT196667 OWX196602:OWX196667 ONB196602:ONB196667 ODF196602:ODF196667 NTJ196602:NTJ196667 NJN196602:NJN196667 MZR196602:MZR196667 MPV196602:MPV196667 MFZ196602:MFZ196667 LWD196602:LWD196667 LMH196602:LMH196667 LCL196602:LCL196667 KSP196602:KSP196667 KIT196602:KIT196667 JYX196602:JYX196667 JPB196602:JPB196667 JFF196602:JFF196667 IVJ196602:IVJ196667 ILN196602:ILN196667 IBR196602:IBR196667 HRV196602:HRV196667 HHZ196602:HHZ196667 GYD196602:GYD196667 GOH196602:GOH196667 GEL196602:GEL196667 FUP196602:FUP196667 FKT196602:FKT196667 FAX196602:FAX196667 ERB196602:ERB196667 EHF196602:EHF196667 DXJ196602:DXJ196667 DNN196602:DNN196667 DDR196602:DDR196667 CTV196602:CTV196667 CJZ196602:CJZ196667 CAD196602:CAD196667 BQH196602:BQH196667 BGL196602:BGL196667 AWP196602:AWP196667 AMT196602:AMT196667 ACX196602:ACX196667 TB196602:TB196667 JF196602:JF196667 J196602:J196667 WVR131066:WVR131131 WLV131066:WLV131131 WBZ131066:WBZ131131 VSD131066:VSD131131 VIH131066:VIH131131 UYL131066:UYL131131 UOP131066:UOP131131 UET131066:UET131131 TUX131066:TUX131131 TLB131066:TLB131131 TBF131066:TBF131131 SRJ131066:SRJ131131 SHN131066:SHN131131 RXR131066:RXR131131 RNV131066:RNV131131 RDZ131066:RDZ131131 QUD131066:QUD131131 QKH131066:QKH131131 QAL131066:QAL131131 PQP131066:PQP131131 PGT131066:PGT131131 OWX131066:OWX131131 ONB131066:ONB131131 ODF131066:ODF131131 NTJ131066:NTJ131131 NJN131066:NJN131131 MZR131066:MZR131131 MPV131066:MPV131131 MFZ131066:MFZ131131 LWD131066:LWD131131 LMH131066:LMH131131 LCL131066:LCL131131 KSP131066:KSP131131 KIT131066:KIT131131 JYX131066:JYX131131 JPB131066:JPB131131 JFF131066:JFF131131 IVJ131066:IVJ131131 ILN131066:ILN131131 IBR131066:IBR131131 HRV131066:HRV131131 HHZ131066:HHZ131131 GYD131066:GYD131131 GOH131066:GOH131131 GEL131066:GEL131131 FUP131066:FUP131131 FKT131066:FKT131131 FAX131066:FAX131131 ERB131066:ERB131131 EHF131066:EHF131131 DXJ131066:DXJ131131 DNN131066:DNN131131 DDR131066:DDR131131 CTV131066:CTV131131 CJZ131066:CJZ131131 CAD131066:CAD131131 BQH131066:BQH131131 BGL131066:BGL131131 AWP131066:AWP131131 AMT131066:AMT131131 ACX131066:ACX131131 TB131066:TB131131 JF131066:JF131131 J131066:J131131 WVR65530:WVR65595 WLV65530:WLV65595 WBZ65530:WBZ65595 VSD65530:VSD65595 VIH65530:VIH65595 UYL65530:UYL65595 UOP65530:UOP65595 UET65530:UET65595 TUX65530:TUX65595 TLB65530:TLB65595 TBF65530:TBF65595 SRJ65530:SRJ65595 SHN65530:SHN65595 RXR65530:RXR65595 RNV65530:RNV65595 RDZ65530:RDZ65595 QUD65530:QUD65595 QKH65530:QKH65595 QAL65530:QAL65595 PQP65530:PQP65595 PGT65530:PGT65595 OWX65530:OWX65595 ONB65530:ONB65595 ODF65530:ODF65595 NTJ65530:NTJ65595 NJN65530:NJN65595 MZR65530:MZR65595 MPV65530:MPV65595 MFZ65530:MFZ65595 LWD65530:LWD65595 LMH65530:LMH65595 LCL65530:LCL65595 KSP65530:KSP65595 KIT65530:KIT65595 JYX65530:JYX65595 JPB65530:JPB65595 JFF65530:JFF65595 IVJ65530:IVJ65595 ILN65530:ILN65595 IBR65530:IBR65595 HRV65530:HRV65595 HHZ65530:HHZ65595 GYD65530:GYD65595 GOH65530:GOH65595 GEL65530:GEL65595 FUP65530:FUP65595 FKT65530:FKT65595 FAX65530:FAX65595 ERB65530:ERB65595 EHF65530:EHF65595 DXJ65530:DXJ65595 DNN65530:DNN65595 DDR65530:DDR65595 CTV65530:CTV65595 CJZ65530:CJZ65595 CAD65530:CAD65595 BQH65530:BQH65595 BGL65530:BGL65595 AWP65530:AWP65595 AMT65530:AMT65595 ACX65530:ACX65595 TB65530:TB65595 JF65530:JF65595 J65530:J65595">
      <formula1>$AP$2:$AP$27</formula1>
    </dataValidation>
    <dataValidation type="list" allowBlank="1" showInputMessage="1" showErrorMessage="1" sqref="WVP983034:WVP983099 JD2:JD59 SZ2:SZ59 ACV2:ACV59 AMR2:AMR59 AWN2:AWN59 BGJ2:BGJ59 BQF2:BQF59 CAB2:CAB59 CJX2:CJX59 CTT2:CTT59 DDP2:DDP59 DNL2:DNL59 DXH2:DXH59 EHD2:EHD59 EQZ2:EQZ59 FAV2:FAV59 FKR2:FKR59 FUN2:FUN59 GEJ2:GEJ59 GOF2:GOF59 GYB2:GYB59 HHX2:HHX59 HRT2:HRT59 IBP2:IBP59 ILL2:ILL59 IVH2:IVH59 JFD2:JFD59 JOZ2:JOZ59 JYV2:JYV59 KIR2:KIR59 KSN2:KSN59 LCJ2:LCJ59 LMF2:LMF59 LWB2:LWB59 MFX2:MFX59 MPT2:MPT59 MZP2:MZP59 NJL2:NJL59 NTH2:NTH59 ODD2:ODD59 OMZ2:OMZ59 OWV2:OWV59 PGR2:PGR59 PQN2:PQN59 QAJ2:QAJ59 QKF2:QKF59 QUB2:QUB59 RDX2:RDX59 RNT2:RNT59 RXP2:RXP59 SHL2:SHL59 SRH2:SRH59 TBD2:TBD59 TKZ2:TKZ59 TUV2:TUV59 UER2:UER59 UON2:UON59 UYJ2:UYJ59 VIF2:VIF59 VSB2:VSB59 WBX2:WBX59 WLT2:WLT59 WVP2:WVP59 WLT983034:WLT983099 WBX983034:WBX983099 VSB983034:VSB983099 VIF983034:VIF983099 UYJ983034:UYJ983099 UON983034:UON983099 UER983034:UER983099 TUV983034:TUV983099 TKZ983034:TKZ983099 TBD983034:TBD983099 SRH983034:SRH983099 SHL983034:SHL983099 RXP983034:RXP983099 RNT983034:RNT983099 RDX983034:RDX983099 QUB983034:QUB983099 QKF983034:QKF983099 QAJ983034:QAJ983099 PQN983034:PQN983099 PGR983034:PGR983099 OWV983034:OWV983099 OMZ983034:OMZ983099 ODD983034:ODD983099 NTH983034:NTH983099 NJL983034:NJL983099 MZP983034:MZP983099 MPT983034:MPT983099 MFX983034:MFX983099 LWB983034:LWB983099 LMF983034:LMF983099 LCJ983034:LCJ983099 KSN983034:KSN983099 KIR983034:KIR983099 JYV983034:JYV983099 JOZ983034:JOZ983099 JFD983034:JFD983099 IVH983034:IVH983099 ILL983034:ILL983099 IBP983034:IBP983099 HRT983034:HRT983099 HHX983034:HHX983099 GYB983034:GYB983099 GOF983034:GOF983099 GEJ983034:GEJ983099 FUN983034:FUN983099 FKR983034:FKR983099 FAV983034:FAV983099 EQZ983034:EQZ983099 EHD983034:EHD983099 DXH983034:DXH983099 DNL983034:DNL983099 DDP983034:DDP983099 CTT983034:CTT983099 CJX983034:CJX983099 CAB983034:CAB983099 BQF983034:BQF983099 BGJ983034:BGJ983099 AWN983034:AWN983099 AMR983034:AMR983099 ACV983034:ACV983099 SZ983034:SZ983099 JD983034:JD983099 H983034:H983099 WVP917498:WVP917563 WLT917498:WLT917563 WBX917498:WBX917563 VSB917498:VSB917563 VIF917498:VIF917563 UYJ917498:UYJ917563 UON917498:UON917563 UER917498:UER917563 TUV917498:TUV917563 TKZ917498:TKZ917563 TBD917498:TBD917563 SRH917498:SRH917563 SHL917498:SHL917563 RXP917498:RXP917563 RNT917498:RNT917563 RDX917498:RDX917563 QUB917498:QUB917563 QKF917498:QKF917563 QAJ917498:QAJ917563 PQN917498:PQN917563 PGR917498:PGR917563 OWV917498:OWV917563 OMZ917498:OMZ917563 ODD917498:ODD917563 NTH917498:NTH917563 NJL917498:NJL917563 MZP917498:MZP917563 MPT917498:MPT917563 MFX917498:MFX917563 LWB917498:LWB917563 LMF917498:LMF917563 LCJ917498:LCJ917563 KSN917498:KSN917563 KIR917498:KIR917563 JYV917498:JYV917563 JOZ917498:JOZ917563 JFD917498:JFD917563 IVH917498:IVH917563 ILL917498:ILL917563 IBP917498:IBP917563 HRT917498:HRT917563 HHX917498:HHX917563 GYB917498:GYB917563 GOF917498:GOF917563 GEJ917498:GEJ917563 FUN917498:FUN917563 FKR917498:FKR917563 FAV917498:FAV917563 EQZ917498:EQZ917563 EHD917498:EHD917563 DXH917498:DXH917563 DNL917498:DNL917563 DDP917498:DDP917563 CTT917498:CTT917563 CJX917498:CJX917563 CAB917498:CAB917563 BQF917498:BQF917563 BGJ917498:BGJ917563 AWN917498:AWN917563 AMR917498:AMR917563 ACV917498:ACV917563 SZ917498:SZ917563 JD917498:JD917563 H917498:H917563 WVP851962:WVP852027 WLT851962:WLT852027 WBX851962:WBX852027 VSB851962:VSB852027 VIF851962:VIF852027 UYJ851962:UYJ852027 UON851962:UON852027 UER851962:UER852027 TUV851962:TUV852027 TKZ851962:TKZ852027 TBD851962:TBD852027 SRH851962:SRH852027 SHL851962:SHL852027 RXP851962:RXP852027 RNT851962:RNT852027 RDX851962:RDX852027 QUB851962:QUB852027 QKF851962:QKF852027 QAJ851962:QAJ852027 PQN851962:PQN852027 PGR851962:PGR852027 OWV851962:OWV852027 OMZ851962:OMZ852027 ODD851962:ODD852027 NTH851962:NTH852027 NJL851962:NJL852027 MZP851962:MZP852027 MPT851962:MPT852027 MFX851962:MFX852027 LWB851962:LWB852027 LMF851962:LMF852027 LCJ851962:LCJ852027 KSN851962:KSN852027 KIR851962:KIR852027 JYV851962:JYV852027 JOZ851962:JOZ852027 JFD851962:JFD852027 IVH851962:IVH852027 ILL851962:ILL852027 IBP851962:IBP852027 HRT851962:HRT852027 HHX851962:HHX852027 GYB851962:GYB852027 GOF851962:GOF852027 GEJ851962:GEJ852027 FUN851962:FUN852027 FKR851962:FKR852027 FAV851962:FAV852027 EQZ851962:EQZ852027 EHD851962:EHD852027 DXH851962:DXH852027 DNL851962:DNL852027 DDP851962:DDP852027 CTT851962:CTT852027 CJX851962:CJX852027 CAB851962:CAB852027 BQF851962:BQF852027 BGJ851962:BGJ852027 AWN851962:AWN852027 AMR851962:AMR852027 ACV851962:ACV852027 SZ851962:SZ852027 JD851962:JD852027 H851962:H852027 WVP786426:WVP786491 WLT786426:WLT786491 WBX786426:WBX786491 VSB786426:VSB786491 VIF786426:VIF786491 UYJ786426:UYJ786491 UON786426:UON786491 UER786426:UER786491 TUV786426:TUV786491 TKZ786426:TKZ786491 TBD786426:TBD786491 SRH786426:SRH786491 SHL786426:SHL786491 RXP786426:RXP786491 RNT786426:RNT786491 RDX786426:RDX786491 QUB786426:QUB786491 QKF786426:QKF786491 QAJ786426:QAJ786491 PQN786426:PQN786491 PGR786426:PGR786491 OWV786426:OWV786491 OMZ786426:OMZ786491 ODD786426:ODD786491 NTH786426:NTH786491 NJL786426:NJL786491 MZP786426:MZP786491 MPT786426:MPT786491 MFX786426:MFX786491 LWB786426:LWB786491 LMF786426:LMF786491 LCJ786426:LCJ786491 KSN786426:KSN786491 KIR786426:KIR786491 JYV786426:JYV786491 JOZ786426:JOZ786491 JFD786426:JFD786491 IVH786426:IVH786491 ILL786426:ILL786491 IBP786426:IBP786491 HRT786426:HRT786491 HHX786426:HHX786491 GYB786426:GYB786491 GOF786426:GOF786491 GEJ786426:GEJ786491 FUN786426:FUN786491 FKR786426:FKR786491 FAV786426:FAV786491 EQZ786426:EQZ786491 EHD786426:EHD786491 DXH786426:DXH786491 DNL786426:DNL786491 DDP786426:DDP786491 CTT786426:CTT786491 CJX786426:CJX786491 CAB786426:CAB786491 BQF786426:BQF786491 BGJ786426:BGJ786491 AWN786426:AWN786491 AMR786426:AMR786491 ACV786426:ACV786491 SZ786426:SZ786491 JD786426:JD786491 H786426:H786491 WVP720890:WVP720955 WLT720890:WLT720955 WBX720890:WBX720955 VSB720890:VSB720955 VIF720890:VIF720955 UYJ720890:UYJ720955 UON720890:UON720955 UER720890:UER720955 TUV720890:TUV720955 TKZ720890:TKZ720955 TBD720890:TBD720955 SRH720890:SRH720955 SHL720890:SHL720955 RXP720890:RXP720955 RNT720890:RNT720955 RDX720890:RDX720955 QUB720890:QUB720955 QKF720890:QKF720955 QAJ720890:QAJ720955 PQN720890:PQN720955 PGR720890:PGR720955 OWV720890:OWV720955 OMZ720890:OMZ720955 ODD720890:ODD720955 NTH720890:NTH720955 NJL720890:NJL720955 MZP720890:MZP720955 MPT720890:MPT720955 MFX720890:MFX720955 LWB720890:LWB720955 LMF720890:LMF720955 LCJ720890:LCJ720955 KSN720890:KSN720955 KIR720890:KIR720955 JYV720890:JYV720955 JOZ720890:JOZ720955 JFD720890:JFD720955 IVH720890:IVH720955 ILL720890:ILL720955 IBP720890:IBP720955 HRT720890:HRT720955 HHX720890:HHX720955 GYB720890:GYB720955 GOF720890:GOF720955 GEJ720890:GEJ720955 FUN720890:FUN720955 FKR720890:FKR720955 FAV720890:FAV720955 EQZ720890:EQZ720955 EHD720890:EHD720955 DXH720890:DXH720955 DNL720890:DNL720955 DDP720890:DDP720955 CTT720890:CTT720955 CJX720890:CJX720955 CAB720890:CAB720955 BQF720890:BQF720955 BGJ720890:BGJ720955 AWN720890:AWN720955 AMR720890:AMR720955 ACV720890:ACV720955 SZ720890:SZ720955 JD720890:JD720955 H720890:H720955 WVP655354:WVP655419 WLT655354:WLT655419 WBX655354:WBX655419 VSB655354:VSB655419 VIF655354:VIF655419 UYJ655354:UYJ655419 UON655354:UON655419 UER655354:UER655419 TUV655354:TUV655419 TKZ655354:TKZ655419 TBD655354:TBD655419 SRH655354:SRH655419 SHL655354:SHL655419 RXP655354:RXP655419 RNT655354:RNT655419 RDX655354:RDX655419 QUB655354:QUB655419 QKF655354:QKF655419 QAJ655354:QAJ655419 PQN655354:PQN655419 PGR655354:PGR655419 OWV655354:OWV655419 OMZ655354:OMZ655419 ODD655354:ODD655419 NTH655354:NTH655419 NJL655354:NJL655419 MZP655354:MZP655419 MPT655354:MPT655419 MFX655354:MFX655419 LWB655354:LWB655419 LMF655354:LMF655419 LCJ655354:LCJ655419 KSN655354:KSN655419 KIR655354:KIR655419 JYV655354:JYV655419 JOZ655354:JOZ655419 JFD655354:JFD655419 IVH655354:IVH655419 ILL655354:ILL655419 IBP655354:IBP655419 HRT655354:HRT655419 HHX655354:HHX655419 GYB655354:GYB655419 GOF655354:GOF655419 GEJ655354:GEJ655419 FUN655354:FUN655419 FKR655354:FKR655419 FAV655354:FAV655419 EQZ655354:EQZ655419 EHD655354:EHD655419 DXH655354:DXH655419 DNL655354:DNL655419 DDP655354:DDP655419 CTT655354:CTT655419 CJX655354:CJX655419 CAB655354:CAB655419 BQF655354:BQF655419 BGJ655354:BGJ655419 AWN655354:AWN655419 AMR655354:AMR655419 ACV655354:ACV655419 SZ655354:SZ655419 JD655354:JD655419 H655354:H655419 WVP589818:WVP589883 WLT589818:WLT589883 WBX589818:WBX589883 VSB589818:VSB589883 VIF589818:VIF589883 UYJ589818:UYJ589883 UON589818:UON589883 UER589818:UER589883 TUV589818:TUV589883 TKZ589818:TKZ589883 TBD589818:TBD589883 SRH589818:SRH589883 SHL589818:SHL589883 RXP589818:RXP589883 RNT589818:RNT589883 RDX589818:RDX589883 QUB589818:QUB589883 QKF589818:QKF589883 QAJ589818:QAJ589883 PQN589818:PQN589883 PGR589818:PGR589883 OWV589818:OWV589883 OMZ589818:OMZ589883 ODD589818:ODD589883 NTH589818:NTH589883 NJL589818:NJL589883 MZP589818:MZP589883 MPT589818:MPT589883 MFX589818:MFX589883 LWB589818:LWB589883 LMF589818:LMF589883 LCJ589818:LCJ589883 KSN589818:KSN589883 KIR589818:KIR589883 JYV589818:JYV589883 JOZ589818:JOZ589883 JFD589818:JFD589883 IVH589818:IVH589883 ILL589818:ILL589883 IBP589818:IBP589883 HRT589818:HRT589883 HHX589818:HHX589883 GYB589818:GYB589883 GOF589818:GOF589883 GEJ589818:GEJ589883 FUN589818:FUN589883 FKR589818:FKR589883 FAV589818:FAV589883 EQZ589818:EQZ589883 EHD589818:EHD589883 DXH589818:DXH589883 DNL589818:DNL589883 DDP589818:DDP589883 CTT589818:CTT589883 CJX589818:CJX589883 CAB589818:CAB589883 BQF589818:BQF589883 BGJ589818:BGJ589883 AWN589818:AWN589883 AMR589818:AMR589883 ACV589818:ACV589883 SZ589818:SZ589883 JD589818:JD589883 H589818:H589883 WVP524282:WVP524347 WLT524282:WLT524347 WBX524282:WBX524347 VSB524282:VSB524347 VIF524282:VIF524347 UYJ524282:UYJ524347 UON524282:UON524347 UER524282:UER524347 TUV524282:TUV524347 TKZ524282:TKZ524347 TBD524282:TBD524347 SRH524282:SRH524347 SHL524282:SHL524347 RXP524282:RXP524347 RNT524282:RNT524347 RDX524282:RDX524347 QUB524282:QUB524347 QKF524282:QKF524347 QAJ524282:QAJ524347 PQN524282:PQN524347 PGR524282:PGR524347 OWV524282:OWV524347 OMZ524282:OMZ524347 ODD524282:ODD524347 NTH524282:NTH524347 NJL524282:NJL524347 MZP524282:MZP524347 MPT524282:MPT524347 MFX524282:MFX524347 LWB524282:LWB524347 LMF524282:LMF524347 LCJ524282:LCJ524347 KSN524282:KSN524347 KIR524282:KIR524347 JYV524282:JYV524347 JOZ524282:JOZ524347 JFD524282:JFD524347 IVH524282:IVH524347 ILL524282:ILL524347 IBP524282:IBP524347 HRT524282:HRT524347 HHX524282:HHX524347 GYB524282:GYB524347 GOF524282:GOF524347 GEJ524282:GEJ524347 FUN524282:FUN524347 FKR524282:FKR524347 FAV524282:FAV524347 EQZ524282:EQZ524347 EHD524282:EHD524347 DXH524282:DXH524347 DNL524282:DNL524347 DDP524282:DDP524347 CTT524282:CTT524347 CJX524282:CJX524347 CAB524282:CAB524347 BQF524282:BQF524347 BGJ524282:BGJ524347 AWN524282:AWN524347 AMR524282:AMR524347 ACV524282:ACV524347 SZ524282:SZ524347 JD524282:JD524347 H524282:H524347 WVP458746:WVP458811 WLT458746:WLT458811 WBX458746:WBX458811 VSB458746:VSB458811 VIF458746:VIF458811 UYJ458746:UYJ458811 UON458746:UON458811 UER458746:UER458811 TUV458746:TUV458811 TKZ458746:TKZ458811 TBD458746:TBD458811 SRH458746:SRH458811 SHL458746:SHL458811 RXP458746:RXP458811 RNT458746:RNT458811 RDX458746:RDX458811 QUB458746:QUB458811 QKF458746:QKF458811 QAJ458746:QAJ458811 PQN458746:PQN458811 PGR458746:PGR458811 OWV458746:OWV458811 OMZ458746:OMZ458811 ODD458746:ODD458811 NTH458746:NTH458811 NJL458746:NJL458811 MZP458746:MZP458811 MPT458746:MPT458811 MFX458746:MFX458811 LWB458746:LWB458811 LMF458746:LMF458811 LCJ458746:LCJ458811 KSN458746:KSN458811 KIR458746:KIR458811 JYV458746:JYV458811 JOZ458746:JOZ458811 JFD458746:JFD458811 IVH458746:IVH458811 ILL458746:ILL458811 IBP458746:IBP458811 HRT458746:HRT458811 HHX458746:HHX458811 GYB458746:GYB458811 GOF458746:GOF458811 GEJ458746:GEJ458811 FUN458746:FUN458811 FKR458746:FKR458811 FAV458746:FAV458811 EQZ458746:EQZ458811 EHD458746:EHD458811 DXH458746:DXH458811 DNL458746:DNL458811 DDP458746:DDP458811 CTT458746:CTT458811 CJX458746:CJX458811 CAB458746:CAB458811 BQF458746:BQF458811 BGJ458746:BGJ458811 AWN458746:AWN458811 AMR458746:AMR458811 ACV458746:ACV458811 SZ458746:SZ458811 JD458746:JD458811 H458746:H458811 WVP393210:WVP393275 WLT393210:WLT393275 WBX393210:WBX393275 VSB393210:VSB393275 VIF393210:VIF393275 UYJ393210:UYJ393275 UON393210:UON393275 UER393210:UER393275 TUV393210:TUV393275 TKZ393210:TKZ393275 TBD393210:TBD393275 SRH393210:SRH393275 SHL393210:SHL393275 RXP393210:RXP393275 RNT393210:RNT393275 RDX393210:RDX393275 QUB393210:QUB393275 QKF393210:QKF393275 QAJ393210:QAJ393275 PQN393210:PQN393275 PGR393210:PGR393275 OWV393210:OWV393275 OMZ393210:OMZ393275 ODD393210:ODD393275 NTH393210:NTH393275 NJL393210:NJL393275 MZP393210:MZP393275 MPT393210:MPT393275 MFX393210:MFX393275 LWB393210:LWB393275 LMF393210:LMF393275 LCJ393210:LCJ393275 KSN393210:KSN393275 KIR393210:KIR393275 JYV393210:JYV393275 JOZ393210:JOZ393275 JFD393210:JFD393275 IVH393210:IVH393275 ILL393210:ILL393275 IBP393210:IBP393275 HRT393210:HRT393275 HHX393210:HHX393275 GYB393210:GYB393275 GOF393210:GOF393275 GEJ393210:GEJ393275 FUN393210:FUN393275 FKR393210:FKR393275 FAV393210:FAV393275 EQZ393210:EQZ393275 EHD393210:EHD393275 DXH393210:DXH393275 DNL393210:DNL393275 DDP393210:DDP393275 CTT393210:CTT393275 CJX393210:CJX393275 CAB393210:CAB393275 BQF393210:BQF393275 BGJ393210:BGJ393275 AWN393210:AWN393275 AMR393210:AMR393275 ACV393210:ACV393275 SZ393210:SZ393275 JD393210:JD393275 H393210:H393275 WVP327674:WVP327739 WLT327674:WLT327739 WBX327674:WBX327739 VSB327674:VSB327739 VIF327674:VIF327739 UYJ327674:UYJ327739 UON327674:UON327739 UER327674:UER327739 TUV327674:TUV327739 TKZ327674:TKZ327739 TBD327674:TBD327739 SRH327674:SRH327739 SHL327674:SHL327739 RXP327674:RXP327739 RNT327674:RNT327739 RDX327674:RDX327739 QUB327674:QUB327739 QKF327674:QKF327739 QAJ327674:QAJ327739 PQN327674:PQN327739 PGR327674:PGR327739 OWV327674:OWV327739 OMZ327674:OMZ327739 ODD327674:ODD327739 NTH327674:NTH327739 NJL327674:NJL327739 MZP327674:MZP327739 MPT327674:MPT327739 MFX327674:MFX327739 LWB327674:LWB327739 LMF327674:LMF327739 LCJ327674:LCJ327739 KSN327674:KSN327739 KIR327674:KIR327739 JYV327674:JYV327739 JOZ327674:JOZ327739 JFD327674:JFD327739 IVH327674:IVH327739 ILL327674:ILL327739 IBP327674:IBP327739 HRT327674:HRT327739 HHX327674:HHX327739 GYB327674:GYB327739 GOF327674:GOF327739 GEJ327674:GEJ327739 FUN327674:FUN327739 FKR327674:FKR327739 FAV327674:FAV327739 EQZ327674:EQZ327739 EHD327674:EHD327739 DXH327674:DXH327739 DNL327674:DNL327739 DDP327674:DDP327739 CTT327674:CTT327739 CJX327674:CJX327739 CAB327674:CAB327739 BQF327674:BQF327739 BGJ327674:BGJ327739 AWN327674:AWN327739 AMR327674:AMR327739 ACV327674:ACV327739 SZ327674:SZ327739 JD327674:JD327739 H327674:H327739 WVP262138:WVP262203 WLT262138:WLT262203 WBX262138:WBX262203 VSB262138:VSB262203 VIF262138:VIF262203 UYJ262138:UYJ262203 UON262138:UON262203 UER262138:UER262203 TUV262138:TUV262203 TKZ262138:TKZ262203 TBD262138:TBD262203 SRH262138:SRH262203 SHL262138:SHL262203 RXP262138:RXP262203 RNT262138:RNT262203 RDX262138:RDX262203 QUB262138:QUB262203 QKF262138:QKF262203 QAJ262138:QAJ262203 PQN262138:PQN262203 PGR262138:PGR262203 OWV262138:OWV262203 OMZ262138:OMZ262203 ODD262138:ODD262203 NTH262138:NTH262203 NJL262138:NJL262203 MZP262138:MZP262203 MPT262138:MPT262203 MFX262138:MFX262203 LWB262138:LWB262203 LMF262138:LMF262203 LCJ262138:LCJ262203 KSN262138:KSN262203 KIR262138:KIR262203 JYV262138:JYV262203 JOZ262138:JOZ262203 JFD262138:JFD262203 IVH262138:IVH262203 ILL262138:ILL262203 IBP262138:IBP262203 HRT262138:HRT262203 HHX262138:HHX262203 GYB262138:GYB262203 GOF262138:GOF262203 GEJ262138:GEJ262203 FUN262138:FUN262203 FKR262138:FKR262203 FAV262138:FAV262203 EQZ262138:EQZ262203 EHD262138:EHD262203 DXH262138:DXH262203 DNL262138:DNL262203 DDP262138:DDP262203 CTT262138:CTT262203 CJX262138:CJX262203 CAB262138:CAB262203 BQF262138:BQF262203 BGJ262138:BGJ262203 AWN262138:AWN262203 AMR262138:AMR262203 ACV262138:ACV262203 SZ262138:SZ262203 JD262138:JD262203 H262138:H262203 WVP196602:WVP196667 WLT196602:WLT196667 WBX196602:WBX196667 VSB196602:VSB196667 VIF196602:VIF196667 UYJ196602:UYJ196667 UON196602:UON196667 UER196602:UER196667 TUV196602:TUV196667 TKZ196602:TKZ196667 TBD196602:TBD196667 SRH196602:SRH196667 SHL196602:SHL196667 RXP196602:RXP196667 RNT196602:RNT196667 RDX196602:RDX196667 QUB196602:QUB196667 QKF196602:QKF196667 QAJ196602:QAJ196667 PQN196602:PQN196667 PGR196602:PGR196667 OWV196602:OWV196667 OMZ196602:OMZ196667 ODD196602:ODD196667 NTH196602:NTH196667 NJL196602:NJL196667 MZP196602:MZP196667 MPT196602:MPT196667 MFX196602:MFX196667 LWB196602:LWB196667 LMF196602:LMF196667 LCJ196602:LCJ196667 KSN196602:KSN196667 KIR196602:KIR196667 JYV196602:JYV196667 JOZ196602:JOZ196667 JFD196602:JFD196667 IVH196602:IVH196667 ILL196602:ILL196667 IBP196602:IBP196667 HRT196602:HRT196667 HHX196602:HHX196667 GYB196602:GYB196667 GOF196602:GOF196667 GEJ196602:GEJ196667 FUN196602:FUN196667 FKR196602:FKR196667 FAV196602:FAV196667 EQZ196602:EQZ196667 EHD196602:EHD196667 DXH196602:DXH196667 DNL196602:DNL196667 DDP196602:DDP196667 CTT196602:CTT196667 CJX196602:CJX196667 CAB196602:CAB196667 BQF196602:BQF196667 BGJ196602:BGJ196667 AWN196602:AWN196667 AMR196602:AMR196667 ACV196602:ACV196667 SZ196602:SZ196667 JD196602:JD196667 H196602:H196667 WVP131066:WVP131131 WLT131066:WLT131131 WBX131066:WBX131131 VSB131066:VSB131131 VIF131066:VIF131131 UYJ131066:UYJ131131 UON131066:UON131131 UER131066:UER131131 TUV131066:TUV131131 TKZ131066:TKZ131131 TBD131066:TBD131131 SRH131066:SRH131131 SHL131066:SHL131131 RXP131066:RXP131131 RNT131066:RNT131131 RDX131066:RDX131131 QUB131066:QUB131131 QKF131066:QKF131131 QAJ131066:QAJ131131 PQN131066:PQN131131 PGR131066:PGR131131 OWV131066:OWV131131 OMZ131066:OMZ131131 ODD131066:ODD131131 NTH131066:NTH131131 NJL131066:NJL131131 MZP131066:MZP131131 MPT131066:MPT131131 MFX131066:MFX131131 LWB131066:LWB131131 LMF131066:LMF131131 LCJ131066:LCJ131131 KSN131066:KSN131131 KIR131066:KIR131131 JYV131066:JYV131131 JOZ131066:JOZ131131 JFD131066:JFD131131 IVH131066:IVH131131 ILL131066:ILL131131 IBP131066:IBP131131 HRT131066:HRT131131 HHX131066:HHX131131 GYB131066:GYB131131 GOF131066:GOF131131 GEJ131066:GEJ131131 FUN131066:FUN131131 FKR131066:FKR131131 FAV131066:FAV131131 EQZ131066:EQZ131131 EHD131066:EHD131131 DXH131066:DXH131131 DNL131066:DNL131131 DDP131066:DDP131131 CTT131066:CTT131131 CJX131066:CJX131131 CAB131066:CAB131131 BQF131066:BQF131131 BGJ131066:BGJ131131 AWN131066:AWN131131 AMR131066:AMR131131 ACV131066:ACV131131 SZ131066:SZ131131 JD131066:JD131131 H131066:H131131 WVP65530:WVP65595 WLT65530:WLT65595 WBX65530:WBX65595 VSB65530:VSB65595 VIF65530:VIF65595 UYJ65530:UYJ65595 UON65530:UON65595 UER65530:UER65595 TUV65530:TUV65595 TKZ65530:TKZ65595 TBD65530:TBD65595 SRH65530:SRH65595 SHL65530:SHL65595 RXP65530:RXP65595 RNT65530:RNT65595 RDX65530:RDX65595 QUB65530:QUB65595 QKF65530:QKF65595 QAJ65530:QAJ65595 PQN65530:PQN65595 PGR65530:PGR65595 OWV65530:OWV65595 OMZ65530:OMZ65595 ODD65530:ODD65595 NTH65530:NTH65595 NJL65530:NJL65595 MZP65530:MZP65595 MPT65530:MPT65595 MFX65530:MFX65595 LWB65530:LWB65595 LMF65530:LMF65595 LCJ65530:LCJ65595 KSN65530:KSN65595 KIR65530:KIR65595 JYV65530:JYV65595 JOZ65530:JOZ65595 JFD65530:JFD65595 IVH65530:IVH65595 ILL65530:ILL65595 IBP65530:IBP65595 HRT65530:HRT65595 HHX65530:HHX65595 GYB65530:GYB65595 GOF65530:GOF65595 GEJ65530:GEJ65595 FUN65530:FUN65595 FKR65530:FKR65595 FAV65530:FAV65595 EQZ65530:EQZ65595 EHD65530:EHD65595 DXH65530:DXH65595 DNL65530:DNL65595 DDP65530:DDP65595 CTT65530:CTT65595 CJX65530:CJX65595 CAB65530:CAB65595 BQF65530:BQF65595 BGJ65530:BGJ65595 AWN65530:AWN65595 AMR65530:AMR65595 ACV65530:ACV65595 SZ65530:SZ65595 JD65530:JD65595 H65530:H65595">
      <formula1>$AL$4:$AL$12</formula1>
    </dataValidation>
    <dataValidation type="list" allowBlank="1" showInputMessage="1" showErrorMessage="1" sqref="A64355:A64420 A2:A492 SS2:SS65 ACO2:ACO65 AMK2:AMK65 AWG2:AWG65 BGC2:BGC65 BPY2:BPY65 BZU2:BZU65 CJQ2:CJQ65 CTM2:CTM65 DDI2:DDI65 DNE2:DNE65 DXA2:DXA65 EGW2:EGW65 EQS2:EQS65 FAO2:FAO65 FKK2:FKK65 FUG2:FUG65 GEC2:GEC65 GNY2:GNY65 GXU2:GXU65 HHQ2:HHQ65 HRM2:HRM65 IBI2:IBI65 ILE2:ILE65 IVA2:IVA65 JEW2:JEW65 JOS2:JOS65 JYO2:JYO65 KIK2:KIK65 KSG2:KSG65 LCC2:LCC65 LLY2:LLY65 LVU2:LVU65 MFQ2:MFQ65 MPM2:MPM65 MZI2:MZI65 NJE2:NJE65 NTA2:NTA65 OCW2:OCW65 OMS2:OMS65 OWO2:OWO65 PGK2:PGK65 PQG2:PQG65 QAC2:QAC65 QJY2:QJY65 QTU2:QTU65 RDQ2:RDQ65 RNM2:RNM65 RXI2:RXI65 SHE2:SHE65 SRA2:SRA65 TAW2:TAW65 TKS2:TKS65 TUO2:TUO65 UEK2:UEK65 UOG2:UOG65 UYC2:UYC65 VHY2:VHY65 VRU2:VRU65 WBQ2:WBQ65 WLM2:WLM65 WVI2:WVI65 IW2:IW65 WLM983034:WLM983105 WBQ983034:WBQ983105 VRU983034:VRU983105 VHY983034:VHY983105 UYC983034:UYC983105 UOG983034:UOG983105 UEK983034:UEK983105 TUO983034:TUO983105 TKS983034:TKS983105 TAW983034:TAW983105 SRA983034:SRA983105 SHE983034:SHE983105 RXI983034:RXI983105 RNM983034:RNM983105 RDQ983034:RDQ983105 QTU983034:QTU983105 QJY983034:QJY983105 QAC983034:QAC983105 PQG983034:PQG983105 PGK983034:PGK983105 OWO983034:OWO983105 OMS983034:OMS983105 OCW983034:OCW983105 NTA983034:NTA983105 NJE983034:NJE983105 MZI983034:MZI983105 MPM983034:MPM983105 MFQ983034:MFQ983105 LVU983034:LVU983105 LLY983034:LLY983105 LCC983034:LCC983105 KSG983034:KSG983105 KIK983034:KIK983105 JYO983034:JYO983105 JOS983034:JOS983105 JEW983034:JEW983105 IVA983034:IVA983105 ILE983034:ILE983105 IBI983034:IBI983105 HRM983034:HRM983105 HHQ983034:HHQ983105 GXU983034:GXU983105 GNY983034:GNY983105 GEC983034:GEC983105 FUG983034:FUG983105 FKK983034:FKK983105 FAO983034:FAO983105 EQS983034:EQS983105 EGW983034:EGW983105 DXA983034:DXA983105 DNE983034:DNE983105 DDI983034:DDI983105 CTM983034:CTM983105 CJQ983034:CJQ983105 BZU983034:BZU983105 BPY983034:BPY983105 BGC983034:BGC983105 AWG983034:AWG983105 AMK983034:AMK983105 ACO983034:ACO983105 SS983034:SS983105 IW983034:IW983105 A983034:A983105 WVI917498:WVI917569 WLM917498:WLM917569 WBQ917498:WBQ917569 VRU917498:VRU917569 VHY917498:VHY917569 UYC917498:UYC917569 UOG917498:UOG917569 UEK917498:UEK917569 TUO917498:TUO917569 TKS917498:TKS917569 TAW917498:TAW917569 SRA917498:SRA917569 SHE917498:SHE917569 RXI917498:RXI917569 RNM917498:RNM917569 RDQ917498:RDQ917569 QTU917498:QTU917569 QJY917498:QJY917569 QAC917498:QAC917569 PQG917498:PQG917569 PGK917498:PGK917569 OWO917498:OWO917569 OMS917498:OMS917569 OCW917498:OCW917569 NTA917498:NTA917569 NJE917498:NJE917569 MZI917498:MZI917569 MPM917498:MPM917569 MFQ917498:MFQ917569 LVU917498:LVU917569 LLY917498:LLY917569 LCC917498:LCC917569 KSG917498:KSG917569 KIK917498:KIK917569 JYO917498:JYO917569 JOS917498:JOS917569 JEW917498:JEW917569 IVA917498:IVA917569 ILE917498:ILE917569 IBI917498:IBI917569 HRM917498:HRM917569 HHQ917498:HHQ917569 GXU917498:GXU917569 GNY917498:GNY917569 GEC917498:GEC917569 FUG917498:FUG917569 FKK917498:FKK917569 FAO917498:FAO917569 EQS917498:EQS917569 EGW917498:EGW917569 DXA917498:DXA917569 DNE917498:DNE917569 DDI917498:DDI917569 CTM917498:CTM917569 CJQ917498:CJQ917569 BZU917498:BZU917569 BPY917498:BPY917569 BGC917498:BGC917569 AWG917498:AWG917569 AMK917498:AMK917569 ACO917498:ACO917569 SS917498:SS917569 IW917498:IW917569 A917498:A917569 WVI851962:WVI852033 WLM851962:WLM852033 WBQ851962:WBQ852033 VRU851962:VRU852033 VHY851962:VHY852033 UYC851962:UYC852033 UOG851962:UOG852033 UEK851962:UEK852033 TUO851962:TUO852033 TKS851962:TKS852033 TAW851962:TAW852033 SRA851962:SRA852033 SHE851962:SHE852033 RXI851962:RXI852033 RNM851962:RNM852033 RDQ851962:RDQ852033 QTU851962:QTU852033 QJY851962:QJY852033 QAC851962:QAC852033 PQG851962:PQG852033 PGK851962:PGK852033 OWO851962:OWO852033 OMS851962:OMS852033 OCW851962:OCW852033 NTA851962:NTA852033 NJE851962:NJE852033 MZI851962:MZI852033 MPM851962:MPM852033 MFQ851962:MFQ852033 LVU851962:LVU852033 LLY851962:LLY852033 LCC851962:LCC852033 KSG851962:KSG852033 KIK851962:KIK852033 JYO851962:JYO852033 JOS851962:JOS852033 JEW851962:JEW852033 IVA851962:IVA852033 ILE851962:ILE852033 IBI851962:IBI852033 HRM851962:HRM852033 HHQ851962:HHQ852033 GXU851962:GXU852033 GNY851962:GNY852033 GEC851962:GEC852033 FUG851962:FUG852033 FKK851962:FKK852033 FAO851962:FAO852033 EQS851962:EQS852033 EGW851962:EGW852033 DXA851962:DXA852033 DNE851962:DNE852033 DDI851962:DDI852033 CTM851962:CTM852033 CJQ851962:CJQ852033 BZU851962:BZU852033 BPY851962:BPY852033 BGC851962:BGC852033 AWG851962:AWG852033 AMK851962:AMK852033 ACO851962:ACO852033 SS851962:SS852033 IW851962:IW852033 A851962:A852033 WVI786426:WVI786497 WLM786426:WLM786497 WBQ786426:WBQ786497 VRU786426:VRU786497 VHY786426:VHY786497 UYC786426:UYC786497 UOG786426:UOG786497 UEK786426:UEK786497 TUO786426:TUO786497 TKS786426:TKS786497 TAW786426:TAW786497 SRA786426:SRA786497 SHE786426:SHE786497 RXI786426:RXI786497 RNM786426:RNM786497 RDQ786426:RDQ786497 QTU786426:QTU786497 QJY786426:QJY786497 QAC786426:QAC786497 PQG786426:PQG786497 PGK786426:PGK786497 OWO786426:OWO786497 OMS786426:OMS786497 OCW786426:OCW786497 NTA786426:NTA786497 NJE786426:NJE786497 MZI786426:MZI786497 MPM786426:MPM786497 MFQ786426:MFQ786497 LVU786426:LVU786497 LLY786426:LLY786497 LCC786426:LCC786497 KSG786426:KSG786497 KIK786426:KIK786497 JYO786426:JYO786497 JOS786426:JOS786497 JEW786426:JEW786497 IVA786426:IVA786497 ILE786426:ILE786497 IBI786426:IBI786497 HRM786426:HRM786497 HHQ786426:HHQ786497 GXU786426:GXU786497 GNY786426:GNY786497 GEC786426:GEC786497 FUG786426:FUG786497 FKK786426:FKK786497 FAO786426:FAO786497 EQS786426:EQS786497 EGW786426:EGW786497 DXA786426:DXA786497 DNE786426:DNE786497 DDI786426:DDI786497 CTM786426:CTM786497 CJQ786426:CJQ786497 BZU786426:BZU786497 BPY786426:BPY786497 BGC786426:BGC786497 AWG786426:AWG786497 AMK786426:AMK786497 ACO786426:ACO786497 SS786426:SS786497 IW786426:IW786497 A786426:A786497 WVI720890:WVI720961 WLM720890:WLM720961 WBQ720890:WBQ720961 VRU720890:VRU720961 VHY720890:VHY720961 UYC720890:UYC720961 UOG720890:UOG720961 UEK720890:UEK720961 TUO720890:TUO720961 TKS720890:TKS720961 TAW720890:TAW720961 SRA720890:SRA720961 SHE720890:SHE720961 RXI720890:RXI720961 RNM720890:RNM720961 RDQ720890:RDQ720961 QTU720890:QTU720961 QJY720890:QJY720961 QAC720890:QAC720961 PQG720890:PQG720961 PGK720890:PGK720961 OWO720890:OWO720961 OMS720890:OMS720961 OCW720890:OCW720961 NTA720890:NTA720961 NJE720890:NJE720961 MZI720890:MZI720961 MPM720890:MPM720961 MFQ720890:MFQ720961 LVU720890:LVU720961 LLY720890:LLY720961 LCC720890:LCC720961 KSG720890:KSG720961 KIK720890:KIK720961 JYO720890:JYO720961 JOS720890:JOS720961 JEW720890:JEW720961 IVA720890:IVA720961 ILE720890:ILE720961 IBI720890:IBI720961 HRM720890:HRM720961 HHQ720890:HHQ720961 GXU720890:GXU720961 GNY720890:GNY720961 GEC720890:GEC720961 FUG720890:FUG720961 FKK720890:FKK720961 FAO720890:FAO720961 EQS720890:EQS720961 EGW720890:EGW720961 DXA720890:DXA720961 DNE720890:DNE720961 DDI720890:DDI720961 CTM720890:CTM720961 CJQ720890:CJQ720961 BZU720890:BZU720961 BPY720890:BPY720961 BGC720890:BGC720961 AWG720890:AWG720961 AMK720890:AMK720961 ACO720890:ACO720961 SS720890:SS720961 IW720890:IW720961 A720890:A720961 WVI655354:WVI655425 WLM655354:WLM655425 WBQ655354:WBQ655425 VRU655354:VRU655425 VHY655354:VHY655425 UYC655354:UYC655425 UOG655354:UOG655425 UEK655354:UEK655425 TUO655354:TUO655425 TKS655354:TKS655425 TAW655354:TAW655425 SRA655354:SRA655425 SHE655354:SHE655425 RXI655354:RXI655425 RNM655354:RNM655425 RDQ655354:RDQ655425 QTU655354:QTU655425 QJY655354:QJY655425 QAC655354:QAC655425 PQG655354:PQG655425 PGK655354:PGK655425 OWO655354:OWO655425 OMS655354:OMS655425 OCW655354:OCW655425 NTA655354:NTA655425 NJE655354:NJE655425 MZI655354:MZI655425 MPM655354:MPM655425 MFQ655354:MFQ655425 LVU655354:LVU655425 LLY655354:LLY655425 LCC655354:LCC655425 KSG655354:KSG655425 KIK655354:KIK655425 JYO655354:JYO655425 JOS655354:JOS655425 JEW655354:JEW655425 IVA655354:IVA655425 ILE655354:ILE655425 IBI655354:IBI655425 HRM655354:HRM655425 HHQ655354:HHQ655425 GXU655354:GXU655425 GNY655354:GNY655425 GEC655354:GEC655425 FUG655354:FUG655425 FKK655354:FKK655425 FAO655354:FAO655425 EQS655354:EQS655425 EGW655354:EGW655425 DXA655354:DXA655425 DNE655354:DNE655425 DDI655354:DDI655425 CTM655354:CTM655425 CJQ655354:CJQ655425 BZU655354:BZU655425 BPY655354:BPY655425 BGC655354:BGC655425 AWG655354:AWG655425 AMK655354:AMK655425 ACO655354:ACO655425 SS655354:SS655425 IW655354:IW655425 A655354:A655425 WVI589818:WVI589889 WLM589818:WLM589889 WBQ589818:WBQ589889 VRU589818:VRU589889 VHY589818:VHY589889 UYC589818:UYC589889 UOG589818:UOG589889 UEK589818:UEK589889 TUO589818:TUO589889 TKS589818:TKS589889 TAW589818:TAW589889 SRA589818:SRA589889 SHE589818:SHE589889 RXI589818:RXI589889 RNM589818:RNM589889 RDQ589818:RDQ589889 QTU589818:QTU589889 QJY589818:QJY589889 QAC589818:QAC589889 PQG589818:PQG589889 PGK589818:PGK589889 OWO589818:OWO589889 OMS589818:OMS589889 OCW589818:OCW589889 NTA589818:NTA589889 NJE589818:NJE589889 MZI589818:MZI589889 MPM589818:MPM589889 MFQ589818:MFQ589889 LVU589818:LVU589889 LLY589818:LLY589889 LCC589818:LCC589889 KSG589818:KSG589889 KIK589818:KIK589889 JYO589818:JYO589889 JOS589818:JOS589889 JEW589818:JEW589889 IVA589818:IVA589889 ILE589818:ILE589889 IBI589818:IBI589889 HRM589818:HRM589889 HHQ589818:HHQ589889 GXU589818:GXU589889 GNY589818:GNY589889 GEC589818:GEC589889 FUG589818:FUG589889 FKK589818:FKK589889 FAO589818:FAO589889 EQS589818:EQS589889 EGW589818:EGW589889 DXA589818:DXA589889 DNE589818:DNE589889 DDI589818:DDI589889 CTM589818:CTM589889 CJQ589818:CJQ589889 BZU589818:BZU589889 BPY589818:BPY589889 BGC589818:BGC589889 AWG589818:AWG589889 AMK589818:AMK589889 ACO589818:ACO589889 SS589818:SS589889 IW589818:IW589889 A589818:A589889 WVI524282:WVI524353 WLM524282:WLM524353 WBQ524282:WBQ524353 VRU524282:VRU524353 VHY524282:VHY524353 UYC524282:UYC524353 UOG524282:UOG524353 UEK524282:UEK524353 TUO524282:TUO524353 TKS524282:TKS524353 TAW524282:TAW524353 SRA524282:SRA524353 SHE524282:SHE524353 RXI524282:RXI524353 RNM524282:RNM524353 RDQ524282:RDQ524353 QTU524282:QTU524353 QJY524282:QJY524353 QAC524282:QAC524353 PQG524282:PQG524353 PGK524282:PGK524353 OWO524282:OWO524353 OMS524282:OMS524353 OCW524282:OCW524353 NTA524282:NTA524353 NJE524282:NJE524353 MZI524282:MZI524353 MPM524282:MPM524353 MFQ524282:MFQ524353 LVU524282:LVU524353 LLY524282:LLY524353 LCC524282:LCC524353 KSG524282:KSG524353 KIK524282:KIK524353 JYO524282:JYO524353 JOS524282:JOS524353 JEW524282:JEW524353 IVA524282:IVA524353 ILE524282:ILE524353 IBI524282:IBI524353 HRM524282:HRM524353 HHQ524282:HHQ524353 GXU524282:GXU524353 GNY524282:GNY524353 GEC524282:GEC524353 FUG524282:FUG524353 FKK524282:FKK524353 FAO524282:FAO524353 EQS524282:EQS524353 EGW524282:EGW524353 DXA524282:DXA524353 DNE524282:DNE524353 DDI524282:DDI524353 CTM524282:CTM524353 CJQ524282:CJQ524353 BZU524282:BZU524353 BPY524282:BPY524353 BGC524282:BGC524353 AWG524282:AWG524353 AMK524282:AMK524353 ACO524282:ACO524353 SS524282:SS524353 IW524282:IW524353 A524282:A524353 WVI458746:WVI458817 WLM458746:WLM458817 WBQ458746:WBQ458817 VRU458746:VRU458817 VHY458746:VHY458817 UYC458746:UYC458817 UOG458746:UOG458817 UEK458746:UEK458817 TUO458746:TUO458817 TKS458746:TKS458817 TAW458746:TAW458817 SRA458746:SRA458817 SHE458746:SHE458817 RXI458746:RXI458817 RNM458746:RNM458817 RDQ458746:RDQ458817 QTU458746:QTU458817 QJY458746:QJY458817 QAC458746:QAC458817 PQG458746:PQG458817 PGK458746:PGK458817 OWO458746:OWO458817 OMS458746:OMS458817 OCW458746:OCW458817 NTA458746:NTA458817 NJE458746:NJE458817 MZI458746:MZI458817 MPM458746:MPM458817 MFQ458746:MFQ458817 LVU458746:LVU458817 LLY458746:LLY458817 LCC458746:LCC458817 KSG458746:KSG458817 KIK458746:KIK458817 JYO458746:JYO458817 JOS458746:JOS458817 JEW458746:JEW458817 IVA458746:IVA458817 ILE458746:ILE458817 IBI458746:IBI458817 HRM458746:HRM458817 HHQ458746:HHQ458817 GXU458746:GXU458817 GNY458746:GNY458817 GEC458746:GEC458817 FUG458746:FUG458817 FKK458746:FKK458817 FAO458746:FAO458817 EQS458746:EQS458817 EGW458746:EGW458817 DXA458746:DXA458817 DNE458746:DNE458817 DDI458746:DDI458817 CTM458746:CTM458817 CJQ458746:CJQ458817 BZU458746:BZU458817 BPY458746:BPY458817 BGC458746:BGC458817 AWG458746:AWG458817 AMK458746:AMK458817 ACO458746:ACO458817 SS458746:SS458817 IW458746:IW458817 A458746:A458817 WVI393210:WVI393281 WLM393210:WLM393281 WBQ393210:WBQ393281 VRU393210:VRU393281 VHY393210:VHY393281 UYC393210:UYC393281 UOG393210:UOG393281 UEK393210:UEK393281 TUO393210:TUO393281 TKS393210:TKS393281 TAW393210:TAW393281 SRA393210:SRA393281 SHE393210:SHE393281 RXI393210:RXI393281 RNM393210:RNM393281 RDQ393210:RDQ393281 QTU393210:QTU393281 QJY393210:QJY393281 QAC393210:QAC393281 PQG393210:PQG393281 PGK393210:PGK393281 OWO393210:OWO393281 OMS393210:OMS393281 OCW393210:OCW393281 NTA393210:NTA393281 NJE393210:NJE393281 MZI393210:MZI393281 MPM393210:MPM393281 MFQ393210:MFQ393281 LVU393210:LVU393281 LLY393210:LLY393281 LCC393210:LCC393281 KSG393210:KSG393281 KIK393210:KIK393281 JYO393210:JYO393281 JOS393210:JOS393281 JEW393210:JEW393281 IVA393210:IVA393281 ILE393210:ILE393281 IBI393210:IBI393281 HRM393210:HRM393281 HHQ393210:HHQ393281 GXU393210:GXU393281 GNY393210:GNY393281 GEC393210:GEC393281 FUG393210:FUG393281 FKK393210:FKK393281 FAO393210:FAO393281 EQS393210:EQS393281 EGW393210:EGW393281 DXA393210:DXA393281 DNE393210:DNE393281 DDI393210:DDI393281 CTM393210:CTM393281 CJQ393210:CJQ393281 BZU393210:BZU393281 BPY393210:BPY393281 BGC393210:BGC393281 AWG393210:AWG393281 AMK393210:AMK393281 ACO393210:ACO393281 SS393210:SS393281 IW393210:IW393281 A393210:A393281 WVI327674:WVI327745 WLM327674:WLM327745 WBQ327674:WBQ327745 VRU327674:VRU327745 VHY327674:VHY327745 UYC327674:UYC327745 UOG327674:UOG327745 UEK327674:UEK327745 TUO327674:TUO327745 TKS327674:TKS327745 TAW327674:TAW327745 SRA327674:SRA327745 SHE327674:SHE327745 RXI327674:RXI327745 RNM327674:RNM327745 RDQ327674:RDQ327745 QTU327674:QTU327745 QJY327674:QJY327745 QAC327674:QAC327745 PQG327674:PQG327745 PGK327674:PGK327745 OWO327674:OWO327745 OMS327674:OMS327745 OCW327674:OCW327745 NTA327674:NTA327745 NJE327674:NJE327745 MZI327674:MZI327745 MPM327674:MPM327745 MFQ327674:MFQ327745 LVU327674:LVU327745 LLY327674:LLY327745 LCC327674:LCC327745 KSG327674:KSG327745 KIK327674:KIK327745 JYO327674:JYO327745 JOS327674:JOS327745 JEW327674:JEW327745 IVA327674:IVA327745 ILE327674:ILE327745 IBI327674:IBI327745 HRM327674:HRM327745 HHQ327674:HHQ327745 GXU327674:GXU327745 GNY327674:GNY327745 GEC327674:GEC327745 FUG327674:FUG327745 FKK327674:FKK327745 FAO327674:FAO327745 EQS327674:EQS327745 EGW327674:EGW327745 DXA327674:DXA327745 DNE327674:DNE327745 DDI327674:DDI327745 CTM327674:CTM327745 CJQ327674:CJQ327745 BZU327674:BZU327745 BPY327674:BPY327745 BGC327674:BGC327745 AWG327674:AWG327745 AMK327674:AMK327745 ACO327674:ACO327745 SS327674:SS327745 IW327674:IW327745 A327674:A327745 WVI262138:WVI262209 WLM262138:WLM262209 WBQ262138:WBQ262209 VRU262138:VRU262209 VHY262138:VHY262209 UYC262138:UYC262209 UOG262138:UOG262209 UEK262138:UEK262209 TUO262138:TUO262209 TKS262138:TKS262209 TAW262138:TAW262209 SRA262138:SRA262209 SHE262138:SHE262209 RXI262138:RXI262209 RNM262138:RNM262209 RDQ262138:RDQ262209 QTU262138:QTU262209 QJY262138:QJY262209 QAC262138:QAC262209 PQG262138:PQG262209 PGK262138:PGK262209 OWO262138:OWO262209 OMS262138:OMS262209 OCW262138:OCW262209 NTA262138:NTA262209 NJE262138:NJE262209 MZI262138:MZI262209 MPM262138:MPM262209 MFQ262138:MFQ262209 LVU262138:LVU262209 LLY262138:LLY262209 LCC262138:LCC262209 KSG262138:KSG262209 KIK262138:KIK262209 JYO262138:JYO262209 JOS262138:JOS262209 JEW262138:JEW262209 IVA262138:IVA262209 ILE262138:ILE262209 IBI262138:IBI262209 HRM262138:HRM262209 HHQ262138:HHQ262209 GXU262138:GXU262209 GNY262138:GNY262209 GEC262138:GEC262209 FUG262138:FUG262209 FKK262138:FKK262209 FAO262138:FAO262209 EQS262138:EQS262209 EGW262138:EGW262209 DXA262138:DXA262209 DNE262138:DNE262209 DDI262138:DDI262209 CTM262138:CTM262209 CJQ262138:CJQ262209 BZU262138:BZU262209 BPY262138:BPY262209 BGC262138:BGC262209 AWG262138:AWG262209 AMK262138:AMK262209 ACO262138:ACO262209 SS262138:SS262209 IW262138:IW262209 A262138:A262209 WVI196602:WVI196673 WLM196602:WLM196673 WBQ196602:WBQ196673 VRU196602:VRU196673 VHY196602:VHY196673 UYC196602:UYC196673 UOG196602:UOG196673 UEK196602:UEK196673 TUO196602:TUO196673 TKS196602:TKS196673 TAW196602:TAW196673 SRA196602:SRA196673 SHE196602:SHE196673 RXI196602:RXI196673 RNM196602:RNM196673 RDQ196602:RDQ196673 QTU196602:QTU196673 QJY196602:QJY196673 QAC196602:QAC196673 PQG196602:PQG196673 PGK196602:PGK196673 OWO196602:OWO196673 OMS196602:OMS196673 OCW196602:OCW196673 NTA196602:NTA196673 NJE196602:NJE196673 MZI196602:MZI196673 MPM196602:MPM196673 MFQ196602:MFQ196673 LVU196602:LVU196673 LLY196602:LLY196673 LCC196602:LCC196673 KSG196602:KSG196673 KIK196602:KIK196673 JYO196602:JYO196673 JOS196602:JOS196673 JEW196602:JEW196673 IVA196602:IVA196673 ILE196602:ILE196673 IBI196602:IBI196673 HRM196602:HRM196673 HHQ196602:HHQ196673 GXU196602:GXU196673 GNY196602:GNY196673 GEC196602:GEC196673 FUG196602:FUG196673 FKK196602:FKK196673 FAO196602:FAO196673 EQS196602:EQS196673 EGW196602:EGW196673 DXA196602:DXA196673 DNE196602:DNE196673 DDI196602:DDI196673 CTM196602:CTM196673 CJQ196602:CJQ196673 BZU196602:BZU196673 BPY196602:BPY196673 BGC196602:BGC196673 AWG196602:AWG196673 AMK196602:AMK196673 ACO196602:ACO196673 SS196602:SS196673 IW196602:IW196673 A196602:A196673 WVI131066:WVI131137 WLM131066:WLM131137 WBQ131066:WBQ131137 VRU131066:VRU131137 VHY131066:VHY131137 UYC131066:UYC131137 UOG131066:UOG131137 UEK131066:UEK131137 TUO131066:TUO131137 TKS131066:TKS131137 TAW131066:TAW131137 SRA131066:SRA131137 SHE131066:SHE131137 RXI131066:RXI131137 RNM131066:RNM131137 RDQ131066:RDQ131137 QTU131066:QTU131137 QJY131066:QJY131137 QAC131066:QAC131137 PQG131066:PQG131137 PGK131066:PGK131137 OWO131066:OWO131137 OMS131066:OMS131137 OCW131066:OCW131137 NTA131066:NTA131137 NJE131066:NJE131137 MZI131066:MZI131137 MPM131066:MPM131137 MFQ131066:MFQ131137 LVU131066:LVU131137 LLY131066:LLY131137 LCC131066:LCC131137 KSG131066:KSG131137 KIK131066:KIK131137 JYO131066:JYO131137 JOS131066:JOS131137 JEW131066:JEW131137 IVA131066:IVA131137 ILE131066:ILE131137 IBI131066:IBI131137 HRM131066:HRM131137 HHQ131066:HHQ131137 GXU131066:GXU131137 GNY131066:GNY131137 GEC131066:GEC131137 FUG131066:FUG131137 FKK131066:FKK131137 FAO131066:FAO131137 EQS131066:EQS131137 EGW131066:EGW131137 DXA131066:DXA131137 DNE131066:DNE131137 DDI131066:DDI131137 CTM131066:CTM131137 CJQ131066:CJQ131137 BZU131066:BZU131137 BPY131066:BPY131137 BGC131066:BGC131137 AWG131066:AWG131137 AMK131066:AMK131137 ACO131066:ACO131137 SS131066:SS131137 IW131066:IW131137 A131066:A131137 WVI65530:WVI65601 WLM65530:WLM65601 WBQ65530:WBQ65601 VRU65530:VRU65601 VHY65530:VHY65601 UYC65530:UYC65601 UOG65530:UOG65601 UEK65530:UEK65601 TUO65530:TUO65601 TKS65530:TKS65601 TAW65530:TAW65601 SRA65530:SRA65601 SHE65530:SHE65601 RXI65530:RXI65601 RNM65530:RNM65601 RDQ65530:RDQ65601 QTU65530:QTU65601 QJY65530:QJY65601 QAC65530:QAC65601 PQG65530:PQG65601 PGK65530:PGK65601 OWO65530:OWO65601 OMS65530:OMS65601 OCW65530:OCW65601 NTA65530:NTA65601 NJE65530:NJE65601 MZI65530:MZI65601 MPM65530:MPM65601 MFQ65530:MFQ65601 LVU65530:LVU65601 LLY65530:LLY65601 LCC65530:LCC65601 KSG65530:KSG65601 KIK65530:KIK65601 JYO65530:JYO65601 JOS65530:JOS65601 JEW65530:JEW65601 IVA65530:IVA65601 ILE65530:ILE65601 IBI65530:IBI65601 HRM65530:HRM65601 HHQ65530:HHQ65601 GXU65530:GXU65601 GNY65530:GNY65601 GEC65530:GEC65601 FUG65530:FUG65601 FKK65530:FKK65601 FAO65530:FAO65601 EQS65530:EQS65601 EGW65530:EGW65601 DXA65530:DXA65601 DNE65530:DNE65601 DDI65530:DDI65601 CTM65530:CTM65601 CJQ65530:CJQ65601 BZU65530:BZU65601 BPY65530:BPY65601 BGC65530:BGC65601 AWG65530:AWG65601 AMK65530:AMK65601 ACO65530:ACO65601 SS65530:SS65601 IW65530:IW65601 A65530:A65601 WVI983034:WVI983105 WVI1047395:WVI1047460 WLM1047395:WLM1047460 WBQ1047395:WBQ1047460 VRU1047395:VRU1047460 VHY1047395:VHY1047460 UYC1047395:UYC1047460 UOG1047395:UOG1047460 UEK1047395:UEK1047460 TUO1047395:TUO1047460 TKS1047395:TKS1047460 TAW1047395:TAW1047460 SRA1047395:SRA1047460 SHE1047395:SHE1047460 RXI1047395:RXI1047460 RNM1047395:RNM1047460 RDQ1047395:RDQ1047460 QTU1047395:QTU1047460 QJY1047395:QJY1047460 QAC1047395:QAC1047460 PQG1047395:PQG1047460 PGK1047395:PGK1047460 OWO1047395:OWO1047460 OMS1047395:OMS1047460 OCW1047395:OCW1047460 NTA1047395:NTA1047460 NJE1047395:NJE1047460 MZI1047395:MZI1047460 MPM1047395:MPM1047460 MFQ1047395:MFQ1047460 LVU1047395:LVU1047460 LLY1047395:LLY1047460 LCC1047395:LCC1047460 KSG1047395:KSG1047460 KIK1047395:KIK1047460 JYO1047395:JYO1047460 JOS1047395:JOS1047460 JEW1047395:JEW1047460 IVA1047395:IVA1047460 ILE1047395:ILE1047460 IBI1047395:IBI1047460 HRM1047395:HRM1047460 HHQ1047395:HHQ1047460 GXU1047395:GXU1047460 GNY1047395:GNY1047460 GEC1047395:GEC1047460 FUG1047395:FUG1047460 FKK1047395:FKK1047460 FAO1047395:FAO1047460 EQS1047395:EQS1047460 EGW1047395:EGW1047460 DXA1047395:DXA1047460 DNE1047395:DNE1047460 DDI1047395:DDI1047460 CTM1047395:CTM1047460 CJQ1047395:CJQ1047460 BZU1047395:BZU1047460 BPY1047395:BPY1047460 BGC1047395:BGC1047460 AWG1047395:AWG1047460 AMK1047395:AMK1047460 ACO1047395:ACO1047460 SS1047395:SS1047460 IW1047395:IW1047460 A1047395:A1047460 WVI981859:WVI981924 WLM981859:WLM981924 WBQ981859:WBQ981924 VRU981859:VRU981924 VHY981859:VHY981924 UYC981859:UYC981924 UOG981859:UOG981924 UEK981859:UEK981924 TUO981859:TUO981924 TKS981859:TKS981924 TAW981859:TAW981924 SRA981859:SRA981924 SHE981859:SHE981924 RXI981859:RXI981924 RNM981859:RNM981924 RDQ981859:RDQ981924 QTU981859:QTU981924 QJY981859:QJY981924 QAC981859:QAC981924 PQG981859:PQG981924 PGK981859:PGK981924 OWO981859:OWO981924 OMS981859:OMS981924 OCW981859:OCW981924 NTA981859:NTA981924 NJE981859:NJE981924 MZI981859:MZI981924 MPM981859:MPM981924 MFQ981859:MFQ981924 LVU981859:LVU981924 LLY981859:LLY981924 LCC981859:LCC981924 KSG981859:KSG981924 KIK981859:KIK981924 JYO981859:JYO981924 JOS981859:JOS981924 JEW981859:JEW981924 IVA981859:IVA981924 ILE981859:ILE981924 IBI981859:IBI981924 HRM981859:HRM981924 HHQ981859:HHQ981924 GXU981859:GXU981924 GNY981859:GNY981924 GEC981859:GEC981924 FUG981859:FUG981924 FKK981859:FKK981924 FAO981859:FAO981924 EQS981859:EQS981924 EGW981859:EGW981924 DXA981859:DXA981924 DNE981859:DNE981924 DDI981859:DDI981924 CTM981859:CTM981924 CJQ981859:CJQ981924 BZU981859:BZU981924 BPY981859:BPY981924 BGC981859:BGC981924 AWG981859:AWG981924 AMK981859:AMK981924 ACO981859:ACO981924 SS981859:SS981924 IW981859:IW981924 A981859:A981924 WVI916323:WVI916388 WLM916323:WLM916388 WBQ916323:WBQ916388 VRU916323:VRU916388 VHY916323:VHY916388 UYC916323:UYC916388 UOG916323:UOG916388 UEK916323:UEK916388 TUO916323:TUO916388 TKS916323:TKS916388 TAW916323:TAW916388 SRA916323:SRA916388 SHE916323:SHE916388 RXI916323:RXI916388 RNM916323:RNM916388 RDQ916323:RDQ916388 QTU916323:QTU916388 QJY916323:QJY916388 QAC916323:QAC916388 PQG916323:PQG916388 PGK916323:PGK916388 OWO916323:OWO916388 OMS916323:OMS916388 OCW916323:OCW916388 NTA916323:NTA916388 NJE916323:NJE916388 MZI916323:MZI916388 MPM916323:MPM916388 MFQ916323:MFQ916388 LVU916323:LVU916388 LLY916323:LLY916388 LCC916323:LCC916388 KSG916323:KSG916388 KIK916323:KIK916388 JYO916323:JYO916388 JOS916323:JOS916388 JEW916323:JEW916388 IVA916323:IVA916388 ILE916323:ILE916388 IBI916323:IBI916388 HRM916323:HRM916388 HHQ916323:HHQ916388 GXU916323:GXU916388 GNY916323:GNY916388 GEC916323:GEC916388 FUG916323:FUG916388 FKK916323:FKK916388 FAO916323:FAO916388 EQS916323:EQS916388 EGW916323:EGW916388 DXA916323:DXA916388 DNE916323:DNE916388 DDI916323:DDI916388 CTM916323:CTM916388 CJQ916323:CJQ916388 BZU916323:BZU916388 BPY916323:BPY916388 BGC916323:BGC916388 AWG916323:AWG916388 AMK916323:AMK916388 ACO916323:ACO916388 SS916323:SS916388 IW916323:IW916388 A916323:A916388 WVI850787:WVI850852 WLM850787:WLM850852 WBQ850787:WBQ850852 VRU850787:VRU850852 VHY850787:VHY850852 UYC850787:UYC850852 UOG850787:UOG850852 UEK850787:UEK850852 TUO850787:TUO850852 TKS850787:TKS850852 TAW850787:TAW850852 SRA850787:SRA850852 SHE850787:SHE850852 RXI850787:RXI850852 RNM850787:RNM850852 RDQ850787:RDQ850852 QTU850787:QTU850852 QJY850787:QJY850852 QAC850787:QAC850852 PQG850787:PQG850852 PGK850787:PGK850852 OWO850787:OWO850852 OMS850787:OMS850852 OCW850787:OCW850852 NTA850787:NTA850852 NJE850787:NJE850852 MZI850787:MZI850852 MPM850787:MPM850852 MFQ850787:MFQ850852 LVU850787:LVU850852 LLY850787:LLY850852 LCC850787:LCC850852 KSG850787:KSG850852 KIK850787:KIK850852 JYO850787:JYO850852 JOS850787:JOS850852 JEW850787:JEW850852 IVA850787:IVA850852 ILE850787:ILE850852 IBI850787:IBI850852 HRM850787:HRM850852 HHQ850787:HHQ850852 GXU850787:GXU850852 GNY850787:GNY850852 GEC850787:GEC850852 FUG850787:FUG850852 FKK850787:FKK850852 FAO850787:FAO850852 EQS850787:EQS850852 EGW850787:EGW850852 DXA850787:DXA850852 DNE850787:DNE850852 DDI850787:DDI850852 CTM850787:CTM850852 CJQ850787:CJQ850852 BZU850787:BZU850852 BPY850787:BPY850852 BGC850787:BGC850852 AWG850787:AWG850852 AMK850787:AMK850852 ACO850787:ACO850852 SS850787:SS850852 IW850787:IW850852 A850787:A850852 WVI785251:WVI785316 WLM785251:WLM785316 WBQ785251:WBQ785316 VRU785251:VRU785316 VHY785251:VHY785316 UYC785251:UYC785316 UOG785251:UOG785316 UEK785251:UEK785316 TUO785251:TUO785316 TKS785251:TKS785316 TAW785251:TAW785316 SRA785251:SRA785316 SHE785251:SHE785316 RXI785251:RXI785316 RNM785251:RNM785316 RDQ785251:RDQ785316 QTU785251:QTU785316 QJY785251:QJY785316 QAC785251:QAC785316 PQG785251:PQG785316 PGK785251:PGK785316 OWO785251:OWO785316 OMS785251:OMS785316 OCW785251:OCW785316 NTA785251:NTA785316 NJE785251:NJE785316 MZI785251:MZI785316 MPM785251:MPM785316 MFQ785251:MFQ785316 LVU785251:LVU785316 LLY785251:LLY785316 LCC785251:LCC785316 KSG785251:KSG785316 KIK785251:KIK785316 JYO785251:JYO785316 JOS785251:JOS785316 JEW785251:JEW785316 IVA785251:IVA785316 ILE785251:ILE785316 IBI785251:IBI785316 HRM785251:HRM785316 HHQ785251:HHQ785316 GXU785251:GXU785316 GNY785251:GNY785316 GEC785251:GEC785316 FUG785251:FUG785316 FKK785251:FKK785316 FAO785251:FAO785316 EQS785251:EQS785316 EGW785251:EGW785316 DXA785251:DXA785316 DNE785251:DNE785316 DDI785251:DDI785316 CTM785251:CTM785316 CJQ785251:CJQ785316 BZU785251:BZU785316 BPY785251:BPY785316 BGC785251:BGC785316 AWG785251:AWG785316 AMK785251:AMK785316 ACO785251:ACO785316 SS785251:SS785316 IW785251:IW785316 A785251:A785316 WVI719715:WVI719780 WLM719715:WLM719780 WBQ719715:WBQ719780 VRU719715:VRU719780 VHY719715:VHY719780 UYC719715:UYC719780 UOG719715:UOG719780 UEK719715:UEK719780 TUO719715:TUO719780 TKS719715:TKS719780 TAW719715:TAW719780 SRA719715:SRA719780 SHE719715:SHE719780 RXI719715:RXI719780 RNM719715:RNM719780 RDQ719715:RDQ719780 QTU719715:QTU719780 QJY719715:QJY719780 QAC719715:QAC719780 PQG719715:PQG719780 PGK719715:PGK719780 OWO719715:OWO719780 OMS719715:OMS719780 OCW719715:OCW719780 NTA719715:NTA719780 NJE719715:NJE719780 MZI719715:MZI719780 MPM719715:MPM719780 MFQ719715:MFQ719780 LVU719715:LVU719780 LLY719715:LLY719780 LCC719715:LCC719780 KSG719715:KSG719780 KIK719715:KIK719780 JYO719715:JYO719780 JOS719715:JOS719780 JEW719715:JEW719780 IVA719715:IVA719780 ILE719715:ILE719780 IBI719715:IBI719780 HRM719715:HRM719780 HHQ719715:HHQ719780 GXU719715:GXU719780 GNY719715:GNY719780 GEC719715:GEC719780 FUG719715:FUG719780 FKK719715:FKK719780 FAO719715:FAO719780 EQS719715:EQS719780 EGW719715:EGW719780 DXA719715:DXA719780 DNE719715:DNE719780 DDI719715:DDI719780 CTM719715:CTM719780 CJQ719715:CJQ719780 BZU719715:BZU719780 BPY719715:BPY719780 BGC719715:BGC719780 AWG719715:AWG719780 AMK719715:AMK719780 ACO719715:ACO719780 SS719715:SS719780 IW719715:IW719780 A719715:A719780 WVI654179:WVI654244 WLM654179:WLM654244 WBQ654179:WBQ654244 VRU654179:VRU654244 VHY654179:VHY654244 UYC654179:UYC654244 UOG654179:UOG654244 UEK654179:UEK654244 TUO654179:TUO654244 TKS654179:TKS654244 TAW654179:TAW654244 SRA654179:SRA654244 SHE654179:SHE654244 RXI654179:RXI654244 RNM654179:RNM654244 RDQ654179:RDQ654244 QTU654179:QTU654244 QJY654179:QJY654244 QAC654179:QAC654244 PQG654179:PQG654244 PGK654179:PGK654244 OWO654179:OWO654244 OMS654179:OMS654244 OCW654179:OCW654244 NTA654179:NTA654244 NJE654179:NJE654244 MZI654179:MZI654244 MPM654179:MPM654244 MFQ654179:MFQ654244 LVU654179:LVU654244 LLY654179:LLY654244 LCC654179:LCC654244 KSG654179:KSG654244 KIK654179:KIK654244 JYO654179:JYO654244 JOS654179:JOS654244 JEW654179:JEW654244 IVA654179:IVA654244 ILE654179:ILE654244 IBI654179:IBI654244 HRM654179:HRM654244 HHQ654179:HHQ654244 GXU654179:GXU654244 GNY654179:GNY654244 GEC654179:GEC654244 FUG654179:FUG654244 FKK654179:FKK654244 FAO654179:FAO654244 EQS654179:EQS654244 EGW654179:EGW654244 DXA654179:DXA654244 DNE654179:DNE654244 DDI654179:DDI654244 CTM654179:CTM654244 CJQ654179:CJQ654244 BZU654179:BZU654244 BPY654179:BPY654244 BGC654179:BGC654244 AWG654179:AWG654244 AMK654179:AMK654244 ACO654179:ACO654244 SS654179:SS654244 IW654179:IW654244 A654179:A654244 WVI588643:WVI588708 WLM588643:WLM588708 WBQ588643:WBQ588708 VRU588643:VRU588708 VHY588643:VHY588708 UYC588643:UYC588708 UOG588643:UOG588708 UEK588643:UEK588708 TUO588643:TUO588708 TKS588643:TKS588708 TAW588643:TAW588708 SRA588643:SRA588708 SHE588643:SHE588708 RXI588643:RXI588708 RNM588643:RNM588708 RDQ588643:RDQ588708 QTU588643:QTU588708 QJY588643:QJY588708 QAC588643:QAC588708 PQG588643:PQG588708 PGK588643:PGK588708 OWO588643:OWO588708 OMS588643:OMS588708 OCW588643:OCW588708 NTA588643:NTA588708 NJE588643:NJE588708 MZI588643:MZI588708 MPM588643:MPM588708 MFQ588643:MFQ588708 LVU588643:LVU588708 LLY588643:LLY588708 LCC588643:LCC588708 KSG588643:KSG588708 KIK588643:KIK588708 JYO588643:JYO588708 JOS588643:JOS588708 JEW588643:JEW588708 IVA588643:IVA588708 ILE588643:ILE588708 IBI588643:IBI588708 HRM588643:HRM588708 HHQ588643:HHQ588708 GXU588643:GXU588708 GNY588643:GNY588708 GEC588643:GEC588708 FUG588643:FUG588708 FKK588643:FKK588708 FAO588643:FAO588708 EQS588643:EQS588708 EGW588643:EGW588708 DXA588643:DXA588708 DNE588643:DNE588708 DDI588643:DDI588708 CTM588643:CTM588708 CJQ588643:CJQ588708 BZU588643:BZU588708 BPY588643:BPY588708 BGC588643:BGC588708 AWG588643:AWG588708 AMK588643:AMK588708 ACO588643:ACO588708 SS588643:SS588708 IW588643:IW588708 A588643:A588708 WVI523107:WVI523172 WLM523107:WLM523172 WBQ523107:WBQ523172 VRU523107:VRU523172 VHY523107:VHY523172 UYC523107:UYC523172 UOG523107:UOG523172 UEK523107:UEK523172 TUO523107:TUO523172 TKS523107:TKS523172 TAW523107:TAW523172 SRA523107:SRA523172 SHE523107:SHE523172 RXI523107:RXI523172 RNM523107:RNM523172 RDQ523107:RDQ523172 QTU523107:QTU523172 QJY523107:QJY523172 QAC523107:QAC523172 PQG523107:PQG523172 PGK523107:PGK523172 OWO523107:OWO523172 OMS523107:OMS523172 OCW523107:OCW523172 NTA523107:NTA523172 NJE523107:NJE523172 MZI523107:MZI523172 MPM523107:MPM523172 MFQ523107:MFQ523172 LVU523107:LVU523172 LLY523107:LLY523172 LCC523107:LCC523172 KSG523107:KSG523172 KIK523107:KIK523172 JYO523107:JYO523172 JOS523107:JOS523172 JEW523107:JEW523172 IVA523107:IVA523172 ILE523107:ILE523172 IBI523107:IBI523172 HRM523107:HRM523172 HHQ523107:HHQ523172 GXU523107:GXU523172 GNY523107:GNY523172 GEC523107:GEC523172 FUG523107:FUG523172 FKK523107:FKK523172 FAO523107:FAO523172 EQS523107:EQS523172 EGW523107:EGW523172 DXA523107:DXA523172 DNE523107:DNE523172 DDI523107:DDI523172 CTM523107:CTM523172 CJQ523107:CJQ523172 BZU523107:BZU523172 BPY523107:BPY523172 BGC523107:BGC523172 AWG523107:AWG523172 AMK523107:AMK523172 ACO523107:ACO523172 SS523107:SS523172 IW523107:IW523172 A523107:A523172 WVI457571:WVI457636 WLM457571:WLM457636 WBQ457571:WBQ457636 VRU457571:VRU457636 VHY457571:VHY457636 UYC457571:UYC457636 UOG457571:UOG457636 UEK457571:UEK457636 TUO457571:TUO457636 TKS457571:TKS457636 TAW457571:TAW457636 SRA457571:SRA457636 SHE457571:SHE457636 RXI457571:RXI457636 RNM457571:RNM457636 RDQ457571:RDQ457636 QTU457571:QTU457636 QJY457571:QJY457636 QAC457571:QAC457636 PQG457571:PQG457636 PGK457571:PGK457636 OWO457571:OWO457636 OMS457571:OMS457636 OCW457571:OCW457636 NTA457571:NTA457636 NJE457571:NJE457636 MZI457571:MZI457636 MPM457571:MPM457636 MFQ457571:MFQ457636 LVU457571:LVU457636 LLY457571:LLY457636 LCC457571:LCC457636 KSG457571:KSG457636 KIK457571:KIK457636 JYO457571:JYO457636 JOS457571:JOS457636 JEW457571:JEW457636 IVA457571:IVA457636 ILE457571:ILE457636 IBI457571:IBI457636 HRM457571:HRM457636 HHQ457571:HHQ457636 GXU457571:GXU457636 GNY457571:GNY457636 GEC457571:GEC457636 FUG457571:FUG457636 FKK457571:FKK457636 FAO457571:FAO457636 EQS457571:EQS457636 EGW457571:EGW457636 DXA457571:DXA457636 DNE457571:DNE457636 DDI457571:DDI457636 CTM457571:CTM457636 CJQ457571:CJQ457636 BZU457571:BZU457636 BPY457571:BPY457636 BGC457571:BGC457636 AWG457571:AWG457636 AMK457571:AMK457636 ACO457571:ACO457636 SS457571:SS457636 IW457571:IW457636 A457571:A457636 WVI392035:WVI392100 WLM392035:WLM392100 WBQ392035:WBQ392100 VRU392035:VRU392100 VHY392035:VHY392100 UYC392035:UYC392100 UOG392035:UOG392100 UEK392035:UEK392100 TUO392035:TUO392100 TKS392035:TKS392100 TAW392035:TAW392100 SRA392035:SRA392100 SHE392035:SHE392100 RXI392035:RXI392100 RNM392035:RNM392100 RDQ392035:RDQ392100 QTU392035:QTU392100 QJY392035:QJY392100 QAC392035:QAC392100 PQG392035:PQG392100 PGK392035:PGK392100 OWO392035:OWO392100 OMS392035:OMS392100 OCW392035:OCW392100 NTA392035:NTA392100 NJE392035:NJE392100 MZI392035:MZI392100 MPM392035:MPM392100 MFQ392035:MFQ392100 LVU392035:LVU392100 LLY392035:LLY392100 LCC392035:LCC392100 KSG392035:KSG392100 KIK392035:KIK392100 JYO392035:JYO392100 JOS392035:JOS392100 JEW392035:JEW392100 IVA392035:IVA392100 ILE392035:ILE392100 IBI392035:IBI392100 HRM392035:HRM392100 HHQ392035:HHQ392100 GXU392035:GXU392100 GNY392035:GNY392100 GEC392035:GEC392100 FUG392035:FUG392100 FKK392035:FKK392100 FAO392035:FAO392100 EQS392035:EQS392100 EGW392035:EGW392100 DXA392035:DXA392100 DNE392035:DNE392100 DDI392035:DDI392100 CTM392035:CTM392100 CJQ392035:CJQ392100 BZU392035:BZU392100 BPY392035:BPY392100 BGC392035:BGC392100 AWG392035:AWG392100 AMK392035:AMK392100 ACO392035:ACO392100 SS392035:SS392100 IW392035:IW392100 A392035:A392100 WVI326499:WVI326564 WLM326499:WLM326564 WBQ326499:WBQ326564 VRU326499:VRU326564 VHY326499:VHY326564 UYC326499:UYC326564 UOG326499:UOG326564 UEK326499:UEK326564 TUO326499:TUO326564 TKS326499:TKS326564 TAW326499:TAW326564 SRA326499:SRA326564 SHE326499:SHE326564 RXI326499:RXI326564 RNM326499:RNM326564 RDQ326499:RDQ326564 QTU326499:QTU326564 QJY326499:QJY326564 QAC326499:QAC326564 PQG326499:PQG326564 PGK326499:PGK326564 OWO326499:OWO326564 OMS326499:OMS326564 OCW326499:OCW326564 NTA326499:NTA326564 NJE326499:NJE326564 MZI326499:MZI326564 MPM326499:MPM326564 MFQ326499:MFQ326564 LVU326499:LVU326564 LLY326499:LLY326564 LCC326499:LCC326564 KSG326499:KSG326564 KIK326499:KIK326564 JYO326499:JYO326564 JOS326499:JOS326564 JEW326499:JEW326564 IVA326499:IVA326564 ILE326499:ILE326564 IBI326499:IBI326564 HRM326499:HRM326564 HHQ326499:HHQ326564 GXU326499:GXU326564 GNY326499:GNY326564 GEC326499:GEC326564 FUG326499:FUG326564 FKK326499:FKK326564 FAO326499:FAO326564 EQS326499:EQS326564 EGW326499:EGW326564 DXA326499:DXA326564 DNE326499:DNE326564 DDI326499:DDI326564 CTM326499:CTM326564 CJQ326499:CJQ326564 BZU326499:BZU326564 BPY326499:BPY326564 BGC326499:BGC326564 AWG326499:AWG326564 AMK326499:AMK326564 ACO326499:ACO326564 SS326499:SS326564 IW326499:IW326564 A326499:A326564 WVI260963:WVI261028 WLM260963:WLM261028 WBQ260963:WBQ261028 VRU260963:VRU261028 VHY260963:VHY261028 UYC260963:UYC261028 UOG260963:UOG261028 UEK260963:UEK261028 TUO260963:TUO261028 TKS260963:TKS261028 TAW260963:TAW261028 SRA260963:SRA261028 SHE260963:SHE261028 RXI260963:RXI261028 RNM260963:RNM261028 RDQ260963:RDQ261028 QTU260963:QTU261028 QJY260963:QJY261028 QAC260963:QAC261028 PQG260963:PQG261028 PGK260963:PGK261028 OWO260963:OWO261028 OMS260963:OMS261028 OCW260963:OCW261028 NTA260963:NTA261028 NJE260963:NJE261028 MZI260963:MZI261028 MPM260963:MPM261028 MFQ260963:MFQ261028 LVU260963:LVU261028 LLY260963:LLY261028 LCC260963:LCC261028 KSG260963:KSG261028 KIK260963:KIK261028 JYO260963:JYO261028 JOS260963:JOS261028 JEW260963:JEW261028 IVA260963:IVA261028 ILE260963:ILE261028 IBI260963:IBI261028 HRM260963:HRM261028 HHQ260963:HHQ261028 GXU260963:GXU261028 GNY260963:GNY261028 GEC260963:GEC261028 FUG260963:FUG261028 FKK260963:FKK261028 FAO260963:FAO261028 EQS260963:EQS261028 EGW260963:EGW261028 DXA260963:DXA261028 DNE260963:DNE261028 DDI260963:DDI261028 CTM260963:CTM261028 CJQ260963:CJQ261028 BZU260963:BZU261028 BPY260963:BPY261028 BGC260963:BGC261028 AWG260963:AWG261028 AMK260963:AMK261028 ACO260963:ACO261028 SS260963:SS261028 IW260963:IW261028 A260963:A261028 WVI195427:WVI195492 WLM195427:WLM195492 WBQ195427:WBQ195492 VRU195427:VRU195492 VHY195427:VHY195492 UYC195427:UYC195492 UOG195427:UOG195492 UEK195427:UEK195492 TUO195427:TUO195492 TKS195427:TKS195492 TAW195427:TAW195492 SRA195427:SRA195492 SHE195427:SHE195492 RXI195427:RXI195492 RNM195427:RNM195492 RDQ195427:RDQ195492 QTU195427:QTU195492 QJY195427:QJY195492 QAC195427:QAC195492 PQG195427:PQG195492 PGK195427:PGK195492 OWO195427:OWO195492 OMS195427:OMS195492 OCW195427:OCW195492 NTA195427:NTA195492 NJE195427:NJE195492 MZI195427:MZI195492 MPM195427:MPM195492 MFQ195427:MFQ195492 LVU195427:LVU195492 LLY195427:LLY195492 LCC195427:LCC195492 KSG195427:KSG195492 KIK195427:KIK195492 JYO195427:JYO195492 JOS195427:JOS195492 JEW195427:JEW195492 IVA195427:IVA195492 ILE195427:ILE195492 IBI195427:IBI195492 HRM195427:HRM195492 HHQ195427:HHQ195492 GXU195427:GXU195492 GNY195427:GNY195492 GEC195427:GEC195492 FUG195427:FUG195492 FKK195427:FKK195492 FAO195427:FAO195492 EQS195427:EQS195492 EGW195427:EGW195492 DXA195427:DXA195492 DNE195427:DNE195492 DDI195427:DDI195492 CTM195427:CTM195492 CJQ195427:CJQ195492 BZU195427:BZU195492 BPY195427:BPY195492 BGC195427:BGC195492 AWG195427:AWG195492 AMK195427:AMK195492 ACO195427:ACO195492 SS195427:SS195492 IW195427:IW195492 A195427:A195492 WVI129891:WVI129956 WLM129891:WLM129956 WBQ129891:WBQ129956 VRU129891:VRU129956 VHY129891:VHY129956 UYC129891:UYC129956 UOG129891:UOG129956 UEK129891:UEK129956 TUO129891:TUO129956 TKS129891:TKS129956 TAW129891:TAW129956 SRA129891:SRA129956 SHE129891:SHE129956 RXI129891:RXI129956 RNM129891:RNM129956 RDQ129891:RDQ129956 QTU129891:QTU129956 QJY129891:QJY129956 QAC129891:QAC129956 PQG129891:PQG129956 PGK129891:PGK129956 OWO129891:OWO129956 OMS129891:OMS129956 OCW129891:OCW129956 NTA129891:NTA129956 NJE129891:NJE129956 MZI129891:MZI129956 MPM129891:MPM129956 MFQ129891:MFQ129956 LVU129891:LVU129956 LLY129891:LLY129956 LCC129891:LCC129956 KSG129891:KSG129956 KIK129891:KIK129956 JYO129891:JYO129956 JOS129891:JOS129956 JEW129891:JEW129956 IVA129891:IVA129956 ILE129891:ILE129956 IBI129891:IBI129956 HRM129891:HRM129956 HHQ129891:HHQ129956 GXU129891:GXU129956 GNY129891:GNY129956 GEC129891:GEC129956 FUG129891:FUG129956 FKK129891:FKK129956 FAO129891:FAO129956 EQS129891:EQS129956 EGW129891:EGW129956 DXA129891:DXA129956 DNE129891:DNE129956 DDI129891:DDI129956 CTM129891:CTM129956 CJQ129891:CJQ129956 BZU129891:BZU129956 BPY129891:BPY129956 BGC129891:BGC129956 AWG129891:AWG129956 AMK129891:AMK129956 ACO129891:ACO129956 SS129891:SS129956 IW129891:IW129956 A129891:A129956 WVI64355:WVI64420 WLM64355:WLM64420 WBQ64355:WBQ64420 VRU64355:VRU64420 VHY64355:VHY64420 UYC64355:UYC64420 UOG64355:UOG64420 UEK64355:UEK64420 TUO64355:TUO64420 TKS64355:TKS64420 TAW64355:TAW64420 SRA64355:SRA64420 SHE64355:SHE64420 RXI64355:RXI64420 RNM64355:RNM64420 RDQ64355:RDQ64420 QTU64355:QTU64420 QJY64355:QJY64420 QAC64355:QAC64420 PQG64355:PQG64420 PGK64355:PGK64420 OWO64355:OWO64420 OMS64355:OMS64420 OCW64355:OCW64420 NTA64355:NTA64420 NJE64355:NJE64420 MZI64355:MZI64420 MPM64355:MPM64420 MFQ64355:MFQ64420 LVU64355:LVU64420 LLY64355:LLY64420 LCC64355:LCC64420 KSG64355:KSG64420 KIK64355:KIK64420 JYO64355:JYO64420 JOS64355:JOS64420 JEW64355:JEW64420 IVA64355:IVA64420 ILE64355:ILE64420 IBI64355:IBI64420 HRM64355:HRM64420 HHQ64355:HHQ64420 GXU64355:GXU64420 GNY64355:GNY64420 GEC64355:GEC64420 FUG64355:FUG64420 FKK64355:FKK64420 FAO64355:FAO64420 EQS64355:EQS64420 EGW64355:EGW64420 DXA64355:DXA64420 DNE64355:DNE64420 DDI64355:DDI64420 CTM64355:CTM64420 CJQ64355:CJQ64420 BZU64355:BZU64420 BPY64355:BPY64420 BGC64355:BGC64420 AWG64355:AWG64420 AMK64355:AMK64420 ACO64355:ACO64420 SS64355:SS64420 IW64355:IW64420">
      <formula1>$AE$2:$AE$19</formula1>
    </dataValidation>
    <dataValidation type="list" allowBlank="1" showInputMessage="1" showErrorMessage="1" sqref="X64355:X64420 JT64355:JT64420 TP2:TP59 ADL2:ADL59 ANH2:ANH59 AXD2:AXD59 BGZ2:BGZ59 BQV2:BQV59 CAR2:CAR59 CKN2:CKN59 CUJ2:CUJ59 DEF2:DEF59 DOB2:DOB59 DXX2:DXX59 EHT2:EHT59 ERP2:ERP59 FBL2:FBL59 FLH2:FLH59 FVD2:FVD59 GEZ2:GEZ59 GOV2:GOV59 GYR2:GYR59 HIN2:HIN59 HSJ2:HSJ59 ICF2:ICF59 IMB2:IMB59 IVX2:IVX59 JFT2:JFT59 JPP2:JPP59 JZL2:JZL59 KJH2:KJH59 KTD2:KTD59 LCZ2:LCZ59 LMV2:LMV59 LWR2:LWR59 MGN2:MGN59 MQJ2:MQJ59 NAF2:NAF59 NKB2:NKB59 NTX2:NTX59 ODT2:ODT59 ONP2:ONP59 OXL2:OXL59 PHH2:PHH59 PRD2:PRD59 QAZ2:QAZ59 QKV2:QKV59 QUR2:QUR59 REN2:REN59 ROJ2:ROJ59 RYF2:RYF59 SIB2:SIB59 SRX2:SRX59 TBT2:TBT59 TLP2:TLP59 TVL2:TVL59 UFH2:UFH59 UPD2:UPD59 UYZ2:UYZ59 VIV2:VIV59 VSR2:VSR59 WCN2:WCN59 WMJ2:WMJ59 WWF2:WWF59 JT2:JT59 WMJ983034:WMJ983099 WCN983034:WCN983099 VSR983034:VSR983099 VIV983034:VIV983099 UYZ983034:UYZ983099 UPD983034:UPD983099 UFH983034:UFH983099 TVL983034:TVL983099 TLP983034:TLP983099 TBT983034:TBT983099 SRX983034:SRX983099 SIB983034:SIB983099 RYF983034:RYF983099 ROJ983034:ROJ983099 REN983034:REN983099 QUR983034:QUR983099 QKV983034:QKV983099 QAZ983034:QAZ983099 PRD983034:PRD983099 PHH983034:PHH983099 OXL983034:OXL983099 ONP983034:ONP983099 ODT983034:ODT983099 NTX983034:NTX983099 NKB983034:NKB983099 NAF983034:NAF983099 MQJ983034:MQJ983099 MGN983034:MGN983099 LWR983034:LWR983099 LMV983034:LMV983099 LCZ983034:LCZ983099 KTD983034:KTD983099 KJH983034:KJH983099 JZL983034:JZL983099 JPP983034:JPP983099 JFT983034:JFT983099 IVX983034:IVX983099 IMB983034:IMB983099 ICF983034:ICF983099 HSJ983034:HSJ983099 HIN983034:HIN983099 GYR983034:GYR983099 GOV983034:GOV983099 GEZ983034:GEZ983099 FVD983034:FVD983099 FLH983034:FLH983099 FBL983034:FBL983099 ERP983034:ERP983099 EHT983034:EHT983099 DXX983034:DXX983099 DOB983034:DOB983099 DEF983034:DEF983099 CUJ983034:CUJ983099 CKN983034:CKN983099 CAR983034:CAR983099 BQV983034:BQV983099 BGZ983034:BGZ983099 AXD983034:AXD983099 ANH983034:ANH983099 ADL983034:ADL983099 TP983034:TP983099 JT983034:JT983099 X983034:X983099 WWF917498:WWF917563 WMJ917498:WMJ917563 WCN917498:WCN917563 VSR917498:VSR917563 VIV917498:VIV917563 UYZ917498:UYZ917563 UPD917498:UPD917563 UFH917498:UFH917563 TVL917498:TVL917563 TLP917498:TLP917563 TBT917498:TBT917563 SRX917498:SRX917563 SIB917498:SIB917563 RYF917498:RYF917563 ROJ917498:ROJ917563 REN917498:REN917563 QUR917498:QUR917563 QKV917498:QKV917563 QAZ917498:QAZ917563 PRD917498:PRD917563 PHH917498:PHH917563 OXL917498:OXL917563 ONP917498:ONP917563 ODT917498:ODT917563 NTX917498:NTX917563 NKB917498:NKB917563 NAF917498:NAF917563 MQJ917498:MQJ917563 MGN917498:MGN917563 LWR917498:LWR917563 LMV917498:LMV917563 LCZ917498:LCZ917563 KTD917498:KTD917563 KJH917498:KJH917563 JZL917498:JZL917563 JPP917498:JPP917563 JFT917498:JFT917563 IVX917498:IVX917563 IMB917498:IMB917563 ICF917498:ICF917563 HSJ917498:HSJ917563 HIN917498:HIN917563 GYR917498:GYR917563 GOV917498:GOV917563 GEZ917498:GEZ917563 FVD917498:FVD917563 FLH917498:FLH917563 FBL917498:FBL917563 ERP917498:ERP917563 EHT917498:EHT917563 DXX917498:DXX917563 DOB917498:DOB917563 DEF917498:DEF917563 CUJ917498:CUJ917563 CKN917498:CKN917563 CAR917498:CAR917563 BQV917498:BQV917563 BGZ917498:BGZ917563 AXD917498:AXD917563 ANH917498:ANH917563 ADL917498:ADL917563 TP917498:TP917563 JT917498:JT917563 X917498:X917563 WWF851962:WWF852027 WMJ851962:WMJ852027 WCN851962:WCN852027 VSR851962:VSR852027 VIV851962:VIV852027 UYZ851962:UYZ852027 UPD851962:UPD852027 UFH851962:UFH852027 TVL851962:TVL852027 TLP851962:TLP852027 TBT851962:TBT852027 SRX851962:SRX852027 SIB851962:SIB852027 RYF851962:RYF852027 ROJ851962:ROJ852027 REN851962:REN852027 QUR851962:QUR852027 QKV851962:QKV852027 QAZ851962:QAZ852027 PRD851962:PRD852027 PHH851962:PHH852027 OXL851962:OXL852027 ONP851962:ONP852027 ODT851962:ODT852027 NTX851962:NTX852027 NKB851962:NKB852027 NAF851962:NAF852027 MQJ851962:MQJ852027 MGN851962:MGN852027 LWR851962:LWR852027 LMV851962:LMV852027 LCZ851962:LCZ852027 KTD851962:KTD852027 KJH851962:KJH852027 JZL851962:JZL852027 JPP851962:JPP852027 JFT851962:JFT852027 IVX851962:IVX852027 IMB851962:IMB852027 ICF851962:ICF852027 HSJ851962:HSJ852027 HIN851962:HIN852027 GYR851962:GYR852027 GOV851962:GOV852027 GEZ851962:GEZ852027 FVD851962:FVD852027 FLH851962:FLH852027 FBL851962:FBL852027 ERP851962:ERP852027 EHT851962:EHT852027 DXX851962:DXX852027 DOB851962:DOB852027 DEF851962:DEF852027 CUJ851962:CUJ852027 CKN851962:CKN852027 CAR851962:CAR852027 BQV851962:BQV852027 BGZ851962:BGZ852027 AXD851962:AXD852027 ANH851962:ANH852027 ADL851962:ADL852027 TP851962:TP852027 JT851962:JT852027 X851962:X852027 WWF786426:WWF786491 WMJ786426:WMJ786491 WCN786426:WCN786491 VSR786426:VSR786491 VIV786426:VIV786491 UYZ786426:UYZ786491 UPD786426:UPD786491 UFH786426:UFH786491 TVL786426:TVL786491 TLP786426:TLP786491 TBT786426:TBT786491 SRX786426:SRX786491 SIB786426:SIB786491 RYF786426:RYF786491 ROJ786426:ROJ786491 REN786426:REN786491 QUR786426:QUR786491 QKV786426:QKV786491 QAZ786426:QAZ786491 PRD786426:PRD786491 PHH786426:PHH786491 OXL786426:OXL786491 ONP786426:ONP786491 ODT786426:ODT786491 NTX786426:NTX786491 NKB786426:NKB786491 NAF786426:NAF786491 MQJ786426:MQJ786491 MGN786426:MGN786491 LWR786426:LWR786491 LMV786426:LMV786491 LCZ786426:LCZ786491 KTD786426:KTD786491 KJH786426:KJH786491 JZL786426:JZL786491 JPP786426:JPP786491 JFT786426:JFT786491 IVX786426:IVX786491 IMB786426:IMB786491 ICF786426:ICF786491 HSJ786426:HSJ786491 HIN786426:HIN786491 GYR786426:GYR786491 GOV786426:GOV786491 GEZ786426:GEZ786491 FVD786426:FVD786491 FLH786426:FLH786491 FBL786426:FBL786491 ERP786426:ERP786491 EHT786426:EHT786491 DXX786426:DXX786491 DOB786426:DOB786491 DEF786426:DEF786491 CUJ786426:CUJ786491 CKN786426:CKN786491 CAR786426:CAR786491 BQV786426:BQV786491 BGZ786426:BGZ786491 AXD786426:AXD786491 ANH786426:ANH786491 ADL786426:ADL786491 TP786426:TP786491 JT786426:JT786491 X786426:X786491 WWF720890:WWF720955 WMJ720890:WMJ720955 WCN720890:WCN720955 VSR720890:VSR720955 VIV720890:VIV720955 UYZ720890:UYZ720955 UPD720890:UPD720955 UFH720890:UFH720955 TVL720890:TVL720955 TLP720890:TLP720955 TBT720890:TBT720955 SRX720890:SRX720955 SIB720890:SIB720955 RYF720890:RYF720955 ROJ720890:ROJ720955 REN720890:REN720955 QUR720890:QUR720955 QKV720890:QKV720955 QAZ720890:QAZ720955 PRD720890:PRD720955 PHH720890:PHH720955 OXL720890:OXL720955 ONP720890:ONP720955 ODT720890:ODT720955 NTX720890:NTX720955 NKB720890:NKB720955 NAF720890:NAF720955 MQJ720890:MQJ720955 MGN720890:MGN720955 LWR720890:LWR720955 LMV720890:LMV720955 LCZ720890:LCZ720955 KTD720890:KTD720955 KJH720890:KJH720955 JZL720890:JZL720955 JPP720890:JPP720955 JFT720890:JFT720955 IVX720890:IVX720955 IMB720890:IMB720955 ICF720890:ICF720955 HSJ720890:HSJ720955 HIN720890:HIN720955 GYR720890:GYR720955 GOV720890:GOV720955 GEZ720890:GEZ720955 FVD720890:FVD720955 FLH720890:FLH720955 FBL720890:FBL720955 ERP720890:ERP720955 EHT720890:EHT720955 DXX720890:DXX720955 DOB720890:DOB720955 DEF720890:DEF720955 CUJ720890:CUJ720955 CKN720890:CKN720955 CAR720890:CAR720955 BQV720890:BQV720955 BGZ720890:BGZ720955 AXD720890:AXD720955 ANH720890:ANH720955 ADL720890:ADL720955 TP720890:TP720955 JT720890:JT720955 X720890:X720955 WWF655354:WWF655419 WMJ655354:WMJ655419 WCN655354:WCN655419 VSR655354:VSR655419 VIV655354:VIV655419 UYZ655354:UYZ655419 UPD655354:UPD655419 UFH655354:UFH655419 TVL655354:TVL655419 TLP655354:TLP655419 TBT655354:TBT655419 SRX655354:SRX655419 SIB655354:SIB655419 RYF655354:RYF655419 ROJ655354:ROJ655419 REN655354:REN655419 QUR655354:QUR655419 QKV655354:QKV655419 QAZ655354:QAZ655419 PRD655354:PRD655419 PHH655354:PHH655419 OXL655354:OXL655419 ONP655354:ONP655419 ODT655354:ODT655419 NTX655354:NTX655419 NKB655354:NKB655419 NAF655354:NAF655419 MQJ655354:MQJ655419 MGN655354:MGN655419 LWR655354:LWR655419 LMV655354:LMV655419 LCZ655354:LCZ655419 KTD655354:KTD655419 KJH655354:KJH655419 JZL655354:JZL655419 JPP655354:JPP655419 JFT655354:JFT655419 IVX655354:IVX655419 IMB655354:IMB655419 ICF655354:ICF655419 HSJ655354:HSJ655419 HIN655354:HIN655419 GYR655354:GYR655419 GOV655354:GOV655419 GEZ655354:GEZ655419 FVD655354:FVD655419 FLH655354:FLH655419 FBL655354:FBL655419 ERP655354:ERP655419 EHT655354:EHT655419 DXX655354:DXX655419 DOB655354:DOB655419 DEF655354:DEF655419 CUJ655354:CUJ655419 CKN655354:CKN655419 CAR655354:CAR655419 BQV655354:BQV655419 BGZ655354:BGZ655419 AXD655354:AXD655419 ANH655354:ANH655419 ADL655354:ADL655419 TP655354:TP655419 JT655354:JT655419 X655354:X655419 WWF589818:WWF589883 WMJ589818:WMJ589883 WCN589818:WCN589883 VSR589818:VSR589883 VIV589818:VIV589883 UYZ589818:UYZ589883 UPD589818:UPD589883 UFH589818:UFH589883 TVL589818:TVL589883 TLP589818:TLP589883 TBT589818:TBT589883 SRX589818:SRX589883 SIB589818:SIB589883 RYF589818:RYF589883 ROJ589818:ROJ589883 REN589818:REN589883 QUR589818:QUR589883 QKV589818:QKV589883 QAZ589818:QAZ589883 PRD589818:PRD589883 PHH589818:PHH589883 OXL589818:OXL589883 ONP589818:ONP589883 ODT589818:ODT589883 NTX589818:NTX589883 NKB589818:NKB589883 NAF589818:NAF589883 MQJ589818:MQJ589883 MGN589818:MGN589883 LWR589818:LWR589883 LMV589818:LMV589883 LCZ589818:LCZ589883 KTD589818:KTD589883 KJH589818:KJH589883 JZL589818:JZL589883 JPP589818:JPP589883 JFT589818:JFT589883 IVX589818:IVX589883 IMB589818:IMB589883 ICF589818:ICF589883 HSJ589818:HSJ589883 HIN589818:HIN589883 GYR589818:GYR589883 GOV589818:GOV589883 GEZ589818:GEZ589883 FVD589818:FVD589883 FLH589818:FLH589883 FBL589818:FBL589883 ERP589818:ERP589883 EHT589818:EHT589883 DXX589818:DXX589883 DOB589818:DOB589883 DEF589818:DEF589883 CUJ589818:CUJ589883 CKN589818:CKN589883 CAR589818:CAR589883 BQV589818:BQV589883 BGZ589818:BGZ589883 AXD589818:AXD589883 ANH589818:ANH589883 ADL589818:ADL589883 TP589818:TP589883 JT589818:JT589883 X589818:X589883 WWF524282:WWF524347 WMJ524282:WMJ524347 WCN524282:WCN524347 VSR524282:VSR524347 VIV524282:VIV524347 UYZ524282:UYZ524347 UPD524282:UPD524347 UFH524282:UFH524347 TVL524282:TVL524347 TLP524282:TLP524347 TBT524282:TBT524347 SRX524282:SRX524347 SIB524282:SIB524347 RYF524282:RYF524347 ROJ524282:ROJ524347 REN524282:REN524347 QUR524282:QUR524347 QKV524282:QKV524347 QAZ524282:QAZ524347 PRD524282:PRD524347 PHH524282:PHH524347 OXL524282:OXL524347 ONP524282:ONP524347 ODT524282:ODT524347 NTX524282:NTX524347 NKB524282:NKB524347 NAF524282:NAF524347 MQJ524282:MQJ524347 MGN524282:MGN524347 LWR524282:LWR524347 LMV524282:LMV524347 LCZ524282:LCZ524347 KTD524282:KTD524347 KJH524282:KJH524347 JZL524282:JZL524347 JPP524282:JPP524347 JFT524282:JFT524347 IVX524282:IVX524347 IMB524282:IMB524347 ICF524282:ICF524347 HSJ524282:HSJ524347 HIN524282:HIN524347 GYR524282:GYR524347 GOV524282:GOV524347 GEZ524282:GEZ524347 FVD524282:FVD524347 FLH524282:FLH524347 FBL524282:FBL524347 ERP524282:ERP524347 EHT524282:EHT524347 DXX524282:DXX524347 DOB524282:DOB524347 DEF524282:DEF524347 CUJ524282:CUJ524347 CKN524282:CKN524347 CAR524282:CAR524347 BQV524282:BQV524347 BGZ524282:BGZ524347 AXD524282:AXD524347 ANH524282:ANH524347 ADL524282:ADL524347 TP524282:TP524347 JT524282:JT524347 X524282:X524347 WWF458746:WWF458811 WMJ458746:WMJ458811 WCN458746:WCN458811 VSR458746:VSR458811 VIV458746:VIV458811 UYZ458746:UYZ458811 UPD458746:UPD458811 UFH458746:UFH458811 TVL458746:TVL458811 TLP458746:TLP458811 TBT458746:TBT458811 SRX458746:SRX458811 SIB458746:SIB458811 RYF458746:RYF458811 ROJ458746:ROJ458811 REN458746:REN458811 QUR458746:QUR458811 QKV458746:QKV458811 QAZ458746:QAZ458811 PRD458746:PRD458811 PHH458746:PHH458811 OXL458746:OXL458811 ONP458746:ONP458811 ODT458746:ODT458811 NTX458746:NTX458811 NKB458746:NKB458811 NAF458746:NAF458811 MQJ458746:MQJ458811 MGN458746:MGN458811 LWR458746:LWR458811 LMV458746:LMV458811 LCZ458746:LCZ458811 KTD458746:KTD458811 KJH458746:KJH458811 JZL458746:JZL458811 JPP458746:JPP458811 JFT458746:JFT458811 IVX458746:IVX458811 IMB458746:IMB458811 ICF458746:ICF458811 HSJ458746:HSJ458811 HIN458746:HIN458811 GYR458746:GYR458811 GOV458746:GOV458811 GEZ458746:GEZ458811 FVD458746:FVD458811 FLH458746:FLH458811 FBL458746:FBL458811 ERP458746:ERP458811 EHT458746:EHT458811 DXX458746:DXX458811 DOB458746:DOB458811 DEF458746:DEF458811 CUJ458746:CUJ458811 CKN458746:CKN458811 CAR458746:CAR458811 BQV458746:BQV458811 BGZ458746:BGZ458811 AXD458746:AXD458811 ANH458746:ANH458811 ADL458746:ADL458811 TP458746:TP458811 JT458746:JT458811 X458746:X458811 WWF393210:WWF393275 WMJ393210:WMJ393275 WCN393210:WCN393275 VSR393210:VSR393275 VIV393210:VIV393275 UYZ393210:UYZ393275 UPD393210:UPD393275 UFH393210:UFH393275 TVL393210:TVL393275 TLP393210:TLP393275 TBT393210:TBT393275 SRX393210:SRX393275 SIB393210:SIB393275 RYF393210:RYF393275 ROJ393210:ROJ393275 REN393210:REN393275 QUR393210:QUR393275 QKV393210:QKV393275 QAZ393210:QAZ393275 PRD393210:PRD393275 PHH393210:PHH393275 OXL393210:OXL393275 ONP393210:ONP393275 ODT393210:ODT393275 NTX393210:NTX393275 NKB393210:NKB393275 NAF393210:NAF393275 MQJ393210:MQJ393275 MGN393210:MGN393275 LWR393210:LWR393275 LMV393210:LMV393275 LCZ393210:LCZ393275 KTD393210:KTD393275 KJH393210:KJH393275 JZL393210:JZL393275 JPP393210:JPP393275 JFT393210:JFT393275 IVX393210:IVX393275 IMB393210:IMB393275 ICF393210:ICF393275 HSJ393210:HSJ393275 HIN393210:HIN393275 GYR393210:GYR393275 GOV393210:GOV393275 GEZ393210:GEZ393275 FVD393210:FVD393275 FLH393210:FLH393275 FBL393210:FBL393275 ERP393210:ERP393275 EHT393210:EHT393275 DXX393210:DXX393275 DOB393210:DOB393275 DEF393210:DEF393275 CUJ393210:CUJ393275 CKN393210:CKN393275 CAR393210:CAR393275 BQV393210:BQV393275 BGZ393210:BGZ393275 AXD393210:AXD393275 ANH393210:ANH393275 ADL393210:ADL393275 TP393210:TP393275 JT393210:JT393275 X393210:X393275 WWF327674:WWF327739 WMJ327674:WMJ327739 WCN327674:WCN327739 VSR327674:VSR327739 VIV327674:VIV327739 UYZ327674:UYZ327739 UPD327674:UPD327739 UFH327674:UFH327739 TVL327674:TVL327739 TLP327674:TLP327739 TBT327674:TBT327739 SRX327674:SRX327739 SIB327674:SIB327739 RYF327674:RYF327739 ROJ327674:ROJ327739 REN327674:REN327739 QUR327674:QUR327739 QKV327674:QKV327739 QAZ327674:QAZ327739 PRD327674:PRD327739 PHH327674:PHH327739 OXL327674:OXL327739 ONP327674:ONP327739 ODT327674:ODT327739 NTX327674:NTX327739 NKB327674:NKB327739 NAF327674:NAF327739 MQJ327674:MQJ327739 MGN327674:MGN327739 LWR327674:LWR327739 LMV327674:LMV327739 LCZ327674:LCZ327739 KTD327674:KTD327739 KJH327674:KJH327739 JZL327674:JZL327739 JPP327674:JPP327739 JFT327674:JFT327739 IVX327674:IVX327739 IMB327674:IMB327739 ICF327674:ICF327739 HSJ327674:HSJ327739 HIN327674:HIN327739 GYR327674:GYR327739 GOV327674:GOV327739 GEZ327674:GEZ327739 FVD327674:FVD327739 FLH327674:FLH327739 FBL327674:FBL327739 ERP327674:ERP327739 EHT327674:EHT327739 DXX327674:DXX327739 DOB327674:DOB327739 DEF327674:DEF327739 CUJ327674:CUJ327739 CKN327674:CKN327739 CAR327674:CAR327739 BQV327674:BQV327739 BGZ327674:BGZ327739 AXD327674:AXD327739 ANH327674:ANH327739 ADL327674:ADL327739 TP327674:TP327739 JT327674:JT327739 X327674:X327739 WWF262138:WWF262203 WMJ262138:WMJ262203 WCN262138:WCN262203 VSR262138:VSR262203 VIV262138:VIV262203 UYZ262138:UYZ262203 UPD262138:UPD262203 UFH262138:UFH262203 TVL262138:TVL262203 TLP262138:TLP262203 TBT262138:TBT262203 SRX262138:SRX262203 SIB262138:SIB262203 RYF262138:RYF262203 ROJ262138:ROJ262203 REN262138:REN262203 QUR262138:QUR262203 QKV262138:QKV262203 QAZ262138:QAZ262203 PRD262138:PRD262203 PHH262138:PHH262203 OXL262138:OXL262203 ONP262138:ONP262203 ODT262138:ODT262203 NTX262138:NTX262203 NKB262138:NKB262203 NAF262138:NAF262203 MQJ262138:MQJ262203 MGN262138:MGN262203 LWR262138:LWR262203 LMV262138:LMV262203 LCZ262138:LCZ262203 KTD262138:KTD262203 KJH262138:KJH262203 JZL262138:JZL262203 JPP262138:JPP262203 JFT262138:JFT262203 IVX262138:IVX262203 IMB262138:IMB262203 ICF262138:ICF262203 HSJ262138:HSJ262203 HIN262138:HIN262203 GYR262138:GYR262203 GOV262138:GOV262203 GEZ262138:GEZ262203 FVD262138:FVD262203 FLH262138:FLH262203 FBL262138:FBL262203 ERP262138:ERP262203 EHT262138:EHT262203 DXX262138:DXX262203 DOB262138:DOB262203 DEF262138:DEF262203 CUJ262138:CUJ262203 CKN262138:CKN262203 CAR262138:CAR262203 BQV262138:BQV262203 BGZ262138:BGZ262203 AXD262138:AXD262203 ANH262138:ANH262203 ADL262138:ADL262203 TP262138:TP262203 JT262138:JT262203 X262138:X262203 WWF196602:WWF196667 WMJ196602:WMJ196667 WCN196602:WCN196667 VSR196602:VSR196667 VIV196602:VIV196667 UYZ196602:UYZ196667 UPD196602:UPD196667 UFH196602:UFH196667 TVL196602:TVL196667 TLP196602:TLP196667 TBT196602:TBT196667 SRX196602:SRX196667 SIB196602:SIB196667 RYF196602:RYF196667 ROJ196602:ROJ196667 REN196602:REN196667 QUR196602:QUR196667 QKV196602:QKV196667 QAZ196602:QAZ196667 PRD196602:PRD196667 PHH196602:PHH196667 OXL196602:OXL196667 ONP196602:ONP196667 ODT196602:ODT196667 NTX196602:NTX196667 NKB196602:NKB196667 NAF196602:NAF196667 MQJ196602:MQJ196667 MGN196602:MGN196667 LWR196602:LWR196667 LMV196602:LMV196667 LCZ196602:LCZ196667 KTD196602:KTD196667 KJH196602:KJH196667 JZL196602:JZL196667 JPP196602:JPP196667 JFT196602:JFT196667 IVX196602:IVX196667 IMB196602:IMB196667 ICF196602:ICF196667 HSJ196602:HSJ196667 HIN196602:HIN196667 GYR196602:GYR196667 GOV196602:GOV196667 GEZ196602:GEZ196667 FVD196602:FVD196667 FLH196602:FLH196667 FBL196602:FBL196667 ERP196602:ERP196667 EHT196602:EHT196667 DXX196602:DXX196667 DOB196602:DOB196667 DEF196602:DEF196667 CUJ196602:CUJ196667 CKN196602:CKN196667 CAR196602:CAR196667 BQV196602:BQV196667 BGZ196602:BGZ196667 AXD196602:AXD196667 ANH196602:ANH196667 ADL196602:ADL196667 TP196602:TP196667 JT196602:JT196667 X196602:X196667 WWF131066:WWF131131 WMJ131066:WMJ131131 WCN131066:WCN131131 VSR131066:VSR131131 VIV131066:VIV131131 UYZ131066:UYZ131131 UPD131066:UPD131131 UFH131066:UFH131131 TVL131066:TVL131131 TLP131066:TLP131131 TBT131066:TBT131131 SRX131066:SRX131131 SIB131066:SIB131131 RYF131066:RYF131131 ROJ131066:ROJ131131 REN131066:REN131131 QUR131066:QUR131131 QKV131066:QKV131131 QAZ131066:QAZ131131 PRD131066:PRD131131 PHH131066:PHH131131 OXL131066:OXL131131 ONP131066:ONP131131 ODT131066:ODT131131 NTX131066:NTX131131 NKB131066:NKB131131 NAF131066:NAF131131 MQJ131066:MQJ131131 MGN131066:MGN131131 LWR131066:LWR131131 LMV131066:LMV131131 LCZ131066:LCZ131131 KTD131066:KTD131131 KJH131066:KJH131131 JZL131066:JZL131131 JPP131066:JPP131131 JFT131066:JFT131131 IVX131066:IVX131131 IMB131066:IMB131131 ICF131066:ICF131131 HSJ131066:HSJ131131 HIN131066:HIN131131 GYR131066:GYR131131 GOV131066:GOV131131 GEZ131066:GEZ131131 FVD131066:FVD131131 FLH131066:FLH131131 FBL131066:FBL131131 ERP131066:ERP131131 EHT131066:EHT131131 DXX131066:DXX131131 DOB131066:DOB131131 DEF131066:DEF131131 CUJ131066:CUJ131131 CKN131066:CKN131131 CAR131066:CAR131131 BQV131066:BQV131131 BGZ131066:BGZ131131 AXD131066:AXD131131 ANH131066:ANH131131 ADL131066:ADL131131 TP131066:TP131131 JT131066:JT131131 X131066:X131131 WWF65530:WWF65595 WMJ65530:WMJ65595 WCN65530:WCN65595 VSR65530:VSR65595 VIV65530:VIV65595 UYZ65530:UYZ65595 UPD65530:UPD65595 UFH65530:UFH65595 TVL65530:TVL65595 TLP65530:TLP65595 TBT65530:TBT65595 SRX65530:SRX65595 SIB65530:SIB65595 RYF65530:RYF65595 ROJ65530:ROJ65595 REN65530:REN65595 QUR65530:QUR65595 QKV65530:QKV65595 QAZ65530:QAZ65595 PRD65530:PRD65595 PHH65530:PHH65595 OXL65530:OXL65595 ONP65530:ONP65595 ODT65530:ODT65595 NTX65530:NTX65595 NKB65530:NKB65595 NAF65530:NAF65595 MQJ65530:MQJ65595 MGN65530:MGN65595 LWR65530:LWR65595 LMV65530:LMV65595 LCZ65530:LCZ65595 KTD65530:KTD65595 KJH65530:KJH65595 JZL65530:JZL65595 JPP65530:JPP65595 JFT65530:JFT65595 IVX65530:IVX65595 IMB65530:IMB65595 ICF65530:ICF65595 HSJ65530:HSJ65595 HIN65530:HIN65595 GYR65530:GYR65595 GOV65530:GOV65595 GEZ65530:GEZ65595 FVD65530:FVD65595 FLH65530:FLH65595 FBL65530:FBL65595 ERP65530:ERP65595 EHT65530:EHT65595 DXX65530:DXX65595 DOB65530:DOB65595 DEF65530:DEF65595 CUJ65530:CUJ65595 CKN65530:CKN65595 CAR65530:CAR65595 BQV65530:BQV65595 BGZ65530:BGZ65595 AXD65530:AXD65595 ANH65530:ANH65595 ADL65530:ADL65595 TP65530:TP65595 JT65530:JT65595 X65530:X65595 WWF983034:WWF983099 WWF1047395:WWF1047460 WMJ1047395:WMJ1047460 WCN1047395:WCN1047460 VSR1047395:VSR1047460 VIV1047395:VIV1047460 UYZ1047395:UYZ1047460 UPD1047395:UPD1047460 UFH1047395:UFH1047460 TVL1047395:TVL1047460 TLP1047395:TLP1047460 TBT1047395:TBT1047460 SRX1047395:SRX1047460 SIB1047395:SIB1047460 RYF1047395:RYF1047460 ROJ1047395:ROJ1047460 REN1047395:REN1047460 QUR1047395:QUR1047460 QKV1047395:QKV1047460 QAZ1047395:QAZ1047460 PRD1047395:PRD1047460 PHH1047395:PHH1047460 OXL1047395:OXL1047460 ONP1047395:ONP1047460 ODT1047395:ODT1047460 NTX1047395:NTX1047460 NKB1047395:NKB1047460 NAF1047395:NAF1047460 MQJ1047395:MQJ1047460 MGN1047395:MGN1047460 LWR1047395:LWR1047460 LMV1047395:LMV1047460 LCZ1047395:LCZ1047460 KTD1047395:KTD1047460 KJH1047395:KJH1047460 JZL1047395:JZL1047460 JPP1047395:JPP1047460 JFT1047395:JFT1047460 IVX1047395:IVX1047460 IMB1047395:IMB1047460 ICF1047395:ICF1047460 HSJ1047395:HSJ1047460 HIN1047395:HIN1047460 GYR1047395:GYR1047460 GOV1047395:GOV1047460 GEZ1047395:GEZ1047460 FVD1047395:FVD1047460 FLH1047395:FLH1047460 FBL1047395:FBL1047460 ERP1047395:ERP1047460 EHT1047395:EHT1047460 DXX1047395:DXX1047460 DOB1047395:DOB1047460 DEF1047395:DEF1047460 CUJ1047395:CUJ1047460 CKN1047395:CKN1047460 CAR1047395:CAR1047460 BQV1047395:BQV1047460 BGZ1047395:BGZ1047460 AXD1047395:AXD1047460 ANH1047395:ANH1047460 ADL1047395:ADL1047460 TP1047395:TP1047460 JT1047395:JT1047460 X1047395:X1047460 WWF981859:WWF981924 WMJ981859:WMJ981924 WCN981859:WCN981924 VSR981859:VSR981924 VIV981859:VIV981924 UYZ981859:UYZ981924 UPD981859:UPD981924 UFH981859:UFH981924 TVL981859:TVL981924 TLP981859:TLP981924 TBT981859:TBT981924 SRX981859:SRX981924 SIB981859:SIB981924 RYF981859:RYF981924 ROJ981859:ROJ981924 REN981859:REN981924 QUR981859:QUR981924 QKV981859:QKV981924 QAZ981859:QAZ981924 PRD981859:PRD981924 PHH981859:PHH981924 OXL981859:OXL981924 ONP981859:ONP981924 ODT981859:ODT981924 NTX981859:NTX981924 NKB981859:NKB981924 NAF981859:NAF981924 MQJ981859:MQJ981924 MGN981859:MGN981924 LWR981859:LWR981924 LMV981859:LMV981924 LCZ981859:LCZ981924 KTD981859:KTD981924 KJH981859:KJH981924 JZL981859:JZL981924 JPP981859:JPP981924 JFT981859:JFT981924 IVX981859:IVX981924 IMB981859:IMB981924 ICF981859:ICF981924 HSJ981859:HSJ981924 HIN981859:HIN981924 GYR981859:GYR981924 GOV981859:GOV981924 GEZ981859:GEZ981924 FVD981859:FVD981924 FLH981859:FLH981924 FBL981859:FBL981924 ERP981859:ERP981924 EHT981859:EHT981924 DXX981859:DXX981924 DOB981859:DOB981924 DEF981859:DEF981924 CUJ981859:CUJ981924 CKN981859:CKN981924 CAR981859:CAR981924 BQV981859:BQV981924 BGZ981859:BGZ981924 AXD981859:AXD981924 ANH981859:ANH981924 ADL981859:ADL981924 TP981859:TP981924 JT981859:JT981924 X981859:X981924 WWF916323:WWF916388 WMJ916323:WMJ916388 WCN916323:WCN916388 VSR916323:VSR916388 VIV916323:VIV916388 UYZ916323:UYZ916388 UPD916323:UPD916388 UFH916323:UFH916388 TVL916323:TVL916388 TLP916323:TLP916388 TBT916323:TBT916388 SRX916323:SRX916388 SIB916323:SIB916388 RYF916323:RYF916388 ROJ916323:ROJ916388 REN916323:REN916388 QUR916323:QUR916388 QKV916323:QKV916388 QAZ916323:QAZ916388 PRD916323:PRD916388 PHH916323:PHH916388 OXL916323:OXL916388 ONP916323:ONP916388 ODT916323:ODT916388 NTX916323:NTX916388 NKB916323:NKB916388 NAF916323:NAF916388 MQJ916323:MQJ916388 MGN916323:MGN916388 LWR916323:LWR916388 LMV916323:LMV916388 LCZ916323:LCZ916388 KTD916323:KTD916388 KJH916323:KJH916388 JZL916323:JZL916388 JPP916323:JPP916388 JFT916323:JFT916388 IVX916323:IVX916388 IMB916323:IMB916388 ICF916323:ICF916388 HSJ916323:HSJ916388 HIN916323:HIN916388 GYR916323:GYR916388 GOV916323:GOV916388 GEZ916323:GEZ916388 FVD916323:FVD916388 FLH916323:FLH916388 FBL916323:FBL916388 ERP916323:ERP916388 EHT916323:EHT916388 DXX916323:DXX916388 DOB916323:DOB916388 DEF916323:DEF916388 CUJ916323:CUJ916388 CKN916323:CKN916388 CAR916323:CAR916388 BQV916323:BQV916388 BGZ916323:BGZ916388 AXD916323:AXD916388 ANH916323:ANH916388 ADL916323:ADL916388 TP916323:TP916388 JT916323:JT916388 X916323:X916388 WWF850787:WWF850852 WMJ850787:WMJ850852 WCN850787:WCN850852 VSR850787:VSR850852 VIV850787:VIV850852 UYZ850787:UYZ850852 UPD850787:UPD850852 UFH850787:UFH850852 TVL850787:TVL850852 TLP850787:TLP850852 TBT850787:TBT850852 SRX850787:SRX850852 SIB850787:SIB850852 RYF850787:RYF850852 ROJ850787:ROJ850852 REN850787:REN850852 QUR850787:QUR850852 QKV850787:QKV850852 QAZ850787:QAZ850852 PRD850787:PRD850852 PHH850787:PHH850852 OXL850787:OXL850852 ONP850787:ONP850852 ODT850787:ODT850852 NTX850787:NTX850852 NKB850787:NKB850852 NAF850787:NAF850852 MQJ850787:MQJ850852 MGN850787:MGN850852 LWR850787:LWR850852 LMV850787:LMV850852 LCZ850787:LCZ850852 KTD850787:KTD850852 KJH850787:KJH850852 JZL850787:JZL850852 JPP850787:JPP850852 JFT850787:JFT850852 IVX850787:IVX850852 IMB850787:IMB850852 ICF850787:ICF850852 HSJ850787:HSJ850852 HIN850787:HIN850852 GYR850787:GYR850852 GOV850787:GOV850852 GEZ850787:GEZ850852 FVD850787:FVD850852 FLH850787:FLH850852 FBL850787:FBL850852 ERP850787:ERP850852 EHT850787:EHT850852 DXX850787:DXX850852 DOB850787:DOB850852 DEF850787:DEF850852 CUJ850787:CUJ850852 CKN850787:CKN850852 CAR850787:CAR850852 BQV850787:BQV850852 BGZ850787:BGZ850852 AXD850787:AXD850852 ANH850787:ANH850852 ADL850787:ADL850852 TP850787:TP850852 JT850787:JT850852 X850787:X850852 WWF785251:WWF785316 WMJ785251:WMJ785316 WCN785251:WCN785316 VSR785251:VSR785316 VIV785251:VIV785316 UYZ785251:UYZ785316 UPD785251:UPD785316 UFH785251:UFH785316 TVL785251:TVL785316 TLP785251:TLP785316 TBT785251:TBT785316 SRX785251:SRX785316 SIB785251:SIB785316 RYF785251:RYF785316 ROJ785251:ROJ785316 REN785251:REN785316 QUR785251:QUR785316 QKV785251:QKV785316 QAZ785251:QAZ785316 PRD785251:PRD785316 PHH785251:PHH785316 OXL785251:OXL785316 ONP785251:ONP785316 ODT785251:ODT785316 NTX785251:NTX785316 NKB785251:NKB785316 NAF785251:NAF785316 MQJ785251:MQJ785316 MGN785251:MGN785316 LWR785251:LWR785316 LMV785251:LMV785316 LCZ785251:LCZ785316 KTD785251:KTD785316 KJH785251:KJH785316 JZL785251:JZL785316 JPP785251:JPP785316 JFT785251:JFT785316 IVX785251:IVX785316 IMB785251:IMB785316 ICF785251:ICF785316 HSJ785251:HSJ785316 HIN785251:HIN785316 GYR785251:GYR785316 GOV785251:GOV785316 GEZ785251:GEZ785316 FVD785251:FVD785316 FLH785251:FLH785316 FBL785251:FBL785316 ERP785251:ERP785316 EHT785251:EHT785316 DXX785251:DXX785316 DOB785251:DOB785316 DEF785251:DEF785316 CUJ785251:CUJ785316 CKN785251:CKN785316 CAR785251:CAR785316 BQV785251:BQV785316 BGZ785251:BGZ785316 AXD785251:AXD785316 ANH785251:ANH785316 ADL785251:ADL785316 TP785251:TP785316 JT785251:JT785316 X785251:X785316 WWF719715:WWF719780 WMJ719715:WMJ719780 WCN719715:WCN719780 VSR719715:VSR719780 VIV719715:VIV719780 UYZ719715:UYZ719780 UPD719715:UPD719780 UFH719715:UFH719780 TVL719715:TVL719780 TLP719715:TLP719780 TBT719715:TBT719780 SRX719715:SRX719780 SIB719715:SIB719780 RYF719715:RYF719780 ROJ719715:ROJ719780 REN719715:REN719780 QUR719715:QUR719780 QKV719715:QKV719780 QAZ719715:QAZ719780 PRD719715:PRD719780 PHH719715:PHH719780 OXL719715:OXL719780 ONP719715:ONP719780 ODT719715:ODT719780 NTX719715:NTX719780 NKB719715:NKB719780 NAF719715:NAF719780 MQJ719715:MQJ719780 MGN719715:MGN719780 LWR719715:LWR719780 LMV719715:LMV719780 LCZ719715:LCZ719780 KTD719715:KTD719780 KJH719715:KJH719780 JZL719715:JZL719780 JPP719715:JPP719780 JFT719715:JFT719780 IVX719715:IVX719780 IMB719715:IMB719780 ICF719715:ICF719780 HSJ719715:HSJ719780 HIN719715:HIN719780 GYR719715:GYR719780 GOV719715:GOV719780 GEZ719715:GEZ719780 FVD719715:FVD719780 FLH719715:FLH719780 FBL719715:FBL719780 ERP719715:ERP719780 EHT719715:EHT719780 DXX719715:DXX719780 DOB719715:DOB719780 DEF719715:DEF719780 CUJ719715:CUJ719780 CKN719715:CKN719780 CAR719715:CAR719780 BQV719715:BQV719780 BGZ719715:BGZ719780 AXD719715:AXD719780 ANH719715:ANH719780 ADL719715:ADL719780 TP719715:TP719780 JT719715:JT719780 X719715:X719780 WWF654179:WWF654244 WMJ654179:WMJ654244 WCN654179:WCN654244 VSR654179:VSR654244 VIV654179:VIV654244 UYZ654179:UYZ654244 UPD654179:UPD654244 UFH654179:UFH654244 TVL654179:TVL654244 TLP654179:TLP654244 TBT654179:TBT654244 SRX654179:SRX654244 SIB654179:SIB654244 RYF654179:RYF654244 ROJ654179:ROJ654244 REN654179:REN654244 QUR654179:QUR654244 QKV654179:QKV654244 QAZ654179:QAZ654244 PRD654179:PRD654244 PHH654179:PHH654244 OXL654179:OXL654244 ONP654179:ONP654244 ODT654179:ODT654244 NTX654179:NTX654244 NKB654179:NKB654244 NAF654179:NAF654244 MQJ654179:MQJ654244 MGN654179:MGN654244 LWR654179:LWR654244 LMV654179:LMV654244 LCZ654179:LCZ654244 KTD654179:KTD654244 KJH654179:KJH654244 JZL654179:JZL654244 JPP654179:JPP654244 JFT654179:JFT654244 IVX654179:IVX654244 IMB654179:IMB654244 ICF654179:ICF654244 HSJ654179:HSJ654244 HIN654179:HIN654244 GYR654179:GYR654244 GOV654179:GOV654244 GEZ654179:GEZ654244 FVD654179:FVD654244 FLH654179:FLH654244 FBL654179:FBL654244 ERP654179:ERP654244 EHT654179:EHT654244 DXX654179:DXX654244 DOB654179:DOB654244 DEF654179:DEF654244 CUJ654179:CUJ654244 CKN654179:CKN654244 CAR654179:CAR654244 BQV654179:BQV654244 BGZ654179:BGZ654244 AXD654179:AXD654244 ANH654179:ANH654244 ADL654179:ADL654244 TP654179:TP654244 JT654179:JT654244 X654179:X654244 WWF588643:WWF588708 WMJ588643:WMJ588708 WCN588643:WCN588708 VSR588643:VSR588708 VIV588643:VIV588708 UYZ588643:UYZ588708 UPD588643:UPD588708 UFH588643:UFH588708 TVL588643:TVL588708 TLP588643:TLP588708 TBT588643:TBT588708 SRX588643:SRX588708 SIB588643:SIB588708 RYF588643:RYF588708 ROJ588643:ROJ588708 REN588643:REN588708 QUR588643:QUR588708 QKV588643:QKV588708 QAZ588643:QAZ588708 PRD588643:PRD588708 PHH588643:PHH588708 OXL588643:OXL588708 ONP588643:ONP588708 ODT588643:ODT588708 NTX588643:NTX588708 NKB588643:NKB588708 NAF588643:NAF588708 MQJ588643:MQJ588708 MGN588643:MGN588708 LWR588643:LWR588708 LMV588643:LMV588708 LCZ588643:LCZ588708 KTD588643:KTD588708 KJH588643:KJH588708 JZL588643:JZL588708 JPP588643:JPP588708 JFT588643:JFT588708 IVX588643:IVX588708 IMB588643:IMB588708 ICF588643:ICF588708 HSJ588643:HSJ588708 HIN588643:HIN588708 GYR588643:GYR588708 GOV588643:GOV588708 GEZ588643:GEZ588708 FVD588643:FVD588708 FLH588643:FLH588708 FBL588643:FBL588708 ERP588643:ERP588708 EHT588643:EHT588708 DXX588643:DXX588708 DOB588643:DOB588708 DEF588643:DEF588708 CUJ588643:CUJ588708 CKN588643:CKN588708 CAR588643:CAR588708 BQV588643:BQV588708 BGZ588643:BGZ588708 AXD588643:AXD588708 ANH588643:ANH588708 ADL588643:ADL588708 TP588643:TP588708 JT588643:JT588708 X588643:X588708 WWF523107:WWF523172 WMJ523107:WMJ523172 WCN523107:WCN523172 VSR523107:VSR523172 VIV523107:VIV523172 UYZ523107:UYZ523172 UPD523107:UPD523172 UFH523107:UFH523172 TVL523107:TVL523172 TLP523107:TLP523172 TBT523107:TBT523172 SRX523107:SRX523172 SIB523107:SIB523172 RYF523107:RYF523172 ROJ523107:ROJ523172 REN523107:REN523172 QUR523107:QUR523172 QKV523107:QKV523172 QAZ523107:QAZ523172 PRD523107:PRD523172 PHH523107:PHH523172 OXL523107:OXL523172 ONP523107:ONP523172 ODT523107:ODT523172 NTX523107:NTX523172 NKB523107:NKB523172 NAF523107:NAF523172 MQJ523107:MQJ523172 MGN523107:MGN523172 LWR523107:LWR523172 LMV523107:LMV523172 LCZ523107:LCZ523172 KTD523107:KTD523172 KJH523107:KJH523172 JZL523107:JZL523172 JPP523107:JPP523172 JFT523107:JFT523172 IVX523107:IVX523172 IMB523107:IMB523172 ICF523107:ICF523172 HSJ523107:HSJ523172 HIN523107:HIN523172 GYR523107:GYR523172 GOV523107:GOV523172 GEZ523107:GEZ523172 FVD523107:FVD523172 FLH523107:FLH523172 FBL523107:FBL523172 ERP523107:ERP523172 EHT523107:EHT523172 DXX523107:DXX523172 DOB523107:DOB523172 DEF523107:DEF523172 CUJ523107:CUJ523172 CKN523107:CKN523172 CAR523107:CAR523172 BQV523107:BQV523172 BGZ523107:BGZ523172 AXD523107:AXD523172 ANH523107:ANH523172 ADL523107:ADL523172 TP523107:TP523172 JT523107:JT523172 X523107:X523172 WWF457571:WWF457636 WMJ457571:WMJ457636 WCN457571:WCN457636 VSR457571:VSR457636 VIV457571:VIV457636 UYZ457571:UYZ457636 UPD457571:UPD457636 UFH457571:UFH457636 TVL457571:TVL457636 TLP457571:TLP457636 TBT457571:TBT457636 SRX457571:SRX457636 SIB457571:SIB457636 RYF457571:RYF457636 ROJ457571:ROJ457636 REN457571:REN457636 QUR457571:QUR457636 QKV457571:QKV457636 QAZ457571:QAZ457636 PRD457571:PRD457636 PHH457571:PHH457636 OXL457571:OXL457636 ONP457571:ONP457636 ODT457571:ODT457636 NTX457571:NTX457636 NKB457571:NKB457636 NAF457571:NAF457636 MQJ457571:MQJ457636 MGN457571:MGN457636 LWR457571:LWR457636 LMV457571:LMV457636 LCZ457571:LCZ457636 KTD457571:KTD457636 KJH457571:KJH457636 JZL457571:JZL457636 JPP457571:JPP457636 JFT457571:JFT457636 IVX457571:IVX457636 IMB457571:IMB457636 ICF457571:ICF457636 HSJ457571:HSJ457636 HIN457571:HIN457636 GYR457571:GYR457636 GOV457571:GOV457636 GEZ457571:GEZ457636 FVD457571:FVD457636 FLH457571:FLH457636 FBL457571:FBL457636 ERP457571:ERP457636 EHT457571:EHT457636 DXX457571:DXX457636 DOB457571:DOB457636 DEF457571:DEF457636 CUJ457571:CUJ457636 CKN457571:CKN457636 CAR457571:CAR457636 BQV457571:BQV457636 BGZ457571:BGZ457636 AXD457571:AXD457636 ANH457571:ANH457636 ADL457571:ADL457636 TP457571:TP457636 JT457571:JT457636 X457571:X457636 WWF392035:WWF392100 WMJ392035:WMJ392100 WCN392035:WCN392100 VSR392035:VSR392100 VIV392035:VIV392100 UYZ392035:UYZ392100 UPD392035:UPD392100 UFH392035:UFH392100 TVL392035:TVL392100 TLP392035:TLP392100 TBT392035:TBT392100 SRX392035:SRX392100 SIB392035:SIB392100 RYF392035:RYF392100 ROJ392035:ROJ392100 REN392035:REN392100 QUR392035:QUR392100 QKV392035:QKV392100 QAZ392035:QAZ392100 PRD392035:PRD392100 PHH392035:PHH392100 OXL392035:OXL392100 ONP392035:ONP392100 ODT392035:ODT392100 NTX392035:NTX392100 NKB392035:NKB392100 NAF392035:NAF392100 MQJ392035:MQJ392100 MGN392035:MGN392100 LWR392035:LWR392100 LMV392035:LMV392100 LCZ392035:LCZ392100 KTD392035:KTD392100 KJH392035:KJH392100 JZL392035:JZL392100 JPP392035:JPP392100 JFT392035:JFT392100 IVX392035:IVX392100 IMB392035:IMB392100 ICF392035:ICF392100 HSJ392035:HSJ392100 HIN392035:HIN392100 GYR392035:GYR392100 GOV392035:GOV392100 GEZ392035:GEZ392100 FVD392035:FVD392100 FLH392035:FLH392100 FBL392035:FBL392100 ERP392035:ERP392100 EHT392035:EHT392100 DXX392035:DXX392100 DOB392035:DOB392100 DEF392035:DEF392100 CUJ392035:CUJ392100 CKN392035:CKN392100 CAR392035:CAR392100 BQV392035:BQV392100 BGZ392035:BGZ392100 AXD392035:AXD392100 ANH392035:ANH392100 ADL392035:ADL392100 TP392035:TP392100 JT392035:JT392100 X392035:X392100 WWF326499:WWF326564 WMJ326499:WMJ326564 WCN326499:WCN326564 VSR326499:VSR326564 VIV326499:VIV326564 UYZ326499:UYZ326564 UPD326499:UPD326564 UFH326499:UFH326564 TVL326499:TVL326564 TLP326499:TLP326564 TBT326499:TBT326564 SRX326499:SRX326564 SIB326499:SIB326564 RYF326499:RYF326564 ROJ326499:ROJ326564 REN326499:REN326564 QUR326499:QUR326564 QKV326499:QKV326564 QAZ326499:QAZ326564 PRD326499:PRD326564 PHH326499:PHH326564 OXL326499:OXL326564 ONP326499:ONP326564 ODT326499:ODT326564 NTX326499:NTX326564 NKB326499:NKB326564 NAF326499:NAF326564 MQJ326499:MQJ326564 MGN326499:MGN326564 LWR326499:LWR326564 LMV326499:LMV326564 LCZ326499:LCZ326564 KTD326499:KTD326564 KJH326499:KJH326564 JZL326499:JZL326564 JPP326499:JPP326564 JFT326499:JFT326564 IVX326499:IVX326564 IMB326499:IMB326564 ICF326499:ICF326564 HSJ326499:HSJ326564 HIN326499:HIN326564 GYR326499:GYR326564 GOV326499:GOV326564 GEZ326499:GEZ326564 FVD326499:FVD326564 FLH326499:FLH326564 FBL326499:FBL326564 ERP326499:ERP326564 EHT326499:EHT326564 DXX326499:DXX326564 DOB326499:DOB326564 DEF326499:DEF326564 CUJ326499:CUJ326564 CKN326499:CKN326564 CAR326499:CAR326564 BQV326499:BQV326564 BGZ326499:BGZ326564 AXD326499:AXD326564 ANH326499:ANH326564 ADL326499:ADL326564 TP326499:TP326564 JT326499:JT326564 X326499:X326564 WWF260963:WWF261028 WMJ260963:WMJ261028 WCN260963:WCN261028 VSR260963:VSR261028 VIV260963:VIV261028 UYZ260963:UYZ261028 UPD260963:UPD261028 UFH260963:UFH261028 TVL260963:TVL261028 TLP260963:TLP261028 TBT260963:TBT261028 SRX260963:SRX261028 SIB260963:SIB261028 RYF260963:RYF261028 ROJ260963:ROJ261028 REN260963:REN261028 QUR260963:QUR261028 QKV260963:QKV261028 QAZ260963:QAZ261028 PRD260963:PRD261028 PHH260963:PHH261028 OXL260963:OXL261028 ONP260963:ONP261028 ODT260963:ODT261028 NTX260963:NTX261028 NKB260963:NKB261028 NAF260963:NAF261028 MQJ260963:MQJ261028 MGN260963:MGN261028 LWR260963:LWR261028 LMV260963:LMV261028 LCZ260963:LCZ261028 KTD260963:KTD261028 KJH260963:KJH261028 JZL260963:JZL261028 JPP260963:JPP261028 JFT260963:JFT261028 IVX260963:IVX261028 IMB260963:IMB261028 ICF260963:ICF261028 HSJ260963:HSJ261028 HIN260963:HIN261028 GYR260963:GYR261028 GOV260963:GOV261028 GEZ260963:GEZ261028 FVD260963:FVD261028 FLH260963:FLH261028 FBL260963:FBL261028 ERP260963:ERP261028 EHT260963:EHT261028 DXX260963:DXX261028 DOB260963:DOB261028 DEF260963:DEF261028 CUJ260963:CUJ261028 CKN260963:CKN261028 CAR260963:CAR261028 BQV260963:BQV261028 BGZ260963:BGZ261028 AXD260963:AXD261028 ANH260963:ANH261028 ADL260963:ADL261028 TP260963:TP261028 JT260963:JT261028 X260963:X261028 WWF195427:WWF195492 WMJ195427:WMJ195492 WCN195427:WCN195492 VSR195427:VSR195492 VIV195427:VIV195492 UYZ195427:UYZ195492 UPD195427:UPD195492 UFH195427:UFH195492 TVL195427:TVL195492 TLP195427:TLP195492 TBT195427:TBT195492 SRX195427:SRX195492 SIB195427:SIB195492 RYF195427:RYF195492 ROJ195427:ROJ195492 REN195427:REN195492 QUR195427:QUR195492 QKV195427:QKV195492 QAZ195427:QAZ195492 PRD195427:PRD195492 PHH195427:PHH195492 OXL195427:OXL195492 ONP195427:ONP195492 ODT195427:ODT195492 NTX195427:NTX195492 NKB195427:NKB195492 NAF195427:NAF195492 MQJ195427:MQJ195492 MGN195427:MGN195492 LWR195427:LWR195492 LMV195427:LMV195492 LCZ195427:LCZ195492 KTD195427:KTD195492 KJH195427:KJH195492 JZL195427:JZL195492 JPP195427:JPP195492 JFT195427:JFT195492 IVX195427:IVX195492 IMB195427:IMB195492 ICF195427:ICF195492 HSJ195427:HSJ195492 HIN195427:HIN195492 GYR195427:GYR195492 GOV195427:GOV195492 GEZ195427:GEZ195492 FVD195427:FVD195492 FLH195427:FLH195492 FBL195427:FBL195492 ERP195427:ERP195492 EHT195427:EHT195492 DXX195427:DXX195492 DOB195427:DOB195492 DEF195427:DEF195492 CUJ195427:CUJ195492 CKN195427:CKN195492 CAR195427:CAR195492 BQV195427:BQV195492 BGZ195427:BGZ195492 AXD195427:AXD195492 ANH195427:ANH195492 ADL195427:ADL195492 TP195427:TP195492 JT195427:JT195492 X195427:X195492 WWF129891:WWF129956 WMJ129891:WMJ129956 WCN129891:WCN129956 VSR129891:VSR129956 VIV129891:VIV129956 UYZ129891:UYZ129956 UPD129891:UPD129956 UFH129891:UFH129956 TVL129891:TVL129956 TLP129891:TLP129956 TBT129891:TBT129956 SRX129891:SRX129956 SIB129891:SIB129956 RYF129891:RYF129956 ROJ129891:ROJ129956 REN129891:REN129956 QUR129891:QUR129956 QKV129891:QKV129956 QAZ129891:QAZ129956 PRD129891:PRD129956 PHH129891:PHH129956 OXL129891:OXL129956 ONP129891:ONP129956 ODT129891:ODT129956 NTX129891:NTX129956 NKB129891:NKB129956 NAF129891:NAF129956 MQJ129891:MQJ129956 MGN129891:MGN129956 LWR129891:LWR129956 LMV129891:LMV129956 LCZ129891:LCZ129956 KTD129891:KTD129956 KJH129891:KJH129956 JZL129891:JZL129956 JPP129891:JPP129956 JFT129891:JFT129956 IVX129891:IVX129956 IMB129891:IMB129956 ICF129891:ICF129956 HSJ129891:HSJ129956 HIN129891:HIN129956 GYR129891:GYR129956 GOV129891:GOV129956 GEZ129891:GEZ129956 FVD129891:FVD129956 FLH129891:FLH129956 FBL129891:FBL129956 ERP129891:ERP129956 EHT129891:EHT129956 DXX129891:DXX129956 DOB129891:DOB129956 DEF129891:DEF129956 CUJ129891:CUJ129956 CKN129891:CKN129956 CAR129891:CAR129956 BQV129891:BQV129956 BGZ129891:BGZ129956 AXD129891:AXD129956 ANH129891:ANH129956 ADL129891:ADL129956 TP129891:TP129956 JT129891:JT129956 X129891:X129956 WWF64355:WWF64420 WMJ64355:WMJ64420 WCN64355:WCN64420 VSR64355:VSR64420 VIV64355:VIV64420 UYZ64355:UYZ64420 UPD64355:UPD64420 UFH64355:UFH64420 TVL64355:TVL64420 TLP64355:TLP64420 TBT64355:TBT64420 SRX64355:SRX64420 SIB64355:SIB64420 RYF64355:RYF64420 ROJ64355:ROJ64420 REN64355:REN64420 QUR64355:QUR64420 QKV64355:QKV64420 QAZ64355:QAZ64420 PRD64355:PRD64420 PHH64355:PHH64420 OXL64355:OXL64420 ONP64355:ONP64420 ODT64355:ODT64420 NTX64355:NTX64420 NKB64355:NKB64420 NAF64355:NAF64420 MQJ64355:MQJ64420 MGN64355:MGN64420 LWR64355:LWR64420 LMV64355:LMV64420 LCZ64355:LCZ64420 KTD64355:KTD64420 KJH64355:KJH64420 JZL64355:JZL64420 JPP64355:JPP64420 JFT64355:JFT64420 IVX64355:IVX64420 IMB64355:IMB64420 ICF64355:ICF64420 HSJ64355:HSJ64420 HIN64355:HIN64420 GYR64355:GYR64420 GOV64355:GOV64420 GEZ64355:GEZ64420 FVD64355:FVD64420 FLH64355:FLH64420 FBL64355:FBL64420 ERP64355:ERP64420 EHT64355:EHT64420 DXX64355:DXX64420 DOB64355:DOB64420 DEF64355:DEF64420 CUJ64355:CUJ64420 CKN64355:CKN64420 CAR64355:CAR64420 BQV64355:BQV64420 BGZ64355:BGZ64420 AXD64355:AXD64420 ANH64355:ANH64420 ADL64355:ADL64420 TP64355:TP64420 X2:X492">
      <formula1>$AT$2:$AT$3</formula1>
    </dataValidation>
    <dataValidation type="list" allowBlank="1" showInputMessage="1" showErrorMessage="1" sqref="G64355:G64422 G2:G492 SY2:SY65 ACU2:ACU65 AMQ2:AMQ65 AWM2:AWM65 BGI2:BGI65 BQE2:BQE65 CAA2:CAA65 CJW2:CJW65 CTS2:CTS65 DDO2:DDO65 DNK2:DNK65 DXG2:DXG65 EHC2:EHC65 EQY2:EQY65 FAU2:FAU65 FKQ2:FKQ65 FUM2:FUM65 GEI2:GEI65 GOE2:GOE65 GYA2:GYA65 HHW2:HHW65 HRS2:HRS65 IBO2:IBO65 ILK2:ILK65 IVG2:IVG65 JFC2:JFC65 JOY2:JOY65 JYU2:JYU65 KIQ2:KIQ65 KSM2:KSM65 LCI2:LCI65 LME2:LME65 LWA2:LWA65 MFW2:MFW65 MPS2:MPS65 MZO2:MZO65 NJK2:NJK65 NTG2:NTG65 ODC2:ODC65 OMY2:OMY65 OWU2:OWU65 PGQ2:PGQ65 PQM2:PQM65 QAI2:QAI65 QKE2:QKE65 QUA2:QUA65 RDW2:RDW65 RNS2:RNS65 RXO2:RXO65 SHK2:SHK65 SRG2:SRG65 TBC2:TBC65 TKY2:TKY65 TUU2:TUU65 UEQ2:UEQ65 UOM2:UOM65 UYI2:UYI65 VIE2:VIE65 VSA2:VSA65 WBW2:WBW65 WLS2:WLS65 WVO2:WVO65 JC2:JC65 WLS983034:WLS983105 WBW983034:WBW983105 VSA983034:VSA983105 VIE983034:VIE983105 UYI983034:UYI983105 UOM983034:UOM983105 UEQ983034:UEQ983105 TUU983034:TUU983105 TKY983034:TKY983105 TBC983034:TBC983105 SRG983034:SRG983105 SHK983034:SHK983105 RXO983034:RXO983105 RNS983034:RNS983105 RDW983034:RDW983105 QUA983034:QUA983105 QKE983034:QKE983105 QAI983034:QAI983105 PQM983034:PQM983105 PGQ983034:PGQ983105 OWU983034:OWU983105 OMY983034:OMY983105 ODC983034:ODC983105 NTG983034:NTG983105 NJK983034:NJK983105 MZO983034:MZO983105 MPS983034:MPS983105 MFW983034:MFW983105 LWA983034:LWA983105 LME983034:LME983105 LCI983034:LCI983105 KSM983034:KSM983105 KIQ983034:KIQ983105 JYU983034:JYU983105 JOY983034:JOY983105 JFC983034:JFC983105 IVG983034:IVG983105 ILK983034:ILK983105 IBO983034:IBO983105 HRS983034:HRS983105 HHW983034:HHW983105 GYA983034:GYA983105 GOE983034:GOE983105 GEI983034:GEI983105 FUM983034:FUM983105 FKQ983034:FKQ983105 FAU983034:FAU983105 EQY983034:EQY983105 EHC983034:EHC983105 DXG983034:DXG983105 DNK983034:DNK983105 DDO983034:DDO983105 CTS983034:CTS983105 CJW983034:CJW983105 CAA983034:CAA983105 BQE983034:BQE983105 BGI983034:BGI983105 AWM983034:AWM983105 AMQ983034:AMQ983105 ACU983034:ACU983105 SY983034:SY983105 JC983034:JC983105 G983034:G983105 WVO917498:WVO917569 WLS917498:WLS917569 WBW917498:WBW917569 VSA917498:VSA917569 VIE917498:VIE917569 UYI917498:UYI917569 UOM917498:UOM917569 UEQ917498:UEQ917569 TUU917498:TUU917569 TKY917498:TKY917569 TBC917498:TBC917569 SRG917498:SRG917569 SHK917498:SHK917569 RXO917498:RXO917569 RNS917498:RNS917569 RDW917498:RDW917569 QUA917498:QUA917569 QKE917498:QKE917569 QAI917498:QAI917569 PQM917498:PQM917569 PGQ917498:PGQ917569 OWU917498:OWU917569 OMY917498:OMY917569 ODC917498:ODC917569 NTG917498:NTG917569 NJK917498:NJK917569 MZO917498:MZO917569 MPS917498:MPS917569 MFW917498:MFW917569 LWA917498:LWA917569 LME917498:LME917569 LCI917498:LCI917569 KSM917498:KSM917569 KIQ917498:KIQ917569 JYU917498:JYU917569 JOY917498:JOY917569 JFC917498:JFC917569 IVG917498:IVG917569 ILK917498:ILK917569 IBO917498:IBO917569 HRS917498:HRS917569 HHW917498:HHW917569 GYA917498:GYA917569 GOE917498:GOE917569 GEI917498:GEI917569 FUM917498:FUM917569 FKQ917498:FKQ917569 FAU917498:FAU917569 EQY917498:EQY917569 EHC917498:EHC917569 DXG917498:DXG917569 DNK917498:DNK917569 DDO917498:DDO917569 CTS917498:CTS917569 CJW917498:CJW917569 CAA917498:CAA917569 BQE917498:BQE917569 BGI917498:BGI917569 AWM917498:AWM917569 AMQ917498:AMQ917569 ACU917498:ACU917569 SY917498:SY917569 JC917498:JC917569 G917498:G917569 WVO851962:WVO852033 WLS851962:WLS852033 WBW851962:WBW852033 VSA851962:VSA852033 VIE851962:VIE852033 UYI851962:UYI852033 UOM851962:UOM852033 UEQ851962:UEQ852033 TUU851962:TUU852033 TKY851962:TKY852033 TBC851962:TBC852033 SRG851962:SRG852033 SHK851962:SHK852033 RXO851962:RXO852033 RNS851962:RNS852033 RDW851962:RDW852033 QUA851962:QUA852033 QKE851962:QKE852033 QAI851962:QAI852033 PQM851962:PQM852033 PGQ851962:PGQ852033 OWU851962:OWU852033 OMY851962:OMY852033 ODC851962:ODC852033 NTG851962:NTG852033 NJK851962:NJK852033 MZO851962:MZO852033 MPS851962:MPS852033 MFW851962:MFW852033 LWA851962:LWA852033 LME851962:LME852033 LCI851962:LCI852033 KSM851962:KSM852033 KIQ851962:KIQ852033 JYU851962:JYU852033 JOY851962:JOY852033 JFC851962:JFC852033 IVG851962:IVG852033 ILK851962:ILK852033 IBO851962:IBO852033 HRS851962:HRS852033 HHW851962:HHW852033 GYA851962:GYA852033 GOE851962:GOE852033 GEI851962:GEI852033 FUM851962:FUM852033 FKQ851962:FKQ852033 FAU851962:FAU852033 EQY851962:EQY852033 EHC851962:EHC852033 DXG851962:DXG852033 DNK851962:DNK852033 DDO851962:DDO852033 CTS851962:CTS852033 CJW851962:CJW852033 CAA851962:CAA852033 BQE851962:BQE852033 BGI851962:BGI852033 AWM851962:AWM852033 AMQ851962:AMQ852033 ACU851962:ACU852033 SY851962:SY852033 JC851962:JC852033 G851962:G852033 WVO786426:WVO786497 WLS786426:WLS786497 WBW786426:WBW786497 VSA786426:VSA786497 VIE786426:VIE786497 UYI786426:UYI786497 UOM786426:UOM786497 UEQ786426:UEQ786497 TUU786426:TUU786497 TKY786426:TKY786497 TBC786426:TBC786497 SRG786426:SRG786497 SHK786426:SHK786497 RXO786426:RXO786497 RNS786426:RNS786497 RDW786426:RDW786497 QUA786426:QUA786497 QKE786426:QKE786497 QAI786426:QAI786497 PQM786426:PQM786497 PGQ786426:PGQ786497 OWU786426:OWU786497 OMY786426:OMY786497 ODC786426:ODC786497 NTG786426:NTG786497 NJK786426:NJK786497 MZO786426:MZO786497 MPS786426:MPS786497 MFW786426:MFW786497 LWA786426:LWA786497 LME786426:LME786497 LCI786426:LCI786497 KSM786426:KSM786497 KIQ786426:KIQ786497 JYU786426:JYU786497 JOY786426:JOY786497 JFC786426:JFC786497 IVG786426:IVG786497 ILK786426:ILK786497 IBO786426:IBO786497 HRS786426:HRS786497 HHW786426:HHW786497 GYA786426:GYA786497 GOE786426:GOE786497 GEI786426:GEI786497 FUM786426:FUM786497 FKQ786426:FKQ786497 FAU786426:FAU786497 EQY786426:EQY786497 EHC786426:EHC786497 DXG786426:DXG786497 DNK786426:DNK786497 DDO786426:DDO786497 CTS786426:CTS786497 CJW786426:CJW786497 CAA786426:CAA786497 BQE786426:BQE786497 BGI786426:BGI786497 AWM786426:AWM786497 AMQ786426:AMQ786497 ACU786426:ACU786497 SY786426:SY786497 JC786426:JC786497 G786426:G786497 WVO720890:WVO720961 WLS720890:WLS720961 WBW720890:WBW720961 VSA720890:VSA720961 VIE720890:VIE720961 UYI720890:UYI720961 UOM720890:UOM720961 UEQ720890:UEQ720961 TUU720890:TUU720961 TKY720890:TKY720961 TBC720890:TBC720961 SRG720890:SRG720961 SHK720890:SHK720961 RXO720890:RXO720961 RNS720890:RNS720961 RDW720890:RDW720961 QUA720890:QUA720961 QKE720890:QKE720961 QAI720890:QAI720961 PQM720890:PQM720961 PGQ720890:PGQ720961 OWU720890:OWU720961 OMY720890:OMY720961 ODC720890:ODC720961 NTG720890:NTG720961 NJK720890:NJK720961 MZO720890:MZO720961 MPS720890:MPS720961 MFW720890:MFW720961 LWA720890:LWA720961 LME720890:LME720961 LCI720890:LCI720961 KSM720890:KSM720961 KIQ720890:KIQ720961 JYU720890:JYU720961 JOY720890:JOY720961 JFC720890:JFC720961 IVG720890:IVG720961 ILK720890:ILK720961 IBO720890:IBO720961 HRS720890:HRS720961 HHW720890:HHW720961 GYA720890:GYA720961 GOE720890:GOE720961 GEI720890:GEI720961 FUM720890:FUM720961 FKQ720890:FKQ720961 FAU720890:FAU720961 EQY720890:EQY720961 EHC720890:EHC720961 DXG720890:DXG720961 DNK720890:DNK720961 DDO720890:DDO720961 CTS720890:CTS720961 CJW720890:CJW720961 CAA720890:CAA720961 BQE720890:BQE720961 BGI720890:BGI720961 AWM720890:AWM720961 AMQ720890:AMQ720961 ACU720890:ACU720961 SY720890:SY720961 JC720890:JC720961 G720890:G720961 WVO655354:WVO655425 WLS655354:WLS655425 WBW655354:WBW655425 VSA655354:VSA655425 VIE655354:VIE655425 UYI655354:UYI655425 UOM655354:UOM655425 UEQ655354:UEQ655425 TUU655354:TUU655425 TKY655354:TKY655425 TBC655354:TBC655425 SRG655354:SRG655425 SHK655354:SHK655425 RXO655354:RXO655425 RNS655354:RNS655425 RDW655354:RDW655425 QUA655354:QUA655425 QKE655354:QKE655425 QAI655354:QAI655425 PQM655354:PQM655425 PGQ655354:PGQ655425 OWU655354:OWU655425 OMY655354:OMY655425 ODC655354:ODC655425 NTG655354:NTG655425 NJK655354:NJK655425 MZO655354:MZO655425 MPS655354:MPS655425 MFW655354:MFW655425 LWA655354:LWA655425 LME655354:LME655425 LCI655354:LCI655425 KSM655354:KSM655425 KIQ655354:KIQ655425 JYU655354:JYU655425 JOY655354:JOY655425 JFC655354:JFC655425 IVG655354:IVG655425 ILK655354:ILK655425 IBO655354:IBO655425 HRS655354:HRS655425 HHW655354:HHW655425 GYA655354:GYA655425 GOE655354:GOE655425 GEI655354:GEI655425 FUM655354:FUM655425 FKQ655354:FKQ655425 FAU655354:FAU655425 EQY655354:EQY655425 EHC655354:EHC655425 DXG655354:DXG655425 DNK655354:DNK655425 DDO655354:DDO655425 CTS655354:CTS655425 CJW655354:CJW655425 CAA655354:CAA655425 BQE655354:BQE655425 BGI655354:BGI655425 AWM655354:AWM655425 AMQ655354:AMQ655425 ACU655354:ACU655425 SY655354:SY655425 JC655354:JC655425 G655354:G655425 WVO589818:WVO589889 WLS589818:WLS589889 WBW589818:WBW589889 VSA589818:VSA589889 VIE589818:VIE589889 UYI589818:UYI589889 UOM589818:UOM589889 UEQ589818:UEQ589889 TUU589818:TUU589889 TKY589818:TKY589889 TBC589818:TBC589889 SRG589818:SRG589889 SHK589818:SHK589889 RXO589818:RXO589889 RNS589818:RNS589889 RDW589818:RDW589889 QUA589818:QUA589889 QKE589818:QKE589889 QAI589818:QAI589889 PQM589818:PQM589889 PGQ589818:PGQ589889 OWU589818:OWU589889 OMY589818:OMY589889 ODC589818:ODC589889 NTG589818:NTG589889 NJK589818:NJK589889 MZO589818:MZO589889 MPS589818:MPS589889 MFW589818:MFW589889 LWA589818:LWA589889 LME589818:LME589889 LCI589818:LCI589889 KSM589818:KSM589889 KIQ589818:KIQ589889 JYU589818:JYU589889 JOY589818:JOY589889 JFC589818:JFC589889 IVG589818:IVG589889 ILK589818:ILK589889 IBO589818:IBO589889 HRS589818:HRS589889 HHW589818:HHW589889 GYA589818:GYA589889 GOE589818:GOE589889 GEI589818:GEI589889 FUM589818:FUM589889 FKQ589818:FKQ589889 FAU589818:FAU589889 EQY589818:EQY589889 EHC589818:EHC589889 DXG589818:DXG589889 DNK589818:DNK589889 DDO589818:DDO589889 CTS589818:CTS589889 CJW589818:CJW589889 CAA589818:CAA589889 BQE589818:BQE589889 BGI589818:BGI589889 AWM589818:AWM589889 AMQ589818:AMQ589889 ACU589818:ACU589889 SY589818:SY589889 JC589818:JC589889 G589818:G589889 WVO524282:WVO524353 WLS524282:WLS524353 WBW524282:WBW524353 VSA524282:VSA524353 VIE524282:VIE524353 UYI524282:UYI524353 UOM524282:UOM524353 UEQ524282:UEQ524353 TUU524282:TUU524353 TKY524282:TKY524353 TBC524282:TBC524353 SRG524282:SRG524353 SHK524282:SHK524353 RXO524282:RXO524353 RNS524282:RNS524353 RDW524282:RDW524353 QUA524282:QUA524353 QKE524282:QKE524353 QAI524282:QAI524353 PQM524282:PQM524353 PGQ524282:PGQ524353 OWU524282:OWU524353 OMY524282:OMY524353 ODC524282:ODC524353 NTG524282:NTG524353 NJK524282:NJK524353 MZO524282:MZO524353 MPS524282:MPS524353 MFW524282:MFW524353 LWA524282:LWA524353 LME524282:LME524353 LCI524282:LCI524353 KSM524282:KSM524353 KIQ524282:KIQ524353 JYU524282:JYU524353 JOY524282:JOY524353 JFC524282:JFC524353 IVG524282:IVG524353 ILK524282:ILK524353 IBO524282:IBO524353 HRS524282:HRS524353 HHW524282:HHW524353 GYA524282:GYA524353 GOE524282:GOE524353 GEI524282:GEI524353 FUM524282:FUM524353 FKQ524282:FKQ524353 FAU524282:FAU524353 EQY524282:EQY524353 EHC524282:EHC524353 DXG524282:DXG524353 DNK524282:DNK524353 DDO524282:DDO524353 CTS524282:CTS524353 CJW524282:CJW524353 CAA524282:CAA524353 BQE524282:BQE524353 BGI524282:BGI524353 AWM524282:AWM524353 AMQ524282:AMQ524353 ACU524282:ACU524353 SY524282:SY524353 JC524282:JC524353 G524282:G524353 WVO458746:WVO458817 WLS458746:WLS458817 WBW458746:WBW458817 VSA458746:VSA458817 VIE458746:VIE458817 UYI458746:UYI458817 UOM458746:UOM458817 UEQ458746:UEQ458817 TUU458746:TUU458817 TKY458746:TKY458817 TBC458746:TBC458817 SRG458746:SRG458817 SHK458746:SHK458817 RXO458746:RXO458817 RNS458746:RNS458817 RDW458746:RDW458817 QUA458746:QUA458817 QKE458746:QKE458817 QAI458746:QAI458817 PQM458746:PQM458817 PGQ458746:PGQ458817 OWU458746:OWU458817 OMY458746:OMY458817 ODC458746:ODC458817 NTG458746:NTG458817 NJK458746:NJK458817 MZO458746:MZO458817 MPS458746:MPS458817 MFW458746:MFW458817 LWA458746:LWA458817 LME458746:LME458817 LCI458746:LCI458817 KSM458746:KSM458817 KIQ458746:KIQ458817 JYU458746:JYU458817 JOY458746:JOY458817 JFC458746:JFC458817 IVG458746:IVG458817 ILK458746:ILK458817 IBO458746:IBO458817 HRS458746:HRS458817 HHW458746:HHW458817 GYA458746:GYA458817 GOE458746:GOE458817 GEI458746:GEI458817 FUM458746:FUM458817 FKQ458746:FKQ458817 FAU458746:FAU458817 EQY458746:EQY458817 EHC458746:EHC458817 DXG458746:DXG458817 DNK458746:DNK458817 DDO458746:DDO458817 CTS458746:CTS458817 CJW458746:CJW458817 CAA458746:CAA458817 BQE458746:BQE458817 BGI458746:BGI458817 AWM458746:AWM458817 AMQ458746:AMQ458817 ACU458746:ACU458817 SY458746:SY458817 JC458746:JC458817 G458746:G458817 WVO393210:WVO393281 WLS393210:WLS393281 WBW393210:WBW393281 VSA393210:VSA393281 VIE393210:VIE393281 UYI393210:UYI393281 UOM393210:UOM393281 UEQ393210:UEQ393281 TUU393210:TUU393281 TKY393210:TKY393281 TBC393210:TBC393281 SRG393210:SRG393281 SHK393210:SHK393281 RXO393210:RXO393281 RNS393210:RNS393281 RDW393210:RDW393281 QUA393210:QUA393281 QKE393210:QKE393281 QAI393210:QAI393281 PQM393210:PQM393281 PGQ393210:PGQ393281 OWU393210:OWU393281 OMY393210:OMY393281 ODC393210:ODC393281 NTG393210:NTG393281 NJK393210:NJK393281 MZO393210:MZO393281 MPS393210:MPS393281 MFW393210:MFW393281 LWA393210:LWA393281 LME393210:LME393281 LCI393210:LCI393281 KSM393210:KSM393281 KIQ393210:KIQ393281 JYU393210:JYU393281 JOY393210:JOY393281 JFC393210:JFC393281 IVG393210:IVG393281 ILK393210:ILK393281 IBO393210:IBO393281 HRS393210:HRS393281 HHW393210:HHW393281 GYA393210:GYA393281 GOE393210:GOE393281 GEI393210:GEI393281 FUM393210:FUM393281 FKQ393210:FKQ393281 FAU393210:FAU393281 EQY393210:EQY393281 EHC393210:EHC393281 DXG393210:DXG393281 DNK393210:DNK393281 DDO393210:DDO393281 CTS393210:CTS393281 CJW393210:CJW393281 CAA393210:CAA393281 BQE393210:BQE393281 BGI393210:BGI393281 AWM393210:AWM393281 AMQ393210:AMQ393281 ACU393210:ACU393281 SY393210:SY393281 JC393210:JC393281 G393210:G393281 WVO327674:WVO327745 WLS327674:WLS327745 WBW327674:WBW327745 VSA327674:VSA327745 VIE327674:VIE327745 UYI327674:UYI327745 UOM327674:UOM327745 UEQ327674:UEQ327745 TUU327674:TUU327745 TKY327674:TKY327745 TBC327674:TBC327745 SRG327674:SRG327745 SHK327674:SHK327745 RXO327674:RXO327745 RNS327674:RNS327745 RDW327674:RDW327745 QUA327674:QUA327745 QKE327674:QKE327745 QAI327674:QAI327745 PQM327674:PQM327745 PGQ327674:PGQ327745 OWU327674:OWU327745 OMY327674:OMY327745 ODC327674:ODC327745 NTG327674:NTG327745 NJK327674:NJK327745 MZO327674:MZO327745 MPS327674:MPS327745 MFW327674:MFW327745 LWA327674:LWA327745 LME327674:LME327745 LCI327674:LCI327745 KSM327674:KSM327745 KIQ327674:KIQ327745 JYU327674:JYU327745 JOY327674:JOY327745 JFC327674:JFC327745 IVG327674:IVG327745 ILK327674:ILK327745 IBO327674:IBO327745 HRS327674:HRS327745 HHW327674:HHW327745 GYA327674:GYA327745 GOE327674:GOE327745 GEI327674:GEI327745 FUM327674:FUM327745 FKQ327674:FKQ327745 FAU327674:FAU327745 EQY327674:EQY327745 EHC327674:EHC327745 DXG327674:DXG327745 DNK327674:DNK327745 DDO327674:DDO327745 CTS327674:CTS327745 CJW327674:CJW327745 CAA327674:CAA327745 BQE327674:BQE327745 BGI327674:BGI327745 AWM327674:AWM327745 AMQ327674:AMQ327745 ACU327674:ACU327745 SY327674:SY327745 JC327674:JC327745 G327674:G327745 WVO262138:WVO262209 WLS262138:WLS262209 WBW262138:WBW262209 VSA262138:VSA262209 VIE262138:VIE262209 UYI262138:UYI262209 UOM262138:UOM262209 UEQ262138:UEQ262209 TUU262138:TUU262209 TKY262138:TKY262209 TBC262138:TBC262209 SRG262138:SRG262209 SHK262138:SHK262209 RXO262138:RXO262209 RNS262138:RNS262209 RDW262138:RDW262209 QUA262138:QUA262209 QKE262138:QKE262209 QAI262138:QAI262209 PQM262138:PQM262209 PGQ262138:PGQ262209 OWU262138:OWU262209 OMY262138:OMY262209 ODC262138:ODC262209 NTG262138:NTG262209 NJK262138:NJK262209 MZO262138:MZO262209 MPS262138:MPS262209 MFW262138:MFW262209 LWA262138:LWA262209 LME262138:LME262209 LCI262138:LCI262209 KSM262138:KSM262209 KIQ262138:KIQ262209 JYU262138:JYU262209 JOY262138:JOY262209 JFC262138:JFC262209 IVG262138:IVG262209 ILK262138:ILK262209 IBO262138:IBO262209 HRS262138:HRS262209 HHW262138:HHW262209 GYA262138:GYA262209 GOE262138:GOE262209 GEI262138:GEI262209 FUM262138:FUM262209 FKQ262138:FKQ262209 FAU262138:FAU262209 EQY262138:EQY262209 EHC262138:EHC262209 DXG262138:DXG262209 DNK262138:DNK262209 DDO262138:DDO262209 CTS262138:CTS262209 CJW262138:CJW262209 CAA262138:CAA262209 BQE262138:BQE262209 BGI262138:BGI262209 AWM262138:AWM262209 AMQ262138:AMQ262209 ACU262138:ACU262209 SY262138:SY262209 JC262138:JC262209 G262138:G262209 WVO196602:WVO196673 WLS196602:WLS196673 WBW196602:WBW196673 VSA196602:VSA196673 VIE196602:VIE196673 UYI196602:UYI196673 UOM196602:UOM196673 UEQ196602:UEQ196673 TUU196602:TUU196673 TKY196602:TKY196673 TBC196602:TBC196673 SRG196602:SRG196673 SHK196602:SHK196673 RXO196602:RXO196673 RNS196602:RNS196673 RDW196602:RDW196673 QUA196602:QUA196673 QKE196602:QKE196673 QAI196602:QAI196673 PQM196602:PQM196673 PGQ196602:PGQ196673 OWU196602:OWU196673 OMY196602:OMY196673 ODC196602:ODC196673 NTG196602:NTG196673 NJK196602:NJK196673 MZO196602:MZO196673 MPS196602:MPS196673 MFW196602:MFW196673 LWA196602:LWA196673 LME196602:LME196673 LCI196602:LCI196673 KSM196602:KSM196673 KIQ196602:KIQ196673 JYU196602:JYU196673 JOY196602:JOY196673 JFC196602:JFC196673 IVG196602:IVG196673 ILK196602:ILK196673 IBO196602:IBO196673 HRS196602:HRS196673 HHW196602:HHW196673 GYA196602:GYA196673 GOE196602:GOE196673 GEI196602:GEI196673 FUM196602:FUM196673 FKQ196602:FKQ196673 FAU196602:FAU196673 EQY196602:EQY196673 EHC196602:EHC196673 DXG196602:DXG196673 DNK196602:DNK196673 DDO196602:DDO196673 CTS196602:CTS196673 CJW196602:CJW196673 CAA196602:CAA196673 BQE196602:BQE196673 BGI196602:BGI196673 AWM196602:AWM196673 AMQ196602:AMQ196673 ACU196602:ACU196673 SY196602:SY196673 JC196602:JC196673 G196602:G196673 WVO131066:WVO131137 WLS131066:WLS131137 WBW131066:WBW131137 VSA131066:VSA131137 VIE131066:VIE131137 UYI131066:UYI131137 UOM131066:UOM131137 UEQ131066:UEQ131137 TUU131066:TUU131137 TKY131066:TKY131137 TBC131066:TBC131137 SRG131066:SRG131137 SHK131066:SHK131137 RXO131066:RXO131137 RNS131066:RNS131137 RDW131066:RDW131137 QUA131066:QUA131137 QKE131066:QKE131137 QAI131066:QAI131137 PQM131066:PQM131137 PGQ131066:PGQ131137 OWU131066:OWU131137 OMY131066:OMY131137 ODC131066:ODC131137 NTG131066:NTG131137 NJK131066:NJK131137 MZO131066:MZO131137 MPS131066:MPS131137 MFW131066:MFW131137 LWA131066:LWA131137 LME131066:LME131137 LCI131066:LCI131137 KSM131066:KSM131137 KIQ131066:KIQ131137 JYU131066:JYU131137 JOY131066:JOY131137 JFC131066:JFC131137 IVG131066:IVG131137 ILK131066:ILK131137 IBO131066:IBO131137 HRS131066:HRS131137 HHW131066:HHW131137 GYA131066:GYA131137 GOE131066:GOE131137 GEI131066:GEI131137 FUM131066:FUM131137 FKQ131066:FKQ131137 FAU131066:FAU131137 EQY131066:EQY131137 EHC131066:EHC131137 DXG131066:DXG131137 DNK131066:DNK131137 DDO131066:DDO131137 CTS131066:CTS131137 CJW131066:CJW131137 CAA131066:CAA131137 BQE131066:BQE131137 BGI131066:BGI131137 AWM131066:AWM131137 AMQ131066:AMQ131137 ACU131066:ACU131137 SY131066:SY131137 JC131066:JC131137 G131066:G131137 WVO65530:WVO65601 WLS65530:WLS65601 WBW65530:WBW65601 VSA65530:VSA65601 VIE65530:VIE65601 UYI65530:UYI65601 UOM65530:UOM65601 UEQ65530:UEQ65601 TUU65530:TUU65601 TKY65530:TKY65601 TBC65530:TBC65601 SRG65530:SRG65601 SHK65530:SHK65601 RXO65530:RXO65601 RNS65530:RNS65601 RDW65530:RDW65601 QUA65530:QUA65601 QKE65530:QKE65601 QAI65530:QAI65601 PQM65530:PQM65601 PGQ65530:PGQ65601 OWU65530:OWU65601 OMY65530:OMY65601 ODC65530:ODC65601 NTG65530:NTG65601 NJK65530:NJK65601 MZO65530:MZO65601 MPS65530:MPS65601 MFW65530:MFW65601 LWA65530:LWA65601 LME65530:LME65601 LCI65530:LCI65601 KSM65530:KSM65601 KIQ65530:KIQ65601 JYU65530:JYU65601 JOY65530:JOY65601 JFC65530:JFC65601 IVG65530:IVG65601 ILK65530:ILK65601 IBO65530:IBO65601 HRS65530:HRS65601 HHW65530:HHW65601 GYA65530:GYA65601 GOE65530:GOE65601 GEI65530:GEI65601 FUM65530:FUM65601 FKQ65530:FKQ65601 FAU65530:FAU65601 EQY65530:EQY65601 EHC65530:EHC65601 DXG65530:DXG65601 DNK65530:DNK65601 DDO65530:DDO65601 CTS65530:CTS65601 CJW65530:CJW65601 CAA65530:CAA65601 BQE65530:BQE65601 BGI65530:BGI65601 AWM65530:AWM65601 AMQ65530:AMQ65601 ACU65530:ACU65601 SY65530:SY65601 JC65530:JC65601 G65530:G65601 WVO983034:WVO983105 WVO1047395:WVO1047462 WLS1047395:WLS1047462 WBW1047395:WBW1047462 VSA1047395:VSA1047462 VIE1047395:VIE1047462 UYI1047395:UYI1047462 UOM1047395:UOM1047462 UEQ1047395:UEQ1047462 TUU1047395:TUU1047462 TKY1047395:TKY1047462 TBC1047395:TBC1047462 SRG1047395:SRG1047462 SHK1047395:SHK1047462 RXO1047395:RXO1047462 RNS1047395:RNS1047462 RDW1047395:RDW1047462 QUA1047395:QUA1047462 QKE1047395:QKE1047462 QAI1047395:QAI1047462 PQM1047395:PQM1047462 PGQ1047395:PGQ1047462 OWU1047395:OWU1047462 OMY1047395:OMY1047462 ODC1047395:ODC1047462 NTG1047395:NTG1047462 NJK1047395:NJK1047462 MZO1047395:MZO1047462 MPS1047395:MPS1047462 MFW1047395:MFW1047462 LWA1047395:LWA1047462 LME1047395:LME1047462 LCI1047395:LCI1047462 KSM1047395:KSM1047462 KIQ1047395:KIQ1047462 JYU1047395:JYU1047462 JOY1047395:JOY1047462 JFC1047395:JFC1047462 IVG1047395:IVG1047462 ILK1047395:ILK1047462 IBO1047395:IBO1047462 HRS1047395:HRS1047462 HHW1047395:HHW1047462 GYA1047395:GYA1047462 GOE1047395:GOE1047462 GEI1047395:GEI1047462 FUM1047395:FUM1047462 FKQ1047395:FKQ1047462 FAU1047395:FAU1047462 EQY1047395:EQY1047462 EHC1047395:EHC1047462 DXG1047395:DXG1047462 DNK1047395:DNK1047462 DDO1047395:DDO1047462 CTS1047395:CTS1047462 CJW1047395:CJW1047462 CAA1047395:CAA1047462 BQE1047395:BQE1047462 BGI1047395:BGI1047462 AWM1047395:AWM1047462 AMQ1047395:AMQ1047462 ACU1047395:ACU1047462 SY1047395:SY1047462 JC1047395:JC1047462 G1047395:G1047462 WVO981859:WVO981926 WLS981859:WLS981926 WBW981859:WBW981926 VSA981859:VSA981926 VIE981859:VIE981926 UYI981859:UYI981926 UOM981859:UOM981926 UEQ981859:UEQ981926 TUU981859:TUU981926 TKY981859:TKY981926 TBC981859:TBC981926 SRG981859:SRG981926 SHK981859:SHK981926 RXO981859:RXO981926 RNS981859:RNS981926 RDW981859:RDW981926 QUA981859:QUA981926 QKE981859:QKE981926 QAI981859:QAI981926 PQM981859:PQM981926 PGQ981859:PGQ981926 OWU981859:OWU981926 OMY981859:OMY981926 ODC981859:ODC981926 NTG981859:NTG981926 NJK981859:NJK981926 MZO981859:MZO981926 MPS981859:MPS981926 MFW981859:MFW981926 LWA981859:LWA981926 LME981859:LME981926 LCI981859:LCI981926 KSM981859:KSM981926 KIQ981859:KIQ981926 JYU981859:JYU981926 JOY981859:JOY981926 JFC981859:JFC981926 IVG981859:IVG981926 ILK981859:ILK981926 IBO981859:IBO981926 HRS981859:HRS981926 HHW981859:HHW981926 GYA981859:GYA981926 GOE981859:GOE981926 GEI981859:GEI981926 FUM981859:FUM981926 FKQ981859:FKQ981926 FAU981859:FAU981926 EQY981859:EQY981926 EHC981859:EHC981926 DXG981859:DXG981926 DNK981859:DNK981926 DDO981859:DDO981926 CTS981859:CTS981926 CJW981859:CJW981926 CAA981859:CAA981926 BQE981859:BQE981926 BGI981859:BGI981926 AWM981859:AWM981926 AMQ981859:AMQ981926 ACU981859:ACU981926 SY981859:SY981926 JC981859:JC981926 G981859:G981926 WVO916323:WVO916390 WLS916323:WLS916390 WBW916323:WBW916390 VSA916323:VSA916390 VIE916323:VIE916390 UYI916323:UYI916390 UOM916323:UOM916390 UEQ916323:UEQ916390 TUU916323:TUU916390 TKY916323:TKY916390 TBC916323:TBC916390 SRG916323:SRG916390 SHK916323:SHK916390 RXO916323:RXO916390 RNS916323:RNS916390 RDW916323:RDW916390 QUA916323:QUA916390 QKE916323:QKE916390 QAI916323:QAI916390 PQM916323:PQM916390 PGQ916323:PGQ916390 OWU916323:OWU916390 OMY916323:OMY916390 ODC916323:ODC916390 NTG916323:NTG916390 NJK916323:NJK916390 MZO916323:MZO916390 MPS916323:MPS916390 MFW916323:MFW916390 LWA916323:LWA916390 LME916323:LME916390 LCI916323:LCI916390 KSM916323:KSM916390 KIQ916323:KIQ916390 JYU916323:JYU916390 JOY916323:JOY916390 JFC916323:JFC916390 IVG916323:IVG916390 ILK916323:ILK916390 IBO916323:IBO916390 HRS916323:HRS916390 HHW916323:HHW916390 GYA916323:GYA916390 GOE916323:GOE916390 GEI916323:GEI916390 FUM916323:FUM916390 FKQ916323:FKQ916390 FAU916323:FAU916390 EQY916323:EQY916390 EHC916323:EHC916390 DXG916323:DXG916390 DNK916323:DNK916390 DDO916323:DDO916390 CTS916323:CTS916390 CJW916323:CJW916390 CAA916323:CAA916390 BQE916323:BQE916390 BGI916323:BGI916390 AWM916323:AWM916390 AMQ916323:AMQ916390 ACU916323:ACU916390 SY916323:SY916390 JC916323:JC916390 G916323:G916390 WVO850787:WVO850854 WLS850787:WLS850854 WBW850787:WBW850854 VSA850787:VSA850854 VIE850787:VIE850854 UYI850787:UYI850854 UOM850787:UOM850854 UEQ850787:UEQ850854 TUU850787:TUU850854 TKY850787:TKY850854 TBC850787:TBC850854 SRG850787:SRG850854 SHK850787:SHK850854 RXO850787:RXO850854 RNS850787:RNS850854 RDW850787:RDW850854 QUA850787:QUA850854 QKE850787:QKE850854 QAI850787:QAI850854 PQM850787:PQM850854 PGQ850787:PGQ850854 OWU850787:OWU850854 OMY850787:OMY850854 ODC850787:ODC850854 NTG850787:NTG850854 NJK850787:NJK850854 MZO850787:MZO850854 MPS850787:MPS850854 MFW850787:MFW850854 LWA850787:LWA850854 LME850787:LME850854 LCI850787:LCI850854 KSM850787:KSM850854 KIQ850787:KIQ850854 JYU850787:JYU850854 JOY850787:JOY850854 JFC850787:JFC850854 IVG850787:IVG850854 ILK850787:ILK850854 IBO850787:IBO850854 HRS850787:HRS850854 HHW850787:HHW850854 GYA850787:GYA850854 GOE850787:GOE850854 GEI850787:GEI850854 FUM850787:FUM850854 FKQ850787:FKQ850854 FAU850787:FAU850854 EQY850787:EQY850854 EHC850787:EHC850854 DXG850787:DXG850854 DNK850787:DNK850854 DDO850787:DDO850854 CTS850787:CTS850854 CJW850787:CJW850854 CAA850787:CAA850854 BQE850787:BQE850854 BGI850787:BGI850854 AWM850787:AWM850854 AMQ850787:AMQ850854 ACU850787:ACU850854 SY850787:SY850854 JC850787:JC850854 G850787:G850854 WVO785251:WVO785318 WLS785251:WLS785318 WBW785251:WBW785318 VSA785251:VSA785318 VIE785251:VIE785318 UYI785251:UYI785318 UOM785251:UOM785318 UEQ785251:UEQ785318 TUU785251:TUU785318 TKY785251:TKY785318 TBC785251:TBC785318 SRG785251:SRG785318 SHK785251:SHK785318 RXO785251:RXO785318 RNS785251:RNS785318 RDW785251:RDW785318 QUA785251:QUA785318 QKE785251:QKE785318 QAI785251:QAI785318 PQM785251:PQM785318 PGQ785251:PGQ785318 OWU785251:OWU785318 OMY785251:OMY785318 ODC785251:ODC785318 NTG785251:NTG785318 NJK785251:NJK785318 MZO785251:MZO785318 MPS785251:MPS785318 MFW785251:MFW785318 LWA785251:LWA785318 LME785251:LME785318 LCI785251:LCI785318 KSM785251:KSM785318 KIQ785251:KIQ785318 JYU785251:JYU785318 JOY785251:JOY785318 JFC785251:JFC785318 IVG785251:IVG785318 ILK785251:ILK785318 IBO785251:IBO785318 HRS785251:HRS785318 HHW785251:HHW785318 GYA785251:GYA785318 GOE785251:GOE785318 GEI785251:GEI785318 FUM785251:FUM785318 FKQ785251:FKQ785318 FAU785251:FAU785318 EQY785251:EQY785318 EHC785251:EHC785318 DXG785251:DXG785318 DNK785251:DNK785318 DDO785251:DDO785318 CTS785251:CTS785318 CJW785251:CJW785318 CAA785251:CAA785318 BQE785251:BQE785318 BGI785251:BGI785318 AWM785251:AWM785318 AMQ785251:AMQ785318 ACU785251:ACU785318 SY785251:SY785318 JC785251:JC785318 G785251:G785318 WVO719715:WVO719782 WLS719715:WLS719782 WBW719715:WBW719782 VSA719715:VSA719782 VIE719715:VIE719782 UYI719715:UYI719782 UOM719715:UOM719782 UEQ719715:UEQ719782 TUU719715:TUU719782 TKY719715:TKY719782 TBC719715:TBC719782 SRG719715:SRG719782 SHK719715:SHK719782 RXO719715:RXO719782 RNS719715:RNS719782 RDW719715:RDW719782 QUA719715:QUA719782 QKE719715:QKE719782 QAI719715:QAI719782 PQM719715:PQM719782 PGQ719715:PGQ719782 OWU719715:OWU719782 OMY719715:OMY719782 ODC719715:ODC719782 NTG719715:NTG719782 NJK719715:NJK719782 MZO719715:MZO719782 MPS719715:MPS719782 MFW719715:MFW719782 LWA719715:LWA719782 LME719715:LME719782 LCI719715:LCI719782 KSM719715:KSM719782 KIQ719715:KIQ719782 JYU719715:JYU719782 JOY719715:JOY719782 JFC719715:JFC719782 IVG719715:IVG719782 ILK719715:ILK719782 IBO719715:IBO719782 HRS719715:HRS719782 HHW719715:HHW719782 GYA719715:GYA719782 GOE719715:GOE719782 GEI719715:GEI719782 FUM719715:FUM719782 FKQ719715:FKQ719782 FAU719715:FAU719782 EQY719715:EQY719782 EHC719715:EHC719782 DXG719715:DXG719782 DNK719715:DNK719782 DDO719715:DDO719782 CTS719715:CTS719782 CJW719715:CJW719782 CAA719715:CAA719782 BQE719715:BQE719782 BGI719715:BGI719782 AWM719715:AWM719782 AMQ719715:AMQ719782 ACU719715:ACU719782 SY719715:SY719782 JC719715:JC719782 G719715:G719782 WVO654179:WVO654246 WLS654179:WLS654246 WBW654179:WBW654246 VSA654179:VSA654246 VIE654179:VIE654246 UYI654179:UYI654246 UOM654179:UOM654246 UEQ654179:UEQ654246 TUU654179:TUU654246 TKY654179:TKY654246 TBC654179:TBC654246 SRG654179:SRG654246 SHK654179:SHK654246 RXO654179:RXO654246 RNS654179:RNS654246 RDW654179:RDW654246 QUA654179:QUA654246 QKE654179:QKE654246 QAI654179:QAI654246 PQM654179:PQM654246 PGQ654179:PGQ654246 OWU654179:OWU654246 OMY654179:OMY654246 ODC654179:ODC654246 NTG654179:NTG654246 NJK654179:NJK654246 MZO654179:MZO654246 MPS654179:MPS654246 MFW654179:MFW654246 LWA654179:LWA654246 LME654179:LME654246 LCI654179:LCI654246 KSM654179:KSM654246 KIQ654179:KIQ654246 JYU654179:JYU654246 JOY654179:JOY654246 JFC654179:JFC654246 IVG654179:IVG654246 ILK654179:ILK654246 IBO654179:IBO654246 HRS654179:HRS654246 HHW654179:HHW654246 GYA654179:GYA654246 GOE654179:GOE654246 GEI654179:GEI654246 FUM654179:FUM654246 FKQ654179:FKQ654246 FAU654179:FAU654246 EQY654179:EQY654246 EHC654179:EHC654246 DXG654179:DXG654246 DNK654179:DNK654246 DDO654179:DDO654246 CTS654179:CTS654246 CJW654179:CJW654246 CAA654179:CAA654246 BQE654179:BQE654246 BGI654179:BGI654246 AWM654179:AWM654246 AMQ654179:AMQ654246 ACU654179:ACU654246 SY654179:SY654246 JC654179:JC654246 G654179:G654246 WVO588643:WVO588710 WLS588643:WLS588710 WBW588643:WBW588710 VSA588643:VSA588710 VIE588643:VIE588710 UYI588643:UYI588710 UOM588643:UOM588710 UEQ588643:UEQ588710 TUU588643:TUU588710 TKY588643:TKY588710 TBC588643:TBC588710 SRG588643:SRG588710 SHK588643:SHK588710 RXO588643:RXO588710 RNS588643:RNS588710 RDW588643:RDW588710 QUA588643:QUA588710 QKE588643:QKE588710 QAI588643:QAI588710 PQM588643:PQM588710 PGQ588643:PGQ588710 OWU588643:OWU588710 OMY588643:OMY588710 ODC588643:ODC588710 NTG588643:NTG588710 NJK588643:NJK588710 MZO588643:MZO588710 MPS588643:MPS588710 MFW588643:MFW588710 LWA588643:LWA588710 LME588643:LME588710 LCI588643:LCI588710 KSM588643:KSM588710 KIQ588643:KIQ588710 JYU588643:JYU588710 JOY588643:JOY588710 JFC588643:JFC588710 IVG588643:IVG588710 ILK588643:ILK588710 IBO588643:IBO588710 HRS588643:HRS588710 HHW588643:HHW588710 GYA588643:GYA588710 GOE588643:GOE588710 GEI588643:GEI588710 FUM588643:FUM588710 FKQ588643:FKQ588710 FAU588643:FAU588710 EQY588643:EQY588710 EHC588643:EHC588710 DXG588643:DXG588710 DNK588643:DNK588710 DDO588643:DDO588710 CTS588643:CTS588710 CJW588643:CJW588710 CAA588643:CAA588710 BQE588643:BQE588710 BGI588643:BGI588710 AWM588643:AWM588710 AMQ588643:AMQ588710 ACU588643:ACU588710 SY588643:SY588710 JC588643:JC588710 G588643:G588710 WVO523107:WVO523174 WLS523107:WLS523174 WBW523107:WBW523174 VSA523107:VSA523174 VIE523107:VIE523174 UYI523107:UYI523174 UOM523107:UOM523174 UEQ523107:UEQ523174 TUU523107:TUU523174 TKY523107:TKY523174 TBC523107:TBC523174 SRG523107:SRG523174 SHK523107:SHK523174 RXO523107:RXO523174 RNS523107:RNS523174 RDW523107:RDW523174 QUA523107:QUA523174 QKE523107:QKE523174 QAI523107:QAI523174 PQM523107:PQM523174 PGQ523107:PGQ523174 OWU523107:OWU523174 OMY523107:OMY523174 ODC523107:ODC523174 NTG523107:NTG523174 NJK523107:NJK523174 MZO523107:MZO523174 MPS523107:MPS523174 MFW523107:MFW523174 LWA523107:LWA523174 LME523107:LME523174 LCI523107:LCI523174 KSM523107:KSM523174 KIQ523107:KIQ523174 JYU523107:JYU523174 JOY523107:JOY523174 JFC523107:JFC523174 IVG523107:IVG523174 ILK523107:ILK523174 IBO523107:IBO523174 HRS523107:HRS523174 HHW523107:HHW523174 GYA523107:GYA523174 GOE523107:GOE523174 GEI523107:GEI523174 FUM523107:FUM523174 FKQ523107:FKQ523174 FAU523107:FAU523174 EQY523107:EQY523174 EHC523107:EHC523174 DXG523107:DXG523174 DNK523107:DNK523174 DDO523107:DDO523174 CTS523107:CTS523174 CJW523107:CJW523174 CAA523107:CAA523174 BQE523107:BQE523174 BGI523107:BGI523174 AWM523107:AWM523174 AMQ523107:AMQ523174 ACU523107:ACU523174 SY523107:SY523174 JC523107:JC523174 G523107:G523174 WVO457571:WVO457638 WLS457571:WLS457638 WBW457571:WBW457638 VSA457571:VSA457638 VIE457571:VIE457638 UYI457571:UYI457638 UOM457571:UOM457638 UEQ457571:UEQ457638 TUU457571:TUU457638 TKY457571:TKY457638 TBC457571:TBC457638 SRG457571:SRG457638 SHK457571:SHK457638 RXO457571:RXO457638 RNS457571:RNS457638 RDW457571:RDW457638 QUA457571:QUA457638 QKE457571:QKE457638 QAI457571:QAI457638 PQM457571:PQM457638 PGQ457571:PGQ457638 OWU457571:OWU457638 OMY457571:OMY457638 ODC457571:ODC457638 NTG457571:NTG457638 NJK457571:NJK457638 MZO457571:MZO457638 MPS457571:MPS457638 MFW457571:MFW457638 LWA457571:LWA457638 LME457571:LME457638 LCI457571:LCI457638 KSM457571:KSM457638 KIQ457571:KIQ457638 JYU457571:JYU457638 JOY457571:JOY457638 JFC457571:JFC457638 IVG457571:IVG457638 ILK457571:ILK457638 IBO457571:IBO457638 HRS457571:HRS457638 HHW457571:HHW457638 GYA457571:GYA457638 GOE457571:GOE457638 GEI457571:GEI457638 FUM457571:FUM457638 FKQ457571:FKQ457638 FAU457571:FAU457638 EQY457571:EQY457638 EHC457571:EHC457638 DXG457571:DXG457638 DNK457571:DNK457638 DDO457571:DDO457638 CTS457571:CTS457638 CJW457571:CJW457638 CAA457571:CAA457638 BQE457571:BQE457638 BGI457571:BGI457638 AWM457571:AWM457638 AMQ457571:AMQ457638 ACU457571:ACU457638 SY457571:SY457638 JC457571:JC457638 G457571:G457638 WVO392035:WVO392102 WLS392035:WLS392102 WBW392035:WBW392102 VSA392035:VSA392102 VIE392035:VIE392102 UYI392035:UYI392102 UOM392035:UOM392102 UEQ392035:UEQ392102 TUU392035:TUU392102 TKY392035:TKY392102 TBC392035:TBC392102 SRG392035:SRG392102 SHK392035:SHK392102 RXO392035:RXO392102 RNS392035:RNS392102 RDW392035:RDW392102 QUA392035:QUA392102 QKE392035:QKE392102 QAI392035:QAI392102 PQM392035:PQM392102 PGQ392035:PGQ392102 OWU392035:OWU392102 OMY392035:OMY392102 ODC392035:ODC392102 NTG392035:NTG392102 NJK392035:NJK392102 MZO392035:MZO392102 MPS392035:MPS392102 MFW392035:MFW392102 LWA392035:LWA392102 LME392035:LME392102 LCI392035:LCI392102 KSM392035:KSM392102 KIQ392035:KIQ392102 JYU392035:JYU392102 JOY392035:JOY392102 JFC392035:JFC392102 IVG392035:IVG392102 ILK392035:ILK392102 IBO392035:IBO392102 HRS392035:HRS392102 HHW392035:HHW392102 GYA392035:GYA392102 GOE392035:GOE392102 GEI392035:GEI392102 FUM392035:FUM392102 FKQ392035:FKQ392102 FAU392035:FAU392102 EQY392035:EQY392102 EHC392035:EHC392102 DXG392035:DXG392102 DNK392035:DNK392102 DDO392035:DDO392102 CTS392035:CTS392102 CJW392035:CJW392102 CAA392035:CAA392102 BQE392035:BQE392102 BGI392035:BGI392102 AWM392035:AWM392102 AMQ392035:AMQ392102 ACU392035:ACU392102 SY392035:SY392102 JC392035:JC392102 G392035:G392102 WVO326499:WVO326566 WLS326499:WLS326566 WBW326499:WBW326566 VSA326499:VSA326566 VIE326499:VIE326566 UYI326499:UYI326566 UOM326499:UOM326566 UEQ326499:UEQ326566 TUU326499:TUU326566 TKY326499:TKY326566 TBC326499:TBC326566 SRG326499:SRG326566 SHK326499:SHK326566 RXO326499:RXO326566 RNS326499:RNS326566 RDW326499:RDW326566 QUA326499:QUA326566 QKE326499:QKE326566 QAI326499:QAI326566 PQM326499:PQM326566 PGQ326499:PGQ326566 OWU326499:OWU326566 OMY326499:OMY326566 ODC326499:ODC326566 NTG326499:NTG326566 NJK326499:NJK326566 MZO326499:MZO326566 MPS326499:MPS326566 MFW326499:MFW326566 LWA326499:LWA326566 LME326499:LME326566 LCI326499:LCI326566 KSM326499:KSM326566 KIQ326499:KIQ326566 JYU326499:JYU326566 JOY326499:JOY326566 JFC326499:JFC326566 IVG326499:IVG326566 ILK326499:ILK326566 IBO326499:IBO326566 HRS326499:HRS326566 HHW326499:HHW326566 GYA326499:GYA326566 GOE326499:GOE326566 GEI326499:GEI326566 FUM326499:FUM326566 FKQ326499:FKQ326566 FAU326499:FAU326566 EQY326499:EQY326566 EHC326499:EHC326566 DXG326499:DXG326566 DNK326499:DNK326566 DDO326499:DDO326566 CTS326499:CTS326566 CJW326499:CJW326566 CAA326499:CAA326566 BQE326499:BQE326566 BGI326499:BGI326566 AWM326499:AWM326566 AMQ326499:AMQ326566 ACU326499:ACU326566 SY326499:SY326566 JC326499:JC326566 G326499:G326566 WVO260963:WVO261030 WLS260963:WLS261030 WBW260963:WBW261030 VSA260963:VSA261030 VIE260963:VIE261030 UYI260963:UYI261030 UOM260963:UOM261030 UEQ260963:UEQ261030 TUU260963:TUU261030 TKY260963:TKY261030 TBC260963:TBC261030 SRG260963:SRG261030 SHK260963:SHK261030 RXO260963:RXO261030 RNS260963:RNS261030 RDW260963:RDW261030 QUA260963:QUA261030 QKE260963:QKE261030 QAI260963:QAI261030 PQM260963:PQM261030 PGQ260963:PGQ261030 OWU260963:OWU261030 OMY260963:OMY261030 ODC260963:ODC261030 NTG260963:NTG261030 NJK260963:NJK261030 MZO260963:MZO261030 MPS260963:MPS261030 MFW260963:MFW261030 LWA260963:LWA261030 LME260963:LME261030 LCI260963:LCI261030 KSM260963:KSM261030 KIQ260963:KIQ261030 JYU260963:JYU261030 JOY260963:JOY261030 JFC260963:JFC261030 IVG260963:IVG261030 ILK260963:ILK261030 IBO260963:IBO261030 HRS260963:HRS261030 HHW260963:HHW261030 GYA260963:GYA261030 GOE260963:GOE261030 GEI260963:GEI261030 FUM260963:FUM261030 FKQ260963:FKQ261030 FAU260963:FAU261030 EQY260963:EQY261030 EHC260963:EHC261030 DXG260963:DXG261030 DNK260963:DNK261030 DDO260963:DDO261030 CTS260963:CTS261030 CJW260963:CJW261030 CAA260963:CAA261030 BQE260963:BQE261030 BGI260963:BGI261030 AWM260963:AWM261030 AMQ260963:AMQ261030 ACU260963:ACU261030 SY260963:SY261030 JC260963:JC261030 G260963:G261030 WVO195427:WVO195494 WLS195427:WLS195494 WBW195427:WBW195494 VSA195427:VSA195494 VIE195427:VIE195494 UYI195427:UYI195494 UOM195427:UOM195494 UEQ195427:UEQ195494 TUU195427:TUU195494 TKY195427:TKY195494 TBC195427:TBC195494 SRG195427:SRG195494 SHK195427:SHK195494 RXO195427:RXO195494 RNS195427:RNS195494 RDW195427:RDW195494 QUA195427:QUA195494 QKE195427:QKE195494 QAI195427:QAI195494 PQM195427:PQM195494 PGQ195427:PGQ195494 OWU195427:OWU195494 OMY195427:OMY195494 ODC195427:ODC195494 NTG195427:NTG195494 NJK195427:NJK195494 MZO195427:MZO195494 MPS195427:MPS195494 MFW195427:MFW195494 LWA195427:LWA195494 LME195427:LME195494 LCI195427:LCI195494 KSM195427:KSM195494 KIQ195427:KIQ195494 JYU195427:JYU195494 JOY195427:JOY195494 JFC195427:JFC195494 IVG195427:IVG195494 ILK195427:ILK195494 IBO195427:IBO195494 HRS195427:HRS195494 HHW195427:HHW195494 GYA195427:GYA195494 GOE195427:GOE195494 GEI195427:GEI195494 FUM195427:FUM195494 FKQ195427:FKQ195494 FAU195427:FAU195494 EQY195427:EQY195494 EHC195427:EHC195494 DXG195427:DXG195494 DNK195427:DNK195494 DDO195427:DDO195494 CTS195427:CTS195494 CJW195427:CJW195494 CAA195427:CAA195494 BQE195427:BQE195494 BGI195427:BGI195494 AWM195427:AWM195494 AMQ195427:AMQ195494 ACU195427:ACU195494 SY195427:SY195494 JC195427:JC195494 G195427:G195494 WVO129891:WVO129958 WLS129891:WLS129958 WBW129891:WBW129958 VSA129891:VSA129958 VIE129891:VIE129958 UYI129891:UYI129958 UOM129891:UOM129958 UEQ129891:UEQ129958 TUU129891:TUU129958 TKY129891:TKY129958 TBC129891:TBC129958 SRG129891:SRG129958 SHK129891:SHK129958 RXO129891:RXO129958 RNS129891:RNS129958 RDW129891:RDW129958 QUA129891:QUA129958 QKE129891:QKE129958 QAI129891:QAI129958 PQM129891:PQM129958 PGQ129891:PGQ129958 OWU129891:OWU129958 OMY129891:OMY129958 ODC129891:ODC129958 NTG129891:NTG129958 NJK129891:NJK129958 MZO129891:MZO129958 MPS129891:MPS129958 MFW129891:MFW129958 LWA129891:LWA129958 LME129891:LME129958 LCI129891:LCI129958 KSM129891:KSM129958 KIQ129891:KIQ129958 JYU129891:JYU129958 JOY129891:JOY129958 JFC129891:JFC129958 IVG129891:IVG129958 ILK129891:ILK129958 IBO129891:IBO129958 HRS129891:HRS129958 HHW129891:HHW129958 GYA129891:GYA129958 GOE129891:GOE129958 GEI129891:GEI129958 FUM129891:FUM129958 FKQ129891:FKQ129958 FAU129891:FAU129958 EQY129891:EQY129958 EHC129891:EHC129958 DXG129891:DXG129958 DNK129891:DNK129958 DDO129891:DDO129958 CTS129891:CTS129958 CJW129891:CJW129958 CAA129891:CAA129958 BQE129891:BQE129958 BGI129891:BGI129958 AWM129891:AWM129958 AMQ129891:AMQ129958 ACU129891:ACU129958 SY129891:SY129958 JC129891:JC129958 G129891:G129958 WVO64355:WVO64422 WLS64355:WLS64422 WBW64355:WBW64422 VSA64355:VSA64422 VIE64355:VIE64422 UYI64355:UYI64422 UOM64355:UOM64422 UEQ64355:UEQ64422 TUU64355:TUU64422 TKY64355:TKY64422 TBC64355:TBC64422 SRG64355:SRG64422 SHK64355:SHK64422 RXO64355:RXO64422 RNS64355:RNS64422 RDW64355:RDW64422 QUA64355:QUA64422 QKE64355:QKE64422 QAI64355:QAI64422 PQM64355:PQM64422 PGQ64355:PGQ64422 OWU64355:OWU64422 OMY64355:OMY64422 ODC64355:ODC64422 NTG64355:NTG64422 NJK64355:NJK64422 MZO64355:MZO64422 MPS64355:MPS64422 MFW64355:MFW64422 LWA64355:LWA64422 LME64355:LME64422 LCI64355:LCI64422 KSM64355:KSM64422 KIQ64355:KIQ64422 JYU64355:JYU64422 JOY64355:JOY64422 JFC64355:JFC64422 IVG64355:IVG64422 ILK64355:ILK64422 IBO64355:IBO64422 HRS64355:HRS64422 HHW64355:HHW64422 GYA64355:GYA64422 GOE64355:GOE64422 GEI64355:GEI64422 FUM64355:FUM64422 FKQ64355:FKQ64422 FAU64355:FAU64422 EQY64355:EQY64422 EHC64355:EHC64422 DXG64355:DXG64422 DNK64355:DNK64422 DDO64355:DDO64422 CTS64355:CTS64422 CJW64355:CJW64422 CAA64355:CAA64422 BQE64355:BQE64422 BGI64355:BGI64422 AWM64355:AWM64422 AMQ64355:AMQ64422 ACU64355:ACU64422 SY64355:SY64422 JC64355:JC64422">
      <formula1>$AJ$2:$AJ$4</formula1>
    </dataValidation>
    <dataValidation type="list" allowBlank="1" showInputMessage="1" showErrorMessage="1" sqref="I64355:I64420 JE64355:JE64420 TA2:TA59 ACW2:ACW59 AMS2:AMS59 AWO2:AWO59 BGK2:BGK59 BQG2:BQG59 CAC2:CAC59 CJY2:CJY59 CTU2:CTU59 DDQ2:DDQ59 DNM2:DNM59 DXI2:DXI59 EHE2:EHE59 ERA2:ERA59 FAW2:FAW59 FKS2:FKS59 FUO2:FUO59 GEK2:GEK59 GOG2:GOG59 GYC2:GYC59 HHY2:HHY59 HRU2:HRU59 IBQ2:IBQ59 ILM2:ILM59 IVI2:IVI59 JFE2:JFE59 JPA2:JPA59 JYW2:JYW59 KIS2:KIS59 KSO2:KSO59 LCK2:LCK59 LMG2:LMG59 LWC2:LWC59 MFY2:MFY59 MPU2:MPU59 MZQ2:MZQ59 NJM2:NJM59 NTI2:NTI59 ODE2:ODE59 ONA2:ONA59 OWW2:OWW59 PGS2:PGS59 PQO2:PQO59 QAK2:QAK59 QKG2:QKG59 QUC2:QUC59 RDY2:RDY59 RNU2:RNU59 RXQ2:RXQ59 SHM2:SHM59 SRI2:SRI59 TBE2:TBE59 TLA2:TLA59 TUW2:TUW59 UES2:UES59 UOO2:UOO59 UYK2:UYK59 VIG2:VIG59 VSC2:VSC59 WBY2:WBY59 WLU2:WLU59 WVQ2:WVQ59 JE2:JE59 WLU983034:WLU983099 WBY983034:WBY983099 VSC983034:VSC983099 VIG983034:VIG983099 UYK983034:UYK983099 UOO983034:UOO983099 UES983034:UES983099 TUW983034:TUW983099 TLA983034:TLA983099 TBE983034:TBE983099 SRI983034:SRI983099 SHM983034:SHM983099 RXQ983034:RXQ983099 RNU983034:RNU983099 RDY983034:RDY983099 QUC983034:QUC983099 QKG983034:QKG983099 QAK983034:QAK983099 PQO983034:PQO983099 PGS983034:PGS983099 OWW983034:OWW983099 ONA983034:ONA983099 ODE983034:ODE983099 NTI983034:NTI983099 NJM983034:NJM983099 MZQ983034:MZQ983099 MPU983034:MPU983099 MFY983034:MFY983099 LWC983034:LWC983099 LMG983034:LMG983099 LCK983034:LCK983099 KSO983034:KSO983099 KIS983034:KIS983099 JYW983034:JYW983099 JPA983034:JPA983099 JFE983034:JFE983099 IVI983034:IVI983099 ILM983034:ILM983099 IBQ983034:IBQ983099 HRU983034:HRU983099 HHY983034:HHY983099 GYC983034:GYC983099 GOG983034:GOG983099 GEK983034:GEK983099 FUO983034:FUO983099 FKS983034:FKS983099 FAW983034:FAW983099 ERA983034:ERA983099 EHE983034:EHE983099 DXI983034:DXI983099 DNM983034:DNM983099 DDQ983034:DDQ983099 CTU983034:CTU983099 CJY983034:CJY983099 CAC983034:CAC983099 BQG983034:BQG983099 BGK983034:BGK983099 AWO983034:AWO983099 AMS983034:AMS983099 ACW983034:ACW983099 TA983034:TA983099 JE983034:JE983099 I983034:I983099 WVQ917498:WVQ917563 WLU917498:WLU917563 WBY917498:WBY917563 VSC917498:VSC917563 VIG917498:VIG917563 UYK917498:UYK917563 UOO917498:UOO917563 UES917498:UES917563 TUW917498:TUW917563 TLA917498:TLA917563 TBE917498:TBE917563 SRI917498:SRI917563 SHM917498:SHM917563 RXQ917498:RXQ917563 RNU917498:RNU917563 RDY917498:RDY917563 QUC917498:QUC917563 QKG917498:QKG917563 QAK917498:QAK917563 PQO917498:PQO917563 PGS917498:PGS917563 OWW917498:OWW917563 ONA917498:ONA917563 ODE917498:ODE917563 NTI917498:NTI917563 NJM917498:NJM917563 MZQ917498:MZQ917563 MPU917498:MPU917563 MFY917498:MFY917563 LWC917498:LWC917563 LMG917498:LMG917563 LCK917498:LCK917563 KSO917498:KSO917563 KIS917498:KIS917563 JYW917498:JYW917563 JPA917498:JPA917563 JFE917498:JFE917563 IVI917498:IVI917563 ILM917498:ILM917563 IBQ917498:IBQ917563 HRU917498:HRU917563 HHY917498:HHY917563 GYC917498:GYC917563 GOG917498:GOG917563 GEK917498:GEK917563 FUO917498:FUO917563 FKS917498:FKS917563 FAW917498:FAW917563 ERA917498:ERA917563 EHE917498:EHE917563 DXI917498:DXI917563 DNM917498:DNM917563 DDQ917498:DDQ917563 CTU917498:CTU917563 CJY917498:CJY917563 CAC917498:CAC917563 BQG917498:BQG917563 BGK917498:BGK917563 AWO917498:AWO917563 AMS917498:AMS917563 ACW917498:ACW917563 TA917498:TA917563 JE917498:JE917563 I917498:I917563 WVQ851962:WVQ852027 WLU851962:WLU852027 WBY851962:WBY852027 VSC851962:VSC852027 VIG851962:VIG852027 UYK851962:UYK852027 UOO851962:UOO852027 UES851962:UES852027 TUW851962:TUW852027 TLA851962:TLA852027 TBE851962:TBE852027 SRI851962:SRI852027 SHM851962:SHM852027 RXQ851962:RXQ852027 RNU851962:RNU852027 RDY851962:RDY852027 QUC851962:QUC852027 QKG851962:QKG852027 QAK851962:QAK852027 PQO851962:PQO852027 PGS851962:PGS852027 OWW851962:OWW852027 ONA851962:ONA852027 ODE851962:ODE852027 NTI851962:NTI852027 NJM851962:NJM852027 MZQ851962:MZQ852027 MPU851962:MPU852027 MFY851962:MFY852027 LWC851962:LWC852027 LMG851962:LMG852027 LCK851962:LCK852027 KSO851962:KSO852027 KIS851962:KIS852027 JYW851962:JYW852027 JPA851962:JPA852027 JFE851962:JFE852027 IVI851962:IVI852027 ILM851962:ILM852027 IBQ851962:IBQ852027 HRU851962:HRU852027 HHY851962:HHY852027 GYC851962:GYC852027 GOG851962:GOG852027 GEK851962:GEK852027 FUO851962:FUO852027 FKS851962:FKS852027 FAW851962:FAW852027 ERA851962:ERA852027 EHE851962:EHE852027 DXI851962:DXI852027 DNM851962:DNM852027 DDQ851962:DDQ852027 CTU851962:CTU852027 CJY851962:CJY852027 CAC851962:CAC852027 BQG851962:BQG852027 BGK851962:BGK852027 AWO851962:AWO852027 AMS851962:AMS852027 ACW851962:ACW852027 TA851962:TA852027 JE851962:JE852027 I851962:I852027 WVQ786426:WVQ786491 WLU786426:WLU786491 WBY786426:WBY786491 VSC786426:VSC786491 VIG786426:VIG786491 UYK786426:UYK786491 UOO786426:UOO786491 UES786426:UES786491 TUW786426:TUW786491 TLA786426:TLA786491 TBE786426:TBE786491 SRI786426:SRI786491 SHM786426:SHM786491 RXQ786426:RXQ786491 RNU786426:RNU786491 RDY786426:RDY786491 QUC786426:QUC786491 QKG786426:QKG786491 QAK786426:QAK786491 PQO786426:PQO786491 PGS786426:PGS786491 OWW786426:OWW786491 ONA786426:ONA786491 ODE786426:ODE786491 NTI786426:NTI786491 NJM786426:NJM786491 MZQ786426:MZQ786491 MPU786426:MPU786491 MFY786426:MFY786491 LWC786426:LWC786491 LMG786426:LMG786491 LCK786426:LCK786491 KSO786426:KSO786491 KIS786426:KIS786491 JYW786426:JYW786491 JPA786426:JPA786491 JFE786426:JFE786491 IVI786426:IVI786491 ILM786426:ILM786491 IBQ786426:IBQ786491 HRU786426:HRU786491 HHY786426:HHY786491 GYC786426:GYC786491 GOG786426:GOG786491 GEK786426:GEK786491 FUO786426:FUO786491 FKS786426:FKS786491 FAW786426:FAW786491 ERA786426:ERA786491 EHE786426:EHE786491 DXI786426:DXI786491 DNM786426:DNM786491 DDQ786426:DDQ786491 CTU786426:CTU786491 CJY786426:CJY786491 CAC786426:CAC786491 BQG786426:BQG786491 BGK786426:BGK786491 AWO786426:AWO786491 AMS786426:AMS786491 ACW786426:ACW786491 TA786426:TA786491 JE786426:JE786491 I786426:I786491 WVQ720890:WVQ720955 WLU720890:WLU720955 WBY720890:WBY720955 VSC720890:VSC720955 VIG720890:VIG720955 UYK720890:UYK720955 UOO720890:UOO720955 UES720890:UES720955 TUW720890:TUW720955 TLA720890:TLA720955 TBE720890:TBE720955 SRI720890:SRI720955 SHM720890:SHM720955 RXQ720890:RXQ720955 RNU720890:RNU720955 RDY720890:RDY720955 QUC720890:QUC720955 QKG720890:QKG720955 QAK720890:QAK720955 PQO720890:PQO720955 PGS720890:PGS720955 OWW720890:OWW720955 ONA720890:ONA720955 ODE720890:ODE720955 NTI720890:NTI720955 NJM720890:NJM720955 MZQ720890:MZQ720955 MPU720890:MPU720955 MFY720890:MFY720955 LWC720890:LWC720955 LMG720890:LMG720955 LCK720890:LCK720955 KSO720890:KSO720955 KIS720890:KIS720955 JYW720890:JYW720955 JPA720890:JPA720955 JFE720890:JFE720955 IVI720890:IVI720955 ILM720890:ILM720955 IBQ720890:IBQ720955 HRU720890:HRU720955 HHY720890:HHY720955 GYC720890:GYC720955 GOG720890:GOG720955 GEK720890:GEK720955 FUO720890:FUO720955 FKS720890:FKS720955 FAW720890:FAW720955 ERA720890:ERA720955 EHE720890:EHE720955 DXI720890:DXI720955 DNM720890:DNM720955 DDQ720890:DDQ720955 CTU720890:CTU720955 CJY720890:CJY720955 CAC720890:CAC720955 BQG720890:BQG720955 BGK720890:BGK720955 AWO720890:AWO720955 AMS720890:AMS720955 ACW720890:ACW720955 TA720890:TA720955 JE720890:JE720955 I720890:I720955 WVQ655354:WVQ655419 WLU655354:WLU655419 WBY655354:WBY655419 VSC655354:VSC655419 VIG655354:VIG655419 UYK655354:UYK655419 UOO655354:UOO655419 UES655354:UES655419 TUW655354:TUW655419 TLA655354:TLA655419 TBE655354:TBE655419 SRI655354:SRI655419 SHM655354:SHM655419 RXQ655354:RXQ655419 RNU655354:RNU655419 RDY655354:RDY655419 QUC655354:QUC655419 QKG655354:QKG655419 QAK655354:QAK655419 PQO655354:PQO655419 PGS655354:PGS655419 OWW655354:OWW655419 ONA655354:ONA655419 ODE655354:ODE655419 NTI655354:NTI655419 NJM655354:NJM655419 MZQ655354:MZQ655419 MPU655354:MPU655419 MFY655354:MFY655419 LWC655354:LWC655419 LMG655354:LMG655419 LCK655354:LCK655419 KSO655354:KSO655419 KIS655354:KIS655419 JYW655354:JYW655419 JPA655354:JPA655419 JFE655354:JFE655419 IVI655354:IVI655419 ILM655354:ILM655419 IBQ655354:IBQ655419 HRU655354:HRU655419 HHY655354:HHY655419 GYC655354:GYC655419 GOG655354:GOG655419 GEK655354:GEK655419 FUO655354:FUO655419 FKS655354:FKS655419 FAW655354:FAW655419 ERA655354:ERA655419 EHE655354:EHE655419 DXI655354:DXI655419 DNM655354:DNM655419 DDQ655354:DDQ655419 CTU655354:CTU655419 CJY655354:CJY655419 CAC655354:CAC655419 BQG655354:BQG655419 BGK655354:BGK655419 AWO655354:AWO655419 AMS655354:AMS655419 ACW655354:ACW655419 TA655354:TA655419 JE655354:JE655419 I655354:I655419 WVQ589818:WVQ589883 WLU589818:WLU589883 WBY589818:WBY589883 VSC589818:VSC589883 VIG589818:VIG589883 UYK589818:UYK589883 UOO589818:UOO589883 UES589818:UES589883 TUW589818:TUW589883 TLA589818:TLA589883 TBE589818:TBE589883 SRI589818:SRI589883 SHM589818:SHM589883 RXQ589818:RXQ589883 RNU589818:RNU589883 RDY589818:RDY589883 QUC589818:QUC589883 QKG589818:QKG589883 QAK589818:QAK589883 PQO589818:PQO589883 PGS589818:PGS589883 OWW589818:OWW589883 ONA589818:ONA589883 ODE589818:ODE589883 NTI589818:NTI589883 NJM589818:NJM589883 MZQ589818:MZQ589883 MPU589818:MPU589883 MFY589818:MFY589883 LWC589818:LWC589883 LMG589818:LMG589883 LCK589818:LCK589883 KSO589818:KSO589883 KIS589818:KIS589883 JYW589818:JYW589883 JPA589818:JPA589883 JFE589818:JFE589883 IVI589818:IVI589883 ILM589818:ILM589883 IBQ589818:IBQ589883 HRU589818:HRU589883 HHY589818:HHY589883 GYC589818:GYC589883 GOG589818:GOG589883 GEK589818:GEK589883 FUO589818:FUO589883 FKS589818:FKS589883 FAW589818:FAW589883 ERA589818:ERA589883 EHE589818:EHE589883 DXI589818:DXI589883 DNM589818:DNM589883 DDQ589818:DDQ589883 CTU589818:CTU589883 CJY589818:CJY589883 CAC589818:CAC589883 BQG589818:BQG589883 BGK589818:BGK589883 AWO589818:AWO589883 AMS589818:AMS589883 ACW589818:ACW589883 TA589818:TA589883 JE589818:JE589883 I589818:I589883 WVQ524282:WVQ524347 WLU524282:WLU524347 WBY524282:WBY524347 VSC524282:VSC524347 VIG524282:VIG524347 UYK524282:UYK524347 UOO524282:UOO524347 UES524282:UES524347 TUW524282:TUW524347 TLA524282:TLA524347 TBE524282:TBE524347 SRI524282:SRI524347 SHM524282:SHM524347 RXQ524282:RXQ524347 RNU524282:RNU524347 RDY524282:RDY524347 QUC524282:QUC524347 QKG524282:QKG524347 QAK524282:QAK524347 PQO524282:PQO524347 PGS524282:PGS524347 OWW524282:OWW524347 ONA524282:ONA524347 ODE524282:ODE524347 NTI524282:NTI524347 NJM524282:NJM524347 MZQ524282:MZQ524347 MPU524282:MPU524347 MFY524282:MFY524347 LWC524282:LWC524347 LMG524282:LMG524347 LCK524282:LCK524347 KSO524282:KSO524347 KIS524282:KIS524347 JYW524282:JYW524347 JPA524282:JPA524347 JFE524282:JFE524347 IVI524282:IVI524347 ILM524282:ILM524347 IBQ524282:IBQ524347 HRU524282:HRU524347 HHY524282:HHY524347 GYC524282:GYC524347 GOG524282:GOG524347 GEK524282:GEK524347 FUO524282:FUO524347 FKS524282:FKS524347 FAW524282:FAW524347 ERA524282:ERA524347 EHE524282:EHE524347 DXI524282:DXI524347 DNM524282:DNM524347 DDQ524282:DDQ524347 CTU524282:CTU524347 CJY524282:CJY524347 CAC524282:CAC524347 BQG524282:BQG524347 BGK524282:BGK524347 AWO524282:AWO524347 AMS524282:AMS524347 ACW524282:ACW524347 TA524282:TA524347 JE524282:JE524347 I524282:I524347 WVQ458746:WVQ458811 WLU458746:WLU458811 WBY458746:WBY458811 VSC458746:VSC458811 VIG458746:VIG458811 UYK458746:UYK458811 UOO458746:UOO458811 UES458746:UES458811 TUW458746:TUW458811 TLA458746:TLA458811 TBE458746:TBE458811 SRI458746:SRI458811 SHM458746:SHM458811 RXQ458746:RXQ458811 RNU458746:RNU458811 RDY458746:RDY458811 QUC458746:QUC458811 QKG458746:QKG458811 QAK458746:QAK458811 PQO458746:PQO458811 PGS458746:PGS458811 OWW458746:OWW458811 ONA458746:ONA458811 ODE458746:ODE458811 NTI458746:NTI458811 NJM458746:NJM458811 MZQ458746:MZQ458811 MPU458746:MPU458811 MFY458746:MFY458811 LWC458746:LWC458811 LMG458746:LMG458811 LCK458746:LCK458811 KSO458746:KSO458811 KIS458746:KIS458811 JYW458746:JYW458811 JPA458746:JPA458811 JFE458746:JFE458811 IVI458746:IVI458811 ILM458746:ILM458811 IBQ458746:IBQ458811 HRU458746:HRU458811 HHY458746:HHY458811 GYC458746:GYC458811 GOG458746:GOG458811 GEK458746:GEK458811 FUO458746:FUO458811 FKS458746:FKS458811 FAW458746:FAW458811 ERA458746:ERA458811 EHE458746:EHE458811 DXI458746:DXI458811 DNM458746:DNM458811 DDQ458746:DDQ458811 CTU458746:CTU458811 CJY458746:CJY458811 CAC458746:CAC458811 BQG458746:BQG458811 BGK458746:BGK458811 AWO458746:AWO458811 AMS458746:AMS458811 ACW458746:ACW458811 TA458746:TA458811 JE458746:JE458811 I458746:I458811 WVQ393210:WVQ393275 WLU393210:WLU393275 WBY393210:WBY393275 VSC393210:VSC393275 VIG393210:VIG393275 UYK393210:UYK393275 UOO393210:UOO393275 UES393210:UES393275 TUW393210:TUW393275 TLA393210:TLA393275 TBE393210:TBE393275 SRI393210:SRI393275 SHM393210:SHM393275 RXQ393210:RXQ393275 RNU393210:RNU393275 RDY393210:RDY393275 QUC393210:QUC393275 QKG393210:QKG393275 QAK393210:QAK393275 PQO393210:PQO393275 PGS393210:PGS393275 OWW393210:OWW393275 ONA393210:ONA393275 ODE393210:ODE393275 NTI393210:NTI393275 NJM393210:NJM393275 MZQ393210:MZQ393275 MPU393210:MPU393275 MFY393210:MFY393275 LWC393210:LWC393275 LMG393210:LMG393275 LCK393210:LCK393275 KSO393210:KSO393275 KIS393210:KIS393275 JYW393210:JYW393275 JPA393210:JPA393275 JFE393210:JFE393275 IVI393210:IVI393275 ILM393210:ILM393275 IBQ393210:IBQ393275 HRU393210:HRU393275 HHY393210:HHY393275 GYC393210:GYC393275 GOG393210:GOG393275 GEK393210:GEK393275 FUO393210:FUO393275 FKS393210:FKS393275 FAW393210:FAW393275 ERA393210:ERA393275 EHE393210:EHE393275 DXI393210:DXI393275 DNM393210:DNM393275 DDQ393210:DDQ393275 CTU393210:CTU393275 CJY393210:CJY393275 CAC393210:CAC393275 BQG393210:BQG393275 BGK393210:BGK393275 AWO393210:AWO393275 AMS393210:AMS393275 ACW393210:ACW393275 TA393210:TA393275 JE393210:JE393275 I393210:I393275 WVQ327674:WVQ327739 WLU327674:WLU327739 WBY327674:WBY327739 VSC327674:VSC327739 VIG327674:VIG327739 UYK327674:UYK327739 UOO327674:UOO327739 UES327674:UES327739 TUW327674:TUW327739 TLA327674:TLA327739 TBE327674:TBE327739 SRI327674:SRI327739 SHM327674:SHM327739 RXQ327674:RXQ327739 RNU327674:RNU327739 RDY327674:RDY327739 QUC327674:QUC327739 QKG327674:QKG327739 QAK327674:QAK327739 PQO327674:PQO327739 PGS327674:PGS327739 OWW327674:OWW327739 ONA327674:ONA327739 ODE327674:ODE327739 NTI327674:NTI327739 NJM327674:NJM327739 MZQ327674:MZQ327739 MPU327674:MPU327739 MFY327674:MFY327739 LWC327674:LWC327739 LMG327674:LMG327739 LCK327674:LCK327739 KSO327674:KSO327739 KIS327674:KIS327739 JYW327674:JYW327739 JPA327674:JPA327739 JFE327674:JFE327739 IVI327674:IVI327739 ILM327674:ILM327739 IBQ327674:IBQ327739 HRU327674:HRU327739 HHY327674:HHY327739 GYC327674:GYC327739 GOG327674:GOG327739 GEK327674:GEK327739 FUO327674:FUO327739 FKS327674:FKS327739 FAW327674:FAW327739 ERA327674:ERA327739 EHE327674:EHE327739 DXI327674:DXI327739 DNM327674:DNM327739 DDQ327674:DDQ327739 CTU327674:CTU327739 CJY327674:CJY327739 CAC327674:CAC327739 BQG327674:BQG327739 BGK327674:BGK327739 AWO327674:AWO327739 AMS327674:AMS327739 ACW327674:ACW327739 TA327674:TA327739 JE327674:JE327739 I327674:I327739 WVQ262138:WVQ262203 WLU262138:WLU262203 WBY262138:WBY262203 VSC262138:VSC262203 VIG262138:VIG262203 UYK262138:UYK262203 UOO262138:UOO262203 UES262138:UES262203 TUW262138:TUW262203 TLA262138:TLA262203 TBE262138:TBE262203 SRI262138:SRI262203 SHM262138:SHM262203 RXQ262138:RXQ262203 RNU262138:RNU262203 RDY262138:RDY262203 QUC262138:QUC262203 QKG262138:QKG262203 QAK262138:QAK262203 PQO262138:PQO262203 PGS262138:PGS262203 OWW262138:OWW262203 ONA262138:ONA262203 ODE262138:ODE262203 NTI262138:NTI262203 NJM262138:NJM262203 MZQ262138:MZQ262203 MPU262138:MPU262203 MFY262138:MFY262203 LWC262138:LWC262203 LMG262138:LMG262203 LCK262138:LCK262203 KSO262138:KSO262203 KIS262138:KIS262203 JYW262138:JYW262203 JPA262138:JPA262203 JFE262138:JFE262203 IVI262138:IVI262203 ILM262138:ILM262203 IBQ262138:IBQ262203 HRU262138:HRU262203 HHY262138:HHY262203 GYC262138:GYC262203 GOG262138:GOG262203 GEK262138:GEK262203 FUO262138:FUO262203 FKS262138:FKS262203 FAW262138:FAW262203 ERA262138:ERA262203 EHE262138:EHE262203 DXI262138:DXI262203 DNM262138:DNM262203 DDQ262138:DDQ262203 CTU262138:CTU262203 CJY262138:CJY262203 CAC262138:CAC262203 BQG262138:BQG262203 BGK262138:BGK262203 AWO262138:AWO262203 AMS262138:AMS262203 ACW262138:ACW262203 TA262138:TA262203 JE262138:JE262203 I262138:I262203 WVQ196602:WVQ196667 WLU196602:WLU196667 WBY196602:WBY196667 VSC196602:VSC196667 VIG196602:VIG196667 UYK196602:UYK196667 UOO196602:UOO196667 UES196602:UES196667 TUW196602:TUW196667 TLA196602:TLA196667 TBE196602:TBE196667 SRI196602:SRI196667 SHM196602:SHM196667 RXQ196602:RXQ196667 RNU196602:RNU196667 RDY196602:RDY196667 QUC196602:QUC196667 QKG196602:QKG196667 QAK196602:QAK196667 PQO196602:PQO196667 PGS196602:PGS196667 OWW196602:OWW196667 ONA196602:ONA196667 ODE196602:ODE196667 NTI196602:NTI196667 NJM196602:NJM196667 MZQ196602:MZQ196667 MPU196602:MPU196667 MFY196602:MFY196667 LWC196602:LWC196667 LMG196602:LMG196667 LCK196602:LCK196667 KSO196602:KSO196667 KIS196602:KIS196667 JYW196602:JYW196667 JPA196602:JPA196667 JFE196602:JFE196667 IVI196602:IVI196667 ILM196602:ILM196667 IBQ196602:IBQ196667 HRU196602:HRU196667 HHY196602:HHY196667 GYC196602:GYC196667 GOG196602:GOG196667 GEK196602:GEK196667 FUO196602:FUO196667 FKS196602:FKS196667 FAW196602:FAW196667 ERA196602:ERA196667 EHE196602:EHE196667 DXI196602:DXI196667 DNM196602:DNM196667 DDQ196602:DDQ196667 CTU196602:CTU196667 CJY196602:CJY196667 CAC196602:CAC196667 BQG196602:BQG196667 BGK196602:BGK196667 AWO196602:AWO196667 AMS196602:AMS196667 ACW196602:ACW196667 TA196602:TA196667 JE196602:JE196667 I196602:I196667 WVQ131066:WVQ131131 WLU131066:WLU131131 WBY131066:WBY131131 VSC131066:VSC131131 VIG131066:VIG131131 UYK131066:UYK131131 UOO131066:UOO131131 UES131066:UES131131 TUW131066:TUW131131 TLA131066:TLA131131 TBE131066:TBE131131 SRI131066:SRI131131 SHM131066:SHM131131 RXQ131066:RXQ131131 RNU131066:RNU131131 RDY131066:RDY131131 QUC131066:QUC131131 QKG131066:QKG131131 QAK131066:QAK131131 PQO131066:PQO131131 PGS131066:PGS131131 OWW131066:OWW131131 ONA131066:ONA131131 ODE131066:ODE131131 NTI131066:NTI131131 NJM131066:NJM131131 MZQ131066:MZQ131131 MPU131066:MPU131131 MFY131066:MFY131131 LWC131066:LWC131131 LMG131066:LMG131131 LCK131066:LCK131131 KSO131066:KSO131131 KIS131066:KIS131131 JYW131066:JYW131131 JPA131066:JPA131131 JFE131066:JFE131131 IVI131066:IVI131131 ILM131066:ILM131131 IBQ131066:IBQ131131 HRU131066:HRU131131 HHY131066:HHY131131 GYC131066:GYC131131 GOG131066:GOG131131 GEK131066:GEK131131 FUO131066:FUO131131 FKS131066:FKS131131 FAW131066:FAW131131 ERA131066:ERA131131 EHE131066:EHE131131 DXI131066:DXI131131 DNM131066:DNM131131 DDQ131066:DDQ131131 CTU131066:CTU131131 CJY131066:CJY131131 CAC131066:CAC131131 BQG131066:BQG131131 BGK131066:BGK131131 AWO131066:AWO131131 AMS131066:AMS131131 ACW131066:ACW131131 TA131066:TA131131 JE131066:JE131131 I131066:I131131 WVQ65530:WVQ65595 WLU65530:WLU65595 WBY65530:WBY65595 VSC65530:VSC65595 VIG65530:VIG65595 UYK65530:UYK65595 UOO65530:UOO65595 UES65530:UES65595 TUW65530:TUW65595 TLA65530:TLA65595 TBE65530:TBE65595 SRI65530:SRI65595 SHM65530:SHM65595 RXQ65530:RXQ65595 RNU65530:RNU65595 RDY65530:RDY65595 QUC65530:QUC65595 QKG65530:QKG65595 QAK65530:QAK65595 PQO65530:PQO65595 PGS65530:PGS65595 OWW65530:OWW65595 ONA65530:ONA65595 ODE65530:ODE65595 NTI65530:NTI65595 NJM65530:NJM65595 MZQ65530:MZQ65595 MPU65530:MPU65595 MFY65530:MFY65595 LWC65530:LWC65595 LMG65530:LMG65595 LCK65530:LCK65595 KSO65530:KSO65595 KIS65530:KIS65595 JYW65530:JYW65595 JPA65530:JPA65595 JFE65530:JFE65595 IVI65530:IVI65595 ILM65530:ILM65595 IBQ65530:IBQ65595 HRU65530:HRU65595 HHY65530:HHY65595 GYC65530:GYC65595 GOG65530:GOG65595 GEK65530:GEK65595 FUO65530:FUO65595 FKS65530:FKS65595 FAW65530:FAW65595 ERA65530:ERA65595 EHE65530:EHE65595 DXI65530:DXI65595 DNM65530:DNM65595 DDQ65530:DDQ65595 CTU65530:CTU65595 CJY65530:CJY65595 CAC65530:CAC65595 BQG65530:BQG65595 BGK65530:BGK65595 AWO65530:AWO65595 AMS65530:AMS65595 ACW65530:ACW65595 TA65530:TA65595 JE65530:JE65595 I65530:I65595 WVQ983034:WVQ983099 WVQ1047395:WVQ1047460 WLU1047395:WLU1047460 WBY1047395:WBY1047460 VSC1047395:VSC1047460 VIG1047395:VIG1047460 UYK1047395:UYK1047460 UOO1047395:UOO1047460 UES1047395:UES1047460 TUW1047395:TUW1047460 TLA1047395:TLA1047460 TBE1047395:TBE1047460 SRI1047395:SRI1047460 SHM1047395:SHM1047460 RXQ1047395:RXQ1047460 RNU1047395:RNU1047460 RDY1047395:RDY1047460 QUC1047395:QUC1047460 QKG1047395:QKG1047460 QAK1047395:QAK1047460 PQO1047395:PQO1047460 PGS1047395:PGS1047460 OWW1047395:OWW1047460 ONA1047395:ONA1047460 ODE1047395:ODE1047460 NTI1047395:NTI1047460 NJM1047395:NJM1047460 MZQ1047395:MZQ1047460 MPU1047395:MPU1047460 MFY1047395:MFY1047460 LWC1047395:LWC1047460 LMG1047395:LMG1047460 LCK1047395:LCK1047460 KSO1047395:KSO1047460 KIS1047395:KIS1047460 JYW1047395:JYW1047460 JPA1047395:JPA1047460 JFE1047395:JFE1047460 IVI1047395:IVI1047460 ILM1047395:ILM1047460 IBQ1047395:IBQ1047460 HRU1047395:HRU1047460 HHY1047395:HHY1047460 GYC1047395:GYC1047460 GOG1047395:GOG1047460 GEK1047395:GEK1047460 FUO1047395:FUO1047460 FKS1047395:FKS1047460 FAW1047395:FAW1047460 ERA1047395:ERA1047460 EHE1047395:EHE1047460 DXI1047395:DXI1047460 DNM1047395:DNM1047460 DDQ1047395:DDQ1047460 CTU1047395:CTU1047460 CJY1047395:CJY1047460 CAC1047395:CAC1047460 BQG1047395:BQG1047460 BGK1047395:BGK1047460 AWO1047395:AWO1047460 AMS1047395:AMS1047460 ACW1047395:ACW1047460 TA1047395:TA1047460 JE1047395:JE1047460 I1047395:I1047460 WVQ981859:WVQ981924 WLU981859:WLU981924 WBY981859:WBY981924 VSC981859:VSC981924 VIG981859:VIG981924 UYK981859:UYK981924 UOO981859:UOO981924 UES981859:UES981924 TUW981859:TUW981924 TLA981859:TLA981924 TBE981859:TBE981924 SRI981859:SRI981924 SHM981859:SHM981924 RXQ981859:RXQ981924 RNU981859:RNU981924 RDY981859:RDY981924 QUC981859:QUC981924 QKG981859:QKG981924 QAK981859:QAK981924 PQO981859:PQO981924 PGS981859:PGS981924 OWW981859:OWW981924 ONA981859:ONA981924 ODE981859:ODE981924 NTI981859:NTI981924 NJM981859:NJM981924 MZQ981859:MZQ981924 MPU981859:MPU981924 MFY981859:MFY981924 LWC981859:LWC981924 LMG981859:LMG981924 LCK981859:LCK981924 KSO981859:KSO981924 KIS981859:KIS981924 JYW981859:JYW981924 JPA981859:JPA981924 JFE981859:JFE981924 IVI981859:IVI981924 ILM981859:ILM981924 IBQ981859:IBQ981924 HRU981859:HRU981924 HHY981859:HHY981924 GYC981859:GYC981924 GOG981859:GOG981924 GEK981859:GEK981924 FUO981859:FUO981924 FKS981859:FKS981924 FAW981859:FAW981924 ERA981859:ERA981924 EHE981859:EHE981924 DXI981859:DXI981924 DNM981859:DNM981924 DDQ981859:DDQ981924 CTU981859:CTU981924 CJY981859:CJY981924 CAC981859:CAC981924 BQG981859:BQG981924 BGK981859:BGK981924 AWO981859:AWO981924 AMS981859:AMS981924 ACW981859:ACW981924 TA981859:TA981924 JE981859:JE981924 I981859:I981924 WVQ916323:WVQ916388 WLU916323:WLU916388 WBY916323:WBY916388 VSC916323:VSC916388 VIG916323:VIG916388 UYK916323:UYK916388 UOO916323:UOO916388 UES916323:UES916388 TUW916323:TUW916388 TLA916323:TLA916388 TBE916323:TBE916388 SRI916323:SRI916388 SHM916323:SHM916388 RXQ916323:RXQ916388 RNU916323:RNU916388 RDY916323:RDY916388 QUC916323:QUC916388 QKG916323:QKG916388 QAK916323:QAK916388 PQO916323:PQO916388 PGS916323:PGS916388 OWW916323:OWW916388 ONA916323:ONA916388 ODE916323:ODE916388 NTI916323:NTI916388 NJM916323:NJM916388 MZQ916323:MZQ916388 MPU916323:MPU916388 MFY916323:MFY916388 LWC916323:LWC916388 LMG916323:LMG916388 LCK916323:LCK916388 KSO916323:KSO916388 KIS916323:KIS916388 JYW916323:JYW916388 JPA916323:JPA916388 JFE916323:JFE916388 IVI916323:IVI916388 ILM916323:ILM916388 IBQ916323:IBQ916388 HRU916323:HRU916388 HHY916323:HHY916388 GYC916323:GYC916388 GOG916323:GOG916388 GEK916323:GEK916388 FUO916323:FUO916388 FKS916323:FKS916388 FAW916323:FAW916388 ERA916323:ERA916388 EHE916323:EHE916388 DXI916323:DXI916388 DNM916323:DNM916388 DDQ916323:DDQ916388 CTU916323:CTU916388 CJY916323:CJY916388 CAC916323:CAC916388 BQG916323:BQG916388 BGK916323:BGK916388 AWO916323:AWO916388 AMS916323:AMS916388 ACW916323:ACW916388 TA916323:TA916388 JE916323:JE916388 I916323:I916388 WVQ850787:WVQ850852 WLU850787:WLU850852 WBY850787:WBY850852 VSC850787:VSC850852 VIG850787:VIG850852 UYK850787:UYK850852 UOO850787:UOO850852 UES850787:UES850852 TUW850787:TUW850852 TLA850787:TLA850852 TBE850787:TBE850852 SRI850787:SRI850852 SHM850787:SHM850852 RXQ850787:RXQ850852 RNU850787:RNU850852 RDY850787:RDY850852 QUC850787:QUC850852 QKG850787:QKG850852 QAK850787:QAK850852 PQO850787:PQO850852 PGS850787:PGS850852 OWW850787:OWW850852 ONA850787:ONA850852 ODE850787:ODE850852 NTI850787:NTI850852 NJM850787:NJM850852 MZQ850787:MZQ850852 MPU850787:MPU850852 MFY850787:MFY850852 LWC850787:LWC850852 LMG850787:LMG850852 LCK850787:LCK850852 KSO850787:KSO850852 KIS850787:KIS850852 JYW850787:JYW850852 JPA850787:JPA850852 JFE850787:JFE850852 IVI850787:IVI850852 ILM850787:ILM850852 IBQ850787:IBQ850852 HRU850787:HRU850852 HHY850787:HHY850852 GYC850787:GYC850852 GOG850787:GOG850852 GEK850787:GEK850852 FUO850787:FUO850852 FKS850787:FKS850852 FAW850787:FAW850852 ERA850787:ERA850852 EHE850787:EHE850852 DXI850787:DXI850852 DNM850787:DNM850852 DDQ850787:DDQ850852 CTU850787:CTU850852 CJY850787:CJY850852 CAC850787:CAC850852 BQG850787:BQG850852 BGK850787:BGK850852 AWO850787:AWO850852 AMS850787:AMS850852 ACW850787:ACW850852 TA850787:TA850852 JE850787:JE850852 I850787:I850852 WVQ785251:WVQ785316 WLU785251:WLU785316 WBY785251:WBY785316 VSC785251:VSC785316 VIG785251:VIG785316 UYK785251:UYK785316 UOO785251:UOO785316 UES785251:UES785316 TUW785251:TUW785316 TLA785251:TLA785316 TBE785251:TBE785316 SRI785251:SRI785316 SHM785251:SHM785316 RXQ785251:RXQ785316 RNU785251:RNU785316 RDY785251:RDY785316 QUC785251:QUC785316 QKG785251:QKG785316 QAK785251:QAK785316 PQO785251:PQO785316 PGS785251:PGS785316 OWW785251:OWW785316 ONA785251:ONA785316 ODE785251:ODE785316 NTI785251:NTI785316 NJM785251:NJM785316 MZQ785251:MZQ785316 MPU785251:MPU785316 MFY785251:MFY785316 LWC785251:LWC785316 LMG785251:LMG785316 LCK785251:LCK785316 KSO785251:KSO785316 KIS785251:KIS785316 JYW785251:JYW785316 JPA785251:JPA785316 JFE785251:JFE785316 IVI785251:IVI785316 ILM785251:ILM785316 IBQ785251:IBQ785316 HRU785251:HRU785316 HHY785251:HHY785316 GYC785251:GYC785316 GOG785251:GOG785316 GEK785251:GEK785316 FUO785251:FUO785316 FKS785251:FKS785316 FAW785251:FAW785316 ERA785251:ERA785316 EHE785251:EHE785316 DXI785251:DXI785316 DNM785251:DNM785316 DDQ785251:DDQ785316 CTU785251:CTU785316 CJY785251:CJY785316 CAC785251:CAC785316 BQG785251:BQG785316 BGK785251:BGK785316 AWO785251:AWO785316 AMS785251:AMS785316 ACW785251:ACW785316 TA785251:TA785316 JE785251:JE785316 I785251:I785316 WVQ719715:WVQ719780 WLU719715:WLU719780 WBY719715:WBY719780 VSC719715:VSC719780 VIG719715:VIG719780 UYK719715:UYK719780 UOO719715:UOO719780 UES719715:UES719780 TUW719715:TUW719780 TLA719715:TLA719780 TBE719715:TBE719780 SRI719715:SRI719780 SHM719715:SHM719780 RXQ719715:RXQ719780 RNU719715:RNU719780 RDY719715:RDY719780 QUC719715:QUC719780 QKG719715:QKG719780 QAK719715:QAK719780 PQO719715:PQO719780 PGS719715:PGS719780 OWW719715:OWW719780 ONA719715:ONA719780 ODE719715:ODE719780 NTI719715:NTI719780 NJM719715:NJM719780 MZQ719715:MZQ719780 MPU719715:MPU719780 MFY719715:MFY719780 LWC719715:LWC719780 LMG719715:LMG719780 LCK719715:LCK719780 KSO719715:KSO719780 KIS719715:KIS719780 JYW719715:JYW719780 JPA719715:JPA719780 JFE719715:JFE719780 IVI719715:IVI719780 ILM719715:ILM719780 IBQ719715:IBQ719780 HRU719715:HRU719780 HHY719715:HHY719780 GYC719715:GYC719780 GOG719715:GOG719780 GEK719715:GEK719780 FUO719715:FUO719780 FKS719715:FKS719780 FAW719715:FAW719780 ERA719715:ERA719780 EHE719715:EHE719780 DXI719715:DXI719780 DNM719715:DNM719780 DDQ719715:DDQ719780 CTU719715:CTU719780 CJY719715:CJY719780 CAC719715:CAC719780 BQG719715:BQG719780 BGK719715:BGK719780 AWO719715:AWO719780 AMS719715:AMS719780 ACW719715:ACW719780 TA719715:TA719780 JE719715:JE719780 I719715:I719780 WVQ654179:WVQ654244 WLU654179:WLU654244 WBY654179:WBY654244 VSC654179:VSC654244 VIG654179:VIG654244 UYK654179:UYK654244 UOO654179:UOO654244 UES654179:UES654244 TUW654179:TUW654244 TLA654179:TLA654244 TBE654179:TBE654244 SRI654179:SRI654244 SHM654179:SHM654244 RXQ654179:RXQ654244 RNU654179:RNU654244 RDY654179:RDY654244 QUC654179:QUC654244 QKG654179:QKG654244 QAK654179:QAK654244 PQO654179:PQO654244 PGS654179:PGS654244 OWW654179:OWW654244 ONA654179:ONA654244 ODE654179:ODE654244 NTI654179:NTI654244 NJM654179:NJM654244 MZQ654179:MZQ654244 MPU654179:MPU654244 MFY654179:MFY654244 LWC654179:LWC654244 LMG654179:LMG654244 LCK654179:LCK654244 KSO654179:KSO654244 KIS654179:KIS654244 JYW654179:JYW654244 JPA654179:JPA654244 JFE654179:JFE654244 IVI654179:IVI654244 ILM654179:ILM654244 IBQ654179:IBQ654244 HRU654179:HRU654244 HHY654179:HHY654244 GYC654179:GYC654244 GOG654179:GOG654244 GEK654179:GEK654244 FUO654179:FUO654244 FKS654179:FKS654244 FAW654179:FAW654244 ERA654179:ERA654244 EHE654179:EHE654244 DXI654179:DXI654244 DNM654179:DNM654244 DDQ654179:DDQ654244 CTU654179:CTU654244 CJY654179:CJY654244 CAC654179:CAC654244 BQG654179:BQG654244 BGK654179:BGK654244 AWO654179:AWO654244 AMS654179:AMS654244 ACW654179:ACW654244 TA654179:TA654244 JE654179:JE654244 I654179:I654244 WVQ588643:WVQ588708 WLU588643:WLU588708 WBY588643:WBY588708 VSC588643:VSC588708 VIG588643:VIG588708 UYK588643:UYK588708 UOO588643:UOO588708 UES588643:UES588708 TUW588643:TUW588708 TLA588643:TLA588708 TBE588643:TBE588708 SRI588643:SRI588708 SHM588643:SHM588708 RXQ588643:RXQ588708 RNU588643:RNU588708 RDY588643:RDY588708 QUC588643:QUC588708 QKG588643:QKG588708 QAK588643:QAK588708 PQO588643:PQO588708 PGS588643:PGS588708 OWW588643:OWW588708 ONA588643:ONA588708 ODE588643:ODE588708 NTI588643:NTI588708 NJM588643:NJM588708 MZQ588643:MZQ588708 MPU588643:MPU588708 MFY588643:MFY588708 LWC588643:LWC588708 LMG588643:LMG588708 LCK588643:LCK588708 KSO588643:KSO588708 KIS588643:KIS588708 JYW588643:JYW588708 JPA588643:JPA588708 JFE588643:JFE588708 IVI588643:IVI588708 ILM588643:ILM588708 IBQ588643:IBQ588708 HRU588643:HRU588708 HHY588643:HHY588708 GYC588643:GYC588708 GOG588643:GOG588708 GEK588643:GEK588708 FUO588643:FUO588708 FKS588643:FKS588708 FAW588643:FAW588708 ERA588643:ERA588708 EHE588643:EHE588708 DXI588643:DXI588708 DNM588643:DNM588708 DDQ588643:DDQ588708 CTU588643:CTU588708 CJY588643:CJY588708 CAC588643:CAC588708 BQG588643:BQG588708 BGK588643:BGK588708 AWO588643:AWO588708 AMS588643:AMS588708 ACW588643:ACW588708 TA588643:TA588708 JE588643:JE588708 I588643:I588708 WVQ523107:WVQ523172 WLU523107:WLU523172 WBY523107:WBY523172 VSC523107:VSC523172 VIG523107:VIG523172 UYK523107:UYK523172 UOO523107:UOO523172 UES523107:UES523172 TUW523107:TUW523172 TLA523107:TLA523172 TBE523107:TBE523172 SRI523107:SRI523172 SHM523107:SHM523172 RXQ523107:RXQ523172 RNU523107:RNU523172 RDY523107:RDY523172 QUC523107:QUC523172 QKG523107:QKG523172 QAK523107:QAK523172 PQO523107:PQO523172 PGS523107:PGS523172 OWW523107:OWW523172 ONA523107:ONA523172 ODE523107:ODE523172 NTI523107:NTI523172 NJM523107:NJM523172 MZQ523107:MZQ523172 MPU523107:MPU523172 MFY523107:MFY523172 LWC523107:LWC523172 LMG523107:LMG523172 LCK523107:LCK523172 KSO523107:KSO523172 KIS523107:KIS523172 JYW523107:JYW523172 JPA523107:JPA523172 JFE523107:JFE523172 IVI523107:IVI523172 ILM523107:ILM523172 IBQ523107:IBQ523172 HRU523107:HRU523172 HHY523107:HHY523172 GYC523107:GYC523172 GOG523107:GOG523172 GEK523107:GEK523172 FUO523107:FUO523172 FKS523107:FKS523172 FAW523107:FAW523172 ERA523107:ERA523172 EHE523107:EHE523172 DXI523107:DXI523172 DNM523107:DNM523172 DDQ523107:DDQ523172 CTU523107:CTU523172 CJY523107:CJY523172 CAC523107:CAC523172 BQG523107:BQG523172 BGK523107:BGK523172 AWO523107:AWO523172 AMS523107:AMS523172 ACW523107:ACW523172 TA523107:TA523172 JE523107:JE523172 I523107:I523172 WVQ457571:WVQ457636 WLU457571:WLU457636 WBY457571:WBY457636 VSC457571:VSC457636 VIG457571:VIG457636 UYK457571:UYK457636 UOO457571:UOO457636 UES457571:UES457636 TUW457571:TUW457636 TLA457571:TLA457636 TBE457571:TBE457636 SRI457571:SRI457636 SHM457571:SHM457636 RXQ457571:RXQ457636 RNU457571:RNU457636 RDY457571:RDY457636 QUC457571:QUC457636 QKG457571:QKG457636 QAK457571:QAK457636 PQO457571:PQO457636 PGS457571:PGS457636 OWW457571:OWW457636 ONA457571:ONA457636 ODE457571:ODE457636 NTI457571:NTI457636 NJM457571:NJM457636 MZQ457571:MZQ457636 MPU457571:MPU457636 MFY457571:MFY457636 LWC457571:LWC457636 LMG457571:LMG457636 LCK457571:LCK457636 KSO457571:KSO457636 KIS457571:KIS457636 JYW457571:JYW457636 JPA457571:JPA457636 JFE457571:JFE457636 IVI457571:IVI457636 ILM457571:ILM457636 IBQ457571:IBQ457636 HRU457571:HRU457636 HHY457571:HHY457636 GYC457571:GYC457636 GOG457571:GOG457636 GEK457571:GEK457636 FUO457571:FUO457636 FKS457571:FKS457636 FAW457571:FAW457636 ERA457571:ERA457636 EHE457571:EHE457636 DXI457571:DXI457636 DNM457571:DNM457636 DDQ457571:DDQ457636 CTU457571:CTU457636 CJY457571:CJY457636 CAC457571:CAC457636 BQG457571:BQG457636 BGK457571:BGK457636 AWO457571:AWO457636 AMS457571:AMS457636 ACW457571:ACW457636 TA457571:TA457636 JE457571:JE457636 I457571:I457636 WVQ392035:WVQ392100 WLU392035:WLU392100 WBY392035:WBY392100 VSC392035:VSC392100 VIG392035:VIG392100 UYK392035:UYK392100 UOO392035:UOO392100 UES392035:UES392100 TUW392035:TUW392100 TLA392035:TLA392100 TBE392035:TBE392100 SRI392035:SRI392100 SHM392035:SHM392100 RXQ392035:RXQ392100 RNU392035:RNU392100 RDY392035:RDY392100 QUC392035:QUC392100 QKG392035:QKG392100 QAK392035:QAK392100 PQO392035:PQO392100 PGS392035:PGS392100 OWW392035:OWW392100 ONA392035:ONA392100 ODE392035:ODE392100 NTI392035:NTI392100 NJM392035:NJM392100 MZQ392035:MZQ392100 MPU392035:MPU392100 MFY392035:MFY392100 LWC392035:LWC392100 LMG392035:LMG392100 LCK392035:LCK392100 KSO392035:KSO392100 KIS392035:KIS392100 JYW392035:JYW392100 JPA392035:JPA392100 JFE392035:JFE392100 IVI392035:IVI392100 ILM392035:ILM392100 IBQ392035:IBQ392100 HRU392035:HRU392100 HHY392035:HHY392100 GYC392035:GYC392100 GOG392035:GOG392100 GEK392035:GEK392100 FUO392035:FUO392100 FKS392035:FKS392100 FAW392035:FAW392100 ERA392035:ERA392100 EHE392035:EHE392100 DXI392035:DXI392100 DNM392035:DNM392100 DDQ392035:DDQ392100 CTU392035:CTU392100 CJY392035:CJY392100 CAC392035:CAC392100 BQG392035:BQG392100 BGK392035:BGK392100 AWO392035:AWO392100 AMS392035:AMS392100 ACW392035:ACW392100 TA392035:TA392100 JE392035:JE392100 I392035:I392100 WVQ326499:WVQ326564 WLU326499:WLU326564 WBY326499:WBY326564 VSC326499:VSC326564 VIG326499:VIG326564 UYK326499:UYK326564 UOO326499:UOO326564 UES326499:UES326564 TUW326499:TUW326564 TLA326499:TLA326564 TBE326499:TBE326564 SRI326499:SRI326564 SHM326499:SHM326564 RXQ326499:RXQ326564 RNU326499:RNU326564 RDY326499:RDY326564 QUC326499:QUC326564 QKG326499:QKG326564 QAK326499:QAK326564 PQO326499:PQO326564 PGS326499:PGS326564 OWW326499:OWW326564 ONA326499:ONA326564 ODE326499:ODE326564 NTI326499:NTI326564 NJM326499:NJM326564 MZQ326499:MZQ326564 MPU326499:MPU326564 MFY326499:MFY326564 LWC326499:LWC326564 LMG326499:LMG326564 LCK326499:LCK326564 KSO326499:KSO326564 KIS326499:KIS326564 JYW326499:JYW326564 JPA326499:JPA326564 JFE326499:JFE326564 IVI326499:IVI326564 ILM326499:ILM326564 IBQ326499:IBQ326564 HRU326499:HRU326564 HHY326499:HHY326564 GYC326499:GYC326564 GOG326499:GOG326564 GEK326499:GEK326564 FUO326499:FUO326564 FKS326499:FKS326564 FAW326499:FAW326564 ERA326499:ERA326564 EHE326499:EHE326564 DXI326499:DXI326564 DNM326499:DNM326564 DDQ326499:DDQ326564 CTU326499:CTU326564 CJY326499:CJY326564 CAC326499:CAC326564 BQG326499:BQG326564 BGK326499:BGK326564 AWO326499:AWO326564 AMS326499:AMS326564 ACW326499:ACW326564 TA326499:TA326564 JE326499:JE326564 I326499:I326564 WVQ260963:WVQ261028 WLU260963:WLU261028 WBY260963:WBY261028 VSC260963:VSC261028 VIG260963:VIG261028 UYK260963:UYK261028 UOO260963:UOO261028 UES260963:UES261028 TUW260963:TUW261028 TLA260963:TLA261028 TBE260963:TBE261028 SRI260963:SRI261028 SHM260963:SHM261028 RXQ260963:RXQ261028 RNU260963:RNU261028 RDY260963:RDY261028 QUC260963:QUC261028 QKG260963:QKG261028 QAK260963:QAK261028 PQO260963:PQO261028 PGS260963:PGS261028 OWW260963:OWW261028 ONA260963:ONA261028 ODE260963:ODE261028 NTI260963:NTI261028 NJM260963:NJM261028 MZQ260963:MZQ261028 MPU260963:MPU261028 MFY260963:MFY261028 LWC260963:LWC261028 LMG260963:LMG261028 LCK260963:LCK261028 KSO260963:KSO261028 KIS260963:KIS261028 JYW260963:JYW261028 JPA260963:JPA261028 JFE260963:JFE261028 IVI260963:IVI261028 ILM260963:ILM261028 IBQ260963:IBQ261028 HRU260963:HRU261028 HHY260963:HHY261028 GYC260963:GYC261028 GOG260963:GOG261028 GEK260963:GEK261028 FUO260963:FUO261028 FKS260963:FKS261028 FAW260963:FAW261028 ERA260963:ERA261028 EHE260963:EHE261028 DXI260963:DXI261028 DNM260963:DNM261028 DDQ260963:DDQ261028 CTU260963:CTU261028 CJY260963:CJY261028 CAC260963:CAC261028 BQG260963:BQG261028 BGK260963:BGK261028 AWO260963:AWO261028 AMS260963:AMS261028 ACW260963:ACW261028 TA260963:TA261028 JE260963:JE261028 I260963:I261028 WVQ195427:WVQ195492 WLU195427:WLU195492 WBY195427:WBY195492 VSC195427:VSC195492 VIG195427:VIG195492 UYK195427:UYK195492 UOO195427:UOO195492 UES195427:UES195492 TUW195427:TUW195492 TLA195427:TLA195492 TBE195427:TBE195492 SRI195427:SRI195492 SHM195427:SHM195492 RXQ195427:RXQ195492 RNU195427:RNU195492 RDY195427:RDY195492 QUC195427:QUC195492 QKG195427:QKG195492 QAK195427:QAK195492 PQO195427:PQO195492 PGS195427:PGS195492 OWW195427:OWW195492 ONA195427:ONA195492 ODE195427:ODE195492 NTI195427:NTI195492 NJM195427:NJM195492 MZQ195427:MZQ195492 MPU195427:MPU195492 MFY195427:MFY195492 LWC195427:LWC195492 LMG195427:LMG195492 LCK195427:LCK195492 KSO195427:KSO195492 KIS195427:KIS195492 JYW195427:JYW195492 JPA195427:JPA195492 JFE195427:JFE195492 IVI195427:IVI195492 ILM195427:ILM195492 IBQ195427:IBQ195492 HRU195427:HRU195492 HHY195427:HHY195492 GYC195427:GYC195492 GOG195427:GOG195492 GEK195427:GEK195492 FUO195427:FUO195492 FKS195427:FKS195492 FAW195427:FAW195492 ERA195427:ERA195492 EHE195427:EHE195492 DXI195427:DXI195492 DNM195427:DNM195492 DDQ195427:DDQ195492 CTU195427:CTU195492 CJY195427:CJY195492 CAC195427:CAC195492 BQG195427:BQG195492 BGK195427:BGK195492 AWO195427:AWO195492 AMS195427:AMS195492 ACW195427:ACW195492 TA195427:TA195492 JE195427:JE195492 I195427:I195492 WVQ129891:WVQ129956 WLU129891:WLU129956 WBY129891:WBY129956 VSC129891:VSC129956 VIG129891:VIG129956 UYK129891:UYK129956 UOO129891:UOO129956 UES129891:UES129956 TUW129891:TUW129956 TLA129891:TLA129956 TBE129891:TBE129956 SRI129891:SRI129956 SHM129891:SHM129956 RXQ129891:RXQ129956 RNU129891:RNU129956 RDY129891:RDY129956 QUC129891:QUC129956 QKG129891:QKG129956 QAK129891:QAK129956 PQO129891:PQO129956 PGS129891:PGS129956 OWW129891:OWW129956 ONA129891:ONA129956 ODE129891:ODE129956 NTI129891:NTI129956 NJM129891:NJM129956 MZQ129891:MZQ129956 MPU129891:MPU129956 MFY129891:MFY129956 LWC129891:LWC129956 LMG129891:LMG129956 LCK129891:LCK129956 KSO129891:KSO129956 KIS129891:KIS129956 JYW129891:JYW129956 JPA129891:JPA129956 JFE129891:JFE129956 IVI129891:IVI129956 ILM129891:ILM129956 IBQ129891:IBQ129956 HRU129891:HRU129956 HHY129891:HHY129956 GYC129891:GYC129956 GOG129891:GOG129956 GEK129891:GEK129956 FUO129891:FUO129956 FKS129891:FKS129956 FAW129891:FAW129956 ERA129891:ERA129956 EHE129891:EHE129956 DXI129891:DXI129956 DNM129891:DNM129956 DDQ129891:DDQ129956 CTU129891:CTU129956 CJY129891:CJY129956 CAC129891:CAC129956 BQG129891:BQG129956 BGK129891:BGK129956 AWO129891:AWO129956 AMS129891:AMS129956 ACW129891:ACW129956 TA129891:TA129956 JE129891:JE129956 I129891:I129956 WVQ64355:WVQ64420 WLU64355:WLU64420 WBY64355:WBY64420 VSC64355:VSC64420 VIG64355:VIG64420 UYK64355:UYK64420 UOO64355:UOO64420 UES64355:UES64420 TUW64355:TUW64420 TLA64355:TLA64420 TBE64355:TBE64420 SRI64355:SRI64420 SHM64355:SHM64420 RXQ64355:RXQ64420 RNU64355:RNU64420 RDY64355:RDY64420 QUC64355:QUC64420 QKG64355:QKG64420 QAK64355:QAK64420 PQO64355:PQO64420 PGS64355:PGS64420 OWW64355:OWW64420 ONA64355:ONA64420 ODE64355:ODE64420 NTI64355:NTI64420 NJM64355:NJM64420 MZQ64355:MZQ64420 MPU64355:MPU64420 MFY64355:MFY64420 LWC64355:LWC64420 LMG64355:LMG64420 LCK64355:LCK64420 KSO64355:KSO64420 KIS64355:KIS64420 JYW64355:JYW64420 JPA64355:JPA64420 JFE64355:JFE64420 IVI64355:IVI64420 ILM64355:ILM64420 IBQ64355:IBQ64420 HRU64355:HRU64420 HHY64355:HHY64420 GYC64355:GYC64420 GOG64355:GOG64420 GEK64355:GEK64420 FUO64355:FUO64420 FKS64355:FKS64420 FAW64355:FAW64420 ERA64355:ERA64420 EHE64355:EHE64420 DXI64355:DXI64420 DNM64355:DNM64420 DDQ64355:DDQ64420 CTU64355:CTU64420 CJY64355:CJY64420 CAC64355:CAC64420 BQG64355:BQG64420 BGK64355:BGK64420 AWO64355:AWO64420 AMS64355:AMS64420 ACW64355:ACW64420 TA64355:TA64420 I2:I492">
      <formula1>$AN$5:$AN$6</formula1>
    </dataValidation>
    <dataValidation type="list" allowBlank="1" showInputMessage="1" showErrorMessage="1" sqref="J64355:J64420 WVR1047395:WVR1047460 WLV1047395:WLV1047460 WBZ1047395:WBZ1047460 VSD1047395:VSD1047460 VIH1047395:VIH1047460 UYL1047395:UYL1047460 UOP1047395:UOP1047460 UET1047395:UET1047460 TUX1047395:TUX1047460 TLB1047395:TLB1047460 TBF1047395:TBF1047460 SRJ1047395:SRJ1047460 SHN1047395:SHN1047460 RXR1047395:RXR1047460 RNV1047395:RNV1047460 RDZ1047395:RDZ1047460 QUD1047395:QUD1047460 QKH1047395:QKH1047460 QAL1047395:QAL1047460 PQP1047395:PQP1047460 PGT1047395:PGT1047460 OWX1047395:OWX1047460 ONB1047395:ONB1047460 ODF1047395:ODF1047460 NTJ1047395:NTJ1047460 NJN1047395:NJN1047460 MZR1047395:MZR1047460 MPV1047395:MPV1047460 MFZ1047395:MFZ1047460 LWD1047395:LWD1047460 LMH1047395:LMH1047460 LCL1047395:LCL1047460 KSP1047395:KSP1047460 KIT1047395:KIT1047460 JYX1047395:JYX1047460 JPB1047395:JPB1047460 JFF1047395:JFF1047460 IVJ1047395:IVJ1047460 ILN1047395:ILN1047460 IBR1047395:IBR1047460 HRV1047395:HRV1047460 HHZ1047395:HHZ1047460 GYD1047395:GYD1047460 GOH1047395:GOH1047460 GEL1047395:GEL1047460 FUP1047395:FUP1047460 FKT1047395:FKT1047460 FAX1047395:FAX1047460 ERB1047395:ERB1047460 EHF1047395:EHF1047460 DXJ1047395:DXJ1047460 DNN1047395:DNN1047460 DDR1047395:DDR1047460 CTV1047395:CTV1047460 CJZ1047395:CJZ1047460 CAD1047395:CAD1047460 BQH1047395:BQH1047460 BGL1047395:BGL1047460 AWP1047395:AWP1047460 AMT1047395:AMT1047460 ACX1047395:ACX1047460 TB1047395:TB1047460 JF1047395:JF1047460 J1047395:J1047460 WVR981859:WVR981924 WLV981859:WLV981924 WBZ981859:WBZ981924 VSD981859:VSD981924 VIH981859:VIH981924 UYL981859:UYL981924 UOP981859:UOP981924 UET981859:UET981924 TUX981859:TUX981924 TLB981859:TLB981924 TBF981859:TBF981924 SRJ981859:SRJ981924 SHN981859:SHN981924 RXR981859:RXR981924 RNV981859:RNV981924 RDZ981859:RDZ981924 QUD981859:QUD981924 QKH981859:QKH981924 QAL981859:QAL981924 PQP981859:PQP981924 PGT981859:PGT981924 OWX981859:OWX981924 ONB981859:ONB981924 ODF981859:ODF981924 NTJ981859:NTJ981924 NJN981859:NJN981924 MZR981859:MZR981924 MPV981859:MPV981924 MFZ981859:MFZ981924 LWD981859:LWD981924 LMH981859:LMH981924 LCL981859:LCL981924 KSP981859:KSP981924 KIT981859:KIT981924 JYX981859:JYX981924 JPB981859:JPB981924 JFF981859:JFF981924 IVJ981859:IVJ981924 ILN981859:ILN981924 IBR981859:IBR981924 HRV981859:HRV981924 HHZ981859:HHZ981924 GYD981859:GYD981924 GOH981859:GOH981924 GEL981859:GEL981924 FUP981859:FUP981924 FKT981859:FKT981924 FAX981859:FAX981924 ERB981859:ERB981924 EHF981859:EHF981924 DXJ981859:DXJ981924 DNN981859:DNN981924 DDR981859:DDR981924 CTV981859:CTV981924 CJZ981859:CJZ981924 CAD981859:CAD981924 BQH981859:BQH981924 BGL981859:BGL981924 AWP981859:AWP981924 AMT981859:AMT981924 ACX981859:ACX981924 TB981859:TB981924 JF981859:JF981924 J981859:J981924 WVR916323:WVR916388 WLV916323:WLV916388 WBZ916323:WBZ916388 VSD916323:VSD916388 VIH916323:VIH916388 UYL916323:UYL916388 UOP916323:UOP916388 UET916323:UET916388 TUX916323:TUX916388 TLB916323:TLB916388 TBF916323:TBF916388 SRJ916323:SRJ916388 SHN916323:SHN916388 RXR916323:RXR916388 RNV916323:RNV916388 RDZ916323:RDZ916388 QUD916323:QUD916388 QKH916323:QKH916388 QAL916323:QAL916388 PQP916323:PQP916388 PGT916323:PGT916388 OWX916323:OWX916388 ONB916323:ONB916388 ODF916323:ODF916388 NTJ916323:NTJ916388 NJN916323:NJN916388 MZR916323:MZR916388 MPV916323:MPV916388 MFZ916323:MFZ916388 LWD916323:LWD916388 LMH916323:LMH916388 LCL916323:LCL916388 KSP916323:KSP916388 KIT916323:KIT916388 JYX916323:JYX916388 JPB916323:JPB916388 JFF916323:JFF916388 IVJ916323:IVJ916388 ILN916323:ILN916388 IBR916323:IBR916388 HRV916323:HRV916388 HHZ916323:HHZ916388 GYD916323:GYD916388 GOH916323:GOH916388 GEL916323:GEL916388 FUP916323:FUP916388 FKT916323:FKT916388 FAX916323:FAX916388 ERB916323:ERB916388 EHF916323:EHF916388 DXJ916323:DXJ916388 DNN916323:DNN916388 DDR916323:DDR916388 CTV916323:CTV916388 CJZ916323:CJZ916388 CAD916323:CAD916388 BQH916323:BQH916388 BGL916323:BGL916388 AWP916323:AWP916388 AMT916323:AMT916388 ACX916323:ACX916388 TB916323:TB916388 JF916323:JF916388 J916323:J916388 WVR850787:WVR850852 WLV850787:WLV850852 WBZ850787:WBZ850852 VSD850787:VSD850852 VIH850787:VIH850852 UYL850787:UYL850852 UOP850787:UOP850852 UET850787:UET850852 TUX850787:TUX850852 TLB850787:TLB850852 TBF850787:TBF850852 SRJ850787:SRJ850852 SHN850787:SHN850852 RXR850787:RXR850852 RNV850787:RNV850852 RDZ850787:RDZ850852 QUD850787:QUD850852 QKH850787:QKH850852 QAL850787:QAL850852 PQP850787:PQP850852 PGT850787:PGT850852 OWX850787:OWX850852 ONB850787:ONB850852 ODF850787:ODF850852 NTJ850787:NTJ850852 NJN850787:NJN850852 MZR850787:MZR850852 MPV850787:MPV850852 MFZ850787:MFZ850852 LWD850787:LWD850852 LMH850787:LMH850852 LCL850787:LCL850852 KSP850787:KSP850852 KIT850787:KIT850852 JYX850787:JYX850852 JPB850787:JPB850852 JFF850787:JFF850852 IVJ850787:IVJ850852 ILN850787:ILN850852 IBR850787:IBR850852 HRV850787:HRV850852 HHZ850787:HHZ850852 GYD850787:GYD850852 GOH850787:GOH850852 GEL850787:GEL850852 FUP850787:FUP850852 FKT850787:FKT850852 FAX850787:FAX850852 ERB850787:ERB850852 EHF850787:EHF850852 DXJ850787:DXJ850852 DNN850787:DNN850852 DDR850787:DDR850852 CTV850787:CTV850852 CJZ850787:CJZ850852 CAD850787:CAD850852 BQH850787:BQH850852 BGL850787:BGL850852 AWP850787:AWP850852 AMT850787:AMT850852 ACX850787:ACX850852 TB850787:TB850852 JF850787:JF850852 J850787:J850852 WVR785251:WVR785316 WLV785251:WLV785316 WBZ785251:WBZ785316 VSD785251:VSD785316 VIH785251:VIH785316 UYL785251:UYL785316 UOP785251:UOP785316 UET785251:UET785316 TUX785251:TUX785316 TLB785251:TLB785316 TBF785251:TBF785316 SRJ785251:SRJ785316 SHN785251:SHN785316 RXR785251:RXR785316 RNV785251:RNV785316 RDZ785251:RDZ785316 QUD785251:QUD785316 QKH785251:QKH785316 QAL785251:QAL785316 PQP785251:PQP785316 PGT785251:PGT785316 OWX785251:OWX785316 ONB785251:ONB785316 ODF785251:ODF785316 NTJ785251:NTJ785316 NJN785251:NJN785316 MZR785251:MZR785316 MPV785251:MPV785316 MFZ785251:MFZ785316 LWD785251:LWD785316 LMH785251:LMH785316 LCL785251:LCL785316 KSP785251:KSP785316 KIT785251:KIT785316 JYX785251:JYX785316 JPB785251:JPB785316 JFF785251:JFF785316 IVJ785251:IVJ785316 ILN785251:ILN785316 IBR785251:IBR785316 HRV785251:HRV785316 HHZ785251:HHZ785316 GYD785251:GYD785316 GOH785251:GOH785316 GEL785251:GEL785316 FUP785251:FUP785316 FKT785251:FKT785316 FAX785251:FAX785316 ERB785251:ERB785316 EHF785251:EHF785316 DXJ785251:DXJ785316 DNN785251:DNN785316 DDR785251:DDR785316 CTV785251:CTV785316 CJZ785251:CJZ785316 CAD785251:CAD785316 BQH785251:BQH785316 BGL785251:BGL785316 AWP785251:AWP785316 AMT785251:AMT785316 ACX785251:ACX785316 TB785251:TB785316 JF785251:JF785316 J785251:J785316 WVR719715:WVR719780 WLV719715:WLV719780 WBZ719715:WBZ719780 VSD719715:VSD719780 VIH719715:VIH719780 UYL719715:UYL719780 UOP719715:UOP719780 UET719715:UET719780 TUX719715:TUX719780 TLB719715:TLB719780 TBF719715:TBF719780 SRJ719715:SRJ719780 SHN719715:SHN719780 RXR719715:RXR719780 RNV719715:RNV719780 RDZ719715:RDZ719780 QUD719715:QUD719780 QKH719715:QKH719780 QAL719715:QAL719780 PQP719715:PQP719780 PGT719715:PGT719780 OWX719715:OWX719780 ONB719715:ONB719780 ODF719715:ODF719780 NTJ719715:NTJ719780 NJN719715:NJN719780 MZR719715:MZR719780 MPV719715:MPV719780 MFZ719715:MFZ719780 LWD719715:LWD719780 LMH719715:LMH719780 LCL719715:LCL719780 KSP719715:KSP719780 KIT719715:KIT719780 JYX719715:JYX719780 JPB719715:JPB719780 JFF719715:JFF719780 IVJ719715:IVJ719780 ILN719715:ILN719780 IBR719715:IBR719780 HRV719715:HRV719780 HHZ719715:HHZ719780 GYD719715:GYD719780 GOH719715:GOH719780 GEL719715:GEL719780 FUP719715:FUP719780 FKT719715:FKT719780 FAX719715:FAX719780 ERB719715:ERB719780 EHF719715:EHF719780 DXJ719715:DXJ719780 DNN719715:DNN719780 DDR719715:DDR719780 CTV719715:CTV719780 CJZ719715:CJZ719780 CAD719715:CAD719780 BQH719715:BQH719780 BGL719715:BGL719780 AWP719715:AWP719780 AMT719715:AMT719780 ACX719715:ACX719780 TB719715:TB719780 JF719715:JF719780 J719715:J719780 WVR654179:WVR654244 WLV654179:WLV654244 WBZ654179:WBZ654244 VSD654179:VSD654244 VIH654179:VIH654244 UYL654179:UYL654244 UOP654179:UOP654244 UET654179:UET654244 TUX654179:TUX654244 TLB654179:TLB654244 TBF654179:TBF654244 SRJ654179:SRJ654244 SHN654179:SHN654244 RXR654179:RXR654244 RNV654179:RNV654244 RDZ654179:RDZ654244 QUD654179:QUD654244 QKH654179:QKH654244 QAL654179:QAL654244 PQP654179:PQP654244 PGT654179:PGT654244 OWX654179:OWX654244 ONB654179:ONB654244 ODF654179:ODF654244 NTJ654179:NTJ654244 NJN654179:NJN654244 MZR654179:MZR654244 MPV654179:MPV654244 MFZ654179:MFZ654244 LWD654179:LWD654244 LMH654179:LMH654244 LCL654179:LCL654244 KSP654179:KSP654244 KIT654179:KIT654244 JYX654179:JYX654244 JPB654179:JPB654244 JFF654179:JFF654244 IVJ654179:IVJ654244 ILN654179:ILN654244 IBR654179:IBR654244 HRV654179:HRV654244 HHZ654179:HHZ654244 GYD654179:GYD654244 GOH654179:GOH654244 GEL654179:GEL654244 FUP654179:FUP654244 FKT654179:FKT654244 FAX654179:FAX654244 ERB654179:ERB654244 EHF654179:EHF654244 DXJ654179:DXJ654244 DNN654179:DNN654244 DDR654179:DDR654244 CTV654179:CTV654244 CJZ654179:CJZ654244 CAD654179:CAD654244 BQH654179:BQH654244 BGL654179:BGL654244 AWP654179:AWP654244 AMT654179:AMT654244 ACX654179:ACX654244 TB654179:TB654244 JF654179:JF654244 J654179:J654244 WVR588643:WVR588708 WLV588643:WLV588708 WBZ588643:WBZ588708 VSD588643:VSD588708 VIH588643:VIH588708 UYL588643:UYL588708 UOP588643:UOP588708 UET588643:UET588708 TUX588643:TUX588708 TLB588643:TLB588708 TBF588643:TBF588708 SRJ588643:SRJ588708 SHN588643:SHN588708 RXR588643:RXR588708 RNV588643:RNV588708 RDZ588643:RDZ588708 QUD588643:QUD588708 QKH588643:QKH588708 QAL588643:QAL588708 PQP588643:PQP588708 PGT588643:PGT588708 OWX588643:OWX588708 ONB588643:ONB588708 ODF588643:ODF588708 NTJ588643:NTJ588708 NJN588643:NJN588708 MZR588643:MZR588708 MPV588643:MPV588708 MFZ588643:MFZ588708 LWD588643:LWD588708 LMH588643:LMH588708 LCL588643:LCL588708 KSP588643:KSP588708 KIT588643:KIT588708 JYX588643:JYX588708 JPB588643:JPB588708 JFF588643:JFF588708 IVJ588643:IVJ588708 ILN588643:ILN588708 IBR588643:IBR588708 HRV588643:HRV588708 HHZ588643:HHZ588708 GYD588643:GYD588708 GOH588643:GOH588708 GEL588643:GEL588708 FUP588643:FUP588708 FKT588643:FKT588708 FAX588643:FAX588708 ERB588643:ERB588708 EHF588643:EHF588708 DXJ588643:DXJ588708 DNN588643:DNN588708 DDR588643:DDR588708 CTV588643:CTV588708 CJZ588643:CJZ588708 CAD588643:CAD588708 BQH588643:BQH588708 BGL588643:BGL588708 AWP588643:AWP588708 AMT588643:AMT588708 ACX588643:ACX588708 TB588643:TB588708 JF588643:JF588708 J588643:J588708 WVR523107:WVR523172 WLV523107:WLV523172 WBZ523107:WBZ523172 VSD523107:VSD523172 VIH523107:VIH523172 UYL523107:UYL523172 UOP523107:UOP523172 UET523107:UET523172 TUX523107:TUX523172 TLB523107:TLB523172 TBF523107:TBF523172 SRJ523107:SRJ523172 SHN523107:SHN523172 RXR523107:RXR523172 RNV523107:RNV523172 RDZ523107:RDZ523172 QUD523107:QUD523172 QKH523107:QKH523172 QAL523107:QAL523172 PQP523107:PQP523172 PGT523107:PGT523172 OWX523107:OWX523172 ONB523107:ONB523172 ODF523107:ODF523172 NTJ523107:NTJ523172 NJN523107:NJN523172 MZR523107:MZR523172 MPV523107:MPV523172 MFZ523107:MFZ523172 LWD523107:LWD523172 LMH523107:LMH523172 LCL523107:LCL523172 KSP523107:KSP523172 KIT523107:KIT523172 JYX523107:JYX523172 JPB523107:JPB523172 JFF523107:JFF523172 IVJ523107:IVJ523172 ILN523107:ILN523172 IBR523107:IBR523172 HRV523107:HRV523172 HHZ523107:HHZ523172 GYD523107:GYD523172 GOH523107:GOH523172 GEL523107:GEL523172 FUP523107:FUP523172 FKT523107:FKT523172 FAX523107:FAX523172 ERB523107:ERB523172 EHF523107:EHF523172 DXJ523107:DXJ523172 DNN523107:DNN523172 DDR523107:DDR523172 CTV523107:CTV523172 CJZ523107:CJZ523172 CAD523107:CAD523172 BQH523107:BQH523172 BGL523107:BGL523172 AWP523107:AWP523172 AMT523107:AMT523172 ACX523107:ACX523172 TB523107:TB523172 JF523107:JF523172 J523107:J523172 WVR457571:WVR457636 WLV457571:WLV457636 WBZ457571:WBZ457636 VSD457571:VSD457636 VIH457571:VIH457636 UYL457571:UYL457636 UOP457571:UOP457636 UET457571:UET457636 TUX457571:TUX457636 TLB457571:TLB457636 TBF457571:TBF457636 SRJ457571:SRJ457636 SHN457571:SHN457636 RXR457571:RXR457636 RNV457571:RNV457636 RDZ457571:RDZ457636 QUD457571:QUD457636 QKH457571:QKH457636 QAL457571:QAL457636 PQP457571:PQP457636 PGT457571:PGT457636 OWX457571:OWX457636 ONB457571:ONB457636 ODF457571:ODF457636 NTJ457571:NTJ457636 NJN457571:NJN457636 MZR457571:MZR457636 MPV457571:MPV457636 MFZ457571:MFZ457636 LWD457571:LWD457636 LMH457571:LMH457636 LCL457571:LCL457636 KSP457571:KSP457636 KIT457571:KIT457636 JYX457571:JYX457636 JPB457571:JPB457636 JFF457571:JFF457636 IVJ457571:IVJ457636 ILN457571:ILN457636 IBR457571:IBR457636 HRV457571:HRV457636 HHZ457571:HHZ457636 GYD457571:GYD457636 GOH457571:GOH457636 GEL457571:GEL457636 FUP457571:FUP457636 FKT457571:FKT457636 FAX457571:FAX457636 ERB457571:ERB457636 EHF457571:EHF457636 DXJ457571:DXJ457636 DNN457571:DNN457636 DDR457571:DDR457636 CTV457571:CTV457636 CJZ457571:CJZ457636 CAD457571:CAD457636 BQH457571:BQH457636 BGL457571:BGL457636 AWP457571:AWP457636 AMT457571:AMT457636 ACX457571:ACX457636 TB457571:TB457636 JF457571:JF457636 J457571:J457636 WVR392035:WVR392100 WLV392035:WLV392100 WBZ392035:WBZ392100 VSD392035:VSD392100 VIH392035:VIH392100 UYL392035:UYL392100 UOP392035:UOP392100 UET392035:UET392100 TUX392035:TUX392100 TLB392035:TLB392100 TBF392035:TBF392100 SRJ392035:SRJ392100 SHN392035:SHN392100 RXR392035:RXR392100 RNV392035:RNV392100 RDZ392035:RDZ392100 QUD392035:QUD392100 QKH392035:QKH392100 QAL392035:QAL392100 PQP392035:PQP392100 PGT392035:PGT392100 OWX392035:OWX392100 ONB392035:ONB392100 ODF392035:ODF392100 NTJ392035:NTJ392100 NJN392035:NJN392100 MZR392035:MZR392100 MPV392035:MPV392100 MFZ392035:MFZ392100 LWD392035:LWD392100 LMH392035:LMH392100 LCL392035:LCL392100 KSP392035:KSP392100 KIT392035:KIT392100 JYX392035:JYX392100 JPB392035:JPB392100 JFF392035:JFF392100 IVJ392035:IVJ392100 ILN392035:ILN392100 IBR392035:IBR392100 HRV392035:HRV392100 HHZ392035:HHZ392100 GYD392035:GYD392100 GOH392035:GOH392100 GEL392035:GEL392100 FUP392035:FUP392100 FKT392035:FKT392100 FAX392035:FAX392100 ERB392035:ERB392100 EHF392035:EHF392100 DXJ392035:DXJ392100 DNN392035:DNN392100 DDR392035:DDR392100 CTV392035:CTV392100 CJZ392035:CJZ392100 CAD392035:CAD392100 BQH392035:BQH392100 BGL392035:BGL392100 AWP392035:AWP392100 AMT392035:AMT392100 ACX392035:ACX392100 TB392035:TB392100 JF392035:JF392100 J392035:J392100 WVR326499:WVR326564 WLV326499:WLV326564 WBZ326499:WBZ326564 VSD326499:VSD326564 VIH326499:VIH326564 UYL326499:UYL326564 UOP326499:UOP326564 UET326499:UET326564 TUX326499:TUX326564 TLB326499:TLB326564 TBF326499:TBF326564 SRJ326499:SRJ326564 SHN326499:SHN326564 RXR326499:RXR326564 RNV326499:RNV326564 RDZ326499:RDZ326564 QUD326499:QUD326564 QKH326499:QKH326564 QAL326499:QAL326564 PQP326499:PQP326564 PGT326499:PGT326564 OWX326499:OWX326564 ONB326499:ONB326564 ODF326499:ODF326564 NTJ326499:NTJ326564 NJN326499:NJN326564 MZR326499:MZR326564 MPV326499:MPV326564 MFZ326499:MFZ326564 LWD326499:LWD326564 LMH326499:LMH326564 LCL326499:LCL326564 KSP326499:KSP326564 KIT326499:KIT326564 JYX326499:JYX326564 JPB326499:JPB326564 JFF326499:JFF326564 IVJ326499:IVJ326564 ILN326499:ILN326564 IBR326499:IBR326564 HRV326499:HRV326564 HHZ326499:HHZ326564 GYD326499:GYD326564 GOH326499:GOH326564 GEL326499:GEL326564 FUP326499:FUP326564 FKT326499:FKT326564 FAX326499:FAX326564 ERB326499:ERB326564 EHF326499:EHF326564 DXJ326499:DXJ326564 DNN326499:DNN326564 DDR326499:DDR326564 CTV326499:CTV326564 CJZ326499:CJZ326564 CAD326499:CAD326564 BQH326499:BQH326564 BGL326499:BGL326564 AWP326499:AWP326564 AMT326499:AMT326564 ACX326499:ACX326564 TB326499:TB326564 JF326499:JF326564 J326499:J326564 WVR260963:WVR261028 WLV260963:WLV261028 WBZ260963:WBZ261028 VSD260963:VSD261028 VIH260963:VIH261028 UYL260963:UYL261028 UOP260963:UOP261028 UET260963:UET261028 TUX260963:TUX261028 TLB260963:TLB261028 TBF260963:TBF261028 SRJ260963:SRJ261028 SHN260963:SHN261028 RXR260963:RXR261028 RNV260963:RNV261028 RDZ260963:RDZ261028 QUD260963:QUD261028 QKH260963:QKH261028 QAL260963:QAL261028 PQP260963:PQP261028 PGT260963:PGT261028 OWX260963:OWX261028 ONB260963:ONB261028 ODF260963:ODF261028 NTJ260963:NTJ261028 NJN260963:NJN261028 MZR260963:MZR261028 MPV260963:MPV261028 MFZ260963:MFZ261028 LWD260963:LWD261028 LMH260963:LMH261028 LCL260963:LCL261028 KSP260963:KSP261028 KIT260963:KIT261028 JYX260963:JYX261028 JPB260963:JPB261028 JFF260963:JFF261028 IVJ260963:IVJ261028 ILN260963:ILN261028 IBR260963:IBR261028 HRV260963:HRV261028 HHZ260963:HHZ261028 GYD260963:GYD261028 GOH260963:GOH261028 GEL260963:GEL261028 FUP260963:FUP261028 FKT260963:FKT261028 FAX260963:FAX261028 ERB260963:ERB261028 EHF260963:EHF261028 DXJ260963:DXJ261028 DNN260963:DNN261028 DDR260963:DDR261028 CTV260963:CTV261028 CJZ260963:CJZ261028 CAD260963:CAD261028 BQH260963:BQH261028 BGL260963:BGL261028 AWP260963:AWP261028 AMT260963:AMT261028 ACX260963:ACX261028 TB260963:TB261028 JF260963:JF261028 J260963:J261028 WVR195427:WVR195492 WLV195427:WLV195492 WBZ195427:WBZ195492 VSD195427:VSD195492 VIH195427:VIH195492 UYL195427:UYL195492 UOP195427:UOP195492 UET195427:UET195492 TUX195427:TUX195492 TLB195427:TLB195492 TBF195427:TBF195492 SRJ195427:SRJ195492 SHN195427:SHN195492 RXR195427:RXR195492 RNV195427:RNV195492 RDZ195427:RDZ195492 QUD195427:QUD195492 QKH195427:QKH195492 QAL195427:QAL195492 PQP195427:PQP195492 PGT195427:PGT195492 OWX195427:OWX195492 ONB195427:ONB195492 ODF195427:ODF195492 NTJ195427:NTJ195492 NJN195427:NJN195492 MZR195427:MZR195492 MPV195427:MPV195492 MFZ195427:MFZ195492 LWD195427:LWD195492 LMH195427:LMH195492 LCL195427:LCL195492 KSP195427:KSP195492 KIT195427:KIT195492 JYX195427:JYX195492 JPB195427:JPB195492 JFF195427:JFF195492 IVJ195427:IVJ195492 ILN195427:ILN195492 IBR195427:IBR195492 HRV195427:HRV195492 HHZ195427:HHZ195492 GYD195427:GYD195492 GOH195427:GOH195492 GEL195427:GEL195492 FUP195427:FUP195492 FKT195427:FKT195492 FAX195427:FAX195492 ERB195427:ERB195492 EHF195427:EHF195492 DXJ195427:DXJ195492 DNN195427:DNN195492 DDR195427:DDR195492 CTV195427:CTV195492 CJZ195427:CJZ195492 CAD195427:CAD195492 BQH195427:BQH195492 BGL195427:BGL195492 AWP195427:AWP195492 AMT195427:AMT195492 ACX195427:ACX195492 TB195427:TB195492 JF195427:JF195492 J195427:J195492 WVR129891:WVR129956 WLV129891:WLV129956 WBZ129891:WBZ129956 VSD129891:VSD129956 VIH129891:VIH129956 UYL129891:UYL129956 UOP129891:UOP129956 UET129891:UET129956 TUX129891:TUX129956 TLB129891:TLB129956 TBF129891:TBF129956 SRJ129891:SRJ129956 SHN129891:SHN129956 RXR129891:RXR129956 RNV129891:RNV129956 RDZ129891:RDZ129956 QUD129891:QUD129956 QKH129891:QKH129956 QAL129891:QAL129956 PQP129891:PQP129956 PGT129891:PGT129956 OWX129891:OWX129956 ONB129891:ONB129956 ODF129891:ODF129956 NTJ129891:NTJ129956 NJN129891:NJN129956 MZR129891:MZR129956 MPV129891:MPV129956 MFZ129891:MFZ129956 LWD129891:LWD129956 LMH129891:LMH129956 LCL129891:LCL129956 KSP129891:KSP129956 KIT129891:KIT129956 JYX129891:JYX129956 JPB129891:JPB129956 JFF129891:JFF129956 IVJ129891:IVJ129956 ILN129891:ILN129956 IBR129891:IBR129956 HRV129891:HRV129956 HHZ129891:HHZ129956 GYD129891:GYD129956 GOH129891:GOH129956 GEL129891:GEL129956 FUP129891:FUP129956 FKT129891:FKT129956 FAX129891:FAX129956 ERB129891:ERB129956 EHF129891:EHF129956 DXJ129891:DXJ129956 DNN129891:DNN129956 DDR129891:DDR129956 CTV129891:CTV129956 CJZ129891:CJZ129956 CAD129891:CAD129956 BQH129891:BQH129956 BGL129891:BGL129956 AWP129891:AWP129956 AMT129891:AMT129956 ACX129891:ACX129956 TB129891:TB129956 JF129891:JF129956 J129891:J129956 WVR64355:WVR64420 WLV64355:WLV64420 WBZ64355:WBZ64420 VSD64355:VSD64420 VIH64355:VIH64420 UYL64355:UYL64420 UOP64355:UOP64420 UET64355:UET64420 TUX64355:TUX64420 TLB64355:TLB64420 TBF64355:TBF64420 SRJ64355:SRJ64420 SHN64355:SHN64420 RXR64355:RXR64420 RNV64355:RNV64420 RDZ64355:RDZ64420 QUD64355:QUD64420 QKH64355:QKH64420 QAL64355:QAL64420 PQP64355:PQP64420 PGT64355:PGT64420 OWX64355:OWX64420 ONB64355:ONB64420 ODF64355:ODF64420 NTJ64355:NTJ64420 NJN64355:NJN64420 MZR64355:MZR64420 MPV64355:MPV64420 MFZ64355:MFZ64420 LWD64355:LWD64420 LMH64355:LMH64420 LCL64355:LCL64420 KSP64355:KSP64420 KIT64355:KIT64420 JYX64355:JYX64420 JPB64355:JPB64420 JFF64355:JFF64420 IVJ64355:IVJ64420 ILN64355:ILN64420 IBR64355:IBR64420 HRV64355:HRV64420 HHZ64355:HHZ64420 GYD64355:GYD64420 GOH64355:GOH64420 GEL64355:GEL64420 FUP64355:FUP64420 FKT64355:FKT64420 FAX64355:FAX64420 ERB64355:ERB64420 EHF64355:EHF64420 DXJ64355:DXJ64420 DNN64355:DNN64420 DDR64355:DDR64420 CTV64355:CTV64420 CJZ64355:CJZ64420 CAD64355:CAD64420 BQH64355:BQH64420 BGL64355:BGL64420 AWP64355:AWP64420 AMT64355:AMT64420 ACX64355:ACX64420 TB64355:TB64420 JF64355:JF64420">
      <formula1>$AP$2:$AP$15</formula1>
    </dataValidation>
    <dataValidation type="list" allowBlank="1" showInputMessage="1" showErrorMessage="1" sqref="K64355:K64420 WVS1047395:WVS1047460 WLW1047395:WLW1047460 WCA1047395:WCA1047460 VSE1047395:VSE1047460 VII1047395:VII1047460 UYM1047395:UYM1047460 UOQ1047395:UOQ1047460 UEU1047395:UEU1047460 TUY1047395:TUY1047460 TLC1047395:TLC1047460 TBG1047395:TBG1047460 SRK1047395:SRK1047460 SHO1047395:SHO1047460 RXS1047395:RXS1047460 RNW1047395:RNW1047460 REA1047395:REA1047460 QUE1047395:QUE1047460 QKI1047395:QKI1047460 QAM1047395:QAM1047460 PQQ1047395:PQQ1047460 PGU1047395:PGU1047460 OWY1047395:OWY1047460 ONC1047395:ONC1047460 ODG1047395:ODG1047460 NTK1047395:NTK1047460 NJO1047395:NJO1047460 MZS1047395:MZS1047460 MPW1047395:MPW1047460 MGA1047395:MGA1047460 LWE1047395:LWE1047460 LMI1047395:LMI1047460 LCM1047395:LCM1047460 KSQ1047395:KSQ1047460 KIU1047395:KIU1047460 JYY1047395:JYY1047460 JPC1047395:JPC1047460 JFG1047395:JFG1047460 IVK1047395:IVK1047460 ILO1047395:ILO1047460 IBS1047395:IBS1047460 HRW1047395:HRW1047460 HIA1047395:HIA1047460 GYE1047395:GYE1047460 GOI1047395:GOI1047460 GEM1047395:GEM1047460 FUQ1047395:FUQ1047460 FKU1047395:FKU1047460 FAY1047395:FAY1047460 ERC1047395:ERC1047460 EHG1047395:EHG1047460 DXK1047395:DXK1047460 DNO1047395:DNO1047460 DDS1047395:DDS1047460 CTW1047395:CTW1047460 CKA1047395:CKA1047460 CAE1047395:CAE1047460 BQI1047395:BQI1047460 BGM1047395:BGM1047460 AWQ1047395:AWQ1047460 AMU1047395:AMU1047460 ACY1047395:ACY1047460 TC1047395:TC1047460 JG1047395:JG1047460 K1047395:K1047460 WVS981859:WVS981924 WLW981859:WLW981924 WCA981859:WCA981924 VSE981859:VSE981924 VII981859:VII981924 UYM981859:UYM981924 UOQ981859:UOQ981924 UEU981859:UEU981924 TUY981859:TUY981924 TLC981859:TLC981924 TBG981859:TBG981924 SRK981859:SRK981924 SHO981859:SHO981924 RXS981859:RXS981924 RNW981859:RNW981924 REA981859:REA981924 QUE981859:QUE981924 QKI981859:QKI981924 QAM981859:QAM981924 PQQ981859:PQQ981924 PGU981859:PGU981924 OWY981859:OWY981924 ONC981859:ONC981924 ODG981859:ODG981924 NTK981859:NTK981924 NJO981859:NJO981924 MZS981859:MZS981924 MPW981859:MPW981924 MGA981859:MGA981924 LWE981859:LWE981924 LMI981859:LMI981924 LCM981859:LCM981924 KSQ981859:KSQ981924 KIU981859:KIU981924 JYY981859:JYY981924 JPC981859:JPC981924 JFG981859:JFG981924 IVK981859:IVK981924 ILO981859:ILO981924 IBS981859:IBS981924 HRW981859:HRW981924 HIA981859:HIA981924 GYE981859:GYE981924 GOI981859:GOI981924 GEM981859:GEM981924 FUQ981859:FUQ981924 FKU981859:FKU981924 FAY981859:FAY981924 ERC981859:ERC981924 EHG981859:EHG981924 DXK981859:DXK981924 DNO981859:DNO981924 DDS981859:DDS981924 CTW981859:CTW981924 CKA981859:CKA981924 CAE981859:CAE981924 BQI981859:BQI981924 BGM981859:BGM981924 AWQ981859:AWQ981924 AMU981859:AMU981924 ACY981859:ACY981924 TC981859:TC981924 JG981859:JG981924 K981859:K981924 WVS916323:WVS916388 WLW916323:WLW916388 WCA916323:WCA916388 VSE916323:VSE916388 VII916323:VII916388 UYM916323:UYM916388 UOQ916323:UOQ916388 UEU916323:UEU916388 TUY916323:TUY916388 TLC916323:TLC916388 TBG916323:TBG916388 SRK916323:SRK916388 SHO916323:SHO916388 RXS916323:RXS916388 RNW916323:RNW916388 REA916323:REA916388 QUE916323:QUE916388 QKI916323:QKI916388 QAM916323:QAM916388 PQQ916323:PQQ916388 PGU916323:PGU916388 OWY916323:OWY916388 ONC916323:ONC916388 ODG916323:ODG916388 NTK916323:NTK916388 NJO916323:NJO916388 MZS916323:MZS916388 MPW916323:MPW916388 MGA916323:MGA916388 LWE916323:LWE916388 LMI916323:LMI916388 LCM916323:LCM916388 KSQ916323:KSQ916388 KIU916323:KIU916388 JYY916323:JYY916388 JPC916323:JPC916388 JFG916323:JFG916388 IVK916323:IVK916388 ILO916323:ILO916388 IBS916323:IBS916388 HRW916323:HRW916388 HIA916323:HIA916388 GYE916323:GYE916388 GOI916323:GOI916388 GEM916323:GEM916388 FUQ916323:FUQ916388 FKU916323:FKU916388 FAY916323:FAY916388 ERC916323:ERC916388 EHG916323:EHG916388 DXK916323:DXK916388 DNO916323:DNO916388 DDS916323:DDS916388 CTW916323:CTW916388 CKA916323:CKA916388 CAE916323:CAE916388 BQI916323:BQI916388 BGM916323:BGM916388 AWQ916323:AWQ916388 AMU916323:AMU916388 ACY916323:ACY916388 TC916323:TC916388 JG916323:JG916388 K916323:K916388 WVS850787:WVS850852 WLW850787:WLW850852 WCA850787:WCA850852 VSE850787:VSE850852 VII850787:VII850852 UYM850787:UYM850852 UOQ850787:UOQ850852 UEU850787:UEU850852 TUY850787:TUY850852 TLC850787:TLC850852 TBG850787:TBG850852 SRK850787:SRK850852 SHO850787:SHO850852 RXS850787:RXS850852 RNW850787:RNW850852 REA850787:REA850852 QUE850787:QUE850852 QKI850787:QKI850852 QAM850787:QAM850852 PQQ850787:PQQ850852 PGU850787:PGU850852 OWY850787:OWY850852 ONC850787:ONC850852 ODG850787:ODG850852 NTK850787:NTK850852 NJO850787:NJO850852 MZS850787:MZS850852 MPW850787:MPW850852 MGA850787:MGA850852 LWE850787:LWE850852 LMI850787:LMI850852 LCM850787:LCM850852 KSQ850787:KSQ850852 KIU850787:KIU850852 JYY850787:JYY850852 JPC850787:JPC850852 JFG850787:JFG850852 IVK850787:IVK850852 ILO850787:ILO850852 IBS850787:IBS850852 HRW850787:HRW850852 HIA850787:HIA850852 GYE850787:GYE850852 GOI850787:GOI850852 GEM850787:GEM850852 FUQ850787:FUQ850852 FKU850787:FKU850852 FAY850787:FAY850852 ERC850787:ERC850852 EHG850787:EHG850852 DXK850787:DXK850852 DNO850787:DNO850852 DDS850787:DDS850852 CTW850787:CTW850852 CKA850787:CKA850852 CAE850787:CAE850852 BQI850787:BQI850852 BGM850787:BGM850852 AWQ850787:AWQ850852 AMU850787:AMU850852 ACY850787:ACY850852 TC850787:TC850852 JG850787:JG850852 K850787:K850852 WVS785251:WVS785316 WLW785251:WLW785316 WCA785251:WCA785316 VSE785251:VSE785316 VII785251:VII785316 UYM785251:UYM785316 UOQ785251:UOQ785316 UEU785251:UEU785316 TUY785251:TUY785316 TLC785251:TLC785316 TBG785251:TBG785316 SRK785251:SRK785316 SHO785251:SHO785316 RXS785251:RXS785316 RNW785251:RNW785316 REA785251:REA785316 QUE785251:QUE785316 QKI785251:QKI785316 QAM785251:QAM785316 PQQ785251:PQQ785316 PGU785251:PGU785316 OWY785251:OWY785316 ONC785251:ONC785316 ODG785251:ODG785316 NTK785251:NTK785316 NJO785251:NJO785316 MZS785251:MZS785316 MPW785251:MPW785316 MGA785251:MGA785316 LWE785251:LWE785316 LMI785251:LMI785316 LCM785251:LCM785316 KSQ785251:KSQ785316 KIU785251:KIU785316 JYY785251:JYY785316 JPC785251:JPC785316 JFG785251:JFG785316 IVK785251:IVK785316 ILO785251:ILO785316 IBS785251:IBS785316 HRW785251:HRW785316 HIA785251:HIA785316 GYE785251:GYE785316 GOI785251:GOI785316 GEM785251:GEM785316 FUQ785251:FUQ785316 FKU785251:FKU785316 FAY785251:FAY785316 ERC785251:ERC785316 EHG785251:EHG785316 DXK785251:DXK785316 DNO785251:DNO785316 DDS785251:DDS785316 CTW785251:CTW785316 CKA785251:CKA785316 CAE785251:CAE785316 BQI785251:BQI785316 BGM785251:BGM785316 AWQ785251:AWQ785316 AMU785251:AMU785316 ACY785251:ACY785316 TC785251:TC785316 JG785251:JG785316 K785251:K785316 WVS719715:WVS719780 WLW719715:WLW719780 WCA719715:WCA719780 VSE719715:VSE719780 VII719715:VII719780 UYM719715:UYM719780 UOQ719715:UOQ719780 UEU719715:UEU719780 TUY719715:TUY719780 TLC719715:TLC719780 TBG719715:TBG719780 SRK719715:SRK719780 SHO719715:SHO719780 RXS719715:RXS719780 RNW719715:RNW719780 REA719715:REA719780 QUE719715:QUE719780 QKI719715:QKI719780 QAM719715:QAM719780 PQQ719715:PQQ719780 PGU719715:PGU719780 OWY719715:OWY719780 ONC719715:ONC719780 ODG719715:ODG719780 NTK719715:NTK719780 NJO719715:NJO719780 MZS719715:MZS719780 MPW719715:MPW719780 MGA719715:MGA719780 LWE719715:LWE719780 LMI719715:LMI719780 LCM719715:LCM719780 KSQ719715:KSQ719780 KIU719715:KIU719780 JYY719715:JYY719780 JPC719715:JPC719780 JFG719715:JFG719780 IVK719715:IVK719780 ILO719715:ILO719780 IBS719715:IBS719780 HRW719715:HRW719780 HIA719715:HIA719780 GYE719715:GYE719780 GOI719715:GOI719780 GEM719715:GEM719780 FUQ719715:FUQ719780 FKU719715:FKU719780 FAY719715:FAY719780 ERC719715:ERC719780 EHG719715:EHG719780 DXK719715:DXK719780 DNO719715:DNO719780 DDS719715:DDS719780 CTW719715:CTW719780 CKA719715:CKA719780 CAE719715:CAE719780 BQI719715:BQI719780 BGM719715:BGM719780 AWQ719715:AWQ719780 AMU719715:AMU719780 ACY719715:ACY719780 TC719715:TC719780 JG719715:JG719780 K719715:K719780 WVS654179:WVS654244 WLW654179:WLW654244 WCA654179:WCA654244 VSE654179:VSE654244 VII654179:VII654244 UYM654179:UYM654244 UOQ654179:UOQ654244 UEU654179:UEU654244 TUY654179:TUY654244 TLC654179:TLC654244 TBG654179:TBG654244 SRK654179:SRK654244 SHO654179:SHO654244 RXS654179:RXS654244 RNW654179:RNW654244 REA654179:REA654244 QUE654179:QUE654244 QKI654179:QKI654244 QAM654179:QAM654244 PQQ654179:PQQ654244 PGU654179:PGU654244 OWY654179:OWY654244 ONC654179:ONC654244 ODG654179:ODG654244 NTK654179:NTK654244 NJO654179:NJO654244 MZS654179:MZS654244 MPW654179:MPW654244 MGA654179:MGA654244 LWE654179:LWE654244 LMI654179:LMI654244 LCM654179:LCM654244 KSQ654179:KSQ654244 KIU654179:KIU654244 JYY654179:JYY654244 JPC654179:JPC654244 JFG654179:JFG654244 IVK654179:IVK654244 ILO654179:ILO654244 IBS654179:IBS654244 HRW654179:HRW654244 HIA654179:HIA654244 GYE654179:GYE654244 GOI654179:GOI654244 GEM654179:GEM654244 FUQ654179:FUQ654244 FKU654179:FKU654244 FAY654179:FAY654244 ERC654179:ERC654244 EHG654179:EHG654244 DXK654179:DXK654244 DNO654179:DNO654244 DDS654179:DDS654244 CTW654179:CTW654244 CKA654179:CKA654244 CAE654179:CAE654244 BQI654179:BQI654244 BGM654179:BGM654244 AWQ654179:AWQ654244 AMU654179:AMU654244 ACY654179:ACY654244 TC654179:TC654244 JG654179:JG654244 K654179:K654244 WVS588643:WVS588708 WLW588643:WLW588708 WCA588643:WCA588708 VSE588643:VSE588708 VII588643:VII588708 UYM588643:UYM588708 UOQ588643:UOQ588708 UEU588643:UEU588708 TUY588643:TUY588708 TLC588643:TLC588708 TBG588643:TBG588708 SRK588643:SRK588708 SHO588643:SHO588708 RXS588643:RXS588708 RNW588643:RNW588708 REA588643:REA588708 QUE588643:QUE588708 QKI588643:QKI588708 QAM588643:QAM588708 PQQ588643:PQQ588708 PGU588643:PGU588708 OWY588643:OWY588708 ONC588643:ONC588708 ODG588643:ODG588708 NTK588643:NTK588708 NJO588643:NJO588708 MZS588643:MZS588708 MPW588643:MPW588708 MGA588643:MGA588708 LWE588643:LWE588708 LMI588643:LMI588708 LCM588643:LCM588708 KSQ588643:KSQ588708 KIU588643:KIU588708 JYY588643:JYY588708 JPC588643:JPC588708 JFG588643:JFG588708 IVK588643:IVK588708 ILO588643:ILO588708 IBS588643:IBS588708 HRW588643:HRW588708 HIA588643:HIA588708 GYE588643:GYE588708 GOI588643:GOI588708 GEM588643:GEM588708 FUQ588643:FUQ588708 FKU588643:FKU588708 FAY588643:FAY588708 ERC588643:ERC588708 EHG588643:EHG588708 DXK588643:DXK588708 DNO588643:DNO588708 DDS588643:DDS588708 CTW588643:CTW588708 CKA588643:CKA588708 CAE588643:CAE588708 BQI588643:BQI588708 BGM588643:BGM588708 AWQ588643:AWQ588708 AMU588643:AMU588708 ACY588643:ACY588708 TC588643:TC588708 JG588643:JG588708 K588643:K588708 WVS523107:WVS523172 WLW523107:WLW523172 WCA523107:WCA523172 VSE523107:VSE523172 VII523107:VII523172 UYM523107:UYM523172 UOQ523107:UOQ523172 UEU523107:UEU523172 TUY523107:TUY523172 TLC523107:TLC523172 TBG523107:TBG523172 SRK523107:SRK523172 SHO523107:SHO523172 RXS523107:RXS523172 RNW523107:RNW523172 REA523107:REA523172 QUE523107:QUE523172 QKI523107:QKI523172 QAM523107:QAM523172 PQQ523107:PQQ523172 PGU523107:PGU523172 OWY523107:OWY523172 ONC523107:ONC523172 ODG523107:ODG523172 NTK523107:NTK523172 NJO523107:NJO523172 MZS523107:MZS523172 MPW523107:MPW523172 MGA523107:MGA523172 LWE523107:LWE523172 LMI523107:LMI523172 LCM523107:LCM523172 KSQ523107:KSQ523172 KIU523107:KIU523172 JYY523107:JYY523172 JPC523107:JPC523172 JFG523107:JFG523172 IVK523107:IVK523172 ILO523107:ILO523172 IBS523107:IBS523172 HRW523107:HRW523172 HIA523107:HIA523172 GYE523107:GYE523172 GOI523107:GOI523172 GEM523107:GEM523172 FUQ523107:FUQ523172 FKU523107:FKU523172 FAY523107:FAY523172 ERC523107:ERC523172 EHG523107:EHG523172 DXK523107:DXK523172 DNO523107:DNO523172 DDS523107:DDS523172 CTW523107:CTW523172 CKA523107:CKA523172 CAE523107:CAE523172 BQI523107:BQI523172 BGM523107:BGM523172 AWQ523107:AWQ523172 AMU523107:AMU523172 ACY523107:ACY523172 TC523107:TC523172 JG523107:JG523172 K523107:K523172 WVS457571:WVS457636 WLW457571:WLW457636 WCA457571:WCA457636 VSE457571:VSE457636 VII457571:VII457636 UYM457571:UYM457636 UOQ457571:UOQ457636 UEU457571:UEU457636 TUY457571:TUY457636 TLC457571:TLC457636 TBG457571:TBG457636 SRK457571:SRK457636 SHO457571:SHO457636 RXS457571:RXS457636 RNW457571:RNW457636 REA457571:REA457636 QUE457571:QUE457636 QKI457571:QKI457636 QAM457571:QAM457636 PQQ457571:PQQ457636 PGU457571:PGU457636 OWY457571:OWY457636 ONC457571:ONC457636 ODG457571:ODG457636 NTK457571:NTK457636 NJO457571:NJO457636 MZS457571:MZS457636 MPW457571:MPW457636 MGA457571:MGA457636 LWE457571:LWE457636 LMI457571:LMI457636 LCM457571:LCM457636 KSQ457571:KSQ457636 KIU457571:KIU457636 JYY457571:JYY457636 JPC457571:JPC457636 JFG457571:JFG457636 IVK457571:IVK457636 ILO457571:ILO457636 IBS457571:IBS457636 HRW457571:HRW457636 HIA457571:HIA457636 GYE457571:GYE457636 GOI457571:GOI457636 GEM457571:GEM457636 FUQ457571:FUQ457636 FKU457571:FKU457636 FAY457571:FAY457636 ERC457571:ERC457636 EHG457571:EHG457636 DXK457571:DXK457636 DNO457571:DNO457636 DDS457571:DDS457636 CTW457571:CTW457636 CKA457571:CKA457636 CAE457571:CAE457636 BQI457571:BQI457636 BGM457571:BGM457636 AWQ457571:AWQ457636 AMU457571:AMU457636 ACY457571:ACY457636 TC457571:TC457636 JG457571:JG457636 K457571:K457636 WVS392035:WVS392100 WLW392035:WLW392100 WCA392035:WCA392100 VSE392035:VSE392100 VII392035:VII392100 UYM392035:UYM392100 UOQ392035:UOQ392100 UEU392035:UEU392100 TUY392035:TUY392100 TLC392035:TLC392100 TBG392035:TBG392100 SRK392035:SRK392100 SHO392035:SHO392100 RXS392035:RXS392100 RNW392035:RNW392100 REA392035:REA392100 QUE392035:QUE392100 QKI392035:QKI392100 QAM392035:QAM392100 PQQ392035:PQQ392100 PGU392035:PGU392100 OWY392035:OWY392100 ONC392035:ONC392100 ODG392035:ODG392100 NTK392035:NTK392100 NJO392035:NJO392100 MZS392035:MZS392100 MPW392035:MPW392100 MGA392035:MGA392100 LWE392035:LWE392100 LMI392035:LMI392100 LCM392035:LCM392100 KSQ392035:KSQ392100 KIU392035:KIU392100 JYY392035:JYY392100 JPC392035:JPC392100 JFG392035:JFG392100 IVK392035:IVK392100 ILO392035:ILO392100 IBS392035:IBS392100 HRW392035:HRW392100 HIA392035:HIA392100 GYE392035:GYE392100 GOI392035:GOI392100 GEM392035:GEM392100 FUQ392035:FUQ392100 FKU392035:FKU392100 FAY392035:FAY392100 ERC392035:ERC392100 EHG392035:EHG392100 DXK392035:DXK392100 DNO392035:DNO392100 DDS392035:DDS392100 CTW392035:CTW392100 CKA392035:CKA392100 CAE392035:CAE392100 BQI392035:BQI392100 BGM392035:BGM392100 AWQ392035:AWQ392100 AMU392035:AMU392100 ACY392035:ACY392100 TC392035:TC392100 JG392035:JG392100 K392035:K392100 WVS326499:WVS326564 WLW326499:WLW326564 WCA326499:WCA326564 VSE326499:VSE326564 VII326499:VII326564 UYM326499:UYM326564 UOQ326499:UOQ326564 UEU326499:UEU326564 TUY326499:TUY326564 TLC326499:TLC326564 TBG326499:TBG326564 SRK326499:SRK326564 SHO326499:SHO326564 RXS326499:RXS326564 RNW326499:RNW326564 REA326499:REA326564 QUE326499:QUE326564 QKI326499:QKI326564 QAM326499:QAM326564 PQQ326499:PQQ326564 PGU326499:PGU326564 OWY326499:OWY326564 ONC326499:ONC326564 ODG326499:ODG326564 NTK326499:NTK326564 NJO326499:NJO326564 MZS326499:MZS326564 MPW326499:MPW326564 MGA326499:MGA326564 LWE326499:LWE326564 LMI326499:LMI326564 LCM326499:LCM326564 KSQ326499:KSQ326564 KIU326499:KIU326564 JYY326499:JYY326564 JPC326499:JPC326564 JFG326499:JFG326564 IVK326499:IVK326564 ILO326499:ILO326564 IBS326499:IBS326564 HRW326499:HRW326564 HIA326499:HIA326564 GYE326499:GYE326564 GOI326499:GOI326564 GEM326499:GEM326564 FUQ326499:FUQ326564 FKU326499:FKU326564 FAY326499:FAY326564 ERC326499:ERC326564 EHG326499:EHG326564 DXK326499:DXK326564 DNO326499:DNO326564 DDS326499:DDS326564 CTW326499:CTW326564 CKA326499:CKA326564 CAE326499:CAE326564 BQI326499:BQI326564 BGM326499:BGM326564 AWQ326499:AWQ326564 AMU326499:AMU326564 ACY326499:ACY326564 TC326499:TC326564 JG326499:JG326564 K326499:K326564 WVS260963:WVS261028 WLW260963:WLW261028 WCA260963:WCA261028 VSE260963:VSE261028 VII260963:VII261028 UYM260963:UYM261028 UOQ260963:UOQ261028 UEU260963:UEU261028 TUY260963:TUY261028 TLC260963:TLC261028 TBG260963:TBG261028 SRK260963:SRK261028 SHO260963:SHO261028 RXS260963:RXS261028 RNW260963:RNW261028 REA260963:REA261028 QUE260963:QUE261028 QKI260963:QKI261028 QAM260963:QAM261028 PQQ260963:PQQ261028 PGU260963:PGU261028 OWY260963:OWY261028 ONC260963:ONC261028 ODG260963:ODG261028 NTK260963:NTK261028 NJO260963:NJO261028 MZS260963:MZS261028 MPW260963:MPW261028 MGA260963:MGA261028 LWE260963:LWE261028 LMI260963:LMI261028 LCM260963:LCM261028 KSQ260963:KSQ261028 KIU260963:KIU261028 JYY260963:JYY261028 JPC260963:JPC261028 JFG260963:JFG261028 IVK260963:IVK261028 ILO260963:ILO261028 IBS260963:IBS261028 HRW260963:HRW261028 HIA260963:HIA261028 GYE260963:GYE261028 GOI260963:GOI261028 GEM260963:GEM261028 FUQ260963:FUQ261028 FKU260963:FKU261028 FAY260963:FAY261028 ERC260963:ERC261028 EHG260963:EHG261028 DXK260963:DXK261028 DNO260963:DNO261028 DDS260963:DDS261028 CTW260963:CTW261028 CKA260963:CKA261028 CAE260963:CAE261028 BQI260963:BQI261028 BGM260963:BGM261028 AWQ260963:AWQ261028 AMU260963:AMU261028 ACY260963:ACY261028 TC260963:TC261028 JG260963:JG261028 K260963:K261028 WVS195427:WVS195492 WLW195427:WLW195492 WCA195427:WCA195492 VSE195427:VSE195492 VII195427:VII195492 UYM195427:UYM195492 UOQ195427:UOQ195492 UEU195427:UEU195492 TUY195427:TUY195492 TLC195427:TLC195492 TBG195427:TBG195492 SRK195427:SRK195492 SHO195427:SHO195492 RXS195427:RXS195492 RNW195427:RNW195492 REA195427:REA195492 QUE195427:QUE195492 QKI195427:QKI195492 QAM195427:QAM195492 PQQ195427:PQQ195492 PGU195427:PGU195492 OWY195427:OWY195492 ONC195427:ONC195492 ODG195427:ODG195492 NTK195427:NTK195492 NJO195427:NJO195492 MZS195427:MZS195492 MPW195427:MPW195492 MGA195427:MGA195492 LWE195427:LWE195492 LMI195427:LMI195492 LCM195427:LCM195492 KSQ195427:KSQ195492 KIU195427:KIU195492 JYY195427:JYY195492 JPC195427:JPC195492 JFG195427:JFG195492 IVK195427:IVK195492 ILO195427:ILO195492 IBS195427:IBS195492 HRW195427:HRW195492 HIA195427:HIA195492 GYE195427:GYE195492 GOI195427:GOI195492 GEM195427:GEM195492 FUQ195427:FUQ195492 FKU195427:FKU195492 FAY195427:FAY195492 ERC195427:ERC195492 EHG195427:EHG195492 DXK195427:DXK195492 DNO195427:DNO195492 DDS195427:DDS195492 CTW195427:CTW195492 CKA195427:CKA195492 CAE195427:CAE195492 BQI195427:BQI195492 BGM195427:BGM195492 AWQ195427:AWQ195492 AMU195427:AMU195492 ACY195427:ACY195492 TC195427:TC195492 JG195427:JG195492 K195427:K195492 WVS129891:WVS129956 WLW129891:WLW129956 WCA129891:WCA129956 VSE129891:VSE129956 VII129891:VII129956 UYM129891:UYM129956 UOQ129891:UOQ129956 UEU129891:UEU129956 TUY129891:TUY129956 TLC129891:TLC129956 TBG129891:TBG129956 SRK129891:SRK129956 SHO129891:SHO129956 RXS129891:RXS129956 RNW129891:RNW129956 REA129891:REA129956 QUE129891:QUE129956 QKI129891:QKI129956 QAM129891:QAM129956 PQQ129891:PQQ129956 PGU129891:PGU129956 OWY129891:OWY129956 ONC129891:ONC129956 ODG129891:ODG129956 NTK129891:NTK129956 NJO129891:NJO129956 MZS129891:MZS129956 MPW129891:MPW129956 MGA129891:MGA129956 LWE129891:LWE129956 LMI129891:LMI129956 LCM129891:LCM129956 KSQ129891:KSQ129956 KIU129891:KIU129956 JYY129891:JYY129956 JPC129891:JPC129956 JFG129891:JFG129956 IVK129891:IVK129956 ILO129891:ILO129956 IBS129891:IBS129956 HRW129891:HRW129956 HIA129891:HIA129956 GYE129891:GYE129956 GOI129891:GOI129956 GEM129891:GEM129956 FUQ129891:FUQ129956 FKU129891:FKU129956 FAY129891:FAY129956 ERC129891:ERC129956 EHG129891:EHG129956 DXK129891:DXK129956 DNO129891:DNO129956 DDS129891:DDS129956 CTW129891:CTW129956 CKA129891:CKA129956 CAE129891:CAE129956 BQI129891:BQI129956 BGM129891:BGM129956 AWQ129891:AWQ129956 AMU129891:AMU129956 ACY129891:ACY129956 TC129891:TC129956 JG129891:JG129956 K129891:K129956 WVS64355:WVS64420 WLW64355:WLW64420 WCA64355:WCA64420 VSE64355:VSE64420 VII64355:VII64420 UYM64355:UYM64420 UOQ64355:UOQ64420 UEU64355:UEU64420 TUY64355:TUY64420 TLC64355:TLC64420 TBG64355:TBG64420 SRK64355:SRK64420 SHO64355:SHO64420 RXS64355:RXS64420 RNW64355:RNW64420 REA64355:REA64420 QUE64355:QUE64420 QKI64355:QKI64420 QAM64355:QAM64420 PQQ64355:PQQ64420 PGU64355:PGU64420 OWY64355:OWY64420 ONC64355:ONC64420 ODG64355:ODG64420 NTK64355:NTK64420 NJO64355:NJO64420 MZS64355:MZS64420 MPW64355:MPW64420 MGA64355:MGA64420 LWE64355:LWE64420 LMI64355:LMI64420 LCM64355:LCM64420 KSQ64355:KSQ64420 KIU64355:KIU64420 JYY64355:JYY64420 JPC64355:JPC64420 JFG64355:JFG64420 IVK64355:IVK64420 ILO64355:ILO64420 IBS64355:IBS64420 HRW64355:HRW64420 HIA64355:HIA64420 GYE64355:GYE64420 GOI64355:GOI64420 GEM64355:GEM64420 FUQ64355:FUQ64420 FKU64355:FKU64420 FAY64355:FAY64420 ERC64355:ERC64420 EHG64355:EHG64420 DXK64355:DXK64420 DNO64355:DNO64420 DDS64355:DDS64420 CTW64355:CTW64420 CKA64355:CKA64420 CAE64355:CAE64420 BQI64355:BQI64420 BGM64355:BGM64420 AWQ64355:AWQ64420 AMU64355:AMU64420 ACY64355:ACY64420 TC64355:TC64420 JG64355:JG64420">
      <formula1>$AR$2:$AR$24</formula1>
    </dataValidation>
    <dataValidation type="list" allowBlank="1" showInputMessage="1" showErrorMessage="1" sqref="Y64355:AA64420 JU2:JW59 TQ2:TS59 ADM2:ADO59 ANI2:ANK59 AXE2:AXG59 BHA2:BHC59 BQW2:BQY59 CAS2:CAU59 CKO2:CKQ59 CUK2:CUM59 DEG2:DEI59 DOC2:DOE59 DXY2:DYA59 EHU2:EHW59 ERQ2:ERS59 FBM2:FBO59 FLI2:FLK59 FVE2:FVG59 GFA2:GFC59 GOW2:GOY59 GYS2:GYU59 HIO2:HIQ59 HSK2:HSM59 ICG2:ICI59 IMC2:IME59 IVY2:IWA59 JFU2:JFW59 JPQ2:JPS59 JZM2:JZO59 KJI2:KJK59 KTE2:KTG59 LDA2:LDC59 LMW2:LMY59 LWS2:LWU59 MGO2:MGQ59 MQK2:MQM59 NAG2:NAI59 NKC2:NKE59 NTY2:NUA59 ODU2:ODW59 ONQ2:ONS59 OXM2:OXO59 PHI2:PHK59 PRE2:PRG59 QBA2:QBC59 QKW2:QKY59 QUS2:QUU59 REO2:REQ59 ROK2:ROM59 RYG2:RYI59 SIC2:SIE59 SRY2:SSA59 TBU2:TBW59 TLQ2:TLS59 TVM2:TVO59 UFI2:UFK59 UPE2:UPG59 UZA2:UZC59 VIW2:VIY59 VSS2:VSU59 WCO2:WCQ59 WMK2:WMM59 WWG2:WWI59 WMK983034:WMM983099 WCO983034:WCQ983099 VSS983034:VSU983099 VIW983034:VIY983099 UZA983034:UZC983099 UPE983034:UPG983099 UFI983034:UFK983099 TVM983034:TVO983099 TLQ983034:TLS983099 TBU983034:TBW983099 SRY983034:SSA983099 SIC983034:SIE983099 RYG983034:RYI983099 ROK983034:ROM983099 REO983034:REQ983099 QUS983034:QUU983099 QKW983034:QKY983099 QBA983034:QBC983099 PRE983034:PRG983099 PHI983034:PHK983099 OXM983034:OXO983099 ONQ983034:ONS983099 ODU983034:ODW983099 NTY983034:NUA983099 NKC983034:NKE983099 NAG983034:NAI983099 MQK983034:MQM983099 MGO983034:MGQ983099 LWS983034:LWU983099 LMW983034:LMY983099 LDA983034:LDC983099 KTE983034:KTG983099 KJI983034:KJK983099 JZM983034:JZO983099 JPQ983034:JPS983099 JFU983034:JFW983099 IVY983034:IWA983099 IMC983034:IME983099 ICG983034:ICI983099 HSK983034:HSM983099 HIO983034:HIQ983099 GYS983034:GYU983099 GOW983034:GOY983099 GFA983034:GFC983099 FVE983034:FVG983099 FLI983034:FLK983099 FBM983034:FBO983099 ERQ983034:ERS983099 EHU983034:EHW983099 DXY983034:DYA983099 DOC983034:DOE983099 DEG983034:DEI983099 CUK983034:CUM983099 CKO983034:CKQ983099 CAS983034:CAU983099 BQW983034:BQY983099 BHA983034:BHC983099 AXE983034:AXG983099 ANI983034:ANK983099 ADM983034:ADO983099 TQ983034:TS983099 JU983034:JW983099 Y983034:AA983099 WWG917498:WWI917563 WMK917498:WMM917563 WCO917498:WCQ917563 VSS917498:VSU917563 VIW917498:VIY917563 UZA917498:UZC917563 UPE917498:UPG917563 UFI917498:UFK917563 TVM917498:TVO917563 TLQ917498:TLS917563 TBU917498:TBW917563 SRY917498:SSA917563 SIC917498:SIE917563 RYG917498:RYI917563 ROK917498:ROM917563 REO917498:REQ917563 QUS917498:QUU917563 QKW917498:QKY917563 QBA917498:QBC917563 PRE917498:PRG917563 PHI917498:PHK917563 OXM917498:OXO917563 ONQ917498:ONS917563 ODU917498:ODW917563 NTY917498:NUA917563 NKC917498:NKE917563 NAG917498:NAI917563 MQK917498:MQM917563 MGO917498:MGQ917563 LWS917498:LWU917563 LMW917498:LMY917563 LDA917498:LDC917563 KTE917498:KTG917563 KJI917498:KJK917563 JZM917498:JZO917563 JPQ917498:JPS917563 JFU917498:JFW917563 IVY917498:IWA917563 IMC917498:IME917563 ICG917498:ICI917563 HSK917498:HSM917563 HIO917498:HIQ917563 GYS917498:GYU917563 GOW917498:GOY917563 GFA917498:GFC917563 FVE917498:FVG917563 FLI917498:FLK917563 FBM917498:FBO917563 ERQ917498:ERS917563 EHU917498:EHW917563 DXY917498:DYA917563 DOC917498:DOE917563 DEG917498:DEI917563 CUK917498:CUM917563 CKO917498:CKQ917563 CAS917498:CAU917563 BQW917498:BQY917563 BHA917498:BHC917563 AXE917498:AXG917563 ANI917498:ANK917563 ADM917498:ADO917563 TQ917498:TS917563 JU917498:JW917563 Y917498:AA917563 WWG851962:WWI852027 WMK851962:WMM852027 WCO851962:WCQ852027 VSS851962:VSU852027 VIW851962:VIY852027 UZA851962:UZC852027 UPE851962:UPG852027 UFI851962:UFK852027 TVM851962:TVO852027 TLQ851962:TLS852027 TBU851962:TBW852027 SRY851962:SSA852027 SIC851962:SIE852027 RYG851962:RYI852027 ROK851962:ROM852027 REO851962:REQ852027 QUS851962:QUU852027 QKW851962:QKY852027 QBA851962:QBC852027 PRE851962:PRG852027 PHI851962:PHK852027 OXM851962:OXO852027 ONQ851962:ONS852027 ODU851962:ODW852027 NTY851962:NUA852027 NKC851962:NKE852027 NAG851962:NAI852027 MQK851962:MQM852027 MGO851962:MGQ852027 LWS851962:LWU852027 LMW851962:LMY852027 LDA851962:LDC852027 KTE851962:KTG852027 KJI851962:KJK852027 JZM851962:JZO852027 JPQ851962:JPS852027 JFU851962:JFW852027 IVY851962:IWA852027 IMC851962:IME852027 ICG851962:ICI852027 HSK851962:HSM852027 HIO851962:HIQ852027 GYS851962:GYU852027 GOW851962:GOY852027 GFA851962:GFC852027 FVE851962:FVG852027 FLI851962:FLK852027 FBM851962:FBO852027 ERQ851962:ERS852027 EHU851962:EHW852027 DXY851962:DYA852027 DOC851962:DOE852027 DEG851962:DEI852027 CUK851962:CUM852027 CKO851962:CKQ852027 CAS851962:CAU852027 BQW851962:BQY852027 BHA851962:BHC852027 AXE851962:AXG852027 ANI851962:ANK852027 ADM851962:ADO852027 TQ851962:TS852027 JU851962:JW852027 Y851962:AA852027 WWG786426:WWI786491 WMK786426:WMM786491 WCO786426:WCQ786491 VSS786426:VSU786491 VIW786426:VIY786491 UZA786426:UZC786491 UPE786426:UPG786491 UFI786426:UFK786491 TVM786426:TVO786491 TLQ786426:TLS786491 TBU786426:TBW786491 SRY786426:SSA786491 SIC786426:SIE786491 RYG786426:RYI786491 ROK786426:ROM786491 REO786426:REQ786491 QUS786426:QUU786491 QKW786426:QKY786491 QBA786426:QBC786491 PRE786426:PRG786491 PHI786426:PHK786491 OXM786426:OXO786491 ONQ786426:ONS786491 ODU786426:ODW786491 NTY786426:NUA786491 NKC786426:NKE786491 NAG786426:NAI786491 MQK786426:MQM786491 MGO786426:MGQ786491 LWS786426:LWU786491 LMW786426:LMY786491 LDA786426:LDC786491 KTE786426:KTG786491 KJI786426:KJK786491 JZM786426:JZO786491 JPQ786426:JPS786491 JFU786426:JFW786491 IVY786426:IWA786491 IMC786426:IME786491 ICG786426:ICI786491 HSK786426:HSM786491 HIO786426:HIQ786491 GYS786426:GYU786491 GOW786426:GOY786491 GFA786426:GFC786491 FVE786426:FVG786491 FLI786426:FLK786491 FBM786426:FBO786491 ERQ786426:ERS786491 EHU786426:EHW786491 DXY786426:DYA786491 DOC786426:DOE786491 DEG786426:DEI786491 CUK786426:CUM786491 CKO786426:CKQ786491 CAS786426:CAU786491 BQW786426:BQY786491 BHA786426:BHC786491 AXE786426:AXG786491 ANI786426:ANK786491 ADM786426:ADO786491 TQ786426:TS786491 JU786426:JW786491 Y786426:AA786491 WWG720890:WWI720955 WMK720890:WMM720955 WCO720890:WCQ720955 VSS720890:VSU720955 VIW720890:VIY720955 UZA720890:UZC720955 UPE720890:UPG720955 UFI720890:UFK720955 TVM720890:TVO720955 TLQ720890:TLS720955 TBU720890:TBW720955 SRY720890:SSA720955 SIC720890:SIE720955 RYG720890:RYI720955 ROK720890:ROM720955 REO720890:REQ720955 QUS720890:QUU720955 QKW720890:QKY720955 QBA720890:QBC720955 PRE720890:PRG720955 PHI720890:PHK720955 OXM720890:OXO720955 ONQ720890:ONS720955 ODU720890:ODW720955 NTY720890:NUA720955 NKC720890:NKE720955 NAG720890:NAI720955 MQK720890:MQM720955 MGO720890:MGQ720955 LWS720890:LWU720955 LMW720890:LMY720955 LDA720890:LDC720955 KTE720890:KTG720955 KJI720890:KJK720955 JZM720890:JZO720955 JPQ720890:JPS720955 JFU720890:JFW720955 IVY720890:IWA720955 IMC720890:IME720955 ICG720890:ICI720955 HSK720890:HSM720955 HIO720890:HIQ720955 GYS720890:GYU720955 GOW720890:GOY720955 GFA720890:GFC720955 FVE720890:FVG720955 FLI720890:FLK720955 FBM720890:FBO720955 ERQ720890:ERS720955 EHU720890:EHW720955 DXY720890:DYA720955 DOC720890:DOE720955 DEG720890:DEI720955 CUK720890:CUM720955 CKO720890:CKQ720955 CAS720890:CAU720955 BQW720890:BQY720955 BHA720890:BHC720955 AXE720890:AXG720955 ANI720890:ANK720955 ADM720890:ADO720955 TQ720890:TS720955 JU720890:JW720955 Y720890:AA720955 WWG655354:WWI655419 WMK655354:WMM655419 WCO655354:WCQ655419 VSS655354:VSU655419 VIW655354:VIY655419 UZA655354:UZC655419 UPE655354:UPG655419 UFI655354:UFK655419 TVM655354:TVO655419 TLQ655354:TLS655419 TBU655354:TBW655419 SRY655354:SSA655419 SIC655354:SIE655419 RYG655354:RYI655419 ROK655354:ROM655419 REO655354:REQ655419 QUS655354:QUU655419 QKW655354:QKY655419 QBA655354:QBC655419 PRE655354:PRG655419 PHI655354:PHK655419 OXM655354:OXO655419 ONQ655354:ONS655419 ODU655354:ODW655419 NTY655354:NUA655419 NKC655354:NKE655419 NAG655354:NAI655419 MQK655354:MQM655419 MGO655354:MGQ655419 LWS655354:LWU655419 LMW655354:LMY655419 LDA655354:LDC655419 KTE655354:KTG655419 KJI655354:KJK655419 JZM655354:JZO655419 JPQ655354:JPS655419 JFU655354:JFW655419 IVY655354:IWA655419 IMC655354:IME655419 ICG655354:ICI655419 HSK655354:HSM655419 HIO655354:HIQ655419 GYS655354:GYU655419 GOW655354:GOY655419 GFA655354:GFC655419 FVE655354:FVG655419 FLI655354:FLK655419 FBM655354:FBO655419 ERQ655354:ERS655419 EHU655354:EHW655419 DXY655354:DYA655419 DOC655354:DOE655419 DEG655354:DEI655419 CUK655354:CUM655419 CKO655354:CKQ655419 CAS655354:CAU655419 BQW655354:BQY655419 BHA655354:BHC655419 AXE655354:AXG655419 ANI655354:ANK655419 ADM655354:ADO655419 TQ655354:TS655419 JU655354:JW655419 Y655354:AA655419 WWG589818:WWI589883 WMK589818:WMM589883 WCO589818:WCQ589883 VSS589818:VSU589883 VIW589818:VIY589883 UZA589818:UZC589883 UPE589818:UPG589883 UFI589818:UFK589883 TVM589818:TVO589883 TLQ589818:TLS589883 TBU589818:TBW589883 SRY589818:SSA589883 SIC589818:SIE589883 RYG589818:RYI589883 ROK589818:ROM589883 REO589818:REQ589883 QUS589818:QUU589883 QKW589818:QKY589883 QBA589818:QBC589883 PRE589818:PRG589883 PHI589818:PHK589883 OXM589818:OXO589883 ONQ589818:ONS589883 ODU589818:ODW589883 NTY589818:NUA589883 NKC589818:NKE589883 NAG589818:NAI589883 MQK589818:MQM589883 MGO589818:MGQ589883 LWS589818:LWU589883 LMW589818:LMY589883 LDA589818:LDC589883 KTE589818:KTG589883 KJI589818:KJK589883 JZM589818:JZO589883 JPQ589818:JPS589883 JFU589818:JFW589883 IVY589818:IWA589883 IMC589818:IME589883 ICG589818:ICI589883 HSK589818:HSM589883 HIO589818:HIQ589883 GYS589818:GYU589883 GOW589818:GOY589883 GFA589818:GFC589883 FVE589818:FVG589883 FLI589818:FLK589883 FBM589818:FBO589883 ERQ589818:ERS589883 EHU589818:EHW589883 DXY589818:DYA589883 DOC589818:DOE589883 DEG589818:DEI589883 CUK589818:CUM589883 CKO589818:CKQ589883 CAS589818:CAU589883 BQW589818:BQY589883 BHA589818:BHC589883 AXE589818:AXG589883 ANI589818:ANK589883 ADM589818:ADO589883 TQ589818:TS589883 JU589818:JW589883 Y589818:AA589883 WWG524282:WWI524347 WMK524282:WMM524347 WCO524282:WCQ524347 VSS524282:VSU524347 VIW524282:VIY524347 UZA524282:UZC524347 UPE524282:UPG524347 UFI524282:UFK524347 TVM524282:TVO524347 TLQ524282:TLS524347 TBU524282:TBW524347 SRY524282:SSA524347 SIC524282:SIE524347 RYG524282:RYI524347 ROK524282:ROM524347 REO524282:REQ524347 QUS524282:QUU524347 QKW524282:QKY524347 QBA524282:QBC524347 PRE524282:PRG524347 PHI524282:PHK524347 OXM524282:OXO524347 ONQ524282:ONS524347 ODU524282:ODW524347 NTY524282:NUA524347 NKC524282:NKE524347 NAG524282:NAI524347 MQK524282:MQM524347 MGO524282:MGQ524347 LWS524282:LWU524347 LMW524282:LMY524347 LDA524282:LDC524347 KTE524282:KTG524347 KJI524282:KJK524347 JZM524282:JZO524347 JPQ524282:JPS524347 JFU524282:JFW524347 IVY524282:IWA524347 IMC524282:IME524347 ICG524282:ICI524347 HSK524282:HSM524347 HIO524282:HIQ524347 GYS524282:GYU524347 GOW524282:GOY524347 GFA524282:GFC524347 FVE524282:FVG524347 FLI524282:FLK524347 FBM524282:FBO524347 ERQ524282:ERS524347 EHU524282:EHW524347 DXY524282:DYA524347 DOC524282:DOE524347 DEG524282:DEI524347 CUK524282:CUM524347 CKO524282:CKQ524347 CAS524282:CAU524347 BQW524282:BQY524347 BHA524282:BHC524347 AXE524282:AXG524347 ANI524282:ANK524347 ADM524282:ADO524347 TQ524282:TS524347 JU524282:JW524347 Y524282:AA524347 WWG458746:WWI458811 WMK458746:WMM458811 WCO458746:WCQ458811 VSS458746:VSU458811 VIW458746:VIY458811 UZA458746:UZC458811 UPE458746:UPG458811 UFI458746:UFK458811 TVM458746:TVO458811 TLQ458746:TLS458811 TBU458746:TBW458811 SRY458746:SSA458811 SIC458746:SIE458811 RYG458746:RYI458811 ROK458746:ROM458811 REO458746:REQ458811 QUS458746:QUU458811 QKW458746:QKY458811 QBA458746:QBC458811 PRE458746:PRG458811 PHI458746:PHK458811 OXM458746:OXO458811 ONQ458746:ONS458811 ODU458746:ODW458811 NTY458746:NUA458811 NKC458746:NKE458811 NAG458746:NAI458811 MQK458746:MQM458811 MGO458746:MGQ458811 LWS458746:LWU458811 LMW458746:LMY458811 LDA458746:LDC458811 KTE458746:KTG458811 KJI458746:KJK458811 JZM458746:JZO458811 JPQ458746:JPS458811 JFU458746:JFW458811 IVY458746:IWA458811 IMC458746:IME458811 ICG458746:ICI458811 HSK458746:HSM458811 HIO458746:HIQ458811 GYS458746:GYU458811 GOW458746:GOY458811 GFA458746:GFC458811 FVE458746:FVG458811 FLI458746:FLK458811 FBM458746:FBO458811 ERQ458746:ERS458811 EHU458746:EHW458811 DXY458746:DYA458811 DOC458746:DOE458811 DEG458746:DEI458811 CUK458746:CUM458811 CKO458746:CKQ458811 CAS458746:CAU458811 BQW458746:BQY458811 BHA458746:BHC458811 AXE458746:AXG458811 ANI458746:ANK458811 ADM458746:ADO458811 TQ458746:TS458811 JU458746:JW458811 Y458746:AA458811 WWG393210:WWI393275 WMK393210:WMM393275 WCO393210:WCQ393275 VSS393210:VSU393275 VIW393210:VIY393275 UZA393210:UZC393275 UPE393210:UPG393275 UFI393210:UFK393275 TVM393210:TVO393275 TLQ393210:TLS393275 TBU393210:TBW393275 SRY393210:SSA393275 SIC393210:SIE393275 RYG393210:RYI393275 ROK393210:ROM393275 REO393210:REQ393275 QUS393210:QUU393275 QKW393210:QKY393275 QBA393210:QBC393275 PRE393210:PRG393275 PHI393210:PHK393275 OXM393210:OXO393275 ONQ393210:ONS393275 ODU393210:ODW393275 NTY393210:NUA393275 NKC393210:NKE393275 NAG393210:NAI393275 MQK393210:MQM393275 MGO393210:MGQ393275 LWS393210:LWU393275 LMW393210:LMY393275 LDA393210:LDC393275 KTE393210:KTG393275 KJI393210:KJK393275 JZM393210:JZO393275 JPQ393210:JPS393275 JFU393210:JFW393275 IVY393210:IWA393275 IMC393210:IME393275 ICG393210:ICI393275 HSK393210:HSM393275 HIO393210:HIQ393275 GYS393210:GYU393275 GOW393210:GOY393275 GFA393210:GFC393275 FVE393210:FVG393275 FLI393210:FLK393275 FBM393210:FBO393275 ERQ393210:ERS393275 EHU393210:EHW393275 DXY393210:DYA393275 DOC393210:DOE393275 DEG393210:DEI393275 CUK393210:CUM393275 CKO393210:CKQ393275 CAS393210:CAU393275 BQW393210:BQY393275 BHA393210:BHC393275 AXE393210:AXG393275 ANI393210:ANK393275 ADM393210:ADO393275 TQ393210:TS393275 JU393210:JW393275 Y393210:AA393275 WWG327674:WWI327739 WMK327674:WMM327739 WCO327674:WCQ327739 VSS327674:VSU327739 VIW327674:VIY327739 UZA327674:UZC327739 UPE327674:UPG327739 UFI327674:UFK327739 TVM327674:TVO327739 TLQ327674:TLS327739 TBU327674:TBW327739 SRY327674:SSA327739 SIC327674:SIE327739 RYG327674:RYI327739 ROK327674:ROM327739 REO327674:REQ327739 QUS327674:QUU327739 QKW327674:QKY327739 QBA327674:QBC327739 PRE327674:PRG327739 PHI327674:PHK327739 OXM327674:OXO327739 ONQ327674:ONS327739 ODU327674:ODW327739 NTY327674:NUA327739 NKC327674:NKE327739 NAG327674:NAI327739 MQK327674:MQM327739 MGO327674:MGQ327739 LWS327674:LWU327739 LMW327674:LMY327739 LDA327674:LDC327739 KTE327674:KTG327739 KJI327674:KJK327739 JZM327674:JZO327739 JPQ327674:JPS327739 JFU327674:JFW327739 IVY327674:IWA327739 IMC327674:IME327739 ICG327674:ICI327739 HSK327674:HSM327739 HIO327674:HIQ327739 GYS327674:GYU327739 GOW327674:GOY327739 GFA327674:GFC327739 FVE327674:FVG327739 FLI327674:FLK327739 FBM327674:FBO327739 ERQ327674:ERS327739 EHU327674:EHW327739 DXY327674:DYA327739 DOC327674:DOE327739 DEG327674:DEI327739 CUK327674:CUM327739 CKO327674:CKQ327739 CAS327674:CAU327739 BQW327674:BQY327739 BHA327674:BHC327739 AXE327674:AXG327739 ANI327674:ANK327739 ADM327674:ADO327739 TQ327674:TS327739 JU327674:JW327739 Y327674:AA327739 WWG262138:WWI262203 WMK262138:WMM262203 WCO262138:WCQ262203 VSS262138:VSU262203 VIW262138:VIY262203 UZA262138:UZC262203 UPE262138:UPG262203 UFI262138:UFK262203 TVM262138:TVO262203 TLQ262138:TLS262203 TBU262138:TBW262203 SRY262138:SSA262203 SIC262138:SIE262203 RYG262138:RYI262203 ROK262138:ROM262203 REO262138:REQ262203 QUS262138:QUU262203 QKW262138:QKY262203 QBA262138:QBC262203 PRE262138:PRG262203 PHI262138:PHK262203 OXM262138:OXO262203 ONQ262138:ONS262203 ODU262138:ODW262203 NTY262138:NUA262203 NKC262138:NKE262203 NAG262138:NAI262203 MQK262138:MQM262203 MGO262138:MGQ262203 LWS262138:LWU262203 LMW262138:LMY262203 LDA262138:LDC262203 KTE262138:KTG262203 KJI262138:KJK262203 JZM262138:JZO262203 JPQ262138:JPS262203 JFU262138:JFW262203 IVY262138:IWA262203 IMC262138:IME262203 ICG262138:ICI262203 HSK262138:HSM262203 HIO262138:HIQ262203 GYS262138:GYU262203 GOW262138:GOY262203 GFA262138:GFC262203 FVE262138:FVG262203 FLI262138:FLK262203 FBM262138:FBO262203 ERQ262138:ERS262203 EHU262138:EHW262203 DXY262138:DYA262203 DOC262138:DOE262203 DEG262138:DEI262203 CUK262138:CUM262203 CKO262138:CKQ262203 CAS262138:CAU262203 BQW262138:BQY262203 BHA262138:BHC262203 AXE262138:AXG262203 ANI262138:ANK262203 ADM262138:ADO262203 TQ262138:TS262203 JU262138:JW262203 Y262138:AA262203 WWG196602:WWI196667 WMK196602:WMM196667 WCO196602:WCQ196667 VSS196602:VSU196667 VIW196602:VIY196667 UZA196602:UZC196667 UPE196602:UPG196667 UFI196602:UFK196667 TVM196602:TVO196667 TLQ196602:TLS196667 TBU196602:TBW196667 SRY196602:SSA196667 SIC196602:SIE196667 RYG196602:RYI196667 ROK196602:ROM196667 REO196602:REQ196667 QUS196602:QUU196667 QKW196602:QKY196667 QBA196602:QBC196667 PRE196602:PRG196667 PHI196602:PHK196667 OXM196602:OXO196667 ONQ196602:ONS196667 ODU196602:ODW196667 NTY196602:NUA196667 NKC196602:NKE196667 NAG196602:NAI196667 MQK196602:MQM196667 MGO196602:MGQ196667 LWS196602:LWU196667 LMW196602:LMY196667 LDA196602:LDC196667 KTE196602:KTG196667 KJI196602:KJK196667 JZM196602:JZO196667 JPQ196602:JPS196667 JFU196602:JFW196667 IVY196602:IWA196667 IMC196602:IME196667 ICG196602:ICI196667 HSK196602:HSM196667 HIO196602:HIQ196667 GYS196602:GYU196667 GOW196602:GOY196667 GFA196602:GFC196667 FVE196602:FVG196667 FLI196602:FLK196667 FBM196602:FBO196667 ERQ196602:ERS196667 EHU196602:EHW196667 DXY196602:DYA196667 DOC196602:DOE196667 DEG196602:DEI196667 CUK196602:CUM196667 CKO196602:CKQ196667 CAS196602:CAU196667 BQW196602:BQY196667 BHA196602:BHC196667 AXE196602:AXG196667 ANI196602:ANK196667 ADM196602:ADO196667 TQ196602:TS196667 JU196602:JW196667 Y196602:AA196667 WWG131066:WWI131131 WMK131066:WMM131131 WCO131066:WCQ131131 VSS131066:VSU131131 VIW131066:VIY131131 UZA131066:UZC131131 UPE131066:UPG131131 UFI131066:UFK131131 TVM131066:TVO131131 TLQ131066:TLS131131 TBU131066:TBW131131 SRY131066:SSA131131 SIC131066:SIE131131 RYG131066:RYI131131 ROK131066:ROM131131 REO131066:REQ131131 QUS131066:QUU131131 QKW131066:QKY131131 QBA131066:QBC131131 PRE131066:PRG131131 PHI131066:PHK131131 OXM131066:OXO131131 ONQ131066:ONS131131 ODU131066:ODW131131 NTY131066:NUA131131 NKC131066:NKE131131 NAG131066:NAI131131 MQK131066:MQM131131 MGO131066:MGQ131131 LWS131066:LWU131131 LMW131066:LMY131131 LDA131066:LDC131131 KTE131066:KTG131131 KJI131066:KJK131131 JZM131066:JZO131131 JPQ131066:JPS131131 JFU131066:JFW131131 IVY131066:IWA131131 IMC131066:IME131131 ICG131066:ICI131131 HSK131066:HSM131131 HIO131066:HIQ131131 GYS131066:GYU131131 GOW131066:GOY131131 GFA131066:GFC131131 FVE131066:FVG131131 FLI131066:FLK131131 FBM131066:FBO131131 ERQ131066:ERS131131 EHU131066:EHW131131 DXY131066:DYA131131 DOC131066:DOE131131 DEG131066:DEI131131 CUK131066:CUM131131 CKO131066:CKQ131131 CAS131066:CAU131131 BQW131066:BQY131131 BHA131066:BHC131131 AXE131066:AXG131131 ANI131066:ANK131131 ADM131066:ADO131131 TQ131066:TS131131 JU131066:JW131131 Y131066:AA131131 WWG65530:WWI65595 WMK65530:WMM65595 WCO65530:WCQ65595 VSS65530:VSU65595 VIW65530:VIY65595 UZA65530:UZC65595 UPE65530:UPG65595 UFI65530:UFK65595 TVM65530:TVO65595 TLQ65530:TLS65595 TBU65530:TBW65595 SRY65530:SSA65595 SIC65530:SIE65595 RYG65530:RYI65595 ROK65530:ROM65595 REO65530:REQ65595 QUS65530:QUU65595 QKW65530:QKY65595 QBA65530:QBC65595 PRE65530:PRG65595 PHI65530:PHK65595 OXM65530:OXO65595 ONQ65530:ONS65595 ODU65530:ODW65595 NTY65530:NUA65595 NKC65530:NKE65595 NAG65530:NAI65595 MQK65530:MQM65595 MGO65530:MGQ65595 LWS65530:LWU65595 LMW65530:LMY65595 LDA65530:LDC65595 KTE65530:KTG65595 KJI65530:KJK65595 JZM65530:JZO65595 JPQ65530:JPS65595 JFU65530:JFW65595 IVY65530:IWA65595 IMC65530:IME65595 ICG65530:ICI65595 HSK65530:HSM65595 HIO65530:HIQ65595 GYS65530:GYU65595 GOW65530:GOY65595 GFA65530:GFC65595 FVE65530:FVG65595 FLI65530:FLK65595 FBM65530:FBO65595 ERQ65530:ERS65595 EHU65530:EHW65595 DXY65530:DYA65595 DOC65530:DOE65595 DEG65530:DEI65595 CUK65530:CUM65595 CKO65530:CKQ65595 CAS65530:CAU65595 BQW65530:BQY65595 BHA65530:BHC65595 AXE65530:AXG65595 ANI65530:ANK65595 ADM65530:ADO65595 TQ65530:TS65595 JU65530:JW65595 Y65530:AA65595 WWG983034:WWI983099 WWG1047395:WWI1047460 WMK1047395:WMM1047460 WCO1047395:WCQ1047460 VSS1047395:VSU1047460 VIW1047395:VIY1047460 UZA1047395:UZC1047460 UPE1047395:UPG1047460 UFI1047395:UFK1047460 TVM1047395:TVO1047460 TLQ1047395:TLS1047460 TBU1047395:TBW1047460 SRY1047395:SSA1047460 SIC1047395:SIE1047460 RYG1047395:RYI1047460 ROK1047395:ROM1047460 REO1047395:REQ1047460 QUS1047395:QUU1047460 QKW1047395:QKY1047460 QBA1047395:QBC1047460 PRE1047395:PRG1047460 PHI1047395:PHK1047460 OXM1047395:OXO1047460 ONQ1047395:ONS1047460 ODU1047395:ODW1047460 NTY1047395:NUA1047460 NKC1047395:NKE1047460 NAG1047395:NAI1047460 MQK1047395:MQM1047460 MGO1047395:MGQ1047460 LWS1047395:LWU1047460 LMW1047395:LMY1047460 LDA1047395:LDC1047460 KTE1047395:KTG1047460 KJI1047395:KJK1047460 JZM1047395:JZO1047460 JPQ1047395:JPS1047460 JFU1047395:JFW1047460 IVY1047395:IWA1047460 IMC1047395:IME1047460 ICG1047395:ICI1047460 HSK1047395:HSM1047460 HIO1047395:HIQ1047460 GYS1047395:GYU1047460 GOW1047395:GOY1047460 GFA1047395:GFC1047460 FVE1047395:FVG1047460 FLI1047395:FLK1047460 FBM1047395:FBO1047460 ERQ1047395:ERS1047460 EHU1047395:EHW1047460 DXY1047395:DYA1047460 DOC1047395:DOE1047460 DEG1047395:DEI1047460 CUK1047395:CUM1047460 CKO1047395:CKQ1047460 CAS1047395:CAU1047460 BQW1047395:BQY1047460 BHA1047395:BHC1047460 AXE1047395:AXG1047460 ANI1047395:ANK1047460 ADM1047395:ADO1047460 TQ1047395:TS1047460 JU1047395:JW1047460 Y1047395:AA1047460 WWG981859:WWI981924 WMK981859:WMM981924 WCO981859:WCQ981924 VSS981859:VSU981924 VIW981859:VIY981924 UZA981859:UZC981924 UPE981859:UPG981924 UFI981859:UFK981924 TVM981859:TVO981924 TLQ981859:TLS981924 TBU981859:TBW981924 SRY981859:SSA981924 SIC981859:SIE981924 RYG981859:RYI981924 ROK981859:ROM981924 REO981859:REQ981924 QUS981859:QUU981924 QKW981859:QKY981924 QBA981859:QBC981924 PRE981859:PRG981924 PHI981859:PHK981924 OXM981859:OXO981924 ONQ981859:ONS981924 ODU981859:ODW981924 NTY981859:NUA981924 NKC981859:NKE981924 NAG981859:NAI981924 MQK981859:MQM981924 MGO981859:MGQ981924 LWS981859:LWU981924 LMW981859:LMY981924 LDA981859:LDC981924 KTE981859:KTG981924 KJI981859:KJK981924 JZM981859:JZO981924 JPQ981859:JPS981924 JFU981859:JFW981924 IVY981859:IWA981924 IMC981859:IME981924 ICG981859:ICI981924 HSK981859:HSM981924 HIO981859:HIQ981924 GYS981859:GYU981924 GOW981859:GOY981924 GFA981859:GFC981924 FVE981859:FVG981924 FLI981859:FLK981924 FBM981859:FBO981924 ERQ981859:ERS981924 EHU981859:EHW981924 DXY981859:DYA981924 DOC981859:DOE981924 DEG981859:DEI981924 CUK981859:CUM981924 CKO981859:CKQ981924 CAS981859:CAU981924 BQW981859:BQY981924 BHA981859:BHC981924 AXE981859:AXG981924 ANI981859:ANK981924 ADM981859:ADO981924 TQ981859:TS981924 JU981859:JW981924 Y981859:AA981924 WWG916323:WWI916388 WMK916323:WMM916388 WCO916323:WCQ916388 VSS916323:VSU916388 VIW916323:VIY916388 UZA916323:UZC916388 UPE916323:UPG916388 UFI916323:UFK916388 TVM916323:TVO916388 TLQ916323:TLS916388 TBU916323:TBW916388 SRY916323:SSA916388 SIC916323:SIE916388 RYG916323:RYI916388 ROK916323:ROM916388 REO916323:REQ916388 QUS916323:QUU916388 QKW916323:QKY916388 QBA916323:QBC916388 PRE916323:PRG916388 PHI916323:PHK916388 OXM916323:OXO916388 ONQ916323:ONS916388 ODU916323:ODW916388 NTY916323:NUA916388 NKC916323:NKE916388 NAG916323:NAI916388 MQK916323:MQM916388 MGO916323:MGQ916388 LWS916323:LWU916388 LMW916323:LMY916388 LDA916323:LDC916388 KTE916323:KTG916388 KJI916323:KJK916388 JZM916323:JZO916388 JPQ916323:JPS916388 JFU916323:JFW916388 IVY916323:IWA916388 IMC916323:IME916388 ICG916323:ICI916388 HSK916323:HSM916388 HIO916323:HIQ916388 GYS916323:GYU916388 GOW916323:GOY916388 GFA916323:GFC916388 FVE916323:FVG916388 FLI916323:FLK916388 FBM916323:FBO916388 ERQ916323:ERS916388 EHU916323:EHW916388 DXY916323:DYA916388 DOC916323:DOE916388 DEG916323:DEI916388 CUK916323:CUM916388 CKO916323:CKQ916388 CAS916323:CAU916388 BQW916323:BQY916388 BHA916323:BHC916388 AXE916323:AXG916388 ANI916323:ANK916388 ADM916323:ADO916388 TQ916323:TS916388 JU916323:JW916388 Y916323:AA916388 WWG850787:WWI850852 WMK850787:WMM850852 WCO850787:WCQ850852 VSS850787:VSU850852 VIW850787:VIY850852 UZA850787:UZC850852 UPE850787:UPG850852 UFI850787:UFK850852 TVM850787:TVO850852 TLQ850787:TLS850852 TBU850787:TBW850852 SRY850787:SSA850852 SIC850787:SIE850852 RYG850787:RYI850852 ROK850787:ROM850852 REO850787:REQ850852 QUS850787:QUU850852 QKW850787:QKY850852 QBA850787:QBC850852 PRE850787:PRG850852 PHI850787:PHK850852 OXM850787:OXO850852 ONQ850787:ONS850852 ODU850787:ODW850852 NTY850787:NUA850852 NKC850787:NKE850852 NAG850787:NAI850852 MQK850787:MQM850852 MGO850787:MGQ850852 LWS850787:LWU850852 LMW850787:LMY850852 LDA850787:LDC850852 KTE850787:KTG850852 KJI850787:KJK850852 JZM850787:JZO850852 JPQ850787:JPS850852 JFU850787:JFW850852 IVY850787:IWA850852 IMC850787:IME850852 ICG850787:ICI850852 HSK850787:HSM850852 HIO850787:HIQ850852 GYS850787:GYU850852 GOW850787:GOY850852 GFA850787:GFC850852 FVE850787:FVG850852 FLI850787:FLK850852 FBM850787:FBO850852 ERQ850787:ERS850852 EHU850787:EHW850852 DXY850787:DYA850852 DOC850787:DOE850852 DEG850787:DEI850852 CUK850787:CUM850852 CKO850787:CKQ850852 CAS850787:CAU850852 BQW850787:BQY850852 BHA850787:BHC850852 AXE850787:AXG850852 ANI850787:ANK850852 ADM850787:ADO850852 TQ850787:TS850852 JU850787:JW850852 Y850787:AA850852 WWG785251:WWI785316 WMK785251:WMM785316 WCO785251:WCQ785316 VSS785251:VSU785316 VIW785251:VIY785316 UZA785251:UZC785316 UPE785251:UPG785316 UFI785251:UFK785316 TVM785251:TVO785316 TLQ785251:TLS785316 TBU785251:TBW785316 SRY785251:SSA785316 SIC785251:SIE785316 RYG785251:RYI785316 ROK785251:ROM785316 REO785251:REQ785316 QUS785251:QUU785316 QKW785251:QKY785316 QBA785251:QBC785316 PRE785251:PRG785316 PHI785251:PHK785316 OXM785251:OXO785316 ONQ785251:ONS785316 ODU785251:ODW785316 NTY785251:NUA785316 NKC785251:NKE785316 NAG785251:NAI785316 MQK785251:MQM785316 MGO785251:MGQ785316 LWS785251:LWU785316 LMW785251:LMY785316 LDA785251:LDC785316 KTE785251:KTG785316 KJI785251:KJK785316 JZM785251:JZO785316 JPQ785251:JPS785316 JFU785251:JFW785316 IVY785251:IWA785316 IMC785251:IME785316 ICG785251:ICI785316 HSK785251:HSM785316 HIO785251:HIQ785316 GYS785251:GYU785316 GOW785251:GOY785316 GFA785251:GFC785316 FVE785251:FVG785316 FLI785251:FLK785316 FBM785251:FBO785316 ERQ785251:ERS785316 EHU785251:EHW785316 DXY785251:DYA785316 DOC785251:DOE785316 DEG785251:DEI785316 CUK785251:CUM785316 CKO785251:CKQ785316 CAS785251:CAU785316 BQW785251:BQY785316 BHA785251:BHC785316 AXE785251:AXG785316 ANI785251:ANK785316 ADM785251:ADO785316 TQ785251:TS785316 JU785251:JW785316 Y785251:AA785316 WWG719715:WWI719780 WMK719715:WMM719780 WCO719715:WCQ719780 VSS719715:VSU719780 VIW719715:VIY719780 UZA719715:UZC719780 UPE719715:UPG719780 UFI719715:UFK719780 TVM719715:TVO719780 TLQ719715:TLS719780 TBU719715:TBW719780 SRY719715:SSA719780 SIC719715:SIE719780 RYG719715:RYI719780 ROK719715:ROM719780 REO719715:REQ719780 QUS719715:QUU719780 QKW719715:QKY719780 QBA719715:QBC719780 PRE719715:PRG719780 PHI719715:PHK719780 OXM719715:OXO719780 ONQ719715:ONS719780 ODU719715:ODW719780 NTY719715:NUA719780 NKC719715:NKE719780 NAG719715:NAI719780 MQK719715:MQM719780 MGO719715:MGQ719780 LWS719715:LWU719780 LMW719715:LMY719780 LDA719715:LDC719780 KTE719715:KTG719780 KJI719715:KJK719780 JZM719715:JZO719780 JPQ719715:JPS719780 JFU719715:JFW719780 IVY719715:IWA719780 IMC719715:IME719780 ICG719715:ICI719780 HSK719715:HSM719780 HIO719715:HIQ719780 GYS719715:GYU719780 GOW719715:GOY719780 GFA719715:GFC719780 FVE719715:FVG719780 FLI719715:FLK719780 FBM719715:FBO719780 ERQ719715:ERS719780 EHU719715:EHW719780 DXY719715:DYA719780 DOC719715:DOE719780 DEG719715:DEI719780 CUK719715:CUM719780 CKO719715:CKQ719780 CAS719715:CAU719780 BQW719715:BQY719780 BHA719715:BHC719780 AXE719715:AXG719780 ANI719715:ANK719780 ADM719715:ADO719780 TQ719715:TS719780 JU719715:JW719780 Y719715:AA719780 WWG654179:WWI654244 WMK654179:WMM654244 WCO654179:WCQ654244 VSS654179:VSU654244 VIW654179:VIY654244 UZA654179:UZC654244 UPE654179:UPG654244 UFI654179:UFK654244 TVM654179:TVO654244 TLQ654179:TLS654244 TBU654179:TBW654244 SRY654179:SSA654244 SIC654179:SIE654244 RYG654179:RYI654244 ROK654179:ROM654244 REO654179:REQ654244 QUS654179:QUU654244 QKW654179:QKY654244 QBA654179:QBC654244 PRE654179:PRG654244 PHI654179:PHK654244 OXM654179:OXO654244 ONQ654179:ONS654244 ODU654179:ODW654244 NTY654179:NUA654244 NKC654179:NKE654244 NAG654179:NAI654244 MQK654179:MQM654244 MGO654179:MGQ654244 LWS654179:LWU654244 LMW654179:LMY654244 LDA654179:LDC654244 KTE654179:KTG654244 KJI654179:KJK654244 JZM654179:JZO654244 JPQ654179:JPS654244 JFU654179:JFW654244 IVY654179:IWA654244 IMC654179:IME654244 ICG654179:ICI654244 HSK654179:HSM654244 HIO654179:HIQ654244 GYS654179:GYU654244 GOW654179:GOY654244 GFA654179:GFC654244 FVE654179:FVG654244 FLI654179:FLK654244 FBM654179:FBO654244 ERQ654179:ERS654244 EHU654179:EHW654244 DXY654179:DYA654244 DOC654179:DOE654244 DEG654179:DEI654244 CUK654179:CUM654244 CKO654179:CKQ654244 CAS654179:CAU654244 BQW654179:BQY654244 BHA654179:BHC654244 AXE654179:AXG654244 ANI654179:ANK654244 ADM654179:ADO654244 TQ654179:TS654244 JU654179:JW654244 Y654179:AA654244 WWG588643:WWI588708 WMK588643:WMM588708 WCO588643:WCQ588708 VSS588643:VSU588708 VIW588643:VIY588708 UZA588643:UZC588708 UPE588643:UPG588708 UFI588643:UFK588708 TVM588643:TVO588708 TLQ588643:TLS588708 TBU588643:TBW588708 SRY588643:SSA588708 SIC588643:SIE588708 RYG588643:RYI588708 ROK588643:ROM588708 REO588643:REQ588708 QUS588643:QUU588708 QKW588643:QKY588708 QBA588643:QBC588708 PRE588643:PRG588708 PHI588643:PHK588708 OXM588643:OXO588708 ONQ588643:ONS588708 ODU588643:ODW588708 NTY588643:NUA588708 NKC588643:NKE588708 NAG588643:NAI588708 MQK588643:MQM588708 MGO588643:MGQ588708 LWS588643:LWU588708 LMW588643:LMY588708 LDA588643:LDC588708 KTE588643:KTG588708 KJI588643:KJK588708 JZM588643:JZO588708 JPQ588643:JPS588708 JFU588643:JFW588708 IVY588643:IWA588708 IMC588643:IME588708 ICG588643:ICI588708 HSK588643:HSM588708 HIO588643:HIQ588708 GYS588643:GYU588708 GOW588643:GOY588708 GFA588643:GFC588708 FVE588643:FVG588708 FLI588643:FLK588708 FBM588643:FBO588708 ERQ588643:ERS588708 EHU588643:EHW588708 DXY588643:DYA588708 DOC588643:DOE588708 DEG588643:DEI588708 CUK588643:CUM588708 CKO588643:CKQ588708 CAS588643:CAU588708 BQW588643:BQY588708 BHA588643:BHC588708 AXE588643:AXG588708 ANI588643:ANK588708 ADM588643:ADO588708 TQ588643:TS588708 JU588643:JW588708 Y588643:AA588708 WWG523107:WWI523172 WMK523107:WMM523172 WCO523107:WCQ523172 VSS523107:VSU523172 VIW523107:VIY523172 UZA523107:UZC523172 UPE523107:UPG523172 UFI523107:UFK523172 TVM523107:TVO523172 TLQ523107:TLS523172 TBU523107:TBW523172 SRY523107:SSA523172 SIC523107:SIE523172 RYG523107:RYI523172 ROK523107:ROM523172 REO523107:REQ523172 QUS523107:QUU523172 QKW523107:QKY523172 QBA523107:QBC523172 PRE523107:PRG523172 PHI523107:PHK523172 OXM523107:OXO523172 ONQ523107:ONS523172 ODU523107:ODW523172 NTY523107:NUA523172 NKC523107:NKE523172 NAG523107:NAI523172 MQK523107:MQM523172 MGO523107:MGQ523172 LWS523107:LWU523172 LMW523107:LMY523172 LDA523107:LDC523172 KTE523107:KTG523172 KJI523107:KJK523172 JZM523107:JZO523172 JPQ523107:JPS523172 JFU523107:JFW523172 IVY523107:IWA523172 IMC523107:IME523172 ICG523107:ICI523172 HSK523107:HSM523172 HIO523107:HIQ523172 GYS523107:GYU523172 GOW523107:GOY523172 GFA523107:GFC523172 FVE523107:FVG523172 FLI523107:FLK523172 FBM523107:FBO523172 ERQ523107:ERS523172 EHU523107:EHW523172 DXY523107:DYA523172 DOC523107:DOE523172 DEG523107:DEI523172 CUK523107:CUM523172 CKO523107:CKQ523172 CAS523107:CAU523172 BQW523107:BQY523172 BHA523107:BHC523172 AXE523107:AXG523172 ANI523107:ANK523172 ADM523107:ADO523172 TQ523107:TS523172 JU523107:JW523172 Y523107:AA523172 WWG457571:WWI457636 WMK457571:WMM457636 WCO457571:WCQ457636 VSS457571:VSU457636 VIW457571:VIY457636 UZA457571:UZC457636 UPE457571:UPG457636 UFI457571:UFK457636 TVM457571:TVO457636 TLQ457571:TLS457636 TBU457571:TBW457636 SRY457571:SSA457636 SIC457571:SIE457636 RYG457571:RYI457636 ROK457571:ROM457636 REO457571:REQ457636 QUS457571:QUU457636 QKW457571:QKY457636 QBA457571:QBC457636 PRE457571:PRG457636 PHI457571:PHK457636 OXM457571:OXO457636 ONQ457571:ONS457636 ODU457571:ODW457636 NTY457571:NUA457636 NKC457571:NKE457636 NAG457571:NAI457636 MQK457571:MQM457636 MGO457571:MGQ457636 LWS457571:LWU457636 LMW457571:LMY457636 LDA457571:LDC457636 KTE457571:KTG457636 KJI457571:KJK457636 JZM457571:JZO457636 JPQ457571:JPS457636 JFU457571:JFW457636 IVY457571:IWA457636 IMC457571:IME457636 ICG457571:ICI457636 HSK457571:HSM457636 HIO457571:HIQ457636 GYS457571:GYU457636 GOW457571:GOY457636 GFA457571:GFC457636 FVE457571:FVG457636 FLI457571:FLK457636 FBM457571:FBO457636 ERQ457571:ERS457636 EHU457571:EHW457636 DXY457571:DYA457636 DOC457571:DOE457636 DEG457571:DEI457636 CUK457571:CUM457636 CKO457571:CKQ457636 CAS457571:CAU457636 BQW457571:BQY457636 BHA457571:BHC457636 AXE457571:AXG457636 ANI457571:ANK457636 ADM457571:ADO457636 TQ457571:TS457636 JU457571:JW457636 Y457571:AA457636 WWG392035:WWI392100 WMK392035:WMM392100 WCO392035:WCQ392100 VSS392035:VSU392100 VIW392035:VIY392100 UZA392035:UZC392100 UPE392035:UPG392100 UFI392035:UFK392100 TVM392035:TVO392100 TLQ392035:TLS392100 TBU392035:TBW392100 SRY392035:SSA392100 SIC392035:SIE392100 RYG392035:RYI392100 ROK392035:ROM392100 REO392035:REQ392100 QUS392035:QUU392100 QKW392035:QKY392100 QBA392035:QBC392100 PRE392035:PRG392100 PHI392035:PHK392100 OXM392035:OXO392100 ONQ392035:ONS392100 ODU392035:ODW392100 NTY392035:NUA392100 NKC392035:NKE392100 NAG392035:NAI392100 MQK392035:MQM392100 MGO392035:MGQ392100 LWS392035:LWU392100 LMW392035:LMY392100 LDA392035:LDC392100 KTE392035:KTG392100 KJI392035:KJK392100 JZM392035:JZO392100 JPQ392035:JPS392100 JFU392035:JFW392100 IVY392035:IWA392100 IMC392035:IME392100 ICG392035:ICI392100 HSK392035:HSM392100 HIO392035:HIQ392100 GYS392035:GYU392100 GOW392035:GOY392100 GFA392035:GFC392100 FVE392035:FVG392100 FLI392035:FLK392100 FBM392035:FBO392100 ERQ392035:ERS392100 EHU392035:EHW392100 DXY392035:DYA392100 DOC392035:DOE392100 DEG392035:DEI392100 CUK392035:CUM392100 CKO392035:CKQ392100 CAS392035:CAU392100 BQW392035:BQY392100 BHA392035:BHC392100 AXE392035:AXG392100 ANI392035:ANK392100 ADM392035:ADO392100 TQ392035:TS392100 JU392035:JW392100 Y392035:AA392100 WWG326499:WWI326564 WMK326499:WMM326564 WCO326499:WCQ326564 VSS326499:VSU326564 VIW326499:VIY326564 UZA326499:UZC326564 UPE326499:UPG326564 UFI326499:UFK326564 TVM326499:TVO326564 TLQ326499:TLS326564 TBU326499:TBW326564 SRY326499:SSA326564 SIC326499:SIE326564 RYG326499:RYI326564 ROK326499:ROM326564 REO326499:REQ326564 QUS326499:QUU326564 QKW326499:QKY326564 QBA326499:QBC326564 PRE326499:PRG326564 PHI326499:PHK326564 OXM326499:OXO326564 ONQ326499:ONS326564 ODU326499:ODW326564 NTY326499:NUA326564 NKC326499:NKE326564 NAG326499:NAI326564 MQK326499:MQM326564 MGO326499:MGQ326564 LWS326499:LWU326564 LMW326499:LMY326564 LDA326499:LDC326564 KTE326499:KTG326564 KJI326499:KJK326564 JZM326499:JZO326564 JPQ326499:JPS326564 JFU326499:JFW326564 IVY326499:IWA326564 IMC326499:IME326564 ICG326499:ICI326564 HSK326499:HSM326564 HIO326499:HIQ326564 GYS326499:GYU326564 GOW326499:GOY326564 GFA326499:GFC326564 FVE326499:FVG326564 FLI326499:FLK326564 FBM326499:FBO326564 ERQ326499:ERS326564 EHU326499:EHW326564 DXY326499:DYA326564 DOC326499:DOE326564 DEG326499:DEI326564 CUK326499:CUM326564 CKO326499:CKQ326564 CAS326499:CAU326564 BQW326499:BQY326564 BHA326499:BHC326564 AXE326499:AXG326564 ANI326499:ANK326564 ADM326499:ADO326564 TQ326499:TS326564 JU326499:JW326564 Y326499:AA326564 WWG260963:WWI261028 WMK260963:WMM261028 WCO260963:WCQ261028 VSS260963:VSU261028 VIW260963:VIY261028 UZA260963:UZC261028 UPE260963:UPG261028 UFI260963:UFK261028 TVM260963:TVO261028 TLQ260963:TLS261028 TBU260963:TBW261028 SRY260963:SSA261028 SIC260963:SIE261028 RYG260963:RYI261028 ROK260963:ROM261028 REO260963:REQ261028 QUS260963:QUU261028 QKW260963:QKY261028 QBA260963:QBC261028 PRE260963:PRG261028 PHI260963:PHK261028 OXM260963:OXO261028 ONQ260963:ONS261028 ODU260963:ODW261028 NTY260963:NUA261028 NKC260963:NKE261028 NAG260963:NAI261028 MQK260963:MQM261028 MGO260963:MGQ261028 LWS260963:LWU261028 LMW260963:LMY261028 LDA260963:LDC261028 KTE260963:KTG261028 KJI260963:KJK261028 JZM260963:JZO261028 JPQ260963:JPS261028 JFU260963:JFW261028 IVY260963:IWA261028 IMC260963:IME261028 ICG260963:ICI261028 HSK260963:HSM261028 HIO260963:HIQ261028 GYS260963:GYU261028 GOW260963:GOY261028 GFA260963:GFC261028 FVE260963:FVG261028 FLI260963:FLK261028 FBM260963:FBO261028 ERQ260963:ERS261028 EHU260963:EHW261028 DXY260963:DYA261028 DOC260963:DOE261028 DEG260963:DEI261028 CUK260963:CUM261028 CKO260963:CKQ261028 CAS260963:CAU261028 BQW260963:BQY261028 BHA260963:BHC261028 AXE260963:AXG261028 ANI260963:ANK261028 ADM260963:ADO261028 TQ260963:TS261028 JU260963:JW261028 Y260963:AA261028 WWG195427:WWI195492 WMK195427:WMM195492 WCO195427:WCQ195492 VSS195427:VSU195492 VIW195427:VIY195492 UZA195427:UZC195492 UPE195427:UPG195492 UFI195427:UFK195492 TVM195427:TVO195492 TLQ195427:TLS195492 TBU195427:TBW195492 SRY195427:SSA195492 SIC195427:SIE195492 RYG195427:RYI195492 ROK195427:ROM195492 REO195427:REQ195492 QUS195427:QUU195492 QKW195427:QKY195492 QBA195427:QBC195492 PRE195427:PRG195492 PHI195427:PHK195492 OXM195427:OXO195492 ONQ195427:ONS195492 ODU195427:ODW195492 NTY195427:NUA195492 NKC195427:NKE195492 NAG195427:NAI195492 MQK195427:MQM195492 MGO195427:MGQ195492 LWS195427:LWU195492 LMW195427:LMY195492 LDA195427:LDC195492 KTE195427:KTG195492 KJI195427:KJK195492 JZM195427:JZO195492 JPQ195427:JPS195492 JFU195427:JFW195492 IVY195427:IWA195492 IMC195427:IME195492 ICG195427:ICI195492 HSK195427:HSM195492 HIO195427:HIQ195492 GYS195427:GYU195492 GOW195427:GOY195492 GFA195427:GFC195492 FVE195427:FVG195492 FLI195427:FLK195492 FBM195427:FBO195492 ERQ195427:ERS195492 EHU195427:EHW195492 DXY195427:DYA195492 DOC195427:DOE195492 DEG195427:DEI195492 CUK195427:CUM195492 CKO195427:CKQ195492 CAS195427:CAU195492 BQW195427:BQY195492 BHA195427:BHC195492 AXE195427:AXG195492 ANI195427:ANK195492 ADM195427:ADO195492 TQ195427:TS195492 JU195427:JW195492 Y195427:AA195492 WWG129891:WWI129956 WMK129891:WMM129956 WCO129891:WCQ129956 VSS129891:VSU129956 VIW129891:VIY129956 UZA129891:UZC129956 UPE129891:UPG129956 UFI129891:UFK129956 TVM129891:TVO129956 TLQ129891:TLS129956 TBU129891:TBW129956 SRY129891:SSA129956 SIC129891:SIE129956 RYG129891:RYI129956 ROK129891:ROM129956 REO129891:REQ129956 QUS129891:QUU129956 QKW129891:QKY129956 QBA129891:QBC129956 PRE129891:PRG129956 PHI129891:PHK129956 OXM129891:OXO129956 ONQ129891:ONS129956 ODU129891:ODW129956 NTY129891:NUA129956 NKC129891:NKE129956 NAG129891:NAI129956 MQK129891:MQM129956 MGO129891:MGQ129956 LWS129891:LWU129956 LMW129891:LMY129956 LDA129891:LDC129956 KTE129891:KTG129956 KJI129891:KJK129956 JZM129891:JZO129956 JPQ129891:JPS129956 JFU129891:JFW129956 IVY129891:IWA129956 IMC129891:IME129956 ICG129891:ICI129956 HSK129891:HSM129956 HIO129891:HIQ129956 GYS129891:GYU129956 GOW129891:GOY129956 GFA129891:GFC129956 FVE129891:FVG129956 FLI129891:FLK129956 FBM129891:FBO129956 ERQ129891:ERS129956 EHU129891:EHW129956 DXY129891:DYA129956 DOC129891:DOE129956 DEG129891:DEI129956 CUK129891:CUM129956 CKO129891:CKQ129956 CAS129891:CAU129956 BQW129891:BQY129956 BHA129891:BHC129956 AXE129891:AXG129956 ANI129891:ANK129956 ADM129891:ADO129956 TQ129891:TS129956 JU129891:JW129956 Y129891:AA129956 WWG64355:WWI64420 WMK64355:WMM64420 WCO64355:WCQ64420 VSS64355:VSU64420 VIW64355:VIY64420 UZA64355:UZC64420 UPE64355:UPG64420 UFI64355:UFK64420 TVM64355:TVO64420 TLQ64355:TLS64420 TBU64355:TBW64420 SRY64355:SSA64420 SIC64355:SIE64420 RYG64355:RYI64420 ROK64355:ROM64420 REO64355:REQ64420 QUS64355:QUU64420 QKW64355:QKY64420 QBA64355:QBC64420 PRE64355:PRG64420 PHI64355:PHK64420 OXM64355:OXO64420 ONQ64355:ONS64420 ODU64355:ODW64420 NTY64355:NUA64420 NKC64355:NKE64420 NAG64355:NAI64420 MQK64355:MQM64420 MGO64355:MGQ64420 LWS64355:LWU64420 LMW64355:LMY64420 LDA64355:LDC64420 KTE64355:KTG64420 KJI64355:KJK64420 JZM64355:JZO64420 JPQ64355:JPS64420 JFU64355:JFW64420 IVY64355:IWA64420 IMC64355:IME64420 ICG64355:ICI64420 HSK64355:HSM64420 HIO64355:HIQ64420 GYS64355:GYU64420 GOW64355:GOY64420 GFA64355:GFC64420 FVE64355:FVG64420 FLI64355:FLK64420 FBM64355:FBO64420 ERQ64355:ERS64420 EHU64355:EHW64420 DXY64355:DYA64420 DOC64355:DOE64420 DEG64355:DEI64420 CUK64355:CUM64420 CKO64355:CKQ64420 CAS64355:CAU64420 BQW64355:BQY64420 BHA64355:BHC64420 AXE64355:AXG64420 ANI64355:ANK64420 ADM64355:ADO64420 TQ64355:TS64420 JU64355:JW64420">
      <formula1>$AV$2:$AV$20</formula1>
    </dataValidation>
    <dataValidation type="list" allowBlank="1" showInputMessage="1" showErrorMessage="1" sqref="H64355:H64420 WVP1047395:WVP1047460 WLT1047395:WLT1047460 WBX1047395:WBX1047460 VSB1047395:VSB1047460 VIF1047395:VIF1047460 UYJ1047395:UYJ1047460 UON1047395:UON1047460 UER1047395:UER1047460 TUV1047395:TUV1047460 TKZ1047395:TKZ1047460 TBD1047395:TBD1047460 SRH1047395:SRH1047460 SHL1047395:SHL1047460 RXP1047395:RXP1047460 RNT1047395:RNT1047460 RDX1047395:RDX1047460 QUB1047395:QUB1047460 QKF1047395:QKF1047460 QAJ1047395:QAJ1047460 PQN1047395:PQN1047460 PGR1047395:PGR1047460 OWV1047395:OWV1047460 OMZ1047395:OMZ1047460 ODD1047395:ODD1047460 NTH1047395:NTH1047460 NJL1047395:NJL1047460 MZP1047395:MZP1047460 MPT1047395:MPT1047460 MFX1047395:MFX1047460 LWB1047395:LWB1047460 LMF1047395:LMF1047460 LCJ1047395:LCJ1047460 KSN1047395:KSN1047460 KIR1047395:KIR1047460 JYV1047395:JYV1047460 JOZ1047395:JOZ1047460 JFD1047395:JFD1047460 IVH1047395:IVH1047460 ILL1047395:ILL1047460 IBP1047395:IBP1047460 HRT1047395:HRT1047460 HHX1047395:HHX1047460 GYB1047395:GYB1047460 GOF1047395:GOF1047460 GEJ1047395:GEJ1047460 FUN1047395:FUN1047460 FKR1047395:FKR1047460 FAV1047395:FAV1047460 EQZ1047395:EQZ1047460 EHD1047395:EHD1047460 DXH1047395:DXH1047460 DNL1047395:DNL1047460 DDP1047395:DDP1047460 CTT1047395:CTT1047460 CJX1047395:CJX1047460 CAB1047395:CAB1047460 BQF1047395:BQF1047460 BGJ1047395:BGJ1047460 AWN1047395:AWN1047460 AMR1047395:AMR1047460 ACV1047395:ACV1047460 SZ1047395:SZ1047460 JD1047395:JD1047460 H1047395:H1047460 WVP981859:WVP981924 WLT981859:WLT981924 WBX981859:WBX981924 VSB981859:VSB981924 VIF981859:VIF981924 UYJ981859:UYJ981924 UON981859:UON981924 UER981859:UER981924 TUV981859:TUV981924 TKZ981859:TKZ981924 TBD981859:TBD981924 SRH981859:SRH981924 SHL981859:SHL981924 RXP981859:RXP981924 RNT981859:RNT981924 RDX981859:RDX981924 QUB981859:QUB981924 QKF981859:QKF981924 QAJ981859:QAJ981924 PQN981859:PQN981924 PGR981859:PGR981924 OWV981859:OWV981924 OMZ981859:OMZ981924 ODD981859:ODD981924 NTH981859:NTH981924 NJL981859:NJL981924 MZP981859:MZP981924 MPT981859:MPT981924 MFX981859:MFX981924 LWB981859:LWB981924 LMF981859:LMF981924 LCJ981859:LCJ981924 KSN981859:KSN981924 KIR981859:KIR981924 JYV981859:JYV981924 JOZ981859:JOZ981924 JFD981859:JFD981924 IVH981859:IVH981924 ILL981859:ILL981924 IBP981859:IBP981924 HRT981859:HRT981924 HHX981859:HHX981924 GYB981859:GYB981924 GOF981859:GOF981924 GEJ981859:GEJ981924 FUN981859:FUN981924 FKR981859:FKR981924 FAV981859:FAV981924 EQZ981859:EQZ981924 EHD981859:EHD981924 DXH981859:DXH981924 DNL981859:DNL981924 DDP981859:DDP981924 CTT981859:CTT981924 CJX981859:CJX981924 CAB981859:CAB981924 BQF981859:BQF981924 BGJ981859:BGJ981924 AWN981859:AWN981924 AMR981859:AMR981924 ACV981859:ACV981924 SZ981859:SZ981924 JD981859:JD981924 H981859:H981924 WVP916323:WVP916388 WLT916323:WLT916388 WBX916323:WBX916388 VSB916323:VSB916388 VIF916323:VIF916388 UYJ916323:UYJ916388 UON916323:UON916388 UER916323:UER916388 TUV916323:TUV916388 TKZ916323:TKZ916388 TBD916323:TBD916388 SRH916323:SRH916388 SHL916323:SHL916388 RXP916323:RXP916388 RNT916323:RNT916388 RDX916323:RDX916388 QUB916323:QUB916388 QKF916323:QKF916388 QAJ916323:QAJ916388 PQN916323:PQN916388 PGR916323:PGR916388 OWV916323:OWV916388 OMZ916323:OMZ916388 ODD916323:ODD916388 NTH916323:NTH916388 NJL916323:NJL916388 MZP916323:MZP916388 MPT916323:MPT916388 MFX916323:MFX916388 LWB916323:LWB916388 LMF916323:LMF916388 LCJ916323:LCJ916388 KSN916323:KSN916388 KIR916323:KIR916388 JYV916323:JYV916388 JOZ916323:JOZ916388 JFD916323:JFD916388 IVH916323:IVH916388 ILL916323:ILL916388 IBP916323:IBP916388 HRT916323:HRT916388 HHX916323:HHX916388 GYB916323:GYB916388 GOF916323:GOF916388 GEJ916323:GEJ916388 FUN916323:FUN916388 FKR916323:FKR916388 FAV916323:FAV916388 EQZ916323:EQZ916388 EHD916323:EHD916388 DXH916323:DXH916388 DNL916323:DNL916388 DDP916323:DDP916388 CTT916323:CTT916388 CJX916323:CJX916388 CAB916323:CAB916388 BQF916323:BQF916388 BGJ916323:BGJ916388 AWN916323:AWN916388 AMR916323:AMR916388 ACV916323:ACV916388 SZ916323:SZ916388 JD916323:JD916388 H916323:H916388 WVP850787:WVP850852 WLT850787:WLT850852 WBX850787:WBX850852 VSB850787:VSB850852 VIF850787:VIF850852 UYJ850787:UYJ850852 UON850787:UON850852 UER850787:UER850852 TUV850787:TUV850852 TKZ850787:TKZ850852 TBD850787:TBD850852 SRH850787:SRH850852 SHL850787:SHL850852 RXP850787:RXP850852 RNT850787:RNT850852 RDX850787:RDX850852 QUB850787:QUB850852 QKF850787:QKF850852 QAJ850787:QAJ850852 PQN850787:PQN850852 PGR850787:PGR850852 OWV850787:OWV850852 OMZ850787:OMZ850852 ODD850787:ODD850852 NTH850787:NTH850852 NJL850787:NJL850852 MZP850787:MZP850852 MPT850787:MPT850852 MFX850787:MFX850852 LWB850787:LWB850852 LMF850787:LMF850852 LCJ850787:LCJ850852 KSN850787:KSN850852 KIR850787:KIR850852 JYV850787:JYV850852 JOZ850787:JOZ850852 JFD850787:JFD850852 IVH850787:IVH850852 ILL850787:ILL850852 IBP850787:IBP850852 HRT850787:HRT850852 HHX850787:HHX850852 GYB850787:GYB850852 GOF850787:GOF850852 GEJ850787:GEJ850852 FUN850787:FUN850852 FKR850787:FKR850852 FAV850787:FAV850852 EQZ850787:EQZ850852 EHD850787:EHD850852 DXH850787:DXH850852 DNL850787:DNL850852 DDP850787:DDP850852 CTT850787:CTT850852 CJX850787:CJX850852 CAB850787:CAB850852 BQF850787:BQF850852 BGJ850787:BGJ850852 AWN850787:AWN850852 AMR850787:AMR850852 ACV850787:ACV850852 SZ850787:SZ850852 JD850787:JD850852 H850787:H850852 WVP785251:WVP785316 WLT785251:WLT785316 WBX785251:WBX785316 VSB785251:VSB785316 VIF785251:VIF785316 UYJ785251:UYJ785316 UON785251:UON785316 UER785251:UER785316 TUV785251:TUV785316 TKZ785251:TKZ785316 TBD785251:TBD785316 SRH785251:SRH785316 SHL785251:SHL785316 RXP785251:RXP785316 RNT785251:RNT785316 RDX785251:RDX785316 QUB785251:QUB785316 QKF785251:QKF785316 QAJ785251:QAJ785316 PQN785251:PQN785316 PGR785251:PGR785316 OWV785251:OWV785316 OMZ785251:OMZ785316 ODD785251:ODD785316 NTH785251:NTH785316 NJL785251:NJL785316 MZP785251:MZP785316 MPT785251:MPT785316 MFX785251:MFX785316 LWB785251:LWB785316 LMF785251:LMF785316 LCJ785251:LCJ785316 KSN785251:KSN785316 KIR785251:KIR785316 JYV785251:JYV785316 JOZ785251:JOZ785316 JFD785251:JFD785316 IVH785251:IVH785316 ILL785251:ILL785316 IBP785251:IBP785316 HRT785251:HRT785316 HHX785251:HHX785316 GYB785251:GYB785316 GOF785251:GOF785316 GEJ785251:GEJ785316 FUN785251:FUN785316 FKR785251:FKR785316 FAV785251:FAV785316 EQZ785251:EQZ785316 EHD785251:EHD785316 DXH785251:DXH785316 DNL785251:DNL785316 DDP785251:DDP785316 CTT785251:CTT785316 CJX785251:CJX785316 CAB785251:CAB785316 BQF785251:BQF785316 BGJ785251:BGJ785316 AWN785251:AWN785316 AMR785251:AMR785316 ACV785251:ACV785316 SZ785251:SZ785316 JD785251:JD785316 H785251:H785316 WVP719715:WVP719780 WLT719715:WLT719780 WBX719715:WBX719780 VSB719715:VSB719780 VIF719715:VIF719780 UYJ719715:UYJ719780 UON719715:UON719780 UER719715:UER719780 TUV719715:TUV719780 TKZ719715:TKZ719780 TBD719715:TBD719780 SRH719715:SRH719780 SHL719715:SHL719780 RXP719715:RXP719780 RNT719715:RNT719780 RDX719715:RDX719780 QUB719715:QUB719780 QKF719715:QKF719780 QAJ719715:QAJ719780 PQN719715:PQN719780 PGR719715:PGR719780 OWV719715:OWV719780 OMZ719715:OMZ719780 ODD719715:ODD719780 NTH719715:NTH719780 NJL719715:NJL719780 MZP719715:MZP719780 MPT719715:MPT719780 MFX719715:MFX719780 LWB719715:LWB719780 LMF719715:LMF719780 LCJ719715:LCJ719780 KSN719715:KSN719780 KIR719715:KIR719780 JYV719715:JYV719780 JOZ719715:JOZ719780 JFD719715:JFD719780 IVH719715:IVH719780 ILL719715:ILL719780 IBP719715:IBP719780 HRT719715:HRT719780 HHX719715:HHX719780 GYB719715:GYB719780 GOF719715:GOF719780 GEJ719715:GEJ719780 FUN719715:FUN719780 FKR719715:FKR719780 FAV719715:FAV719780 EQZ719715:EQZ719780 EHD719715:EHD719780 DXH719715:DXH719780 DNL719715:DNL719780 DDP719715:DDP719780 CTT719715:CTT719780 CJX719715:CJX719780 CAB719715:CAB719780 BQF719715:BQF719780 BGJ719715:BGJ719780 AWN719715:AWN719780 AMR719715:AMR719780 ACV719715:ACV719780 SZ719715:SZ719780 JD719715:JD719780 H719715:H719780 WVP654179:WVP654244 WLT654179:WLT654244 WBX654179:WBX654244 VSB654179:VSB654244 VIF654179:VIF654244 UYJ654179:UYJ654244 UON654179:UON654244 UER654179:UER654244 TUV654179:TUV654244 TKZ654179:TKZ654244 TBD654179:TBD654244 SRH654179:SRH654244 SHL654179:SHL654244 RXP654179:RXP654244 RNT654179:RNT654244 RDX654179:RDX654244 QUB654179:QUB654244 QKF654179:QKF654244 QAJ654179:QAJ654244 PQN654179:PQN654244 PGR654179:PGR654244 OWV654179:OWV654244 OMZ654179:OMZ654244 ODD654179:ODD654244 NTH654179:NTH654244 NJL654179:NJL654244 MZP654179:MZP654244 MPT654179:MPT654244 MFX654179:MFX654244 LWB654179:LWB654244 LMF654179:LMF654244 LCJ654179:LCJ654244 KSN654179:KSN654244 KIR654179:KIR654244 JYV654179:JYV654244 JOZ654179:JOZ654244 JFD654179:JFD654244 IVH654179:IVH654244 ILL654179:ILL654244 IBP654179:IBP654244 HRT654179:HRT654244 HHX654179:HHX654244 GYB654179:GYB654244 GOF654179:GOF654244 GEJ654179:GEJ654244 FUN654179:FUN654244 FKR654179:FKR654244 FAV654179:FAV654244 EQZ654179:EQZ654244 EHD654179:EHD654244 DXH654179:DXH654244 DNL654179:DNL654244 DDP654179:DDP654244 CTT654179:CTT654244 CJX654179:CJX654244 CAB654179:CAB654244 BQF654179:BQF654244 BGJ654179:BGJ654244 AWN654179:AWN654244 AMR654179:AMR654244 ACV654179:ACV654244 SZ654179:SZ654244 JD654179:JD654244 H654179:H654244 WVP588643:WVP588708 WLT588643:WLT588708 WBX588643:WBX588708 VSB588643:VSB588708 VIF588643:VIF588708 UYJ588643:UYJ588708 UON588643:UON588708 UER588643:UER588708 TUV588643:TUV588708 TKZ588643:TKZ588708 TBD588643:TBD588708 SRH588643:SRH588708 SHL588643:SHL588708 RXP588643:RXP588708 RNT588643:RNT588708 RDX588643:RDX588708 QUB588643:QUB588708 QKF588643:QKF588708 QAJ588643:QAJ588708 PQN588643:PQN588708 PGR588643:PGR588708 OWV588643:OWV588708 OMZ588643:OMZ588708 ODD588643:ODD588708 NTH588643:NTH588708 NJL588643:NJL588708 MZP588643:MZP588708 MPT588643:MPT588708 MFX588643:MFX588708 LWB588643:LWB588708 LMF588643:LMF588708 LCJ588643:LCJ588708 KSN588643:KSN588708 KIR588643:KIR588708 JYV588643:JYV588708 JOZ588643:JOZ588708 JFD588643:JFD588708 IVH588643:IVH588708 ILL588643:ILL588708 IBP588643:IBP588708 HRT588643:HRT588708 HHX588643:HHX588708 GYB588643:GYB588708 GOF588643:GOF588708 GEJ588643:GEJ588708 FUN588643:FUN588708 FKR588643:FKR588708 FAV588643:FAV588708 EQZ588643:EQZ588708 EHD588643:EHD588708 DXH588643:DXH588708 DNL588643:DNL588708 DDP588643:DDP588708 CTT588643:CTT588708 CJX588643:CJX588708 CAB588643:CAB588708 BQF588643:BQF588708 BGJ588643:BGJ588708 AWN588643:AWN588708 AMR588643:AMR588708 ACV588643:ACV588708 SZ588643:SZ588708 JD588643:JD588708 H588643:H588708 WVP523107:WVP523172 WLT523107:WLT523172 WBX523107:WBX523172 VSB523107:VSB523172 VIF523107:VIF523172 UYJ523107:UYJ523172 UON523107:UON523172 UER523107:UER523172 TUV523107:TUV523172 TKZ523107:TKZ523172 TBD523107:TBD523172 SRH523107:SRH523172 SHL523107:SHL523172 RXP523107:RXP523172 RNT523107:RNT523172 RDX523107:RDX523172 QUB523107:QUB523172 QKF523107:QKF523172 QAJ523107:QAJ523172 PQN523107:PQN523172 PGR523107:PGR523172 OWV523107:OWV523172 OMZ523107:OMZ523172 ODD523107:ODD523172 NTH523107:NTH523172 NJL523107:NJL523172 MZP523107:MZP523172 MPT523107:MPT523172 MFX523107:MFX523172 LWB523107:LWB523172 LMF523107:LMF523172 LCJ523107:LCJ523172 KSN523107:KSN523172 KIR523107:KIR523172 JYV523107:JYV523172 JOZ523107:JOZ523172 JFD523107:JFD523172 IVH523107:IVH523172 ILL523107:ILL523172 IBP523107:IBP523172 HRT523107:HRT523172 HHX523107:HHX523172 GYB523107:GYB523172 GOF523107:GOF523172 GEJ523107:GEJ523172 FUN523107:FUN523172 FKR523107:FKR523172 FAV523107:FAV523172 EQZ523107:EQZ523172 EHD523107:EHD523172 DXH523107:DXH523172 DNL523107:DNL523172 DDP523107:DDP523172 CTT523107:CTT523172 CJX523107:CJX523172 CAB523107:CAB523172 BQF523107:BQF523172 BGJ523107:BGJ523172 AWN523107:AWN523172 AMR523107:AMR523172 ACV523107:ACV523172 SZ523107:SZ523172 JD523107:JD523172 H523107:H523172 WVP457571:WVP457636 WLT457571:WLT457636 WBX457571:WBX457636 VSB457571:VSB457636 VIF457571:VIF457636 UYJ457571:UYJ457636 UON457571:UON457636 UER457571:UER457636 TUV457571:TUV457636 TKZ457571:TKZ457636 TBD457571:TBD457636 SRH457571:SRH457636 SHL457571:SHL457636 RXP457571:RXP457636 RNT457571:RNT457636 RDX457571:RDX457636 QUB457571:QUB457636 QKF457571:QKF457636 QAJ457571:QAJ457636 PQN457571:PQN457636 PGR457571:PGR457636 OWV457571:OWV457636 OMZ457571:OMZ457636 ODD457571:ODD457636 NTH457571:NTH457636 NJL457571:NJL457636 MZP457571:MZP457636 MPT457571:MPT457636 MFX457571:MFX457636 LWB457571:LWB457636 LMF457571:LMF457636 LCJ457571:LCJ457636 KSN457571:KSN457636 KIR457571:KIR457636 JYV457571:JYV457636 JOZ457571:JOZ457636 JFD457571:JFD457636 IVH457571:IVH457636 ILL457571:ILL457636 IBP457571:IBP457636 HRT457571:HRT457636 HHX457571:HHX457636 GYB457571:GYB457636 GOF457571:GOF457636 GEJ457571:GEJ457636 FUN457571:FUN457636 FKR457571:FKR457636 FAV457571:FAV457636 EQZ457571:EQZ457636 EHD457571:EHD457636 DXH457571:DXH457636 DNL457571:DNL457636 DDP457571:DDP457636 CTT457571:CTT457636 CJX457571:CJX457636 CAB457571:CAB457636 BQF457571:BQF457636 BGJ457571:BGJ457636 AWN457571:AWN457636 AMR457571:AMR457636 ACV457571:ACV457636 SZ457571:SZ457636 JD457571:JD457636 H457571:H457636 WVP392035:WVP392100 WLT392035:WLT392100 WBX392035:WBX392100 VSB392035:VSB392100 VIF392035:VIF392100 UYJ392035:UYJ392100 UON392035:UON392100 UER392035:UER392100 TUV392035:TUV392100 TKZ392035:TKZ392100 TBD392035:TBD392100 SRH392035:SRH392100 SHL392035:SHL392100 RXP392035:RXP392100 RNT392035:RNT392100 RDX392035:RDX392100 QUB392035:QUB392100 QKF392035:QKF392100 QAJ392035:QAJ392100 PQN392035:PQN392100 PGR392035:PGR392100 OWV392035:OWV392100 OMZ392035:OMZ392100 ODD392035:ODD392100 NTH392035:NTH392100 NJL392035:NJL392100 MZP392035:MZP392100 MPT392035:MPT392100 MFX392035:MFX392100 LWB392035:LWB392100 LMF392035:LMF392100 LCJ392035:LCJ392100 KSN392035:KSN392100 KIR392035:KIR392100 JYV392035:JYV392100 JOZ392035:JOZ392100 JFD392035:JFD392100 IVH392035:IVH392100 ILL392035:ILL392100 IBP392035:IBP392100 HRT392035:HRT392100 HHX392035:HHX392100 GYB392035:GYB392100 GOF392035:GOF392100 GEJ392035:GEJ392100 FUN392035:FUN392100 FKR392035:FKR392100 FAV392035:FAV392100 EQZ392035:EQZ392100 EHD392035:EHD392100 DXH392035:DXH392100 DNL392035:DNL392100 DDP392035:DDP392100 CTT392035:CTT392100 CJX392035:CJX392100 CAB392035:CAB392100 BQF392035:BQF392100 BGJ392035:BGJ392100 AWN392035:AWN392100 AMR392035:AMR392100 ACV392035:ACV392100 SZ392035:SZ392100 JD392035:JD392100 H392035:H392100 WVP326499:WVP326564 WLT326499:WLT326564 WBX326499:WBX326564 VSB326499:VSB326564 VIF326499:VIF326564 UYJ326499:UYJ326564 UON326499:UON326564 UER326499:UER326564 TUV326499:TUV326564 TKZ326499:TKZ326564 TBD326499:TBD326564 SRH326499:SRH326564 SHL326499:SHL326564 RXP326499:RXP326564 RNT326499:RNT326564 RDX326499:RDX326564 QUB326499:QUB326564 QKF326499:QKF326564 QAJ326499:QAJ326564 PQN326499:PQN326564 PGR326499:PGR326564 OWV326499:OWV326564 OMZ326499:OMZ326564 ODD326499:ODD326564 NTH326499:NTH326564 NJL326499:NJL326564 MZP326499:MZP326564 MPT326499:MPT326564 MFX326499:MFX326564 LWB326499:LWB326564 LMF326499:LMF326564 LCJ326499:LCJ326564 KSN326499:KSN326564 KIR326499:KIR326564 JYV326499:JYV326564 JOZ326499:JOZ326564 JFD326499:JFD326564 IVH326499:IVH326564 ILL326499:ILL326564 IBP326499:IBP326564 HRT326499:HRT326564 HHX326499:HHX326564 GYB326499:GYB326564 GOF326499:GOF326564 GEJ326499:GEJ326564 FUN326499:FUN326564 FKR326499:FKR326564 FAV326499:FAV326564 EQZ326499:EQZ326564 EHD326499:EHD326564 DXH326499:DXH326564 DNL326499:DNL326564 DDP326499:DDP326564 CTT326499:CTT326564 CJX326499:CJX326564 CAB326499:CAB326564 BQF326499:BQF326564 BGJ326499:BGJ326564 AWN326499:AWN326564 AMR326499:AMR326564 ACV326499:ACV326564 SZ326499:SZ326564 JD326499:JD326564 H326499:H326564 WVP260963:WVP261028 WLT260963:WLT261028 WBX260963:WBX261028 VSB260963:VSB261028 VIF260963:VIF261028 UYJ260963:UYJ261028 UON260963:UON261028 UER260963:UER261028 TUV260963:TUV261028 TKZ260963:TKZ261028 TBD260963:TBD261028 SRH260963:SRH261028 SHL260963:SHL261028 RXP260963:RXP261028 RNT260963:RNT261028 RDX260963:RDX261028 QUB260963:QUB261028 QKF260963:QKF261028 QAJ260963:QAJ261028 PQN260963:PQN261028 PGR260963:PGR261028 OWV260963:OWV261028 OMZ260963:OMZ261028 ODD260963:ODD261028 NTH260963:NTH261028 NJL260963:NJL261028 MZP260963:MZP261028 MPT260963:MPT261028 MFX260963:MFX261028 LWB260963:LWB261028 LMF260963:LMF261028 LCJ260963:LCJ261028 KSN260963:KSN261028 KIR260963:KIR261028 JYV260963:JYV261028 JOZ260963:JOZ261028 JFD260963:JFD261028 IVH260963:IVH261028 ILL260963:ILL261028 IBP260963:IBP261028 HRT260963:HRT261028 HHX260963:HHX261028 GYB260963:GYB261028 GOF260963:GOF261028 GEJ260963:GEJ261028 FUN260963:FUN261028 FKR260963:FKR261028 FAV260963:FAV261028 EQZ260963:EQZ261028 EHD260963:EHD261028 DXH260963:DXH261028 DNL260963:DNL261028 DDP260963:DDP261028 CTT260963:CTT261028 CJX260963:CJX261028 CAB260963:CAB261028 BQF260963:BQF261028 BGJ260963:BGJ261028 AWN260963:AWN261028 AMR260963:AMR261028 ACV260963:ACV261028 SZ260963:SZ261028 JD260963:JD261028 H260963:H261028 WVP195427:WVP195492 WLT195427:WLT195492 WBX195427:WBX195492 VSB195427:VSB195492 VIF195427:VIF195492 UYJ195427:UYJ195492 UON195427:UON195492 UER195427:UER195492 TUV195427:TUV195492 TKZ195427:TKZ195492 TBD195427:TBD195492 SRH195427:SRH195492 SHL195427:SHL195492 RXP195427:RXP195492 RNT195427:RNT195492 RDX195427:RDX195492 QUB195427:QUB195492 QKF195427:QKF195492 QAJ195427:QAJ195492 PQN195427:PQN195492 PGR195427:PGR195492 OWV195427:OWV195492 OMZ195427:OMZ195492 ODD195427:ODD195492 NTH195427:NTH195492 NJL195427:NJL195492 MZP195427:MZP195492 MPT195427:MPT195492 MFX195427:MFX195492 LWB195427:LWB195492 LMF195427:LMF195492 LCJ195427:LCJ195492 KSN195427:KSN195492 KIR195427:KIR195492 JYV195427:JYV195492 JOZ195427:JOZ195492 JFD195427:JFD195492 IVH195427:IVH195492 ILL195427:ILL195492 IBP195427:IBP195492 HRT195427:HRT195492 HHX195427:HHX195492 GYB195427:GYB195492 GOF195427:GOF195492 GEJ195427:GEJ195492 FUN195427:FUN195492 FKR195427:FKR195492 FAV195427:FAV195492 EQZ195427:EQZ195492 EHD195427:EHD195492 DXH195427:DXH195492 DNL195427:DNL195492 DDP195427:DDP195492 CTT195427:CTT195492 CJX195427:CJX195492 CAB195427:CAB195492 BQF195427:BQF195492 BGJ195427:BGJ195492 AWN195427:AWN195492 AMR195427:AMR195492 ACV195427:ACV195492 SZ195427:SZ195492 JD195427:JD195492 H195427:H195492 WVP129891:WVP129956 WLT129891:WLT129956 WBX129891:WBX129956 VSB129891:VSB129956 VIF129891:VIF129956 UYJ129891:UYJ129956 UON129891:UON129956 UER129891:UER129956 TUV129891:TUV129956 TKZ129891:TKZ129956 TBD129891:TBD129956 SRH129891:SRH129956 SHL129891:SHL129956 RXP129891:RXP129956 RNT129891:RNT129956 RDX129891:RDX129956 QUB129891:QUB129956 QKF129891:QKF129956 QAJ129891:QAJ129956 PQN129891:PQN129956 PGR129891:PGR129956 OWV129891:OWV129956 OMZ129891:OMZ129956 ODD129891:ODD129956 NTH129891:NTH129956 NJL129891:NJL129956 MZP129891:MZP129956 MPT129891:MPT129956 MFX129891:MFX129956 LWB129891:LWB129956 LMF129891:LMF129956 LCJ129891:LCJ129956 KSN129891:KSN129956 KIR129891:KIR129956 JYV129891:JYV129956 JOZ129891:JOZ129956 JFD129891:JFD129956 IVH129891:IVH129956 ILL129891:ILL129956 IBP129891:IBP129956 HRT129891:HRT129956 HHX129891:HHX129956 GYB129891:GYB129956 GOF129891:GOF129956 GEJ129891:GEJ129956 FUN129891:FUN129956 FKR129891:FKR129956 FAV129891:FAV129956 EQZ129891:EQZ129956 EHD129891:EHD129956 DXH129891:DXH129956 DNL129891:DNL129956 DDP129891:DDP129956 CTT129891:CTT129956 CJX129891:CJX129956 CAB129891:CAB129956 BQF129891:BQF129956 BGJ129891:BGJ129956 AWN129891:AWN129956 AMR129891:AMR129956 ACV129891:ACV129956 SZ129891:SZ129956 JD129891:JD129956 H129891:H129956 WVP64355:WVP64420 WLT64355:WLT64420 WBX64355:WBX64420 VSB64355:VSB64420 VIF64355:VIF64420 UYJ64355:UYJ64420 UON64355:UON64420 UER64355:UER64420 TUV64355:TUV64420 TKZ64355:TKZ64420 TBD64355:TBD64420 SRH64355:SRH64420 SHL64355:SHL64420 RXP64355:RXP64420 RNT64355:RNT64420 RDX64355:RDX64420 QUB64355:QUB64420 QKF64355:QKF64420 QAJ64355:QAJ64420 PQN64355:PQN64420 PGR64355:PGR64420 OWV64355:OWV64420 OMZ64355:OMZ64420 ODD64355:ODD64420 NTH64355:NTH64420 NJL64355:NJL64420 MZP64355:MZP64420 MPT64355:MPT64420 MFX64355:MFX64420 LWB64355:LWB64420 LMF64355:LMF64420 LCJ64355:LCJ64420 KSN64355:KSN64420 KIR64355:KIR64420 JYV64355:JYV64420 JOZ64355:JOZ64420 JFD64355:JFD64420 IVH64355:IVH64420 ILL64355:ILL64420 IBP64355:IBP64420 HRT64355:HRT64420 HHX64355:HHX64420 GYB64355:GYB64420 GOF64355:GOF64420 GEJ64355:GEJ64420 FUN64355:FUN64420 FKR64355:FKR64420 FAV64355:FAV64420 EQZ64355:EQZ64420 EHD64355:EHD64420 DXH64355:DXH64420 DNL64355:DNL64420 DDP64355:DDP64420 CTT64355:CTT64420 CJX64355:CJX64420 CAB64355:CAB64420 BQF64355:BQF64420 BGJ64355:BGJ64420 AWN64355:AWN64420 AMR64355:AMR64420 ACV64355:ACV64420 SZ64355:SZ64420 JD64355:JD64420">
      <formula1>$AL$5:$AL$12</formula1>
    </dataValidation>
    <dataValidation type="list" allowBlank="1" showInputMessage="1" showErrorMessage="1" sqref="E64355:F64420 WVM2:WVN65 WLQ2:WLR65 WBU2:WBV65 VRY2:VRZ65 VIC2:VID65 UYG2:UYH65 UOK2:UOL65 UEO2:UEP65 TUS2:TUT65 TKW2:TKX65 TBA2:TBB65 SRE2:SRF65 SHI2:SHJ65 RXM2:RXN65 RNQ2:RNR65 RDU2:RDV65 QTY2:QTZ65 QKC2:QKD65 QAG2:QAH65 PQK2:PQL65 PGO2:PGP65 OWS2:OWT65 OMW2:OMX65 ODA2:ODB65 NTE2:NTF65 NJI2:NJJ65 MZM2:MZN65 MPQ2:MPR65 MFU2:MFV65 LVY2:LVZ65 LMC2:LMD65 LCG2:LCH65 KSK2:KSL65 KIO2:KIP65 JYS2:JYT65 JOW2:JOX65 JFA2:JFB65 IVE2:IVF65 ILI2:ILJ65 IBM2:IBN65 HRQ2:HRR65 HHU2:HHV65 GXY2:GXZ65 GOC2:GOD65 GEG2:GEH65 FUK2:FUL65 FKO2:FKP65 FAS2:FAT65 EQW2:EQX65 EHA2:EHB65 DXE2:DXF65 DNI2:DNJ65 DDM2:DDN65 CTQ2:CTR65 CJU2:CJV65 BZY2:BZZ65 BQC2:BQD65 BGG2:BGH65 AWK2:AWL65 AMO2:AMP65 ACS2:ACT65 SW2:SX65 JA2:JB65 SW64355:SX64420 ACS64355:ACT64420 AMO64355:AMP64420 AWK64355:AWL64420 BGG64355:BGH64420 BQC64355:BQD64420 BZY64355:BZZ64420 CJU64355:CJV64420 CTQ64355:CTR64420 DDM64355:DDN64420 DNI64355:DNJ64420 DXE64355:DXF64420 EHA64355:EHB64420 EQW64355:EQX64420 FAS64355:FAT64420 FKO64355:FKP64420 FUK64355:FUL64420 GEG64355:GEH64420 GOC64355:GOD64420 GXY64355:GXZ64420 HHU64355:HHV64420 HRQ64355:HRR64420 IBM64355:IBN64420 ILI64355:ILJ64420 IVE64355:IVF64420 JFA64355:JFB64420 JOW64355:JOX64420 JYS64355:JYT64420 KIO64355:KIP64420 KSK64355:KSL64420 LCG64355:LCH64420 LMC64355:LMD64420 LVY64355:LVZ64420 MFU64355:MFV64420 MPQ64355:MPR64420 MZM64355:MZN64420 NJI64355:NJJ64420 NTE64355:NTF64420 ODA64355:ODB64420 OMW64355:OMX64420 OWS64355:OWT64420 PGO64355:PGP64420 PQK64355:PQL64420 QAG64355:QAH64420 QKC64355:QKD64420 QTY64355:QTZ64420 RDU64355:RDV64420 RNQ64355:RNR64420 RXM64355:RXN64420 SHI64355:SHJ64420 SRE64355:SRF64420 TBA64355:TBB64420 TKW64355:TKX64420 TUS64355:TUT64420 UEO64355:UEP64420 UOK64355:UOL64420 UYG64355:UYH64420 VIC64355:VID64420 VRY64355:VRZ64420 WBU64355:WBV64420 WLQ64355:WLR64420 WVM64355:WVN64420 E129891:F129956 JA129891:JB129956 SW129891:SX129956 ACS129891:ACT129956 AMO129891:AMP129956 AWK129891:AWL129956 BGG129891:BGH129956 BQC129891:BQD129956 BZY129891:BZZ129956 CJU129891:CJV129956 CTQ129891:CTR129956 DDM129891:DDN129956 DNI129891:DNJ129956 DXE129891:DXF129956 EHA129891:EHB129956 EQW129891:EQX129956 FAS129891:FAT129956 FKO129891:FKP129956 FUK129891:FUL129956 GEG129891:GEH129956 GOC129891:GOD129956 GXY129891:GXZ129956 HHU129891:HHV129956 HRQ129891:HRR129956 IBM129891:IBN129956 ILI129891:ILJ129956 IVE129891:IVF129956 JFA129891:JFB129956 JOW129891:JOX129956 JYS129891:JYT129956 KIO129891:KIP129956 KSK129891:KSL129956 LCG129891:LCH129956 LMC129891:LMD129956 LVY129891:LVZ129956 MFU129891:MFV129956 MPQ129891:MPR129956 MZM129891:MZN129956 NJI129891:NJJ129956 NTE129891:NTF129956 ODA129891:ODB129956 OMW129891:OMX129956 OWS129891:OWT129956 PGO129891:PGP129956 PQK129891:PQL129956 QAG129891:QAH129956 QKC129891:QKD129956 QTY129891:QTZ129956 RDU129891:RDV129956 RNQ129891:RNR129956 RXM129891:RXN129956 SHI129891:SHJ129956 SRE129891:SRF129956 TBA129891:TBB129956 TKW129891:TKX129956 TUS129891:TUT129956 UEO129891:UEP129956 UOK129891:UOL129956 UYG129891:UYH129956 VIC129891:VID129956 VRY129891:VRZ129956 WBU129891:WBV129956 WLQ129891:WLR129956 WVM129891:WVN129956 E195427:F195492 JA195427:JB195492 SW195427:SX195492 ACS195427:ACT195492 AMO195427:AMP195492 AWK195427:AWL195492 BGG195427:BGH195492 BQC195427:BQD195492 BZY195427:BZZ195492 CJU195427:CJV195492 CTQ195427:CTR195492 DDM195427:DDN195492 DNI195427:DNJ195492 DXE195427:DXF195492 EHA195427:EHB195492 EQW195427:EQX195492 FAS195427:FAT195492 FKO195427:FKP195492 FUK195427:FUL195492 GEG195427:GEH195492 GOC195427:GOD195492 GXY195427:GXZ195492 HHU195427:HHV195492 HRQ195427:HRR195492 IBM195427:IBN195492 ILI195427:ILJ195492 IVE195427:IVF195492 JFA195427:JFB195492 JOW195427:JOX195492 JYS195427:JYT195492 KIO195427:KIP195492 KSK195427:KSL195492 LCG195427:LCH195492 LMC195427:LMD195492 LVY195427:LVZ195492 MFU195427:MFV195492 MPQ195427:MPR195492 MZM195427:MZN195492 NJI195427:NJJ195492 NTE195427:NTF195492 ODA195427:ODB195492 OMW195427:OMX195492 OWS195427:OWT195492 PGO195427:PGP195492 PQK195427:PQL195492 QAG195427:QAH195492 QKC195427:QKD195492 QTY195427:QTZ195492 RDU195427:RDV195492 RNQ195427:RNR195492 RXM195427:RXN195492 SHI195427:SHJ195492 SRE195427:SRF195492 TBA195427:TBB195492 TKW195427:TKX195492 TUS195427:TUT195492 UEO195427:UEP195492 UOK195427:UOL195492 UYG195427:UYH195492 VIC195427:VID195492 VRY195427:VRZ195492 WBU195427:WBV195492 WLQ195427:WLR195492 WVM195427:WVN195492 E260963:F261028 JA260963:JB261028 SW260963:SX261028 ACS260963:ACT261028 AMO260963:AMP261028 AWK260963:AWL261028 BGG260963:BGH261028 BQC260963:BQD261028 BZY260963:BZZ261028 CJU260963:CJV261028 CTQ260963:CTR261028 DDM260963:DDN261028 DNI260963:DNJ261028 DXE260963:DXF261028 EHA260963:EHB261028 EQW260963:EQX261028 FAS260963:FAT261028 FKO260963:FKP261028 FUK260963:FUL261028 GEG260963:GEH261028 GOC260963:GOD261028 GXY260963:GXZ261028 HHU260963:HHV261028 HRQ260963:HRR261028 IBM260963:IBN261028 ILI260963:ILJ261028 IVE260963:IVF261028 JFA260963:JFB261028 JOW260963:JOX261028 JYS260963:JYT261028 KIO260963:KIP261028 KSK260963:KSL261028 LCG260963:LCH261028 LMC260963:LMD261028 LVY260963:LVZ261028 MFU260963:MFV261028 MPQ260963:MPR261028 MZM260963:MZN261028 NJI260963:NJJ261028 NTE260963:NTF261028 ODA260963:ODB261028 OMW260963:OMX261028 OWS260963:OWT261028 PGO260963:PGP261028 PQK260963:PQL261028 QAG260963:QAH261028 QKC260963:QKD261028 QTY260963:QTZ261028 RDU260963:RDV261028 RNQ260963:RNR261028 RXM260963:RXN261028 SHI260963:SHJ261028 SRE260963:SRF261028 TBA260963:TBB261028 TKW260963:TKX261028 TUS260963:TUT261028 UEO260963:UEP261028 UOK260963:UOL261028 UYG260963:UYH261028 VIC260963:VID261028 VRY260963:VRZ261028 WBU260963:WBV261028 WLQ260963:WLR261028 WVM260963:WVN261028 E326499:F326564 JA326499:JB326564 SW326499:SX326564 ACS326499:ACT326564 AMO326499:AMP326564 AWK326499:AWL326564 BGG326499:BGH326564 BQC326499:BQD326564 BZY326499:BZZ326564 CJU326499:CJV326564 CTQ326499:CTR326564 DDM326499:DDN326564 DNI326499:DNJ326564 DXE326499:DXF326564 EHA326499:EHB326564 EQW326499:EQX326564 FAS326499:FAT326564 FKO326499:FKP326564 FUK326499:FUL326564 GEG326499:GEH326564 GOC326499:GOD326564 GXY326499:GXZ326564 HHU326499:HHV326564 HRQ326499:HRR326564 IBM326499:IBN326564 ILI326499:ILJ326564 IVE326499:IVF326564 JFA326499:JFB326564 JOW326499:JOX326564 JYS326499:JYT326564 KIO326499:KIP326564 KSK326499:KSL326564 LCG326499:LCH326564 LMC326499:LMD326564 LVY326499:LVZ326564 MFU326499:MFV326564 MPQ326499:MPR326564 MZM326499:MZN326564 NJI326499:NJJ326564 NTE326499:NTF326564 ODA326499:ODB326564 OMW326499:OMX326564 OWS326499:OWT326564 PGO326499:PGP326564 PQK326499:PQL326564 QAG326499:QAH326564 QKC326499:QKD326564 QTY326499:QTZ326564 RDU326499:RDV326564 RNQ326499:RNR326564 RXM326499:RXN326564 SHI326499:SHJ326564 SRE326499:SRF326564 TBA326499:TBB326564 TKW326499:TKX326564 TUS326499:TUT326564 UEO326499:UEP326564 UOK326499:UOL326564 UYG326499:UYH326564 VIC326499:VID326564 VRY326499:VRZ326564 WBU326499:WBV326564 WLQ326499:WLR326564 WVM326499:WVN326564 E392035:F392100 JA392035:JB392100 SW392035:SX392100 ACS392035:ACT392100 AMO392035:AMP392100 AWK392035:AWL392100 BGG392035:BGH392100 BQC392035:BQD392100 BZY392035:BZZ392100 CJU392035:CJV392100 CTQ392035:CTR392100 DDM392035:DDN392100 DNI392035:DNJ392100 DXE392035:DXF392100 EHA392035:EHB392100 EQW392035:EQX392100 FAS392035:FAT392100 FKO392035:FKP392100 FUK392035:FUL392100 GEG392035:GEH392100 GOC392035:GOD392100 GXY392035:GXZ392100 HHU392035:HHV392100 HRQ392035:HRR392100 IBM392035:IBN392100 ILI392035:ILJ392100 IVE392035:IVF392100 JFA392035:JFB392100 JOW392035:JOX392100 JYS392035:JYT392100 KIO392035:KIP392100 KSK392035:KSL392100 LCG392035:LCH392100 LMC392035:LMD392100 LVY392035:LVZ392100 MFU392035:MFV392100 MPQ392035:MPR392100 MZM392035:MZN392100 NJI392035:NJJ392100 NTE392035:NTF392100 ODA392035:ODB392100 OMW392035:OMX392100 OWS392035:OWT392100 PGO392035:PGP392100 PQK392035:PQL392100 QAG392035:QAH392100 QKC392035:QKD392100 QTY392035:QTZ392100 RDU392035:RDV392100 RNQ392035:RNR392100 RXM392035:RXN392100 SHI392035:SHJ392100 SRE392035:SRF392100 TBA392035:TBB392100 TKW392035:TKX392100 TUS392035:TUT392100 UEO392035:UEP392100 UOK392035:UOL392100 UYG392035:UYH392100 VIC392035:VID392100 VRY392035:VRZ392100 WBU392035:WBV392100 WLQ392035:WLR392100 WVM392035:WVN392100 E457571:F457636 JA457571:JB457636 SW457571:SX457636 ACS457571:ACT457636 AMO457571:AMP457636 AWK457571:AWL457636 BGG457571:BGH457636 BQC457571:BQD457636 BZY457571:BZZ457636 CJU457571:CJV457636 CTQ457571:CTR457636 DDM457571:DDN457636 DNI457571:DNJ457636 DXE457571:DXF457636 EHA457571:EHB457636 EQW457571:EQX457636 FAS457571:FAT457636 FKO457571:FKP457636 FUK457571:FUL457636 GEG457571:GEH457636 GOC457571:GOD457636 GXY457571:GXZ457636 HHU457571:HHV457636 HRQ457571:HRR457636 IBM457571:IBN457636 ILI457571:ILJ457636 IVE457571:IVF457636 JFA457571:JFB457636 JOW457571:JOX457636 JYS457571:JYT457636 KIO457571:KIP457636 KSK457571:KSL457636 LCG457571:LCH457636 LMC457571:LMD457636 LVY457571:LVZ457636 MFU457571:MFV457636 MPQ457571:MPR457636 MZM457571:MZN457636 NJI457571:NJJ457636 NTE457571:NTF457636 ODA457571:ODB457636 OMW457571:OMX457636 OWS457571:OWT457636 PGO457571:PGP457636 PQK457571:PQL457636 QAG457571:QAH457636 QKC457571:QKD457636 QTY457571:QTZ457636 RDU457571:RDV457636 RNQ457571:RNR457636 RXM457571:RXN457636 SHI457571:SHJ457636 SRE457571:SRF457636 TBA457571:TBB457636 TKW457571:TKX457636 TUS457571:TUT457636 UEO457571:UEP457636 UOK457571:UOL457636 UYG457571:UYH457636 VIC457571:VID457636 VRY457571:VRZ457636 WBU457571:WBV457636 WLQ457571:WLR457636 WVM457571:WVN457636 E523107:F523172 JA523107:JB523172 SW523107:SX523172 ACS523107:ACT523172 AMO523107:AMP523172 AWK523107:AWL523172 BGG523107:BGH523172 BQC523107:BQD523172 BZY523107:BZZ523172 CJU523107:CJV523172 CTQ523107:CTR523172 DDM523107:DDN523172 DNI523107:DNJ523172 DXE523107:DXF523172 EHA523107:EHB523172 EQW523107:EQX523172 FAS523107:FAT523172 FKO523107:FKP523172 FUK523107:FUL523172 GEG523107:GEH523172 GOC523107:GOD523172 GXY523107:GXZ523172 HHU523107:HHV523172 HRQ523107:HRR523172 IBM523107:IBN523172 ILI523107:ILJ523172 IVE523107:IVF523172 JFA523107:JFB523172 JOW523107:JOX523172 JYS523107:JYT523172 KIO523107:KIP523172 KSK523107:KSL523172 LCG523107:LCH523172 LMC523107:LMD523172 LVY523107:LVZ523172 MFU523107:MFV523172 MPQ523107:MPR523172 MZM523107:MZN523172 NJI523107:NJJ523172 NTE523107:NTF523172 ODA523107:ODB523172 OMW523107:OMX523172 OWS523107:OWT523172 PGO523107:PGP523172 PQK523107:PQL523172 QAG523107:QAH523172 QKC523107:QKD523172 QTY523107:QTZ523172 RDU523107:RDV523172 RNQ523107:RNR523172 RXM523107:RXN523172 SHI523107:SHJ523172 SRE523107:SRF523172 TBA523107:TBB523172 TKW523107:TKX523172 TUS523107:TUT523172 UEO523107:UEP523172 UOK523107:UOL523172 UYG523107:UYH523172 VIC523107:VID523172 VRY523107:VRZ523172 WBU523107:WBV523172 WLQ523107:WLR523172 WVM523107:WVN523172 E588643:F588708 JA588643:JB588708 SW588643:SX588708 ACS588643:ACT588708 AMO588643:AMP588708 AWK588643:AWL588708 BGG588643:BGH588708 BQC588643:BQD588708 BZY588643:BZZ588708 CJU588643:CJV588708 CTQ588643:CTR588708 DDM588643:DDN588708 DNI588643:DNJ588708 DXE588643:DXF588708 EHA588643:EHB588708 EQW588643:EQX588708 FAS588643:FAT588708 FKO588643:FKP588708 FUK588643:FUL588708 GEG588643:GEH588708 GOC588643:GOD588708 GXY588643:GXZ588708 HHU588643:HHV588708 HRQ588643:HRR588708 IBM588643:IBN588708 ILI588643:ILJ588708 IVE588643:IVF588708 JFA588643:JFB588708 JOW588643:JOX588708 JYS588643:JYT588708 KIO588643:KIP588708 KSK588643:KSL588708 LCG588643:LCH588708 LMC588643:LMD588708 LVY588643:LVZ588708 MFU588643:MFV588708 MPQ588643:MPR588708 MZM588643:MZN588708 NJI588643:NJJ588708 NTE588643:NTF588708 ODA588643:ODB588708 OMW588643:OMX588708 OWS588643:OWT588708 PGO588643:PGP588708 PQK588643:PQL588708 QAG588643:QAH588708 QKC588643:QKD588708 QTY588643:QTZ588708 RDU588643:RDV588708 RNQ588643:RNR588708 RXM588643:RXN588708 SHI588643:SHJ588708 SRE588643:SRF588708 TBA588643:TBB588708 TKW588643:TKX588708 TUS588643:TUT588708 UEO588643:UEP588708 UOK588643:UOL588708 UYG588643:UYH588708 VIC588643:VID588708 VRY588643:VRZ588708 WBU588643:WBV588708 WLQ588643:WLR588708 WVM588643:WVN588708 E654179:F654244 JA654179:JB654244 SW654179:SX654244 ACS654179:ACT654244 AMO654179:AMP654244 AWK654179:AWL654244 BGG654179:BGH654244 BQC654179:BQD654244 BZY654179:BZZ654244 CJU654179:CJV654244 CTQ654179:CTR654244 DDM654179:DDN654244 DNI654179:DNJ654244 DXE654179:DXF654244 EHA654179:EHB654244 EQW654179:EQX654244 FAS654179:FAT654244 FKO654179:FKP654244 FUK654179:FUL654244 GEG654179:GEH654244 GOC654179:GOD654244 GXY654179:GXZ654244 HHU654179:HHV654244 HRQ654179:HRR654244 IBM654179:IBN654244 ILI654179:ILJ654244 IVE654179:IVF654244 JFA654179:JFB654244 JOW654179:JOX654244 JYS654179:JYT654244 KIO654179:KIP654244 KSK654179:KSL654244 LCG654179:LCH654244 LMC654179:LMD654244 LVY654179:LVZ654244 MFU654179:MFV654244 MPQ654179:MPR654244 MZM654179:MZN654244 NJI654179:NJJ654244 NTE654179:NTF654244 ODA654179:ODB654244 OMW654179:OMX654244 OWS654179:OWT654244 PGO654179:PGP654244 PQK654179:PQL654244 QAG654179:QAH654244 QKC654179:QKD654244 QTY654179:QTZ654244 RDU654179:RDV654244 RNQ654179:RNR654244 RXM654179:RXN654244 SHI654179:SHJ654244 SRE654179:SRF654244 TBA654179:TBB654244 TKW654179:TKX654244 TUS654179:TUT654244 UEO654179:UEP654244 UOK654179:UOL654244 UYG654179:UYH654244 VIC654179:VID654244 VRY654179:VRZ654244 WBU654179:WBV654244 WLQ654179:WLR654244 WVM654179:WVN654244 E719715:F719780 JA719715:JB719780 SW719715:SX719780 ACS719715:ACT719780 AMO719715:AMP719780 AWK719715:AWL719780 BGG719715:BGH719780 BQC719715:BQD719780 BZY719715:BZZ719780 CJU719715:CJV719780 CTQ719715:CTR719780 DDM719715:DDN719780 DNI719715:DNJ719780 DXE719715:DXF719780 EHA719715:EHB719780 EQW719715:EQX719780 FAS719715:FAT719780 FKO719715:FKP719780 FUK719715:FUL719780 GEG719715:GEH719780 GOC719715:GOD719780 GXY719715:GXZ719780 HHU719715:HHV719780 HRQ719715:HRR719780 IBM719715:IBN719780 ILI719715:ILJ719780 IVE719715:IVF719780 JFA719715:JFB719780 JOW719715:JOX719780 JYS719715:JYT719780 KIO719715:KIP719780 KSK719715:KSL719780 LCG719715:LCH719780 LMC719715:LMD719780 LVY719715:LVZ719780 MFU719715:MFV719780 MPQ719715:MPR719780 MZM719715:MZN719780 NJI719715:NJJ719780 NTE719715:NTF719780 ODA719715:ODB719780 OMW719715:OMX719780 OWS719715:OWT719780 PGO719715:PGP719780 PQK719715:PQL719780 QAG719715:QAH719780 QKC719715:QKD719780 QTY719715:QTZ719780 RDU719715:RDV719780 RNQ719715:RNR719780 RXM719715:RXN719780 SHI719715:SHJ719780 SRE719715:SRF719780 TBA719715:TBB719780 TKW719715:TKX719780 TUS719715:TUT719780 UEO719715:UEP719780 UOK719715:UOL719780 UYG719715:UYH719780 VIC719715:VID719780 VRY719715:VRZ719780 WBU719715:WBV719780 WLQ719715:WLR719780 WVM719715:WVN719780 E785251:F785316 JA785251:JB785316 SW785251:SX785316 ACS785251:ACT785316 AMO785251:AMP785316 AWK785251:AWL785316 BGG785251:BGH785316 BQC785251:BQD785316 BZY785251:BZZ785316 CJU785251:CJV785316 CTQ785251:CTR785316 DDM785251:DDN785316 DNI785251:DNJ785316 DXE785251:DXF785316 EHA785251:EHB785316 EQW785251:EQX785316 FAS785251:FAT785316 FKO785251:FKP785316 FUK785251:FUL785316 GEG785251:GEH785316 GOC785251:GOD785316 GXY785251:GXZ785316 HHU785251:HHV785316 HRQ785251:HRR785316 IBM785251:IBN785316 ILI785251:ILJ785316 IVE785251:IVF785316 JFA785251:JFB785316 JOW785251:JOX785316 JYS785251:JYT785316 KIO785251:KIP785316 KSK785251:KSL785316 LCG785251:LCH785316 LMC785251:LMD785316 LVY785251:LVZ785316 MFU785251:MFV785316 MPQ785251:MPR785316 MZM785251:MZN785316 NJI785251:NJJ785316 NTE785251:NTF785316 ODA785251:ODB785316 OMW785251:OMX785316 OWS785251:OWT785316 PGO785251:PGP785316 PQK785251:PQL785316 QAG785251:QAH785316 QKC785251:QKD785316 QTY785251:QTZ785316 RDU785251:RDV785316 RNQ785251:RNR785316 RXM785251:RXN785316 SHI785251:SHJ785316 SRE785251:SRF785316 TBA785251:TBB785316 TKW785251:TKX785316 TUS785251:TUT785316 UEO785251:UEP785316 UOK785251:UOL785316 UYG785251:UYH785316 VIC785251:VID785316 VRY785251:VRZ785316 WBU785251:WBV785316 WLQ785251:WLR785316 WVM785251:WVN785316 E850787:F850852 JA850787:JB850852 SW850787:SX850852 ACS850787:ACT850852 AMO850787:AMP850852 AWK850787:AWL850852 BGG850787:BGH850852 BQC850787:BQD850852 BZY850787:BZZ850852 CJU850787:CJV850852 CTQ850787:CTR850852 DDM850787:DDN850852 DNI850787:DNJ850852 DXE850787:DXF850852 EHA850787:EHB850852 EQW850787:EQX850852 FAS850787:FAT850852 FKO850787:FKP850852 FUK850787:FUL850852 GEG850787:GEH850852 GOC850787:GOD850852 GXY850787:GXZ850852 HHU850787:HHV850852 HRQ850787:HRR850852 IBM850787:IBN850852 ILI850787:ILJ850852 IVE850787:IVF850852 JFA850787:JFB850852 JOW850787:JOX850852 JYS850787:JYT850852 KIO850787:KIP850852 KSK850787:KSL850852 LCG850787:LCH850852 LMC850787:LMD850852 LVY850787:LVZ850852 MFU850787:MFV850852 MPQ850787:MPR850852 MZM850787:MZN850852 NJI850787:NJJ850852 NTE850787:NTF850852 ODA850787:ODB850852 OMW850787:OMX850852 OWS850787:OWT850852 PGO850787:PGP850852 PQK850787:PQL850852 QAG850787:QAH850852 QKC850787:QKD850852 QTY850787:QTZ850852 RDU850787:RDV850852 RNQ850787:RNR850852 RXM850787:RXN850852 SHI850787:SHJ850852 SRE850787:SRF850852 TBA850787:TBB850852 TKW850787:TKX850852 TUS850787:TUT850852 UEO850787:UEP850852 UOK850787:UOL850852 UYG850787:UYH850852 VIC850787:VID850852 VRY850787:VRZ850852 WBU850787:WBV850852 WLQ850787:WLR850852 WVM850787:WVN850852 E916323:F916388 JA916323:JB916388 SW916323:SX916388 ACS916323:ACT916388 AMO916323:AMP916388 AWK916323:AWL916388 BGG916323:BGH916388 BQC916323:BQD916388 BZY916323:BZZ916388 CJU916323:CJV916388 CTQ916323:CTR916388 DDM916323:DDN916388 DNI916323:DNJ916388 DXE916323:DXF916388 EHA916323:EHB916388 EQW916323:EQX916388 FAS916323:FAT916388 FKO916323:FKP916388 FUK916323:FUL916388 GEG916323:GEH916388 GOC916323:GOD916388 GXY916323:GXZ916388 HHU916323:HHV916388 HRQ916323:HRR916388 IBM916323:IBN916388 ILI916323:ILJ916388 IVE916323:IVF916388 JFA916323:JFB916388 JOW916323:JOX916388 JYS916323:JYT916388 KIO916323:KIP916388 KSK916323:KSL916388 LCG916323:LCH916388 LMC916323:LMD916388 LVY916323:LVZ916388 MFU916323:MFV916388 MPQ916323:MPR916388 MZM916323:MZN916388 NJI916323:NJJ916388 NTE916323:NTF916388 ODA916323:ODB916388 OMW916323:OMX916388 OWS916323:OWT916388 PGO916323:PGP916388 PQK916323:PQL916388 QAG916323:QAH916388 QKC916323:QKD916388 QTY916323:QTZ916388 RDU916323:RDV916388 RNQ916323:RNR916388 RXM916323:RXN916388 SHI916323:SHJ916388 SRE916323:SRF916388 TBA916323:TBB916388 TKW916323:TKX916388 TUS916323:TUT916388 UEO916323:UEP916388 UOK916323:UOL916388 UYG916323:UYH916388 VIC916323:VID916388 VRY916323:VRZ916388 WBU916323:WBV916388 WLQ916323:WLR916388 WVM916323:WVN916388 E981859:F981924 JA981859:JB981924 SW981859:SX981924 ACS981859:ACT981924 AMO981859:AMP981924 AWK981859:AWL981924 BGG981859:BGH981924 BQC981859:BQD981924 BZY981859:BZZ981924 CJU981859:CJV981924 CTQ981859:CTR981924 DDM981859:DDN981924 DNI981859:DNJ981924 DXE981859:DXF981924 EHA981859:EHB981924 EQW981859:EQX981924 FAS981859:FAT981924 FKO981859:FKP981924 FUK981859:FUL981924 GEG981859:GEH981924 GOC981859:GOD981924 GXY981859:GXZ981924 HHU981859:HHV981924 HRQ981859:HRR981924 IBM981859:IBN981924 ILI981859:ILJ981924 IVE981859:IVF981924 JFA981859:JFB981924 JOW981859:JOX981924 JYS981859:JYT981924 KIO981859:KIP981924 KSK981859:KSL981924 LCG981859:LCH981924 LMC981859:LMD981924 LVY981859:LVZ981924 MFU981859:MFV981924 MPQ981859:MPR981924 MZM981859:MZN981924 NJI981859:NJJ981924 NTE981859:NTF981924 ODA981859:ODB981924 OMW981859:OMX981924 OWS981859:OWT981924 PGO981859:PGP981924 PQK981859:PQL981924 QAG981859:QAH981924 QKC981859:QKD981924 QTY981859:QTZ981924 RDU981859:RDV981924 RNQ981859:RNR981924 RXM981859:RXN981924 SHI981859:SHJ981924 SRE981859:SRF981924 TBA981859:TBB981924 TKW981859:TKX981924 TUS981859:TUT981924 UEO981859:UEP981924 UOK981859:UOL981924 UYG981859:UYH981924 VIC981859:VID981924 VRY981859:VRZ981924 WBU981859:WBV981924 WLQ981859:WLR981924 WVM981859:WVN981924 E1047395:F1047460 JA1047395:JB1047460 SW1047395:SX1047460 ACS1047395:ACT1047460 AMO1047395:AMP1047460 AWK1047395:AWL1047460 BGG1047395:BGH1047460 BQC1047395:BQD1047460 BZY1047395:BZZ1047460 CJU1047395:CJV1047460 CTQ1047395:CTR1047460 DDM1047395:DDN1047460 DNI1047395:DNJ1047460 DXE1047395:DXF1047460 EHA1047395:EHB1047460 EQW1047395:EQX1047460 FAS1047395:FAT1047460 FKO1047395:FKP1047460 FUK1047395:FUL1047460 GEG1047395:GEH1047460 GOC1047395:GOD1047460 GXY1047395:GXZ1047460 HHU1047395:HHV1047460 HRQ1047395:HRR1047460 IBM1047395:IBN1047460 ILI1047395:ILJ1047460 IVE1047395:IVF1047460 JFA1047395:JFB1047460 JOW1047395:JOX1047460 JYS1047395:JYT1047460 KIO1047395:KIP1047460 KSK1047395:KSL1047460 LCG1047395:LCH1047460 LMC1047395:LMD1047460 LVY1047395:LVZ1047460 MFU1047395:MFV1047460 MPQ1047395:MPR1047460 MZM1047395:MZN1047460 NJI1047395:NJJ1047460 NTE1047395:NTF1047460 ODA1047395:ODB1047460 OMW1047395:OMX1047460 OWS1047395:OWT1047460 PGO1047395:PGP1047460 PQK1047395:PQL1047460 QAG1047395:QAH1047460 QKC1047395:QKD1047460 QTY1047395:QTZ1047460 RDU1047395:RDV1047460 RNQ1047395:RNR1047460 RXM1047395:RXN1047460 SHI1047395:SHJ1047460 SRE1047395:SRF1047460 TBA1047395:TBB1047460 TKW1047395:TKX1047460 TUS1047395:TUT1047460 UEO1047395:UEP1047460 UOK1047395:UOL1047460 UYG1047395:UYH1047460 VIC1047395:VID1047460 VRY1047395:VRZ1047460 WBU1047395:WBV1047460 WLQ1047395:WLR1047460 WVM1047395:WVN1047460 JA64355:JB64420 E65530:F65601 JA65530:JB65601 SW65530:SX65601 ACS65530:ACT65601 AMO65530:AMP65601 AWK65530:AWL65601 BGG65530:BGH65601 BQC65530:BQD65601 BZY65530:BZZ65601 CJU65530:CJV65601 CTQ65530:CTR65601 DDM65530:DDN65601 DNI65530:DNJ65601 DXE65530:DXF65601 EHA65530:EHB65601 EQW65530:EQX65601 FAS65530:FAT65601 FKO65530:FKP65601 FUK65530:FUL65601 GEG65530:GEH65601 GOC65530:GOD65601 GXY65530:GXZ65601 HHU65530:HHV65601 HRQ65530:HRR65601 IBM65530:IBN65601 ILI65530:ILJ65601 IVE65530:IVF65601 JFA65530:JFB65601 JOW65530:JOX65601 JYS65530:JYT65601 KIO65530:KIP65601 KSK65530:KSL65601 LCG65530:LCH65601 LMC65530:LMD65601 LVY65530:LVZ65601 MFU65530:MFV65601 MPQ65530:MPR65601 MZM65530:MZN65601 NJI65530:NJJ65601 NTE65530:NTF65601 ODA65530:ODB65601 OMW65530:OMX65601 OWS65530:OWT65601 PGO65530:PGP65601 PQK65530:PQL65601 QAG65530:QAH65601 QKC65530:QKD65601 QTY65530:QTZ65601 RDU65530:RDV65601 RNQ65530:RNR65601 RXM65530:RXN65601 SHI65530:SHJ65601 SRE65530:SRF65601 TBA65530:TBB65601 TKW65530:TKX65601 TUS65530:TUT65601 UEO65530:UEP65601 UOK65530:UOL65601 UYG65530:UYH65601 VIC65530:VID65601 VRY65530:VRZ65601 WBU65530:WBV65601 WLQ65530:WLR65601 WVM65530:WVN65601 E131066:F131137 JA131066:JB131137 SW131066:SX131137 ACS131066:ACT131137 AMO131066:AMP131137 AWK131066:AWL131137 BGG131066:BGH131137 BQC131066:BQD131137 BZY131066:BZZ131137 CJU131066:CJV131137 CTQ131066:CTR131137 DDM131066:DDN131137 DNI131066:DNJ131137 DXE131066:DXF131137 EHA131066:EHB131137 EQW131066:EQX131137 FAS131066:FAT131137 FKO131066:FKP131137 FUK131066:FUL131137 GEG131066:GEH131137 GOC131066:GOD131137 GXY131066:GXZ131137 HHU131066:HHV131137 HRQ131066:HRR131137 IBM131066:IBN131137 ILI131066:ILJ131137 IVE131066:IVF131137 JFA131066:JFB131137 JOW131066:JOX131137 JYS131066:JYT131137 KIO131066:KIP131137 KSK131066:KSL131137 LCG131066:LCH131137 LMC131066:LMD131137 LVY131066:LVZ131137 MFU131066:MFV131137 MPQ131066:MPR131137 MZM131066:MZN131137 NJI131066:NJJ131137 NTE131066:NTF131137 ODA131066:ODB131137 OMW131066:OMX131137 OWS131066:OWT131137 PGO131066:PGP131137 PQK131066:PQL131137 QAG131066:QAH131137 QKC131066:QKD131137 QTY131066:QTZ131137 RDU131066:RDV131137 RNQ131066:RNR131137 RXM131066:RXN131137 SHI131066:SHJ131137 SRE131066:SRF131137 TBA131066:TBB131137 TKW131066:TKX131137 TUS131066:TUT131137 UEO131066:UEP131137 UOK131066:UOL131137 UYG131066:UYH131137 VIC131066:VID131137 VRY131066:VRZ131137 WBU131066:WBV131137 WLQ131066:WLR131137 WVM131066:WVN131137 E196602:F196673 JA196602:JB196673 SW196602:SX196673 ACS196602:ACT196673 AMO196602:AMP196673 AWK196602:AWL196673 BGG196602:BGH196673 BQC196602:BQD196673 BZY196602:BZZ196673 CJU196602:CJV196673 CTQ196602:CTR196673 DDM196602:DDN196673 DNI196602:DNJ196673 DXE196602:DXF196673 EHA196602:EHB196673 EQW196602:EQX196673 FAS196602:FAT196673 FKO196602:FKP196673 FUK196602:FUL196673 GEG196602:GEH196673 GOC196602:GOD196673 GXY196602:GXZ196673 HHU196602:HHV196673 HRQ196602:HRR196673 IBM196602:IBN196673 ILI196602:ILJ196673 IVE196602:IVF196673 JFA196602:JFB196673 JOW196602:JOX196673 JYS196602:JYT196673 KIO196602:KIP196673 KSK196602:KSL196673 LCG196602:LCH196673 LMC196602:LMD196673 LVY196602:LVZ196673 MFU196602:MFV196673 MPQ196602:MPR196673 MZM196602:MZN196673 NJI196602:NJJ196673 NTE196602:NTF196673 ODA196602:ODB196673 OMW196602:OMX196673 OWS196602:OWT196673 PGO196602:PGP196673 PQK196602:PQL196673 QAG196602:QAH196673 QKC196602:QKD196673 QTY196602:QTZ196673 RDU196602:RDV196673 RNQ196602:RNR196673 RXM196602:RXN196673 SHI196602:SHJ196673 SRE196602:SRF196673 TBA196602:TBB196673 TKW196602:TKX196673 TUS196602:TUT196673 UEO196602:UEP196673 UOK196602:UOL196673 UYG196602:UYH196673 VIC196602:VID196673 VRY196602:VRZ196673 WBU196602:WBV196673 WLQ196602:WLR196673 WVM196602:WVN196673 E262138:F262209 JA262138:JB262209 SW262138:SX262209 ACS262138:ACT262209 AMO262138:AMP262209 AWK262138:AWL262209 BGG262138:BGH262209 BQC262138:BQD262209 BZY262138:BZZ262209 CJU262138:CJV262209 CTQ262138:CTR262209 DDM262138:DDN262209 DNI262138:DNJ262209 DXE262138:DXF262209 EHA262138:EHB262209 EQW262138:EQX262209 FAS262138:FAT262209 FKO262138:FKP262209 FUK262138:FUL262209 GEG262138:GEH262209 GOC262138:GOD262209 GXY262138:GXZ262209 HHU262138:HHV262209 HRQ262138:HRR262209 IBM262138:IBN262209 ILI262138:ILJ262209 IVE262138:IVF262209 JFA262138:JFB262209 JOW262138:JOX262209 JYS262138:JYT262209 KIO262138:KIP262209 KSK262138:KSL262209 LCG262138:LCH262209 LMC262138:LMD262209 LVY262138:LVZ262209 MFU262138:MFV262209 MPQ262138:MPR262209 MZM262138:MZN262209 NJI262138:NJJ262209 NTE262138:NTF262209 ODA262138:ODB262209 OMW262138:OMX262209 OWS262138:OWT262209 PGO262138:PGP262209 PQK262138:PQL262209 QAG262138:QAH262209 QKC262138:QKD262209 QTY262138:QTZ262209 RDU262138:RDV262209 RNQ262138:RNR262209 RXM262138:RXN262209 SHI262138:SHJ262209 SRE262138:SRF262209 TBA262138:TBB262209 TKW262138:TKX262209 TUS262138:TUT262209 UEO262138:UEP262209 UOK262138:UOL262209 UYG262138:UYH262209 VIC262138:VID262209 VRY262138:VRZ262209 WBU262138:WBV262209 WLQ262138:WLR262209 WVM262138:WVN262209 E327674:F327745 JA327674:JB327745 SW327674:SX327745 ACS327674:ACT327745 AMO327674:AMP327745 AWK327674:AWL327745 BGG327674:BGH327745 BQC327674:BQD327745 BZY327674:BZZ327745 CJU327674:CJV327745 CTQ327674:CTR327745 DDM327674:DDN327745 DNI327674:DNJ327745 DXE327674:DXF327745 EHA327674:EHB327745 EQW327674:EQX327745 FAS327674:FAT327745 FKO327674:FKP327745 FUK327674:FUL327745 GEG327674:GEH327745 GOC327674:GOD327745 GXY327674:GXZ327745 HHU327674:HHV327745 HRQ327674:HRR327745 IBM327674:IBN327745 ILI327674:ILJ327745 IVE327674:IVF327745 JFA327674:JFB327745 JOW327674:JOX327745 JYS327674:JYT327745 KIO327674:KIP327745 KSK327674:KSL327745 LCG327674:LCH327745 LMC327674:LMD327745 LVY327674:LVZ327745 MFU327674:MFV327745 MPQ327674:MPR327745 MZM327674:MZN327745 NJI327674:NJJ327745 NTE327674:NTF327745 ODA327674:ODB327745 OMW327674:OMX327745 OWS327674:OWT327745 PGO327674:PGP327745 PQK327674:PQL327745 QAG327674:QAH327745 QKC327674:QKD327745 QTY327674:QTZ327745 RDU327674:RDV327745 RNQ327674:RNR327745 RXM327674:RXN327745 SHI327674:SHJ327745 SRE327674:SRF327745 TBA327674:TBB327745 TKW327674:TKX327745 TUS327674:TUT327745 UEO327674:UEP327745 UOK327674:UOL327745 UYG327674:UYH327745 VIC327674:VID327745 VRY327674:VRZ327745 WBU327674:WBV327745 WLQ327674:WLR327745 WVM327674:WVN327745 E393210:F393281 JA393210:JB393281 SW393210:SX393281 ACS393210:ACT393281 AMO393210:AMP393281 AWK393210:AWL393281 BGG393210:BGH393281 BQC393210:BQD393281 BZY393210:BZZ393281 CJU393210:CJV393281 CTQ393210:CTR393281 DDM393210:DDN393281 DNI393210:DNJ393281 DXE393210:DXF393281 EHA393210:EHB393281 EQW393210:EQX393281 FAS393210:FAT393281 FKO393210:FKP393281 FUK393210:FUL393281 GEG393210:GEH393281 GOC393210:GOD393281 GXY393210:GXZ393281 HHU393210:HHV393281 HRQ393210:HRR393281 IBM393210:IBN393281 ILI393210:ILJ393281 IVE393210:IVF393281 JFA393210:JFB393281 JOW393210:JOX393281 JYS393210:JYT393281 KIO393210:KIP393281 KSK393210:KSL393281 LCG393210:LCH393281 LMC393210:LMD393281 LVY393210:LVZ393281 MFU393210:MFV393281 MPQ393210:MPR393281 MZM393210:MZN393281 NJI393210:NJJ393281 NTE393210:NTF393281 ODA393210:ODB393281 OMW393210:OMX393281 OWS393210:OWT393281 PGO393210:PGP393281 PQK393210:PQL393281 QAG393210:QAH393281 QKC393210:QKD393281 QTY393210:QTZ393281 RDU393210:RDV393281 RNQ393210:RNR393281 RXM393210:RXN393281 SHI393210:SHJ393281 SRE393210:SRF393281 TBA393210:TBB393281 TKW393210:TKX393281 TUS393210:TUT393281 UEO393210:UEP393281 UOK393210:UOL393281 UYG393210:UYH393281 VIC393210:VID393281 VRY393210:VRZ393281 WBU393210:WBV393281 WLQ393210:WLR393281 WVM393210:WVN393281 E458746:F458817 JA458746:JB458817 SW458746:SX458817 ACS458746:ACT458817 AMO458746:AMP458817 AWK458746:AWL458817 BGG458746:BGH458817 BQC458746:BQD458817 BZY458746:BZZ458817 CJU458746:CJV458817 CTQ458746:CTR458817 DDM458746:DDN458817 DNI458746:DNJ458817 DXE458746:DXF458817 EHA458746:EHB458817 EQW458746:EQX458817 FAS458746:FAT458817 FKO458746:FKP458817 FUK458746:FUL458817 GEG458746:GEH458817 GOC458746:GOD458817 GXY458746:GXZ458817 HHU458746:HHV458817 HRQ458746:HRR458817 IBM458746:IBN458817 ILI458746:ILJ458817 IVE458746:IVF458817 JFA458746:JFB458817 JOW458746:JOX458817 JYS458746:JYT458817 KIO458746:KIP458817 KSK458746:KSL458817 LCG458746:LCH458817 LMC458746:LMD458817 LVY458746:LVZ458817 MFU458746:MFV458817 MPQ458746:MPR458817 MZM458746:MZN458817 NJI458746:NJJ458817 NTE458746:NTF458817 ODA458746:ODB458817 OMW458746:OMX458817 OWS458746:OWT458817 PGO458746:PGP458817 PQK458746:PQL458817 QAG458746:QAH458817 QKC458746:QKD458817 QTY458746:QTZ458817 RDU458746:RDV458817 RNQ458746:RNR458817 RXM458746:RXN458817 SHI458746:SHJ458817 SRE458746:SRF458817 TBA458746:TBB458817 TKW458746:TKX458817 TUS458746:TUT458817 UEO458746:UEP458817 UOK458746:UOL458817 UYG458746:UYH458817 VIC458746:VID458817 VRY458746:VRZ458817 WBU458746:WBV458817 WLQ458746:WLR458817 WVM458746:WVN458817 E524282:F524353 JA524282:JB524353 SW524282:SX524353 ACS524282:ACT524353 AMO524282:AMP524353 AWK524282:AWL524353 BGG524282:BGH524353 BQC524282:BQD524353 BZY524282:BZZ524353 CJU524282:CJV524353 CTQ524282:CTR524353 DDM524282:DDN524353 DNI524282:DNJ524353 DXE524282:DXF524353 EHA524282:EHB524353 EQW524282:EQX524353 FAS524282:FAT524353 FKO524282:FKP524353 FUK524282:FUL524353 GEG524282:GEH524353 GOC524282:GOD524353 GXY524282:GXZ524353 HHU524282:HHV524353 HRQ524282:HRR524353 IBM524282:IBN524353 ILI524282:ILJ524353 IVE524282:IVF524353 JFA524282:JFB524353 JOW524282:JOX524353 JYS524282:JYT524353 KIO524282:KIP524353 KSK524282:KSL524353 LCG524282:LCH524353 LMC524282:LMD524353 LVY524282:LVZ524353 MFU524282:MFV524353 MPQ524282:MPR524353 MZM524282:MZN524353 NJI524282:NJJ524353 NTE524282:NTF524353 ODA524282:ODB524353 OMW524282:OMX524353 OWS524282:OWT524353 PGO524282:PGP524353 PQK524282:PQL524353 QAG524282:QAH524353 QKC524282:QKD524353 QTY524282:QTZ524353 RDU524282:RDV524353 RNQ524282:RNR524353 RXM524282:RXN524353 SHI524282:SHJ524353 SRE524282:SRF524353 TBA524282:TBB524353 TKW524282:TKX524353 TUS524282:TUT524353 UEO524282:UEP524353 UOK524282:UOL524353 UYG524282:UYH524353 VIC524282:VID524353 VRY524282:VRZ524353 WBU524282:WBV524353 WLQ524282:WLR524353 WVM524282:WVN524353 E589818:F589889 JA589818:JB589889 SW589818:SX589889 ACS589818:ACT589889 AMO589818:AMP589889 AWK589818:AWL589889 BGG589818:BGH589889 BQC589818:BQD589889 BZY589818:BZZ589889 CJU589818:CJV589889 CTQ589818:CTR589889 DDM589818:DDN589889 DNI589818:DNJ589889 DXE589818:DXF589889 EHA589818:EHB589889 EQW589818:EQX589889 FAS589818:FAT589889 FKO589818:FKP589889 FUK589818:FUL589889 GEG589818:GEH589889 GOC589818:GOD589889 GXY589818:GXZ589889 HHU589818:HHV589889 HRQ589818:HRR589889 IBM589818:IBN589889 ILI589818:ILJ589889 IVE589818:IVF589889 JFA589818:JFB589889 JOW589818:JOX589889 JYS589818:JYT589889 KIO589818:KIP589889 KSK589818:KSL589889 LCG589818:LCH589889 LMC589818:LMD589889 LVY589818:LVZ589889 MFU589818:MFV589889 MPQ589818:MPR589889 MZM589818:MZN589889 NJI589818:NJJ589889 NTE589818:NTF589889 ODA589818:ODB589889 OMW589818:OMX589889 OWS589818:OWT589889 PGO589818:PGP589889 PQK589818:PQL589889 QAG589818:QAH589889 QKC589818:QKD589889 QTY589818:QTZ589889 RDU589818:RDV589889 RNQ589818:RNR589889 RXM589818:RXN589889 SHI589818:SHJ589889 SRE589818:SRF589889 TBA589818:TBB589889 TKW589818:TKX589889 TUS589818:TUT589889 UEO589818:UEP589889 UOK589818:UOL589889 UYG589818:UYH589889 VIC589818:VID589889 VRY589818:VRZ589889 WBU589818:WBV589889 WLQ589818:WLR589889 WVM589818:WVN589889 E655354:F655425 JA655354:JB655425 SW655354:SX655425 ACS655354:ACT655425 AMO655354:AMP655425 AWK655354:AWL655425 BGG655354:BGH655425 BQC655354:BQD655425 BZY655354:BZZ655425 CJU655354:CJV655425 CTQ655354:CTR655425 DDM655354:DDN655425 DNI655354:DNJ655425 DXE655354:DXF655425 EHA655354:EHB655425 EQW655354:EQX655425 FAS655354:FAT655425 FKO655354:FKP655425 FUK655354:FUL655425 GEG655354:GEH655425 GOC655354:GOD655425 GXY655354:GXZ655425 HHU655354:HHV655425 HRQ655354:HRR655425 IBM655354:IBN655425 ILI655354:ILJ655425 IVE655354:IVF655425 JFA655354:JFB655425 JOW655354:JOX655425 JYS655354:JYT655425 KIO655354:KIP655425 KSK655354:KSL655425 LCG655354:LCH655425 LMC655354:LMD655425 LVY655354:LVZ655425 MFU655354:MFV655425 MPQ655354:MPR655425 MZM655354:MZN655425 NJI655354:NJJ655425 NTE655354:NTF655425 ODA655354:ODB655425 OMW655354:OMX655425 OWS655354:OWT655425 PGO655354:PGP655425 PQK655354:PQL655425 QAG655354:QAH655425 QKC655354:QKD655425 QTY655354:QTZ655425 RDU655354:RDV655425 RNQ655354:RNR655425 RXM655354:RXN655425 SHI655354:SHJ655425 SRE655354:SRF655425 TBA655354:TBB655425 TKW655354:TKX655425 TUS655354:TUT655425 UEO655354:UEP655425 UOK655354:UOL655425 UYG655354:UYH655425 VIC655354:VID655425 VRY655354:VRZ655425 WBU655354:WBV655425 WLQ655354:WLR655425 WVM655354:WVN655425 E720890:F720961 JA720890:JB720961 SW720890:SX720961 ACS720890:ACT720961 AMO720890:AMP720961 AWK720890:AWL720961 BGG720890:BGH720961 BQC720890:BQD720961 BZY720890:BZZ720961 CJU720890:CJV720961 CTQ720890:CTR720961 DDM720890:DDN720961 DNI720890:DNJ720961 DXE720890:DXF720961 EHA720890:EHB720961 EQW720890:EQX720961 FAS720890:FAT720961 FKO720890:FKP720961 FUK720890:FUL720961 GEG720890:GEH720961 GOC720890:GOD720961 GXY720890:GXZ720961 HHU720890:HHV720961 HRQ720890:HRR720961 IBM720890:IBN720961 ILI720890:ILJ720961 IVE720890:IVF720961 JFA720890:JFB720961 JOW720890:JOX720961 JYS720890:JYT720961 KIO720890:KIP720961 KSK720890:KSL720961 LCG720890:LCH720961 LMC720890:LMD720961 LVY720890:LVZ720961 MFU720890:MFV720961 MPQ720890:MPR720961 MZM720890:MZN720961 NJI720890:NJJ720961 NTE720890:NTF720961 ODA720890:ODB720961 OMW720890:OMX720961 OWS720890:OWT720961 PGO720890:PGP720961 PQK720890:PQL720961 QAG720890:QAH720961 QKC720890:QKD720961 QTY720890:QTZ720961 RDU720890:RDV720961 RNQ720890:RNR720961 RXM720890:RXN720961 SHI720890:SHJ720961 SRE720890:SRF720961 TBA720890:TBB720961 TKW720890:TKX720961 TUS720890:TUT720961 UEO720890:UEP720961 UOK720890:UOL720961 UYG720890:UYH720961 VIC720890:VID720961 VRY720890:VRZ720961 WBU720890:WBV720961 WLQ720890:WLR720961 WVM720890:WVN720961 E786426:F786497 JA786426:JB786497 SW786426:SX786497 ACS786426:ACT786497 AMO786426:AMP786497 AWK786426:AWL786497 BGG786426:BGH786497 BQC786426:BQD786497 BZY786426:BZZ786497 CJU786426:CJV786497 CTQ786426:CTR786497 DDM786426:DDN786497 DNI786426:DNJ786497 DXE786426:DXF786497 EHA786426:EHB786497 EQW786426:EQX786497 FAS786426:FAT786497 FKO786426:FKP786497 FUK786426:FUL786497 GEG786426:GEH786497 GOC786426:GOD786497 GXY786426:GXZ786497 HHU786426:HHV786497 HRQ786426:HRR786497 IBM786426:IBN786497 ILI786426:ILJ786497 IVE786426:IVF786497 JFA786426:JFB786497 JOW786426:JOX786497 JYS786426:JYT786497 KIO786426:KIP786497 KSK786426:KSL786497 LCG786426:LCH786497 LMC786426:LMD786497 LVY786426:LVZ786497 MFU786426:MFV786497 MPQ786426:MPR786497 MZM786426:MZN786497 NJI786426:NJJ786497 NTE786426:NTF786497 ODA786426:ODB786497 OMW786426:OMX786497 OWS786426:OWT786497 PGO786426:PGP786497 PQK786426:PQL786497 QAG786426:QAH786497 QKC786426:QKD786497 QTY786426:QTZ786497 RDU786426:RDV786497 RNQ786426:RNR786497 RXM786426:RXN786497 SHI786426:SHJ786497 SRE786426:SRF786497 TBA786426:TBB786497 TKW786426:TKX786497 TUS786426:TUT786497 UEO786426:UEP786497 UOK786426:UOL786497 UYG786426:UYH786497 VIC786426:VID786497 VRY786426:VRZ786497 WBU786426:WBV786497 WLQ786426:WLR786497 WVM786426:WVN786497 E851962:F852033 JA851962:JB852033 SW851962:SX852033 ACS851962:ACT852033 AMO851962:AMP852033 AWK851962:AWL852033 BGG851962:BGH852033 BQC851962:BQD852033 BZY851962:BZZ852033 CJU851962:CJV852033 CTQ851962:CTR852033 DDM851962:DDN852033 DNI851962:DNJ852033 DXE851962:DXF852033 EHA851962:EHB852033 EQW851962:EQX852033 FAS851962:FAT852033 FKO851962:FKP852033 FUK851962:FUL852033 GEG851962:GEH852033 GOC851962:GOD852033 GXY851962:GXZ852033 HHU851962:HHV852033 HRQ851962:HRR852033 IBM851962:IBN852033 ILI851962:ILJ852033 IVE851962:IVF852033 JFA851962:JFB852033 JOW851962:JOX852033 JYS851962:JYT852033 KIO851962:KIP852033 KSK851962:KSL852033 LCG851962:LCH852033 LMC851962:LMD852033 LVY851962:LVZ852033 MFU851962:MFV852033 MPQ851962:MPR852033 MZM851962:MZN852033 NJI851962:NJJ852033 NTE851962:NTF852033 ODA851962:ODB852033 OMW851962:OMX852033 OWS851962:OWT852033 PGO851962:PGP852033 PQK851962:PQL852033 QAG851962:QAH852033 QKC851962:QKD852033 QTY851962:QTZ852033 RDU851962:RDV852033 RNQ851962:RNR852033 RXM851962:RXN852033 SHI851962:SHJ852033 SRE851962:SRF852033 TBA851962:TBB852033 TKW851962:TKX852033 TUS851962:TUT852033 UEO851962:UEP852033 UOK851962:UOL852033 UYG851962:UYH852033 VIC851962:VID852033 VRY851962:VRZ852033 WBU851962:WBV852033 WLQ851962:WLR852033 WVM851962:WVN852033 E917498:F917569 JA917498:JB917569 SW917498:SX917569 ACS917498:ACT917569 AMO917498:AMP917569 AWK917498:AWL917569 BGG917498:BGH917569 BQC917498:BQD917569 BZY917498:BZZ917569 CJU917498:CJV917569 CTQ917498:CTR917569 DDM917498:DDN917569 DNI917498:DNJ917569 DXE917498:DXF917569 EHA917498:EHB917569 EQW917498:EQX917569 FAS917498:FAT917569 FKO917498:FKP917569 FUK917498:FUL917569 GEG917498:GEH917569 GOC917498:GOD917569 GXY917498:GXZ917569 HHU917498:HHV917569 HRQ917498:HRR917569 IBM917498:IBN917569 ILI917498:ILJ917569 IVE917498:IVF917569 JFA917498:JFB917569 JOW917498:JOX917569 JYS917498:JYT917569 KIO917498:KIP917569 KSK917498:KSL917569 LCG917498:LCH917569 LMC917498:LMD917569 LVY917498:LVZ917569 MFU917498:MFV917569 MPQ917498:MPR917569 MZM917498:MZN917569 NJI917498:NJJ917569 NTE917498:NTF917569 ODA917498:ODB917569 OMW917498:OMX917569 OWS917498:OWT917569 PGO917498:PGP917569 PQK917498:PQL917569 QAG917498:QAH917569 QKC917498:QKD917569 QTY917498:QTZ917569 RDU917498:RDV917569 RNQ917498:RNR917569 RXM917498:RXN917569 SHI917498:SHJ917569 SRE917498:SRF917569 TBA917498:TBB917569 TKW917498:TKX917569 TUS917498:TUT917569 UEO917498:UEP917569 UOK917498:UOL917569 UYG917498:UYH917569 VIC917498:VID917569 VRY917498:VRZ917569 WBU917498:WBV917569 WLQ917498:WLR917569 WVM917498:WVN917569 E983034:F983105 JA983034:JB983105 SW983034:SX983105 ACS983034:ACT983105 AMO983034:AMP983105 AWK983034:AWL983105 BGG983034:BGH983105 BQC983034:BQD983105 BZY983034:BZZ983105 CJU983034:CJV983105 CTQ983034:CTR983105 DDM983034:DDN983105 DNI983034:DNJ983105 DXE983034:DXF983105 EHA983034:EHB983105 EQW983034:EQX983105 FAS983034:FAT983105 FKO983034:FKP983105 FUK983034:FUL983105 GEG983034:GEH983105 GOC983034:GOD983105 GXY983034:GXZ983105 HHU983034:HHV983105 HRQ983034:HRR983105 IBM983034:IBN983105 ILI983034:ILJ983105 IVE983034:IVF983105 JFA983034:JFB983105 JOW983034:JOX983105 JYS983034:JYT983105 KIO983034:KIP983105 KSK983034:KSL983105 LCG983034:LCH983105 LMC983034:LMD983105 LVY983034:LVZ983105 MFU983034:MFV983105 MPQ983034:MPR983105 MZM983034:MZN983105 NJI983034:NJJ983105 NTE983034:NTF983105 ODA983034:ODB983105 OMW983034:OMX983105 OWS983034:OWT983105 PGO983034:PGP983105 PQK983034:PQL983105 QAG983034:QAH983105 QKC983034:QKD983105 QTY983034:QTZ983105 RDU983034:RDV983105 RNQ983034:RNR983105 RXM983034:RXN983105 SHI983034:SHJ983105 SRE983034:SRF983105 TBA983034:TBB983105 TKW983034:TKX983105 TUS983034:TUT983105 UEO983034:UEP983105 UOK983034:UOL983105 UYG983034:UYH983105 VIC983034:VID983105 VRY983034:VRZ983105 WBU983034:WBV983105 WLQ983034:WLR983105 WVM983034:WVN983105">
      <formula1>#REF!</formula1>
    </dataValidation>
    <dataValidation type="list" allowBlank="1" showInputMessage="1" showErrorMessage="1" sqref="E2:E492">
      <formula1>$AG$2:$AG$11</formula1>
    </dataValidation>
    <dataValidation type="list" allowBlank="1" showInputMessage="1" showErrorMessage="1" sqref="H2:H492">
      <formula1>$AL$2:$AL$8</formula1>
    </dataValidation>
    <dataValidation type="decimal" allowBlank="1" showInputMessage="1" showErrorMessage="1" error="硬度を正しく入力して下さい。" sqref="O2:P492">
      <formula1>0</formula1>
      <formula2>7</formula2>
    </dataValidation>
    <dataValidation type="list" allowBlank="1" showInputMessage="1" showErrorMessage="1" sqref="F2:F1446">
      <formula1>$AH$2:$AH$11</formula1>
    </dataValidation>
    <dataValidation type="list" allowBlank="1" showInputMessage="1" showErrorMessage="1" sqref="AC38 Y2:AA583">
      <formula1>$AV$2:$AV$38</formula1>
    </dataValidation>
    <dataValidation type="list" allowBlank="1" showInputMessage="1" showErrorMessage="1" sqref="J2:J43">
      <formula1>$AP$2:$AP$38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43"/>
  <sheetViews>
    <sheetView zoomScale="70" zoomScaleNormal="70" zoomScaleSheetLayoutView="100" workbookViewId="0">
      <selection activeCell="L44" sqref="L44"/>
    </sheetView>
  </sheetViews>
  <sheetFormatPr defaultRowHeight="13.5" x14ac:dyDescent="0.15"/>
  <cols>
    <col min="1" max="3" width="9" style="208"/>
    <col min="4" max="4" width="10.5" style="208" bestFit="1" customWidth="1"/>
    <col min="5" max="16" width="9" style="208"/>
    <col min="17" max="17" width="9" style="217"/>
    <col min="18" max="19" width="9" style="208"/>
    <col min="20" max="20" width="9" style="217"/>
    <col min="21" max="21" width="9" style="208"/>
    <col min="22" max="22" width="9" style="217"/>
    <col min="23" max="32" width="9" style="208"/>
    <col min="33" max="33" width="16.875" style="208" bestFit="1" customWidth="1"/>
    <col min="34" max="34" width="15.625" style="208" customWidth="1"/>
    <col min="35" max="39" width="9" style="143"/>
    <col min="40" max="16384" width="9" style="208"/>
  </cols>
  <sheetData>
    <row r="1" spans="1:53" ht="45" x14ac:dyDescent="0.15">
      <c r="A1" s="240" t="s">
        <v>0</v>
      </c>
      <c r="B1" s="202" t="s">
        <v>1</v>
      </c>
      <c r="C1" s="202" t="s">
        <v>464</v>
      </c>
      <c r="D1" s="203" t="s">
        <v>3</v>
      </c>
      <c r="E1" s="241" t="s">
        <v>4</v>
      </c>
      <c r="F1" s="241" t="s">
        <v>5</v>
      </c>
      <c r="G1" s="241" t="s">
        <v>6</v>
      </c>
      <c r="H1" s="241" t="s">
        <v>7</v>
      </c>
      <c r="I1" s="241" t="s">
        <v>8</v>
      </c>
      <c r="J1" s="241" t="s">
        <v>9</v>
      </c>
      <c r="K1" s="201" t="s">
        <v>10</v>
      </c>
      <c r="L1" s="203" t="s">
        <v>465</v>
      </c>
      <c r="M1" s="203" t="s">
        <v>12</v>
      </c>
      <c r="N1" s="203" t="s">
        <v>13</v>
      </c>
      <c r="O1" s="203" t="s">
        <v>466</v>
      </c>
      <c r="P1" s="203" t="s">
        <v>467</v>
      </c>
      <c r="Q1" s="204" t="s">
        <v>16</v>
      </c>
      <c r="R1" s="203" t="s">
        <v>468</v>
      </c>
      <c r="S1" s="203" t="s">
        <v>469</v>
      </c>
      <c r="T1" s="204" t="s">
        <v>19</v>
      </c>
      <c r="U1" s="205" t="s">
        <v>108</v>
      </c>
      <c r="V1" s="206" t="s">
        <v>20</v>
      </c>
      <c r="W1" s="203" t="s">
        <v>21</v>
      </c>
      <c r="X1" s="241" t="s">
        <v>22</v>
      </c>
      <c r="Y1" s="241" t="s">
        <v>23</v>
      </c>
      <c r="Z1" s="241" t="s">
        <v>24</v>
      </c>
      <c r="AA1" s="242" t="s">
        <v>25</v>
      </c>
      <c r="AB1" s="207" t="s">
        <v>470</v>
      </c>
      <c r="AE1" s="209" t="s">
        <v>0</v>
      </c>
      <c r="AF1" s="210"/>
      <c r="AG1" s="209" t="s">
        <v>4</v>
      </c>
      <c r="AH1" s="209" t="s">
        <v>5</v>
      </c>
      <c r="AI1" s="162"/>
      <c r="AJ1" s="163" t="s">
        <v>6</v>
      </c>
      <c r="AK1" s="162"/>
      <c r="AL1" s="164" t="s">
        <v>7</v>
      </c>
      <c r="AM1" s="162"/>
      <c r="AN1" s="211" t="s">
        <v>8</v>
      </c>
      <c r="AO1" s="210"/>
      <c r="AP1" s="211" t="s">
        <v>27</v>
      </c>
      <c r="AQ1" s="210"/>
      <c r="AR1" s="211" t="s">
        <v>10</v>
      </c>
      <c r="AS1" s="210"/>
      <c r="AT1" s="212" t="s">
        <v>28</v>
      </c>
      <c r="AU1" s="210"/>
      <c r="AV1" s="211" t="s">
        <v>29</v>
      </c>
      <c r="AX1" s="213" t="s">
        <v>471</v>
      </c>
      <c r="AY1" s="214" t="s">
        <v>472</v>
      </c>
      <c r="AZ1" s="214" t="s">
        <v>473</v>
      </c>
      <c r="BA1" s="215" t="s">
        <v>474</v>
      </c>
    </row>
    <row r="2" spans="1:53" x14ac:dyDescent="0.15">
      <c r="A2" s="165" t="s">
        <v>34</v>
      </c>
      <c r="B2" s="165" t="s">
        <v>475</v>
      </c>
      <c r="C2" s="165">
        <v>2018</v>
      </c>
      <c r="D2" s="166" t="s">
        <v>476</v>
      </c>
      <c r="E2" s="165" t="s">
        <v>477</v>
      </c>
      <c r="F2" s="165" t="s">
        <v>287</v>
      </c>
      <c r="G2" s="167" t="s">
        <v>36</v>
      </c>
      <c r="H2" s="168" t="s">
        <v>157</v>
      </c>
      <c r="I2" s="137" t="s">
        <v>155</v>
      </c>
      <c r="J2" s="200" t="s">
        <v>38</v>
      </c>
      <c r="K2" s="137" t="s">
        <v>156</v>
      </c>
      <c r="L2" s="169">
        <v>1</v>
      </c>
      <c r="M2" s="170"/>
      <c r="N2" s="170">
        <v>1</v>
      </c>
      <c r="O2" s="170">
        <v>0.45</v>
      </c>
      <c r="P2" s="170">
        <v>0.5</v>
      </c>
      <c r="Q2" s="171">
        <f t="shared" ref="Q2:Q65" si="0">IF(OR(O2="",P2=""),"",AVERAGE(O2,P2))</f>
        <v>0.47499999999999998</v>
      </c>
      <c r="R2" s="172">
        <v>15.6</v>
      </c>
      <c r="S2" s="168">
        <v>128</v>
      </c>
      <c r="T2" s="173">
        <f t="shared" ref="T2:T65" si="1">IF(H2="","",IF(OR(H2="GREEN",H2="GK"),IF(S2&gt;=$AX$2,VLOOKUP(S2,$AX$2:$AY$7,2,1),""),IF(S2&gt;=$AZ$2,VLOOKUP(S2,$AZ$2:$BA$7,2,1),"")))</f>
        <v>30</v>
      </c>
      <c r="U2" s="137">
        <v>84</v>
      </c>
      <c r="V2" s="173">
        <f t="shared" ref="V2:V65" si="2">IF(OR(N2="",U2="",T2=""),"",U2/N2*T2)</f>
        <v>2520</v>
      </c>
      <c r="W2" s="174">
        <v>2</v>
      </c>
      <c r="X2" s="175" t="s">
        <v>46</v>
      </c>
      <c r="Y2" s="175" t="s">
        <v>88</v>
      </c>
      <c r="Z2" s="175" t="s">
        <v>97</v>
      </c>
      <c r="AA2" s="176" t="s">
        <v>90</v>
      </c>
      <c r="AB2" s="55" t="s">
        <v>478</v>
      </c>
      <c r="AE2" s="218" t="s">
        <v>35</v>
      </c>
      <c r="AG2" s="243" t="s">
        <v>479</v>
      </c>
      <c r="AH2" s="243" t="s">
        <v>288</v>
      </c>
      <c r="AJ2" s="144" t="s">
        <v>36</v>
      </c>
      <c r="AL2" s="219" t="s">
        <v>127</v>
      </c>
      <c r="AN2" s="219" t="s">
        <v>37</v>
      </c>
      <c r="AO2" s="216"/>
      <c r="AP2" s="219" t="s">
        <v>38</v>
      </c>
      <c r="AQ2" s="216"/>
      <c r="AR2" s="219" t="s">
        <v>480</v>
      </c>
      <c r="AS2" s="216"/>
      <c r="AT2" s="219" t="s">
        <v>39</v>
      </c>
      <c r="AU2" s="216"/>
      <c r="AV2" s="248" t="s">
        <v>40</v>
      </c>
      <c r="AW2" s="216"/>
      <c r="AX2" s="220">
        <v>1</v>
      </c>
      <c r="AY2" s="221">
        <v>50</v>
      </c>
      <c r="AZ2" s="221">
        <v>1</v>
      </c>
      <c r="BA2" s="222">
        <v>50</v>
      </c>
    </row>
    <row r="3" spans="1:53" x14ac:dyDescent="0.15">
      <c r="A3" s="177" t="s">
        <v>34</v>
      </c>
      <c r="B3" s="177" t="s">
        <v>348</v>
      </c>
      <c r="C3" s="178">
        <v>2018</v>
      </c>
      <c r="D3" s="256" t="s">
        <v>481</v>
      </c>
      <c r="E3" s="177" t="s">
        <v>477</v>
      </c>
      <c r="F3" s="177" t="s">
        <v>287</v>
      </c>
      <c r="G3" s="180" t="s">
        <v>36</v>
      </c>
      <c r="H3" s="137" t="s">
        <v>157</v>
      </c>
      <c r="I3" s="137" t="s">
        <v>155</v>
      </c>
      <c r="J3" s="137" t="s">
        <v>38</v>
      </c>
      <c r="K3" s="137" t="s">
        <v>156</v>
      </c>
      <c r="L3" s="208">
        <v>2</v>
      </c>
      <c r="N3" s="208">
        <v>1</v>
      </c>
      <c r="O3" s="208">
        <v>0.45</v>
      </c>
      <c r="P3" s="235">
        <v>0.4</v>
      </c>
      <c r="Q3" s="181">
        <f t="shared" si="0"/>
        <v>0.42500000000000004</v>
      </c>
      <c r="R3" s="182">
        <v>15.1</v>
      </c>
      <c r="S3" s="182">
        <v>125</v>
      </c>
      <c r="T3" s="217">
        <f t="shared" si="1"/>
        <v>30</v>
      </c>
      <c r="U3" s="183">
        <v>84</v>
      </c>
      <c r="V3" s="184">
        <f t="shared" si="2"/>
        <v>2520</v>
      </c>
      <c r="W3" s="185">
        <v>2</v>
      </c>
      <c r="X3" s="186" t="s">
        <v>46</v>
      </c>
      <c r="Y3" s="186" t="s">
        <v>88</v>
      </c>
      <c r="Z3" s="186" t="s">
        <v>97</v>
      </c>
      <c r="AA3" s="176" t="s">
        <v>90</v>
      </c>
      <c r="AB3" s="55" t="s">
        <v>350</v>
      </c>
      <c r="AE3" s="223" t="s">
        <v>41</v>
      </c>
      <c r="AG3" s="243" t="s">
        <v>289</v>
      </c>
      <c r="AH3" s="243" t="s">
        <v>290</v>
      </c>
      <c r="AJ3" s="187" t="s">
        <v>42</v>
      </c>
      <c r="AL3" s="224" t="s">
        <v>128</v>
      </c>
      <c r="AN3" s="224" t="s">
        <v>43</v>
      </c>
      <c r="AP3" s="224" t="s">
        <v>44</v>
      </c>
      <c r="AR3" s="238" t="s">
        <v>45</v>
      </c>
      <c r="AT3" s="224" t="s">
        <v>46</v>
      </c>
      <c r="AV3" s="224" t="s">
        <v>47</v>
      </c>
      <c r="AX3" s="225">
        <v>72</v>
      </c>
      <c r="AY3" s="226">
        <v>46</v>
      </c>
      <c r="AZ3" s="226">
        <v>71</v>
      </c>
      <c r="BA3" s="227">
        <v>42</v>
      </c>
    </row>
    <row r="4" spans="1:53" x14ac:dyDescent="0.15">
      <c r="A4" s="177" t="s">
        <v>34</v>
      </c>
      <c r="B4" s="177" t="s">
        <v>348</v>
      </c>
      <c r="C4" s="177">
        <v>2018</v>
      </c>
      <c r="D4" s="179" t="s">
        <v>481</v>
      </c>
      <c r="E4" s="177" t="s">
        <v>477</v>
      </c>
      <c r="F4" s="177" t="s">
        <v>287</v>
      </c>
      <c r="G4" s="180" t="s">
        <v>36</v>
      </c>
      <c r="H4" s="137" t="s">
        <v>157</v>
      </c>
      <c r="I4" s="137" t="s">
        <v>155</v>
      </c>
      <c r="J4" s="137" t="s">
        <v>38</v>
      </c>
      <c r="K4" s="137" t="s">
        <v>156</v>
      </c>
      <c r="L4" s="208">
        <v>3</v>
      </c>
      <c r="N4" s="208">
        <v>1</v>
      </c>
      <c r="O4" s="208">
        <v>0.5</v>
      </c>
      <c r="P4" s="235">
        <v>0.45</v>
      </c>
      <c r="Q4" s="245">
        <f t="shared" si="0"/>
        <v>0.47499999999999998</v>
      </c>
      <c r="R4" s="188">
        <v>14.4</v>
      </c>
      <c r="S4" s="188">
        <v>124</v>
      </c>
      <c r="T4" s="217">
        <f t="shared" si="1"/>
        <v>30</v>
      </c>
      <c r="U4" s="189">
        <v>84</v>
      </c>
      <c r="V4" s="184">
        <f t="shared" si="2"/>
        <v>2520</v>
      </c>
      <c r="W4" s="190">
        <v>2</v>
      </c>
      <c r="X4" s="186" t="s">
        <v>46</v>
      </c>
      <c r="Y4" s="186" t="s">
        <v>88</v>
      </c>
      <c r="Z4" s="186" t="s">
        <v>97</v>
      </c>
      <c r="AA4" s="176" t="s">
        <v>90</v>
      </c>
      <c r="AB4" s="55" t="s">
        <v>350</v>
      </c>
      <c r="AE4" s="223" t="s">
        <v>34</v>
      </c>
      <c r="AG4" s="243" t="s">
        <v>482</v>
      </c>
      <c r="AH4" s="243" t="s">
        <v>291</v>
      </c>
      <c r="AJ4" s="191" t="s">
        <v>48</v>
      </c>
      <c r="AL4" s="228" t="s">
        <v>129</v>
      </c>
      <c r="AN4" s="229" t="s">
        <v>49</v>
      </c>
      <c r="AP4" s="224" t="s">
        <v>483</v>
      </c>
      <c r="AR4" s="238" t="s">
        <v>484</v>
      </c>
      <c r="AT4" s="229"/>
      <c r="AV4" s="224" t="s">
        <v>50</v>
      </c>
      <c r="AX4" s="225">
        <v>75</v>
      </c>
      <c r="AY4" s="226">
        <v>42</v>
      </c>
      <c r="AZ4" s="226">
        <v>76</v>
      </c>
      <c r="BA4" s="227">
        <v>39</v>
      </c>
    </row>
    <row r="5" spans="1:53" x14ac:dyDescent="0.15">
      <c r="A5" s="177" t="s">
        <v>34</v>
      </c>
      <c r="B5" s="177" t="s">
        <v>348</v>
      </c>
      <c r="C5" s="178">
        <v>2018</v>
      </c>
      <c r="D5" s="179" t="s">
        <v>481</v>
      </c>
      <c r="E5" s="177" t="s">
        <v>477</v>
      </c>
      <c r="F5" s="177" t="s">
        <v>287</v>
      </c>
      <c r="G5" s="180" t="s">
        <v>36</v>
      </c>
      <c r="H5" s="137" t="s">
        <v>164</v>
      </c>
      <c r="I5" s="137" t="s">
        <v>155</v>
      </c>
      <c r="J5" s="137" t="s">
        <v>38</v>
      </c>
      <c r="K5" s="137" t="s">
        <v>156</v>
      </c>
      <c r="L5" s="208">
        <v>1</v>
      </c>
      <c r="N5" s="208">
        <v>1</v>
      </c>
      <c r="O5" s="208">
        <v>0.45</v>
      </c>
      <c r="P5" s="237">
        <v>0.4</v>
      </c>
      <c r="Q5" s="245">
        <f t="shared" si="0"/>
        <v>0.42500000000000004</v>
      </c>
      <c r="R5" s="188">
        <v>17.100000000000001</v>
      </c>
      <c r="S5" s="188">
        <v>129</v>
      </c>
      <c r="T5" s="217">
        <f t="shared" si="1"/>
        <v>30</v>
      </c>
      <c r="U5" s="189">
        <v>138</v>
      </c>
      <c r="V5" s="184">
        <f t="shared" si="2"/>
        <v>4140</v>
      </c>
      <c r="W5" s="190">
        <v>2</v>
      </c>
      <c r="X5" s="186" t="s">
        <v>46</v>
      </c>
      <c r="Y5" s="186" t="s">
        <v>88</v>
      </c>
      <c r="Z5" s="186" t="s">
        <v>97</v>
      </c>
      <c r="AA5" s="176" t="s">
        <v>90</v>
      </c>
      <c r="AB5" s="55" t="s">
        <v>350</v>
      </c>
      <c r="AE5" s="223" t="s">
        <v>51</v>
      </c>
      <c r="AG5" s="243" t="s">
        <v>485</v>
      </c>
      <c r="AH5" s="243" t="s">
        <v>294</v>
      </c>
      <c r="AJ5" s="192"/>
      <c r="AL5" s="230" t="s">
        <v>486</v>
      </c>
      <c r="AN5" s="230" t="s">
        <v>487</v>
      </c>
      <c r="AP5" s="224" t="s">
        <v>488</v>
      </c>
      <c r="AR5" s="238" t="s">
        <v>54</v>
      </c>
      <c r="AT5" s="247"/>
      <c r="AV5" s="224" t="s">
        <v>55</v>
      </c>
      <c r="AX5" s="225">
        <v>84</v>
      </c>
      <c r="AY5" s="226">
        <v>39</v>
      </c>
      <c r="AZ5" s="226">
        <v>84</v>
      </c>
      <c r="BA5" s="227">
        <v>36</v>
      </c>
    </row>
    <row r="6" spans="1:53" x14ac:dyDescent="0.15">
      <c r="A6" s="177" t="s">
        <v>34</v>
      </c>
      <c r="B6" s="177" t="s">
        <v>348</v>
      </c>
      <c r="C6" s="177">
        <v>2018</v>
      </c>
      <c r="D6" s="179" t="s">
        <v>481</v>
      </c>
      <c r="E6" s="177" t="s">
        <v>477</v>
      </c>
      <c r="F6" s="177" t="s">
        <v>287</v>
      </c>
      <c r="G6" s="180" t="s">
        <v>36</v>
      </c>
      <c r="H6" s="137" t="s">
        <v>164</v>
      </c>
      <c r="I6" s="137" t="s">
        <v>155</v>
      </c>
      <c r="J6" s="137" t="s">
        <v>38</v>
      </c>
      <c r="K6" s="137" t="s">
        <v>156</v>
      </c>
      <c r="L6" s="208">
        <v>2</v>
      </c>
      <c r="N6" s="208">
        <v>1</v>
      </c>
      <c r="O6" s="208">
        <v>0.45</v>
      </c>
      <c r="P6" s="237">
        <v>0.45</v>
      </c>
      <c r="Q6" s="245">
        <f t="shared" si="0"/>
        <v>0.45</v>
      </c>
      <c r="R6" s="188">
        <v>16.399999999999999</v>
      </c>
      <c r="S6" s="188">
        <v>131</v>
      </c>
      <c r="T6" s="217">
        <f t="shared" si="1"/>
        <v>30</v>
      </c>
      <c r="U6" s="189">
        <v>138</v>
      </c>
      <c r="V6" s="184">
        <f t="shared" si="2"/>
        <v>4140</v>
      </c>
      <c r="W6" s="190">
        <v>2</v>
      </c>
      <c r="X6" s="186" t="s">
        <v>46</v>
      </c>
      <c r="Y6" s="186" t="s">
        <v>88</v>
      </c>
      <c r="Z6" s="186" t="s">
        <v>97</v>
      </c>
      <c r="AA6" s="176" t="s">
        <v>90</v>
      </c>
      <c r="AB6" s="55" t="s">
        <v>350</v>
      </c>
      <c r="AE6" s="223" t="s">
        <v>56</v>
      </c>
      <c r="AG6" s="243" t="s">
        <v>489</v>
      </c>
      <c r="AH6" s="243" t="s">
        <v>293</v>
      </c>
      <c r="AL6" s="230" t="s">
        <v>490</v>
      </c>
      <c r="AN6" s="230" t="s">
        <v>491</v>
      </c>
      <c r="AP6" s="224" t="s">
        <v>53</v>
      </c>
      <c r="AR6" s="238" t="s">
        <v>59</v>
      </c>
      <c r="AV6" s="224" t="s">
        <v>60</v>
      </c>
      <c r="AX6" s="225">
        <v>97</v>
      </c>
      <c r="AY6" s="226">
        <v>36</v>
      </c>
      <c r="AZ6" s="226">
        <v>99</v>
      </c>
      <c r="BA6" s="227">
        <v>33</v>
      </c>
    </row>
    <row r="7" spans="1:53" x14ac:dyDescent="0.15">
      <c r="A7" s="177" t="s">
        <v>34</v>
      </c>
      <c r="B7" s="177" t="s">
        <v>348</v>
      </c>
      <c r="C7" s="178">
        <v>2018</v>
      </c>
      <c r="D7" s="179" t="s">
        <v>481</v>
      </c>
      <c r="E7" s="177" t="s">
        <v>477</v>
      </c>
      <c r="F7" s="177" t="s">
        <v>287</v>
      </c>
      <c r="G7" s="180" t="s">
        <v>36</v>
      </c>
      <c r="H7" s="137" t="s">
        <v>164</v>
      </c>
      <c r="I7" s="137" t="s">
        <v>155</v>
      </c>
      <c r="J7" s="137" t="s">
        <v>38</v>
      </c>
      <c r="K7" s="137" t="s">
        <v>156</v>
      </c>
      <c r="L7" s="208">
        <v>3</v>
      </c>
      <c r="N7" s="208">
        <v>1</v>
      </c>
      <c r="O7" s="208">
        <v>0.4</v>
      </c>
      <c r="P7" s="237">
        <v>0.45</v>
      </c>
      <c r="Q7" s="245">
        <f t="shared" si="0"/>
        <v>0.42500000000000004</v>
      </c>
      <c r="R7" s="188">
        <v>16.600000000000001</v>
      </c>
      <c r="S7" s="188">
        <v>132</v>
      </c>
      <c r="T7" s="217">
        <f t="shared" si="1"/>
        <v>30</v>
      </c>
      <c r="U7" s="189">
        <v>138</v>
      </c>
      <c r="V7" s="184">
        <f t="shared" si="2"/>
        <v>4140</v>
      </c>
      <c r="W7" s="190">
        <v>2</v>
      </c>
      <c r="X7" s="186" t="s">
        <v>46</v>
      </c>
      <c r="Y7" s="186" t="s">
        <v>88</v>
      </c>
      <c r="Z7" s="186" t="s">
        <v>97</v>
      </c>
      <c r="AA7" s="176" t="s">
        <v>90</v>
      </c>
      <c r="AB7" s="55" t="s">
        <v>350</v>
      </c>
      <c r="AE7" s="223" t="s">
        <v>61</v>
      </c>
      <c r="AG7" s="243" t="s">
        <v>292</v>
      </c>
      <c r="AH7" s="243" t="s">
        <v>287</v>
      </c>
      <c r="AL7" s="235" t="s">
        <v>492</v>
      </c>
      <c r="AP7" s="224" t="s">
        <v>58</v>
      </c>
      <c r="AR7" s="231" t="s">
        <v>122</v>
      </c>
      <c r="AV7" s="224" t="s">
        <v>64</v>
      </c>
      <c r="AX7" s="225">
        <v>109</v>
      </c>
      <c r="AY7" s="226">
        <v>33</v>
      </c>
      <c r="AZ7" s="226">
        <v>113</v>
      </c>
      <c r="BA7" s="227">
        <v>30</v>
      </c>
    </row>
    <row r="8" spans="1:53" x14ac:dyDescent="0.15">
      <c r="A8" s="177" t="s">
        <v>34</v>
      </c>
      <c r="B8" s="177" t="s">
        <v>348</v>
      </c>
      <c r="C8" s="177">
        <v>2018</v>
      </c>
      <c r="D8" s="179" t="s">
        <v>481</v>
      </c>
      <c r="E8" s="178" t="s">
        <v>292</v>
      </c>
      <c r="F8" s="177" t="s">
        <v>293</v>
      </c>
      <c r="G8" s="180" t="s">
        <v>36</v>
      </c>
      <c r="H8" s="137" t="s">
        <v>157</v>
      </c>
      <c r="I8" s="137" t="s">
        <v>155</v>
      </c>
      <c r="J8" s="137" t="s">
        <v>38</v>
      </c>
      <c r="K8" s="137" t="s">
        <v>156</v>
      </c>
      <c r="L8" s="208">
        <v>1</v>
      </c>
      <c r="N8" s="208">
        <v>1</v>
      </c>
      <c r="O8" s="208">
        <v>0.5</v>
      </c>
      <c r="P8" s="208">
        <v>0.5</v>
      </c>
      <c r="Q8" s="245">
        <f t="shared" si="0"/>
        <v>0.5</v>
      </c>
      <c r="R8" s="188">
        <v>15.5</v>
      </c>
      <c r="S8" s="188">
        <v>128</v>
      </c>
      <c r="T8" s="217">
        <f t="shared" si="1"/>
        <v>30</v>
      </c>
      <c r="U8" s="193">
        <v>138</v>
      </c>
      <c r="V8" s="184">
        <f t="shared" si="2"/>
        <v>4140</v>
      </c>
      <c r="W8" s="190">
        <v>2</v>
      </c>
      <c r="X8" s="186" t="s">
        <v>46</v>
      </c>
      <c r="Y8" s="194" t="s">
        <v>86</v>
      </c>
      <c r="Z8" s="186" t="s">
        <v>88</v>
      </c>
      <c r="AA8" s="176" t="s">
        <v>78</v>
      </c>
      <c r="AB8" s="55" t="s">
        <v>350</v>
      </c>
      <c r="AE8" s="223" t="s">
        <v>59</v>
      </c>
      <c r="AG8" s="243" t="s">
        <v>493</v>
      </c>
      <c r="AH8" s="243" t="s">
        <v>296</v>
      </c>
      <c r="AL8" s="235" t="s">
        <v>357</v>
      </c>
      <c r="AP8" s="224" t="s">
        <v>62</v>
      </c>
      <c r="AR8" s="238" t="s">
        <v>81</v>
      </c>
      <c r="AV8" s="224" t="s">
        <v>97</v>
      </c>
      <c r="AX8" s="225">
        <v>151</v>
      </c>
      <c r="AY8" s="226">
        <v>22</v>
      </c>
      <c r="AZ8" s="226">
        <v>152</v>
      </c>
      <c r="BA8" s="227">
        <v>18</v>
      </c>
    </row>
    <row r="9" spans="1:53" x14ac:dyDescent="0.15">
      <c r="A9" s="177" t="s">
        <v>34</v>
      </c>
      <c r="B9" s="177" t="s">
        <v>348</v>
      </c>
      <c r="C9" s="178">
        <v>2018</v>
      </c>
      <c r="D9" s="179" t="s">
        <v>481</v>
      </c>
      <c r="E9" s="178" t="s">
        <v>292</v>
      </c>
      <c r="F9" s="177" t="s">
        <v>293</v>
      </c>
      <c r="G9" s="180" t="s">
        <v>36</v>
      </c>
      <c r="H9" s="137" t="s">
        <v>157</v>
      </c>
      <c r="I9" s="137" t="s">
        <v>155</v>
      </c>
      <c r="J9" s="137" t="s">
        <v>38</v>
      </c>
      <c r="K9" s="137" t="s">
        <v>156</v>
      </c>
      <c r="L9" s="208">
        <v>2</v>
      </c>
      <c r="N9" s="208">
        <v>1</v>
      </c>
      <c r="O9" s="208">
        <v>0.65</v>
      </c>
      <c r="P9" s="208">
        <v>0.55000000000000004</v>
      </c>
      <c r="Q9" s="245">
        <f t="shared" si="0"/>
        <v>0.60000000000000009</v>
      </c>
      <c r="R9" s="188">
        <v>15.7</v>
      </c>
      <c r="S9" s="188">
        <v>120</v>
      </c>
      <c r="T9" s="217">
        <f t="shared" si="1"/>
        <v>30</v>
      </c>
      <c r="U9" s="193">
        <v>138</v>
      </c>
      <c r="V9" s="184">
        <f t="shared" si="2"/>
        <v>4140</v>
      </c>
      <c r="W9" s="190">
        <v>2</v>
      </c>
      <c r="X9" s="186" t="s">
        <v>46</v>
      </c>
      <c r="Y9" s="194" t="s">
        <v>86</v>
      </c>
      <c r="Z9" s="186" t="s">
        <v>88</v>
      </c>
      <c r="AA9" s="176" t="s">
        <v>78</v>
      </c>
      <c r="AB9" s="55" t="s">
        <v>350</v>
      </c>
      <c r="AE9" s="223" t="s">
        <v>98</v>
      </c>
      <c r="AG9" s="243" t="s">
        <v>494</v>
      </c>
      <c r="AH9" s="243" t="s">
        <v>297</v>
      </c>
      <c r="AL9" s="230"/>
      <c r="AP9" s="224" t="s">
        <v>95</v>
      </c>
      <c r="AR9" s="231" t="s">
        <v>89</v>
      </c>
      <c r="AV9" s="224" t="s">
        <v>102</v>
      </c>
      <c r="AX9" s="232">
        <v>180</v>
      </c>
      <c r="AY9" s="233">
        <v>18</v>
      </c>
      <c r="AZ9" s="233">
        <v>181</v>
      </c>
      <c r="BA9" s="234">
        <v>16</v>
      </c>
    </row>
    <row r="10" spans="1:53" x14ac:dyDescent="0.15">
      <c r="A10" s="177" t="s">
        <v>34</v>
      </c>
      <c r="B10" s="177" t="s">
        <v>348</v>
      </c>
      <c r="C10" s="177">
        <v>2018</v>
      </c>
      <c r="D10" s="179" t="s">
        <v>481</v>
      </c>
      <c r="E10" s="178" t="s">
        <v>292</v>
      </c>
      <c r="F10" s="177" t="s">
        <v>293</v>
      </c>
      <c r="G10" s="180" t="s">
        <v>36</v>
      </c>
      <c r="H10" s="137" t="s">
        <v>157</v>
      </c>
      <c r="I10" s="137" t="s">
        <v>155</v>
      </c>
      <c r="J10" s="137" t="s">
        <v>38</v>
      </c>
      <c r="K10" s="137" t="s">
        <v>156</v>
      </c>
      <c r="L10" s="208">
        <v>3</v>
      </c>
      <c r="N10" s="208">
        <v>1</v>
      </c>
      <c r="O10" s="208">
        <v>0.6</v>
      </c>
      <c r="P10" s="208">
        <v>0.6</v>
      </c>
      <c r="Q10" s="245">
        <f t="shared" si="0"/>
        <v>0.6</v>
      </c>
      <c r="R10" s="188">
        <v>15.4</v>
      </c>
      <c r="S10" s="188">
        <v>122</v>
      </c>
      <c r="T10" s="217">
        <f t="shared" si="1"/>
        <v>30</v>
      </c>
      <c r="U10" s="193">
        <v>138</v>
      </c>
      <c r="V10" s="184">
        <f t="shared" si="2"/>
        <v>4140</v>
      </c>
      <c r="W10" s="190">
        <v>2</v>
      </c>
      <c r="X10" s="186" t="s">
        <v>46</v>
      </c>
      <c r="Y10" s="194" t="s">
        <v>86</v>
      </c>
      <c r="Z10" s="186" t="s">
        <v>88</v>
      </c>
      <c r="AA10" s="176" t="s">
        <v>78</v>
      </c>
      <c r="AB10" s="55" t="s">
        <v>350</v>
      </c>
      <c r="AE10" s="223" t="s">
        <v>103</v>
      </c>
      <c r="AG10" s="243" t="s">
        <v>495</v>
      </c>
      <c r="AH10" s="243" t="s">
        <v>496</v>
      </c>
      <c r="AL10" s="235"/>
      <c r="AP10" s="224" t="s">
        <v>100</v>
      </c>
      <c r="AR10" s="231" t="s">
        <v>123</v>
      </c>
      <c r="AV10" s="224" t="s">
        <v>106</v>
      </c>
    </row>
    <row r="11" spans="1:53" x14ac:dyDescent="0.15">
      <c r="A11" s="177" t="s">
        <v>34</v>
      </c>
      <c r="B11" s="177" t="s">
        <v>348</v>
      </c>
      <c r="C11" s="178">
        <v>2018</v>
      </c>
      <c r="D11" s="179" t="s">
        <v>481</v>
      </c>
      <c r="E11" s="178" t="s">
        <v>292</v>
      </c>
      <c r="F11" s="177" t="s">
        <v>293</v>
      </c>
      <c r="G11" s="180" t="s">
        <v>36</v>
      </c>
      <c r="H11" s="137" t="s">
        <v>164</v>
      </c>
      <c r="I11" s="137" t="s">
        <v>155</v>
      </c>
      <c r="J11" s="137" t="s">
        <v>38</v>
      </c>
      <c r="K11" s="137" t="s">
        <v>156</v>
      </c>
      <c r="L11" s="208">
        <v>1</v>
      </c>
      <c r="N11" s="208">
        <v>1</v>
      </c>
      <c r="O11" s="208">
        <v>0.5</v>
      </c>
      <c r="P11" s="208">
        <v>0.45</v>
      </c>
      <c r="Q11" s="245">
        <f t="shared" si="0"/>
        <v>0.47499999999999998</v>
      </c>
      <c r="R11" s="188">
        <v>16.3</v>
      </c>
      <c r="S11" s="188">
        <v>136</v>
      </c>
      <c r="T11" s="217">
        <f t="shared" si="1"/>
        <v>30</v>
      </c>
      <c r="U11" s="193">
        <v>128</v>
      </c>
      <c r="V11" s="184">
        <f t="shared" si="2"/>
        <v>3840</v>
      </c>
      <c r="W11" s="190">
        <v>2</v>
      </c>
      <c r="X11" s="186" t="s">
        <v>46</v>
      </c>
      <c r="Y11" s="194" t="s">
        <v>86</v>
      </c>
      <c r="Z11" s="186" t="s">
        <v>88</v>
      </c>
      <c r="AA11" s="195" t="s">
        <v>78</v>
      </c>
      <c r="AB11" s="55" t="s">
        <v>350</v>
      </c>
      <c r="AE11" s="223" t="s">
        <v>65</v>
      </c>
      <c r="AG11" s="238"/>
      <c r="AH11" s="238"/>
      <c r="AL11" s="235"/>
      <c r="AP11" s="224" t="s">
        <v>104</v>
      </c>
      <c r="AR11" s="231" t="s">
        <v>87</v>
      </c>
      <c r="AV11" s="224" t="s">
        <v>69</v>
      </c>
    </row>
    <row r="12" spans="1:53" x14ac:dyDescent="0.15">
      <c r="A12" s="177" t="s">
        <v>34</v>
      </c>
      <c r="B12" s="177" t="s">
        <v>348</v>
      </c>
      <c r="C12" s="177">
        <v>2018</v>
      </c>
      <c r="D12" s="179" t="s">
        <v>481</v>
      </c>
      <c r="E12" s="178" t="s">
        <v>292</v>
      </c>
      <c r="F12" s="177" t="s">
        <v>293</v>
      </c>
      <c r="G12" s="180" t="s">
        <v>36</v>
      </c>
      <c r="H12" s="137" t="s">
        <v>164</v>
      </c>
      <c r="I12" s="137" t="s">
        <v>155</v>
      </c>
      <c r="J12" s="137" t="s">
        <v>38</v>
      </c>
      <c r="K12" s="137" t="s">
        <v>156</v>
      </c>
      <c r="L12" s="208">
        <v>2</v>
      </c>
      <c r="N12" s="208">
        <v>1</v>
      </c>
      <c r="O12" s="208">
        <v>0.6</v>
      </c>
      <c r="P12" s="208">
        <v>0.5</v>
      </c>
      <c r="Q12" s="245">
        <f t="shared" si="0"/>
        <v>0.55000000000000004</v>
      </c>
      <c r="R12" s="188">
        <v>16.8</v>
      </c>
      <c r="S12" s="188">
        <v>140</v>
      </c>
      <c r="T12" s="217">
        <f t="shared" si="1"/>
        <v>30</v>
      </c>
      <c r="U12" s="193">
        <v>128</v>
      </c>
      <c r="V12" s="184">
        <f t="shared" si="2"/>
        <v>3840</v>
      </c>
      <c r="W12" s="190">
        <v>2</v>
      </c>
      <c r="X12" s="186" t="s">
        <v>46</v>
      </c>
      <c r="Y12" s="194" t="s">
        <v>86</v>
      </c>
      <c r="Z12" s="186" t="s">
        <v>88</v>
      </c>
      <c r="AA12" s="195" t="s">
        <v>78</v>
      </c>
      <c r="AB12" s="55" t="s">
        <v>350</v>
      </c>
      <c r="AE12" s="223" t="s">
        <v>70</v>
      </c>
      <c r="AG12" s="238"/>
      <c r="AH12" s="238"/>
      <c r="AL12" s="235"/>
      <c r="AP12" s="224" t="s">
        <v>67</v>
      </c>
      <c r="AR12" s="231" t="s">
        <v>124</v>
      </c>
      <c r="AV12" s="224" t="s">
        <v>72</v>
      </c>
    </row>
    <row r="13" spans="1:53" x14ac:dyDescent="0.15">
      <c r="A13" s="177" t="s">
        <v>34</v>
      </c>
      <c r="B13" s="177" t="s">
        <v>348</v>
      </c>
      <c r="C13" s="178">
        <v>2018</v>
      </c>
      <c r="D13" s="179" t="s">
        <v>481</v>
      </c>
      <c r="E13" s="178" t="s">
        <v>292</v>
      </c>
      <c r="F13" s="177" t="s">
        <v>293</v>
      </c>
      <c r="G13" s="180" t="s">
        <v>36</v>
      </c>
      <c r="H13" s="137" t="s">
        <v>164</v>
      </c>
      <c r="I13" s="137" t="s">
        <v>155</v>
      </c>
      <c r="J13" s="137" t="s">
        <v>38</v>
      </c>
      <c r="K13" s="137" t="s">
        <v>156</v>
      </c>
      <c r="L13" s="208">
        <v>3</v>
      </c>
      <c r="N13" s="208">
        <v>1</v>
      </c>
      <c r="O13" s="208">
        <v>0.6</v>
      </c>
      <c r="P13" s="208">
        <v>0.55000000000000004</v>
      </c>
      <c r="Q13" s="245">
        <f t="shared" si="0"/>
        <v>0.57499999999999996</v>
      </c>
      <c r="R13" s="188">
        <v>16.399999999999999</v>
      </c>
      <c r="S13" s="188">
        <v>142</v>
      </c>
      <c r="T13" s="217">
        <f t="shared" si="1"/>
        <v>30</v>
      </c>
      <c r="U13" s="193">
        <v>128</v>
      </c>
      <c r="V13" s="184">
        <f t="shared" si="2"/>
        <v>3840</v>
      </c>
      <c r="W13" s="190">
        <v>2</v>
      </c>
      <c r="X13" s="186" t="s">
        <v>46</v>
      </c>
      <c r="Y13" s="194" t="s">
        <v>86</v>
      </c>
      <c r="Z13" s="186" t="s">
        <v>88</v>
      </c>
      <c r="AA13" s="195" t="s">
        <v>78</v>
      </c>
      <c r="AB13" s="55" t="s">
        <v>350</v>
      </c>
      <c r="AE13" s="223" t="s">
        <v>73</v>
      </c>
      <c r="AG13" s="196"/>
      <c r="AH13" s="196"/>
      <c r="AP13" s="224" t="s">
        <v>71</v>
      </c>
      <c r="AR13" s="231" t="s">
        <v>103</v>
      </c>
      <c r="AV13" s="224" t="s">
        <v>75</v>
      </c>
    </row>
    <row r="14" spans="1:53" x14ac:dyDescent="0.15">
      <c r="A14" s="177" t="s">
        <v>34</v>
      </c>
      <c r="B14" s="177" t="s">
        <v>348</v>
      </c>
      <c r="C14" s="177">
        <v>2018</v>
      </c>
      <c r="D14" s="179" t="s">
        <v>481</v>
      </c>
      <c r="E14" s="178" t="s">
        <v>295</v>
      </c>
      <c r="F14" s="177" t="s">
        <v>293</v>
      </c>
      <c r="G14" s="180" t="s">
        <v>36</v>
      </c>
      <c r="H14" s="137" t="s">
        <v>157</v>
      </c>
      <c r="I14" s="137" t="s">
        <v>155</v>
      </c>
      <c r="J14" s="137" t="s">
        <v>38</v>
      </c>
      <c r="K14" s="137" t="s">
        <v>156</v>
      </c>
      <c r="L14" s="208">
        <v>1</v>
      </c>
      <c r="N14" s="208">
        <v>1</v>
      </c>
      <c r="O14" s="208">
        <v>0.45</v>
      </c>
      <c r="P14" s="208">
        <v>0.5</v>
      </c>
      <c r="Q14" s="245">
        <f t="shared" si="0"/>
        <v>0.47499999999999998</v>
      </c>
      <c r="R14" s="188">
        <v>14.3</v>
      </c>
      <c r="S14" s="188">
        <v>122</v>
      </c>
      <c r="T14" s="217">
        <f t="shared" si="1"/>
        <v>30</v>
      </c>
      <c r="U14" s="193">
        <v>98</v>
      </c>
      <c r="V14" s="184">
        <v>3582</v>
      </c>
      <c r="W14" s="190">
        <v>6</v>
      </c>
      <c r="X14" s="186" t="s">
        <v>46</v>
      </c>
      <c r="Y14" s="194" t="s">
        <v>88</v>
      </c>
      <c r="Z14" s="194" t="s">
        <v>78</v>
      </c>
      <c r="AA14" s="195" t="s">
        <v>69</v>
      </c>
      <c r="AB14" s="55" t="s">
        <v>350</v>
      </c>
      <c r="AC14" s="235"/>
      <c r="AE14" s="223" t="s">
        <v>76</v>
      </c>
      <c r="AG14" s="247"/>
      <c r="AH14" s="247"/>
      <c r="AP14" s="224" t="s">
        <v>74</v>
      </c>
      <c r="AR14" s="231" t="s">
        <v>125</v>
      </c>
      <c r="AV14" s="224" t="s">
        <v>78</v>
      </c>
    </row>
    <row r="15" spans="1:53" x14ac:dyDescent="0.15">
      <c r="A15" s="177" t="s">
        <v>34</v>
      </c>
      <c r="B15" s="177" t="s">
        <v>348</v>
      </c>
      <c r="C15" s="178">
        <v>2018</v>
      </c>
      <c r="D15" s="179" t="s">
        <v>481</v>
      </c>
      <c r="E15" s="178" t="s">
        <v>295</v>
      </c>
      <c r="F15" s="177" t="s">
        <v>293</v>
      </c>
      <c r="G15" s="180" t="s">
        <v>36</v>
      </c>
      <c r="H15" s="137" t="s">
        <v>157</v>
      </c>
      <c r="I15" s="137" t="s">
        <v>155</v>
      </c>
      <c r="J15" s="137" t="s">
        <v>38</v>
      </c>
      <c r="K15" s="137" t="s">
        <v>156</v>
      </c>
      <c r="L15" s="208">
        <v>2</v>
      </c>
      <c r="N15" s="208">
        <v>1</v>
      </c>
      <c r="O15" s="208">
        <v>0.4</v>
      </c>
      <c r="P15" s="208">
        <v>0.45</v>
      </c>
      <c r="Q15" s="245">
        <f t="shared" si="0"/>
        <v>0.42500000000000004</v>
      </c>
      <c r="R15" s="188">
        <v>15.2</v>
      </c>
      <c r="S15" s="188">
        <v>125</v>
      </c>
      <c r="T15" s="217">
        <f t="shared" si="1"/>
        <v>30</v>
      </c>
      <c r="U15" s="193">
        <v>98</v>
      </c>
      <c r="V15" s="184">
        <f t="shared" si="2"/>
        <v>2940</v>
      </c>
      <c r="W15" s="190">
        <v>6</v>
      </c>
      <c r="X15" s="186" t="s">
        <v>46</v>
      </c>
      <c r="Y15" s="194" t="s">
        <v>88</v>
      </c>
      <c r="Z15" s="194" t="s">
        <v>78</v>
      </c>
      <c r="AA15" s="195" t="s">
        <v>69</v>
      </c>
      <c r="AB15" s="55" t="s">
        <v>350</v>
      </c>
      <c r="AC15" s="235"/>
      <c r="AE15" s="223" t="s">
        <v>79</v>
      </c>
      <c r="AP15" s="224" t="s">
        <v>77</v>
      </c>
      <c r="AR15" s="231" t="s">
        <v>94</v>
      </c>
      <c r="AV15" s="224" t="s">
        <v>107</v>
      </c>
    </row>
    <row r="16" spans="1:53" x14ac:dyDescent="0.15">
      <c r="A16" s="177" t="s">
        <v>34</v>
      </c>
      <c r="B16" s="177" t="s">
        <v>348</v>
      </c>
      <c r="C16" s="177">
        <v>2018</v>
      </c>
      <c r="D16" s="179" t="s">
        <v>481</v>
      </c>
      <c r="E16" s="178" t="s">
        <v>295</v>
      </c>
      <c r="F16" s="177" t="s">
        <v>293</v>
      </c>
      <c r="G16" s="180" t="s">
        <v>36</v>
      </c>
      <c r="H16" s="137" t="s">
        <v>157</v>
      </c>
      <c r="I16" s="137" t="s">
        <v>155</v>
      </c>
      <c r="J16" s="137" t="s">
        <v>38</v>
      </c>
      <c r="K16" s="137" t="s">
        <v>156</v>
      </c>
      <c r="L16" s="208">
        <v>3</v>
      </c>
      <c r="N16" s="208">
        <v>1</v>
      </c>
      <c r="O16" s="208">
        <v>0.45</v>
      </c>
      <c r="P16" s="208">
        <v>0.4</v>
      </c>
      <c r="Q16" s="245">
        <f t="shared" si="0"/>
        <v>0.42500000000000004</v>
      </c>
      <c r="R16" s="188">
        <v>14.9</v>
      </c>
      <c r="S16" s="188">
        <v>121</v>
      </c>
      <c r="T16" s="217">
        <f t="shared" si="1"/>
        <v>30</v>
      </c>
      <c r="U16" s="193">
        <v>98</v>
      </c>
      <c r="V16" s="184">
        <f t="shared" si="2"/>
        <v>2940</v>
      </c>
      <c r="W16" s="190">
        <v>6</v>
      </c>
      <c r="X16" s="186" t="s">
        <v>46</v>
      </c>
      <c r="Y16" s="194" t="s">
        <v>88</v>
      </c>
      <c r="Z16" s="194" t="s">
        <v>78</v>
      </c>
      <c r="AA16" s="195" t="s">
        <v>69</v>
      </c>
      <c r="AB16" s="55" t="s">
        <v>350</v>
      </c>
      <c r="AC16" s="235"/>
      <c r="AE16" s="223" t="s">
        <v>82</v>
      </c>
      <c r="AP16" s="224" t="s">
        <v>80</v>
      </c>
      <c r="AR16" s="238" t="s">
        <v>63</v>
      </c>
      <c r="AV16" s="224" t="s">
        <v>84</v>
      </c>
    </row>
    <row r="17" spans="1:48" x14ac:dyDescent="0.15">
      <c r="A17" s="177" t="s">
        <v>34</v>
      </c>
      <c r="B17" s="177" t="s">
        <v>348</v>
      </c>
      <c r="C17" s="178">
        <v>2018</v>
      </c>
      <c r="D17" s="179" t="s">
        <v>481</v>
      </c>
      <c r="E17" s="178" t="s">
        <v>295</v>
      </c>
      <c r="F17" s="177" t="s">
        <v>293</v>
      </c>
      <c r="G17" s="180" t="s">
        <v>36</v>
      </c>
      <c r="H17" s="137" t="s">
        <v>164</v>
      </c>
      <c r="I17" s="137" t="s">
        <v>158</v>
      </c>
      <c r="J17" s="137" t="s">
        <v>38</v>
      </c>
      <c r="K17" s="137" t="s">
        <v>156</v>
      </c>
      <c r="L17" s="208">
        <v>1</v>
      </c>
      <c r="N17" s="208">
        <v>1</v>
      </c>
      <c r="O17" s="208">
        <v>0.5</v>
      </c>
      <c r="P17" s="208">
        <v>0.45</v>
      </c>
      <c r="Q17" s="245">
        <f t="shared" si="0"/>
        <v>0.47499999999999998</v>
      </c>
      <c r="R17" s="188">
        <v>16.2</v>
      </c>
      <c r="S17" s="188">
        <v>159</v>
      </c>
      <c r="T17" s="217">
        <f t="shared" si="1"/>
        <v>30</v>
      </c>
      <c r="U17" s="193">
        <v>158</v>
      </c>
      <c r="V17" s="184">
        <f t="shared" si="2"/>
        <v>4740</v>
      </c>
      <c r="W17" s="190">
        <v>6</v>
      </c>
      <c r="X17" s="186" t="s">
        <v>46</v>
      </c>
      <c r="Y17" s="194" t="s">
        <v>88</v>
      </c>
      <c r="Z17" s="194" t="s">
        <v>78</v>
      </c>
      <c r="AA17" s="195" t="s">
        <v>69</v>
      </c>
      <c r="AB17" s="55" t="s">
        <v>350</v>
      </c>
      <c r="AC17" s="235"/>
      <c r="AE17" s="223" t="s">
        <v>85</v>
      </c>
      <c r="AP17" s="239" t="s">
        <v>110</v>
      </c>
      <c r="AR17" s="238" t="s">
        <v>96</v>
      </c>
      <c r="AV17" s="224" t="s">
        <v>86</v>
      </c>
    </row>
    <row r="18" spans="1:48" x14ac:dyDescent="0.15">
      <c r="A18" s="177" t="s">
        <v>34</v>
      </c>
      <c r="B18" s="177" t="s">
        <v>348</v>
      </c>
      <c r="C18" s="177">
        <v>2018</v>
      </c>
      <c r="D18" s="179" t="s">
        <v>481</v>
      </c>
      <c r="E18" s="178" t="s">
        <v>295</v>
      </c>
      <c r="F18" s="177" t="s">
        <v>293</v>
      </c>
      <c r="G18" s="180" t="s">
        <v>36</v>
      </c>
      <c r="H18" s="137" t="s">
        <v>164</v>
      </c>
      <c r="I18" s="137" t="s">
        <v>158</v>
      </c>
      <c r="J18" s="137" t="s">
        <v>38</v>
      </c>
      <c r="K18" s="137" t="s">
        <v>156</v>
      </c>
      <c r="L18" s="208">
        <v>2</v>
      </c>
      <c r="N18" s="208">
        <v>1</v>
      </c>
      <c r="O18" s="208">
        <v>0.55000000000000004</v>
      </c>
      <c r="P18" s="208">
        <v>0.45</v>
      </c>
      <c r="Q18" s="245">
        <f t="shared" si="0"/>
        <v>0.5</v>
      </c>
      <c r="R18" s="188">
        <v>16.399999999999999</v>
      </c>
      <c r="S18" s="188">
        <v>150</v>
      </c>
      <c r="T18" s="217">
        <f t="shared" si="1"/>
        <v>30</v>
      </c>
      <c r="U18" s="193">
        <v>158</v>
      </c>
      <c r="V18" s="184">
        <f t="shared" si="2"/>
        <v>4740</v>
      </c>
      <c r="W18" s="190">
        <v>6</v>
      </c>
      <c r="X18" s="186" t="s">
        <v>46</v>
      </c>
      <c r="Y18" s="194" t="s">
        <v>88</v>
      </c>
      <c r="Z18" s="194" t="s">
        <v>78</v>
      </c>
      <c r="AA18" s="195" t="s">
        <v>69</v>
      </c>
      <c r="AB18" s="55" t="s">
        <v>350</v>
      </c>
      <c r="AC18" s="235"/>
      <c r="AE18" s="223" t="s">
        <v>87</v>
      </c>
      <c r="AP18" s="239" t="s">
        <v>111</v>
      </c>
      <c r="AR18" s="238" t="s">
        <v>101</v>
      </c>
      <c r="AV18" s="224" t="s">
        <v>88</v>
      </c>
    </row>
    <row r="19" spans="1:48" x14ac:dyDescent="0.15">
      <c r="A19" s="177" t="s">
        <v>34</v>
      </c>
      <c r="B19" s="177" t="s">
        <v>348</v>
      </c>
      <c r="C19" s="178">
        <v>2018</v>
      </c>
      <c r="D19" s="179" t="s">
        <v>481</v>
      </c>
      <c r="E19" s="178" t="s">
        <v>295</v>
      </c>
      <c r="F19" s="177" t="s">
        <v>293</v>
      </c>
      <c r="G19" s="180" t="s">
        <v>36</v>
      </c>
      <c r="H19" s="137" t="s">
        <v>164</v>
      </c>
      <c r="I19" s="137" t="s">
        <v>158</v>
      </c>
      <c r="J19" s="137" t="s">
        <v>38</v>
      </c>
      <c r="K19" s="137" t="s">
        <v>156</v>
      </c>
      <c r="L19" s="208">
        <v>3</v>
      </c>
      <c r="N19" s="208">
        <v>1</v>
      </c>
      <c r="O19" s="208">
        <v>0.55000000000000004</v>
      </c>
      <c r="P19" s="208">
        <v>0.5</v>
      </c>
      <c r="Q19" s="245">
        <f t="shared" si="0"/>
        <v>0.52500000000000002</v>
      </c>
      <c r="R19" s="188">
        <v>16.2</v>
      </c>
      <c r="S19" s="188">
        <v>166</v>
      </c>
      <c r="T19" s="217">
        <f t="shared" si="1"/>
        <v>30</v>
      </c>
      <c r="U19" s="193">
        <v>158</v>
      </c>
      <c r="V19" s="184">
        <f t="shared" si="2"/>
        <v>4740</v>
      </c>
      <c r="W19" s="190">
        <v>6</v>
      </c>
      <c r="X19" s="186" t="s">
        <v>46</v>
      </c>
      <c r="Y19" s="194" t="s">
        <v>88</v>
      </c>
      <c r="Z19" s="194" t="s">
        <v>78</v>
      </c>
      <c r="AA19" s="195" t="s">
        <v>69</v>
      </c>
      <c r="AB19" s="55" t="s">
        <v>350</v>
      </c>
      <c r="AC19" s="235"/>
      <c r="AE19" s="236" t="s">
        <v>89</v>
      </c>
      <c r="AP19" s="239" t="s">
        <v>112</v>
      </c>
      <c r="AR19" s="231" t="s">
        <v>126</v>
      </c>
      <c r="AV19" s="224" t="s">
        <v>90</v>
      </c>
    </row>
    <row r="20" spans="1:48" x14ac:dyDescent="0.15">
      <c r="A20" s="177" t="s">
        <v>34</v>
      </c>
      <c r="B20" s="177" t="s">
        <v>348</v>
      </c>
      <c r="C20" s="177">
        <v>2018</v>
      </c>
      <c r="D20" s="179" t="s">
        <v>481</v>
      </c>
      <c r="E20" s="178" t="s">
        <v>477</v>
      </c>
      <c r="F20" s="177" t="s">
        <v>497</v>
      </c>
      <c r="G20" s="180" t="s">
        <v>36</v>
      </c>
      <c r="H20" s="137" t="s">
        <v>157</v>
      </c>
      <c r="I20" s="137" t="s">
        <v>155</v>
      </c>
      <c r="J20" s="137" t="s">
        <v>38</v>
      </c>
      <c r="K20" s="137" t="s">
        <v>156</v>
      </c>
      <c r="L20" s="208">
        <v>1</v>
      </c>
      <c r="N20" s="208">
        <v>1</v>
      </c>
      <c r="O20" s="208">
        <v>0.5</v>
      </c>
      <c r="P20" s="208">
        <v>0.5</v>
      </c>
      <c r="Q20" s="245">
        <f t="shared" si="0"/>
        <v>0.5</v>
      </c>
      <c r="R20" s="188">
        <v>15.5</v>
      </c>
      <c r="S20" s="197">
        <v>127</v>
      </c>
      <c r="T20" s="217">
        <f t="shared" si="1"/>
        <v>30</v>
      </c>
      <c r="U20" s="193">
        <v>84</v>
      </c>
      <c r="V20" s="184">
        <f t="shared" si="2"/>
        <v>2520</v>
      </c>
      <c r="W20" s="190">
        <v>10</v>
      </c>
      <c r="X20" s="186" t="s">
        <v>46</v>
      </c>
      <c r="Y20" s="194" t="s">
        <v>78</v>
      </c>
      <c r="Z20" s="194" t="s">
        <v>88</v>
      </c>
      <c r="AA20" s="195" t="s">
        <v>47</v>
      </c>
      <c r="AB20" s="55" t="s">
        <v>350</v>
      </c>
      <c r="AE20" s="236"/>
      <c r="AP20" s="239" t="s">
        <v>113</v>
      </c>
      <c r="AR20" s="238" t="s">
        <v>105</v>
      </c>
      <c r="AV20" s="228" t="s">
        <v>358</v>
      </c>
    </row>
    <row r="21" spans="1:48" x14ac:dyDescent="0.15">
      <c r="A21" s="177" t="s">
        <v>34</v>
      </c>
      <c r="B21" s="177" t="s">
        <v>348</v>
      </c>
      <c r="C21" s="178">
        <v>2018</v>
      </c>
      <c r="D21" s="179" t="s">
        <v>481</v>
      </c>
      <c r="E21" s="178" t="s">
        <v>477</v>
      </c>
      <c r="F21" s="177" t="s">
        <v>497</v>
      </c>
      <c r="G21" s="180" t="s">
        <v>36</v>
      </c>
      <c r="H21" s="137" t="s">
        <v>157</v>
      </c>
      <c r="I21" s="137" t="s">
        <v>155</v>
      </c>
      <c r="J21" s="137" t="s">
        <v>38</v>
      </c>
      <c r="K21" s="137" t="s">
        <v>156</v>
      </c>
      <c r="L21" s="208">
        <v>2</v>
      </c>
      <c r="N21" s="208">
        <v>1</v>
      </c>
      <c r="O21" s="208">
        <v>0.45</v>
      </c>
      <c r="P21" s="208">
        <v>0.55000000000000004</v>
      </c>
      <c r="Q21" s="245">
        <f t="shared" si="0"/>
        <v>0.5</v>
      </c>
      <c r="R21" s="197">
        <v>15.4</v>
      </c>
      <c r="S21" s="188">
        <v>125</v>
      </c>
      <c r="T21" s="217">
        <f t="shared" si="1"/>
        <v>30</v>
      </c>
      <c r="U21" s="193">
        <v>84</v>
      </c>
      <c r="V21" s="184">
        <f t="shared" si="2"/>
        <v>2520</v>
      </c>
      <c r="W21" s="190">
        <v>10</v>
      </c>
      <c r="X21" s="186" t="s">
        <v>46</v>
      </c>
      <c r="Y21" s="194" t="s">
        <v>78</v>
      </c>
      <c r="Z21" s="194" t="s">
        <v>88</v>
      </c>
      <c r="AA21" s="195" t="s">
        <v>47</v>
      </c>
      <c r="AB21" s="55" t="s">
        <v>350</v>
      </c>
      <c r="AE21" s="229"/>
      <c r="AP21" s="239" t="s">
        <v>114</v>
      </c>
      <c r="AR21" s="238" t="s">
        <v>68</v>
      </c>
      <c r="AV21" s="228" t="s">
        <v>359</v>
      </c>
    </row>
    <row r="22" spans="1:48" x14ac:dyDescent="0.15">
      <c r="A22" s="177" t="s">
        <v>34</v>
      </c>
      <c r="B22" s="177" t="s">
        <v>348</v>
      </c>
      <c r="C22" s="177">
        <v>2018</v>
      </c>
      <c r="D22" s="179" t="s">
        <v>481</v>
      </c>
      <c r="E22" s="178" t="s">
        <v>477</v>
      </c>
      <c r="F22" s="177" t="s">
        <v>497</v>
      </c>
      <c r="G22" s="180" t="s">
        <v>36</v>
      </c>
      <c r="H22" s="137" t="s">
        <v>157</v>
      </c>
      <c r="I22" s="137" t="s">
        <v>155</v>
      </c>
      <c r="J22" s="137" t="s">
        <v>38</v>
      </c>
      <c r="K22" s="137" t="s">
        <v>156</v>
      </c>
      <c r="L22" s="208">
        <v>3</v>
      </c>
      <c r="N22" s="208">
        <v>1</v>
      </c>
      <c r="O22" s="208">
        <v>0.45</v>
      </c>
      <c r="P22" s="235">
        <v>0.45</v>
      </c>
      <c r="Q22" s="245">
        <f t="shared" si="0"/>
        <v>0.45</v>
      </c>
      <c r="R22" s="188">
        <v>15.8</v>
      </c>
      <c r="S22" s="188">
        <v>127</v>
      </c>
      <c r="T22" s="217">
        <f t="shared" si="1"/>
        <v>30</v>
      </c>
      <c r="U22" s="193">
        <v>84</v>
      </c>
      <c r="V22" s="184">
        <f t="shared" si="2"/>
        <v>2520</v>
      </c>
      <c r="W22" s="190">
        <v>10</v>
      </c>
      <c r="X22" s="186" t="s">
        <v>46</v>
      </c>
      <c r="Y22" s="194" t="s">
        <v>78</v>
      </c>
      <c r="Z22" s="194" t="s">
        <v>88</v>
      </c>
      <c r="AA22" s="195" t="s">
        <v>47</v>
      </c>
      <c r="AB22" s="55" t="s">
        <v>350</v>
      </c>
      <c r="AP22" s="239" t="s">
        <v>115</v>
      </c>
      <c r="AR22" s="238" t="s">
        <v>83</v>
      </c>
      <c r="AV22" s="224"/>
    </row>
    <row r="23" spans="1:48" x14ac:dyDescent="0.15">
      <c r="A23" s="177" t="s">
        <v>34</v>
      </c>
      <c r="B23" s="177" t="s">
        <v>348</v>
      </c>
      <c r="C23" s="178">
        <v>2018</v>
      </c>
      <c r="D23" s="179" t="s">
        <v>481</v>
      </c>
      <c r="E23" s="178" t="s">
        <v>477</v>
      </c>
      <c r="F23" s="177" t="s">
        <v>497</v>
      </c>
      <c r="G23" s="180" t="s">
        <v>36</v>
      </c>
      <c r="H23" s="137" t="s">
        <v>164</v>
      </c>
      <c r="I23" s="137" t="s">
        <v>155</v>
      </c>
      <c r="J23" s="137" t="s">
        <v>38</v>
      </c>
      <c r="K23" s="137" t="s">
        <v>156</v>
      </c>
      <c r="L23" s="208">
        <v>1</v>
      </c>
      <c r="N23" s="208">
        <v>1</v>
      </c>
      <c r="O23" s="208">
        <v>0.4</v>
      </c>
      <c r="P23" s="235">
        <v>0.45</v>
      </c>
      <c r="Q23" s="245">
        <f t="shared" si="0"/>
        <v>0.42500000000000004</v>
      </c>
      <c r="R23" s="188">
        <v>16.600000000000001</v>
      </c>
      <c r="S23" s="188">
        <v>130</v>
      </c>
      <c r="T23" s="217">
        <f t="shared" si="1"/>
        <v>30</v>
      </c>
      <c r="U23" s="193">
        <v>138</v>
      </c>
      <c r="V23" s="184">
        <f t="shared" si="2"/>
        <v>4140</v>
      </c>
      <c r="W23" s="190">
        <v>10</v>
      </c>
      <c r="X23" s="186" t="s">
        <v>46</v>
      </c>
      <c r="Y23" s="194" t="s">
        <v>78</v>
      </c>
      <c r="Z23" s="194" t="s">
        <v>88</v>
      </c>
      <c r="AA23" s="195" t="s">
        <v>47</v>
      </c>
      <c r="AB23" s="55" t="s">
        <v>350</v>
      </c>
      <c r="AP23" s="239" t="s">
        <v>390</v>
      </c>
      <c r="AR23" s="238" t="s">
        <v>61</v>
      </c>
      <c r="AV23" s="224"/>
    </row>
    <row r="24" spans="1:48" x14ac:dyDescent="0.15">
      <c r="A24" s="177" t="s">
        <v>34</v>
      </c>
      <c r="B24" s="177" t="s">
        <v>348</v>
      </c>
      <c r="C24" s="177">
        <v>2018</v>
      </c>
      <c r="D24" s="179" t="s">
        <v>481</v>
      </c>
      <c r="E24" s="178" t="s">
        <v>477</v>
      </c>
      <c r="F24" s="177" t="s">
        <v>497</v>
      </c>
      <c r="G24" s="180" t="s">
        <v>36</v>
      </c>
      <c r="H24" s="137" t="s">
        <v>164</v>
      </c>
      <c r="I24" s="137" t="s">
        <v>155</v>
      </c>
      <c r="J24" s="137" t="s">
        <v>38</v>
      </c>
      <c r="K24" s="137" t="s">
        <v>156</v>
      </c>
      <c r="L24" s="208">
        <v>2</v>
      </c>
      <c r="N24" s="208">
        <v>1</v>
      </c>
      <c r="O24" s="208">
        <v>0.5</v>
      </c>
      <c r="P24" s="235">
        <v>0.45</v>
      </c>
      <c r="Q24" s="245">
        <f t="shared" si="0"/>
        <v>0.47499999999999998</v>
      </c>
      <c r="R24" s="188">
        <v>16.8</v>
      </c>
      <c r="S24" s="188">
        <v>132</v>
      </c>
      <c r="T24" s="217">
        <f t="shared" si="1"/>
        <v>30</v>
      </c>
      <c r="U24" s="193">
        <v>138</v>
      </c>
      <c r="V24" s="184">
        <f t="shared" si="2"/>
        <v>4140</v>
      </c>
      <c r="W24" s="190">
        <v>10</v>
      </c>
      <c r="X24" s="186" t="s">
        <v>46</v>
      </c>
      <c r="Y24" s="194" t="s">
        <v>78</v>
      </c>
      <c r="Z24" s="194" t="s">
        <v>88</v>
      </c>
      <c r="AA24" s="195" t="s">
        <v>47</v>
      </c>
      <c r="AB24" s="55" t="s">
        <v>350</v>
      </c>
      <c r="AP24" s="239" t="s">
        <v>391</v>
      </c>
      <c r="AR24" s="238" t="s">
        <v>91</v>
      </c>
      <c r="AV24" s="224"/>
    </row>
    <row r="25" spans="1:48" x14ac:dyDescent="0.15">
      <c r="A25" s="177" t="s">
        <v>34</v>
      </c>
      <c r="B25" s="177" t="s">
        <v>348</v>
      </c>
      <c r="C25" s="178">
        <v>2018</v>
      </c>
      <c r="D25" s="179" t="s">
        <v>481</v>
      </c>
      <c r="E25" s="178" t="s">
        <v>477</v>
      </c>
      <c r="F25" s="177" t="s">
        <v>497</v>
      </c>
      <c r="G25" s="180" t="s">
        <v>36</v>
      </c>
      <c r="H25" s="137" t="s">
        <v>164</v>
      </c>
      <c r="I25" s="137" t="s">
        <v>155</v>
      </c>
      <c r="J25" s="137" t="s">
        <v>38</v>
      </c>
      <c r="K25" s="137" t="s">
        <v>156</v>
      </c>
      <c r="L25" s="208">
        <v>3</v>
      </c>
      <c r="N25" s="208">
        <v>1</v>
      </c>
      <c r="O25" s="208">
        <v>0.5</v>
      </c>
      <c r="P25" s="235">
        <v>0.4</v>
      </c>
      <c r="Q25" s="245">
        <f t="shared" si="0"/>
        <v>0.45</v>
      </c>
      <c r="R25" s="188">
        <v>15.8</v>
      </c>
      <c r="S25" s="188">
        <v>127</v>
      </c>
      <c r="T25" s="217">
        <f t="shared" si="1"/>
        <v>30</v>
      </c>
      <c r="U25" s="193">
        <v>138</v>
      </c>
      <c r="V25" s="184">
        <f t="shared" si="2"/>
        <v>4140</v>
      </c>
      <c r="W25" s="190">
        <v>10</v>
      </c>
      <c r="X25" s="186" t="s">
        <v>46</v>
      </c>
      <c r="Y25" s="194" t="s">
        <v>78</v>
      </c>
      <c r="Z25" s="194" t="s">
        <v>88</v>
      </c>
      <c r="AA25" s="195" t="s">
        <v>47</v>
      </c>
      <c r="AB25" s="55" t="s">
        <v>350</v>
      </c>
      <c r="AP25" s="239" t="s">
        <v>116</v>
      </c>
      <c r="AR25" s="42" t="s">
        <v>92</v>
      </c>
      <c r="AV25" s="224"/>
    </row>
    <row r="26" spans="1:48" x14ac:dyDescent="0.15">
      <c r="A26" s="177" t="s">
        <v>34</v>
      </c>
      <c r="B26" s="177" t="s">
        <v>348</v>
      </c>
      <c r="C26" s="177">
        <v>2018</v>
      </c>
      <c r="D26" s="179" t="s">
        <v>481</v>
      </c>
      <c r="E26" s="178" t="s">
        <v>289</v>
      </c>
      <c r="F26" s="177" t="s">
        <v>290</v>
      </c>
      <c r="G26" s="180" t="s">
        <v>42</v>
      </c>
      <c r="H26" s="137" t="s">
        <v>157</v>
      </c>
      <c r="I26" s="137" t="s">
        <v>155</v>
      </c>
      <c r="J26" s="137" t="s">
        <v>38</v>
      </c>
      <c r="K26" s="137" t="s">
        <v>156</v>
      </c>
      <c r="L26" s="208">
        <v>1</v>
      </c>
      <c r="N26" s="208">
        <v>1</v>
      </c>
      <c r="O26" s="208">
        <v>0.5</v>
      </c>
      <c r="P26" s="237">
        <v>0.45</v>
      </c>
      <c r="Q26" s="245">
        <f t="shared" si="0"/>
        <v>0.47499999999999998</v>
      </c>
      <c r="R26" s="188">
        <v>15.5</v>
      </c>
      <c r="S26" s="188">
        <v>148</v>
      </c>
      <c r="T26" s="217">
        <f t="shared" si="1"/>
        <v>30</v>
      </c>
      <c r="U26" s="193">
        <v>127</v>
      </c>
      <c r="V26" s="184">
        <f t="shared" si="2"/>
        <v>3810</v>
      </c>
      <c r="W26" s="190">
        <v>12</v>
      </c>
      <c r="X26" s="186" t="s">
        <v>46</v>
      </c>
      <c r="Y26" s="195" t="s">
        <v>97</v>
      </c>
      <c r="Z26" s="194" t="s">
        <v>88</v>
      </c>
      <c r="AA26" s="195" t="s">
        <v>78</v>
      </c>
      <c r="AB26" s="55" t="s">
        <v>350</v>
      </c>
      <c r="AP26" s="239" t="s">
        <v>117</v>
      </c>
      <c r="AR26" s="224" t="s">
        <v>299</v>
      </c>
      <c r="AV26" s="228"/>
    </row>
    <row r="27" spans="1:48" x14ac:dyDescent="0.15">
      <c r="A27" s="177" t="s">
        <v>34</v>
      </c>
      <c r="B27" s="177" t="s">
        <v>348</v>
      </c>
      <c r="C27" s="178">
        <v>2018</v>
      </c>
      <c r="D27" s="179" t="s">
        <v>481</v>
      </c>
      <c r="E27" s="178" t="s">
        <v>289</v>
      </c>
      <c r="F27" s="177" t="s">
        <v>290</v>
      </c>
      <c r="G27" s="180" t="s">
        <v>42</v>
      </c>
      <c r="H27" s="137" t="s">
        <v>157</v>
      </c>
      <c r="I27" s="137" t="s">
        <v>155</v>
      </c>
      <c r="J27" s="137" t="s">
        <v>38</v>
      </c>
      <c r="K27" s="137" t="s">
        <v>156</v>
      </c>
      <c r="L27" s="208">
        <v>2</v>
      </c>
      <c r="N27" s="208">
        <v>1</v>
      </c>
      <c r="O27" s="235">
        <v>0.45</v>
      </c>
      <c r="P27" s="237">
        <v>0.5</v>
      </c>
      <c r="Q27" s="245">
        <f t="shared" si="0"/>
        <v>0.47499999999999998</v>
      </c>
      <c r="R27" s="188">
        <v>15.8</v>
      </c>
      <c r="S27" s="188">
        <v>150</v>
      </c>
      <c r="T27" s="217">
        <f t="shared" si="1"/>
        <v>30</v>
      </c>
      <c r="U27" s="193">
        <v>127</v>
      </c>
      <c r="V27" s="184">
        <f t="shared" si="2"/>
        <v>3810</v>
      </c>
      <c r="W27" s="190">
        <v>12</v>
      </c>
      <c r="X27" s="186" t="s">
        <v>46</v>
      </c>
      <c r="Y27" s="195" t="s">
        <v>97</v>
      </c>
      <c r="Z27" s="194" t="s">
        <v>88</v>
      </c>
      <c r="AA27" s="195" t="s">
        <v>78</v>
      </c>
      <c r="AB27" s="55" t="s">
        <v>350</v>
      </c>
      <c r="AP27" s="239" t="s">
        <v>118</v>
      </c>
      <c r="AR27" s="224"/>
    </row>
    <row r="28" spans="1:48" x14ac:dyDescent="0.15">
      <c r="A28" s="177" t="s">
        <v>34</v>
      </c>
      <c r="B28" s="177" t="s">
        <v>348</v>
      </c>
      <c r="C28" s="177">
        <v>2018</v>
      </c>
      <c r="D28" s="179" t="s">
        <v>481</v>
      </c>
      <c r="E28" s="178" t="s">
        <v>289</v>
      </c>
      <c r="F28" s="177" t="s">
        <v>290</v>
      </c>
      <c r="G28" s="180" t="s">
        <v>42</v>
      </c>
      <c r="H28" s="137" t="s">
        <v>157</v>
      </c>
      <c r="I28" s="137" t="s">
        <v>155</v>
      </c>
      <c r="J28" s="137" t="s">
        <v>38</v>
      </c>
      <c r="K28" s="137" t="s">
        <v>156</v>
      </c>
      <c r="L28" s="208">
        <v>3</v>
      </c>
      <c r="N28" s="208">
        <v>1</v>
      </c>
      <c r="O28" s="235">
        <v>0.5</v>
      </c>
      <c r="P28" s="208">
        <v>0.45</v>
      </c>
      <c r="Q28" s="245">
        <f t="shared" si="0"/>
        <v>0.47499999999999998</v>
      </c>
      <c r="R28" s="188">
        <v>15.3</v>
      </c>
      <c r="S28" s="188">
        <v>147</v>
      </c>
      <c r="T28" s="217">
        <f t="shared" si="1"/>
        <v>30</v>
      </c>
      <c r="U28" s="193">
        <v>127</v>
      </c>
      <c r="V28" s="184">
        <f t="shared" si="2"/>
        <v>3810</v>
      </c>
      <c r="W28" s="190">
        <v>12</v>
      </c>
      <c r="X28" s="186" t="s">
        <v>46</v>
      </c>
      <c r="Y28" s="195" t="s">
        <v>97</v>
      </c>
      <c r="Z28" s="194" t="s">
        <v>88</v>
      </c>
      <c r="AA28" s="195" t="s">
        <v>78</v>
      </c>
      <c r="AB28" s="55" t="s">
        <v>350</v>
      </c>
      <c r="AR28" s="224"/>
    </row>
    <row r="29" spans="1:48" x14ac:dyDescent="0.15">
      <c r="A29" s="177" t="s">
        <v>34</v>
      </c>
      <c r="B29" s="177" t="s">
        <v>348</v>
      </c>
      <c r="C29" s="177">
        <v>2018</v>
      </c>
      <c r="D29" s="179" t="s">
        <v>481</v>
      </c>
      <c r="E29" s="178" t="s">
        <v>289</v>
      </c>
      <c r="F29" s="177" t="s">
        <v>290</v>
      </c>
      <c r="G29" s="180" t="s">
        <v>42</v>
      </c>
      <c r="H29" s="137" t="s">
        <v>164</v>
      </c>
      <c r="I29" s="137" t="s">
        <v>155</v>
      </c>
      <c r="J29" s="137" t="s">
        <v>38</v>
      </c>
      <c r="K29" s="137" t="s">
        <v>156</v>
      </c>
      <c r="L29" s="208">
        <v>1</v>
      </c>
      <c r="N29" s="208">
        <v>1</v>
      </c>
      <c r="O29" s="208">
        <v>0.6</v>
      </c>
      <c r="P29" s="208">
        <v>0.5</v>
      </c>
      <c r="Q29" s="245">
        <f t="shared" si="0"/>
        <v>0.55000000000000004</v>
      </c>
      <c r="R29" s="188">
        <v>16.100000000000001</v>
      </c>
      <c r="S29" s="188">
        <v>158</v>
      </c>
      <c r="T29" s="217">
        <f t="shared" si="1"/>
        <v>30</v>
      </c>
      <c r="U29" s="193">
        <v>127</v>
      </c>
      <c r="V29" s="184">
        <f t="shared" si="2"/>
        <v>3810</v>
      </c>
      <c r="W29" s="190">
        <v>12</v>
      </c>
      <c r="X29" s="186" t="s">
        <v>46</v>
      </c>
      <c r="Y29" s="195" t="s">
        <v>97</v>
      </c>
      <c r="Z29" s="194" t="s">
        <v>88</v>
      </c>
      <c r="AA29" s="195" t="s">
        <v>78</v>
      </c>
      <c r="AB29" s="55" t="s">
        <v>350</v>
      </c>
      <c r="AR29" s="229"/>
    </row>
    <row r="30" spans="1:48" x14ac:dyDescent="0.15">
      <c r="A30" s="177" t="s">
        <v>34</v>
      </c>
      <c r="B30" s="177" t="s">
        <v>348</v>
      </c>
      <c r="C30" s="178">
        <v>2018</v>
      </c>
      <c r="D30" s="179" t="s">
        <v>481</v>
      </c>
      <c r="E30" s="178" t="s">
        <v>289</v>
      </c>
      <c r="F30" s="177" t="s">
        <v>290</v>
      </c>
      <c r="G30" s="180" t="s">
        <v>42</v>
      </c>
      <c r="H30" s="137" t="s">
        <v>164</v>
      </c>
      <c r="I30" s="137" t="s">
        <v>155</v>
      </c>
      <c r="J30" s="137" t="s">
        <v>38</v>
      </c>
      <c r="K30" s="137" t="s">
        <v>156</v>
      </c>
      <c r="L30" s="208">
        <v>2</v>
      </c>
      <c r="N30" s="208">
        <v>1</v>
      </c>
      <c r="O30" s="208">
        <v>0.55000000000000004</v>
      </c>
      <c r="P30" s="208">
        <v>0.6</v>
      </c>
      <c r="Q30" s="245">
        <f t="shared" si="0"/>
        <v>0.57499999999999996</v>
      </c>
      <c r="R30" s="188">
        <v>16.399999999999999</v>
      </c>
      <c r="S30" s="188">
        <v>156</v>
      </c>
      <c r="T30" s="217">
        <f t="shared" si="1"/>
        <v>30</v>
      </c>
      <c r="U30" s="193">
        <v>127</v>
      </c>
      <c r="V30" s="184">
        <f t="shared" si="2"/>
        <v>3810</v>
      </c>
      <c r="W30" s="190">
        <v>12</v>
      </c>
      <c r="X30" s="186" t="s">
        <v>46</v>
      </c>
      <c r="Y30" s="195" t="s">
        <v>97</v>
      </c>
      <c r="Z30" s="194" t="s">
        <v>88</v>
      </c>
      <c r="AA30" s="195" t="s">
        <v>78</v>
      </c>
      <c r="AB30" s="55" t="s">
        <v>350</v>
      </c>
    </row>
    <row r="31" spans="1:48" x14ac:dyDescent="0.15">
      <c r="A31" s="177" t="s">
        <v>34</v>
      </c>
      <c r="B31" s="177" t="s">
        <v>348</v>
      </c>
      <c r="C31" s="177">
        <v>2018</v>
      </c>
      <c r="D31" s="179" t="s">
        <v>481</v>
      </c>
      <c r="E31" s="178" t="s">
        <v>289</v>
      </c>
      <c r="F31" s="177" t="s">
        <v>290</v>
      </c>
      <c r="G31" s="180" t="s">
        <v>42</v>
      </c>
      <c r="H31" s="137" t="s">
        <v>164</v>
      </c>
      <c r="I31" s="137" t="s">
        <v>155</v>
      </c>
      <c r="J31" s="137" t="s">
        <v>38</v>
      </c>
      <c r="K31" s="137" t="s">
        <v>156</v>
      </c>
      <c r="L31" s="208">
        <v>3</v>
      </c>
      <c r="N31" s="208">
        <v>1</v>
      </c>
      <c r="O31" s="208">
        <v>0.55000000000000004</v>
      </c>
      <c r="P31" s="208">
        <v>0.5</v>
      </c>
      <c r="Q31" s="245">
        <f t="shared" si="0"/>
        <v>0.52500000000000002</v>
      </c>
      <c r="R31" s="188">
        <v>15.9</v>
      </c>
      <c r="S31" s="188">
        <v>154</v>
      </c>
      <c r="T31" s="217">
        <f t="shared" si="1"/>
        <v>30</v>
      </c>
      <c r="U31" s="193">
        <v>127</v>
      </c>
      <c r="V31" s="184">
        <f t="shared" si="2"/>
        <v>3810</v>
      </c>
      <c r="W31" s="190">
        <v>12</v>
      </c>
      <c r="X31" s="186" t="s">
        <v>46</v>
      </c>
      <c r="Y31" s="195" t="s">
        <v>97</v>
      </c>
      <c r="Z31" s="194" t="s">
        <v>88</v>
      </c>
      <c r="AA31" s="195" t="s">
        <v>78</v>
      </c>
      <c r="AB31" s="55" t="s">
        <v>350</v>
      </c>
    </row>
    <row r="32" spans="1:48" ht="14.25" customHeight="1" x14ac:dyDescent="0.15">
      <c r="A32" s="177" t="s">
        <v>34</v>
      </c>
      <c r="B32" s="177" t="s">
        <v>348</v>
      </c>
      <c r="C32" s="178">
        <v>2018</v>
      </c>
      <c r="D32" s="179" t="s">
        <v>481</v>
      </c>
      <c r="E32" s="178" t="s">
        <v>498</v>
      </c>
      <c r="F32" s="177" t="s">
        <v>290</v>
      </c>
      <c r="G32" s="180" t="s">
        <v>42</v>
      </c>
      <c r="H32" s="137" t="s">
        <v>157</v>
      </c>
      <c r="I32" s="137" t="s">
        <v>155</v>
      </c>
      <c r="J32" s="137" t="s">
        <v>38</v>
      </c>
      <c r="K32" s="137" t="s">
        <v>156</v>
      </c>
      <c r="L32" s="208">
        <v>1</v>
      </c>
      <c r="N32" s="208">
        <v>1</v>
      </c>
      <c r="O32" s="208">
        <v>0.8</v>
      </c>
      <c r="P32" s="208">
        <v>0.65</v>
      </c>
      <c r="Q32" s="245">
        <f t="shared" si="0"/>
        <v>0.72500000000000009</v>
      </c>
      <c r="R32" s="188">
        <v>15.2</v>
      </c>
      <c r="S32" s="188">
        <v>144</v>
      </c>
      <c r="T32" s="217">
        <f t="shared" si="1"/>
        <v>30</v>
      </c>
      <c r="U32" s="193">
        <v>129</v>
      </c>
      <c r="V32" s="184">
        <f t="shared" si="2"/>
        <v>3870</v>
      </c>
      <c r="W32" s="190">
        <v>2</v>
      </c>
      <c r="X32" s="186" t="s">
        <v>46</v>
      </c>
      <c r="Y32" s="195" t="s">
        <v>64</v>
      </c>
      <c r="Z32" s="194" t="s">
        <v>78</v>
      </c>
      <c r="AA32" s="194" t="s">
        <v>86</v>
      </c>
      <c r="AB32" s="55" t="s">
        <v>350</v>
      </c>
    </row>
    <row r="33" spans="1:28" x14ac:dyDescent="0.15">
      <c r="A33" s="177" t="s">
        <v>34</v>
      </c>
      <c r="B33" s="177" t="s">
        <v>348</v>
      </c>
      <c r="C33" s="177">
        <v>2018</v>
      </c>
      <c r="D33" s="179" t="s">
        <v>481</v>
      </c>
      <c r="E33" s="178" t="s">
        <v>498</v>
      </c>
      <c r="F33" s="177" t="s">
        <v>290</v>
      </c>
      <c r="G33" s="180" t="s">
        <v>42</v>
      </c>
      <c r="H33" s="137" t="s">
        <v>157</v>
      </c>
      <c r="I33" s="137" t="s">
        <v>155</v>
      </c>
      <c r="J33" s="137" t="s">
        <v>38</v>
      </c>
      <c r="K33" s="137" t="s">
        <v>156</v>
      </c>
      <c r="L33" s="208">
        <v>2</v>
      </c>
      <c r="N33" s="208">
        <v>1</v>
      </c>
      <c r="O33" s="208">
        <v>0.6</v>
      </c>
      <c r="P33" s="208">
        <v>0.55000000000000004</v>
      </c>
      <c r="Q33" s="245">
        <f t="shared" si="0"/>
        <v>0.57499999999999996</v>
      </c>
      <c r="R33" s="188">
        <v>14.8</v>
      </c>
      <c r="S33" s="188">
        <v>146</v>
      </c>
      <c r="T33" s="217">
        <f t="shared" si="1"/>
        <v>30</v>
      </c>
      <c r="U33" s="193">
        <v>129</v>
      </c>
      <c r="V33" s="184">
        <f t="shared" si="2"/>
        <v>3870</v>
      </c>
      <c r="W33" s="190">
        <v>2</v>
      </c>
      <c r="X33" s="186" t="s">
        <v>46</v>
      </c>
      <c r="Y33" s="195" t="s">
        <v>64</v>
      </c>
      <c r="Z33" s="194" t="s">
        <v>78</v>
      </c>
      <c r="AA33" s="194" t="s">
        <v>86</v>
      </c>
      <c r="AB33" s="55" t="s">
        <v>350</v>
      </c>
    </row>
    <row r="34" spans="1:28" x14ac:dyDescent="0.15">
      <c r="A34" s="177" t="s">
        <v>34</v>
      </c>
      <c r="B34" s="177" t="s">
        <v>348</v>
      </c>
      <c r="C34" s="178">
        <v>2018</v>
      </c>
      <c r="D34" s="179" t="s">
        <v>481</v>
      </c>
      <c r="E34" s="178" t="s">
        <v>498</v>
      </c>
      <c r="F34" s="177" t="s">
        <v>290</v>
      </c>
      <c r="G34" s="180" t="s">
        <v>42</v>
      </c>
      <c r="H34" s="137" t="s">
        <v>157</v>
      </c>
      <c r="I34" s="137" t="s">
        <v>155</v>
      </c>
      <c r="J34" s="137" t="s">
        <v>38</v>
      </c>
      <c r="K34" s="137" t="s">
        <v>156</v>
      </c>
      <c r="L34" s="208">
        <v>3</v>
      </c>
      <c r="N34" s="208">
        <v>1</v>
      </c>
      <c r="O34" s="208">
        <v>0.55000000000000004</v>
      </c>
      <c r="P34" s="235">
        <v>0.6</v>
      </c>
      <c r="Q34" s="245">
        <f t="shared" si="0"/>
        <v>0.57499999999999996</v>
      </c>
      <c r="R34" s="188">
        <v>15.6</v>
      </c>
      <c r="S34" s="188">
        <v>147</v>
      </c>
      <c r="T34" s="217">
        <f t="shared" si="1"/>
        <v>30</v>
      </c>
      <c r="U34" s="193">
        <v>129</v>
      </c>
      <c r="V34" s="184">
        <f t="shared" si="2"/>
        <v>3870</v>
      </c>
      <c r="W34" s="190">
        <v>2</v>
      </c>
      <c r="X34" s="186" t="s">
        <v>46</v>
      </c>
      <c r="Y34" s="195" t="s">
        <v>64</v>
      </c>
      <c r="Z34" s="194" t="s">
        <v>78</v>
      </c>
      <c r="AA34" s="194" t="s">
        <v>86</v>
      </c>
      <c r="AB34" s="55" t="s">
        <v>350</v>
      </c>
    </row>
    <row r="35" spans="1:28" x14ac:dyDescent="0.15">
      <c r="A35" s="177" t="s">
        <v>34</v>
      </c>
      <c r="B35" s="177" t="s">
        <v>348</v>
      </c>
      <c r="C35" s="177">
        <v>2018</v>
      </c>
      <c r="D35" s="179" t="s">
        <v>481</v>
      </c>
      <c r="E35" s="178" t="s">
        <v>498</v>
      </c>
      <c r="F35" s="177" t="s">
        <v>290</v>
      </c>
      <c r="G35" s="180" t="s">
        <v>42</v>
      </c>
      <c r="H35" s="137" t="s">
        <v>164</v>
      </c>
      <c r="I35" s="137" t="s">
        <v>155</v>
      </c>
      <c r="J35" s="137" t="s">
        <v>38</v>
      </c>
      <c r="K35" s="137" t="s">
        <v>156</v>
      </c>
      <c r="L35" s="208">
        <v>1</v>
      </c>
      <c r="N35" s="208">
        <v>1</v>
      </c>
      <c r="O35" s="208">
        <v>0.4</v>
      </c>
      <c r="P35" s="208">
        <v>0.55000000000000004</v>
      </c>
      <c r="Q35" s="245">
        <f t="shared" si="0"/>
        <v>0.47500000000000003</v>
      </c>
      <c r="R35" s="188">
        <v>16.2</v>
      </c>
      <c r="S35" s="188">
        <v>144</v>
      </c>
      <c r="T35" s="217">
        <f t="shared" si="1"/>
        <v>30</v>
      </c>
      <c r="U35" s="193">
        <v>129</v>
      </c>
      <c r="V35" s="184">
        <f t="shared" si="2"/>
        <v>3870</v>
      </c>
      <c r="W35" s="190">
        <v>2</v>
      </c>
      <c r="X35" s="186" t="s">
        <v>46</v>
      </c>
      <c r="Y35" s="194" t="s">
        <v>64</v>
      </c>
      <c r="Z35" s="194" t="s">
        <v>78</v>
      </c>
      <c r="AA35" s="194" t="s">
        <v>86</v>
      </c>
      <c r="AB35" s="55" t="s">
        <v>350</v>
      </c>
    </row>
    <row r="36" spans="1:28" x14ac:dyDescent="0.15">
      <c r="A36" s="177" t="s">
        <v>34</v>
      </c>
      <c r="B36" s="177" t="s">
        <v>348</v>
      </c>
      <c r="C36" s="178">
        <v>2018</v>
      </c>
      <c r="D36" s="179" t="s">
        <v>481</v>
      </c>
      <c r="E36" s="178" t="s">
        <v>498</v>
      </c>
      <c r="F36" s="177" t="s">
        <v>290</v>
      </c>
      <c r="G36" s="180" t="s">
        <v>42</v>
      </c>
      <c r="H36" s="137" t="s">
        <v>164</v>
      </c>
      <c r="I36" s="137" t="s">
        <v>155</v>
      </c>
      <c r="J36" s="137" t="s">
        <v>38</v>
      </c>
      <c r="K36" s="137" t="s">
        <v>156</v>
      </c>
      <c r="L36" s="208">
        <v>2</v>
      </c>
      <c r="N36" s="208">
        <v>1</v>
      </c>
      <c r="O36" s="208">
        <v>0.55000000000000004</v>
      </c>
      <c r="P36" s="208">
        <v>0.5</v>
      </c>
      <c r="Q36" s="245">
        <f t="shared" si="0"/>
        <v>0.52500000000000002</v>
      </c>
      <c r="R36" s="188">
        <v>15.4</v>
      </c>
      <c r="S36" s="188">
        <v>142</v>
      </c>
      <c r="T36" s="217">
        <f t="shared" si="1"/>
        <v>30</v>
      </c>
      <c r="U36" s="193">
        <v>129</v>
      </c>
      <c r="V36" s="184">
        <f t="shared" si="2"/>
        <v>3870</v>
      </c>
      <c r="W36" s="190">
        <v>2</v>
      </c>
      <c r="X36" s="186" t="s">
        <v>46</v>
      </c>
      <c r="Y36" s="194" t="s">
        <v>64</v>
      </c>
      <c r="Z36" s="194" t="s">
        <v>78</v>
      </c>
      <c r="AA36" s="194" t="s">
        <v>86</v>
      </c>
      <c r="AB36" s="55" t="s">
        <v>350</v>
      </c>
    </row>
    <row r="37" spans="1:28" x14ac:dyDescent="0.15">
      <c r="A37" s="177" t="s">
        <v>34</v>
      </c>
      <c r="B37" s="177" t="s">
        <v>348</v>
      </c>
      <c r="C37" s="177">
        <v>2018</v>
      </c>
      <c r="D37" s="179" t="s">
        <v>481</v>
      </c>
      <c r="E37" s="178" t="s">
        <v>498</v>
      </c>
      <c r="F37" s="177" t="s">
        <v>290</v>
      </c>
      <c r="G37" s="180" t="s">
        <v>42</v>
      </c>
      <c r="H37" s="137" t="s">
        <v>164</v>
      </c>
      <c r="I37" s="137" t="s">
        <v>155</v>
      </c>
      <c r="J37" s="137" t="s">
        <v>38</v>
      </c>
      <c r="K37" s="137" t="s">
        <v>156</v>
      </c>
      <c r="L37" s="208">
        <v>3</v>
      </c>
      <c r="N37" s="208">
        <v>1</v>
      </c>
      <c r="O37" s="208">
        <v>0.45</v>
      </c>
      <c r="P37" s="208">
        <v>0.5</v>
      </c>
      <c r="Q37" s="245">
        <f t="shared" si="0"/>
        <v>0.47499999999999998</v>
      </c>
      <c r="R37" s="188">
        <v>16.100000000000001</v>
      </c>
      <c r="S37" s="188">
        <v>144</v>
      </c>
      <c r="T37" s="217">
        <f t="shared" si="1"/>
        <v>30</v>
      </c>
      <c r="U37" s="193">
        <v>129</v>
      </c>
      <c r="V37" s="184">
        <f t="shared" si="2"/>
        <v>3870</v>
      </c>
      <c r="W37" s="190">
        <v>2</v>
      </c>
      <c r="X37" s="186" t="s">
        <v>46</v>
      </c>
      <c r="Y37" s="194" t="s">
        <v>64</v>
      </c>
      <c r="Z37" s="194" t="s">
        <v>78</v>
      </c>
      <c r="AA37" s="194" t="s">
        <v>86</v>
      </c>
      <c r="AB37" s="55" t="s">
        <v>350</v>
      </c>
    </row>
    <row r="38" spans="1:28" x14ac:dyDescent="0.15">
      <c r="A38" s="177" t="s">
        <v>34</v>
      </c>
      <c r="B38" s="177" t="s">
        <v>348</v>
      </c>
      <c r="C38" s="178">
        <v>2018</v>
      </c>
      <c r="D38" s="179" t="s">
        <v>481</v>
      </c>
      <c r="E38" s="178" t="s">
        <v>289</v>
      </c>
      <c r="F38" s="177" t="s">
        <v>297</v>
      </c>
      <c r="G38" s="180" t="s">
        <v>42</v>
      </c>
      <c r="H38" s="137" t="s">
        <v>157</v>
      </c>
      <c r="I38" s="137" t="s">
        <v>155</v>
      </c>
      <c r="J38" s="137" t="s">
        <v>38</v>
      </c>
      <c r="K38" s="137" t="s">
        <v>156</v>
      </c>
      <c r="L38" s="208">
        <v>1</v>
      </c>
      <c r="N38" s="208">
        <v>1</v>
      </c>
      <c r="O38" s="208">
        <v>0.5</v>
      </c>
      <c r="P38" s="208">
        <v>0.45</v>
      </c>
      <c r="Q38" s="245">
        <f t="shared" si="0"/>
        <v>0.47499999999999998</v>
      </c>
      <c r="R38" s="188">
        <v>16</v>
      </c>
      <c r="S38" s="188">
        <v>144</v>
      </c>
      <c r="T38" s="217">
        <f t="shared" si="1"/>
        <v>30</v>
      </c>
      <c r="U38" s="193">
        <v>127</v>
      </c>
      <c r="V38" s="184">
        <f t="shared" si="2"/>
        <v>3810</v>
      </c>
      <c r="W38" s="190">
        <v>8</v>
      </c>
      <c r="X38" s="186" t="s">
        <v>46</v>
      </c>
      <c r="Y38" s="194" t="s">
        <v>88</v>
      </c>
      <c r="Z38" s="194" t="s">
        <v>69</v>
      </c>
      <c r="AA38" s="194" t="s">
        <v>97</v>
      </c>
      <c r="AB38" s="55" t="s">
        <v>350</v>
      </c>
    </row>
    <row r="39" spans="1:28" x14ac:dyDescent="0.15">
      <c r="A39" s="177" t="s">
        <v>34</v>
      </c>
      <c r="B39" s="177" t="s">
        <v>348</v>
      </c>
      <c r="C39" s="177">
        <v>2018</v>
      </c>
      <c r="D39" s="179" t="s">
        <v>481</v>
      </c>
      <c r="E39" s="178" t="s">
        <v>289</v>
      </c>
      <c r="F39" s="177" t="s">
        <v>297</v>
      </c>
      <c r="G39" s="180" t="s">
        <v>42</v>
      </c>
      <c r="H39" s="137" t="s">
        <v>157</v>
      </c>
      <c r="I39" s="137" t="s">
        <v>155</v>
      </c>
      <c r="J39" s="137" t="s">
        <v>38</v>
      </c>
      <c r="K39" s="137" t="s">
        <v>156</v>
      </c>
      <c r="L39" s="208">
        <v>2</v>
      </c>
      <c r="N39" s="208">
        <v>1</v>
      </c>
      <c r="O39" s="208">
        <v>0.45</v>
      </c>
      <c r="P39" s="208">
        <v>0.5</v>
      </c>
      <c r="Q39" s="245">
        <f t="shared" si="0"/>
        <v>0.47499999999999998</v>
      </c>
      <c r="R39" s="188">
        <v>15.4</v>
      </c>
      <c r="S39" s="188">
        <v>146</v>
      </c>
      <c r="T39" s="217">
        <f t="shared" si="1"/>
        <v>30</v>
      </c>
      <c r="U39" s="193">
        <v>127</v>
      </c>
      <c r="V39" s="184">
        <f t="shared" si="2"/>
        <v>3810</v>
      </c>
      <c r="W39" s="190">
        <v>8</v>
      </c>
      <c r="X39" s="186" t="s">
        <v>46</v>
      </c>
      <c r="Y39" s="194" t="s">
        <v>88</v>
      </c>
      <c r="Z39" s="194" t="s">
        <v>69</v>
      </c>
      <c r="AA39" s="194" t="s">
        <v>97</v>
      </c>
      <c r="AB39" s="55" t="s">
        <v>350</v>
      </c>
    </row>
    <row r="40" spans="1:28" ht="12.75" customHeight="1" x14ac:dyDescent="0.15">
      <c r="A40" s="177" t="s">
        <v>34</v>
      </c>
      <c r="B40" s="177" t="s">
        <v>348</v>
      </c>
      <c r="C40" s="178">
        <v>2018</v>
      </c>
      <c r="D40" s="179" t="s">
        <v>481</v>
      </c>
      <c r="E40" s="178" t="s">
        <v>289</v>
      </c>
      <c r="F40" s="177" t="s">
        <v>297</v>
      </c>
      <c r="G40" s="180" t="s">
        <v>42</v>
      </c>
      <c r="H40" s="137" t="s">
        <v>157</v>
      </c>
      <c r="I40" s="137" t="s">
        <v>155</v>
      </c>
      <c r="J40" s="137" t="s">
        <v>38</v>
      </c>
      <c r="K40" s="137" t="s">
        <v>156</v>
      </c>
      <c r="L40" s="208">
        <v>3</v>
      </c>
      <c r="N40" s="208">
        <v>1</v>
      </c>
      <c r="O40" s="208">
        <v>0.45</v>
      </c>
      <c r="P40" s="208">
        <v>0.4</v>
      </c>
      <c r="Q40" s="245">
        <f t="shared" si="0"/>
        <v>0.42500000000000004</v>
      </c>
      <c r="R40" s="188">
        <v>15.5</v>
      </c>
      <c r="S40" s="188">
        <v>147</v>
      </c>
      <c r="T40" s="217">
        <f t="shared" si="1"/>
        <v>30</v>
      </c>
      <c r="U40" s="193">
        <v>127</v>
      </c>
      <c r="V40" s="184">
        <f t="shared" si="2"/>
        <v>3810</v>
      </c>
      <c r="W40" s="190">
        <v>8</v>
      </c>
      <c r="X40" s="186" t="s">
        <v>46</v>
      </c>
      <c r="Y40" s="194" t="s">
        <v>88</v>
      </c>
      <c r="Z40" s="194" t="s">
        <v>69</v>
      </c>
      <c r="AA40" s="194" t="s">
        <v>97</v>
      </c>
      <c r="AB40" s="55" t="s">
        <v>350</v>
      </c>
    </row>
    <row r="41" spans="1:28" ht="12.75" customHeight="1" x14ac:dyDescent="0.15">
      <c r="A41" s="137" t="s">
        <v>34</v>
      </c>
      <c r="B41" s="177" t="s">
        <v>348</v>
      </c>
      <c r="C41" s="178">
        <v>2018</v>
      </c>
      <c r="D41" s="179" t="s">
        <v>481</v>
      </c>
      <c r="E41" s="178" t="s">
        <v>289</v>
      </c>
      <c r="F41" s="177" t="s">
        <v>297</v>
      </c>
      <c r="G41" s="180" t="s">
        <v>42</v>
      </c>
      <c r="H41" s="137" t="s">
        <v>164</v>
      </c>
      <c r="I41" s="137" t="s">
        <v>155</v>
      </c>
      <c r="J41" s="137" t="s">
        <v>38</v>
      </c>
      <c r="K41" s="137" t="s">
        <v>156</v>
      </c>
      <c r="L41" s="208">
        <v>1</v>
      </c>
      <c r="N41" s="208">
        <v>1</v>
      </c>
      <c r="O41" s="208">
        <v>0.5</v>
      </c>
      <c r="P41" s="208">
        <v>0.55000000000000004</v>
      </c>
      <c r="Q41" s="245">
        <f t="shared" si="0"/>
        <v>0.52500000000000002</v>
      </c>
      <c r="R41" s="188">
        <v>15.9</v>
      </c>
      <c r="S41" s="188">
        <v>150</v>
      </c>
      <c r="T41" s="217">
        <f t="shared" si="1"/>
        <v>30</v>
      </c>
      <c r="U41" s="193">
        <v>127</v>
      </c>
      <c r="V41" s="184">
        <f t="shared" si="2"/>
        <v>3810</v>
      </c>
      <c r="W41" s="247">
        <v>8</v>
      </c>
      <c r="X41" s="186" t="s">
        <v>46</v>
      </c>
      <c r="Y41" s="198" t="s">
        <v>88</v>
      </c>
      <c r="Z41" s="198" t="s">
        <v>69</v>
      </c>
      <c r="AA41" s="198" t="s">
        <v>97</v>
      </c>
      <c r="AB41" s="55" t="s">
        <v>350</v>
      </c>
    </row>
    <row r="42" spans="1:28" ht="12.75" customHeight="1" x14ac:dyDescent="0.15">
      <c r="A42" s="137" t="s">
        <v>34</v>
      </c>
      <c r="B42" s="177" t="s">
        <v>348</v>
      </c>
      <c r="C42" s="178">
        <v>2018</v>
      </c>
      <c r="D42" s="179" t="s">
        <v>481</v>
      </c>
      <c r="E42" s="178" t="s">
        <v>289</v>
      </c>
      <c r="F42" s="177" t="s">
        <v>297</v>
      </c>
      <c r="G42" s="180" t="s">
        <v>42</v>
      </c>
      <c r="H42" s="137" t="s">
        <v>164</v>
      </c>
      <c r="I42" s="137" t="s">
        <v>155</v>
      </c>
      <c r="J42" s="137" t="s">
        <v>38</v>
      </c>
      <c r="K42" s="137" t="s">
        <v>156</v>
      </c>
      <c r="L42" s="208">
        <v>2</v>
      </c>
      <c r="N42" s="208">
        <v>1</v>
      </c>
      <c r="O42" s="208">
        <v>0.4</v>
      </c>
      <c r="P42" s="208">
        <v>0.5</v>
      </c>
      <c r="Q42" s="245">
        <f t="shared" si="0"/>
        <v>0.45</v>
      </c>
      <c r="R42" s="188">
        <v>16.2</v>
      </c>
      <c r="S42" s="188">
        <v>155</v>
      </c>
      <c r="T42" s="217">
        <f t="shared" si="1"/>
        <v>30</v>
      </c>
      <c r="U42" s="193">
        <v>127</v>
      </c>
      <c r="V42" s="184">
        <f t="shared" si="2"/>
        <v>3810</v>
      </c>
      <c r="W42" s="247">
        <v>8</v>
      </c>
      <c r="X42" s="186" t="s">
        <v>46</v>
      </c>
      <c r="Y42" s="198" t="s">
        <v>88</v>
      </c>
      <c r="Z42" s="198" t="s">
        <v>69</v>
      </c>
      <c r="AA42" s="198" t="s">
        <v>97</v>
      </c>
      <c r="AB42" s="55" t="s">
        <v>350</v>
      </c>
    </row>
    <row r="43" spans="1:28" ht="12.75" customHeight="1" x14ac:dyDescent="0.15">
      <c r="A43" s="137" t="s">
        <v>34</v>
      </c>
      <c r="B43" s="177" t="s">
        <v>348</v>
      </c>
      <c r="C43" s="178">
        <v>2018</v>
      </c>
      <c r="D43" s="179" t="s">
        <v>481</v>
      </c>
      <c r="E43" s="178" t="s">
        <v>289</v>
      </c>
      <c r="F43" s="177" t="s">
        <v>297</v>
      </c>
      <c r="G43" s="180" t="s">
        <v>42</v>
      </c>
      <c r="H43" s="137" t="s">
        <v>164</v>
      </c>
      <c r="I43" s="137" t="s">
        <v>155</v>
      </c>
      <c r="J43" s="137" t="s">
        <v>38</v>
      </c>
      <c r="K43" s="137" t="s">
        <v>156</v>
      </c>
      <c r="L43" s="208">
        <v>3</v>
      </c>
      <c r="N43" s="208">
        <v>1</v>
      </c>
      <c r="O43" s="208">
        <v>0.45</v>
      </c>
      <c r="P43" s="208">
        <v>0.45</v>
      </c>
      <c r="Q43" s="245">
        <f t="shared" si="0"/>
        <v>0.45</v>
      </c>
      <c r="R43" s="188">
        <v>16.2</v>
      </c>
      <c r="S43" s="188">
        <v>154</v>
      </c>
      <c r="T43" s="217">
        <f t="shared" si="1"/>
        <v>30</v>
      </c>
      <c r="U43" s="193">
        <v>127</v>
      </c>
      <c r="V43" s="184">
        <f t="shared" si="2"/>
        <v>3810</v>
      </c>
      <c r="W43" s="247">
        <v>8</v>
      </c>
      <c r="X43" s="186" t="s">
        <v>46</v>
      </c>
      <c r="Y43" s="198" t="s">
        <v>88</v>
      </c>
      <c r="Z43" s="198" t="s">
        <v>69</v>
      </c>
      <c r="AA43" s="198" t="s">
        <v>97</v>
      </c>
      <c r="AB43" s="55" t="s">
        <v>350</v>
      </c>
    </row>
    <row r="44" spans="1:28" x14ac:dyDescent="0.15">
      <c r="A44" s="208" t="s">
        <v>34</v>
      </c>
      <c r="B44" s="177" t="s">
        <v>348</v>
      </c>
      <c r="C44" s="178">
        <v>2018</v>
      </c>
      <c r="D44" s="179" t="s">
        <v>481</v>
      </c>
      <c r="E44" s="178" t="s">
        <v>139</v>
      </c>
      <c r="F44" s="177" t="s">
        <v>297</v>
      </c>
      <c r="G44" s="180" t="s">
        <v>36</v>
      </c>
      <c r="H44" s="137" t="s">
        <v>157</v>
      </c>
      <c r="I44" s="137" t="s">
        <v>155</v>
      </c>
      <c r="J44" s="247" t="s">
        <v>38</v>
      </c>
      <c r="K44" s="137" t="s">
        <v>156</v>
      </c>
      <c r="L44" s="208">
        <v>1</v>
      </c>
      <c r="N44" s="208">
        <v>1</v>
      </c>
      <c r="O44" s="208">
        <v>0.6</v>
      </c>
      <c r="P44" s="208">
        <v>0.55000000000000004</v>
      </c>
      <c r="Q44" s="245">
        <f t="shared" si="0"/>
        <v>0.57499999999999996</v>
      </c>
      <c r="R44" s="188">
        <v>15.3</v>
      </c>
      <c r="S44" s="188">
        <v>140</v>
      </c>
      <c r="T44" s="217">
        <f t="shared" si="1"/>
        <v>30</v>
      </c>
      <c r="U44" s="193">
        <v>98</v>
      </c>
      <c r="V44" s="217">
        <f t="shared" si="2"/>
        <v>2940</v>
      </c>
      <c r="W44" s="208">
        <v>10</v>
      </c>
      <c r="X44" s="186" t="s">
        <v>46</v>
      </c>
      <c r="Y44" s="198" t="s">
        <v>86</v>
      </c>
      <c r="Z44" s="198" t="s">
        <v>88</v>
      </c>
      <c r="AA44" s="198" t="s">
        <v>64</v>
      </c>
      <c r="AB44" s="55" t="s">
        <v>350</v>
      </c>
    </row>
    <row r="45" spans="1:28" x14ac:dyDescent="0.15">
      <c r="A45" s="208" t="s">
        <v>34</v>
      </c>
      <c r="B45" s="177" t="s">
        <v>348</v>
      </c>
      <c r="C45" s="177">
        <v>2018</v>
      </c>
      <c r="D45" s="179" t="s">
        <v>481</v>
      </c>
      <c r="E45" s="178" t="s">
        <v>139</v>
      </c>
      <c r="F45" s="177" t="s">
        <v>297</v>
      </c>
      <c r="G45" s="180" t="s">
        <v>36</v>
      </c>
      <c r="H45" s="137" t="s">
        <v>157</v>
      </c>
      <c r="I45" s="137" t="s">
        <v>155</v>
      </c>
      <c r="J45" s="247" t="s">
        <v>38</v>
      </c>
      <c r="K45" s="137" t="s">
        <v>156</v>
      </c>
      <c r="L45" s="208">
        <v>2</v>
      </c>
      <c r="N45" s="208">
        <v>1</v>
      </c>
      <c r="O45" s="208">
        <v>0.45</v>
      </c>
      <c r="P45" s="208">
        <v>0.5</v>
      </c>
      <c r="Q45" s="245">
        <f t="shared" si="0"/>
        <v>0.47499999999999998</v>
      </c>
      <c r="R45" s="188">
        <v>15.4</v>
      </c>
      <c r="S45" s="188">
        <v>136</v>
      </c>
      <c r="T45" s="217">
        <f t="shared" si="1"/>
        <v>30</v>
      </c>
      <c r="U45" s="193">
        <v>98</v>
      </c>
      <c r="V45" s="217">
        <f t="shared" si="2"/>
        <v>2940</v>
      </c>
      <c r="W45" s="208">
        <v>10</v>
      </c>
      <c r="X45" s="186" t="s">
        <v>46</v>
      </c>
      <c r="Y45" s="198" t="s">
        <v>86</v>
      </c>
      <c r="Z45" s="198" t="s">
        <v>88</v>
      </c>
      <c r="AA45" s="198" t="s">
        <v>64</v>
      </c>
      <c r="AB45" s="55" t="s">
        <v>350</v>
      </c>
    </row>
    <row r="46" spans="1:28" x14ac:dyDescent="0.15">
      <c r="A46" s="208" t="s">
        <v>34</v>
      </c>
      <c r="B46" s="177" t="s">
        <v>348</v>
      </c>
      <c r="C46" s="178">
        <v>2018</v>
      </c>
      <c r="D46" s="179" t="s">
        <v>481</v>
      </c>
      <c r="E46" s="178" t="s">
        <v>139</v>
      </c>
      <c r="F46" s="177" t="s">
        <v>297</v>
      </c>
      <c r="G46" s="180" t="s">
        <v>36</v>
      </c>
      <c r="H46" s="137" t="s">
        <v>157</v>
      </c>
      <c r="I46" s="137" t="s">
        <v>155</v>
      </c>
      <c r="J46" s="247" t="s">
        <v>38</v>
      </c>
      <c r="K46" s="137" t="s">
        <v>156</v>
      </c>
      <c r="L46" s="208">
        <v>3</v>
      </c>
      <c r="N46" s="208">
        <v>1</v>
      </c>
      <c r="O46" s="208">
        <v>0.5</v>
      </c>
      <c r="P46" s="208">
        <v>0.45</v>
      </c>
      <c r="Q46" s="245">
        <f t="shared" si="0"/>
        <v>0.47499999999999998</v>
      </c>
      <c r="R46" s="188">
        <v>16.100000000000001</v>
      </c>
      <c r="S46" s="188">
        <v>138</v>
      </c>
      <c r="T46" s="217">
        <f t="shared" si="1"/>
        <v>30</v>
      </c>
      <c r="U46" s="193">
        <v>98</v>
      </c>
      <c r="V46" s="217">
        <f t="shared" si="2"/>
        <v>2940</v>
      </c>
      <c r="W46" s="208">
        <v>10</v>
      </c>
      <c r="X46" s="186" t="s">
        <v>46</v>
      </c>
      <c r="Y46" s="198" t="s">
        <v>86</v>
      </c>
      <c r="Z46" s="198" t="s">
        <v>88</v>
      </c>
      <c r="AA46" s="198" t="s">
        <v>64</v>
      </c>
      <c r="AB46" s="55" t="s">
        <v>350</v>
      </c>
    </row>
    <row r="47" spans="1:28" x14ac:dyDescent="0.15">
      <c r="A47" s="208" t="s">
        <v>34</v>
      </c>
      <c r="B47" s="235" t="s">
        <v>348</v>
      </c>
      <c r="C47" s="208">
        <v>2018</v>
      </c>
      <c r="D47" s="179" t="s">
        <v>481</v>
      </c>
      <c r="E47" s="208" t="s">
        <v>139</v>
      </c>
      <c r="F47" s="177" t="s">
        <v>297</v>
      </c>
      <c r="G47" s="180" t="s">
        <v>36</v>
      </c>
      <c r="H47" s="137" t="s">
        <v>164</v>
      </c>
      <c r="I47" s="137" t="s">
        <v>155</v>
      </c>
      <c r="J47" s="247" t="s">
        <v>38</v>
      </c>
      <c r="K47" s="137" t="s">
        <v>156</v>
      </c>
      <c r="L47" s="208">
        <v>1</v>
      </c>
      <c r="N47" s="208">
        <v>1</v>
      </c>
      <c r="O47" s="208">
        <v>0.5</v>
      </c>
      <c r="P47" s="208">
        <v>0.4</v>
      </c>
      <c r="Q47" s="245">
        <f t="shared" si="0"/>
        <v>0.45</v>
      </c>
      <c r="R47" s="188">
        <v>16.399999999999999</v>
      </c>
      <c r="S47" s="188">
        <v>135</v>
      </c>
      <c r="T47" s="217">
        <f t="shared" si="1"/>
        <v>30</v>
      </c>
      <c r="U47" s="208">
        <v>98</v>
      </c>
      <c r="V47" s="217">
        <f t="shared" si="2"/>
        <v>2940</v>
      </c>
      <c r="W47" s="208">
        <v>10</v>
      </c>
      <c r="X47" s="186" t="s">
        <v>46</v>
      </c>
      <c r="Y47" s="208" t="s">
        <v>86</v>
      </c>
      <c r="Z47" s="208" t="s">
        <v>88</v>
      </c>
      <c r="AA47" s="208" t="s">
        <v>64</v>
      </c>
      <c r="AB47" s="55" t="s">
        <v>350</v>
      </c>
    </row>
    <row r="48" spans="1:28" x14ac:dyDescent="0.15">
      <c r="A48" s="208" t="s">
        <v>34</v>
      </c>
      <c r="B48" s="235" t="s">
        <v>348</v>
      </c>
      <c r="C48" s="208">
        <v>2018</v>
      </c>
      <c r="D48" s="179" t="s">
        <v>481</v>
      </c>
      <c r="E48" s="208" t="s">
        <v>139</v>
      </c>
      <c r="F48" s="177" t="s">
        <v>297</v>
      </c>
      <c r="G48" s="180" t="s">
        <v>36</v>
      </c>
      <c r="H48" s="137" t="s">
        <v>164</v>
      </c>
      <c r="I48" s="137" t="s">
        <v>155</v>
      </c>
      <c r="J48" s="247" t="s">
        <v>38</v>
      </c>
      <c r="K48" s="137" t="s">
        <v>156</v>
      </c>
      <c r="L48" s="208">
        <v>2</v>
      </c>
      <c r="N48" s="208">
        <v>1</v>
      </c>
      <c r="O48" s="208">
        <v>0.45</v>
      </c>
      <c r="P48" s="208">
        <v>0.45</v>
      </c>
      <c r="Q48" s="245">
        <f t="shared" si="0"/>
        <v>0.45</v>
      </c>
      <c r="R48" s="188">
        <v>17.100000000000001</v>
      </c>
      <c r="S48" s="188">
        <v>140</v>
      </c>
      <c r="T48" s="217">
        <f t="shared" si="1"/>
        <v>30</v>
      </c>
      <c r="U48" s="208">
        <v>98</v>
      </c>
      <c r="V48" s="217">
        <f t="shared" si="2"/>
        <v>2940</v>
      </c>
      <c r="W48" s="208">
        <v>10</v>
      </c>
      <c r="X48" s="186" t="s">
        <v>46</v>
      </c>
      <c r="Y48" s="208" t="s">
        <v>86</v>
      </c>
      <c r="Z48" s="208" t="s">
        <v>88</v>
      </c>
      <c r="AA48" s="208" t="s">
        <v>64</v>
      </c>
      <c r="AB48" s="55" t="s">
        <v>350</v>
      </c>
    </row>
    <row r="49" spans="1:28" x14ac:dyDescent="0.15">
      <c r="A49" s="208" t="s">
        <v>34</v>
      </c>
      <c r="B49" s="235" t="s">
        <v>348</v>
      </c>
      <c r="C49" s="208">
        <v>2018</v>
      </c>
      <c r="D49" s="179" t="s">
        <v>481</v>
      </c>
      <c r="E49" s="208" t="s">
        <v>139</v>
      </c>
      <c r="F49" s="177" t="s">
        <v>297</v>
      </c>
      <c r="G49" s="180" t="s">
        <v>36</v>
      </c>
      <c r="H49" s="137" t="s">
        <v>164</v>
      </c>
      <c r="I49" s="137" t="s">
        <v>155</v>
      </c>
      <c r="J49" s="247" t="s">
        <v>38</v>
      </c>
      <c r="K49" s="137" t="s">
        <v>156</v>
      </c>
      <c r="L49" s="208">
        <v>3</v>
      </c>
      <c r="N49" s="208">
        <v>1</v>
      </c>
      <c r="O49" s="208">
        <v>0.45</v>
      </c>
      <c r="P49" s="208">
        <v>0.4</v>
      </c>
      <c r="Q49" s="245">
        <f t="shared" si="0"/>
        <v>0.42500000000000004</v>
      </c>
      <c r="R49" s="188">
        <v>16.8</v>
      </c>
      <c r="S49" s="188">
        <v>142</v>
      </c>
      <c r="T49" s="217">
        <f t="shared" si="1"/>
        <v>30</v>
      </c>
      <c r="U49" s="208">
        <v>98</v>
      </c>
      <c r="V49" s="217">
        <f t="shared" si="2"/>
        <v>2940</v>
      </c>
      <c r="W49" s="208">
        <v>10</v>
      </c>
      <c r="X49" s="186" t="s">
        <v>46</v>
      </c>
      <c r="Y49" s="208" t="s">
        <v>86</v>
      </c>
      <c r="Z49" s="208" t="s">
        <v>88</v>
      </c>
      <c r="AA49" s="208" t="s">
        <v>64</v>
      </c>
      <c r="AB49" s="55" t="s">
        <v>350</v>
      </c>
    </row>
    <row r="50" spans="1:28" x14ac:dyDescent="0.15">
      <c r="A50" s="208" t="s">
        <v>34</v>
      </c>
      <c r="B50" s="208" t="s">
        <v>348</v>
      </c>
      <c r="C50" s="208">
        <v>2018</v>
      </c>
      <c r="D50" s="179" t="s">
        <v>481</v>
      </c>
      <c r="E50" s="208" t="s">
        <v>133</v>
      </c>
      <c r="F50" s="177" t="s">
        <v>291</v>
      </c>
      <c r="G50" s="180" t="s">
        <v>36</v>
      </c>
      <c r="H50" s="247" t="s">
        <v>157</v>
      </c>
      <c r="I50" s="247" t="s">
        <v>155</v>
      </c>
      <c r="J50" s="247" t="s">
        <v>38</v>
      </c>
      <c r="K50" s="137" t="s">
        <v>156</v>
      </c>
      <c r="L50" s="208">
        <v>1</v>
      </c>
      <c r="N50" s="208">
        <v>1</v>
      </c>
      <c r="O50" s="208">
        <v>0.5</v>
      </c>
      <c r="P50" s="208">
        <v>0.5</v>
      </c>
      <c r="Q50" s="245">
        <f t="shared" si="0"/>
        <v>0.5</v>
      </c>
      <c r="R50" s="208">
        <v>15</v>
      </c>
      <c r="S50" s="208">
        <v>146</v>
      </c>
      <c r="T50" s="217">
        <f t="shared" si="1"/>
        <v>30</v>
      </c>
      <c r="U50" s="208">
        <v>98</v>
      </c>
      <c r="V50" s="217">
        <f t="shared" si="2"/>
        <v>2940</v>
      </c>
      <c r="W50" s="208">
        <v>24</v>
      </c>
      <c r="X50" s="186" t="s">
        <v>46</v>
      </c>
      <c r="Y50" s="208" t="s">
        <v>97</v>
      </c>
      <c r="Z50" s="208" t="s">
        <v>90</v>
      </c>
      <c r="AA50" s="208" t="s">
        <v>88</v>
      </c>
      <c r="AB50" s="208" t="s">
        <v>350</v>
      </c>
    </row>
    <row r="51" spans="1:28" x14ac:dyDescent="0.15">
      <c r="A51" s="208" t="s">
        <v>34</v>
      </c>
      <c r="B51" s="208" t="s">
        <v>348</v>
      </c>
      <c r="C51" s="208">
        <v>2018</v>
      </c>
      <c r="D51" s="179" t="s">
        <v>481</v>
      </c>
      <c r="E51" s="208" t="s">
        <v>133</v>
      </c>
      <c r="F51" s="177" t="s">
        <v>291</v>
      </c>
      <c r="G51" s="180" t="s">
        <v>36</v>
      </c>
      <c r="H51" s="247" t="s">
        <v>157</v>
      </c>
      <c r="I51" s="247" t="s">
        <v>155</v>
      </c>
      <c r="J51" s="247" t="s">
        <v>38</v>
      </c>
      <c r="K51" s="137" t="s">
        <v>156</v>
      </c>
      <c r="L51" s="208">
        <v>2</v>
      </c>
      <c r="N51" s="208">
        <v>1</v>
      </c>
      <c r="O51" s="208">
        <v>0.55000000000000004</v>
      </c>
      <c r="P51" s="208">
        <v>0.45</v>
      </c>
      <c r="Q51" s="245">
        <f t="shared" si="0"/>
        <v>0.5</v>
      </c>
      <c r="R51" s="208">
        <v>14.6</v>
      </c>
      <c r="S51" s="208">
        <v>144</v>
      </c>
      <c r="T51" s="217">
        <f t="shared" si="1"/>
        <v>30</v>
      </c>
      <c r="U51" s="208">
        <v>98</v>
      </c>
      <c r="V51" s="217">
        <f t="shared" si="2"/>
        <v>2940</v>
      </c>
      <c r="W51" s="208">
        <v>24</v>
      </c>
      <c r="X51" s="186" t="s">
        <v>46</v>
      </c>
      <c r="Y51" s="208" t="s">
        <v>97</v>
      </c>
      <c r="Z51" s="208" t="s">
        <v>90</v>
      </c>
      <c r="AA51" s="208" t="s">
        <v>88</v>
      </c>
      <c r="AB51" s="208" t="s">
        <v>350</v>
      </c>
    </row>
    <row r="52" spans="1:28" x14ac:dyDescent="0.15">
      <c r="A52" s="208" t="s">
        <v>34</v>
      </c>
      <c r="B52" s="208" t="s">
        <v>348</v>
      </c>
      <c r="C52" s="208">
        <v>2018</v>
      </c>
      <c r="D52" s="179" t="s">
        <v>481</v>
      </c>
      <c r="E52" s="208" t="s">
        <v>133</v>
      </c>
      <c r="F52" s="177" t="s">
        <v>291</v>
      </c>
      <c r="G52" s="180" t="s">
        <v>36</v>
      </c>
      <c r="H52" s="247" t="s">
        <v>157</v>
      </c>
      <c r="I52" s="247" t="s">
        <v>155</v>
      </c>
      <c r="J52" s="247" t="s">
        <v>38</v>
      </c>
      <c r="K52" s="137" t="s">
        <v>156</v>
      </c>
      <c r="L52" s="208">
        <v>3</v>
      </c>
      <c r="N52" s="208">
        <v>1</v>
      </c>
      <c r="O52" s="208">
        <v>0.45</v>
      </c>
      <c r="P52" s="208">
        <v>0.5</v>
      </c>
      <c r="Q52" s="245">
        <f t="shared" si="0"/>
        <v>0.47499999999999998</v>
      </c>
      <c r="R52" s="208">
        <v>15.2</v>
      </c>
      <c r="S52" s="208">
        <v>150</v>
      </c>
      <c r="T52" s="217">
        <f t="shared" si="1"/>
        <v>30</v>
      </c>
      <c r="U52" s="208">
        <v>98</v>
      </c>
      <c r="V52" s="217">
        <f t="shared" si="2"/>
        <v>2940</v>
      </c>
      <c r="W52" s="208">
        <v>24</v>
      </c>
      <c r="X52" s="186" t="s">
        <v>46</v>
      </c>
      <c r="Y52" s="208" t="s">
        <v>97</v>
      </c>
      <c r="Z52" s="208" t="s">
        <v>90</v>
      </c>
      <c r="AA52" s="208" t="s">
        <v>88</v>
      </c>
      <c r="AB52" s="208" t="s">
        <v>350</v>
      </c>
    </row>
    <row r="53" spans="1:28" x14ac:dyDescent="0.15">
      <c r="A53" s="208" t="s">
        <v>34</v>
      </c>
      <c r="B53" s="208" t="s">
        <v>348</v>
      </c>
      <c r="C53" s="208">
        <v>2018</v>
      </c>
      <c r="D53" s="179" t="s">
        <v>481</v>
      </c>
      <c r="E53" s="208" t="s">
        <v>133</v>
      </c>
      <c r="F53" s="177" t="s">
        <v>291</v>
      </c>
      <c r="G53" s="180" t="s">
        <v>36</v>
      </c>
      <c r="H53" s="247" t="s">
        <v>164</v>
      </c>
      <c r="I53" s="247" t="s">
        <v>155</v>
      </c>
      <c r="J53" s="247" t="s">
        <v>38</v>
      </c>
      <c r="K53" s="137" t="s">
        <v>156</v>
      </c>
      <c r="L53" s="208">
        <v>1</v>
      </c>
      <c r="N53" s="208">
        <v>1</v>
      </c>
      <c r="O53" s="208">
        <v>0.35</v>
      </c>
      <c r="P53" s="208">
        <v>0.4</v>
      </c>
      <c r="Q53" s="245">
        <f t="shared" si="0"/>
        <v>0.375</v>
      </c>
      <c r="R53" s="208">
        <v>16.3</v>
      </c>
      <c r="S53" s="208">
        <v>147</v>
      </c>
      <c r="T53" s="217">
        <f t="shared" si="1"/>
        <v>30</v>
      </c>
      <c r="U53" s="208">
        <v>138</v>
      </c>
      <c r="V53" s="217">
        <f t="shared" si="2"/>
        <v>4140</v>
      </c>
      <c r="W53" s="208">
        <v>24</v>
      </c>
      <c r="X53" s="186" t="s">
        <v>46</v>
      </c>
      <c r="Y53" s="208" t="s">
        <v>97</v>
      </c>
      <c r="Z53" s="208" t="s">
        <v>90</v>
      </c>
      <c r="AA53" s="208" t="s">
        <v>88</v>
      </c>
      <c r="AB53" s="208" t="s">
        <v>350</v>
      </c>
    </row>
    <row r="54" spans="1:28" x14ac:dyDescent="0.15">
      <c r="A54" s="208" t="s">
        <v>34</v>
      </c>
      <c r="B54" s="208" t="s">
        <v>348</v>
      </c>
      <c r="C54" s="208">
        <v>2018</v>
      </c>
      <c r="D54" s="179" t="s">
        <v>481</v>
      </c>
      <c r="E54" s="208" t="s">
        <v>133</v>
      </c>
      <c r="F54" s="177" t="s">
        <v>291</v>
      </c>
      <c r="G54" s="180" t="s">
        <v>36</v>
      </c>
      <c r="H54" s="247" t="s">
        <v>164</v>
      </c>
      <c r="I54" s="247" t="s">
        <v>155</v>
      </c>
      <c r="J54" s="247" t="s">
        <v>38</v>
      </c>
      <c r="K54" s="137" t="s">
        <v>156</v>
      </c>
      <c r="L54" s="208">
        <v>2</v>
      </c>
      <c r="N54" s="208">
        <v>1</v>
      </c>
      <c r="O54" s="208">
        <v>0.45</v>
      </c>
      <c r="P54" s="208">
        <v>0.45</v>
      </c>
      <c r="Q54" s="245">
        <f t="shared" si="0"/>
        <v>0.45</v>
      </c>
      <c r="R54" s="208">
        <v>15.7</v>
      </c>
      <c r="S54" s="208">
        <v>152</v>
      </c>
      <c r="T54" s="217">
        <f t="shared" si="1"/>
        <v>30</v>
      </c>
      <c r="U54" s="208">
        <v>138</v>
      </c>
      <c r="V54" s="217">
        <f t="shared" si="2"/>
        <v>4140</v>
      </c>
      <c r="W54" s="208">
        <v>24</v>
      </c>
      <c r="X54" s="186" t="s">
        <v>46</v>
      </c>
      <c r="Y54" s="208" t="s">
        <v>97</v>
      </c>
      <c r="Z54" s="208" t="s">
        <v>90</v>
      </c>
      <c r="AA54" s="208" t="s">
        <v>88</v>
      </c>
      <c r="AB54" s="208" t="s">
        <v>350</v>
      </c>
    </row>
    <row r="55" spans="1:28" x14ac:dyDescent="0.15">
      <c r="A55" s="208" t="s">
        <v>34</v>
      </c>
      <c r="B55" s="208" t="s">
        <v>348</v>
      </c>
      <c r="C55" s="208">
        <v>2018</v>
      </c>
      <c r="D55" s="179" t="s">
        <v>481</v>
      </c>
      <c r="E55" s="208" t="s">
        <v>133</v>
      </c>
      <c r="F55" s="177" t="s">
        <v>291</v>
      </c>
      <c r="G55" s="180" t="s">
        <v>36</v>
      </c>
      <c r="H55" s="247" t="s">
        <v>164</v>
      </c>
      <c r="I55" s="247" t="s">
        <v>155</v>
      </c>
      <c r="J55" s="247" t="s">
        <v>38</v>
      </c>
      <c r="K55" s="137" t="s">
        <v>156</v>
      </c>
      <c r="L55" s="208">
        <v>3</v>
      </c>
      <c r="N55" s="208">
        <v>1</v>
      </c>
      <c r="O55" s="208">
        <v>0.4</v>
      </c>
      <c r="P55" s="208">
        <v>0.4</v>
      </c>
      <c r="Q55" s="245">
        <f t="shared" si="0"/>
        <v>0.4</v>
      </c>
      <c r="R55" s="208">
        <v>16.2</v>
      </c>
      <c r="S55" s="208">
        <v>149</v>
      </c>
      <c r="T55" s="217">
        <f t="shared" si="1"/>
        <v>30</v>
      </c>
      <c r="U55" s="208">
        <v>138</v>
      </c>
      <c r="V55" s="217">
        <f t="shared" si="2"/>
        <v>4140</v>
      </c>
      <c r="W55" s="208">
        <v>24</v>
      </c>
      <c r="X55" s="186" t="s">
        <v>46</v>
      </c>
      <c r="Y55" s="208" t="s">
        <v>97</v>
      </c>
      <c r="Z55" s="208" t="s">
        <v>90</v>
      </c>
      <c r="AA55" s="208" t="s">
        <v>88</v>
      </c>
      <c r="AB55" s="208" t="s">
        <v>350</v>
      </c>
    </row>
    <row r="56" spans="1:28" x14ac:dyDescent="0.15">
      <c r="A56" s="208" t="s">
        <v>34</v>
      </c>
      <c r="B56" s="208" t="s">
        <v>348</v>
      </c>
      <c r="C56" s="208">
        <v>2018</v>
      </c>
      <c r="D56" s="179" t="s">
        <v>481</v>
      </c>
      <c r="E56" s="208" t="s">
        <v>213</v>
      </c>
      <c r="F56" s="177" t="s">
        <v>294</v>
      </c>
      <c r="G56" s="180" t="s">
        <v>36</v>
      </c>
      <c r="H56" s="247" t="s">
        <v>157</v>
      </c>
      <c r="I56" s="247" t="s">
        <v>155</v>
      </c>
      <c r="J56" s="247" t="s">
        <v>38</v>
      </c>
      <c r="K56" s="137" t="s">
        <v>156</v>
      </c>
      <c r="L56" s="208">
        <v>1</v>
      </c>
      <c r="N56" s="208">
        <v>1</v>
      </c>
      <c r="O56" s="208">
        <v>0.9</v>
      </c>
      <c r="P56" s="208">
        <v>0.85</v>
      </c>
      <c r="Q56" s="245">
        <f t="shared" si="0"/>
        <v>0.875</v>
      </c>
      <c r="R56" s="208">
        <v>15.4</v>
      </c>
      <c r="S56" s="208">
        <v>135</v>
      </c>
      <c r="T56" s="217">
        <f t="shared" si="1"/>
        <v>30</v>
      </c>
      <c r="U56" s="208">
        <v>138</v>
      </c>
      <c r="V56" s="217">
        <f t="shared" si="2"/>
        <v>4140</v>
      </c>
      <c r="W56" s="208">
        <v>4</v>
      </c>
      <c r="X56" s="186" t="s">
        <v>46</v>
      </c>
      <c r="Y56" s="208" t="s">
        <v>97</v>
      </c>
      <c r="Z56" s="208" t="s">
        <v>86</v>
      </c>
      <c r="AA56" s="208" t="s">
        <v>88</v>
      </c>
      <c r="AB56" s="208" t="s">
        <v>350</v>
      </c>
    </row>
    <row r="57" spans="1:28" x14ac:dyDescent="0.15">
      <c r="A57" s="208" t="s">
        <v>34</v>
      </c>
      <c r="B57" s="208" t="s">
        <v>348</v>
      </c>
      <c r="C57" s="208">
        <v>2018</v>
      </c>
      <c r="D57" s="179" t="s">
        <v>481</v>
      </c>
      <c r="E57" s="208" t="s">
        <v>213</v>
      </c>
      <c r="F57" s="177" t="s">
        <v>294</v>
      </c>
      <c r="G57" s="180" t="s">
        <v>36</v>
      </c>
      <c r="H57" s="247" t="s">
        <v>157</v>
      </c>
      <c r="I57" s="247" t="s">
        <v>155</v>
      </c>
      <c r="J57" s="247" t="s">
        <v>38</v>
      </c>
      <c r="K57" s="137" t="s">
        <v>156</v>
      </c>
      <c r="L57" s="208">
        <v>2</v>
      </c>
      <c r="N57" s="208">
        <v>1</v>
      </c>
      <c r="O57" s="208">
        <v>0.65</v>
      </c>
      <c r="P57" s="208">
        <v>0.7</v>
      </c>
      <c r="Q57" s="245">
        <f t="shared" si="0"/>
        <v>0.67500000000000004</v>
      </c>
      <c r="R57" s="208">
        <v>15.2</v>
      </c>
      <c r="S57" s="208">
        <v>133</v>
      </c>
      <c r="T57" s="217">
        <f t="shared" si="1"/>
        <v>30</v>
      </c>
      <c r="U57" s="208">
        <v>138</v>
      </c>
      <c r="V57" s="217">
        <f t="shared" si="2"/>
        <v>4140</v>
      </c>
      <c r="W57" s="208">
        <v>4</v>
      </c>
      <c r="X57" s="186" t="s">
        <v>46</v>
      </c>
      <c r="Y57" s="208" t="s">
        <v>97</v>
      </c>
      <c r="Z57" s="208" t="s">
        <v>86</v>
      </c>
      <c r="AA57" s="208" t="s">
        <v>88</v>
      </c>
      <c r="AB57" s="208" t="s">
        <v>350</v>
      </c>
    </row>
    <row r="58" spans="1:28" x14ac:dyDescent="0.15">
      <c r="A58" s="208" t="s">
        <v>34</v>
      </c>
      <c r="B58" s="208" t="s">
        <v>348</v>
      </c>
      <c r="C58" s="208">
        <v>2018</v>
      </c>
      <c r="D58" s="179" t="s">
        <v>481</v>
      </c>
      <c r="E58" s="208" t="s">
        <v>213</v>
      </c>
      <c r="F58" s="177" t="s">
        <v>294</v>
      </c>
      <c r="G58" s="180" t="s">
        <v>36</v>
      </c>
      <c r="H58" s="247" t="s">
        <v>157</v>
      </c>
      <c r="I58" s="247" t="s">
        <v>155</v>
      </c>
      <c r="J58" s="247" t="s">
        <v>38</v>
      </c>
      <c r="K58" s="137" t="s">
        <v>156</v>
      </c>
      <c r="L58" s="208">
        <v>3</v>
      </c>
      <c r="N58" s="208">
        <v>1</v>
      </c>
      <c r="O58" s="208">
        <v>0.6</v>
      </c>
      <c r="P58" s="208">
        <v>0.8</v>
      </c>
      <c r="Q58" s="245">
        <f t="shared" si="0"/>
        <v>0.7</v>
      </c>
      <c r="R58" s="208">
        <v>14.9</v>
      </c>
      <c r="S58" s="208">
        <v>129</v>
      </c>
      <c r="T58" s="217">
        <f t="shared" si="1"/>
        <v>30</v>
      </c>
      <c r="U58" s="208">
        <v>138</v>
      </c>
      <c r="V58" s="217">
        <f t="shared" si="2"/>
        <v>4140</v>
      </c>
      <c r="W58" s="208">
        <v>4</v>
      </c>
      <c r="X58" s="186" t="s">
        <v>46</v>
      </c>
      <c r="Y58" s="208" t="s">
        <v>97</v>
      </c>
      <c r="Z58" s="208" t="s">
        <v>86</v>
      </c>
      <c r="AA58" s="208" t="s">
        <v>88</v>
      </c>
      <c r="AB58" s="208" t="s">
        <v>350</v>
      </c>
    </row>
    <row r="59" spans="1:28" x14ac:dyDescent="0.15">
      <c r="A59" s="208" t="s">
        <v>34</v>
      </c>
      <c r="B59" s="208" t="s">
        <v>348</v>
      </c>
      <c r="C59" s="208">
        <v>2018</v>
      </c>
      <c r="D59" s="179" t="s">
        <v>481</v>
      </c>
      <c r="E59" s="208" t="s">
        <v>213</v>
      </c>
      <c r="F59" s="177" t="s">
        <v>294</v>
      </c>
      <c r="G59" s="180" t="s">
        <v>36</v>
      </c>
      <c r="H59" s="247" t="s">
        <v>164</v>
      </c>
      <c r="I59" s="247" t="s">
        <v>155</v>
      </c>
      <c r="J59" s="247" t="s">
        <v>38</v>
      </c>
      <c r="K59" s="137" t="s">
        <v>156</v>
      </c>
      <c r="L59" s="208">
        <v>1</v>
      </c>
      <c r="N59" s="208">
        <v>1</v>
      </c>
      <c r="O59" s="208">
        <v>0.45</v>
      </c>
      <c r="P59" s="208">
        <v>0.5</v>
      </c>
      <c r="Q59" s="245">
        <f t="shared" si="0"/>
        <v>0.47499999999999998</v>
      </c>
      <c r="R59" s="208">
        <v>15.6</v>
      </c>
      <c r="S59" s="208">
        <v>163</v>
      </c>
      <c r="T59" s="217">
        <f t="shared" si="1"/>
        <v>30</v>
      </c>
      <c r="U59" s="208">
        <v>138</v>
      </c>
      <c r="V59" s="217">
        <f t="shared" si="2"/>
        <v>4140</v>
      </c>
      <c r="W59" s="208">
        <v>4</v>
      </c>
      <c r="X59" s="186" t="s">
        <v>46</v>
      </c>
      <c r="Y59" s="208" t="s">
        <v>97</v>
      </c>
      <c r="Z59" s="208" t="s">
        <v>86</v>
      </c>
      <c r="AA59" s="208" t="s">
        <v>88</v>
      </c>
      <c r="AB59" s="208" t="s">
        <v>350</v>
      </c>
    </row>
    <row r="60" spans="1:28" x14ac:dyDescent="0.15">
      <c r="A60" s="208" t="s">
        <v>34</v>
      </c>
      <c r="B60" s="208" t="s">
        <v>348</v>
      </c>
      <c r="C60" s="208">
        <v>2018</v>
      </c>
      <c r="D60" s="257" t="s">
        <v>481</v>
      </c>
      <c r="E60" s="208" t="s">
        <v>213</v>
      </c>
      <c r="F60" s="177" t="s">
        <v>294</v>
      </c>
      <c r="G60" s="180" t="s">
        <v>36</v>
      </c>
      <c r="H60" s="247" t="s">
        <v>164</v>
      </c>
      <c r="I60" s="247" t="s">
        <v>155</v>
      </c>
      <c r="J60" s="247" t="s">
        <v>38</v>
      </c>
      <c r="K60" s="137" t="s">
        <v>156</v>
      </c>
      <c r="L60" s="208">
        <v>2</v>
      </c>
      <c r="N60" s="208">
        <v>1</v>
      </c>
      <c r="O60" s="208">
        <v>0.5</v>
      </c>
      <c r="P60" s="208">
        <v>0.55000000000000004</v>
      </c>
      <c r="Q60" s="245">
        <f t="shared" si="0"/>
        <v>0.52500000000000002</v>
      </c>
      <c r="R60" s="208">
        <v>15.8</v>
      </c>
      <c r="S60" s="208">
        <v>164</v>
      </c>
      <c r="T60" s="217">
        <f t="shared" si="1"/>
        <v>30</v>
      </c>
      <c r="U60" s="208">
        <v>138</v>
      </c>
      <c r="V60" s="217">
        <f t="shared" si="2"/>
        <v>4140</v>
      </c>
      <c r="W60" s="208">
        <v>4</v>
      </c>
      <c r="X60" s="186" t="s">
        <v>46</v>
      </c>
      <c r="Y60" s="208" t="s">
        <v>97</v>
      </c>
      <c r="Z60" s="208" t="s">
        <v>86</v>
      </c>
      <c r="AA60" s="208" t="s">
        <v>88</v>
      </c>
      <c r="AB60" s="208" t="s">
        <v>350</v>
      </c>
    </row>
    <row r="61" spans="1:28" x14ac:dyDescent="0.15">
      <c r="A61" s="208" t="s">
        <v>34</v>
      </c>
      <c r="B61" s="208" t="s">
        <v>348</v>
      </c>
      <c r="C61" s="208">
        <v>2018</v>
      </c>
      <c r="D61" s="179" t="s">
        <v>481</v>
      </c>
      <c r="E61" s="208" t="s">
        <v>213</v>
      </c>
      <c r="F61" s="177" t="s">
        <v>294</v>
      </c>
      <c r="G61" s="180" t="s">
        <v>36</v>
      </c>
      <c r="H61" s="247" t="s">
        <v>164</v>
      </c>
      <c r="I61" s="247" t="s">
        <v>155</v>
      </c>
      <c r="J61" s="247" t="s">
        <v>38</v>
      </c>
      <c r="K61" s="137" t="s">
        <v>156</v>
      </c>
      <c r="L61" s="208">
        <v>3</v>
      </c>
      <c r="N61" s="208">
        <v>1</v>
      </c>
      <c r="O61" s="208">
        <v>0.4</v>
      </c>
      <c r="P61" s="208">
        <v>0.4</v>
      </c>
      <c r="Q61" s="245">
        <f t="shared" si="0"/>
        <v>0.4</v>
      </c>
      <c r="R61" s="208">
        <v>16.3</v>
      </c>
      <c r="S61" s="208">
        <v>159</v>
      </c>
      <c r="T61" s="217">
        <f t="shared" si="1"/>
        <v>30</v>
      </c>
      <c r="U61" s="208">
        <v>138</v>
      </c>
      <c r="V61" s="217">
        <f t="shared" si="2"/>
        <v>4140</v>
      </c>
      <c r="W61" s="208">
        <v>4</v>
      </c>
      <c r="X61" s="186" t="s">
        <v>46</v>
      </c>
      <c r="Y61" s="208" t="s">
        <v>97</v>
      </c>
      <c r="Z61" s="208" t="s">
        <v>86</v>
      </c>
      <c r="AA61" s="208" t="s">
        <v>88</v>
      </c>
      <c r="AB61" s="208" t="s">
        <v>350</v>
      </c>
    </row>
    <row r="62" spans="1:28" x14ac:dyDescent="0.15">
      <c r="D62" s="199"/>
      <c r="F62" s="177"/>
      <c r="G62" s="180"/>
      <c r="H62" s="247"/>
      <c r="I62" s="247"/>
      <c r="J62" s="247"/>
      <c r="K62" s="137"/>
      <c r="Q62" s="245" t="str">
        <f t="shared" si="0"/>
        <v/>
      </c>
      <c r="T62" s="217" t="str">
        <f t="shared" si="1"/>
        <v/>
      </c>
      <c r="V62" s="217" t="str">
        <f t="shared" si="2"/>
        <v/>
      </c>
      <c r="X62" s="186"/>
    </row>
    <row r="63" spans="1:28" x14ac:dyDescent="0.15">
      <c r="D63" s="199"/>
      <c r="F63" s="177"/>
      <c r="G63" s="180"/>
      <c r="H63" s="247"/>
      <c r="I63" s="247"/>
      <c r="J63" s="247"/>
      <c r="K63" s="137"/>
      <c r="Q63" s="245" t="str">
        <f t="shared" si="0"/>
        <v/>
      </c>
      <c r="T63" s="217" t="str">
        <f t="shared" si="1"/>
        <v/>
      </c>
      <c r="V63" s="217" t="str">
        <f t="shared" si="2"/>
        <v/>
      </c>
      <c r="X63" s="186"/>
    </row>
    <row r="64" spans="1:28" x14ac:dyDescent="0.15">
      <c r="D64" s="199"/>
      <c r="F64" s="177"/>
      <c r="G64" s="180"/>
      <c r="H64" s="247"/>
      <c r="I64" s="247"/>
      <c r="J64" s="247"/>
      <c r="K64" s="137"/>
      <c r="Q64" s="245" t="str">
        <f t="shared" si="0"/>
        <v/>
      </c>
      <c r="T64" s="217" t="str">
        <f t="shared" si="1"/>
        <v/>
      </c>
      <c r="V64" s="217" t="str">
        <f t="shared" si="2"/>
        <v/>
      </c>
      <c r="X64" s="186"/>
    </row>
    <row r="65" spans="4:24" x14ac:dyDescent="0.15">
      <c r="D65" s="199"/>
      <c r="F65" s="177"/>
      <c r="G65" s="180"/>
      <c r="H65" s="247"/>
      <c r="I65" s="247"/>
      <c r="J65" s="247"/>
      <c r="K65" s="137"/>
      <c r="Q65" s="245" t="str">
        <f t="shared" si="0"/>
        <v/>
      </c>
      <c r="T65" s="217" t="str">
        <f t="shared" si="1"/>
        <v/>
      </c>
      <c r="V65" s="217" t="str">
        <f t="shared" si="2"/>
        <v/>
      </c>
      <c r="X65" s="186"/>
    </row>
    <row r="66" spans="4:24" x14ac:dyDescent="0.15">
      <c r="D66" s="199"/>
      <c r="F66" s="177"/>
      <c r="G66" s="180"/>
      <c r="H66" s="247"/>
      <c r="I66" s="247"/>
      <c r="J66" s="247"/>
      <c r="K66" s="137"/>
      <c r="Q66" s="245" t="str">
        <f t="shared" ref="Q66:Q91" si="3">IF(OR(O66="",P66=""),"",AVERAGE(O66,P66))</f>
        <v/>
      </c>
      <c r="T66" s="217" t="str">
        <f t="shared" ref="T66:T91" si="4">IF(H66="","",IF(OR(H66="GREEN",H66="GK"),IF(S66&gt;=$AX$2,VLOOKUP(S66,$AX$2:$AY$7,2,1),""),IF(S66&gt;=$AZ$2,VLOOKUP(S66,$AZ$2:$BA$7,2,1),"")))</f>
        <v/>
      </c>
      <c r="V66" s="217" t="str">
        <f t="shared" ref="V66:V91" si="5">IF(OR(N66="",U66="",T66=""),"",U66/N66*T66)</f>
        <v/>
      </c>
      <c r="X66" s="186"/>
    </row>
    <row r="67" spans="4:24" x14ac:dyDescent="0.15">
      <c r="D67" s="199"/>
      <c r="F67" s="177"/>
      <c r="G67" s="180"/>
      <c r="H67" s="247"/>
      <c r="I67" s="247"/>
      <c r="J67" s="247"/>
      <c r="K67" s="137"/>
      <c r="Q67" s="245" t="str">
        <f t="shared" si="3"/>
        <v/>
      </c>
      <c r="T67" s="217" t="str">
        <f t="shared" si="4"/>
        <v/>
      </c>
      <c r="V67" s="217" t="str">
        <f t="shared" si="5"/>
        <v/>
      </c>
      <c r="X67" s="186"/>
    </row>
    <row r="68" spans="4:24" x14ac:dyDescent="0.15">
      <c r="D68" s="199"/>
      <c r="F68" s="177"/>
      <c r="G68" s="180"/>
      <c r="H68" s="247"/>
      <c r="I68" s="247"/>
      <c r="J68" s="247"/>
      <c r="K68" s="137"/>
      <c r="Q68" s="245" t="str">
        <f t="shared" si="3"/>
        <v/>
      </c>
      <c r="T68" s="217" t="str">
        <f t="shared" si="4"/>
        <v/>
      </c>
      <c r="V68" s="217" t="str">
        <f t="shared" si="5"/>
        <v/>
      </c>
      <c r="X68" s="186"/>
    </row>
    <row r="69" spans="4:24" x14ac:dyDescent="0.15">
      <c r="D69" s="199"/>
      <c r="F69" s="177"/>
      <c r="G69" s="180"/>
      <c r="H69" s="247"/>
      <c r="I69" s="247"/>
      <c r="J69" s="247"/>
      <c r="K69" s="137"/>
      <c r="Q69" s="245" t="str">
        <f t="shared" si="3"/>
        <v/>
      </c>
      <c r="T69" s="217" t="str">
        <f t="shared" si="4"/>
        <v/>
      </c>
      <c r="V69" s="217" t="str">
        <f t="shared" si="5"/>
        <v/>
      </c>
      <c r="X69" s="186"/>
    </row>
    <row r="70" spans="4:24" x14ac:dyDescent="0.15">
      <c r="D70" s="199"/>
      <c r="F70" s="177"/>
      <c r="G70" s="180"/>
      <c r="H70" s="247"/>
      <c r="I70" s="247"/>
      <c r="J70" s="247"/>
      <c r="K70" s="137"/>
      <c r="Q70" s="245" t="str">
        <f t="shared" si="3"/>
        <v/>
      </c>
      <c r="T70" s="217" t="str">
        <f t="shared" si="4"/>
        <v/>
      </c>
      <c r="V70" s="217" t="str">
        <f t="shared" si="5"/>
        <v/>
      </c>
      <c r="X70" s="186"/>
    </row>
    <row r="71" spans="4:24" x14ac:dyDescent="0.15">
      <c r="D71" s="199"/>
      <c r="F71" s="177"/>
      <c r="G71" s="180"/>
      <c r="H71" s="247"/>
      <c r="I71" s="247"/>
      <c r="J71" s="247"/>
      <c r="K71" s="137"/>
      <c r="Q71" s="245" t="str">
        <f t="shared" si="3"/>
        <v/>
      </c>
      <c r="T71" s="217" t="str">
        <f t="shared" si="4"/>
        <v/>
      </c>
      <c r="V71" s="217" t="str">
        <f t="shared" si="5"/>
        <v/>
      </c>
      <c r="X71" s="186"/>
    </row>
    <row r="72" spans="4:24" x14ac:dyDescent="0.15">
      <c r="D72" s="199"/>
      <c r="F72" s="177"/>
      <c r="G72" s="180"/>
      <c r="H72" s="247"/>
      <c r="I72" s="247"/>
      <c r="J72" s="247"/>
      <c r="K72" s="137"/>
      <c r="Q72" s="245" t="str">
        <f t="shared" si="3"/>
        <v/>
      </c>
      <c r="T72" s="217" t="str">
        <f t="shared" si="4"/>
        <v/>
      </c>
      <c r="V72" s="217" t="str">
        <f t="shared" si="5"/>
        <v/>
      </c>
      <c r="X72" s="186"/>
    </row>
    <row r="73" spans="4:24" x14ac:dyDescent="0.15">
      <c r="D73" s="199"/>
      <c r="F73" s="177"/>
      <c r="G73" s="180"/>
      <c r="H73" s="247"/>
      <c r="I73" s="247"/>
      <c r="J73" s="247"/>
      <c r="K73" s="137"/>
      <c r="Q73" s="245" t="str">
        <f t="shared" si="3"/>
        <v/>
      </c>
      <c r="T73" s="217" t="str">
        <f t="shared" si="4"/>
        <v/>
      </c>
      <c r="V73" s="217" t="str">
        <f t="shared" si="5"/>
        <v/>
      </c>
      <c r="X73" s="186"/>
    </row>
    <row r="74" spans="4:24" x14ac:dyDescent="0.15">
      <c r="D74" s="199"/>
      <c r="F74" s="177"/>
      <c r="G74" s="180"/>
      <c r="H74" s="247"/>
      <c r="I74" s="247"/>
      <c r="J74" s="247"/>
      <c r="K74" s="137"/>
      <c r="Q74" s="245" t="str">
        <f t="shared" si="3"/>
        <v/>
      </c>
      <c r="T74" s="217" t="str">
        <f t="shared" si="4"/>
        <v/>
      </c>
      <c r="V74" s="217" t="str">
        <f t="shared" si="5"/>
        <v/>
      </c>
      <c r="X74" s="186"/>
    </row>
    <row r="75" spans="4:24" x14ac:dyDescent="0.15">
      <c r="D75" s="199"/>
      <c r="F75" s="177"/>
      <c r="G75" s="180"/>
      <c r="H75" s="247"/>
      <c r="I75" s="247"/>
      <c r="J75" s="247"/>
      <c r="K75" s="137"/>
      <c r="Q75" s="245" t="str">
        <f t="shared" si="3"/>
        <v/>
      </c>
      <c r="T75" s="217" t="str">
        <f t="shared" si="4"/>
        <v/>
      </c>
      <c r="V75" s="217" t="str">
        <f t="shared" si="5"/>
        <v/>
      </c>
      <c r="X75" s="186"/>
    </row>
    <row r="76" spans="4:24" x14ac:dyDescent="0.15">
      <c r="D76" s="199"/>
      <c r="F76" s="177"/>
      <c r="G76" s="180"/>
      <c r="H76" s="247"/>
      <c r="I76" s="247"/>
      <c r="J76" s="247"/>
      <c r="K76" s="137"/>
      <c r="Q76" s="245" t="str">
        <f t="shared" si="3"/>
        <v/>
      </c>
      <c r="T76" s="217" t="str">
        <f t="shared" si="4"/>
        <v/>
      </c>
      <c r="V76" s="217" t="str">
        <f t="shared" si="5"/>
        <v/>
      </c>
      <c r="X76" s="186"/>
    </row>
    <row r="77" spans="4:24" x14ac:dyDescent="0.15">
      <c r="D77" s="199"/>
      <c r="F77" s="177"/>
      <c r="G77" s="180"/>
      <c r="H77" s="247"/>
      <c r="I77" s="247"/>
      <c r="J77" s="247"/>
      <c r="K77" s="137"/>
      <c r="Q77" s="245" t="str">
        <f t="shared" si="3"/>
        <v/>
      </c>
      <c r="T77" s="217" t="str">
        <f t="shared" si="4"/>
        <v/>
      </c>
      <c r="V77" s="217" t="str">
        <f t="shared" si="5"/>
        <v/>
      </c>
      <c r="X77" s="186"/>
    </row>
    <row r="78" spans="4:24" x14ac:dyDescent="0.15">
      <c r="D78" s="199"/>
      <c r="F78" s="177"/>
      <c r="G78" s="180"/>
      <c r="H78" s="247"/>
      <c r="I78" s="247"/>
      <c r="J78" s="247"/>
      <c r="K78" s="137"/>
      <c r="Q78" s="245" t="str">
        <f t="shared" si="3"/>
        <v/>
      </c>
      <c r="T78" s="217" t="str">
        <f t="shared" si="4"/>
        <v/>
      </c>
      <c r="V78" s="217" t="str">
        <f t="shared" si="5"/>
        <v/>
      </c>
      <c r="X78" s="186"/>
    </row>
    <row r="79" spans="4:24" x14ac:dyDescent="0.15">
      <c r="D79" s="199"/>
      <c r="F79" s="177"/>
      <c r="G79" s="180"/>
      <c r="H79" s="247"/>
      <c r="I79" s="247"/>
      <c r="J79" s="247"/>
      <c r="K79" s="137"/>
      <c r="Q79" s="245" t="str">
        <f t="shared" si="3"/>
        <v/>
      </c>
      <c r="T79" s="217" t="str">
        <f t="shared" si="4"/>
        <v/>
      </c>
      <c r="V79" s="217" t="str">
        <f t="shared" si="5"/>
        <v/>
      </c>
      <c r="X79" s="186"/>
    </row>
    <row r="80" spans="4:24" x14ac:dyDescent="0.15">
      <c r="H80" s="247"/>
      <c r="I80" s="247"/>
      <c r="J80" s="247"/>
      <c r="K80" s="137"/>
      <c r="Q80" s="245" t="str">
        <f t="shared" si="3"/>
        <v/>
      </c>
      <c r="T80" s="217" t="str">
        <f t="shared" si="4"/>
        <v/>
      </c>
      <c r="V80" s="217" t="str">
        <f t="shared" si="5"/>
        <v/>
      </c>
    </row>
    <row r="81" spans="8:22" x14ac:dyDescent="0.15">
      <c r="H81" s="247"/>
      <c r="I81" s="247"/>
      <c r="J81" s="247"/>
      <c r="K81" s="137"/>
      <c r="Q81" s="245" t="str">
        <f t="shared" si="3"/>
        <v/>
      </c>
      <c r="T81" s="217" t="str">
        <f t="shared" si="4"/>
        <v/>
      </c>
      <c r="V81" s="217" t="str">
        <f t="shared" si="5"/>
        <v/>
      </c>
    </row>
    <row r="82" spans="8:22" x14ac:dyDescent="0.15">
      <c r="H82" s="247"/>
      <c r="I82" s="247"/>
      <c r="J82" s="247"/>
      <c r="K82" s="137"/>
      <c r="Q82" s="245" t="str">
        <f t="shared" si="3"/>
        <v/>
      </c>
      <c r="T82" s="217" t="str">
        <f t="shared" si="4"/>
        <v/>
      </c>
      <c r="V82" s="217" t="str">
        <f t="shared" si="5"/>
        <v/>
      </c>
    </row>
    <row r="83" spans="8:22" x14ac:dyDescent="0.15">
      <c r="H83" s="247"/>
      <c r="I83" s="247"/>
      <c r="J83" s="247"/>
      <c r="K83" s="137"/>
      <c r="Q83" s="245" t="str">
        <f t="shared" si="3"/>
        <v/>
      </c>
      <c r="T83" s="217" t="str">
        <f t="shared" si="4"/>
        <v/>
      </c>
      <c r="V83" s="217" t="str">
        <f t="shared" si="5"/>
        <v/>
      </c>
    </row>
    <row r="84" spans="8:22" x14ac:dyDescent="0.15">
      <c r="H84" s="247"/>
      <c r="I84" s="247"/>
      <c r="J84" s="247"/>
      <c r="K84" s="137"/>
      <c r="Q84" s="245" t="str">
        <f t="shared" si="3"/>
        <v/>
      </c>
      <c r="T84" s="217" t="str">
        <f t="shared" si="4"/>
        <v/>
      </c>
      <c r="V84" s="217" t="str">
        <f t="shared" si="5"/>
        <v/>
      </c>
    </row>
    <row r="85" spans="8:22" x14ac:dyDescent="0.15">
      <c r="H85" s="247"/>
      <c r="I85" s="247"/>
      <c r="J85" s="247"/>
      <c r="K85" s="137"/>
      <c r="Q85" s="245" t="str">
        <f t="shared" si="3"/>
        <v/>
      </c>
      <c r="T85" s="217" t="str">
        <f t="shared" si="4"/>
        <v/>
      </c>
      <c r="V85" s="217" t="str">
        <f t="shared" si="5"/>
        <v/>
      </c>
    </row>
    <row r="86" spans="8:22" x14ac:dyDescent="0.15">
      <c r="H86" s="247"/>
      <c r="I86" s="247"/>
      <c r="J86" s="247"/>
      <c r="K86" s="137"/>
      <c r="Q86" s="245" t="str">
        <f t="shared" si="3"/>
        <v/>
      </c>
      <c r="T86" s="217" t="str">
        <f t="shared" si="4"/>
        <v/>
      </c>
      <c r="V86" s="217" t="str">
        <f t="shared" si="5"/>
        <v/>
      </c>
    </row>
    <row r="87" spans="8:22" x14ac:dyDescent="0.15">
      <c r="H87" s="247"/>
      <c r="I87" s="247"/>
      <c r="J87" s="247"/>
      <c r="K87" s="137"/>
      <c r="Q87" s="245" t="str">
        <f t="shared" si="3"/>
        <v/>
      </c>
      <c r="T87" s="217" t="str">
        <f t="shared" si="4"/>
        <v/>
      </c>
      <c r="V87" s="217" t="str">
        <f t="shared" si="5"/>
        <v/>
      </c>
    </row>
    <row r="88" spans="8:22" x14ac:dyDescent="0.15">
      <c r="H88" s="247"/>
      <c r="I88" s="247"/>
      <c r="J88" s="247"/>
      <c r="K88" s="137"/>
      <c r="Q88" s="245" t="str">
        <f t="shared" si="3"/>
        <v/>
      </c>
      <c r="T88" s="217" t="str">
        <f t="shared" si="4"/>
        <v/>
      </c>
      <c r="V88" s="217" t="str">
        <f t="shared" si="5"/>
        <v/>
      </c>
    </row>
    <row r="89" spans="8:22" x14ac:dyDescent="0.15">
      <c r="H89" s="247"/>
      <c r="I89" s="247"/>
      <c r="J89" s="247"/>
      <c r="K89" s="137"/>
      <c r="Q89" s="245" t="str">
        <f t="shared" si="3"/>
        <v/>
      </c>
      <c r="T89" s="217" t="str">
        <f t="shared" si="4"/>
        <v/>
      </c>
      <c r="V89" s="217" t="str">
        <f t="shared" si="5"/>
        <v/>
      </c>
    </row>
    <row r="90" spans="8:22" x14ac:dyDescent="0.15">
      <c r="H90" s="247"/>
      <c r="I90" s="247"/>
      <c r="J90" s="247"/>
      <c r="K90" s="137"/>
      <c r="Q90" s="245" t="str">
        <f t="shared" si="3"/>
        <v/>
      </c>
      <c r="T90" s="217" t="str">
        <f t="shared" si="4"/>
        <v/>
      </c>
      <c r="V90" s="217" t="str">
        <f t="shared" si="5"/>
        <v/>
      </c>
    </row>
    <row r="91" spans="8:22" x14ac:dyDescent="0.15">
      <c r="H91" s="247"/>
      <c r="I91" s="247"/>
      <c r="J91" s="247"/>
      <c r="K91" s="137"/>
      <c r="Q91" s="245" t="str">
        <f t="shared" si="3"/>
        <v/>
      </c>
      <c r="T91" s="217" t="str">
        <f t="shared" si="4"/>
        <v/>
      </c>
      <c r="V91" s="217" t="str">
        <f t="shared" si="5"/>
        <v/>
      </c>
    </row>
    <row r="92" spans="8:22" x14ac:dyDescent="0.15">
      <c r="H92" s="247"/>
      <c r="I92" s="247"/>
      <c r="J92" s="247"/>
      <c r="K92" s="137"/>
      <c r="Q92" s="245"/>
    </row>
    <row r="93" spans="8:22" x14ac:dyDescent="0.15">
      <c r="H93" s="247"/>
      <c r="I93" s="247"/>
      <c r="J93" s="247"/>
      <c r="K93" s="137"/>
      <c r="Q93" s="245"/>
    </row>
    <row r="94" spans="8:22" x14ac:dyDescent="0.15">
      <c r="H94" s="247"/>
      <c r="I94" s="247"/>
      <c r="J94" s="247"/>
      <c r="K94" s="137"/>
      <c r="Q94" s="245"/>
    </row>
    <row r="95" spans="8:22" x14ac:dyDescent="0.15">
      <c r="H95" s="247"/>
      <c r="I95" s="247"/>
      <c r="J95" s="247"/>
      <c r="K95" s="137"/>
      <c r="Q95" s="245"/>
    </row>
    <row r="96" spans="8:22" x14ac:dyDescent="0.15">
      <c r="H96" s="247"/>
      <c r="I96" s="247"/>
      <c r="J96" s="247"/>
      <c r="K96" s="137"/>
      <c r="Q96" s="245"/>
    </row>
    <row r="97" spans="8:17" x14ac:dyDescent="0.15">
      <c r="H97" s="247"/>
      <c r="I97" s="247"/>
      <c r="J97" s="247"/>
      <c r="K97" s="137"/>
      <c r="Q97" s="245"/>
    </row>
    <row r="98" spans="8:17" x14ac:dyDescent="0.15">
      <c r="H98" s="247"/>
      <c r="I98" s="247"/>
      <c r="J98" s="247"/>
      <c r="K98" s="137"/>
      <c r="Q98" s="245"/>
    </row>
    <row r="99" spans="8:17" x14ac:dyDescent="0.15">
      <c r="H99" s="247"/>
      <c r="I99" s="247"/>
      <c r="J99" s="247"/>
      <c r="K99" s="137"/>
      <c r="Q99" s="245"/>
    </row>
    <row r="100" spans="8:17" x14ac:dyDescent="0.15">
      <c r="H100" s="247"/>
      <c r="I100" s="247"/>
      <c r="J100" s="247"/>
      <c r="K100" s="137"/>
      <c r="Q100" s="245"/>
    </row>
    <row r="101" spans="8:17" x14ac:dyDescent="0.15">
      <c r="H101" s="247"/>
      <c r="I101" s="247"/>
      <c r="J101" s="247"/>
      <c r="K101" s="137"/>
      <c r="Q101" s="245"/>
    </row>
    <row r="102" spans="8:17" x14ac:dyDescent="0.15">
      <c r="H102" s="247"/>
      <c r="I102" s="247"/>
      <c r="J102" s="247"/>
      <c r="K102" s="137"/>
      <c r="Q102" s="245"/>
    </row>
    <row r="103" spans="8:17" x14ac:dyDescent="0.15">
      <c r="H103" s="247"/>
      <c r="I103" s="247"/>
      <c r="J103" s="247"/>
      <c r="K103" s="137"/>
      <c r="Q103" s="245"/>
    </row>
    <row r="104" spans="8:17" x14ac:dyDescent="0.15">
      <c r="H104" s="247"/>
      <c r="I104" s="247"/>
      <c r="J104" s="247"/>
      <c r="K104" s="137"/>
      <c r="Q104" s="245"/>
    </row>
    <row r="105" spans="8:17" x14ac:dyDescent="0.15">
      <c r="H105" s="247"/>
      <c r="I105" s="247"/>
      <c r="J105" s="247"/>
      <c r="K105" s="137"/>
      <c r="Q105" s="245"/>
    </row>
    <row r="106" spans="8:17" x14ac:dyDescent="0.15">
      <c r="H106" s="247"/>
      <c r="I106" s="247"/>
      <c r="J106" s="247"/>
      <c r="K106" s="137"/>
      <c r="Q106" s="245"/>
    </row>
    <row r="107" spans="8:17" x14ac:dyDescent="0.15">
      <c r="H107" s="247"/>
      <c r="I107" s="247"/>
      <c r="J107" s="247"/>
      <c r="K107" s="137"/>
      <c r="Q107" s="245"/>
    </row>
    <row r="108" spans="8:17" x14ac:dyDescent="0.15">
      <c r="H108" s="247"/>
      <c r="I108" s="247"/>
      <c r="J108" s="247"/>
      <c r="K108" s="137"/>
      <c r="Q108" s="245"/>
    </row>
    <row r="109" spans="8:17" x14ac:dyDescent="0.15">
      <c r="H109" s="247"/>
      <c r="I109" s="247"/>
      <c r="J109" s="247"/>
      <c r="K109" s="137"/>
      <c r="Q109" s="245"/>
    </row>
    <row r="110" spans="8:17" x14ac:dyDescent="0.15">
      <c r="H110" s="247"/>
      <c r="I110" s="247"/>
      <c r="J110" s="247"/>
      <c r="K110" s="137"/>
      <c r="Q110" s="245"/>
    </row>
    <row r="111" spans="8:17" x14ac:dyDescent="0.15">
      <c r="H111" s="247"/>
      <c r="I111" s="247"/>
      <c r="J111" s="247"/>
      <c r="K111" s="137"/>
      <c r="Q111" s="245"/>
    </row>
    <row r="112" spans="8:17" x14ac:dyDescent="0.15">
      <c r="H112" s="247"/>
      <c r="I112" s="247"/>
      <c r="J112" s="247"/>
      <c r="K112" s="137"/>
      <c r="Q112" s="245"/>
    </row>
    <row r="113" spans="8:17" x14ac:dyDescent="0.15">
      <c r="H113" s="247"/>
      <c r="I113" s="247"/>
      <c r="J113" s="247"/>
      <c r="K113" s="137"/>
      <c r="Q113" s="245"/>
    </row>
    <row r="114" spans="8:17" x14ac:dyDescent="0.15">
      <c r="H114" s="247"/>
      <c r="I114" s="247"/>
      <c r="J114" s="247"/>
      <c r="K114" s="137"/>
      <c r="Q114" s="245"/>
    </row>
    <row r="115" spans="8:17" x14ac:dyDescent="0.15">
      <c r="H115" s="247"/>
      <c r="I115" s="247"/>
      <c r="J115" s="247"/>
      <c r="K115" s="137"/>
      <c r="Q115" s="245"/>
    </row>
    <row r="116" spans="8:17" x14ac:dyDescent="0.15">
      <c r="H116" s="247"/>
      <c r="I116" s="247"/>
      <c r="J116" s="247"/>
      <c r="K116" s="137"/>
      <c r="Q116" s="245"/>
    </row>
    <row r="117" spans="8:17" x14ac:dyDescent="0.15">
      <c r="H117" s="247"/>
      <c r="I117" s="247"/>
      <c r="J117" s="247"/>
      <c r="K117" s="137"/>
      <c r="Q117" s="245"/>
    </row>
    <row r="118" spans="8:17" x14ac:dyDescent="0.15">
      <c r="H118" s="247"/>
      <c r="I118" s="247"/>
      <c r="J118" s="247"/>
      <c r="K118" s="137"/>
      <c r="Q118" s="245"/>
    </row>
    <row r="119" spans="8:17" x14ac:dyDescent="0.15">
      <c r="H119" s="247"/>
      <c r="I119" s="247"/>
      <c r="J119" s="247"/>
      <c r="K119" s="137"/>
      <c r="Q119" s="245"/>
    </row>
    <row r="120" spans="8:17" x14ac:dyDescent="0.15">
      <c r="H120" s="247"/>
      <c r="I120" s="247"/>
      <c r="J120" s="247"/>
      <c r="K120" s="137"/>
      <c r="Q120" s="245"/>
    </row>
    <row r="121" spans="8:17" x14ac:dyDescent="0.15">
      <c r="H121" s="247"/>
      <c r="I121" s="247"/>
      <c r="J121" s="247"/>
      <c r="K121" s="137"/>
      <c r="Q121" s="245"/>
    </row>
    <row r="122" spans="8:17" x14ac:dyDescent="0.15">
      <c r="H122" s="247"/>
      <c r="I122" s="247"/>
      <c r="J122" s="247"/>
      <c r="K122" s="137"/>
      <c r="Q122" s="245"/>
    </row>
    <row r="123" spans="8:17" x14ac:dyDescent="0.15">
      <c r="H123" s="247"/>
      <c r="I123" s="247"/>
      <c r="J123" s="247"/>
      <c r="K123" s="137"/>
      <c r="Q123" s="245"/>
    </row>
    <row r="124" spans="8:17" x14ac:dyDescent="0.15">
      <c r="H124" s="247"/>
      <c r="I124" s="247"/>
      <c r="J124" s="247"/>
      <c r="K124" s="137"/>
      <c r="Q124" s="245"/>
    </row>
    <row r="125" spans="8:17" x14ac:dyDescent="0.15">
      <c r="H125" s="247"/>
      <c r="I125" s="247"/>
      <c r="J125" s="247"/>
      <c r="K125" s="137"/>
      <c r="Q125" s="245"/>
    </row>
    <row r="126" spans="8:17" x14ac:dyDescent="0.15">
      <c r="H126" s="247"/>
      <c r="I126" s="247"/>
      <c r="J126" s="247"/>
      <c r="K126" s="137"/>
      <c r="Q126" s="245"/>
    </row>
    <row r="127" spans="8:17" x14ac:dyDescent="0.15">
      <c r="H127" s="247"/>
      <c r="I127" s="247"/>
      <c r="J127" s="247"/>
      <c r="K127" s="137"/>
      <c r="Q127" s="245"/>
    </row>
    <row r="128" spans="8:17" x14ac:dyDescent="0.15">
      <c r="H128" s="247"/>
      <c r="I128" s="247"/>
      <c r="J128" s="247"/>
      <c r="K128" s="137"/>
      <c r="Q128" s="245"/>
    </row>
    <row r="129" spans="8:17" x14ac:dyDescent="0.15">
      <c r="H129" s="247"/>
      <c r="I129" s="247"/>
      <c r="J129" s="247"/>
      <c r="K129" s="137"/>
      <c r="Q129" s="245"/>
    </row>
    <row r="130" spans="8:17" x14ac:dyDescent="0.15">
      <c r="H130" s="247"/>
      <c r="I130" s="247"/>
      <c r="J130" s="247"/>
      <c r="K130" s="137"/>
      <c r="Q130" s="245"/>
    </row>
    <row r="131" spans="8:17" x14ac:dyDescent="0.15">
      <c r="H131" s="247"/>
      <c r="I131" s="247"/>
      <c r="J131" s="247"/>
      <c r="K131" s="137"/>
      <c r="Q131" s="245"/>
    </row>
    <row r="132" spans="8:17" x14ac:dyDescent="0.15">
      <c r="H132" s="247"/>
      <c r="I132" s="247"/>
      <c r="J132" s="247"/>
      <c r="K132" s="137"/>
      <c r="Q132" s="245"/>
    </row>
    <row r="133" spans="8:17" x14ac:dyDescent="0.15">
      <c r="H133" s="247"/>
      <c r="I133" s="247"/>
      <c r="J133" s="247"/>
      <c r="K133" s="137"/>
      <c r="Q133" s="245"/>
    </row>
    <row r="134" spans="8:17" x14ac:dyDescent="0.15">
      <c r="H134" s="247"/>
      <c r="I134" s="247"/>
      <c r="J134" s="247"/>
      <c r="K134" s="137"/>
      <c r="Q134" s="245"/>
    </row>
    <row r="135" spans="8:17" x14ac:dyDescent="0.15">
      <c r="H135" s="247"/>
      <c r="I135" s="247"/>
      <c r="J135" s="247"/>
      <c r="K135" s="137"/>
      <c r="Q135" s="245"/>
    </row>
    <row r="136" spans="8:17" x14ac:dyDescent="0.15">
      <c r="H136" s="247"/>
      <c r="I136" s="247"/>
      <c r="J136" s="247"/>
      <c r="K136" s="137"/>
      <c r="Q136" s="245"/>
    </row>
    <row r="137" spans="8:17" x14ac:dyDescent="0.15">
      <c r="H137" s="247"/>
      <c r="I137" s="247"/>
      <c r="J137" s="247"/>
      <c r="K137" s="137"/>
      <c r="Q137" s="245"/>
    </row>
    <row r="138" spans="8:17" x14ac:dyDescent="0.15">
      <c r="H138" s="247"/>
      <c r="I138" s="247"/>
      <c r="J138" s="247"/>
      <c r="K138" s="137"/>
      <c r="Q138" s="245"/>
    </row>
    <row r="139" spans="8:17" x14ac:dyDescent="0.15">
      <c r="H139" s="247"/>
      <c r="I139" s="247"/>
      <c r="J139" s="247"/>
      <c r="K139" s="137"/>
      <c r="Q139" s="245"/>
    </row>
    <row r="140" spans="8:17" x14ac:dyDescent="0.15">
      <c r="H140" s="247"/>
      <c r="I140" s="247"/>
      <c r="J140" s="247"/>
      <c r="K140" s="137"/>
      <c r="Q140" s="245"/>
    </row>
    <row r="141" spans="8:17" x14ac:dyDescent="0.15">
      <c r="H141" s="247"/>
      <c r="I141" s="247"/>
      <c r="J141" s="247"/>
      <c r="K141" s="137"/>
      <c r="Q141" s="245"/>
    </row>
    <row r="142" spans="8:17" x14ac:dyDescent="0.15">
      <c r="K142" s="137"/>
      <c r="Q142" s="245"/>
    </row>
    <row r="143" spans="8:17" x14ac:dyDescent="0.15">
      <c r="K143" s="137"/>
      <c r="Q143" s="245"/>
    </row>
    <row r="144" spans="8:17" x14ac:dyDescent="0.15">
      <c r="K144" s="137"/>
      <c r="Q144" s="245"/>
    </row>
    <row r="145" spans="11:17" x14ac:dyDescent="0.15">
      <c r="K145" s="137"/>
      <c r="Q145" s="245"/>
    </row>
    <row r="146" spans="11:17" x14ac:dyDescent="0.15">
      <c r="K146" s="137"/>
      <c r="Q146" s="245"/>
    </row>
    <row r="147" spans="11:17" x14ac:dyDescent="0.15">
      <c r="K147" s="137"/>
      <c r="Q147" s="245"/>
    </row>
    <row r="148" spans="11:17" x14ac:dyDescent="0.15">
      <c r="K148" s="137"/>
      <c r="Q148" s="245"/>
    </row>
    <row r="149" spans="11:17" x14ac:dyDescent="0.15">
      <c r="K149" s="137"/>
      <c r="Q149" s="245"/>
    </row>
    <row r="150" spans="11:17" x14ac:dyDescent="0.15">
      <c r="K150" s="137"/>
      <c r="Q150" s="245"/>
    </row>
    <row r="151" spans="11:17" x14ac:dyDescent="0.15">
      <c r="K151" s="137"/>
      <c r="Q151" s="245"/>
    </row>
    <row r="152" spans="11:17" x14ac:dyDescent="0.15">
      <c r="K152" s="137"/>
      <c r="Q152" s="245"/>
    </row>
    <row r="153" spans="11:17" x14ac:dyDescent="0.15">
      <c r="K153" s="137"/>
      <c r="Q153" s="245"/>
    </row>
    <row r="154" spans="11:17" x14ac:dyDescent="0.15">
      <c r="K154" s="137"/>
      <c r="Q154" s="245"/>
    </row>
    <row r="155" spans="11:17" x14ac:dyDescent="0.15">
      <c r="K155" s="137"/>
      <c r="Q155" s="245"/>
    </row>
    <row r="156" spans="11:17" x14ac:dyDescent="0.15">
      <c r="K156" s="137"/>
      <c r="Q156" s="245"/>
    </row>
    <row r="157" spans="11:17" x14ac:dyDescent="0.15">
      <c r="K157" s="137"/>
      <c r="Q157" s="245"/>
    </row>
    <row r="158" spans="11:17" x14ac:dyDescent="0.15">
      <c r="K158" s="137"/>
      <c r="Q158" s="245"/>
    </row>
    <row r="159" spans="11:17" x14ac:dyDescent="0.15">
      <c r="K159" s="137"/>
      <c r="Q159" s="245"/>
    </row>
    <row r="160" spans="11:17" x14ac:dyDescent="0.15">
      <c r="K160" s="137"/>
      <c r="Q160" s="245"/>
    </row>
    <row r="161" spans="11:17" x14ac:dyDescent="0.15">
      <c r="K161" s="137"/>
      <c r="Q161" s="245"/>
    </row>
    <row r="162" spans="11:17" x14ac:dyDescent="0.15">
      <c r="K162" s="137"/>
      <c r="Q162" s="245"/>
    </row>
    <row r="163" spans="11:17" x14ac:dyDescent="0.15">
      <c r="K163" s="137"/>
      <c r="Q163" s="245"/>
    </row>
    <row r="164" spans="11:17" x14ac:dyDescent="0.15">
      <c r="K164" s="137"/>
      <c r="Q164" s="245"/>
    </row>
    <row r="165" spans="11:17" x14ac:dyDescent="0.15">
      <c r="K165" s="137"/>
      <c r="Q165" s="245"/>
    </row>
    <row r="166" spans="11:17" x14ac:dyDescent="0.15">
      <c r="K166" s="137"/>
      <c r="Q166" s="245"/>
    </row>
    <row r="167" spans="11:17" x14ac:dyDescent="0.15">
      <c r="K167" s="137"/>
      <c r="Q167" s="245"/>
    </row>
    <row r="168" spans="11:17" x14ac:dyDescent="0.15">
      <c r="K168" s="137"/>
      <c r="Q168" s="245"/>
    </row>
    <row r="169" spans="11:17" x14ac:dyDescent="0.15">
      <c r="K169" s="137"/>
      <c r="Q169" s="245"/>
    </row>
    <row r="170" spans="11:17" x14ac:dyDescent="0.15">
      <c r="K170" s="137"/>
      <c r="Q170" s="245"/>
    </row>
    <row r="171" spans="11:17" x14ac:dyDescent="0.15">
      <c r="K171" s="137"/>
      <c r="Q171" s="245"/>
    </row>
    <row r="172" spans="11:17" x14ac:dyDescent="0.15">
      <c r="K172" s="137"/>
      <c r="Q172" s="245"/>
    </row>
    <row r="173" spans="11:17" x14ac:dyDescent="0.15">
      <c r="K173" s="137"/>
      <c r="Q173" s="245"/>
    </row>
    <row r="174" spans="11:17" x14ac:dyDescent="0.15">
      <c r="K174" s="137"/>
      <c r="Q174" s="245"/>
    </row>
    <row r="175" spans="11:17" x14ac:dyDescent="0.15">
      <c r="K175" s="137"/>
      <c r="Q175" s="245"/>
    </row>
    <row r="176" spans="11:17" x14ac:dyDescent="0.15">
      <c r="K176" s="137"/>
      <c r="Q176" s="245"/>
    </row>
    <row r="177" spans="11:17" x14ac:dyDescent="0.15">
      <c r="K177" s="137"/>
      <c r="Q177" s="245"/>
    </row>
    <row r="178" spans="11:17" x14ac:dyDescent="0.15">
      <c r="K178" s="137"/>
      <c r="Q178" s="245"/>
    </row>
    <row r="179" spans="11:17" x14ac:dyDescent="0.15">
      <c r="K179" s="137"/>
      <c r="Q179" s="245"/>
    </row>
    <row r="180" spans="11:17" x14ac:dyDescent="0.15">
      <c r="K180" s="137"/>
      <c r="Q180" s="245"/>
    </row>
    <row r="181" spans="11:17" x14ac:dyDescent="0.15">
      <c r="K181" s="137"/>
      <c r="Q181" s="245"/>
    </row>
    <row r="182" spans="11:17" x14ac:dyDescent="0.15">
      <c r="K182" s="137"/>
      <c r="Q182" s="245"/>
    </row>
    <row r="183" spans="11:17" x14ac:dyDescent="0.15">
      <c r="K183" s="137"/>
      <c r="Q183" s="245"/>
    </row>
    <row r="184" spans="11:17" x14ac:dyDescent="0.15">
      <c r="K184" s="137"/>
      <c r="Q184" s="245"/>
    </row>
    <row r="185" spans="11:17" x14ac:dyDescent="0.15">
      <c r="K185" s="137"/>
      <c r="Q185" s="245"/>
    </row>
    <row r="186" spans="11:17" x14ac:dyDescent="0.15">
      <c r="K186" s="137"/>
      <c r="Q186" s="245"/>
    </row>
    <row r="187" spans="11:17" x14ac:dyDescent="0.15">
      <c r="K187" s="137"/>
      <c r="Q187" s="245"/>
    </row>
    <row r="188" spans="11:17" x14ac:dyDescent="0.15">
      <c r="K188" s="137"/>
      <c r="Q188" s="245"/>
    </row>
    <row r="189" spans="11:17" x14ac:dyDescent="0.15">
      <c r="K189" s="137"/>
      <c r="Q189" s="245"/>
    </row>
    <row r="190" spans="11:17" x14ac:dyDescent="0.15">
      <c r="K190" s="137"/>
      <c r="Q190" s="245"/>
    </row>
    <row r="191" spans="11:17" x14ac:dyDescent="0.15">
      <c r="K191" s="137"/>
      <c r="Q191" s="245"/>
    </row>
    <row r="192" spans="11:17" x14ac:dyDescent="0.15">
      <c r="K192" s="137"/>
      <c r="Q192" s="245"/>
    </row>
    <row r="193" spans="11:17" x14ac:dyDescent="0.15">
      <c r="K193" s="137"/>
      <c r="Q193" s="245"/>
    </row>
    <row r="194" spans="11:17" x14ac:dyDescent="0.15">
      <c r="K194" s="137"/>
      <c r="Q194" s="245"/>
    </row>
    <row r="195" spans="11:17" x14ac:dyDescent="0.15">
      <c r="K195" s="137"/>
      <c r="Q195" s="245"/>
    </row>
    <row r="196" spans="11:17" x14ac:dyDescent="0.15">
      <c r="K196" s="137"/>
      <c r="Q196" s="245"/>
    </row>
    <row r="197" spans="11:17" x14ac:dyDescent="0.15">
      <c r="K197" s="137"/>
      <c r="Q197" s="245"/>
    </row>
    <row r="198" spans="11:17" x14ac:dyDescent="0.15">
      <c r="K198" s="137"/>
      <c r="Q198" s="245"/>
    </row>
    <row r="199" spans="11:17" x14ac:dyDescent="0.15">
      <c r="K199" s="137"/>
      <c r="Q199" s="245"/>
    </row>
    <row r="200" spans="11:17" x14ac:dyDescent="0.15">
      <c r="K200" s="137"/>
      <c r="Q200" s="245"/>
    </row>
    <row r="201" spans="11:17" x14ac:dyDescent="0.15">
      <c r="K201" s="137"/>
      <c r="Q201" s="245"/>
    </row>
    <row r="202" spans="11:17" x14ac:dyDescent="0.15">
      <c r="K202" s="137"/>
      <c r="Q202" s="245"/>
    </row>
    <row r="203" spans="11:17" x14ac:dyDescent="0.15">
      <c r="K203" s="137"/>
      <c r="Q203" s="245"/>
    </row>
    <row r="204" spans="11:17" x14ac:dyDescent="0.15">
      <c r="K204" s="137"/>
      <c r="Q204" s="245"/>
    </row>
    <row r="205" spans="11:17" x14ac:dyDescent="0.15">
      <c r="K205" s="137"/>
      <c r="Q205" s="245"/>
    </row>
    <row r="206" spans="11:17" x14ac:dyDescent="0.15">
      <c r="K206" s="137"/>
      <c r="Q206" s="245"/>
    </row>
    <row r="207" spans="11:17" x14ac:dyDescent="0.15">
      <c r="K207" s="137"/>
      <c r="Q207" s="245"/>
    </row>
    <row r="208" spans="11:17" x14ac:dyDescent="0.15">
      <c r="K208" s="137"/>
      <c r="Q208" s="245"/>
    </row>
    <row r="209" spans="11:17" x14ac:dyDescent="0.15">
      <c r="K209" s="137"/>
      <c r="Q209" s="245"/>
    </row>
    <row r="210" spans="11:17" x14ac:dyDescent="0.15">
      <c r="K210" s="137"/>
      <c r="Q210" s="245"/>
    </row>
    <row r="211" spans="11:17" x14ac:dyDescent="0.15">
      <c r="K211" s="137"/>
      <c r="Q211" s="245"/>
    </row>
    <row r="212" spans="11:17" x14ac:dyDescent="0.15">
      <c r="K212" s="137"/>
      <c r="Q212" s="245"/>
    </row>
    <row r="213" spans="11:17" x14ac:dyDescent="0.15">
      <c r="K213" s="137"/>
      <c r="Q213" s="245"/>
    </row>
    <row r="214" spans="11:17" x14ac:dyDescent="0.15">
      <c r="K214" s="137"/>
      <c r="Q214" s="245"/>
    </row>
    <row r="215" spans="11:17" x14ac:dyDescent="0.15">
      <c r="K215" s="137"/>
      <c r="Q215" s="245"/>
    </row>
    <row r="216" spans="11:17" x14ac:dyDescent="0.15">
      <c r="K216" s="137"/>
      <c r="Q216" s="245"/>
    </row>
    <row r="217" spans="11:17" x14ac:dyDescent="0.15">
      <c r="K217" s="137"/>
      <c r="Q217" s="245"/>
    </row>
    <row r="218" spans="11:17" x14ac:dyDescent="0.15">
      <c r="K218" s="137"/>
      <c r="Q218" s="245"/>
    </row>
    <row r="219" spans="11:17" x14ac:dyDescent="0.15">
      <c r="K219" s="137"/>
      <c r="Q219" s="245"/>
    </row>
    <row r="220" spans="11:17" x14ac:dyDescent="0.15">
      <c r="K220" s="137"/>
      <c r="Q220" s="245"/>
    </row>
    <row r="221" spans="11:17" x14ac:dyDescent="0.15">
      <c r="K221" s="137"/>
      <c r="Q221" s="245"/>
    </row>
    <row r="222" spans="11:17" x14ac:dyDescent="0.15">
      <c r="K222" s="137"/>
      <c r="Q222" s="245"/>
    </row>
    <row r="223" spans="11:17" x14ac:dyDescent="0.15">
      <c r="K223" s="137"/>
      <c r="Q223" s="245"/>
    </row>
    <row r="224" spans="11:17" x14ac:dyDescent="0.15">
      <c r="K224" s="137"/>
      <c r="Q224" s="245"/>
    </row>
    <row r="225" spans="11:17" x14ac:dyDescent="0.15">
      <c r="K225" s="137"/>
      <c r="Q225" s="245"/>
    </row>
    <row r="226" spans="11:17" x14ac:dyDescent="0.15">
      <c r="K226" s="137"/>
      <c r="Q226" s="245"/>
    </row>
    <row r="227" spans="11:17" x14ac:dyDescent="0.15">
      <c r="K227" s="137"/>
      <c r="Q227" s="245"/>
    </row>
    <row r="228" spans="11:17" x14ac:dyDescent="0.15">
      <c r="K228" s="137"/>
      <c r="Q228" s="245"/>
    </row>
    <row r="229" spans="11:17" x14ac:dyDescent="0.15">
      <c r="K229" s="137"/>
      <c r="Q229" s="245"/>
    </row>
    <row r="230" spans="11:17" x14ac:dyDescent="0.15">
      <c r="K230" s="137"/>
      <c r="Q230" s="245"/>
    </row>
    <row r="231" spans="11:17" x14ac:dyDescent="0.15">
      <c r="K231" s="137"/>
      <c r="Q231" s="245"/>
    </row>
    <row r="232" spans="11:17" x14ac:dyDescent="0.15">
      <c r="K232" s="137"/>
      <c r="Q232" s="245"/>
    </row>
    <row r="233" spans="11:17" x14ac:dyDescent="0.15">
      <c r="K233" s="137"/>
      <c r="Q233" s="245"/>
    </row>
    <row r="234" spans="11:17" x14ac:dyDescent="0.15">
      <c r="K234" s="137"/>
      <c r="Q234" s="245"/>
    </row>
    <row r="235" spans="11:17" x14ac:dyDescent="0.15">
      <c r="K235" s="137"/>
      <c r="Q235" s="245"/>
    </row>
    <row r="236" spans="11:17" x14ac:dyDescent="0.15">
      <c r="K236" s="137"/>
      <c r="Q236" s="245"/>
    </row>
    <row r="237" spans="11:17" x14ac:dyDescent="0.15">
      <c r="K237" s="137"/>
      <c r="Q237" s="245"/>
    </row>
    <row r="238" spans="11:17" x14ac:dyDescent="0.15">
      <c r="K238" s="137"/>
      <c r="Q238" s="245"/>
    </row>
    <row r="239" spans="11:17" x14ac:dyDescent="0.15">
      <c r="K239" s="137"/>
      <c r="Q239" s="245"/>
    </row>
    <row r="240" spans="11:17" x14ac:dyDescent="0.15">
      <c r="K240" s="137"/>
      <c r="Q240" s="245"/>
    </row>
    <row r="241" spans="11:17" x14ac:dyDescent="0.15">
      <c r="K241" s="137"/>
      <c r="Q241" s="245"/>
    </row>
    <row r="242" spans="11:17" x14ac:dyDescent="0.15">
      <c r="K242" s="137"/>
      <c r="Q242" s="245"/>
    </row>
    <row r="243" spans="11:17" x14ac:dyDescent="0.15">
      <c r="K243" s="137"/>
      <c r="Q243" s="245"/>
    </row>
    <row r="244" spans="11:17" x14ac:dyDescent="0.15">
      <c r="K244" s="137"/>
      <c r="Q244" s="245"/>
    </row>
    <row r="245" spans="11:17" x14ac:dyDescent="0.15">
      <c r="K245" s="137"/>
      <c r="Q245" s="245"/>
    </row>
    <row r="246" spans="11:17" x14ac:dyDescent="0.15">
      <c r="K246" s="137"/>
      <c r="Q246" s="245"/>
    </row>
    <row r="247" spans="11:17" x14ac:dyDescent="0.15">
      <c r="K247" s="137"/>
      <c r="Q247" s="245"/>
    </row>
    <row r="248" spans="11:17" x14ac:dyDescent="0.15">
      <c r="K248" s="137"/>
      <c r="Q248" s="245"/>
    </row>
    <row r="249" spans="11:17" x14ac:dyDescent="0.15">
      <c r="K249" s="137"/>
      <c r="Q249" s="245"/>
    </row>
    <row r="250" spans="11:17" x14ac:dyDescent="0.15">
      <c r="K250" s="137"/>
      <c r="Q250" s="245"/>
    </row>
    <row r="251" spans="11:17" x14ac:dyDescent="0.15">
      <c r="K251" s="137"/>
      <c r="Q251" s="245"/>
    </row>
    <row r="252" spans="11:17" x14ac:dyDescent="0.15">
      <c r="K252" s="137"/>
      <c r="Q252" s="245"/>
    </row>
    <row r="253" spans="11:17" x14ac:dyDescent="0.15">
      <c r="K253" s="137"/>
      <c r="Q253" s="245"/>
    </row>
    <row r="254" spans="11:17" x14ac:dyDescent="0.15">
      <c r="K254" s="137"/>
      <c r="Q254" s="245"/>
    </row>
    <row r="255" spans="11:17" x14ac:dyDescent="0.15">
      <c r="K255" s="137"/>
      <c r="Q255" s="245"/>
    </row>
    <row r="256" spans="11:17" x14ac:dyDescent="0.15">
      <c r="K256" s="137"/>
      <c r="Q256" s="245"/>
    </row>
    <row r="257" spans="11:17" x14ac:dyDescent="0.15">
      <c r="K257" s="137"/>
      <c r="Q257" s="245"/>
    </row>
    <row r="258" spans="11:17" x14ac:dyDescent="0.15">
      <c r="K258" s="137"/>
      <c r="Q258" s="245"/>
    </row>
    <row r="259" spans="11:17" x14ac:dyDescent="0.15">
      <c r="K259" s="137"/>
      <c r="Q259" s="245"/>
    </row>
    <row r="260" spans="11:17" x14ac:dyDescent="0.15">
      <c r="K260" s="137"/>
      <c r="Q260" s="245"/>
    </row>
    <row r="261" spans="11:17" x14ac:dyDescent="0.15">
      <c r="K261" s="137"/>
      <c r="Q261" s="245"/>
    </row>
    <row r="262" spans="11:17" x14ac:dyDescent="0.15">
      <c r="K262" s="137"/>
      <c r="Q262" s="245"/>
    </row>
    <row r="263" spans="11:17" x14ac:dyDescent="0.15">
      <c r="K263" s="137"/>
      <c r="Q263" s="245"/>
    </row>
    <row r="264" spans="11:17" x14ac:dyDescent="0.15">
      <c r="K264" s="137"/>
      <c r="Q264" s="245"/>
    </row>
    <row r="265" spans="11:17" x14ac:dyDescent="0.15">
      <c r="K265" s="137"/>
      <c r="Q265" s="245"/>
    </row>
    <row r="266" spans="11:17" x14ac:dyDescent="0.15">
      <c r="K266" s="137"/>
      <c r="Q266" s="245"/>
    </row>
    <row r="267" spans="11:17" x14ac:dyDescent="0.15">
      <c r="K267" s="137"/>
      <c r="Q267" s="245"/>
    </row>
    <row r="268" spans="11:17" x14ac:dyDescent="0.15">
      <c r="K268" s="137"/>
      <c r="Q268" s="245"/>
    </row>
    <row r="269" spans="11:17" x14ac:dyDescent="0.15">
      <c r="K269" s="137"/>
      <c r="Q269" s="245"/>
    </row>
    <row r="270" spans="11:17" x14ac:dyDescent="0.15">
      <c r="K270" s="137"/>
      <c r="Q270" s="245"/>
    </row>
    <row r="271" spans="11:17" x14ac:dyDescent="0.15">
      <c r="K271" s="137"/>
      <c r="Q271" s="245"/>
    </row>
    <row r="272" spans="11:17" x14ac:dyDescent="0.15">
      <c r="K272" s="137"/>
      <c r="Q272" s="245"/>
    </row>
    <row r="273" spans="11:17" x14ac:dyDescent="0.15">
      <c r="K273" s="137"/>
      <c r="Q273" s="245"/>
    </row>
    <row r="274" spans="11:17" x14ac:dyDescent="0.15">
      <c r="K274" s="137"/>
      <c r="Q274" s="245"/>
    </row>
    <row r="275" spans="11:17" x14ac:dyDescent="0.15">
      <c r="K275" s="137"/>
      <c r="Q275" s="245"/>
    </row>
    <row r="276" spans="11:17" x14ac:dyDescent="0.15">
      <c r="K276" s="137"/>
      <c r="Q276" s="245"/>
    </row>
    <row r="277" spans="11:17" x14ac:dyDescent="0.15">
      <c r="K277" s="137"/>
      <c r="Q277" s="245"/>
    </row>
    <row r="278" spans="11:17" x14ac:dyDescent="0.15">
      <c r="K278" s="137"/>
      <c r="Q278" s="245"/>
    </row>
    <row r="279" spans="11:17" x14ac:dyDescent="0.15">
      <c r="K279" s="137"/>
      <c r="Q279" s="245"/>
    </row>
    <row r="280" spans="11:17" x14ac:dyDescent="0.15">
      <c r="K280" s="137"/>
      <c r="Q280" s="245"/>
    </row>
    <row r="281" spans="11:17" x14ac:dyDescent="0.15">
      <c r="K281" s="137"/>
      <c r="Q281" s="245"/>
    </row>
    <row r="282" spans="11:17" x14ac:dyDescent="0.15">
      <c r="K282" s="137"/>
      <c r="Q282" s="245"/>
    </row>
    <row r="283" spans="11:17" x14ac:dyDescent="0.15">
      <c r="K283" s="137"/>
      <c r="Q283" s="245"/>
    </row>
    <row r="284" spans="11:17" x14ac:dyDescent="0.15">
      <c r="K284" s="137"/>
      <c r="Q284" s="245"/>
    </row>
    <row r="285" spans="11:17" x14ac:dyDescent="0.15">
      <c r="K285" s="137"/>
      <c r="Q285" s="245"/>
    </row>
    <row r="286" spans="11:17" x14ac:dyDescent="0.15">
      <c r="K286" s="137"/>
      <c r="Q286" s="245"/>
    </row>
    <row r="287" spans="11:17" x14ac:dyDescent="0.15">
      <c r="K287" s="137"/>
      <c r="Q287" s="245"/>
    </row>
    <row r="288" spans="11:17" x14ac:dyDescent="0.15">
      <c r="K288" s="137"/>
      <c r="Q288" s="245"/>
    </row>
    <row r="289" spans="11:17" x14ac:dyDescent="0.15">
      <c r="K289" s="137"/>
      <c r="Q289" s="245"/>
    </row>
    <row r="290" spans="11:17" x14ac:dyDescent="0.15">
      <c r="K290" s="137"/>
      <c r="Q290" s="245"/>
    </row>
    <row r="291" spans="11:17" x14ac:dyDescent="0.15">
      <c r="K291" s="137"/>
      <c r="Q291" s="245"/>
    </row>
    <row r="292" spans="11:17" x14ac:dyDescent="0.15">
      <c r="K292" s="137"/>
    </row>
    <row r="293" spans="11:17" x14ac:dyDescent="0.15">
      <c r="K293" s="137"/>
    </row>
    <row r="294" spans="11:17" x14ac:dyDescent="0.15">
      <c r="K294" s="137"/>
    </row>
    <row r="295" spans="11:17" x14ac:dyDescent="0.15">
      <c r="K295" s="137"/>
    </row>
    <row r="296" spans="11:17" x14ac:dyDescent="0.15">
      <c r="K296" s="137"/>
    </row>
    <row r="297" spans="11:17" x14ac:dyDescent="0.15">
      <c r="K297" s="137"/>
    </row>
    <row r="298" spans="11:17" x14ac:dyDescent="0.15">
      <c r="K298" s="137"/>
    </row>
    <row r="299" spans="11:17" x14ac:dyDescent="0.15">
      <c r="K299" s="137"/>
    </row>
    <row r="300" spans="11:17" x14ac:dyDescent="0.15">
      <c r="K300" s="137"/>
    </row>
    <row r="301" spans="11:17" x14ac:dyDescent="0.15">
      <c r="K301" s="137"/>
    </row>
    <row r="302" spans="11:17" x14ac:dyDescent="0.15">
      <c r="K302" s="137"/>
    </row>
    <row r="303" spans="11:17" x14ac:dyDescent="0.15">
      <c r="K303" s="137"/>
    </row>
    <row r="304" spans="11:17" x14ac:dyDescent="0.15">
      <c r="K304" s="137"/>
    </row>
    <row r="305" spans="11:11" x14ac:dyDescent="0.15">
      <c r="K305" s="137"/>
    </row>
    <row r="306" spans="11:11" x14ac:dyDescent="0.15">
      <c r="K306" s="137"/>
    </row>
    <row r="307" spans="11:11" x14ac:dyDescent="0.15">
      <c r="K307" s="137"/>
    </row>
    <row r="308" spans="11:11" x14ac:dyDescent="0.15">
      <c r="K308" s="137"/>
    </row>
    <row r="309" spans="11:11" x14ac:dyDescent="0.15">
      <c r="K309" s="137"/>
    </row>
    <row r="310" spans="11:11" x14ac:dyDescent="0.15">
      <c r="K310" s="137"/>
    </row>
    <row r="311" spans="11:11" x14ac:dyDescent="0.15">
      <c r="K311" s="137"/>
    </row>
    <row r="312" spans="11:11" x14ac:dyDescent="0.15">
      <c r="K312" s="137"/>
    </row>
    <row r="313" spans="11:11" x14ac:dyDescent="0.15">
      <c r="K313" s="137"/>
    </row>
    <row r="314" spans="11:11" x14ac:dyDescent="0.15">
      <c r="K314" s="137"/>
    </row>
    <row r="315" spans="11:11" x14ac:dyDescent="0.15">
      <c r="K315" s="137"/>
    </row>
    <row r="316" spans="11:11" x14ac:dyDescent="0.15">
      <c r="K316" s="137"/>
    </row>
    <row r="317" spans="11:11" x14ac:dyDescent="0.15">
      <c r="K317" s="137"/>
    </row>
    <row r="318" spans="11:11" x14ac:dyDescent="0.15">
      <c r="K318" s="137"/>
    </row>
    <row r="319" spans="11:11" x14ac:dyDescent="0.15">
      <c r="K319" s="137"/>
    </row>
    <row r="320" spans="11:11" x14ac:dyDescent="0.15">
      <c r="K320" s="137"/>
    </row>
    <row r="321" spans="11:11" x14ac:dyDescent="0.15">
      <c r="K321" s="137"/>
    </row>
    <row r="322" spans="11:11" x14ac:dyDescent="0.15">
      <c r="K322" s="137"/>
    </row>
    <row r="323" spans="11:11" x14ac:dyDescent="0.15">
      <c r="K323" s="137"/>
    </row>
    <row r="324" spans="11:11" x14ac:dyDescent="0.15">
      <c r="K324" s="137"/>
    </row>
    <row r="325" spans="11:11" x14ac:dyDescent="0.15">
      <c r="K325" s="137"/>
    </row>
    <row r="326" spans="11:11" x14ac:dyDescent="0.15">
      <c r="K326" s="137"/>
    </row>
    <row r="327" spans="11:11" x14ac:dyDescent="0.15">
      <c r="K327" s="137"/>
    </row>
    <row r="328" spans="11:11" x14ac:dyDescent="0.15">
      <c r="K328" s="137"/>
    </row>
    <row r="329" spans="11:11" x14ac:dyDescent="0.15">
      <c r="K329" s="137"/>
    </row>
    <row r="330" spans="11:11" x14ac:dyDescent="0.15">
      <c r="K330" s="137"/>
    </row>
    <row r="331" spans="11:11" x14ac:dyDescent="0.15">
      <c r="K331" s="137"/>
    </row>
    <row r="332" spans="11:11" x14ac:dyDescent="0.15">
      <c r="K332" s="137"/>
    </row>
    <row r="333" spans="11:11" x14ac:dyDescent="0.15">
      <c r="K333" s="137"/>
    </row>
    <row r="334" spans="11:11" x14ac:dyDescent="0.15">
      <c r="K334" s="137"/>
    </row>
    <row r="335" spans="11:11" x14ac:dyDescent="0.15">
      <c r="K335" s="137"/>
    </row>
    <row r="336" spans="11:11" x14ac:dyDescent="0.15">
      <c r="K336" s="137"/>
    </row>
    <row r="337" spans="11:11" x14ac:dyDescent="0.15">
      <c r="K337" s="137"/>
    </row>
    <row r="338" spans="11:11" x14ac:dyDescent="0.15">
      <c r="K338" s="137"/>
    </row>
    <row r="339" spans="11:11" x14ac:dyDescent="0.15">
      <c r="K339" s="137"/>
    </row>
    <row r="340" spans="11:11" x14ac:dyDescent="0.15">
      <c r="K340" s="137"/>
    </row>
    <row r="341" spans="11:11" x14ac:dyDescent="0.15">
      <c r="K341" s="137"/>
    </row>
    <row r="342" spans="11:11" x14ac:dyDescent="0.15">
      <c r="K342" s="137"/>
    </row>
    <row r="343" spans="11:11" x14ac:dyDescent="0.15">
      <c r="K343" s="137"/>
    </row>
    <row r="344" spans="11:11" x14ac:dyDescent="0.15">
      <c r="K344" s="137"/>
    </row>
    <row r="345" spans="11:11" x14ac:dyDescent="0.15">
      <c r="K345" s="137"/>
    </row>
    <row r="346" spans="11:11" x14ac:dyDescent="0.15">
      <c r="K346" s="137"/>
    </row>
    <row r="347" spans="11:11" x14ac:dyDescent="0.15">
      <c r="K347" s="137"/>
    </row>
    <row r="348" spans="11:11" x14ac:dyDescent="0.15">
      <c r="K348" s="137"/>
    </row>
    <row r="349" spans="11:11" x14ac:dyDescent="0.15">
      <c r="K349" s="137"/>
    </row>
    <row r="350" spans="11:11" x14ac:dyDescent="0.15">
      <c r="K350" s="137"/>
    </row>
    <row r="351" spans="11:11" x14ac:dyDescent="0.15">
      <c r="K351" s="137"/>
    </row>
    <row r="352" spans="11:11" x14ac:dyDescent="0.15">
      <c r="K352" s="137"/>
    </row>
    <row r="353" spans="11:11" x14ac:dyDescent="0.15">
      <c r="K353" s="137"/>
    </row>
    <row r="354" spans="11:11" x14ac:dyDescent="0.15">
      <c r="K354" s="137"/>
    </row>
    <row r="355" spans="11:11" x14ac:dyDescent="0.15">
      <c r="K355" s="137"/>
    </row>
    <row r="356" spans="11:11" x14ac:dyDescent="0.15">
      <c r="K356" s="137"/>
    </row>
    <row r="357" spans="11:11" x14ac:dyDescent="0.15">
      <c r="K357" s="137"/>
    </row>
    <row r="358" spans="11:11" x14ac:dyDescent="0.15">
      <c r="K358" s="137"/>
    </row>
    <row r="359" spans="11:11" x14ac:dyDescent="0.15">
      <c r="K359" s="137"/>
    </row>
    <row r="360" spans="11:11" x14ac:dyDescent="0.15">
      <c r="K360" s="137"/>
    </row>
    <row r="361" spans="11:11" x14ac:dyDescent="0.15">
      <c r="K361" s="137"/>
    </row>
    <row r="362" spans="11:11" x14ac:dyDescent="0.15">
      <c r="K362" s="137"/>
    </row>
    <row r="363" spans="11:11" x14ac:dyDescent="0.15">
      <c r="K363" s="137"/>
    </row>
    <row r="364" spans="11:11" x14ac:dyDescent="0.15">
      <c r="K364" s="137"/>
    </row>
    <row r="365" spans="11:11" x14ac:dyDescent="0.15">
      <c r="K365" s="137"/>
    </row>
    <row r="366" spans="11:11" x14ac:dyDescent="0.15">
      <c r="K366" s="137"/>
    </row>
    <row r="367" spans="11:11" x14ac:dyDescent="0.15">
      <c r="K367" s="137"/>
    </row>
    <row r="368" spans="11:11" x14ac:dyDescent="0.15">
      <c r="K368" s="137"/>
    </row>
    <row r="369" spans="11:11" x14ac:dyDescent="0.15">
      <c r="K369" s="137"/>
    </row>
    <row r="370" spans="11:11" x14ac:dyDescent="0.15">
      <c r="K370" s="137"/>
    </row>
    <row r="371" spans="11:11" x14ac:dyDescent="0.15">
      <c r="K371" s="137"/>
    </row>
    <row r="372" spans="11:11" x14ac:dyDescent="0.15">
      <c r="K372" s="137"/>
    </row>
    <row r="373" spans="11:11" x14ac:dyDescent="0.15">
      <c r="K373" s="137"/>
    </row>
    <row r="374" spans="11:11" x14ac:dyDescent="0.15">
      <c r="K374" s="137"/>
    </row>
    <row r="375" spans="11:11" x14ac:dyDescent="0.15">
      <c r="K375" s="137"/>
    </row>
    <row r="376" spans="11:11" x14ac:dyDescent="0.15">
      <c r="K376" s="137"/>
    </row>
    <row r="377" spans="11:11" x14ac:dyDescent="0.15">
      <c r="K377" s="137"/>
    </row>
    <row r="378" spans="11:11" x14ac:dyDescent="0.15">
      <c r="K378" s="137"/>
    </row>
    <row r="379" spans="11:11" x14ac:dyDescent="0.15">
      <c r="K379" s="137"/>
    </row>
    <row r="380" spans="11:11" x14ac:dyDescent="0.15">
      <c r="K380" s="137"/>
    </row>
    <row r="381" spans="11:11" x14ac:dyDescent="0.15">
      <c r="K381" s="137"/>
    </row>
    <row r="382" spans="11:11" x14ac:dyDescent="0.15">
      <c r="K382" s="137"/>
    </row>
    <row r="383" spans="11:11" x14ac:dyDescent="0.15">
      <c r="K383" s="137"/>
    </row>
    <row r="384" spans="11:11" x14ac:dyDescent="0.15">
      <c r="K384" s="137"/>
    </row>
    <row r="385" spans="11:11" x14ac:dyDescent="0.15">
      <c r="K385" s="137"/>
    </row>
    <row r="386" spans="11:11" x14ac:dyDescent="0.15">
      <c r="K386" s="137"/>
    </row>
    <row r="387" spans="11:11" x14ac:dyDescent="0.15">
      <c r="K387" s="137"/>
    </row>
    <row r="388" spans="11:11" x14ac:dyDescent="0.15">
      <c r="K388" s="137"/>
    </row>
    <row r="389" spans="11:11" x14ac:dyDescent="0.15">
      <c r="K389" s="137"/>
    </row>
    <row r="390" spans="11:11" x14ac:dyDescent="0.15">
      <c r="K390" s="137"/>
    </row>
    <row r="391" spans="11:11" x14ac:dyDescent="0.15">
      <c r="K391" s="137"/>
    </row>
    <row r="392" spans="11:11" x14ac:dyDescent="0.15">
      <c r="K392" s="137"/>
    </row>
    <row r="393" spans="11:11" x14ac:dyDescent="0.15">
      <c r="K393" s="137"/>
    </row>
    <row r="394" spans="11:11" x14ac:dyDescent="0.15">
      <c r="K394" s="137"/>
    </row>
    <row r="395" spans="11:11" x14ac:dyDescent="0.15">
      <c r="K395" s="137"/>
    </row>
    <row r="396" spans="11:11" x14ac:dyDescent="0.15">
      <c r="K396" s="137"/>
    </row>
    <row r="397" spans="11:11" x14ac:dyDescent="0.15">
      <c r="K397" s="137"/>
    </row>
    <row r="398" spans="11:11" x14ac:dyDescent="0.15">
      <c r="K398" s="137"/>
    </row>
    <row r="399" spans="11:11" x14ac:dyDescent="0.15">
      <c r="K399" s="137"/>
    </row>
    <row r="400" spans="11:11" x14ac:dyDescent="0.15">
      <c r="K400" s="137"/>
    </row>
    <row r="401" spans="11:11" x14ac:dyDescent="0.15">
      <c r="K401" s="137"/>
    </row>
    <row r="402" spans="11:11" x14ac:dyDescent="0.15">
      <c r="K402" s="137"/>
    </row>
    <row r="403" spans="11:11" x14ac:dyDescent="0.15">
      <c r="K403" s="137"/>
    </row>
    <row r="404" spans="11:11" x14ac:dyDescent="0.15">
      <c r="K404" s="137"/>
    </row>
    <row r="405" spans="11:11" x14ac:dyDescent="0.15">
      <c r="K405" s="137"/>
    </row>
    <row r="406" spans="11:11" x14ac:dyDescent="0.15">
      <c r="K406" s="137"/>
    </row>
    <row r="407" spans="11:11" x14ac:dyDescent="0.15">
      <c r="K407" s="137"/>
    </row>
    <row r="408" spans="11:11" x14ac:dyDescent="0.15">
      <c r="K408" s="137"/>
    </row>
    <row r="409" spans="11:11" x14ac:dyDescent="0.15">
      <c r="K409" s="137"/>
    </row>
    <row r="410" spans="11:11" x14ac:dyDescent="0.15">
      <c r="K410" s="137"/>
    </row>
    <row r="411" spans="11:11" x14ac:dyDescent="0.15">
      <c r="K411" s="137"/>
    </row>
    <row r="412" spans="11:11" x14ac:dyDescent="0.15">
      <c r="K412" s="137"/>
    </row>
    <row r="413" spans="11:11" x14ac:dyDescent="0.15">
      <c r="K413" s="137"/>
    </row>
    <row r="414" spans="11:11" x14ac:dyDescent="0.15">
      <c r="K414" s="137"/>
    </row>
    <row r="415" spans="11:11" x14ac:dyDescent="0.15">
      <c r="K415" s="137"/>
    </row>
    <row r="416" spans="11:11" x14ac:dyDescent="0.15">
      <c r="K416" s="137"/>
    </row>
    <row r="417" spans="11:11" x14ac:dyDescent="0.15">
      <c r="K417" s="137"/>
    </row>
    <row r="418" spans="11:11" x14ac:dyDescent="0.15">
      <c r="K418" s="137"/>
    </row>
    <row r="419" spans="11:11" x14ac:dyDescent="0.15">
      <c r="K419" s="137"/>
    </row>
    <row r="420" spans="11:11" x14ac:dyDescent="0.15">
      <c r="K420" s="137"/>
    </row>
    <row r="421" spans="11:11" x14ac:dyDescent="0.15">
      <c r="K421" s="137"/>
    </row>
    <row r="422" spans="11:11" x14ac:dyDescent="0.15">
      <c r="K422" s="137"/>
    </row>
    <row r="423" spans="11:11" x14ac:dyDescent="0.15">
      <c r="K423" s="137"/>
    </row>
    <row r="424" spans="11:11" x14ac:dyDescent="0.15">
      <c r="K424" s="137"/>
    </row>
    <row r="425" spans="11:11" x14ac:dyDescent="0.15">
      <c r="K425" s="137"/>
    </row>
    <row r="426" spans="11:11" x14ac:dyDescent="0.15">
      <c r="K426" s="137"/>
    </row>
    <row r="427" spans="11:11" x14ac:dyDescent="0.15">
      <c r="K427" s="137"/>
    </row>
    <row r="428" spans="11:11" x14ac:dyDescent="0.15">
      <c r="K428" s="137"/>
    </row>
    <row r="429" spans="11:11" x14ac:dyDescent="0.15">
      <c r="K429" s="137"/>
    </row>
    <row r="430" spans="11:11" x14ac:dyDescent="0.15">
      <c r="K430" s="137"/>
    </row>
    <row r="431" spans="11:11" x14ac:dyDescent="0.15">
      <c r="K431" s="137"/>
    </row>
    <row r="432" spans="11:11" x14ac:dyDescent="0.15">
      <c r="K432" s="137"/>
    </row>
    <row r="433" spans="11:11" x14ac:dyDescent="0.15">
      <c r="K433" s="137"/>
    </row>
    <row r="434" spans="11:11" x14ac:dyDescent="0.15">
      <c r="K434" s="137"/>
    </row>
    <row r="435" spans="11:11" x14ac:dyDescent="0.15">
      <c r="K435" s="137"/>
    </row>
    <row r="436" spans="11:11" x14ac:dyDescent="0.15">
      <c r="K436" s="137"/>
    </row>
    <row r="437" spans="11:11" x14ac:dyDescent="0.15">
      <c r="K437" s="137"/>
    </row>
    <row r="438" spans="11:11" x14ac:dyDescent="0.15">
      <c r="K438" s="137"/>
    </row>
    <row r="439" spans="11:11" x14ac:dyDescent="0.15">
      <c r="K439" s="137"/>
    </row>
    <row r="440" spans="11:11" x14ac:dyDescent="0.15">
      <c r="K440" s="137"/>
    </row>
    <row r="441" spans="11:11" x14ac:dyDescent="0.15">
      <c r="K441" s="137"/>
    </row>
    <row r="442" spans="11:11" x14ac:dyDescent="0.15">
      <c r="K442" s="137"/>
    </row>
    <row r="443" spans="11:11" x14ac:dyDescent="0.15">
      <c r="K443" s="137"/>
    </row>
  </sheetData>
  <autoFilter ref="A1:BA1"/>
  <phoneticPr fontId="3"/>
  <dataValidations count="20">
    <dataValidation type="list" allowBlank="1" showInputMessage="1" showErrorMessage="1" sqref="K2:K443">
      <formula1>$AR$2:$AR$26</formula1>
    </dataValidation>
    <dataValidation type="list" allowBlank="1" showInputMessage="1" showErrorMessage="1" sqref="J492:J64242">
      <formula1>$AP$2:$AP$16</formula1>
    </dataValidation>
    <dataValidation type="list" allowBlank="1" showInputMessage="1" showErrorMessage="1" sqref="I492:I64242">
      <formula1>$AN$2:$AN$6</formula1>
    </dataValidation>
    <dataValidation type="list" allowBlank="1" showInputMessage="1" showErrorMessage="1" sqref="Y492:AA64242">
      <formula1>$AV$2:$AV$26</formula1>
    </dataValidation>
    <dataValidation type="list" allowBlank="1" showInputMessage="1" showErrorMessage="1" sqref="K492:K64242">
      <formula1>$AR$2:$AR$28</formula1>
    </dataValidation>
    <dataValidation type="list" allowBlank="1" showInputMessage="1" showErrorMessage="1" sqref="H492:H64242">
      <formula1>$AL$2:$AL$10</formula1>
    </dataValidation>
    <dataValidation type="list" allowBlank="1" showInputMessage="1" showErrorMessage="1" sqref="E492:E64242">
      <formula1>$AG$2:$AG$9</formula1>
    </dataValidation>
    <dataValidation type="list" allowBlank="1" showInputMessage="1" showErrorMessage="1" sqref="F492:F64242">
      <formula1>$AH$2:$AH$8</formula1>
    </dataValidation>
    <dataValidation operator="equal" allowBlank="1" showInputMessage="1" showErrorMessage="1" sqref="B2:B46"/>
    <dataValidation type="list" allowBlank="1" showInputMessage="1" showErrorMessage="1" sqref="J2:J491">
      <formula1>$AP$2:$AP$27</formula1>
    </dataValidation>
    <dataValidation type="list" allowBlank="1" showInputMessage="1" showErrorMessage="1" sqref="G2:G491">
      <formula1>$AJ$2:$AJ$4</formula1>
    </dataValidation>
    <dataValidation type="list" allowBlank="1" showInputMessage="1" showErrorMessage="1" sqref="X2:X491">
      <formula1>$AT$2:$AT$3</formula1>
    </dataValidation>
    <dataValidation type="list" allowBlank="1" showInputMessage="1" showErrorMessage="1" sqref="A2:A491">
      <formula1>$AE$2:$AE$19</formula1>
    </dataValidation>
    <dataValidation type="list" allowBlank="1" showInputMessage="1" showErrorMessage="1" sqref="H2:H491">
      <formula1>$AL$2:$AL$8</formula1>
    </dataValidation>
    <dataValidation type="list" allowBlank="1" showInputMessage="1" showErrorMessage="1" sqref="I2:I491">
      <formula1>$AN$5:$AN$6</formula1>
    </dataValidation>
    <dataValidation type="list" allowBlank="1" showInputMessage="1" showErrorMessage="1" sqref="K444:K491">
      <formula1>$AR$2:$AR$25</formula1>
    </dataValidation>
    <dataValidation type="list" allowBlank="1" showInputMessage="1" showErrorMessage="1" sqref="Y2:AA491">
      <formula1>$AV$2:$AV$21</formula1>
    </dataValidation>
    <dataValidation type="decimal" allowBlank="1" showInputMessage="1" showErrorMessage="1" error="硬度を正しく入力して下さい。" sqref="O2:P491">
      <formula1>0</formula1>
      <formula2>7</formula2>
    </dataValidation>
    <dataValidation type="list" allowBlank="1" showInputMessage="1" showErrorMessage="1" sqref="E2:E491">
      <formula1>$AG$2:$AG$10</formula1>
    </dataValidation>
    <dataValidation type="list" allowBlank="1" showInputMessage="1" showErrorMessage="1" sqref="F2:F491">
      <formula1>$AH$2:$AH$10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3"/>
  <sheetViews>
    <sheetView zoomScale="70" zoomScaleNormal="70" workbookViewId="0">
      <pane ySplit="1" topLeftCell="A77" activePane="bottomLeft" state="frozen"/>
      <selection pane="bottomLeft" activeCell="Q120" sqref="Q120"/>
    </sheetView>
  </sheetViews>
  <sheetFormatPr defaultRowHeight="13.5" x14ac:dyDescent="0.15"/>
  <cols>
    <col min="1" max="3" width="9" style="208"/>
    <col min="4" max="4" width="10.5" style="208" bestFit="1" customWidth="1"/>
    <col min="5" max="5" width="10.875" style="208" bestFit="1" customWidth="1"/>
    <col min="6" max="6" width="18.875" style="208" bestFit="1" customWidth="1"/>
    <col min="7" max="9" width="9" style="208"/>
    <col min="10" max="10" width="9.25" style="208" customWidth="1"/>
    <col min="11" max="16" width="9" style="208"/>
    <col min="17" max="17" width="9" style="217"/>
    <col min="18" max="19" width="9" style="208"/>
    <col min="20" max="20" width="9" style="217"/>
    <col min="21" max="21" width="9" style="208"/>
    <col min="22" max="22" width="14.25" style="217" customWidth="1"/>
    <col min="23" max="23" width="9" style="208"/>
    <col min="24" max="24" width="9.625" style="208" customWidth="1"/>
    <col min="25" max="26" width="9" style="208"/>
    <col min="27" max="27" width="12.125" style="208" customWidth="1"/>
    <col min="28" max="32" width="9" style="208"/>
    <col min="33" max="33" width="15.125" style="208" bestFit="1" customWidth="1"/>
    <col min="34" max="34" width="19.625" style="208" bestFit="1" customWidth="1"/>
    <col min="35" max="16384" width="9" style="208"/>
  </cols>
  <sheetData>
    <row r="1" spans="1:53" ht="45" x14ac:dyDescent="0.15">
      <c r="A1" s="240" t="s">
        <v>0</v>
      </c>
      <c r="B1" s="258" t="s">
        <v>1</v>
      </c>
      <c r="C1" s="258" t="s">
        <v>285</v>
      </c>
      <c r="D1" s="259" t="s">
        <v>3</v>
      </c>
      <c r="E1" s="241" t="s">
        <v>4</v>
      </c>
      <c r="F1" s="241" t="s">
        <v>5</v>
      </c>
      <c r="G1" s="241" t="s">
        <v>6</v>
      </c>
      <c r="H1" s="241" t="s">
        <v>7</v>
      </c>
      <c r="I1" s="241" t="s">
        <v>8</v>
      </c>
      <c r="J1" s="241" t="s">
        <v>9</v>
      </c>
      <c r="K1" s="241" t="s">
        <v>10</v>
      </c>
      <c r="L1" s="259" t="s">
        <v>159</v>
      </c>
      <c r="M1" s="259" t="s">
        <v>12</v>
      </c>
      <c r="N1" s="259" t="s">
        <v>13</v>
      </c>
      <c r="O1" s="259" t="s">
        <v>270</v>
      </c>
      <c r="P1" s="259" t="s">
        <v>15</v>
      </c>
      <c r="Q1" s="204" t="s">
        <v>16</v>
      </c>
      <c r="R1" s="259" t="s">
        <v>354</v>
      </c>
      <c r="S1" s="259" t="s">
        <v>286</v>
      </c>
      <c r="T1" s="204" t="s">
        <v>19</v>
      </c>
      <c r="U1" s="260" t="s">
        <v>329</v>
      </c>
      <c r="V1" s="206" t="s">
        <v>20</v>
      </c>
      <c r="W1" s="259" t="s">
        <v>21</v>
      </c>
      <c r="X1" s="241" t="s">
        <v>22</v>
      </c>
      <c r="Y1" s="241" t="s">
        <v>23</v>
      </c>
      <c r="Z1" s="241" t="s">
        <v>330</v>
      </c>
      <c r="AA1" s="242" t="s">
        <v>25</v>
      </c>
      <c r="AB1" s="261" t="s">
        <v>160</v>
      </c>
      <c r="AE1" s="262" t="s">
        <v>0</v>
      </c>
      <c r="AF1" s="263"/>
      <c r="AG1" s="264" t="s">
        <v>4</v>
      </c>
      <c r="AH1" s="262" t="s">
        <v>5</v>
      </c>
      <c r="AI1" s="263"/>
      <c r="AJ1" s="262" t="s">
        <v>6</v>
      </c>
      <c r="AK1" s="263"/>
      <c r="AL1" s="211" t="s">
        <v>7</v>
      </c>
      <c r="AM1" s="263"/>
      <c r="AN1" s="211" t="s">
        <v>8</v>
      </c>
      <c r="AO1" s="263"/>
      <c r="AP1" s="211" t="s">
        <v>27</v>
      </c>
      <c r="AQ1" s="263"/>
      <c r="AR1" s="211" t="s">
        <v>10</v>
      </c>
      <c r="AS1" s="263"/>
      <c r="AT1" s="212" t="s">
        <v>28</v>
      </c>
      <c r="AU1" s="263"/>
      <c r="AV1" s="211" t="s">
        <v>29</v>
      </c>
      <c r="AX1" s="213" t="s">
        <v>161</v>
      </c>
      <c r="AY1" s="214" t="s">
        <v>162</v>
      </c>
      <c r="AZ1" s="214" t="s">
        <v>163</v>
      </c>
      <c r="BA1" s="215" t="s">
        <v>173</v>
      </c>
    </row>
    <row r="2" spans="1:53" x14ac:dyDescent="0.15">
      <c r="A2" s="208" t="s">
        <v>34</v>
      </c>
      <c r="B2" s="208" t="s">
        <v>348</v>
      </c>
      <c r="C2" s="208">
        <v>2018</v>
      </c>
      <c r="D2" s="265" t="s">
        <v>356</v>
      </c>
      <c r="E2" s="208" t="s">
        <v>213</v>
      </c>
      <c r="F2" s="208" t="s">
        <v>340</v>
      </c>
      <c r="G2" s="208" t="s">
        <v>36</v>
      </c>
      <c r="H2" s="208" t="s">
        <v>157</v>
      </c>
      <c r="I2" s="208" t="s">
        <v>155</v>
      </c>
      <c r="J2" s="208" t="s">
        <v>38</v>
      </c>
      <c r="K2" s="208" t="s">
        <v>156</v>
      </c>
      <c r="L2" s="208">
        <v>1</v>
      </c>
      <c r="N2" s="208">
        <v>1</v>
      </c>
      <c r="O2" s="208">
        <v>0.2</v>
      </c>
      <c r="P2" s="208">
        <v>0.2</v>
      </c>
      <c r="Q2" s="245">
        <f t="shared" ref="Q2:Q82" si="0">IF(OR(O2="",P2=""),"",AVERAGE(O2,P2))</f>
        <v>0.2</v>
      </c>
      <c r="R2" s="208">
        <v>14.3</v>
      </c>
      <c r="S2" s="208">
        <v>133</v>
      </c>
      <c r="T2" s="217">
        <f t="shared" ref="T2:T82" si="1">IF(H2="","",IF(OR(H2="GREEN",H2="GK"),IF(S2&gt;=$AX$2,VLOOKUP(S2,$AX$2:$AY$9,2,1),""),IF(S2&gt;=$AZ$2,VLOOKUP(S2,$AZ$2:$BA$9,2,1),"")))</f>
        <v>30</v>
      </c>
      <c r="U2" s="208">
        <v>105</v>
      </c>
      <c r="V2" s="217">
        <f t="shared" ref="V2:V83" si="2">IF(OR(N2="",U2="",T2=""),"",U2/N2*T2)</f>
        <v>3150</v>
      </c>
      <c r="W2" s="208">
        <v>3</v>
      </c>
      <c r="X2" s="208" t="s">
        <v>46</v>
      </c>
      <c r="Y2" s="208" t="s">
        <v>88</v>
      </c>
      <c r="Z2" s="208" t="s">
        <v>86</v>
      </c>
      <c r="AA2" s="208" t="s">
        <v>55</v>
      </c>
      <c r="AB2" s="208" t="s">
        <v>350</v>
      </c>
      <c r="AE2" s="266" t="s">
        <v>35</v>
      </c>
      <c r="AG2" s="267" t="s">
        <v>295</v>
      </c>
      <c r="AH2" s="248" t="s">
        <v>331</v>
      </c>
      <c r="AJ2" s="248" t="s">
        <v>36</v>
      </c>
      <c r="AL2" s="248" t="s">
        <v>127</v>
      </c>
      <c r="AN2" s="248" t="s">
        <v>37</v>
      </c>
      <c r="AP2" s="248" t="s">
        <v>38</v>
      </c>
      <c r="AR2" s="248" t="s">
        <v>120</v>
      </c>
      <c r="AT2" s="248" t="s">
        <v>39</v>
      </c>
      <c r="AV2" s="248" t="s">
        <v>40</v>
      </c>
      <c r="AX2" s="157">
        <v>1</v>
      </c>
      <c r="AY2" s="158">
        <v>50</v>
      </c>
      <c r="AZ2" s="158">
        <v>1</v>
      </c>
      <c r="BA2" s="159">
        <v>50</v>
      </c>
    </row>
    <row r="3" spans="1:53" x14ac:dyDescent="0.15">
      <c r="A3" s="208" t="s">
        <v>34</v>
      </c>
      <c r="B3" s="208" t="s">
        <v>348</v>
      </c>
      <c r="C3" s="208">
        <v>2018</v>
      </c>
      <c r="D3" s="265" t="s">
        <v>356</v>
      </c>
      <c r="E3" s="208" t="s">
        <v>213</v>
      </c>
      <c r="F3" s="208" t="s">
        <v>340</v>
      </c>
      <c r="G3" s="208" t="s">
        <v>36</v>
      </c>
      <c r="H3" s="208" t="s">
        <v>157</v>
      </c>
      <c r="I3" s="208" t="s">
        <v>155</v>
      </c>
      <c r="J3" s="208" t="s">
        <v>38</v>
      </c>
      <c r="K3" s="208" t="s">
        <v>156</v>
      </c>
      <c r="L3" s="208">
        <v>2</v>
      </c>
      <c r="N3" s="208">
        <v>1</v>
      </c>
      <c r="O3" s="208">
        <v>0.5</v>
      </c>
      <c r="P3" s="208">
        <v>0.55000000000000004</v>
      </c>
      <c r="Q3" s="245">
        <f t="shared" si="0"/>
        <v>0.52500000000000002</v>
      </c>
      <c r="R3" s="208">
        <v>12.2</v>
      </c>
      <c r="S3" s="208">
        <v>135</v>
      </c>
      <c r="T3" s="217">
        <f t="shared" si="1"/>
        <v>30</v>
      </c>
      <c r="U3" s="208">
        <v>105</v>
      </c>
      <c r="V3" s="217">
        <f t="shared" si="2"/>
        <v>3150</v>
      </c>
      <c r="W3" s="208">
        <v>3</v>
      </c>
      <c r="X3" s="208" t="s">
        <v>46</v>
      </c>
      <c r="Y3" s="208" t="s">
        <v>88</v>
      </c>
      <c r="Z3" s="208" t="s">
        <v>86</v>
      </c>
      <c r="AA3" s="208" t="s">
        <v>55</v>
      </c>
      <c r="AB3" s="208" t="s">
        <v>350</v>
      </c>
      <c r="AE3" s="223" t="s">
        <v>41</v>
      </c>
      <c r="AG3" s="268" t="s">
        <v>332</v>
      </c>
      <c r="AH3" s="248" t="s">
        <v>333</v>
      </c>
      <c r="AJ3" s="224" t="s">
        <v>42</v>
      </c>
      <c r="AL3" s="224" t="s">
        <v>128</v>
      </c>
      <c r="AN3" s="224" t="s">
        <v>43</v>
      </c>
      <c r="AP3" s="224" t="s">
        <v>44</v>
      </c>
      <c r="AR3" s="224" t="s">
        <v>45</v>
      </c>
      <c r="AT3" s="224" t="s">
        <v>46</v>
      </c>
      <c r="AV3" s="224" t="s">
        <v>47</v>
      </c>
      <c r="AX3" s="225">
        <v>72</v>
      </c>
      <c r="AY3" s="226">
        <v>46</v>
      </c>
      <c r="AZ3" s="226">
        <v>71</v>
      </c>
      <c r="BA3" s="227">
        <v>42</v>
      </c>
    </row>
    <row r="4" spans="1:53" x14ac:dyDescent="0.15">
      <c r="A4" s="208" t="s">
        <v>34</v>
      </c>
      <c r="B4" s="208" t="s">
        <v>348</v>
      </c>
      <c r="C4" s="208">
        <v>2018</v>
      </c>
      <c r="D4" s="265" t="s">
        <v>356</v>
      </c>
      <c r="E4" s="208" t="s">
        <v>213</v>
      </c>
      <c r="F4" s="208" t="s">
        <v>340</v>
      </c>
      <c r="G4" s="208" t="s">
        <v>36</v>
      </c>
      <c r="H4" s="208" t="s">
        <v>157</v>
      </c>
      <c r="I4" s="208" t="s">
        <v>155</v>
      </c>
      <c r="J4" s="208" t="s">
        <v>38</v>
      </c>
      <c r="K4" s="208" t="s">
        <v>156</v>
      </c>
      <c r="L4" s="208">
        <v>3</v>
      </c>
      <c r="N4" s="208">
        <v>1</v>
      </c>
      <c r="O4" s="208">
        <v>0.5</v>
      </c>
      <c r="P4" s="208">
        <v>0.55000000000000004</v>
      </c>
      <c r="Q4" s="245">
        <f t="shared" si="0"/>
        <v>0.52500000000000002</v>
      </c>
      <c r="R4" s="208">
        <v>13.8</v>
      </c>
      <c r="S4" s="208">
        <v>133</v>
      </c>
      <c r="T4" s="217">
        <f t="shared" si="1"/>
        <v>30</v>
      </c>
      <c r="U4" s="208">
        <v>105</v>
      </c>
      <c r="V4" s="217">
        <f t="shared" si="2"/>
        <v>3150</v>
      </c>
      <c r="W4" s="208">
        <v>3</v>
      </c>
      <c r="X4" s="208" t="s">
        <v>46</v>
      </c>
      <c r="Y4" s="208" t="s">
        <v>88</v>
      </c>
      <c r="Z4" s="208" t="s">
        <v>86</v>
      </c>
      <c r="AA4" s="208" t="s">
        <v>55</v>
      </c>
      <c r="AB4" s="208" t="s">
        <v>350</v>
      </c>
      <c r="AE4" s="223" t="s">
        <v>34</v>
      </c>
      <c r="AG4" s="268" t="s">
        <v>334</v>
      </c>
      <c r="AH4" s="248" t="s">
        <v>335</v>
      </c>
      <c r="AJ4" s="228" t="s">
        <v>48</v>
      </c>
      <c r="AL4" s="228" t="s">
        <v>129</v>
      </c>
      <c r="AN4" s="229" t="s">
        <v>49</v>
      </c>
      <c r="AP4" s="224" t="s">
        <v>178</v>
      </c>
      <c r="AR4" s="224" t="s">
        <v>179</v>
      </c>
      <c r="AT4" s="229"/>
      <c r="AV4" s="224" t="s">
        <v>50</v>
      </c>
      <c r="AX4" s="225">
        <v>75</v>
      </c>
      <c r="AY4" s="226">
        <v>42</v>
      </c>
      <c r="AZ4" s="226">
        <v>76</v>
      </c>
      <c r="BA4" s="227">
        <v>39</v>
      </c>
    </row>
    <row r="5" spans="1:53" x14ac:dyDescent="0.15">
      <c r="A5" s="208" t="s">
        <v>34</v>
      </c>
      <c r="B5" s="208" t="s">
        <v>348</v>
      </c>
      <c r="C5" s="208">
        <v>2018</v>
      </c>
      <c r="D5" s="265" t="s">
        <v>356</v>
      </c>
      <c r="E5" s="208" t="s">
        <v>213</v>
      </c>
      <c r="F5" s="208" t="s">
        <v>340</v>
      </c>
      <c r="G5" s="208" t="s">
        <v>36</v>
      </c>
      <c r="H5" s="208" t="s">
        <v>157</v>
      </c>
      <c r="I5" s="208" t="s">
        <v>155</v>
      </c>
      <c r="J5" s="208" t="s">
        <v>38</v>
      </c>
      <c r="K5" s="208" t="s">
        <v>156</v>
      </c>
      <c r="L5" s="208">
        <v>1</v>
      </c>
      <c r="N5" s="208">
        <v>5</v>
      </c>
      <c r="O5" s="208">
        <v>0.7</v>
      </c>
      <c r="P5" s="208">
        <v>0.75</v>
      </c>
      <c r="Q5" s="245">
        <f t="shared" si="0"/>
        <v>0.72499999999999998</v>
      </c>
      <c r="R5" s="208">
        <v>15.3</v>
      </c>
      <c r="S5" s="208">
        <v>82</v>
      </c>
      <c r="T5" s="217">
        <f t="shared" si="1"/>
        <v>39</v>
      </c>
      <c r="U5" s="208">
        <v>429</v>
      </c>
      <c r="V5" s="217">
        <f t="shared" si="2"/>
        <v>3346.2</v>
      </c>
      <c r="W5" s="208">
        <v>3</v>
      </c>
      <c r="X5" s="208" t="s">
        <v>46</v>
      </c>
      <c r="Y5" s="208" t="s">
        <v>88</v>
      </c>
      <c r="Z5" s="208" t="s">
        <v>86</v>
      </c>
      <c r="AA5" s="208" t="s">
        <v>55</v>
      </c>
      <c r="AB5" s="208" t="s">
        <v>350</v>
      </c>
      <c r="AE5" s="223" t="s">
        <v>51</v>
      </c>
      <c r="AG5" s="268" t="s">
        <v>336</v>
      </c>
      <c r="AH5" s="248" t="s">
        <v>337</v>
      </c>
      <c r="AJ5" s="229"/>
      <c r="AL5" s="148" t="s">
        <v>166</v>
      </c>
      <c r="AN5" s="148" t="s">
        <v>167</v>
      </c>
      <c r="AP5" s="224" t="s">
        <v>259</v>
      </c>
      <c r="AR5" s="224" t="s">
        <v>54</v>
      </c>
      <c r="AV5" s="224" t="s">
        <v>55</v>
      </c>
      <c r="AX5" s="225">
        <v>84</v>
      </c>
      <c r="AY5" s="226">
        <v>39</v>
      </c>
      <c r="AZ5" s="226">
        <v>84</v>
      </c>
      <c r="BA5" s="227">
        <v>36</v>
      </c>
    </row>
    <row r="6" spans="1:53" x14ac:dyDescent="0.15">
      <c r="A6" s="208" t="s">
        <v>34</v>
      </c>
      <c r="B6" s="208" t="s">
        <v>348</v>
      </c>
      <c r="C6" s="208">
        <v>2018</v>
      </c>
      <c r="D6" s="265" t="s">
        <v>356</v>
      </c>
      <c r="E6" s="208" t="s">
        <v>213</v>
      </c>
      <c r="F6" s="208" t="s">
        <v>340</v>
      </c>
      <c r="G6" s="208" t="s">
        <v>36</v>
      </c>
      <c r="H6" s="208" t="s">
        <v>157</v>
      </c>
      <c r="I6" s="208" t="s">
        <v>155</v>
      </c>
      <c r="J6" s="208" t="s">
        <v>38</v>
      </c>
      <c r="K6" s="208" t="s">
        <v>156</v>
      </c>
      <c r="L6" s="208">
        <v>2</v>
      </c>
      <c r="N6" s="208">
        <v>5</v>
      </c>
      <c r="O6" s="208">
        <v>0.75</v>
      </c>
      <c r="P6" s="208">
        <v>0.85</v>
      </c>
      <c r="Q6" s="245">
        <f t="shared" si="0"/>
        <v>0.8</v>
      </c>
      <c r="R6" s="208">
        <v>14.2</v>
      </c>
      <c r="S6" s="208">
        <v>87</v>
      </c>
      <c r="T6" s="217">
        <f t="shared" si="1"/>
        <v>36</v>
      </c>
      <c r="U6" s="208">
        <v>429</v>
      </c>
      <c r="V6" s="217">
        <f t="shared" si="2"/>
        <v>3088.7999999999997</v>
      </c>
      <c r="W6" s="208">
        <v>3</v>
      </c>
      <c r="X6" s="208" t="s">
        <v>46</v>
      </c>
      <c r="Y6" s="208" t="s">
        <v>88</v>
      </c>
      <c r="Z6" s="208" t="s">
        <v>86</v>
      </c>
      <c r="AA6" s="208" t="s">
        <v>55</v>
      </c>
      <c r="AB6" s="208" t="s">
        <v>350</v>
      </c>
      <c r="AE6" s="223" t="s">
        <v>56</v>
      </c>
      <c r="AG6" s="268" t="s">
        <v>338</v>
      </c>
      <c r="AH6" s="248" t="s">
        <v>339</v>
      </c>
      <c r="AL6" s="148" t="s">
        <v>168</v>
      </c>
      <c r="AN6" s="148" t="s">
        <v>169</v>
      </c>
      <c r="AP6" s="224" t="s">
        <v>53</v>
      </c>
      <c r="AR6" s="224" t="s">
        <v>59</v>
      </c>
      <c r="AV6" s="224" t="s">
        <v>60</v>
      </c>
      <c r="AX6" s="225">
        <v>97</v>
      </c>
      <c r="AY6" s="226">
        <v>36</v>
      </c>
      <c r="AZ6" s="226">
        <v>99</v>
      </c>
      <c r="BA6" s="227">
        <v>33</v>
      </c>
    </row>
    <row r="7" spans="1:53" x14ac:dyDescent="0.15">
      <c r="A7" s="208" t="s">
        <v>34</v>
      </c>
      <c r="B7" s="208" t="s">
        <v>348</v>
      </c>
      <c r="C7" s="208">
        <v>2018</v>
      </c>
      <c r="D7" s="265" t="s">
        <v>356</v>
      </c>
      <c r="E7" s="208" t="s">
        <v>213</v>
      </c>
      <c r="F7" s="208" t="s">
        <v>340</v>
      </c>
      <c r="G7" s="208" t="s">
        <v>36</v>
      </c>
      <c r="H7" s="208" t="s">
        <v>157</v>
      </c>
      <c r="I7" s="208" t="s">
        <v>155</v>
      </c>
      <c r="J7" s="208" t="s">
        <v>38</v>
      </c>
      <c r="K7" s="208" t="s">
        <v>156</v>
      </c>
      <c r="L7" s="208">
        <v>3</v>
      </c>
      <c r="N7" s="208">
        <v>5</v>
      </c>
      <c r="O7" s="208">
        <v>0.75</v>
      </c>
      <c r="P7" s="208">
        <v>0.8</v>
      </c>
      <c r="Q7" s="245">
        <f t="shared" si="0"/>
        <v>0.77500000000000002</v>
      </c>
      <c r="R7" s="208">
        <v>13.8</v>
      </c>
      <c r="S7" s="208">
        <v>84</v>
      </c>
      <c r="T7" s="217">
        <f t="shared" si="1"/>
        <v>36</v>
      </c>
      <c r="U7" s="208">
        <v>429</v>
      </c>
      <c r="V7" s="217">
        <f t="shared" si="2"/>
        <v>3088.7999999999997</v>
      </c>
      <c r="W7" s="208">
        <v>3</v>
      </c>
      <c r="X7" s="208" t="s">
        <v>46</v>
      </c>
      <c r="Y7" s="208" t="s">
        <v>88</v>
      </c>
      <c r="Z7" s="208" t="s">
        <v>86</v>
      </c>
      <c r="AA7" s="208" t="s">
        <v>55</v>
      </c>
      <c r="AB7" s="208" t="s">
        <v>350</v>
      </c>
      <c r="AE7" s="223" t="s">
        <v>61</v>
      </c>
      <c r="AG7" s="268" t="s">
        <v>213</v>
      </c>
      <c r="AH7" s="248" t="s">
        <v>340</v>
      </c>
      <c r="AL7" s="235" t="s">
        <v>184</v>
      </c>
      <c r="AP7" s="224" t="s">
        <v>58</v>
      </c>
      <c r="AR7" s="224" t="s">
        <v>122</v>
      </c>
      <c r="AV7" s="224" t="s">
        <v>64</v>
      </c>
      <c r="AX7" s="225">
        <v>109</v>
      </c>
      <c r="AY7" s="226">
        <v>33</v>
      </c>
      <c r="AZ7" s="226">
        <v>113</v>
      </c>
      <c r="BA7" s="227">
        <v>30</v>
      </c>
    </row>
    <row r="8" spans="1:53" x14ac:dyDescent="0.15">
      <c r="A8" s="208" t="s">
        <v>34</v>
      </c>
      <c r="B8" s="208" t="s">
        <v>348</v>
      </c>
      <c r="C8" s="208">
        <v>2018</v>
      </c>
      <c r="D8" s="265" t="s">
        <v>356</v>
      </c>
      <c r="E8" s="208" t="s">
        <v>213</v>
      </c>
      <c r="F8" s="208" t="s">
        <v>340</v>
      </c>
      <c r="G8" s="208" t="s">
        <v>36</v>
      </c>
      <c r="H8" s="208" t="s">
        <v>219</v>
      </c>
      <c r="I8" s="208" t="s">
        <v>155</v>
      </c>
      <c r="J8" s="208" t="s">
        <v>38</v>
      </c>
      <c r="K8" s="208" t="s">
        <v>156</v>
      </c>
      <c r="L8" s="208">
        <v>1</v>
      </c>
      <c r="N8" s="208">
        <v>8</v>
      </c>
      <c r="O8" s="208">
        <v>0.2</v>
      </c>
      <c r="P8" s="208">
        <v>0.2</v>
      </c>
      <c r="Q8" s="245">
        <f t="shared" si="0"/>
        <v>0.2</v>
      </c>
      <c r="R8" s="208">
        <v>15.3</v>
      </c>
      <c r="S8" s="208">
        <v>87</v>
      </c>
      <c r="T8" s="217">
        <f t="shared" si="1"/>
        <v>36</v>
      </c>
      <c r="U8" s="208">
        <v>537</v>
      </c>
      <c r="V8" s="217">
        <f t="shared" si="2"/>
        <v>2416.5</v>
      </c>
      <c r="W8" s="208">
        <v>1</v>
      </c>
      <c r="X8" s="208" t="s">
        <v>46</v>
      </c>
      <c r="Y8" s="208" t="s">
        <v>88</v>
      </c>
      <c r="Z8" s="208" t="s">
        <v>86</v>
      </c>
      <c r="AA8" s="208" t="s">
        <v>55</v>
      </c>
      <c r="AB8" s="208" t="s">
        <v>350</v>
      </c>
      <c r="AE8" s="223" t="s">
        <v>59</v>
      </c>
      <c r="AG8" s="268" t="s">
        <v>341</v>
      </c>
      <c r="AH8" s="248" t="s">
        <v>342</v>
      </c>
      <c r="AL8" s="235" t="s">
        <v>357</v>
      </c>
      <c r="AP8" s="224" t="s">
        <v>62</v>
      </c>
      <c r="AR8" s="224" t="s">
        <v>81</v>
      </c>
      <c r="AV8" s="224" t="s">
        <v>97</v>
      </c>
      <c r="AX8" s="225">
        <v>151</v>
      </c>
      <c r="AY8" s="226">
        <v>22</v>
      </c>
      <c r="AZ8" s="226">
        <v>152</v>
      </c>
      <c r="BA8" s="227">
        <v>18</v>
      </c>
    </row>
    <row r="9" spans="1:53" x14ac:dyDescent="0.15">
      <c r="A9" s="208" t="s">
        <v>34</v>
      </c>
      <c r="B9" s="208" t="s">
        <v>348</v>
      </c>
      <c r="C9" s="208">
        <v>2018</v>
      </c>
      <c r="D9" s="265" t="s">
        <v>356</v>
      </c>
      <c r="E9" s="208" t="s">
        <v>213</v>
      </c>
      <c r="F9" s="208" t="s">
        <v>340</v>
      </c>
      <c r="G9" s="208" t="s">
        <v>36</v>
      </c>
      <c r="H9" s="208" t="s">
        <v>219</v>
      </c>
      <c r="I9" s="208" t="s">
        <v>155</v>
      </c>
      <c r="J9" s="208" t="s">
        <v>38</v>
      </c>
      <c r="K9" s="208" t="s">
        <v>156</v>
      </c>
      <c r="L9" s="208">
        <v>2</v>
      </c>
      <c r="N9" s="208">
        <v>8</v>
      </c>
      <c r="O9" s="208">
        <v>0.2</v>
      </c>
      <c r="P9" s="208">
        <v>0.2</v>
      </c>
      <c r="Q9" s="245">
        <f t="shared" si="0"/>
        <v>0.2</v>
      </c>
      <c r="R9" s="208">
        <v>15.6</v>
      </c>
      <c r="S9" s="208">
        <v>90</v>
      </c>
      <c r="T9" s="217">
        <f t="shared" si="1"/>
        <v>36</v>
      </c>
      <c r="U9" s="208">
        <v>537</v>
      </c>
      <c r="V9" s="217">
        <f t="shared" si="2"/>
        <v>2416.5</v>
      </c>
      <c r="W9" s="208">
        <v>1</v>
      </c>
      <c r="X9" s="208" t="s">
        <v>46</v>
      </c>
      <c r="Y9" s="208" t="s">
        <v>88</v>
      </c>
      <c r="Z9" s="208" t="s">
        <v>86</v>
      </c>
      <c r="AA9" s="208" t="s">
        <v>55</v>
      </c>
      <c r="AB9" s="208" t="s">
        <v>350</v>
      </c>
      <c r="AE9" s="223" t="s">
        <v>98</v>
      </c>
      <c r="AG9" s="268" t="s">
        <v>298</v>
      </c>
      <c r="AH9" s="248" t="s">
        <v>343</v>
      </c>
      <c r="AL9" s="148"/>
      <c r="AP9" s="224" t="s">
        <v>95</v>
      </c>
      <c r="AR9" s="224" t="s">
        <v>89</v>
      </c>
      <c r="AV9" s="224" t="s">
        <v>102</v>
      </c>
      <c r="AX9" s="232">
        <v>180</v>
      </c>
      <c r="AY9" s="233">
        <v>18</v>
      </c>
      <c r="AZ9" s="233">
        <v>181</v>
      </c>
      <c r="BA9" s="234">
        <v>16</v>
      </c>
    </row>
    <row r="10" spans="1:53" x14ac:dyDescent="0.15">
      <c r="A10" s="208" t="s">
        <v>34</v>
      </c>
      <c r="B10" s="208" t="s">
        <v>348</v>
      </c>
      <c r="C10" s="208">
        <v>2018</v>
      </c>
      <c r="D10" s="265" t="s">
        <v>356</v>
      </c>
      <c r="E10" s="208" t="s">
        <v>213</v>
      </c>
      <c r="F10" s="208" t="s">
        <v>340</v>
      </c>
      <c r="G10" s="208" t="s">
        <v>36</v>
      </c>
      <c r="H10" s="208" t="s">
        <v>219</v>
      </c>
      <c r="I10" s="208" t="s">
        <v>155</v>
      </c>
      <c r="J10" s="208" t="s">
        <v>38</v>
      </c>
      <c r="K10" s="208" t="s">
        <v>156</v>
      </c>
      <c r="L10" s="208">
        <v>3</v>
      </c>
      <c r="N10" s="208">
        <v>8</v>
      </c>
      <c r="O10" s="208">
        <v>0.2</v>
      </c>
      <c r="P10" s="208">
        <v>0.55000000000000004</v>
      </c>
      <c r="Q10" s="245">
        <f t="shared" si="0"/>
        <v>0.375</v>
      </c>
      <c r="R10" s="208">
        <v>16.399999999999999</v>
      </c>
      <c r="S10" s="208">
        <v>77</v>
      </c>
      <c r="T10" s="217">
        <f t="shared" si="1"/>
        <v>39</v>
      </c>
      <c r="U10" s="208">
        <v>537</v>
      </c>
      <c r="V10" s="217">
        <f t="shared" si="2"/>
        <v>2617.875</v>
      </c>
      <c r="W10" s="208">
        <v>1</v>
      </c>
      <c r="X10" s="208" t="s">
        <v>46</v>
      </c>
      <c r="Y10" s="208" t="s">
        <v>88</v>
      </c>
      <c r="Z10" s="208" t="s">
        <v>86</v>
      </c>
      <c r="AA10" s="208" t="s">
        <v>55</v>
      </c>
      <c r="AB10" s="208" t="s">
        <v>350</v>
      </c>
      <c r="AE10" s="223" t="s">
        <v>103</v>
      </c>
      <c r="AG10" s="268" t="s">
        <v>344</v>
      </c>
      <c r="AH10" s="248" t="s">
        <v>345</v>
      </c>
      <c r="AL10" s="235"/>
      <c r="AP10" s="224" t="s">
        <v>100</v>
      </c>
      <c r="AR10" s="224" t="s">
        <v>123</v>
      </c>
      <c r="AV10" s="224" t="s">
        <v>106</v>
      </c>
    </row>
    <row r="11" spans="1:53" x14ac:dyDescent="0.15">
      <c r="A11" s="208" t="s">
        <v>34</v>
      </c>
      <c r="B11" s="208" t="s">
        <v>348</v>
      </c>
      <c r="C11" s="208">
        <v>2018</v>
      </c>
      <c r="D11" s="265" t="s">
        <v>356</v>
      </c>
      <c r="E11" s="208" t="s">
        <v>213</v>
      </c>
      <c r="F11" s="208" t="s">
        <v>340</v>
      </c>
      <c r="G11" s="208" t="s">
        <v>36</v>
      </c>
      <c r="H11" s="208" t="s">
        <v>164</v>
      </c>
      <c r="I11" s="208" t="s">
        <v>155</v>
      </c>
      <c r="J11" s="208" t="s">
        <v>38</v>
      </c>
      <c r="K11" s="208" t="s">
        <v>156</v>
      </c>
      <c r="L11" s="208">
        <v>1</v>
      </c>
      <c r="N11" s="208">
        <v>1</v>
      </c>
      <c r="O11" s="208">
        <v>0.55000000000000004</v>
      </c>
      <c r="P11" s="208">
        <v>0.45</v>
      </c>
      <c r="Q11" s="245">
        <f t="shared" si="0"/>
        <v>0.5</v>
      </c>
      <c r="R11" s="208">
        <v>16.8</v>
      </c>
      <c r="S11" s="208">
        <v>159</v>
      </c>
      <c r="T11" s="217">
        <f t="shared" si="1"/>
        <v>18</v>
      </c>
      <c r="U11" s="208">
        <v>170</v>
      </c>
      <c r="V11" s="217">
        <f t="shared" si="2"/>
        <v>3060</v>
      </c>
      <c r="W11" s="208">
        <v>3</v>
      </c>
      <c r="X11" s="208" t="s">
        <v>46</v>
      </c>
      <c r="Y11" s="208" t="s">
        <v>88</v>
      </c>
      <c r="Z11" s="208" t="s">
        <v>86</v>
      </c>
      <c r="AA11" s="208" t="s">
        <v>55</v>
      </c>
      <c r="AB11" s="208" t="s">
        <v>350</v>
      </c>
      <c r="AE11" s="223" t="s">
        <v>65</v>
      </c>
      <c r="AG11" s="268" t="s">
        <v>172</v>
      </c>
      <c r="AH11" s="248" t="s">
        <v>346</v>
      </c>
      <c r="AL11" s="235"/>
      <c r="AP11" s="224" t="s">
        <v>104</v>
      </c>
      <c r="AR11" s="224" t="s">
        <v>87</v>
      </c>
      <c r="AV11" s="224" t="s">
        <v>69</v>
      </c>
    </row>
    <row r="12" spans="1:53" x14ac:dyDescent="0.15">
      <c r="A12" s="208" t="s">
        <v>34</v>
      </c>
      <c r="B12" s="208" t="s">
        <v>348</v>
      </c>
      <c r="C12" s="208">
        <v>2018</v>
      </c>
      <c r="D12" s="265" t="s">
        <v>356</v>
      </c>
      <c r="E12" s="208" t="s">
        <v>213</v>
      </c>
      <c r="F12" s="208" t="s">
        <v>340</v>
      </c>
      <c r="G12" s="208" t="s">
        <v>36</v>
      </c>
      <c r="H12" s="208" t="s">
        <v>164</v>
      </c>
      <c r="I12" s="208" t="s">
        <v>155</v>
      </c>
      <c r="J12" s="208" t="s">
        <v>38</v>
      </c>
      <c r="K12" s="208" t="s">
        <v>156</v>
      </c>
      <c r="L12" s="208">
        <v>2</v>
      </c>
      <c r="N12" s="208">
        <v>1</v>
      </c>
      <c r="O12" s="208">
        <v>0.55000000000000004</v>
      </c>
      <c r="P12" s="208">
        <v>0.6</v>
      </c>
      <c r="Q12" s="245">
        <f t="shared" si="0"/>
        <v>0.57499999999999996</v>
      </c>
      <c r="R12" s="208">
        <v>16.2</v>
      </c>
      <c r="S12" s="208">
        <v>162</v>
      </c>
      <c r="T12" s="217">
        <f t="shared" si="1"/>
        <v>18</v>
      </c>
      <c r="U12" s="208">
        <v>170</v>
      </c>
      <c r="V12" s="217">
        <f t="shared" si="2"/>
        <v>3060</v>
      </c>
      <c r="W12" s="208">
        <v>3</v>
      </c>
      <c r="X12" s="208" t="s">
        <v>46</v>
      </c>
      <c r="Y12" s="208" t="s">
        <v>88</v>
      </c>
      <c r="Z12" s="208" t="s">
        <v>86</v>
      </c>
      <c r="AA12" s="208" t="s">
        <v>55</v>
      </c>
      <c r="AB12" s="208" t="s">
        <v>350</v>
      </c>
      <c r="AE12" s="223" t="s">
        <v>70</v>
      </c>
      <c r="AG12" s="229"/>
      <c r="AH12" s="224"/>
      <c r="AL12" s="235"/>
      <c r="AP12" s="224" t="s">
        <v>67</v>
      </c>
      <c r="AR12" s="224" t="s">
        <v>124</v>
      </c>
      <c r="AV12" s="224" t="s">
        <v>72</v>
      </c>
    </row>
    <row r="13" spans="1:53" x14ac:dyDescent="0.15">
      <c r="A13" s="208" t="s">
        <v>34</v>
      </c>
      <c r="B13" s="208" t="s">
        <v>348</v>
      </c>
      <c r="C13" s="208">
        <v>2018</v>
      </c>
      <c r="D13" s="265" t="s">
        <v>356</v>
      </c>
      <c r="E13" s="208" t="s">
        <v>213</v>
      </c>
      <c r="F13" s="208" t="s">
        <v>340</v>
      </c>
      <c r="G13" s="208" t="s">
        <v>36</v>
      </c>
      <c r="H13" s="208" t="s">
        <v>164</v>
      </c>
      <c r="I13" s="208" t="s">
        <v>155</v>
      </c>
      <c r="J13" s="208" t="s">
        <v>38</v>
      </c>
      <c r="K13" s="208" t="s">
        <v>156</v>
      </c>
      <c r="L13" s="208">
        <v>3</v>
      </c>
      <c r="N13" s="208">
        <v>1</v>
      </c>
      <c r="O13" s="208">
        <v>0.45</v>
      </c>
      <c r="P13" s="208">
        <v>0.5</v>
      </c>
      <c r="Q13" s="245">
        <f t="shared" si="0"/>
        <v>0.47499999999999998</v>
      </c>
      <c r="R13" s="208">
        <v>16</v>
      </c>
      <c r="S13" s="208">
        <v>176</v>
      </c>
      <c r="T13" s="217">
        <f t="shared" si="1"/>
        <v>18</v>
      </c>
      <c r="U13" s="208">
        <v>170</v>
      </c>
      <c r="V13" s="217">
        <f t="shared" si="2"/>
        <v>3060</v>
      </c>
      <c r="W13" s="208">
        <v>3</v>
      </c>
      <c r="X13" s="208" t="s">
        <v>46</v>
      </c>
      <c r="Y13" s="208" t="s">
        <v>88</v>
      </c>
      <c r="Z13" s="208" t="s">
        <v>86</v>
      </c>
      <c r="AA13" s="208" t="s">
        <v>55</v>
      </c>
      <c r="AB13" s="208" t="s">
        <v>350</v>
      </c>
      <c r="AE13" s="223" t="s">
        <v>73</v>
      </c>
      <c r="AH13" s="229"/>
      <c r="AP13" s="224" t="s">
        <v>71</v>
      </c>
      <c r="AR13" s="224" t="s">
        <v>103</v>
      </c>
      <c r="AV13" s="224" t="s">
        <v>75</v>
      </c>
    </row>
    <row r="14" spans="1:53" x14ac:dyDescent="0.15">
      <c r="A14" s="208" t="s">
        <v>34</v>
      </c>
      <c r="B14" s="208" t="s">
        <v>348</v>
      </c>
      <c r="C14" s="208">
        <v>2018</v>
      </c>
      <c r="D14" s="265" t="s">
        <v>356</v>
      </c>
      <c r="E14" s="208" t="s">
        <v>298</v>
      </c>
      <c r="F14" s="208" t="s">
        <v>343</v>
      </c>
      <c r="G14" s="208" t="s">
        <v>36</v>
      </c>
      <c r="H14" s="208" t="s">
        <v>157</v>
      </c>
      <c r="I14" s="208" t="s">
        <v>155</v>
      </c>
      <c r="J14" s="208" t="s">
        <v>38</v>
      </c>
      <c r="K14" s="208" t="s">
        <v>156</v>
      </c>
      <c r="L14" s="208">
        <v>1</v>
      </c>
      <c r="N14" s="208">
        <v>1</v>
      </c>
      <c r="O14" s="208">
        <v>0.5</v>
      </c>
      <c r="P14" s="208">
        <v>0.6</v>
      </c>
      <c r="Q14" s="245">
        <f t="shared" si="0"/>
        <v>0.55000000000000004</v>
      </c>
      <c r="R14" s="208">
        <v>9.6999999999999993</v>
      </c>
      <c r="S14" s="208">
        <v>118</v>
      </c>
      <c r="T14" s="217">
        <f t="shared" si="1"/>
        <v>30</v>
      </c>
      <c r="U14" s="208">
        <v>128</v>
      </c>
      <c r="V14" s="217">
        <f t="shared" si="2"/>
        <v>3840</v>
      </c>
      <c r="W14" s="208">
        <v>5</v>
      </c>
      <c r="X14" s="208" t="s">
        <v>46</v>
      </c>
      <c r="Y14" s="208" t="s">
        <v>69</v>
      </c>
      <c r="Z14" s="208" t="s">
        <v>55</v>
      </c>
      <c r="AA14" s="208" t="s">
        <v>88</v>
      </c>
      <c r="AB14" s="208" t="s">
        <v>350</v>
      </c>
      <c r="AE14" s="223" t="s">
        <v>76</v>
      </c>
      <c r="AG14" s="250"/>
      <c r="AP14" s="224" t="s">
        <v>74</v>
      </c>
      <c r="AR14" s="224" t="s">
        <v>125</v>
      </c>
      <c r="AV14" s="224" t="s">
        <v>78</v>
      </c>
    </row>
    <row r="15" spans="1:53" x14ac:dyDescent="0.15">
      <c r="A15" s="208" t="s">
        <v>34</v>
      </c>
      <c r="B15" s="208" t="s">
        <v>348</v>
      </c>
      <c r="C15" s="208">
        <v>2018</v>
      </c>
      <c r="D15" s="265" t="s">
        <v>356</v>
      </c>
      <c r="E15" s="208" t="s">
        <v>298</v>
      </c>
      <c r="F15" s="208" t="s">
        <v>343</v>
      </c>
      <c r="G15" s="208" t="s">
        <v>36</v>
      </c>
      <c r="H15" s="208" t="s">
        <v>157</v>
      </c>
      <c r="I15" s="208" t="s">
        <v>155</v>
      </c>
      <c r="J15" s="208" t="s">
        <v>38</v>
      </c>
      <c r="K15" s="208" t="s">
        <v>156</v>
      </c>
      <c r="L15" s="208">
        <v>2</v>
      </c>
      <c r="N15" s="208">
        <v>1</v>
      </c>
      <c r="O15" s="208">
        <v>0.65</v>
      </c>
      <c r="P15" s="208">
        <v>0.65</v>
      </c>
      <c r="Q15" s="245">
        <f t="shared" si="0"/>
        <v>0.65</v>
      </c>
      <c r="R15" s="208">
        <v>14.4</v>
      </c>
      <c r="S15" s="208">
        <v>118</v>
      </c>
      <c r="T15" s="217">
        <f t="shared" si="1"/>
        <v>30</v>
      </c>
      <c r="U15" s="208">
        <v>128</v>
      </c>
      <c r="V15" s="217">
        <f t="shared" si="2"/>
        <v>3840</v>
      </c>
      <c r="W15" s="208">
        <v>5</v>
      </c>
      <c r="X15" s="208" t="s">
        <v>46</v>
      </c>
      <c r="Y15" s="208" t="s">
        <v>69</v>
      </c>
      <c r="Z15" s="208" t="s">
        <v>55</v>
      </c>
      <c r="AA15" s="208" t="s">
        <v>88</v>
      </c>
      <c r="AB15" s="208" t="s">
        <v>350</v>
      </c>
      <c r="AE15" s="223" t="s">
        <v>79</v>
      </c>
      <c r="AP15" s="224" t="s">
        <v>77</v>
      </c>
      <c r="AR15" s="224" t="s">
        <v>94</v>
      </c>
      <c r="AV15" s="224" t="s">
        <v>107</v>
      </c>
    </row>
    <row r="16" spans="1:53" x14ac:dyDescent="0.15">
      <c r="A16" s="208" t="s">
        <v>34</v>
      </c>
      <c r="B16" s="208" t="s">
        <v>348</v>
      </c>
      <c r="C16" s="208">
        <v>2018</v>
      </c>
      <c r="D16" s="265" t="s">
        <v>356</v>
      </c>
      <c r="E16" s="208" t="s">
        <v>298</v>
      </c>
      <c r="F16" s="208" t="s">
        <v>343</v>
      </c>
      <c r="G16" s="208" t="s">
        <v>36</v>
      </c>
      <c r="H16" s="208" t="s">
        <v>157</v>
      </c>
      <c r="I16" s="208" t="s">
        <v>155</v>
      </c>
      <c r="J16" s="208" t="s">
        <v>38</v>
      </c>
      <c r="K16" s="208" t="s">
        <v>156</v>
      </c>
      <c r="L16" s="208">
        <v>3</v>
      </c>
      <c r="N16" s="208">
        <v>1</v>
      </c>
      <c r="O16" s="208">
        <v>0.65</v>
      </c>
      <c r="P16" s="208">
        <v>0.8</v>
      </c>
      <c r="Q16" s="245">
        <f t="shared" si="0"/>
        <v>0.72500000000000009</v>
      </c>
      <c r="R16" s="208">
        <v>14.6</v>
      </c>
      <c r="S16" s="208">
        <v>123</v>
      </c>
      <c r="T16" s="217">
        <f t="shared" si="1"/>
        <v>30</v>
      </c>
      <c r="U16" s="208">
        <v>128</v>
      </c>
      <c r="V16" s="217">
        <f t="shared" si="2"/>
        <v>3840</v>
      </c>
      <c r="W16" s="208">
        <v>5</v>
      </c>
      <c r="X16" s="208" t="s">
        <v>46</v>
      </c>
      <c r="Y16" s="208" t="s">
        <v>69</v>
      </c>
      <c r="Z16" s="208" t="s">
        <v>55</v>
      </c>
      <c r="AA16" s="208" t="s">
        <v>88</v>
      </c>
      <c r="AB16" s="208" t="s">
        <v>350</v>
      </c>
      <c r="AE16" s="223" t="s">
        <v>82</v>
      </c>
      <c r="AP16" s="224" t="s">
        <v>80</v>
      </c>
      <c r="AR16" s="224" t="s">
        <v>63</v>
      </c>
      <c r="AV16" s="224" t="s">
        <v>84</v>
      </c>
    </row>
    <row r="17" spans="1:48" x14ac:dyDescent="0.15">
      <c r="A17" s="208" t="s">
        <v>34</v>
      </c>
      <c r="B17" s="208" t="s">
        <v>348</v>
      </c>
      <c r="C17" s="208">
        <v>2018</v>
      </c>
      <c r="D17" s="265" t="s">
        <v>356</v>
      </c>
      <c r="E17" s="208" t="s">
        <v>298</v>
      </c>
      <c r="F17" s="208" t="s">
        <v>343</v>
      </c>
      <c r="G17" s="208" t="s">
        <v>36</v>
      </c>
      <c r="H17" s="208" t="s">
        <v>157</v>
      </c>
      <c r="I17" s="208" t="s">
        <v>155</v>
      </c>
      <c r="J17" s="208" t="s">
        <v>38</v>
      </c>
      <c r="K17" s="208" t="s">
        <v>156</v>
      </c>
      <c r="L17" s="208">
        <v>1</v>
      </c>
      <c r="N17" s="208">
        <v>4</v>
      </c>
      <c r="O17" s="208">
        <v>0.5</v>
      </c>
      <c r="P17" s="208">
        <v>0.45</v>
      </c>
      <c r="Q17" s="245">
        <f t="shared" si="0"/>
        <v>0.47499999999999998</v>
      </c>
      <c r="R17" s="208">
        <v>11.6</v>
      </c>
      <c r="S17" s="208">
        <v>91</v>
      </c>
      <c r="T17" s="217">
        <f t="shared" si="1"/>
        <v>36</v>
      </c>
      <c r="U17" s="208">
        <v>398</v>
      </c>
      <c r="V17" s="217">
        <f t="shared" si="2"/>
        <v>3582</v>
      </c>
      <c r="W17" s="208">
        <v>5</v>
      </c>
      <c r="X17" s="208" t="s">
        <v>46</v>
      </c>
      <c r="Y17" s="208" t="s">
        <v>69</v>
      </c>
      <c r="Z17" s="208" t="s">
        <v>55</v>
      </c>
      <c r="AA17" s="208" t="s">
        <v>88</v>
      </c>
      <c r="AB17" s="208" t="s">
        <v>350</v>
      </c>
      <c r="AE17" s="223" t="s">
        <v>85</v>
      </c>
      <c r="AP17" s="228" t="s">
        <v>110</v>
      </c>
      <c r="AR17" s="224" t="s">
        <v>96</v>
      </c>
      <c r="AV17" s="224" t="s">
        <v>86</v>
      </c>
    </row>
    <row r="18" spans="1:48" x14ac:dyDescent="0.15">
      <c r="A18" s="208" t="s">
        <v>34</v>
      </c>
      <c r="B18" s="208" t="s">
        <v>348</v>
      </c>
      <c r="C18" s="208">
        <v>2018</v>
      </c>
      <c r="D18" s="265" t="s">
        <v>356</v>
      </c>
      <c r="E18" s="208" t="s">
        <v>298</v>
      </c>
      <c r="F18" s="208" t="s">
        <v>343</v>
      </c>
      <c r="G18" s="208" t="s">
        <v>36</v>
      </c>
      <c r="H18" s="208" t="s">
        <v>157</v>
      </c>
      <c r="I18" s="208" t="s">
        <v>155</v>
      </c>
      <c r="J18" s="208" t="s">
        <v>38</v>
      </c>
      <c r="K18" s="208" t="s">
        <v>156</v>
      </c>
      <c r="L18" s="208">
        <v>2</v>
      </c>
      <c r="N18" s="208">
        <v>4</v>
      </c>
      <c r="O18" s="208">
        <v>0.2</v>
      </c>
      <c r="P18" s="208">
        <v>0.2</v>
      </c>
      <c r="Q18" s="245">
        <f t="shared" si="0"/>
        <v>0.2</v>
      </c>
      <c r="R18" s="208">
        <v>13</v>
      </c>
      <c r="S18" s="208">
        <v>97</v>
      </c>
      <c r="T18" s="217">
        <f t="shared" si="1"/>
        <v>36</v>
      </c>
      <c r="U18" s="208">
        <v>398</v>
      </c>
      <c r="V18" s="217">
        <f t="shared" si="2"/>
        <v>3582</v>
      </c>
      <c r="W18" s="208">
        <v>5</v>
      </c>
      <c r="X18" s="208" t="s">
        <v>46</v>
      </c>
      <c r="Y18" s="208" t="s">
        <v>69</v>
      </c>
      <c r="Z18" s="208" t="s">
        <v>55</v>
      </c>
      <c r="AA18" s="208" t="s">
        <v>88</v>
      </c>
      <c r="AB18" s="208" t="s">
        <v>350</v>
      </c>
      <c r="AE18" s="223" t="s">
        <v>87</v>
      </c>
      <c r="AP18" s="228" t="s">
        <v>111</v>
      </c>
      <c r="AR18" s="224" t="s">
        <v>101</v>
      </c>
      <c r="AV18" s="224" t="s">
        <v>88</v>
      </c>
    </row>
    <row r="19" spans="1:48" x14ac:dyDescent="0.15">
      <c r="A19" s="208" t="s">
        <v>34</v>
      </c>
      <c r="B19" s="208" t="s">
        <v>348</v>
      </c>
      <c r="C19" s="208">
        <v>2018</v>
      </c>
      <c r="D19" s="265" t="s">
        <v>356</v>
      </c>
      <c r="E19" s="208" t="s">
        <v>298</v>
      </c>
      <c r="F19" s="208" t="s">
        <v>343</v>
      </c>
      <c r="G19" s="208" t="s">
        <v>36</v>
      </c>
      <c r="H19" s="208" t="s">
        <v>157</v>
      </c>
      <c r="I19" s="208" t="s">
        <v>155</v>
      </c>
      <c r="J19" s="208" t="s">
        <v>38</v>
      </c>
      <c r="K19" s="208" t="s">
        <v>156</v>
      </c>
      <c r="L19" s="208">
        <v>3</v>
      </c>
      <c r="N19" s="208">
        <v>4</v>
      </c>
      <c r="O19" s="208">
        <v>0.2</v>
      </c>
      <c r="P19" s="208">
        <v>0.2</v>
      </c>
      <c r="Q19" s="245">
        <f t="shared" si="0"/>
        <v>0.2</v>
      </c>
      <c r="R19" s="208">
        <v>14.5</v>
      </c>
      <c r="S19" s="208">
        <v>87</v>
      </c>
      <c r="T19" s="217">
        <f t="shared" si="1"/>
        <v>36</v>
      </c>
      <c r="U19" s="208">
        <v>398</v>
      </c>
      <c r="V19" s="217">
        <f t="shared" si="2"/>
        <v>3582</v>
      </c>
      <c r="W19" s="208">
        <v>5</v>
      </c>
      <c r="X19" s="208" t="s">
        <v>46</v>
      </c>
      <c r="Y19" s="208" t="s">
        <v>69</v>
      </c>
      <c r="Z19" s="208" t="s">
        <v>55</v>
      </c>
      <c r="AA19" s="208" t="s">
        <v>88</v>
      </c>
      <c r="AB19" s="208" t="s">
        <v>350</v>
      </c>
      <c r="AE19" s="236" t="s">
        <v>89</v>
      </c>
      <c r="AP19" s="228" t="s">
        <v>112</v>
      </c>
      <c r="AR19" s="224" t="s">
        <v>126</v>
      </c>
      <c r="AV19" s="224" t="s">
        <v>90</v>
      </c>
    </row>
    <row r="20" spans="1:48" x14ac:dyDescent="0.15">
      <c r="A20" s="208" t="s">
        <v>34</v>
      </c>
      <c r="B20" s="208" t="s">
        <v>348</v>
      </c>
      <c r="C20" s="208">
        <v>2018</v>
      </c>
      <c r="D20" s="265" t="s">
        <v>356</v>
      </c>
      <c r="E20" s="208" t="s">
        <v>298</v>
      </c>
      <c r="F20" s="208" t="s">
        <v>343</v>
      </c>
      <c r="G20" s="208" t="s">
        <v>36</v>
      </c>
      <c r="H20" s="208" t="s">
        <v>164</v>
      </c>
      <c r="I20" s="208" t="s">
        <v>155</v>
      </c>
      <c r="J20" s="208" t="s">
        <v>38</v>
      </c>
      <c r="K20" s="208" t="s">
        <v>156</v>
      </c>
      <c r="L20" s="208">
        <v>1</v>
      </c>
      <c r="N20" s="208">
        <v>1</v>
      </c>
      <c r="O20" s="208">
        <v>0.6</v>
      </c>
      <c r="P20" s="208">
        <v>0.65</v>
      </c>
      <c r="Q20" s="245">
        <f t="shared" si="0"/>
        <v>0.625</v>
      </c>
      <c r="R20" s="208">
        <v>15</v>
      </c>
      <c r="S20" s="208">
        <v>125</v>
      </c>
      <c r="T20" s="217">
        <f t="shared" si="1"/>
        <v>30</v>
      </c>
      <c r="U20" s="208">
        <v>138</v>
      </c>
      <c r="V20" s="217">
        <f t="shared" si="2"/>
        <v>4140</v>
      </c>
      <c r="W20" s="208">
        <v>6</v>
      </c>
      <c r="X20" s="208" t="s">
        <v>46</v>
      </c>
      <c r="Y20" s="208" t="s">
        <v>69</v>
      </c>
      <c r="Z20" s="208" t="s">
        <v>55</v>
      </c>
      <c r="AA20" s="208" t="s">
        <v>88</v>
      </c>
      <c r="AB20" s="208" t="s">
        <v>350</v>
      </c>
      <c r="AP20" s="228" t="s">
        <v>113</v>
      </c>
      <c r="AR20" s="224" t="s">
        <v>105</v>
      </c>
      <c r="AV20" s="228" t="s">
        <v>358</v>
      </c>
    </row>
    <row r="21" spans="1:48" x14ac:dyDescent="0.15">
      <c r="A21" s="208" t="s">
        <v>34</v>
      </c>
      <c r="B21" s="208" t="s">
        <v>348</v>
      </c>
      <c r="C21" s="208">
        <v>2018</v>
      </c>
      <c r="D21" s="265" t="s">
        <v>356</v>
      </c>
      <c r="E21" s="208" t="s">
        <v>298</v>
      </c>
      <c r="F21" s="208" t="s">
        <v>343</v>
      </c>
      <c r="G21" s="208" t="s">
        <v>36</v>
      </c>
      <c r="H21" s="208" t="s">
        <v>164</v>
      </c>
      <c r="I21" s="208" t="s">
        <v>155</v>
      </c>
      <c r="J21" s="208" t="s">
        <v>38</v>
      </c>
      <c r="K21" s="208" t="s">
        <v>156</v>
      </c>
      <c r="L21" s="208">
        <v>2</v>
      </c>
      <c r="N21" s="208">
        <v>1</v>
      </c>
      <c r="O21" s="208">
        <v>0.55000000000000004</v>
      </c>
      <c r="P21" s="208">
        <v>0.5</v>
      </c>
      <c r="Q21" s="245">
        <f t="shared" si="0"/>
        <v>0.52500000000000002</v>
      </c>
      <c r="R21" s="208">
        <v>15.2</v>
      </c>
      <c r="S21" s="208">
        <v>128</v>
      </c>
      <c r="T21" s="217">
        <f t="shared" si="1"/>
        <v>30</v>
      </c>
      <c r="U21" s="208">
        <v>138</v>
      </c>
      <c r="V21" s="217">
        <f t="shared" si="2"/>
        <v>4140</v>
      </c>
      <c r="W21" s="208">
        <v>6</v>
      </c>
      <c r="X21" s="208" t="s">
        <v>46</v>
      </c>
      <c r="Y21" s="208" t="s">
        <v>69</v>
      </c>
      <c r="Z21" s="208" t="s">
        <v>55</v>
      </c>
      <c r="AA21" s="208" t="s">
        <v>88</v>
      </c>
      <c r="AB21" s="208" t="s">
        <v>350</v>
      </c>
      <c r="AP21" s="228" t="s">
        <v>114</v>
      </c>
      <c r="AR21" s="224" t="s">
        <v>68</v>
      </c>
      <c r="AV21" s="228" t="s">
        <v>359</v>
      </c>
    </row>
    <row r="22" spans="1:48" x14ac:dyDescent="0.15">
      <c r="A22" s="208" t="s">
        <v>34</v>
      </c>
      <c r="B22" s="208" t="s">
        <v>348</v>
      </c>
      <c r="C22" s="208">
        <v>2018</v>
      </c>
      <c r="D22" s="265" t="s">
        <v>356</v>
      </c>
      <c r="E22" s="208" t="s">
        <v>298</v>
      </c>
      <c r="F22" s="208" t="s">
        <v>343</v>
      </c>
      <c r="G22" s="208" t="s">
        <v>36</v>
      </c>
      <c r="H22" s="208" t="s">
        <v>164</v>
      </c>
      <c r="I22" s="208" t="s">
        <v>155</v>
      </c>
      <c r="J22" s="208" t="s">
        <v>38</v>
      </c>
      <c r="K22" s="208" t="s">
        <v>156</v>
      </c>
      <c r="L22" s="208">
        <v>3</v>
      </c>
      <c r="N22" s="208">
        <v>1</v>
      </c>
      <c r="O22" s="208">
        <v>0.5</v>
      </c>
      <c r="P22" s="208">
        <v>0.5</v>
      </c>
      <c r="Q22" s="245">
        <f t="shared" si="0"/>
        <v>0.5</v>
      </c>
      <c r="R22" s="208">
        <v>17.2</v>
      </c>
      <c r="S22" s="208">
        <v>131</v>
      </c>
      <c r="T22" s="217">
        <f t="shared" si="1"/>
        <v>30</v>
      </c>
      <c r="U22" s="208">
        <v>138</v>
      </c>
      <c r="V22" s="217">
        <f t="shared" si="2"/>
        <v>4140</v>
      </c>
      <c r="W22" s="208">
        <v>6</v>
      </c>
      <c r="X22" s="208" t="s">
        <v>46</v>
      </c>
      <c r="Y22" s="208" t="s">
        <v>69</v>
      </c>
      <c r="Z22" s="208" t="s">
        <v>55</v>
      </c>
      <c r="AA22" s="208" t="s">
        <v>88</v>
      </c>
      <c r="AB22" s="208" t="s">
        <v>350</v>
      </c>
      <c r="AP22" s="228" t="s">
        <v>115</v>
      </c>
      <c r="AR22" s="224" t="s">
        <v>83</v>
      </c>
      <c r="AV22" s="228"/>
    </row>
    <row r="23" spans="1:48" x14ac:dyDescent="0.15">
      <c r="A23" s="208" t="s">
        <v>34</v>
      </c>
      <c r="B23" s="208" t="s">
        <v>348</v>
      </c>
      <c r="C23" s="208">
        <v>2018</v>
      </c>
      <c r="D23" s="265" t="s">
        <v>356</v>
      </c>
      <c r="E23" s="208" t="s">
        <v>298</v>
      </c>
      <c r="F23" s="208" t="s">
        <v>343</v>
      </c>
      <c r="G23" s="208" t="s">
        <v>36</v>
      </c>
      <c r="H23" s="208" t="s">
        <v>164</v>
      </c>
      <c r="I23" s="208" t="s">
        <v>155</v>
      </c>
      <c r="J23" s="208" t="s">
        <v>38</v>
      </c>
      <c r="K23" s="208" t="s">
        <v>156</v>
      </c>
      <c r="L23" s="208">
        <v>1</v>
      </c>
      <c r="N23" s="208">
        <v>4</v>
      </c>
      <c r="O23" s="208">
        <v>0.2</v>
      </c>
      <c r="P23" s="208">
        <v>0.2</v>
      </c>
      <c r="Q23" s="245">
        <f t="shared" si="0"/>
        <v>0.2</v>
      </c>
      <c r="R23" s="208">
        <v>15.8</v>
      </c>
      <c r="S23" s="208">
        <v>127</v>
      </c>
      <c r="T23" s="217">
        <f t="shared" si="1"/>
        <v>30</v>
      </c>
      <c r="U23" s="208">
        <v>498</v>
      </c>
      <c r="V23" s="217">
        <f t="shared" si="2"/>
        <v>3735</v>
      </c>
      <c r="W23" s="208">
        <v>6</v>
      </c>
      <c r="X23" s="208" t="s">
        <v>46</v>
      </c>
      <c r="Y23" s="208" t="s">
        <v>69</v>
      </c>
      <c r="Z23" s="208" t="s">
        <v>55</v>
      </c>
      <c r="AA23" s="208" t="s">
        <v>88</v>
      </c>
      <c r="AB23" s="208" t="s">
        <v>350</v>
      </c>
      <c r="AP23" s="228" t="s">
        <v>117</v>
      </c>
      <c r="AR23" s="224" t="s">
        <v>299</v>
      </c>
    </row>
    <row r="24" spans="1:48" x14ac:dyDescent="0.15">
      <c r="A24" s="208" t="s">
        <v>34</v>
      </c>
      <c r="B24" s="208" t="s">
        <v>348</v>
      </c>
      <c r="C24" s="208">
        <v>2018</v>
      </c>
      <c r="D24" s="265" t="s">
        <v>356</v>
      </c>
      <c r="E24" s="208" t="s">
        <v>298</v>
      </c>
      <c r="F24" s="208" t="s">
        <v>343</v>
      </c>
      <c r="G24" s="208" t="s">
        <v>36</v>
      </c>
      <c r="H24" s="208" t="s">
        <v>164</v>
      </c>
      <c r="I24" s="208" t="s">
        <v>155</v>
      </c>
      <c r="J24" s="208" t="s">
        <v>38</v>
      </c>
      <c r="K24" s="208" t="s">
        <v>156</v>
      </c>
      <c r="L24" s="208">
        <v>2</v>
      </c>
      <c r="N24" s="208">
        <v>4</v>
      </c>
      <c r="O24" s="208">
        <v>0.2</v>
      </c>
      <c r="P24" s="208">
        <v>0.2</v>
      </c>
      <c r="Q24" s="245">
        <f t="shared" si="0"/>
        <v>0.2</v>
      </c>
      <c r="R24" s="208">
        <v>14.9</v>
      </c>
      <c r="S24" s="208">
        <v>128</v>
      </c>
      <c r="T24" s="217">
        <f t="shared" si="1"/>
        <v>30</v>
      </c>
      <c r="U24" s="208">
        <v>498</v>
      </c>
      <c r="V24" s="217">
        <f t="shared" si="2"/>
        <v>3735</v>
      </c>
      <c r="W24" s="208">
        <v>6</v>
      </c>
      <c r="X24" s="208" t="s">
        <v>46</v>
      </c>
      <c r="Y24" s="208" t="s">
        <v>69</v>
      </c>
      <c r="Z24" s="208" t="s">
        <v>55</v>
      </c>
      <c r="AA24" s="208" t="s">
        <v>88</v>
      </c>
      <c r="AB24" s="208" t="s">
        <v>350</v>
      </c>
      <c r="AP24" s="228" t="s">
        <v>118</v>
      </c>
    </row>
    <row r="25" spans="1:48" x14ac:dyDescent="0.15">
      <c r="A25" s="208" t="s">
        <v>34</v>
      </c>
      <c r="B25" s="208" t="s">
        <v>348</v>
      </c>
      <c r="C25" s="208">
        <v>2018</v>
      </c>
      <c r="D25" s="265" t="s">
        <v>356</v>
      </c>
      <c r="E25" s="208" t="s">
        <v>298</v>
      </c>
      <c r="F25" s="208" t="s">
        <v>343</v>
      </c>
      <c r="G25" s="208" t="s">
        <v>36</v>
      </c>
      <c r="H25" s="208" t="s">
        <v>164</v>
      </c>
      <c r="I25" s="208" t="s">
        <v>155</v>
      </c>
      <c r="J25" s="208" t="s">
        <v>38</v>
      </c>
      <c r="K25" s="208" t="s">
        <v>156</v>
      </c>
      <c r="L25" s="208">
        <v>3</v>
      </c>
      <c r="N25" s="208">
        <v>4</v>
      </c>
      <c r="O25" s="208">
        <v>0.2</v>
      </c>
      <c r="P25" s="208">
        <v>0.2</v>
      </c>
      <c r="Q25" s="245">
        <f t="shared" si="0"/>
        <v>0.2</v>
      </c>
      <c r="R25" s="208">
        <v>16.5</v>
      </c>
      <c r="S25" s="208">
        <v>129</v>
      </c>
      <c r="T25" s="217">
        <f t="shared" si="1"/>
        <v>30</v>
      </c>
      <c r="U25" s="208">
        <v>498</v>
      </c>
      <c r="V25" s="217">
        <f t="shared" si="2"/>
        <v>3735</v>
      </c>
      <c r="W25" s="208">
        <v>6</v>
      </c>
      <c r="X25" s="208" t="s">
        <v>46</v>
      </c>
      <c r="Y25" s="208" t="s">
        <v>69</v>
      </c>
      <c r="Z25" s="208" t="s">
        <v>55</v>
      </c>
      <c r="AA25" s="208" t="s">
        <v>88</v>
      </c>
      <c r="AB25" s="208" t="s">
        <v>350</v>
      </c>
    </row>
    <row r="26" spans="1:48" x14ac:dyDescent="0.15">
      <c r="A26" s="208" t="s">
        <v>34</v>
      </c>
      <c r="B26" s="208" t="s">
        <v>348</v>
      </c>
      <c r="C26" s="208">
        <v>2018</v>
      </c>
      <c r="D26" s="265" t="s">
        <v>356</v>
      </c>
      <c r="E26" s="208" t="s">
        <v>344</v>
      </c>
      <c r="F26" s="208" t="s">
        <v>345</v>
      </c>
      <c r="G26" s="208" t="s">
        <v>36</v>
      </c>
      <c r="H26" s="208" t="s">
        <v>157</v>
      </c>
      <c r="I26" s="208" t="s">
        <v>155</v>
      </c>
      <c r="J26" s="208" t="s">
        <v>38</v>
      </c>
      <c r="K26" s="208" t="s">
        <v>156</v>
      </c>
      <c r="L26" s="208">
        <v>1</v>
      </c>
      <c r="N26" s="208">
        <v>1</v>
      </c>
      <c r="O26" s="208">
        <v>0.7</v>
      </c>
      <c r="P26" s="208">
        <v>0.65</v>
      </c>
      <c r="Q26" s="245">
        <f t="shared" si="0"/>
        <v>0.67500000000000004</v>
      </c>
      <c r="R26" s="208">
        <v>13.9</v>
      </c>
      <c r="S26" s="208">
        <v>150</v>
      </c>
      <c r="T26" s="217">
        <f t="shared" si="1"/>
        <v>30</v>
      </c>
      <c r="U26" s="208">
        <v>136</v>
      </c>
      <c r="V26" s="217">
        <f t="shared" si="2"/>
        <v>4080</v>
      </c>
      <c r="W26" s="208">
        <v>2</v>
      </c>
      <c r="X26" s="208" t="s">
        <v>46</v>
      </c>
      <c r="Y26" s="208" t="s">
        <v>69</v>
      </c>
      <c r="Z26" s="208" t="s">
        <v>90</v>
      </c>
      <c r="AA26" s="208" t="s">
        <v>47</v>
      </c>
      <c r="AB26" s="208" t="s">
        <v>350</v>
      </c>
    </row>
    <row r="27" spans="1:48" x14ac:dyDescent="0.15">
      <c r="A27" s="208" t="s">
        <v>34</v>
      </c>
      <c r="B27" s="208" t="s">
        <v>348</v>
      </c>
      <c r="C27" s="208">
        <v>2018</v>
      </c>
      <c r="D27" s="265" t="s">
        <v>356</v>
      </c>
      <c r="E27" s="208" t="s">
        <v>344</v>
      </c>
      <c r="F27" s="208" t="s">
        <v>345</v>
      </c>
      <c r="G27" s="208" t="s">
        <v>36</v>
      </c>
      <c r="H27" s="208" t="s">
        <v>157</v>
      </c>
      <c r="I27" s="208" t="s">
        <v>155</v>
      </c>
      <c r="J27" s="208" t="s">
        <v>38</v>
      </c>
      <c r="K27" s="208" t="s">
        <v>156</v>
      </c>
      <c r="L27" s="208">
        <v>2</v>
      </c>
      <c r="N27" s="208">
        <v>1</v>
      </c>
      <c r="O27" s="208">
        <v>0.65</v>
      </c>
      <c r="P27" s="208">
        <v>0.55000000000000004</v>
      </c>
      <c r="Q27" s="245">
        <f t="shared" si="0"/>
        <v>0.60000000000000009</v>
      </c>
      <c r="R27" s="208">
        <v>14</v>
      </c>
      <c r="S27" s="208">
        <v>158</v>
      </c>
      <c r="T27" s="217">
        <f t="shared" si="1"/>
        <v>18</v>
      </c>
      <c r="U27" s="208">
        <v>136</v>
      </c>
      <c r="V27" s="217">
        <f t="shared" si="2"/>
        <v>2448</v>
      </c>
      <c r="W27" s="208">
        <v>2</v>
      </c>
      <c r="X27" s="208" t="s">
        <v>46</v>
      </c>
      <c r="Y27" s="208" t="s">
        <v>69</v>
      </c>
      <c r="Z27" s="208" t="s">
        <v>90</v>
      </c>
      <c r="AA27" s="208" t="s">
        <v>47</v>
      </c>
      <c r="AB27" s="208" t="s">
        <v>350</v>
      </c>
    </row>
    <row r="28" spans="1:48" x14ac:dyDescent="0.15">
      <c r="A28" s="208" t="s">
        <v>34</v>
      </c>
      <c r="B28" s="208" t="s">
        <v>348</v>
      </c>
      <c r="C28" s="208">
        <v>2018</v>
      </c>
      <c r="D28" s="265" t="s">
        <v>356</v>
      </c>
      <c r="E28" s="208" t="s">
        <v>344</v>
      </c>
      <c r="F28" s="208" t="s">
        <v>345</v>
      </c>
      <c r="G28" s="208" t="s">
        <v>36</v>
      </c>
      <c r="H28" s="208" t="s">
        <v>157</v>
      </c>
      <c r="I28" s="208" t="s">
        <v>155</v>
      </c>
      <c r="J28" s="208" t="s">
        <v>38</v>
      </c>
      <c r="K28" s="208" t="s">
        <v>156</v>
      </c>
      <c r="L28" s="208">
        <v>3</v>
      </c>
      <c r="N28" s="208">
        <v>1</v>
      </c>
      <c r="O28" s="208">
        <v>0.45</v>
      </c>
      <c r="P28" s="208">
        <v>0.55000000000000004</v>
      </c>
      <c r="Q28" s="245">
        <f t="shared" si="0"/>
        <v>0.5</v>
      </c>
      <c r="R28" s="208">
        <v>14.5</v>
      </c>
      <c r="S28" s="208">
        <v>150</v>
      </c>
      <c r="T28" s="217">
        <f t="shared" si="1"/>
        <v>30</v>
      </c>
      <c r="U28" s="208">
        <v>136</v>
      </c>
      <c r="V28" s="217">
        <f t="shared" si="2"/>
        <v>4080</v>
      </c>
      <c r="W28" s="208">
        <v>2</v>
      </c>
      <c r="X28" s="208" t="s">
        <v>46</v>
      </c>
      <c r="Y28" s="208" t="s">
        <v>69</v>
      </c>
      <c r="Z28" s="208" t="s">
        <v>90</v>
      </c>
      <c r="AA28" s="208" t="s">
        <v>47</v>
      </c>
      <c r="AB28" s="208" t="s">
        <v>350</v>
      </c>
    </row>
    <row r="29" spans="1:48" x14ac:dyDescent="0.15">
      <c r="A29" s="208" t="s">
        <v>34</v>
      </c>
      <c r="B29" s="208" t="s">
        <v>348</v>
      </c>
      <c r="C29" s="208">
        <v>2018</v>
      </c>
      <c r="D29" s="265" t="s">
        <v>356</v>
      </c>
      <c r="E29" s="208" t="s">
        <v>344</v>
      </c>
      <c r="F29" s="208" t="s">
        <v>345</v>
      </c>
      <c r="G29" s="208" t="s">
        <v>36</v>
      </c>
      <c r="H29" s="208" t="s">
        <v>157</v>
      </c>
      <c r="I29" s="208" t="s">
        <v>155</v>
      </c>
      <c r="J29" s="208" t="s">
        <v>38</v>
      </c>
      <c r="K29" s="208" t="s">
        <v>156</v>
      </c>
      <c r="L29" s="208">
        <v>1</v>
      </c>
      <c r="N29" s="208">
        <v>5</v>
      </c>
      <c r="O29" s="208">
        <v>0.2</v>
      </c>
      <c r="P29" s="208">
        <v>0.2</v>
      </c>
      <c r="Q29" s="245">
        <f t="shared" si="0"/>
        <v>0.2</v>
      </c>
      <c r="R29" s="208">
        <v>13.2</v>
      </c>
      <c r="S29" s="208">
        <v>80</v>
      </c>
      <c r="T29" s="217">
        <f t="shared" si="1"/>
        <v>39</v>
      </c>
      <c r="U29" s="208">
        <v>373</v>
      </c>
      <c r="V29" s="217">
        <f t="shared" si="2"/>
        <v>2909.3999999999996</v>
      </c>
      <c r="W29" s="208">
        <v>2</v>
      </c>
      <c r="X29" s="208" t="s">
        <v>46</v>
      </c>
      <c r="Y29" s="208" t="s">
        <v>69</v>
      </c>
      <c r="Z29" s="208" t="s">
        <v>90</v>
      </c>
      <c r="AA29" s="208" t="s">
        <v>47</v>
      </c>
      <c r="AB29" s="208" t="s">
        <v>350</v>
      </c>
    </row>
    <row r="30" spans="1:48" x14ac:dyDescent="0.15">
      <c r="A30" s="208" t="s">
        <v>34</v>
      </c>
      <c r="B30" s="208" t="s">
        <v>348</v>
      </c>
      <c r="C30" s="208">
        <v>2018</v>
      </c>
      <c r="D30" s="265" t="s">
        <v>356</v>
      </c>
      <c r="E30" s="208" t="s">
        <v>344</v>
      </c>
      <c r="F30" s="208" t="s">
        <v>345</v>
      </c>
      <c r="G30" s="208" t="s">
        <v>36</v>
      </c>
      <c r="H30" s="208" t="s">
        <v>157</v>
      </c>
      <c r="I30" s="208" t="s">
        <v>155</v>
      </c>
      <c r="J30" s="208" t="s">
        <v>38</v>
      </c>
      <c r="K30" s="208" t="s">
        <v>156</v>
      </c>
      <c r="L30" s="208">
        <v>2</v>
      </c>
      <c r="N30" s="208">
        <v>5</v>
      </c>
      <c r="O30" s="208">
        <v>0.2</v>
      </c>
      <c r="P30" s="208">
        <v>0.2</v>
      </c>
      <c r="Q30" s="245">
        <f t="shared" si="0"/>
        <v>0.2</v>
      </c>
      <c r="R30" s="208">
        <v>10.8</v>
      </c>
      <c r="S30" s="208">
        <v>81</v>
      </c>
      <c r="T30" s="217">
        <f t="shared" si="1"/>
        <v>39</v>
      </c>
      <c r="U30" s="208">
        <v>373</v>
      </c>
      <c r="V30" s="217">
        <f t="shared" si="2"/>
        <v>2909.3999999999996</v>
      </c>
      <c r="W30" s="208">
        <v>2</v>
      </c>
      <c r="X30" s="208" t="s">
        <v>46</v>
      </c>
      <c r="Y30" s="208" t="s">
        <v>69</v>
      </c>
      <c r="Z30" s="208" t="s">
        <v>90</v>
      </c>
      <c r="AA30" s="208" t="s">
        <v>47</v>
      </c>
      <c r="AB30" s="208" t="s">
        <v>350</v>
      </c>
    </row>
    <row r="31" spans="1:48" x14ac:dyDescent="0.15">
      <c r="A31" s="208" t="s">
        <v>34</v>
      </c>
      <c r="B31" s="208" t="s">
        <v>348</v>
      </c>
      <c r="C31" s="208">
        <v>2018</v>
      </c>
      <c r="D31" s="265" t="s">
        <v>356</v>
      </c>
      <c r="E31" s="208" t="s">
        <v>344</v>
      </c>
      <c r="F31" s="208" t="s">
        <v>345</v>
      </c>
      <c r="G31" s="208" t="s">
        <v>36</v>
      </c>
      <c r="H31" s="208" t="s">
        <v>157</v>
      </c>
      <c r="I31" s="208" t="s">
        <v>155</v>
      </c>
      <c r="J31" s="208" t="s">
        <v>38</v>
      </c>
      <c r="K31" s="208" t="s">
        <v>156</v>
      </c>
      <c r="L31" s="208">
        <v>3</v>
      </c>
      <c r="N31" s="208">
        <v>5</v>
      </c>
      <c r="O31" s="208">
        <v>0.2</v>
      </c>
      <c r="P31" s="208">
        <v>0.2</v>
      </c>
      <c r="Q31" s="245">
        <f t="shared" si="0"/>
        <v>0.2</v>
      </c>
      <c r="R31" s="208">
        <v>10.1</v>
      </c>
      <c r="S31" s="208">
        <v>74</v>
      </c>
      <c r="T31" s="217">
        <f t="shared" si="1"/>
        <v>42</v>
      </c>
      <c r="U31" s="208">
        <v>373</v>
      </c>
      <c r="V31" s="217">
        <f t="shared" si="2"/>
        <v>3133.2</v>
      </c>
      <c r="W31" s="208">
        <v>2</v>
      </c>
      <c r="X31" s="208" t="s">
        <v>46</v>
      </c>
      <c r="Y31" s="208" t="s">
        <v>69</v>
      </c>
      <c r="Z31" s="208" t="s">
        <v>90</v>
      </c>
      <c r="AA31" s="208" t="s">
        <v>47</v>
      </c>
      <c r="AB31" s="208" t="s">
        <v>350</v>
      </c>
    </row>
    <row r="32" spans="1:48" x14ac:dyDescent="0.15">
      <c r="A32" s="208" t="s">
        <v>34</v>
      </c>
      <c r="B32" s="208" t="s">
        <v>348</v>
      </c>
      <c r="C32" s="208">
        <v>2018</v>
      </c>
      <c r="D32" s="265" t="s">
        <v>356</v>
      </c>
      <c r="E32" s="208" t="s">
        <v>344</v>
      </c>
      <c r="F32" s="208" t="s">
        <v>345</v>
      </c>
      <c r="G32" s="208" t="s">
        <v>36</v>
      </c>
      <c r="H32" s="208" t="s">
        <v>164</v>
      </c>
      <c r="I32" s="208" t="s">
        <v>155</v>
      </c>
      <c r="J32" s="208" t="s">
        <v>38</v>
      </c>
      <c r="K32" s="208" t="s">
        <v>156</v>
      </c>
      <c r="L32" s="208">
        <v>1</v>
      </c>
      <c r="N32" s="208">
        <v>1</v>
      </c>
      <c r="O32" s="208">
        <v>0.5</v>
      </c>
      <c r="P32" s="208">
        <v>0.5</v>
      </c>
      <c r="Q32" s="245">
        <f t="shared" si="0"/>
        <v>0.5</v>
      </c>
      <c r="R32" s="208">
        <v>14.7</v>
      </c>
      <c r="S32" s="208">
        <v>151</v>
      </c>
      <c r="T32" s="217">
        <f t="shared" si="1"/>
        <v>30</v>
      </c>
      <c r="U32" s="208">
        <v>136</v>
      </c>
      <c r="V32" s="217">
        <f t="shared" si="2"/>
        <v>4080</v>
      </c>
      <c r="W32" s="208">
        <v>1</v>
      </c>
      <c r="X32" s="208" t="s">
        <v>46</v>
      </c>
      <c r="Y32" s="208" t="s">
        <v>69</v>
      </c>
      <c r="Z32" s="208" t="s">
        <v>90</v>
      </c>
      <c r="AA32" s="208" t="s">
        <v>47</v>
      </c>
      <c r="AB32" s="208" t="s">
        <v>350</v>
      </c>
    </row>
    <row r="33" spans="1:28" x14ac:dyDescent="0.15">
      <c r="A33" s="208" t="s">
        <v>34</v>
      </c>
      <c r="B33" s="208" t="s">
        <v>348</v>
      </c>
      <c r="C33" s="208">
        <v>2018</v>
      </c>
      <c r="D33" s="265" t="s">
        <v>356</v>
      </c>
      <c r="E33" s="208" t="s">
        <v>344</v>
      </c>
      <c r="F33" s="208" t="s">
        <v>345</v>
      </c>
      <c r="G33" s="208" t="s">
        <v>36</v>
      </c>
      <c r="H33" s="208" t="s">
        <v>164</v>
      </c>
      <c r="I33" s="208" t="s">
        <v>155</v>
      </c>
      <c r="J33" s="208" t="s">
        <v>38</v>
      </c>
      <c r="K33" s="208" t="s">
        <v>156</v>
      </c>
      <c r="L33" s="208">
        <v>2</v>
      </c>
      <c r="N33" s="208">
        <v>1</v>
      </c>
      <c r="O33" s="208">
        <v>0.55000000000000004</v>
      </c>
      <c r="P33" s="208">
        <v>0.65</v>
      </c>
      <c r="Q33" s="245">
        <f t="shared" si="0"/>
        <v>0.60000000000000009</v>
      </c>
      <c r="R33" s="208">
        <v>14.9</v>
      </c>
      <c r="S33" s="208">
        <v>161</v>
      </c>
      <c r="T33" s="217">
        <f t="shared" si="1"/>
        <v>18</v>
      </c>
      <c r="U33" s="208">
        <v>136</v>
      </c>
      <c r="V33" s="217">
        <f t="shared" si="2"/>
        <v>2448</v>
      </c>
      <c r="W33" s="208">
        <v>1</v>
      </c>
      <c r="X33" s="208" t="s">
        <v>46</v>
      </c>
      <c r="Y33" s="208" t="s">
        <v>69</v>
      </c>
      <c r="Z33" s="208" t="s">
        <v>90</v>
      </c>
      <c r="AA33" s="208" t="s">
        <v>47</v>
      </c>
      <c r="AB33" s="208" t="s">
        <v>350</v>
      </c>
    </row>
    <row r="34" spans="1:28" x14ac:dyDescent="0.15">
      <c r="A34" s="208" t="s">
        <v>34</v>
      </c>
      <c r="B34" s="208" t="s">
        <v>348</v>
      </c>
      <c r="C34" s="208">
        <v>2018</v>
      </c>
      <c r="D34" s="265" t="s">
        <v>356</v>
      </c>
      <c r="E34" s="208" t="s">
        <v>344</v>
      </c>
      <c r="F34" s="208" t="s">
        <v>345</v>
      </c>
      <c r="G34" s="208" t="s">
        <v>36</v>
      </c>
      <c r="H34" s="208" t="s">
        <v>164</v>
      </c>
      <c r="I34" s="208" t="s">
        <v>155</v>
      </c>
      <c r="J34" s="208" t="s">
        <v>38</v>
      </c>
      <c r="K34" s="208" t="s">
        <v>156</v>
      </c>
      <c r="L34" s="208">
        <v>3</v>
      </c>
      <c r="N34" s="208">
        <v>1</v>
      </c>
      <c r="O34" s="208">
        <v>0.55000000000000004</v>
      </c>
      <c r="P34" s="208">
        <v>0.2</v>
      </c>
      <c r="Q34" s="245">
        <f>IF(OR(O34="",P34=""),"",AVERAGE(O34,P34))</f>
        <v>0.375</v>
      </c>
      <c r="R34" s="208">
        <v>16</v>
      </c>
      <c r="S34" s="208">
        <v>168</v>
      </c>
      <c r="T34" s="217">
        <f t="shared" si="1"/>
        <v>18</v>
      </c>
      <c r="U34" s="208">
        <v>136</v>
      </c>
      <c r="V34" s="217">
        <f t="shared" si="2"/>
        <v>2448</v>
      </c>
      <c r="W34" s="208">
        <v>1</v>
      </c>
      <c r="X34" s="208" t="s">
        <v>46</v>
      </c>
      <c r="Y34" s="208" t="s">
        <v>69</v>
      </c>
      <c r="Z34" s="208" t="s">
        <v>90</v>
      </c>
      <c r="AA34" s="208" t="s">
        <v>47</v>
      </c>
      <c r="AB34" s="208" t="s">
        <v>350</v>
      </c>
    </row>
    <row r="35" spans="1:28" x14ac:dyDescent="0.15">
      <c r="A35" s="208" t="s">
        <v>34</v>
      </c>
      <c r="B35" s="208" t="s">
        <v>348</v>
      </c>
      <c r="C35" s="208">
        <v>2018</v>
      </c>
      <c r="D35" s="265" t="s">
        <v>356</v>
      </c>
      <c r="E35" s="208" t="s">
        <v>341</v>
      </c>
      <c r="F35" s="208" t="s">
        <v>342</v>
      </c>
      <c r="G35" s="208" t="s">
        <v>36</v>
      </c>
      <c r="H35" s="208" t="s">
        <v>157</v>
      </c>
      <c r="I35" s="208" t="s">
        <v>155</v>
      </c>
      <c r="J35" s="208" t="s">
        <v>38</v>
      </c>
      <c r="K35" s="208" t="s">
        <v>156</v>
      </c>
      <c r="L35" s="208">
        <v>1</v>
      </c>
      <c r="N35" s="208">
        <v>1</v>
      </c>
      <c r="O35" s="208">
        <v>0.7</v>
      </c>
      <c r="P35" s="208">
        <v>0.75</v>
      </c>
      <c r="Q35" s="245">
        <f t="shared" ref="Q35:Q36" si="3">IF(OR(O35="",P35=""),"",AVERAGE(O35,P35))</f>
        <v>0.72499999999999998</v>
      </c>
      <c r="R35" s="208">
        <v>12.3</v>
      </c>
      <c r="S35" s="208">
        <v>126</v>
      </c>
      <c r="T35" s="217">
        <f t="shared" si="1"/>
        <v>30</v>
      </c>
      <c r="U35" s="208">
        <v>105</v>
      </c>
      <c r="V35" s="217">
        <f t="shared" si="2"/>
        <v>3150</v>
      </c>
      <c r="W35" s="208">
        <v>5</v>
      </c>
      <c r="X35" s="208" t="s">
        <v>46</v>
      </c>
      <c r="Y35" s="208" t="s">
        <v>69</v>
      </c>
      <c r="Z35" s="208" t="s">
        <v>55</v>
      </c>
      <c r="AA35" s="208" t="s">
        <v>88</v>
      </c>
      <c r="AB35" s="208" t="s">
        <v>350</v>
      </c>
    </row>
    <row r="36" spans="1:28" x14ac:dyDescent="0.15">
      <c r="A36" s="208" t="s">
        <v>34</v>
      </c>
      <c r="B36" s="208" t="s">
        <v>348</v>
      </c>
      <c r="C36" s="208">
        <v>2018</v>
      </c>
      <c r="D36" s="265" t="s">
        <v>356</v>
      </c>
      <c r="E36" s="208" t="s">
        <v>341</v>
      </c>
      <c r="F36" s="208" t="s">
        <v>342</v>
      </c>
      <c r="G36" s="208" t="s">
        <v>36</v>
      </c>
      <c r="H36" s="208" t="s">
        <v>157</v>
      </c>
      <c r="I36" s="208" t="s">
        <v>155</v>
      </c>
      <c r="J36" s="208" t="s">
        <v>38</v>
      </c>
      <c r="K36" s="208" t="s">
        <v>156</v>
      </c>
      <c r="L36" s="208">
        <v>2</v>
      </c>
      <c r="N36" s="208">
        <v>1</v>
      </c>
      <c r="O36" s="208">
        <v>0.7</v>
      </c>
      <c r="P36" s="208">
        <v>0.85</v>
      </c>
      <c r="Q36" s="245">
        <f t="shared" si="3"/>
        <v>0.77499999999999991</v>
      </c>
      <c r="R36" s="208">
        <v>10</v>
      </c>
      <c r="S36" s="208">
        <v>125</v>
      </c>
      <c r="T36" s="217">
        <f t="shared" si="1"/>
        <v>30</v>
      </c>
      <c r="U36" s="208">
        <v>105</v>
      </c>
      <c r="V36" s="217">
        <f t="shared" si="2"/>
        <v>3150</v>
      </c>
      <c r="W36" s="208">
        <v>5</v>
      </c>
      <c r="X36" s="208" t="s">
        <v>46</v>
      </c>
      <c r="Y36" s="208" t="s">
        <v>69</v>
      </c>
      <c r="Z36" s="208" t="s">
        <v>55</v>
      </c>
      <c r="AA36" s="208" t="s">
        <v>88</v>
      </c>
      <c r="AB36" s="208" t="s">
        <v>350</v>
      </c>
    </row>
    <row r="37" spans="1:28" x14ac:dyDescent="0.15">
      <c r="A37" s="208" t="s">
        <v>34</v>
      </c>
      <c r="B37" s="208" t="s">
        <v>348</v>
      </c>
      <c r="C37" s="208">
        <v>2018</v>
      </c>
      <c r="D37" s="265" t="s">
        <v>356</v>
      </c>
      <c r="E37" s="208" t="s">
        <v>341</v>
      </c>
      <c r="F37" s="208" t="s">
        <v>342</v>
      </c>
      <c r="G37" s="208" t="s">
        <v>36</v>
      </c>
      <c r="H37" s="208" t="s">
        <v>157</v>
      </c>
      <c r="I37" s="208" t="s">
        <v>155</v>
      </c>
      <c r="J37" s="208" t="s">
        <v>38</v>
      </c>
      <c r="K37" s="208" t="s">
        <v>156</v>
      </c>
      <c r="L37" s="208">
        <v>3</v>
      </c>
      <c r="N37" s="208">
        <v>1</v>
      </c>
      <c r="O37" s="208">
        <v>0.6</v>
      </c>
      <c r="P37" s="208">
        <v>0.65</v>
      </c>
      <c r="Q37" s="245">
        <f>IF(OR(O37="",P37=""),"",AVERAGE(O37,P37))</f>
        <v>0.625</v>
      </c>
      <c r="R37" s="208">
        <v>14.2</v>
      </c>
      <c r="S37" s="208">
        <v>131</v>
      </c>
      <c r="T37" s="217">
        <f t="shared" si="1"/>
        <v>30</v>
      </c>
      <c r="U37" s="208">
        <v>105</v>
      </c>
      <c r="V37" s="217">
        <f t="shared" si="2"/>
        <v>3150</v>
      </c>
      <c r="W37" s="208">
        <v>5</v>
      </c>
      <c r="X37" s="208" t="s">
        <v>46</v>
      </c>
      <c r="Y37" s="208" t="s">
        <v>69</v>
      </c>
      <c r="Z37" s="208" t="s">
        <v>55</v>
      </c>
      <c r="AA37" s="208" t="s">
        <v>88</v>
      </c>
      <c r="AB37" s="208" t="s">
        <v>350</v>
      </c>
    </row>
    <row r="38" spans="1:28" x14ac:dyDescent="0.15">
      <c r="A38" s="208" t="s">
        <v>34</v>
      </c>
      <c r="B38" s="208" t="s">
        <v>348</v>
      </c>
      <c r="C38" s="208">
        <v>2018</v>
      </c>
      <c r="D38" s="265" t="s">
        <v>356</v>
      </c>
      <c r="E38" s="208" t="s">
        <v>341</v>
      </c>
      <c r="F38" s="208" t="s">
        <v>342</v>
      </c>
      <c r="G38" s="208" t="s">
        <v>36</v>
      </c>
      <c r="H38" s="208" t="s">
        <v>157</v>
      </c>
      <c r="I38" s="208" t="s">
        <v>155</v>
      </c>
      <c r="J38" s="208" t="s">
        <v>38</v>
      </c>
      <c r="K38" s="208" t="s">
        <v>156</v>
      </c>
      <c r="L38" s="208">
        <v>1</v>
      </c>
      <c r="N38" s="208">
        <v>7</v>
      </c>
      <c r="O38" s="208">
        <v>0.75</v>
      </c>
      <c r="P38" s="208">
        <v>0.7</v>
      </c>
      <c r="Q38" s="245">
        <f t="shared" ref="Q38:Q39" si="4">IF(OR(O38="",P38=""),"",AVERAGE(O38,P38))</f>
        <v>0.72499999999999998</v>
      </c>
      <c r="R38" s="208">
        <v>14</v>
      </c>
      <c r="S38" s="208">
        <v>130</v>
      </c>
      <c r="T38" s="217">
        <f t="shared" si="1"/>
        <v>30</v>
      </c>
      <c r="U38" s="208">
        <v>537</v>
      </c>
      <c r="V38" s="217">
        <f t="shared" si="2"/>
        <v>2301.4285714285711</v>
      </c>
      <c r="W38" s="208">
        <v>5</v>
      </c>
      <c r="X38" s="208" t="s">
        <v>46</v>
      </c>
      <c r="Y38" s="208" t="s">
        <v>69</v>
      </c>
      <c r="Z38" s="208" t="s">
        <v>55</v>
      </c>
      <c r="AA38" s="208" t="s">
        <v>88</v>
      </c>
      <c r="AB38" s="208" t="s">
        <v>350</v>
      </c>
    </row>
    <row r="39" spans="1:28" x14ac:dyDescent="0.15">
      <c r="A39" s="208" t="s">
        <v>34</v>
      </c>
      <c r="B39" s="208" t="s">
        <v>348</v>
      </c>
      <c r="C39" s="208">
        <v>2018</v>
      </c>
      <c r="D39" s="265" t="s">
        <v>356</v>
      </c>
      <c r="E39" s="208" t="s">
        <v>341</v>
      </c>
      <c r="F39" s="208" t="s">
        <v>342</v>
      </c>
      <c r="G39" s="208" t="s">
        <v>36</v>
      </c>
      <c r="H39" s="208" t="s">
        <v>157</v>
      </c>
      <c r="I39" s="208" t="s">
        <v>155</v>
      </c>
      <c r="J39" s="208" t="s">
        <v>38</v>
      </c>
      <c r="K39" s="208" t="s">
        <v>156</v>
      </c>
      <c r="L39" s="208">
        <v>2</v>
      </c>
      <c r="N39" s="208">
        <v>7</v>
      </c>
      <c r="O39" s="208">
        <v>0.75</v>
      </c>
      <c r="P39" s="208">
        <v>0.8</v>
      </c>
      <c r="Q39" s="245">
        <f t="shared" si="4"/>
        <v>0.77500000000000002</v>
      </c>
      <c r="R39" s="208">
        <v>14.4</v>
      </c>
      <c r="S39" s="208">
        <v>130</v>
      </c>
      <c r="T39" s="217">
        <f t="shared" si="1"/>
        <v>30</v>
      </c>
      <c r="U39" s="208">
        <v>537</v>
      </c>
      <c r="V39" s="217">
        <f t="shared" si="2"/>
        <v>2301.4285714285711</v>
      </c>
      <c r="W39" s="208">
        <v>5</v>
      </c>
      <c r="X39" s="208" t="s">
        <v>46</v>
      </c>
      <c r="Y39" s="208" t="s">
        <v>69</v>
      </c>
      <c r="Z39" s="208" t="s">
        <v>55</v>
      </c>
      <c r="AA39" s="208" t="s">
        <v>88</v>
      </c>
      <c r="AB39" s="208" t="s">
        <v>350</v>
      </c>
    </row>
    <row r="40" spans="1:28" x14ac:dyDescent="0.15">
      <c r="A40" s="208" t="s">
        <v>34</v>
      </c>
      <c r="B40" s="208" t="s">
        <v>348</v>
      </c>
      <c r="C40" s="208">
        <v>2018</v>
      </c>
      <c r="D40" s="265" t="s">
        <v>356</v>
      </c>
      <c r="E40" s="208" t="s">
        <v>341</v>
      </c>
      <c r="F40" s="208" t="s">
        <v>342</v>
      </c>
      <c r="G40" s="208" t="s">
        <v>36</v>
      </c>
      <c r="H40" s="208" t="s">
        <v>157</v>
      </c>
      <c r="I40" s="208" t="s">
        <v>155</v>
      </c>
      <c r="J40" s="208" t="s">
        <v>38</v>
      </c>
      <c r="K40" s="208" t="s">
        <v>156</v>
      </c>
      <c r="L40" s="208">
        <v>3</v>
      </c>
      <c r="N40" s="208">
        <v>7</v>
      </c>
      <c r="O40" s="208">
        <v>0.75</v>
      </c>
      <c r="P40" s="208">
        <v>0.75</v>
      </c>
      <c r="Q40" s="245">
        <f>IF(OR(O40="",P40=""),"",AVERAGE(O40,P40))</f>
        <v>0.75</v>
      </c>
      <c r="R40" s="208">
        <v>13.9</v>
      </c>
      <c r="S40" s="208">
        <v>133</v>
      </c>
      <c r="T40" s="217">
        <f t="shared" si="1"/>
        <v>30</v>
      </c>
      <c r="U40" s="208">
        <v>537</v>
      </c>
      <c r="V40" s="217">
        <f t="shared" si="2"/>
        <v>2301.4285714285711</v>
      </c>
      <c r="W40" s="208">
        <v>5</v>
      </c>
      <c r="X40" s="208" t="s">
        <v>46</v>
      </c>
      <c r="Y40" s="208" t="s">
        <v>69</v>
      </c>
      <c r="Z40" s="208" t="s">
        <v>55</v>
      </c>
      <c r="AA40" s="208" t="s">
        <v>88</v>
      </c>
      <c r="AB40" s="208" t="s">
        <v>350</v>
      </c>
    </row>
    <row r="41" spans="1:28" x14ac:dyDescent="0.15">
      <c r="A41" s="208" t="s">
        <v>34</v>
      </c>
      <c r="B41" s="208" t="s">
        <v>348</v>
      </c>
      <c r="C41" s="208">
        <v>2018</v>
      </c>
      <c r="D41" s="265" t="s">
        <v>356</v>
      </c>
      <c r="E41" s="208" t="s">
        <v>341</v>
      </c>
      <c r="F41" s="208" t="s">
        <v>342</v>
      </c>
      <c r="G41" s="208" t="s">
        <v>36</v>
      </c>
      <c r="H41" s="208" t="s">
        <v>164</v>
      </c>
      <c r="I41" s="208" t="s">
        <v>155</v>
      </c>
      <c r="J41" s="208" t="s">
        <v>38</v>
      </c>
      <c r="K41" s="208" t="s">
        <v>156</v>
      </c>
      <c r="L41" s="208">
        <v>1</v>
      </c>
      <c r="N41" s="208">
        <v>1</v>
      </c>
      <c r="O41" s="208">
        <v>0.6</v>
      </c>
      <c r="P41" s="208">
        <v>0.75</v>
      </c>
      <c r="Q41" s="245">
        <f t="shared" si="0"/>
        <v>0.67500000000000004</v>
      </c>
      <c r="R41" s="208">
        <v>16.2</v>
      </c>
      <c r="S41" s="208">
        <v>137</v>
      </c>
      <c r="T41" s="217">
        <f t="shared" si="1"/>
        <v>30</v>
      </c>
      <c r="U41" s="208">
        <v>105</v>
      </c>
      <c r="V41" s="217">
        <f t="shared" si="2"/>
        <v>3150</v>
      </c>
      <c r="W41" s="208">
        <v>10</v>
      </c>
      <c r="X41" s="208" t="s">
        <v>46</v>
      </c>
      <c r="Y41" s="208" t="s">
        <v>69</v>
      </c>
      <c r="Z41" s="208" t="s">
        <v>55</v>
      </c>
      <c r="AA41" s="208" t="s">
        <v>88</v>
      </c>
      <c r="AB41" s="208" t="s">
        <v>350</v>
      </c>
    </row>
    <row r="42" spans="1:28" x14ac:dyDescent="0.15">
      <c r="A42" s="208" t="s">
        <v>34</v>
      </c>
      <c r="B42" s="208" t="s">
        <v>348</v>
      </c>
      <c r="C42" s="208">
        <v>2018</v>
      </c>
      <c r="D42" s="265" t="s">
        <v>356</v>
      </c>
      <c r="E42" s="208" t="s">
        <v>341</v>
      </c>
      <c r="F42" s="208" t="s">
        <v>342</v>
      </c>
      <c r="G42" s="208" t="s">
        <v>36</v>
      </c>
      <c r="H42" s="208" t="s">
        <v>164</v>
      </c>
      <c r="I42" s="208" t="s">
        <v>155</v>
      </c>
      <c r="J42" s="208" t="s">
        <v>38</v>
      </c>
      <c r="K42" s="208" t="s">
        <v>156</v>
      </c>
      <c r="L42" s="208">
        <v>2</v>
      </c>
      <c r="N42" s="208">
        <v>1</v>
      </c>
      <c r="O42" s="208">
        <v>0.6</v>
      </c>
      <c r="P42" s="208">
        <v>0.7</v>
      </c>
      <c r="Q42" s="245">
        <f t="shared" si="0"/>
        <v>0.64999999999999991</v>
      </c>
      <c r="R42" s="208">
        <v>14.4</v>
      </c>
      <c r="S42" s="208">
        <v>139</v>
      </c>
      <c r="T42" s="217">
        <f t="shared" si="1"/>
        <v>30</v>
      </c>
      <c r="U42" s="208">
        <v>105</v>
      </c>
      <c r="V42" s="217">
        <f t="shared" si="2"/>
        <v>3150</v>
      </c>
      <c r="W42" s="208">
        <v>10</v>
      </c>
      <c r="X42" s="208" t="s">
        <v>46</v>
      </c>
      <c r="Y42" s="208" t="s">
        <v>69</v>
      </c>
      <c r="Z42" s="208" t="s">
        <v>55</v>
      </c>
      <c r="AA42" s="208" t="s">
        <v>88</v>
      </c>
      <c r="AB42" s="208" t="s">
        <v>350</v>
      </c>
    </row>
    <row r="43" spans="1:28" x14ac:dyDescent="0.15">
      <c r="A43" s="208" t="s">
        <v>34</v>
      </c>
      <c r="B43" s="208" t="s">
        <v>348</v>
      </c>
      <c r="C43" s="208">
        <v>2018</v>
      </c>
      <c r="D43" s="265" t="s">
        <v>356</v>
      </c>
      <c r="E43" s="208" t="s">
        <v>341</v>
      </c>
      <c r="F43" s="208" t="s">
        <v>342</v>
      </c>
      <c r="G43" s="208" t="s">
        <v>36</v>
      </c>
      <c r="H43" s="208" t="s">
        <v>164</v>
      </c>
      <c r="I43" s="208" t="s">
        <v>155</v>
      </c>
      <c r="J43" s="208" t="s">
        <v>38</v>
      </c>
      <c r="K43" s="208" t="s">
        <v>156</v>
      </c>
      <c r="L43" s="208">
        <v>3</v>
      </c>
      <c r="N43" s="208">
        <v>1</v>
      </c>
      <c r="O43" s="208">
        <v>0.8</v>
      </c>
      <c r="P43" s="208">
        <v>0.75</v>
      </c>
      <c r="Q43" s="245">
        <f t="shared" si="0"/>
        <v>0.77500000000000002</v>
      </c>
      <c r="R43" s="208">
        <v>14.3</v>
      </c>
      <c r="S43" s="208">
        <v>142</v>
      </c>
      <c r="T43" s="217">
        <f t="shared" si="1"/>
        <v>30</v>
      </c>
      <c r="U43" s="208">
        <v>105</v>
      </c>
      <c r="V43" s="217">
        <f t="shared" si="2"/>
        <v>3150</v>
      </c>
      <c r="W43" s="208">
        <v>10</v>
      </c>
      <c r="X43" s="208" t="s">
        <v>46</v>
      </c>
      <c r="Y43" s="208" t="s">
        <v>69</v>
      </c>
      <c r="Z43" s="208" t="s">
        <v>55</v>
      </c>
      <c r="AA43" s="208" t="s">
        <v>88</v>
      </c>
      <c r="AB43" s="208" t="s">
        <v>350</v>
      </c>
    </row>
    <row r="44" spans="1:28" x14ac:dyDescent="0.15">
      <c r="A44" s="208" t="s">
        <v>34</v>
      </c>
      <c r="B44" s="208" t="s">
        <v>348</v>
      </c>
      <c r="C44" s="208">
        <v>2018</v>
      </c>
      <c r="D44" s="265" t="s">
        <v>356</v>
      </c>
      <c r="E44" s="208" t="s">
        <v>341</v>
      </c>
      <c r="F44" s="208" t="s">
        <v>342</v>
      </c>
      <c r="G44" s="208" t="s">
        <v>36</v>
      </c>
      <c r="H44" s="208" t="s">
        <v>164</v>
      </c>
      <c r="I44" s="208" t="s">
        <v>155</v>
      </c>
      <c r="J44" s="208" t="s">
        <v>38</v>
      </c>
      <c r="K44" s="208" t="s">
        <v>156</v>
      </c>
      <c r="L44" s="208">
        <v>1</v>
      </c>
      <c r="N44" s="208">
        <v>4</v>
      </c>
      <c r="O44" s="208">
        <v>0.5</v>
      </c>
      <c r="P44" s="208">
        <v>0.65</v>
      </c>
      <c r="Q44" s="245">
        <f t="shared" si="0"/>
        <v>0.57499999999999996</v>
      </c>
      <c r="R44" s="208">
        <v>15.8</v>
      </c>
      <c r="S44" s="208">
        <v>105</v>
      </c>
      <c r="T44" s="217">
        <f t="shared" si="1"/>
        <v>33</v>
      </c>
      <c r="U44" s="208">
        <v>420</v>
      </c>
      <c r="V44" s="217">
        <f t="shared" si="2"/>
        <v>3465</v>
      </c>
      <c r="W44" s="208">
        <v>10</v>
      </c>
      <c r="X44" s="208" t="s">
        <v>46</v>
      </c>
      <c r="Y44" s="208" t="s">
        <v>69</v>
      </c>
      <c r="Z44" s="208" t="s">
        <v>55</v>
      </c>
      <c r="AA44" s="208" t="s">
        <v>88</v>
      </c>
      <c r="AB44" s="208" t="s">
        <v>350</v>
      </c>
    </row>
    <row r="45" spans="1:28" x14ac:dyDescent="0.15">
      <c r="A45" s="208" t="s">
        <v>34</v>
      </c>
      <c r="B45" s="208" t="s">
        <v>348</v>
      </c>
      <c r="C45" s="208">
        <v>2018</v>
      </c>
      <c r="D45" s="265" t="s">
        <v>356</v>
      </c>
      <c r="E45" s="208" t="s">
        <v>341</v>
      </c>
      <c r="F45" s="208" t="s">
        <v>342</v>
      </c>
      <c r="G45" s="208" t="s">
        <v>36</v>
      </c>
      <c r="H45" s="208" t="s">
        <v>164</v>
      </c>
      <c r="I45" s="208" t="s">
        <v>155</v>
      </c>
      <c r="J45" s="208" t="s">
        <v>38</v>
      </c>
      <c r="K45" s="208" t="s">
        <v>156</v>
      </c>
      <c r="L45" s="208">
        <v>2</v>
      </c>
      <c r="N45" s="208">
        <v>4</v>
      </c>
      <c r="O45" s="208">
        <v>0.75</v>
      </c>
      <c r="P45" s="208">
        <v>0.75</v>
      </c>
      <c r="Q45" s="245">
        <f t="shared" si="0"/>
        <v>0.75</v>
      </c>
      <c r="R45" s="208">
        <v>14.3</v>
      </c>
      <c r="S45" s="208">
        <v>93</v>
      </c>
      <c r="T45" s="217">
        <f t="shared" si="1"/>
        <v>36</v>
      </c>
      <c r="U45" s="208">
        <v>420</v>
      </c>
      <c r="V45" s="217">
        <f t="shared" si="2"/>
        <v>3780</v>
      </c>
      <c r="W45" s="208">
        <v>10</v>
      </c>
      <c r="X45" s="208" t="s">
        <v>46</v>
      </c>
      <c r="Y45" s="208" t="s">
        <v>69</v>
      </c>
      <c r="Z45" s="208" t="s">
        <v>55</v>
      </c>
      <c r="AA45" s="208" t="s">
        <v>88</v>
      </c>
      <c r="AB45" s="208" t="s">
        <v>350</v>
      </c>
    </row>
    <row r="46" spans="1:28" x14ac:dyDescent="0.15">
      <c r="A46" s="208" t="s">
        <v>34</v>
      </c>
      <c r="B46" s="208" t="s">
        <v>348</v>
      </c>
      <c r="C46" s="208">
        <v>2018</v>
      </c>
      <c r="D46" s="265" t="s">
        <v>356</v>
      </c>
      <c r="E46" s="208" t="s">
        <v>341</v>
      </c>
      <c r="F46" s="208" t="s">
        <v>342</v>
      </c>
      <c r="G46" s="208" t="s">
        <v>36</v>
      </c>
      <c r="H46" s="208" t="s">
        <v>164</v>
      </c>
      <c r="I46" s="208" t="s">
        <v>155</v>
      </c>
      <c r="J46" s="208" t="s">
        <v>38</v>
      </c>
      <c r="K46" s="208" t="s">
        <v>156</v>
      </c>
      <c r="L46" s="208">
        <v>3</v>
      </c>
      <c r="N46" s="208">
        <v>4</v>
      </c>
      <c r="O46" s="208">
        <v>0.6</v>
      </c>
      <c r="P46" s="208">
        <v>0.7</v>
      </c>
      <c r="Q46" s="245">
        <f t="shared" si="0"/>
        <v>0.64999999999999991</v>
      </c>
      <c r="R46" s="208">
        <v>16</v>
      </c>
      <c r="S46" s="208">
        <v>96</v>
      </c>
      <c r="T46" s="217">
        <f t="shared" si="1"/>
        <v>36</v>
      </c>
      <c r="U46" s="208">
        <v>420</v>
      </c>
      <c r="V46" s="217">
        <f t="shared" si="2"/>
        <v>3780</v>
      </c>
      <c r="W46" s="208">
        <v>10</v>
      </c>
      <c r="X46" s="208" t="s">
        <v>46</v>
      </c>
      <c r="Y46" s="208" t="s">
        <v>69</v>
      </c>
      <c r="Z46" s="208" t="s">
        <v>55</v>
      </c>
      <c r="AA46" s="208" t="s">
        <v>88</v>
      </c>
      <c r="AB46" s="208" t="s">
        <v>350</v>
      </c>
    </row>
    <row r="47" spans="1:28" x14ac:dyDescent="0.15">
      <c r="A47" s="208" t="s">
        <v>34</v>
      </c>
      <c r="B47" s="208" t="s">
        <v>348</v>
      </c>
      <c r="C47" s="208">
        <v>2018</v>
      </c>
      <c r="D47" s="265" t="s">
        <v>356</v>
      </c>
      <c r="E47" s="208" t="s">
        <v>172</v>
      </c>
      <c r="F47" s="208" t="s">
        <v>346</v>
      </c>
      <c r="G47" s="208" t="s">
        <v>36</v>
      </c>
      <c r="H47" s="208" t="s">
        <v>157</v>
      </c>
      <c r="I47" s="208" t="s">
        <v>155</v>
      </c>
      <c r="J47" s="208" t="s">
        <v>38</v>
      </c>
      <c r="K47" s="208" t="s">
        <v>156</v>
      </c>
      <c r="L47" s="208">
        <v>1</v>
      </c>
      <c r="N47" s="208">
        <v>1</v>
      </c>
      <c r="O47" s="208">
        <v>0.2</v>
      </c>
      <c r="P47" s="208">
        <v>0.2</v>
      </c>
      <c r="Q47" s="245">
        <f t="shared" si="0"/>
        <v>0.2</v>
      </c>
      <c r="R47" s="208">
        <v>14.5</v>
      </c>
      <c r="S47" s="208">
        <v>143</v>
      </c>
      <c r="T47" s="217">
        <f t="shared" si="1"/>
        <v>30</v>
      </c>
      <c r="U47" s="208">
        <v>137</v>
      </c>
      <c r="V47" s="217">
        <f t="shared" si="2"/>
        <v>4110</v>
      </c>
      <c r="W47" s="208">
        <v>2</v>
      </c>
      <c r="X47" s="208" t="s">
        <v>46</v>
      </c>
      <c r="Y47" s="208" t="s">
        <v>88</v>
      </c>
      <c r="Z47" s="208" t="s">
        <v>69</v>
      </c>
      <c r="AA47" s="208" t="s">
        <v>55</v>
      </c>
      <c r="AB47" s="208" t="s">
        <v>350</v>
      </c>
    </row>
    <row r="48" spans="1:28" x14ac:dyDescent="0.15">
      <c r="A48" s="208" t="s">
        <v>34</v>
      </c>
      <c r="B48" s="208" t="s">
        <v>348</v>
      </c>
      <c r="C48" s="208">
        <v>2018</v>
      </c>
      <c r="D48" s="265" t="s">
        <v>356</v>
      </c>
      <c r="E48" s="208" t="s">
        <v>172</v>
      </c>
      <c r="F48" s="208" t="s">
        <v>346</v>
      </c>
      <c r="G48" s="208" t="s">
        <v>36</v>
      </c>
      <c r="H48" s="208" t="s">
        <v>157</v>
      </c>
      <c r="I48" s="208" t="s">
        <v>155</v>
      </c>
      <c r="J48" s="208" t="s">
        <v>38</v>
      </c>
      <c r="K48" s="208" t="s">
        <v>156</v>
      </c>
      <c r="L48" s="208">
        <v>2</v>
      </c>
      <c r="N48" s="208">
        <v>1</v>
      </c>
      <c r="O48" s="208">
        <v>0.2</v>
      </c>
      <c r="P48" s="208">
        <v>0.2</v>
      </c>
      <c r="Q48" s="245">
        <f t="shared" si="0"/>
        <v>0.2</v>
      </c>
      <c r="R48" s="208">
        <v>15.6</v>
      </c>
      <c r="S48" s="208">
        <v>149</v>
      </c>
      <c r="T48" s="217">
        <f t="shared" si="1"/>
        <v>30</v>
      </c>
      <c r="U48" s="208">
        <v>137</v>
      </c>
      <c r="V48" s="217">
        <f t="shared" si="2"/>
        <v>4110</v>
      </c>
      <c r="W48" s="208">
        <v>2</v>
      </c>
      <c r="X48" s="208" t="s">
        <v>46</v>
      </c>
      <c r="Y48" s="208" t="s">
        <v>88</v>
      </c>
      <c r="Z48" s="208" t="s">
        <v>69</v>
      </c>
      <c r="AA48" s="208" t="s">
        <v>55</v>
      </c>
      <c r="AB48" s="208" t="s">
        <v>350</v>
      </c>
    </row>
    <row r="49" spans="1:28" x14ac:dyDescent="0.15">
      <c r="A49" s="208" t="s">
        <v>34</v>
      </c>
      <c r="B49" s="208" t="s">
        <v>348</v>
      </c>
      <c r="C49" s="208">
        <v>2018</v>
      </c>
      <c r="D49" s="265" t="s">
        <v>356</v>
      </c>
      <c r="E49" s="208" t="s">
        <v>172</v>
      </c>
      <c r="F49" s="208" t="s">
        <v>346</v>
      </c>
      <c r="G49" s="208" t="s">
        <v>36</v>
      </c>
      <c r="H49" s="208" t="s">
        <v>157</v>
      </c>
      <c r="I49" s="208" t="s">
        <v>155</v>
      </c>
      <c r="J49" s="208" t="s">
        <v>38</v>
      </c>
      <c r="K49" s="208" t="s">
        <v>156</v>
      </c>
      <c r="L49" s="208">
        <v>3</v>
      </c>
      <c r="N49" s="208">
        <v>1</v>
      </c>
      <c r="O49" s="208">
        <v>0.2</v>
      </c>
      <c r="P49" s="208">
        <v>0.2</v>
      </c>
      <c r="Q49" s="245">
        <f t="shared" si="0"/>
        <v>0.2</v>
      </c>
      <c r="R49" s="208">
        <v>14.9</v>
      </c>
      <c r="S49" s="208">
        <v>136</v>
      </c>
      <c r="T49" s="217">
        <f t="shared" si="1"/>
        <v>30</v>
      </c>
      <c r="U49" s="208">
        <v>137</v>
      </c>
      <c r="V49" s="217">
        <f t="shared" si="2"/>
        <v>4110</v>
      </c>
      <c r="W49" s="208">
        <v>2</v>
      </c>
      <c r="X49" s="208" t="s">
        <v>46</v>
      </c>
      <c r="Y49" s="208" t="s">
        <v>88</v>
      </c>
      <c r="Z49" s="208" t="s">
        <v>69</v>
      </c>
      <c r="AA49" s="208" t="s">
        <v>55</v>
      </c>
      <c r="AB49" s="208" t="s">
        <v>350</v>
      </c>
    </row>
    <row r="50" spans="1:28" x14ac:dyDescent="0.15">
      <c r="A50" s="208" t="s">
        <v>34</v>
      </c>
      <c r="B50" s="208" t="s">
        <v>348</v>
      </c>
      <c r="C50" s="208">
        <v>2018</v>
      </c>
      <c r="D50" s="265" t="s">
        <v>356</v>
      </c>
      <c r="E50" s="208" t="s">
        <v>172</v>
      </c>
      <c r="F50" s="208" t="s">
        <v>346</v>
      </c>
      <c r="G50" s="208" t="s">
        <v>36</v>
      </c>
      <c r="H50" s="208" t="s">
        <v>157</v>
      </c>
      <c r="I50" s="208" t="s">
        <v>155</v>
      </c>
      <c r="J50" s="208" t="s">
        <v>38</v>
      </c>
      <c r="K50" s="208" t="s">
        <v>156</v>
      </c>
      <c r="L50" s="208">
        <v>1</v>
      </c>
      <c r="N50" s="208">
        <v>4</v>
      </c>
      <c r="O50" s="208">
        <v>0.2</v>
      </c>
      <c r="P50" s="208">
        <v>0.2</v>
      </c>
      <c r="Q50" s="245">
        <f t="shared" si="0"/>
        <v>0.2</v>
      </c>
      <c r="R50" s="208">
        <v>15.1</v>
      </c>
      <c r="S50" s="208">
        <v>120</v>
      </c>
      <c r="T50" s="217">
        <f t="shared" si="1"/>
        <v>30</v>
      </c>
      <c r="U50" s="208">
        <v>471</v>
      </c>
      <c r="V50" s="217">
        <f t="shared" si="2"/>
        <v>3532.5</v>
      </c>
      <c r="W50" s="208">
        <v>2</v>
      </c>
      <c r="X50" s="208" t="s">
        <v>46</v>
      </c>
      <c r="Y50" s="208" t="s">
        <v>88</v>
      </c>
      <c r="Z50" s="208" t="s">
        <v>69</v>
      </c>
      <c r="AA50" s="208" t="s">
        <v>55</v>
      </c>
      <c r="AB50" s="208" t="s">
        <v>350</v>
      </c>
    </row>
    <row r="51" spans="1:28" x14ac:dyDescent="0.15">
      <c r="A51" s="208" t="s">
        <v>34</v>
      </c>
      <c r="B51" s="208" t="s">
        <v>348</v>
      </c>
      <c r="C51" s="208">
        <v>2018</v>
      </c>
      <c r="D51" s="265" t="s">
        <v>356</v>
      </c>
      <c r="E51" s="208" t="s">
        <v>172</v>
      </c>
      <c r="F51" s="208" t="s">
        <v>346</v>
      </c>
      <c r="G51" s="208" t="s">
        <v>36</v>
      </c>
      <c r="H51" s="208" t="s">
        <v>157</v>
      </c>
      <c r="I51" s="208" t="s">
        <v>155</v>
      </c>
      <c r="J51" s="208" t="s">
        <v>38</v>
      </c>
      <c r="K51" s="208" t="s">
        <v>156</v>
      </c>
      <c r="L51" s="208">
        <v>2</v>
      </c>
      <c r="N51" s="208">
        <v>4</v>
      </c>
      <c r="O51" s="208">
        <v>0.2</v>
      </c>
      <c r="P51" s="208">
        <v>0.2</v>
      </c>
      <c r="Q51" s="245">
        <f t="shared" si="0"/>
        <v>0.2</v>
      </c>
      <c r="R51" s="208">
        <v>15.7</v>
      </c>
      <c r="S51" s="208">
        <v>117</v>
      </c>
      <c r="T51" s="217">
        <f t="shared" si="1"/>
        <v>30</v>
      </c>
      <c r="U51" s="208">
        <v>471</v>
      </c>
      <c r="V51" s="217">
        <f t="shared" si="2"/>
        <v>3532.5</v>
      </c>
      <c r="W51" s="208">
        <v>2</v>
      </c>
      <c r="X51" s="208" t="s">
        <v>46</v>
      </c>
      <c r="Y51" s="208" t="s">
        <v>88</v>
      </c>
      <c r="Z51" s="208" t="s">
        <v>69</v>
      </c>
      <c r="AA51" s="208" t="s">
        <v>55</v>
      </c>
      <c r="AB51" s="208" t="s">
        <v>350</v>
      </c>
    </row>
    <row r="52" spans="1:28" x14ac:dyDescent="0.15">
      <c r="A52" s="208" t="s">
        <v>34</v>
      </c>
      <c r="B52" s="208" t="s">
        <v>348</v>
      </c>
      <c r="C52" s="208">
        <v>2018</v>
      </c>
      <c r="D52" s="265" t="s">
        <v>356</v>
      </c>
      <c r="E52" s="208" t="s">
        <v>172</v>
      </c>
      <c r="F52" s="208" t="s">
        <v>346</v>
      </c>
      <c r="G52" s="208" t="s">
        <v>36</v>
      </c>
      <c r="H52" s="208" t="s">
        <v>157</v>
      </c>
      <c r="I52" s="208" t="s">
        <v>155</v>
      </c>
      <c r="J52" s="208" t="s">
        <v>38</v>
      </c>
      <c r="K52" s="208" t="s">
        <v>156</v>
      </c>
      <c r="L52" s="208">
        <v>3</v>
      </c>
      <c r="N52" s="208">
        <v>4</v>
      </c>
      <c r="O52" s="208">
        <v>0.2</v>
      </c>
      <c r="P52" s="208">
        <v>0.2</v>
      </c>
      <c r="Q52" s="245">
        <f t="shared" si="0"/>
        <v>0.2</v>
      </c>
      <c r="R52" s="208">
        <v>14.3</v>
      </c>
      <c r="S52" s="208">
        <v>116</v>
      </c>
      <c r="T52" s="217">
        <f t="shared" si="1"/>
        <v>30</v>
      </c>
      <c r="U52" s="208">
        <v>471</v>
      </c>
      <c r="V52" s="217">
        <f t="shared" si="2"/>
        <v>3532.5</v>
      </c>
      <c r="W52" s="208">
        <v>2</v>
      </c>
      <c r="X52" s="208" t="s">
        <v>46</v>
      </c>
      <c r="Y52" s="208" t="s">
        <v>88</v>
      </c>
      <c r="Z52" s="208" t="s">
        <v>69</v>
      </c>
      <c r="AA52" s="208" t="s">
        <v>55</v>
      </c>
      <c r="AB52" s="208" t="s">
        <v>350</v>
      </c>
    </row>
    <row r="53" spans="1:28" x14ac:dyDescent="0.15">
      <c r="A53" s="208" t="s">
        <v>34</v>
      </c>
      <c r="B53" s="208" t="s">
        <v>348</v>
      </c>
      <c r="C53" s="208">
        <v>2018</v>
      </c>
      <c r="D53" s="265" t="s">
        <v>356</v>
      </c>
      <c r="E53" s="208" t="s">
        <v>172</v>
      </c>
      <c r="F53" s="208" t="s">
        <v>346</v>
      </c>
      <c r="G53" s="208" t="s">
        <v>36</v>
      </c>
      <c r="H53" s="208" t="s">
        <v>164</v>
      </c>
      <c r="I53" s="208" t="s">
        <v>155</v>
      </c>
      <c r="J53" s="208" t="s">
        <v>38</v>
      </c>
      <c r="K53" s="208" t="s">
        <v>156</v>
      </c>
      <c r="L53" s="208">
        <v>1</v>
      </c>
      <c r="N53" s="208">
        <v>1</v>
      </c>
      <c r="O53" s="208">
        <v>0.45</v>
      </c>
      <c r="P53" s="208">
        <v>0.2</v>
      </c>
      <c r="Q53" s="245">
        <f t="shared" si="0"/>
        <v>0.32500000000000001</v>
      </c>
      <c r="R53" s="208">
        <v>15.2</v>
      </c>
      <c r="S53" s="208">
        <v>151</v>
      </c>
      <c r="T53" s="217">
        <f t="shared" si="1"/>
        <v>30</v>
      </c>
      <c r="U53" s="208">
        <v>137</v>
      </c>
      <c r="V53" s="217">
        <f t="shared" si="2"/>
        <v>4110</v>
      </c>
      <c r="W53" s="208">
        <v>5</v>
      </c>
      <c r="X53" s="208" t="s">
        <v>46</v>
      </c>
      <c r="Y53" s="208" t="s">
        <v>88</v>
      </c>
      <c r="Z53" s="208" t="s">
        <v>69</v>
      </c>
      <c r="AA53" s="208" t="s">
        <v>55</v>
      </c>
      <c r="AB53" s="208" t="s">
        <v>350</v>
      </c>
    </row>
    <row r="54" spans="1:28" x14ac:dyDescent="0.15">
      <c r="A54" s="208" t="s">
        <v>34</v>
      </c>
      <c r="B54" s="208" t="s">
        <v>348</v>
      </c>
      <c r="C54" s="208">
        <v>2018</v>
      </c>
      <c r="D54" s="265" t="s">
        <v>356</v>
      </c>
      <c r="E54" s="208" t="s">
        <v>172</v>
      </c>
      <c r="F54" s="208" t="s">
        <v>346</v>
      </c>
      <c r="G54" s="208" t="s">
        <v>36</v>
      </c>
      <c r="H54" s="208" t="s">
        <v>164</v>
      </c>
      <c r="I54" s="208" t="s">
        <v>155</v>
      </c>
      <c r="J54" s="208" t="s">
        <v>38</v>
      </c>
      <c r="K54" s="208" t="s">
        <v>156</v>
      </c>
      <c r="L54" s="208">
        <v>2</v>
      </c>
      <c r="N54" s="208">
        <v>1</v>
      </c>
      <c r="O54" s="208">
        <v>0.5</v>
      </c>
      <c r="P54" s="208">
        <v>0.55000000000000004</v>
      </c>
      <c r="Q54" s="245">
        <f t="shared" si="0"/>
        <v>0.52500000000000002</v>
      </c>
      <c r="R54" s="208">
        <v>14.8</v>
      </c>
      <c r="S54" s="208">
        <v>151</v>
      </c>
      <c r="T54" s="217">
        <f t="shared" si="1"/>
        <v>30</v>
      </c>
      <c r="U54" s="208">
        <v>137</v>
      </c>
      <c r="V54" s="217">
        <f t="shared" si="2"/>
        <v>4110</v>
      </c>
      <c r="W54" s="208">
        <v>5</v>
      </c>
      <c r="X54" s="208" t="s">
        <v>46</v>
      </c>
      <c r="Y54" s="208" t="s">
        <v>88</v>
      </c>
      <c r="Z54" s="208" t="s">
        <v>69</v>
      </c>
      <c r="AA54" s="208" t="s">
        <v>55</v>
      </c>
      <c r="AB54" s="208" t="s">
        <v>350</v>
      </c>
    </row>
    <row r="55" spans="1:28" x14ac:dyDescent="0.15">
      <c r="A55" s="208" t="s">
        <v>34</v>
      </c>
      <c r="B55" s="208" t="s">
        <v>348</v>
      </c>
      <c r="C55" s="208">
        <v>2018</v>
      </c>
      <c r="D55" s="265" t="s">
        <v>356</v>
      </c>
      <c r="E55" s="208" t="s">
        <v>172</v>
      </c>
      <c r="F55" s="208" t="s">
        <v>346</v>
      </c>
      <c r="G55" s="208" t="s">
        <v>36</v>
      </c>
      <c r="H55" s="208" t="s">
        <v>164</v>
      </c>
      <c r="I55" s="208" t="s">
        <v>155</v>
      </c>
      <c r="J55" s="208" t="s">
        <v>38</v>
      </c>
      <c r="K55" s="208" t="s">
        <v>156</v>
      </c>
      <c r="L55" s="208">
        <v>3</v>
      </c>
      <c r="N55" s="208">
        <v>1</v>
      </c>
      <c r="O55" s="208">
        <v>0.2</v>
      </c>
      <c r="P55" s="208">
        <v>0.2</v>
      </c>
      <c r="Q55" s="245">
        <f t="shared" si="0"/>
        <v>0.2</v>
      </c>
      <c r="R55" s="208">
        <v>15.7</v>
      </c>
      <c r="S55" s="208">
        <v>154</v>
      </c>
      <c r="T55" s="217">
        <f t="shared" si="1"/>
        <v>18</v>
      </c>
      <c r="U55" s="208">
        <v>137</v>
      </c>
      <c r="V55" s="217">
        <f t="shared" si="2"/>
        <v>2466</v>
      </c>
      <c r="W55" s="208">
        <v>5</v>
      </c>
      <c r="X55" s="208" t="s">
        <v>46</v>
      </c>
      <c r="Y55" s="208" t="s">
        <v>88</v>
      </c>
      <c r="Z55" s="208" t="s">
        <v>69</v>
      </c>
      <c r="AA55" s="208" t="s">
        <v>55</v>
      </c>
      <c r="AB55" s="208" t="s">
        <v>350</v>
      </c>
    </row>
    <row r="56" spans="1:28" x14ac:dyDescent="0.15">
      <c r="A56" s="208" t="s">
        <v>34</v>
      </c>
      <c r="B56" s="208" t="s">
        <v>348</v>
      </c>
      <c r="C56" s="208">
        <v>2018</v>
      </c>
      <c r="D56" s="265" t="s">
        <v>356</v>
      </c>
      <c r="E56" s="208" t="s">
        <v>172</v>
      </c>
      <c r="F56" s="208" t="s">
        <v>346</v>
      </c>
      <c r="G56" s="208" t="s">
        <v>36</v>
      </c>
      <c r="H56" s="208" t="s">
        <v>164</v>
      </c>
      <c r="I56" s="208" t="s">
        <v>155</v>
      </c>
      <c r="J56" s="208" t="s">
        <v>38</v>
      </c>
      <c r="K56" s="208" t="s">
        <v>156</v>
      </c>
      <c r="L56" s="208">
        <v>1</v>
      </c>
      <c r="N56" s="208">
        <v>4</v>
      </c>
      <c r="O56" s="208">
        <v>0.75</v>
      </c>
      <c r="P56" s="208">
        <v>0.8</v>
      </c>
      <c r="Q56" s="245">
        <f t="shared" si="0"/>
        <v>0.77500000000000002</v>
      </c>
      <c r="R56" s="208">
        <v>12.3</v>
      </c>
      <c r="S56" s="208">
        <v>139</v>
      </c>
      <c r="T56" s="217">
        <f t="shared" si="1"/>
        <v>30</v>
      </c>
      <c r="U56" s="208">
        <v>471</v>
      </c>
      <c r="V56" s="217">
        <f t="shared" si="2"/>
        <v>3532.5</v>
      </c>
      <c r="W56" s="208">
        <v>5</v>
      </c>
      <c r="X56" s="208" t="s">
        <v>46</v>
      </c>
      <c r="Y56" s="208" t="s">
        <v>88</v>
      </c>
      <c r="Z56" s="208" t="s">
        <v>69</v>
      </c>
      <c r="AA56" s="208" t="s">
        <v>55</v>
      </c>
      <c r="AB56" s="208" t="s">
        <v>350</v>
      </c>
    </row>
    <row r="57" spans="1:28" x14ac:dyDescent="0.15">
      <c r="A57" s="208" t="s">
        <v>34</v>
      </c>
      <c r="B57" s="208" t="s">
        <v>348</v>
      </c>
      <c r="C57" s="208">
        <v>2018</v>
      </c>
      <c r="D57" s="265" t="s">
        <v>356</v>
      </c>
      <c r="E57" s="208" t="s">
        <v>172</v>
      </c>
      <c r="F57" s="208" t="s">
        <v>346</v>
      </c>
      <c r="G57" s="208" t="s">
        <v>36</v>
      </c>
      <c r="H57" s="208" t="s">
        <v>164</v>
      </c>
      <c r="I57" s="208" t="s">
        <v>155</v>
      </c>
      <c r="J57" s="208" t="s">
        <v>38</v>
      </c>
      <c r="K57" s="208" t="s">
        <v>156</v>
      </c>
      <c r="L57" s="208">
        <v>2</v>
      </c>
      <c r="N57" s="208">
        <v>4</v>
      </c>
      <c r="O57" s="208">
        <v>0.5</v>
      </c>
      <c r="P57" s="208">
        <v>0.7</v>
      </c>
      <c r="Q57" s="245">
        <f t="shared" si="0"/>
        <v>0.6</v>
      </c>
      <c r="R57" s="208">
        <v>15.2</v>
      </c>
      <c r="S57" s="208">
        <v>136</v>
      </c>
      <c r="T57" s="217">
        <f t="shared" si="1"/>
        <v>30</v>
      </c>
      <c r="U57" s="208">
        <v>471</v>
      </c>
      <c r="V57" s="217">
        <f t="shared" si="2"/>
        <v>3532.5</v>
      </c>
      <c r="W57" s="208">
        <v>5</v>
      </c>
      <c r="X57" s="208" t="s">
        <v>46</v>
      </c>
      <c r="Y57" s="208" t="s">
        <v>88</v>
      </c>
      <c r="Z57" s="208" t="s">
        <v>69</v>
      </c>
      <c r="AA57" s="208" t="s">
        <v>55</v>
      </c>
      <c r="AB57" s="208" t="s">
        <v>350</v>
      </c>
    </row>
    <row r="58" spans="1:28" x14ac:dyDescent="0.15">
      <c r="A58" s="208" t="s">
        <v>34</v>
      </c>
      <c r="B58" s="208" t="s">
        <v>348</v>
      </c>
      <c r="C58" s="208">
        <v>2018</v>
      </c>
      <c r="D58" s="265" t="s">
        <v>356</v>
      </c>
      <c r="E58" s="208" t="s">
        <v>172</v>
      </c>
      <c r="F58" s="208" t="s">
        <v>346</v>
      </c>
      <c r="G58" s="208" t="s">
        <v>36</v>
      </c>
      <c r="H58" s="208" t="s">
        <v>164</v>
      </c>
      <c r="I58" s="208" t="s">
        <v>155</v>
      </c>
      <c r="J58" s="208" t="s">
        <v>38</v>
      </c>
      <c r="K58" s="208" t="s">
        <v>156</v>
      </c>
      <c r="L58" s="208">
        <v>3</v>
      </c>
      <c r="N58" s="208">
        <v>4</v>
      </c>
      <c r="O58" s="208">
        <v>0.5</v>
      </c>
      <c r="P58" s="208">
        <v>0.55000000000000004</v>
      </c>
      <c r="Q58" s="245">
        <f t="shared" si="0"/>
        <v>0.52500000000000002</v>
      </c>
      <c r="R58" s="208">
        <v>16</v>
      </c>
      <c r="S58" s="208">
        <v>142</v>
      </c>
      <c r="T58" s="217">
        <f t="shared" si="1"/>
        <v>30</v>
      </c>
      <c r="U58" s="208">
        <v>471</v>
      </c>
      <c r="V58" s="217">
        <f t="shared" si="2"/>
        <v>3532.5</v>
      </c>
      <c r="W58" s="208">
        <v>5</v>
      </c>
      <c r="X58" s="208" t="s">
        <v>46</v>
      </c>
      <c r="Y58" s="208" t="s">
        <v>88</v>
      </c>
      <c r="Z58" s="208" t="s">
        <v>69</v>
      </c>
      <c r="AA58" s="208" t="s">
        <v>55</v>
      </c>
      <c r="AB58" s="208" t="s">
        <v>350</v>
      </c>
    </row>
    <row r="59" spans="1:28" x14ac:dyDescent="0.15">
      <c r="A59" s="208" t="s">
        <v>34</v>
      </c>
      <c r="B59" s="208" t="s">
        <v>348</v>
      </c>
      <c r="C59" s="208">
        <v>2018</v>
      </c>
      <c r="D59" s="265" t="s">
        <v>356</v>
      </c>
      <c r="E59" s="208" t="s">
        <v>295</v>
      </c>
      <c r="F59" s="208" t="s">
        <v>331</v>
      </c>
      <c r="G59" s="208" t="s">
        <v>36</v>
      </c>
      <c r="H59" s="208" t="s">
        <v>219</v>
      </c>
      <c r="I59" s="208" t="s">
        <v>155</v>
      </c>
      <c r="J59" s="208" t="s">
        <v>38</v>
      </c>
      <c r="K59" s="208" t="s">
        <v>156</v>
      </c>
      <c r="L59" s="208">
        <v>1</v>
      </c>
      <c r="N59" s="208">
        <v>4</v>
      </c>
      <c r="O59" s="208">
        <v>0.6</v>
      </c>
      <c r="P59" s="208">
        <v>0.7</v>
      </c>
      <c r="Q59" s="245">
        <f t="shared" si="0"/>
        <v>0.64999999999999991</v>
      </c>
      <c r="R59" s="208">
        <v>16.7</v>
      </c>
      <c r="S59" s="208">
        <v>106</v>
      </c>
      <c r="T59" s="217">
        <f t="shared" si="1"/>
        <v>33</v>
      </c>
      <c r="U59" s="208">
        <v>429</v>
      </c>
      <c r="V59" s="217">
        <f t="shared" si="2"/>
        <v>3539.25</v>
      </c>
      <c r="W59" s="208">
        <v>1</v>
      </c>
      <c r="X59" s="208" t="s">
        <v>39</v>
      </c>
      <c r="Y59" s="208" t="s">
        <v>69</v>
      </c>
      <c r="Z59" s="208" t="s">
        <v>97</v>
      </c>
      <c r="AA59" s="208" t="s">
        <v>88</v>
      </c>
      <c r="AB59" s="208" t="s">
        <v>350</v>
      </c>
    </row>
    <row r="60" spans="1:28" x14ac:dyDescent="0.15">
      <c r="A60" s="208" t="s">
        <v>34</v>
      </c>
      <c r="B60" s="208" t="s">
        <v>348</v>
      </c>
      <c r="C60" s="208">
        <v>2018</v>
      </c>
      <c r="D60" s="265" t="s">
        <v>356</v>
      </c>
      <c r="E60" s="208" t="s">
        <v>295</v>
      </c>
      <c r="F60" s="208" t="s">
        <v>331</v>
      </c>
      <c r="G60" s="208" t="s">
        <v>36</v>
      </c>
      <c r="H60" s="208" t="s">
        <v>219</v>
      </c>
      <c r="I60" s="208" t="s">
        <v>155</v>
      </c>
      <c r="J60" s="208" t="s">
        <v>38</v>
      </c>
      <c r="K60" s="208" t="s">
        <v>156</v>
      </c>
      <c r="L60" s="208">
        <v>2</v>
      </c>
      <c r="N60" s="208">
        <v>4</v>
      </c>
      <c r="O60" s="208">
        <v>0.55000000000000004</v>
      </c>
      <c r="P60" s="208">
        <v>0.55000000000000004</v>
      </c>
      <c r="Q60" s="245">
        <f t="shared" si="0"/>
        <v>0.55000000000000004</v>
      </c>
      <c r="R60" s="208">
        <v>14.6</v>
      </c>
      <c r="S60" s="208">
        <v>105</v>
      </c>
      <c r="T60" s="217">
        <f t="shared" si="1"/>
        <v>33</v>
      </c>
      <c r="U60" s="208">
        <v>429</v>
      </c>
      <c r="V60" s="217">
        <f t="shared" si="2"/>
        <v>3539.25</v>
      </c>
      <c r="W60" s="208">
        <v>1</v>
      </c>
      <c r="X60" s="208" t="s">
        <v>39</v>
      </c>
      <c r="Y60" s="208" t="s">
        <v>69</v>
      </c>
      <c r="Z60" s="208" t="s">
        <v>97</v>
      </c>
      <c r="AA60" s="208" t="s">
        <v>88</v>
      </c>
      <c r="AB60" s="208" t="s">
        <v>350</v>
      </c>
    </row>
    <row r="61" spans="1:28" x14ac:dyDescent="0.15">
      <c r="A61" s="208" t="s">
        <v>34</v>
      </c>
      <c r="B61" s="208" t="s">
        <v>348</v>
      </c>
      <c r="C61" s="208">
        <v>2018</v>
      </c>
      <c r="D61" s="265" t="s">
        <v>356</v>
      </c>
      <c r="E61" s="208" t="s">
        <v>295</v>
      </c>
      <c r="F61" s="208" t="s">
        <v>331</v>
      </c>
      <c r="G61" s="208" t="s">
        <v>36</v>
      </c>
      <c r="H61" s="208" t="s">
        <v>219</v>
      </c>
      <c r="I61" s="208" t="s">
        <v>155</v>
      </c>
      <c r="J61" s="208" t="s">
        <v>38</v>
      </c>
      <c r="K61" s="208" t="s">
        <v>156</v>
      </c>
      <c r="L61" s="208">
        <v>3</v>
      </c>
      <c r="N61" s="208">
        <v>4</v>
      </c>
      <c r="O61" s="208">
        <v>0.6</v>
      </c>
      <c r="P61" s="208">
        <v>0.65</v>
      </c>
      <c r="Q61" s="245">
        <f t="shared" si="0"/>
        <v>0.625</v>
      </c>
      <c r="R61" s="208">
        <v>16.899999999999999</v>
      </c>
      <c r="S61" s="208">
        <v>115</v>
      </c>
      <c r="T61" s="217">
        <f t="shared" si="1"/>
        <v>30</v>
      </c>
      <c r="U61" s="208">
        <v>429</v>
      </c>
      <c r="V61" s="217">
        <f t="shared" si="2"/>
        <v>3217.5</v>
      </c>
      <c r="W61" s="208">
        <v>1</v>
      </c>
      <c r="X61" s="208" t="s">
        <v>39</v>
      </c>
      <c r="Y61" s="208" t="s">
        <v>69</v>
      </c>
      <c r="Z61" s="208" t="s">
        <v>97</v>
      </c>
      <c r="AA61" s="208" t="s">
        <v>88</v>
      </c>
      <c r="AB61" s="208" t="s">
        <v>350</v>
      </c>
    </row>
    <row r="62" spans="1:28" x14ac:dyDescent="0.15">
      <c r="A62" s="208" t="s">
        <v>34</v>
      </c>
      <c r="B62" s="208" t="s">
        <v>348</v>
      </c>
      <c r="C62" s="208">
        <v>2018</v>
      </c>
      <c r="D62" s="265" t="s">
        <v>356</v>
      </c>
      <c r="E62" s="208" t="s">
        <v>295</v>
      </c>
      <c r="F62" s="208" t="s">
        <v>331</v>
      </c>
      <c r="G62" s="208" t="s">
        <v>36</v>
      </c>
      <c r="H62" s="208" t="s">
        <v>164</v>
      </c>
      <c r="I62" s="208" t="s">
        <v>155</v>
      </c>
      <c r="J62" s="208" t="s">
        <v>38</v>
      </c>
      <c r="K62" s="208" t="s">
        <v>156</v>
      </c>
      <c r="L62" s="208">
        <v>1</v>
      </c>
      <c r="N62" s="208">
        <v>1</v>
      </c>
      <c r="O62" s="208">
        <v>0.55000000000000004</v>
      </c>
      <c r="P62" s="208">
        <v>0.6</v>
      </c>
      <c r="Q62" s="245">
        <f t="shared" si="0"/>
        <v>0.57499999999999996</v>
      </c>
      <c r="R62" s="208">
        <v>14.7</v>
      </c>
      <c r="S62" s="208">
        <v>121</v>
      </c>
      <c r="T62" s="217">
        <f t="shared" si="1"/>
        <v>30</v>
      </c>
      <c r="U62" s="208">
        <v>105</v>
      </c>
      <c r="V62" s="217">
        <f t="shared" si="2"/>
        <v>3150</v>
      </c>
      <c r="W62" s="208">
        <v>2</v>
      </c>
      <c r="X62" s="208" t="s">
        <v>46</v>
      </c>
      <c r="Y62" s="208" t="s">
        <v>69</v>
      </c>
      <c r="Z62" s="208" t="s">
        <v>97</v>
      </c>
      <c r="AA62" s="208" t="s">
        <v>88</v>
      </c>
      <c r="AB62" s="208" t="s">
        <v>350</v>
      </c>
    </row>
    <row r="63" spans="1:28" x14ac:dyDescent="0.15">
      <c r="A63" s="208" t="s">
        <v>34</v>
      </c>
      <c r="B63" s="208" t="s">
        <v>348</v>
      </c>
      <c r="C63" s="208">
        <v>2018</v>
      </c>
      <c r="D63" s="265" t="s">
        <v>356</v>
      </c>
      <c r="E63" s="208" t="s">
        <v>295</v>
      </c>
      <c r="F63" s="208" t="s">
        <v>331</v>
      </c>
      <c r="G63" s="208" t="s">
        <v>36</v>
      </c>
      <c r="H63" s="208" t="s">
        <v>164</v>
      </c>
      <c r="I63" s="208" t="s">
        <v>155</v>
      </c>
      <c r="J63" s="208" t="s">
        <v>38</v>
      </c>
      <c r="K63" s="208" t="s">
        <v>156</v>
      </c>
      <c r="L63" s="208">
        <v>2</v>
      </c>
      <c r="N63" s="208">
        <v>1</v>
      </c>
      <c r="O63" s="208">
        <v>0.2</v>
      </c>
      <c r="P63" s="208">
        <v>0.2</v>
      </c>
      <c r="Q63" s="245">
        <f t="shared" si="0"/>
        <v>0.2</v>
      </c>
      <c r="R63" s="208">
        <v>18.8</v>
      </c>
      <c r="S63" s="208">
        <v>125</v>
      </c>
      <c r="T63" s="217">
        <f t="shared" si="1"/>
        <v>30</v>
      </c>
      <c r="U63" s="208">
        <v>105</v>
      </c>
      <c r="V63" s="217">
        <f t="shared" si="2"/>
        <v>3150</v>
      </c>
      <c r="W63" s="208">
        <v>2</v>
      </c>
      <c r="X63" s="208" t="s">
        <v>46</v>
      </c>
      <c r="Y63" s="208" t="s">
        <v>69</v>
      </c>
      <c r="Z63" s="208" t="s">
        <v>97</v>
      </c>
      <c r="AA63" s="208" t="s">
        <v>88</v>
      </c>
      <c r="AB63" s="208" t="s">
        <v>350</v>
      </c>
    </row>
    <row r="64" spans="1:28" x14ac:dyDescent="0.15">
      <c r="A64" s="208" t="s">
        <v>34</v>
      </c>
      <c r="B64" s="208" t="s">
        <v>348</v>
      </c>
      <c r="C64" s="208">
        <v>2018</v>
      </c>
      <c r="D64" s="265" t="s">
        <v>356</v>
      </c>
      <c r="E64" s="208" t="s">
        <v>295</v>
      </c>
      <c r="F64" s="208" t="s">
        <v>331</v>
      </c>
      <c r="G64" s="208" t="s">
        <v>36</v>
      </c>
      <c r="H64" s="208" t="s">
        <v>164</v>
      </c>
      <c r="I64" s="208" t="s">
        <v>155</v>
      </c>
      <c r="J64" s="208" t="s">
        <v>38</v>
      </c>
      <c r="K64" s="208" t="s">
        <v>156</v>
      </c>
      <c r="L64" s="208">
        <v>3</v>
      </c>
      <c r="N64" s="208">
        <v>1</v>
      </c>
      <c r="O64" s="208">
        <v>0.2</v>
      </c>
      <c r="P64" s="208">
        <v>0.2</v>
      </c>
      <c r="Q64" s="245">
        <f t="shared" si="0"/>
        <v>0.2</v>
      </c>
      <c r="R64" s="208">
        <v>17.899999999999999</v>
      </c>
      <c r="S64" s="208">
        <v>122</v>
      </c>
      <c r="T64" s="217">
        <f t="shared" si="1"/>
        <v>30</v>
      </c>
      <c r="U64" s="208">
        <v>105</v>
      </c>
      <c r="V64" s="217">
        <f t="shared" si="2"/>
        <v>3150</v>
      </c>
      <c r="W64" s="208">
        <v>2</v>
      </c>
      <c r="X64" s="208" t="s">
        <v>46</v>
      </c>
      <c r="Y64" s="208" t="s">
        <v>69</v>
      </c>
      <c r="Z64" s="208" t="s">
        <v>97</v>
      </c>
      <c r="AA64" s="208" t="s">
        <v>88</v>
      </c>
      <c r="AB64" s="208" t="s">
        <v>350</v>
      </c>
    </row>
    <row r="65" spans="1:28" x14ac:dyDescent="0.15">
      <c r="A65" s="208" t="s">
        <v>34</v>
      </c>
      <c r="B65" s="208" t="s">
        <v>348</v>
      </c>
      <c r="C65" s="208">
        <v>2018</v>
      </c>
      <c r="D65" s="265" t="s">
        <v>356</v>
      </c>
      <c r="E65" s="208" t="s">
        <v>332</v>
      </c>
      <c r="F65" s="208" t="s">
        <v>333</v>
      </c>
      <c r="G65" s="208" t="s">
        <v>36</v>
      </c>
      <c r="H65" s="208" t="s">
        <v>157</v>
      </c>
      <c r="I65" s="208" t="s">
        <v>155</v>
      </c>
      <c r="J65" s="208" t="s">
        <v>38</v>
      </c>
      <c r="K65" s="208" t="s">
        <v>156</v>
      </c>
      <c r="L65" s="208">
        <v>1</v>
      </c>
      <c r="N65" s="208">
        <v>1</v>
      </c>
      <c r="O65" s="208">
        <v>0.2</v>
      </c>
      <c r="P65" s="208">
        <v>0.5</v>
      </c>
      <c r="Q65" s="245">
        <f t="shared" si="0"/>
        <v>0.35</v>
      </c>
      <c r="R65" s="208">
        <v>14.8</v>
      </c>
      <c r="S65" s="208">
        <v>126</v>
      </c>
      <c r="T65" s="217">
        <f t="shared" si="1"/>
        <v>30</v>
      </c>
      <c r="U65" s="208">
        <v>138</v>
      </c>
      <c r="V65" s="217">
        <f t="shared" si="2"/>
        <v>4140</v>
      </c>
      <c r="W65" s="208">
        <v>2</v>
      </c>
      <c r="X65" s="208" t="s">
        <v>46</v>
      </c>
      <c r="Y65" s="208" t="s">
        <v>69</v>
      </c>
      <c r="Z65" s="208" t="s">
        <v>88</v>
      </c>
      <c r="AA65" s="208" t="s">
        <v>55</v>
      </c>
      <c r="AB65" s="208" t="s">
        <v>350</v>
      </c>
    </row>
    <row r="66" spans="1:28" x14ac:dyDescent="0.15">
      <c r="A66" s="208" t="s">
        <v>34</v>
      </c>
      <c r="B66" s="208" t="s">
        <v>348</v>
      </c>
      <c r="C66" s="208">
        <v>2018</v>
      </c>
      <c r="D66" s="265" t="s">
        <v>356</v>
      </c>
      <c r="E66" s="208" t="s">
        <v>332</v>
      </c>
      <c r="F66" s="208" t="s">
        <v>333</v>
      </c>
      <c r="G66" s="208" t="s">
        <v>36</v>
      </c>
      <c r="H66" s="208" t="s">
        <v>157</v>
      </c>
      <c r="I66" s="208" t="s">
        <v>155</v>
      </c>
      <c r="J66" s="208" t="s">
        <v>38</v>
      </c>
      <c r="K66" s="208" t="s">
        <v>156</v>
      </c>
      <c r="L66" s="208">
        <v>2</v>
      </c>
      <c r="N66" s="208">
        <v>1</v>
      </c>
      <c r="O66" s="208">
        <v>0.5</v>
      </c>
      <c r="P66" s="208">
        <v>0.5</v>
      </c>
      <c r="Q66" s="245">
        <f t="shared" si="0"/>
        <v>0.5</v>
      </c>
      <c r="R66" s="208">
        <v>15</v>
      </c>
      <c r="S66" s="208">
        <v>128</v>
      </c>
      <c r="T66" s="217">
        <f t="shared" si="1"/>
        <v>30</v>
      </c>
      <c r="U66" s="208">
        <v>138</v>
      </c>
      <c r="V66" s="217">
        <f t="shared" si="2"/>
        <v>4140</v>
      </c>
      <c r="W66" s="208">
        <v>2</v>
      </c>
      <c r="X66" s="208" t="s">
        <v>46</v>
      </c>
      <c r="Y66" s="208" t="s">
        <v>69</v>
      </c>
      <c r="Z66" s="208" t="s">
        <v>88</v>
      </c>
      <c r="AA66" s="208" t="s">
        <v>55</v>
      </c>
      <c r="AB66" s="208" t="s">
        <v>350</v>
      </c>
    </row>
    <row r="67" spans="1:28" x14ac:dyDescent="0.15">
      <c r="A67" s="208" t="s">
        <v>34</v>
      </c>
      <c r="B67" s="208" t="s">
        <v>348</v>
      </c>
      <c r="C67" s="208">
        <v>2018</v>
      </c>
      <c r="D67" s="265" t="s">
        <v>356</v>
      </c>
      <c r="E67" s="208" t="s">
        <v>332</v>
      </c>
      <c r="F67" s="208" t="s">
        <v>333</v>
      </c>
      <c r="G67" s="208" t="s">
        <v>36</v>
      </c>
      <c r="H67" s="208" t="s">
        <v>157</v>
      </c>
      <c r="I67" s="208" t="s">
        <v>155</v>
      </c>
      <c r="J67" s="208" t="s">
        <v>38</v>
      </c>
      <c r="K67" s="208" t="s">
        <v>156</v>
      </c>
      <c r="L67" s="208">
        <v>3</v>
      </c>
      <c r="N67" s="208">
        <v>1</v>
      </c>
      <c r="O67" s="208">
        <v>0.55000000000000004</v>
      </c>
      <c r="P67" s="208">
        <v>0.55000000000000004</v>
      </c>
      <c r="Q67" s="245">
        <f t="shared" si="0"/>
        <v>0.55000000000000004</v>
      </c>
      <c r="R67" s="208">
        <v>15.4</v>
      </c>
      <c r="S67" s="208">
        <v>127</v>
      </c>
      <c r="T67" s="217">
        <f t="shared" si="1"/>
        <v>30</v>
      </c>
      <c r="U67" s="208">
        <v>138</v>
      </c>
      <c r="V67" s="217">
        <f t="shared" si="2"/>
        <v>4140</v>
      </c>
      <c r="W67" s="208">
        <v>2</v>
      </c>
      <c r="X67" s="208" t="s">
        <v>46</v>
      </c>
      <c r="Y67" s="208" t="s">
        <v>69</v>
      </c>
      <c r="Z67" s="208" t="s">
        <v>88</v>
      </c>
      <c r="AA67" s="208" t="s">
        <v>55</v>
      </c>
      <c r="AB67" s="208" t="s">
        <v>350</v>
      </c>
    </row>
    <row r="68" spans="1:28" x14ac:dyDescent="0.15">
      <c r="A68" s="208" t="s">
        <v>34</v>
      </c>
      <c r="B68" s="208" t="s">
        <v>348</v>
      </c>
      <c r="C68" s="208">
        <v>2018</v>
      </c>
      <c r="D68" s="265" t="s">
        <v>356</v>
      </c>
      <c r="E68" s="208" t="s">
        <v>332</v>
      </c>
      <c r="F68" s="208" t="s">
        <v>333</v>
      </c>
      <c r="G68" s="208" t="s">
        <v>36</v>
      </c>
      <c r="H68" s="208" t="s">
        <v>219</v>
      </c>
      <c r="I68" s="208" t="s">
        <v>155</v>
      </c>
      <c r="J68" s="208" t="s">
        <v>38</v>
      </c>
      <c r="K68" s="208" t="s">
        <v>156</v>
      </c>
      <c r="L68" s="208">
        <v>1</v>
      </c>
      <c r="N68" s="208">
        <v>6</v>
      </c>
      <c r="O68" s="208">
        <v>0.2</v>
      </c>
      <c r="P68" s="208">
        <v>0.2</v>
      </c>
      <c r="Q68" s="245">
        <f t="shared" si="0"/>
        <v>0.2</v>
      </c>
      <c r="R68" s="208">
        <v>14.7</v>
      </c>
      <c r="S68" s="208">
        <v>77</v>
      </c>
      <c r="T68" s="217">
        <f t="shared" si="1"/>
        <v>39</v>
      </c>
      <c r="U68" s="208">
        <v>430</v>
      </c>
      <c r="V68" s="217">
        <f t="shared" si="2"/>
        <v>2795</v>
      </c>
      <c r="W68" s="208">
        <v>1</v>
      </c>
      <c r="X68" s="208" t="s">
        <v>46</v>
      </c>
      <c r="Y68" s="208" t="s">
        <v>69</v>
      </c>
      <c r="Z68" s="208" t="s">
        <v>88</v>
      </c>
      <c r="AA68" s="208" t="s">
        <v>55</v>
      </c>
      <c r="AB68" s="208" t="s">
        <v>350</v>
      </c>
    </row>
    <row r="69" spans="1:28" x14ac:dyDescent="0.15">
      <c r="A69" s="208" t="s">
        <v>34</v>
      </c>
      <c r="B69" s="208" t="s">
        <v>348</v>
      </c>
      <c r="C69" s="208">
        <v>2018</v>
      </c>
      <c r="D69" s="265" t="s">
        <v>356</v>
      </c>
      <c r="E69" s="208" t="s">
        <v>332</v>
      </c>
      <c r="F69" s="208" t="s">
        <v>333</v>
      </c>
      <c r="G69" s="208" t="s">
        <v>36</v>
      </c>
      <c r="H69" s="208" t="s">
        <v>219</v>
      </c>
      <c r="I69" s="208" t="s">
        <v>155</v>
      </c>
      <c r="J69" s="208" t="s">
        <v>38</v>
      </c>
      <c r="K69" s="208" t="s">
        <v>156</v>
      </c>
      <c r="L69" s="208">
        <v>2</v>
      </c>
      <c r="N69" s="208">
        <v>6</v>
      </c>
      <c r="O69" s="208">
        <v>0.45</v>
      </c>
      <c r="P69" s="208">
        <v>0.55000000000000004</v>
      </c>
      <c r="Q69" s="245">
        <f t="shared" si="0"/>
        <v>0.5</v>
      </c>
      <c r="R69" s="208">
        <v>14.8</v>
      </c>
      <c r="S69" s="208">
        <v>74</v>
      </c>
      <c r="T69" s="217">
        <f t="shared" si="1"/>
        <v>42</v>
      </c>
      <c r="U69" s="208">
        <v>430</v>
      </c>
      <c r="V69" s="217">
        <f t="shared" si="2"/>
        <v>3010</v>
      </c>
      <c r="W69" s="208">
        <v>1</v>
      </c>
      <c r="X69" s="208" t="s">
        <v>46</v>
      </c>
      <c r="Y69" s="208" t="s">
        <v>69</v>
      </c>
      <c r="Z69" s="208" t="s">
        <v>88</v>
      </c>
      <c r="AA69" s="208" t="s">
        <v>55</v>
      </c>
      <c r="AB69" s="208" t="s">
        <v>350</v>
      </c>
    </row>
    <row r="70" spans="1:28" x14ac:dyDescent="0.15">
      <c r="A70" s="208" t="s">
        <v>34</v>
      </c>
      <c r="B70" s="208" t="s">
        <v>348</v>
      </c>
      <c r="C70" s="208">
        <v>2018</v>
      </c>
      <c r="D70" s="265" t="s">
        <v>356</v>
      </c>
      <c r="E70" s="208" t="s">
        <v>332</v>
      </c>
      <c r="F70" s="208" t="s">
        <v>333</v>
      </c>
      <c r="G70" s="208" t="s">
        <v>36</v>
      </c>
      <c r="H70" s="208" t="s">
        <v>219</v>
      </c>
      <c r="I70" s="208" t="s">
        <v>155</v>
      </c>
      <c r="J70" s="208" t="s">
        <v>38</v>
      </c>
      <c r="K70" s="208" t="s">
        <v>156</v>
      </c>
      <c r="L70" s="208">
        <v>3</v>
      </c>
      <c r="N70" s="208">
        <v>6</v>
      </c>
      <c r="O70" s="208">
        <v>0.2</v>
      </c>
      <c r="P70" s="208">
        <v>0.2</v>
      </c>
      <c r="Q70" s="245">
        <f t="shared" si="0"/>
        <v>0.2</v>
      </c>
      <c r="R70" s="208">
        <v>13</v>
      </c>
      <c r="S70" s="208">
        <v>76</v>
      </c>
      <c r="T70" s="217">
        <f t="shared" si="1"/>
        <v>39</v>
      </c>
      <c r="U70" s="208">
        <v>430</v>
      </c>
      <c r="V70" s="217">
        <f t="shared" si="2"/>
        <v>2795</v>
      </c>
      <c r="W70" s="208">
        <v>1</v>
      </c>
      <c r="X70" s="208" t="s">
        <v>46</v>
      </c>
      <c r="Y70" s="208" t="s">
        <v>69</v>
      </c>
      <c r="Z70" s="208" t="s">
        <v>88</v>
      </c>
      <c r="AA70" s="208" t="s">
        <v>55</v>
      </c>
      <c r="AB70" s="208" t="s">
        <v>350</v>
      </c>
    </row>
    <row r="71" spans="1:28" x14ac:dyDescent="0.15">
      <c r="A71" s="208" t="s">
        <v>34</v>
      </c>
      <c r="B71" s="208" t="s">
        <v>348</v>
      </c>
      <c r="C71" s="208">
        <v>2018</v>
      </c>
      <c r="D71" s="265" t="s">
        <v>356</v>
      </c>
      <c r="E71" s="208" t="s">
        <v>332</v>
      </c>
      <c r="F71" s="208" t="s">
        <v>333</v>
      </c>
      <c r="G71" s="208" t="s">
        <v>36</v>
      </c>
      <c r="H71" s="208" t="s">
        <v>164</v>
      </c>
      <c r="I71" s="208" t="s">
        <v>155</v>
      </c>
      <c r="J71" s="208" t="s">
        <v>38</v>
      </c>
      <c r="K71" s="208" t="s">
        <v>156</v>
      </c>
      <c r="L71" s="208">
        <v>1</v>
      </c>
      <c r="N71" s="208">
        <v>1</v>
      </c>
      <c r="O71" s="208">
        <v>0.2</v>
      </c>
      <c r="P71" s="208">
        <v>0.2</v>
      </c>
      <c r="Q71" s="245">
        <f t="shared" si="0"/>
        <v>0.2</v>
      </c>
      <c r="R71" s="208">
        <v>14.8</v>
      </c>
      <c r="S71" s="208">
        <v>146</v>
      </c>
      <c r="T71" s="217">
        <f t="shared" si="1"/>
        <v>30</v>
      </c>
      <c r="U71" s="208">
        <v>171</v>
      </c>
      <c r="V71" s="217">
        <f t="shared" si="2"/>
        <v>5130</v>
      </c>
      <c r="W71" s="208">
        <v>3</v>
      </c>
      <c r="X71" s="208" t="s">
        <v>46</v>
      </c>
      <c r="Y71" s="208" t="s">
        <v>69</v>
      </c>
      <c r="Z71" s="208" t="s">
        <v>88</v>
      </c>
      <c r="AA71" s="208" t="s">
        <v>55</v>
      </c>
      <c r="AB71" s="208" t="s">
        <v>350</v>
      </c>
    </row>
    <row r="72" spans="1:28" x14ac:dyDescent="0.15">
      <c r="A72" s="208" t="s">
        <v>34</v>
      </c>
      <c r="B72" s="208" t="s">
        <v>348</v>
      </c>
      <c r="C72" s="208">
        <v>2018</v>
      </c>
      <c r="D72" s="265" t="s">
        <v>356</v>
      </c>
      <c r="E72" s="208" t="s">
        <v>332</v>
      </c>
      <c r="F72" s="208" t="s">
        <v>333</v>
      </c>
      <c r="G72" s="208" t="s">
        <v>36</v>
      </c>
      <c r="H72" s="208" t="s">
        <v>164</v>
      </c>
      <c r="I72" s="208" t="s">
        <v>155</v>
      </c>
      <c r="J72" s="208" t="s">
        <v>38</v>
      </c>
      <c r="K72" s="208" t="s">
        <v>156</v>
      </c>
      <c r="L72" s="208">
        <v>2</v>
      </c>
      <c r="N72" s="208">
        <v>1</v>
      </c>
      <c r="O72" s="208">
        <v>0.45</v>
      </c>
      <c r="P72" s="208">
        <v>0.45</v>
      </c>
      <c r="Q72" s="245">
        <f t="shared" si="0"/>
        <v>0.45</v>
      </c>
      <c r="R72" s="208">
        <v>15.3</v>
      </c>
      <c r="S72" s="208">
        <v>142</v>
      </c>
      <c r="T72" s="217">
        <f t="shared" si="1"/>
        <v>30</v>
      </c>
      <c r="U72" s="208">
        <v>171</v>
      </c>
      <c r="V72" s="217">
        <f t="shared" si="2"/>
        <v>5130</v>
      </c>
      <c r="W72" s="208">
        <v>3</v>
      </c>
      <c r="X72" s="208" t="s">
        <v>46</v>
      </c>
      <c r="Y72" s="208" t="s">
        <v>69</v>
      </c>
      <c r="Z72" s="208" t="s">
        <v>88</v>
      </c>
      <c r="AA72" s="208" t="s">
        <v>55</v>
      </c>
      <c r="AB72" s="208" t="s">
        <v>350</v>
      </c>
    </row>
    <row r="73" spans="1:28" x14ac:dyDescent="0.15">
      <c r="A73" s="208" t="s">
        <v>34</v>
      </c>
      <c r="B73" s="208" t="s">
        <v>348</v>
      </c>
      <c r="C73" s="208">
        <v>2018</v>
      </c>
      <c r="D73" s="265" t="s">
        <v>356</v>
      </c>
      <c r="E73" s="208" t="s">
        <v>332</v>
      </c>
      <c r="F73" s="208" t="s">
        <v>333</v>
      </c>
      <c r="G73" s="208" t="s">
        <v>36</v>
      </c>
      <c r="H73" s="208" t="s">
        <v>164</v>
      </c>
      <c r="I73" s="208" t="s">
        <v>155</v>
      </c>
      <c r="J73" s="208" t="s">
        <v>38</v>
      </c>
      <c r="K73" s="208" t="s">
        <v>156</v>
      </c>
      <c r="L73" s="208">
        <v>3</v>
      </c>
      <c r="N73" s="208">
        <v>1</v>
      </c>
      <c r="O73" s="208">
        <v>0.6</v>
      </c>
      <c r="P73" s="208">
        <v>0.7</v>
      </c>
      <c r="Q73" s="245">
        <f t="shared" si="0"/>
        <v>0.64999999999999991</v>
      </c>
      <c r="R73" s="208">
        <v>15.1</v>
      </c>
      <c r="S73" s="208">
        <v>139</v>
      </c>
      <c r="T73" s="217">
        <f t="shared" si="1"/>
        <v>30</v>
      </c>
      <c r="U73" s="208">
        <v>171</v>
      </c>
      <c r="V73" s="217">
        <f t="shared" si="2"/>
        <v>5130</v>
      </c>
      <c r="W73" s="208">
        <v>3</v>
      </c>
      <c r="X73" s="208" t="s">
        <v>46</v>
      </c>
      <c r="Y73" s="208" t="s">
        <v>69</v>
      </c>
      <c r="Z73" s="208" t="s">
        <v>88</v>
      </c>
      <c r="AA73" s="208" t="s">
        <v>55</v>
      </c>
      <c r="AB73" s="208" t="s">
        <v>350</v>
      </c>
    </row>
    <row r="74" spans="1:28" x14ac:dyDescent="0.15">
      <c r="A74" s="208" t="s">
        <v>34</v>
      </c>
      <c r="B74" s="208" t="s">
        <v>348</v>
      </c>
      <c r="C74" s="208">
        <v>2018</v>
      </c>
      <c r="D74" s="265" t="s">
        <v>356</v>
      </c>
      <c r="E74" s="208" t="s">
        <v>332</v>
      </c>
      <c r="F74" s="208" t="s">
        <v>333</v>
      </c>
      <c r="G74" s="208" t="s">
        <v>36</v>
      </c>
      <c r="H74" s="208" t="s">
        <v>164</v>
      </c>
      <c r="I74" s="208" t="s">
        <v>155</v>
      </c>
      <c r="J74" s="208" t="s">
        <v>38</v>
      </c>
      <c r="K74" s="208" t="s">
        <v>156</v>
      </c>
      <c r="L74" s="208">
        <v>1</v>
      </c>
      <c r="N74" s="208">
        <v>4</v>
      </c>
      <c r="O74" s="208">
        <v>0.2</v>
      </c>
      <c r="P74" s="208">
        <v>0.2</v>
      </c>
      <c r="Q74" s="245">
        <f t="shared" si="0"/>
        <v>0.2</v>
      </c>
      <c r="R74" s="208">
        <v>16.2</v>
      </c>
      <c r="S74" s="208">
        <v>144</v>
      </c>
      <c r="T74" s="217">
        <f t="shared" si="1"/>
        <v>30</v>
      </c>
      <c r="U74" s="208">
        <v>538</v>
      </c>
      <c r="V74" s="217">
        <f t="shared" si="2"/>
        <v>4035</v>
      </c>
      <c r="W74" s="208">
        <v>3</v>
      </c>
      <c r="X74" s="208" t="s">
        <v>46</v>
      </c>
      <c r="Y74" s="208" t="s">
        <v>69</v>
      </c>
      <c r="Z74" s="208" t="s">
        <v>88</v>
      </c>
      <c r="AA74" s="208" t="s">
        <v>55</v>
      </c>
      <c r="AB74" s="208" t="s">
        <v>350</v>
      </c>
    </row>
    <row r="75" spans="1:28" x14ac:dyDescent="0.15">
      <c r="A75" s="208" t="s">
        <v>34</v>
      </c>
      <c r="B75" s="208" t="s">
        <v>348</v>
      </c>
      <c r="C75" s="208">
        <v>2018</v>
      </c>
      <c r="D75" s="265" t="s">
        <v>356</v>
      </c>
      <c r="E75" s="208" t="s">
        <v>332</v>
      </c>
      <c r="F75" s="208" t="s">
        <v>333</v>
      </c>
      <c r="G75" s="208" t="s">
        <v>36</v>
      </c>
      <c r="H75" s="208" t="s">
        <v>164</v>
      </c>
      <c r="I75" s="208" t="s">
        <v>155</v>
      </c>
      <c r="J75" s="208" t="s">
        <v>38</v>
      </c>
      <c r="K75" s="208" t="s">
        <v>156</v>
      </c>
      <c r="L75" s="208">
        <v>2</v>
      </c>
      <c r="N75" s="208">
        <v>4</v>
      </c>
      <c r="O75" s="208">
        <v>0.6</v>
      </c>
      <c r="P75" s="208">
        <v>0.6</v>
      </c>
      <c r="Q75" s="245">
        <f t="shared" si="0"/>
        <v>0.6</v>
      </c>
      <c r="R75" s="208">
        <v>15.2</v>
      </c>
      <c r="S75" s="208">
        <v>139</v>
      </c>
      <c r="T75" s="217">
        <f t="shared" si="1"/>
        <v>30</v>
      </c>
      <c r="U75" s="208">
        <v>538</v>
      </c>
      <c r="V75" s="217">
        <f t="shared" si="2"/>
        <v>4035</v>
      </c>
      <c r="W75" s="208">
        <v>3</v>
      </c>
      <c r="X75" s="208" t="s">
        <v>46</v>
      </c>
      <c r="Y75" s="208" t="s">
        <v>69</v>
      </c>
      <c r="Z75" s="208" t="s">
        <v>88</v>
      </c>
      <c r="AA75" s="208" t="s">
        <v>55</v>
      </c>
      <c r="AB75" s="208" t="s">
        <v>350</v>
      </c>
    </row>
    <row r="76" spans="1:28" x14ac:dyDescent="0.15">
      <c r="A76" s="208" t="s">
        <v>34</v>
      </c>
      <c r="B76" s="208" t="s">
        <v>348</v>
      </c>
      <c r="C76" s="208">
        <v>2018</v>
      </c>
      <c r="D76" s="265" t="s">
        <v>356</v>
      </c>
      <c r="E76" s="208" t="s">
        <v>332</v>
      </c>
      <c r="F76" s="208" t="s">
        <v>333</v>
      </c>
      <c r="G76" s="208" t="s">
        <v>36</v>
      </c>
      <c r="H76" s="208" t="s">
        <v>164</v>
      </c>
      <c r="I76" s="208" t="s">
        <v>155</v>
      </c>
      <c r="J76" s="208" t="s">
        <v>38</v>
      </c>
      <c r="K76" s="208" t="s">
        <v>156</v>
      </c>
      <c r="L76" s="208">
        <v>3</v>
      </c>
      <c r="N76" s="208">
        <v>4</v>
      </c>
      <c r="O76" s="208">
        <v>0.6</v>
      </c>
      <c r="P76" s="208">
        <v>0.45</v>
      </c>
      <c r="Q76" s="245">
        <f t="shared" si="0"/>
        <v>0.52500000000000002</v>
      </c>
      <c r="R76" s="208">
        <v>15.2</v>
      </c>
      <c r="S76" s="208">
        <v>137</v>
      </c>
      <c r="T76" s="217">
        <f t="shared" si="1"/>
        <v>30</v>
      </c>
      <c r="U76" s="208">
        <v>538</v>
      </c>
      <c r="V76" s="217">
        <f t="shared" si="2"/>
        <v>4035</v>
      </c>
      <c r="W76" s="208">
        <v>3</v>
      </c>
      <c r="X76" s="208" t="s">
        <v>46</v>
      </c>
      <c r="Y76" s="208" t="s">
        <v>69</v>
      </c>
      <c r="Z76" s="208" t="s">
        <v>88</v>
      </c>
      <c r="AA76" s="208" t="s">
        <v>55</v>
      </c>
      <c r="AB76" s="208" t="s">
        <v>350</v>
      </c>
    </row>
    <row r="77" spans="1:28" x14ac:dyDescent="0.15">
      <c r="A77" s="208" t="s">
        <v>34</v>
      </c>
      <c r="B77" s="208" t="s">
        <v>348</v>
      </c>
      <c r="C77" s="208">
        <v>2018</v>
      </c>
      <c r="D77" s="265" t="s">
        <v>356</v>
      </c>
      <c r="E77" s="208" t="s">
        <v>334</v>
      </c>
      <c r="F77" s="208" t="s">
        <v>335</v>
      </c>
      <c r="G77" s="208" t="s">
        <v>36</v>
      </c>
      <c r="H77" s="208" t="s">
        <v>157</v>
      </c>
      <c r="I77" s="208" t="s">
        <v>155</v>
      </c>
      <c r="J77" s="208" t="s">
        <v>38</v>
      </c>
      <c r="K77" s="208" t="s">
        <v>156</v>
      </c>
      <c r="L77" s="208">
        <v>1</v>
      </c>
      <c r="N77" s="208">
        <v>1</v>
      </c>
      <c r="O77" s="208">
        <v>0.7</v>
      </c>
      <c r="P77" s="208">
        <v>0.6</v>
      </c>
      <c r="Q77" s="245">
        <f t="shared" si="0"/>
        <v>0.64999999999999991</v>
      </c>
      <c r="R77" s="208">
        <v>14.4</v>
      </c>
      <c r="S77" s="208">
        <v>138</v>
      </c>
      <c r="T77" s="217">
        <f t="shared" si="1"/>
        <v>30</v>
      </c>
      <c r="U77" s="208">
        <v>108</v>
      </c>
      <c r="V77" s="217">
        <f t="shared" si="2"/>
        <v>3240</v>
      </c>
      <c r="W77" s="208">
        <v>4</v>
      </c>
      <c r="X77" s="208" t="s">
        <v>46</v>
      </c>
      <c r="Y77" s="208" t="s">
        <v>88</v>
      </c>
      <c r="Z77" s="208" t="s">
        <v>90</v>
      </c>
      <c r="AA77" s="208" t="s">
        <v>69</v>
      </c>
      <c r="AB77" s="208" t="s">
        <v>350</v>
      </c>
    </row>
    <row r="78" spans="1:28" x14ac:dyDescent="0.15">
      <c r="A78" s="208" t="s">
        <v>34</v>
      </c>
      <c r="B78" s="208" t="s">
        <v>348</v>
      </c>
      <c r="C78" s="208">
        <v>2018</v>
      </c>
      <c r="D78" s="265" t="s">
        <v>356</v>
      </c>
      <c r="E78" s="208" t="s">
        <v>334</v>
      </c>
      <c r="F78" s="208" t="s">
        <v>335</v>
      </c>
      <c r="G78" s="208" t="s">
        <v>36</v>
      </c>
      <c r="H78" s="208" t="s">
        <v>157</v>
      </c>
      <c r="I78" s="208" t="s">
        <v>155</v>
      </c>
      <c r="J78" s="208" t="s">
        <v>38</v>
      </c>
      <c r="K78" s="208" t="s">
        <v>156</v>
      </c>
      <c r="L78" s="208">
        <v>2</v>
      </c>
      <c r="N78" s="208">
        <v>1</v>
      </c>
      <c r="O78" s="208">
        <v>0.45</v>
      </c>
      <c r="P78" s="208">
        <v>0.5</v>
      </c>
      <c r="Q78" s="245">
        <f t="shared" si="0"/>
        <v>0.47499999999999998</v>
      </c>
      <c r="R78" s="208">
        <v>14.7</v>
      </c>
      <c r="S78" s="208">
        <v>143</v>
      </c>
      <c r="T78" s="217">
        <f t="shared" si="1"/>
        <v>30</v>
      </c>
      <c r="U78" s="208">
        <v>108</v>
      </c>
      <c r="V78" s="217">
        <f t="shared" si="2"/>
        <v>3240</v>
      </c>
      <c r="W78" s="208">
        <v>4</v>
      </c>
      <c r="X78" s="208" t="s">
        <v>46</v>
      </c>
      <c r="Y78" s="208" t="s">
        <v>88</v>
      </c>
      <c r="Z78" s="208" t="s">
        <v>90</v>
      </c>
      <c r="AA78" s="208" t="s">
        <v>69</v>
      </c>
      <c r="AB78" s="208" t="s">
        <v>350</v>
      </c>
    </row>
    <row r="79" spans="1:28" x14ac:dyDescent="0.15">
      <c r="A79" s="208" t="s">
        <v>34</v>
      </c>
      <c r="B79" s="208" t="s">
        <v>348</v>
      </c>
      <c r="C79" s="208">
        <v>2018</v>
      </c>
      <c r="D79" s="265" t="s">
        <v>356</v>
      </c>
      <c r="E79" s="208" t="s">
        <v>334</v>
      </c>
      <c r="F79" s="208" t="s">
        <v>335</v>
      </c>
      <c r="G79" s="208" t="s">
        <v>36</v>
      </c>
      <c r="H79" s="208" t="s">
        <v>157</v>
      </c>
      <c r="I79" s="208" t="s">
        <v>155</v>
      </c>
      <c r="J79" s="208" t="s">
        <v>38</v>
      </c>
      <c r="K79" s="208" t="s">
        <v>156</v>
      </c>
      <c r="L79" s="208">
        <v>3</v>
      </c>
      <c r="N79" s="208">
        <v>1</v>
      </c>
      <c r="O79" s="208">
        <v>0.85</v>
      </c>
      <c r="P79" s="208">
        <v>0.9</v>
      </c>
      <c r="Q79" s="245">
        <f t="shared" si="0"/>
        <v>0.875</v>
      </c>
      <c r="R79" s="208">
        <v>13</v>
      </c>
      <c r="S79" s="208">
        <v>133</v>
      </c>
      <c r="T79" s="217">
        <f t="shared" si="1"/>
        <v>30</v>
      </c>
      <c r="U79" s="208">
        <v>108</v>
      </c>
      <c r="V79" s="217">
        <f t="shared" si="2"/>
        <v>3240</v>
      </c>
      <c r="W79" s="208">
        <v>4</v>
      </c>
      <c r="X79" s="208" t="s">
        <v>46</v>
      </c>
      <c r="Y79" s="208" t="s">
        <v>88</v>
      </c>
      <c r="Z79" s="208" t="s">
        <v>90</v>
      </c>
      <c r="AA79" s="208" t="s">
        <v>69</v>
      </c>
      <c r="AB79" s="208" t="s">
        <v>350</v>
      </c>
    </row>
    <row r="80" spans="1:28" x14ac:dyDescent="0.15">
      <c r="A80" s="208" t="s">
        <v>34</v>
      </c>
      <c r="B80" s="208" t="s">
        <v>348</v>
      </c>
      <c r="C80" s="208">
        <v>2018</v>
      </c>
      <c r="D80" s="265" t="s">
        <v>356</v>
      </c>
      <c r="E80" s="208" t="s">
        <v>334</v>
      </c>
      <c r="F80" s="208" t="s">
        <v>335</v>
      </c>
      <c r="G80" s="208" t="s">
        <v>36</v>
      </c>
      <c r="H80" s="208" t="s">
        <v>157</v>
      </c>
      <c r="I80" s="208" t="s">
        <v>155</v>
      </c>
      <c r="J80" s="208" t="s">
        <v>38</v>
      </c>
      <c r="K80" s="208" t="s">
        <v>156</v>
      </c>
      <c r="L80" s="208">
        <v>1</v>
      </c>
      <c r="N80" s="208">
        <v>4</v>
      </c>
      <c r="O80" s="208">
        <v>0.2</v>
      </c>
      <c r="P80" s="208">
        <v>0.2</v>
      </c>
      <c r="Q80" s="245">
        <f t="shared" si="0"/>
        <v>0.2</v>
      </c>
      <c r="R80" s="208">
        <v>14.3</v>
      </c>
      <c r="S80" s="208">
        <v>93</v>
      </c>
      <c r="T80" s="217">
        <f t="shared" si="1"/>
        <v>36</v>
      </c>
      <c r="U80" s="208">
        <v>321</v>
      </c>
      <c r="V80" s="217">
        <f t="shared" si="2"/>
        <v>2889</v>
      </c>
      <c r="W80" s="208">
        <v>4</v>
      </c>
      <c r="X80" s="208" t="s">
        <v>46</v>
      </c>
      <c r="Y80" s="208" t="s">
        <v>88</v>
      </c>
      <c r="Z80" s="208" t="s">
        <v>90</v>
      </c>
      <c r="AA80" s="208" t="s">
        <v>69</v>
      </c>
      <c r="AB80" s="208" t="s">
        <v>350</v>
      </c>
    </row>
    <row r="81" spans="1:28" x14ac:dyDescent="0.15">
      <c r="A81" s="208" t="s">
        <v>34</v>
      </c>
      <c r="B81" s="208" t="s">
        <v>348</v>
      </c>
      <c r="C81" s="208">
        <v>2018</v>
      </c>
      <c r="D81" s="265" t="s">
        <v>356</v>
      </c>
      <c r="E81" s="208" t="s">
        <v>334</v>
      </c>
      <c r="F81" s="208" t="s">
        <v>335</v>
      </c>
      <c r="G81" s="208" t="s">
        <v>36</v>
      </c>
      <c r="H81" s="208" t="s">
        <v>157</v>
      </c>
      <c r="I81" s="208" t="s">
        <v>155</v>
      </c>
      <c r="J81" s="208" t="s">
        <v>38</v>
      </c>
      <c r="K81" s="208" t="s">
        <v>156</v>
      </c>
      <c r="L81" s="208">
        <v>2</v>
      </c>
      <c r="N81" s="208">
        <v>4</v>
      </c>
      <c r="O81" s="208">
        <v>0.2</v>
      </c>
      <c r="P81" s="208">
        <v>0.2</v>
      </c>
      <c r="Q81" s="245">
        <f t="shared" si="0"/>
        <v>0.2</v>
      </c>
      <c r="R81" s="208">
        <v>13.7</v>
      </c>
      <c r="S81" s="208">
        <v>97</v>
      </c>
      <c r="T81" s="217">
        <f t="shared" si="1"/>
        <v>36</v>
      </c>
      <c r="U81" s="208">
        <v>321</v>
      </c>
      <c r="V81" s="217">
        <f t="shared" si="2"/>
        <v>2889</v>
      </c>
      <c r="W81" s="208">
        <v>4</v>
      </c>
      <c r="X81" s="208" t="s">
        <v>46</v>
      </c>
      <c r="Y81" s="208" t="s">
        <v>88</v>
      </c>
      <c r="Z81" s="208" t="s">
        <v>90</v>
      </c>
      <c r="AA81" s="208" t="s">
        <v>69</v>
      </c>
      <c r="AB81" s="208" t="s">
        <v>350</v>
      </c>
    </row>
    <row r="82" spans="1:28" x14ac:dyDescent="0.15">
      <c r="A82" s="208" t="s">
        <v>34</v>
      </c>
      <c r="B82" s="208" t="s">
        <v>348</v>
      </c>
      <c r="C82" s="208">
        <v>2018</v>
      </c>
      <c r="D82" s="265" t="s">
        <v>356</v>
      </c>
      <c r="E82" s="208" t="s">
        <v>334</v>
      </c>
      <c r="F82" s="208" t="s">
        <v>335</v>
      </c>
      <c r="G82" s="208" t="s">
        <v>36</v>
      </c>
      <c r="H82" s="208" t="s">
        <v>157</v>
      </c>
      <c r="I82" s="208" t="s">
        <v>155</v>
      </c>
      <c r="J82" s="208" t="s">
        <v>38</v>
      </c>
      <c r="K82" s="208" t="s">
        <v>156</v>
      </c>
      <c r="L82" s="208">
        <v>3</v>
      </c>
      <c r="N82" s="208">
        <v>4</v>
      </c>
      <c r="O82" s="208">
        <v>0.2</v>
      </c>
      <c r="P82" s="208">
        <v>0.2</v>
      </c>
      <c r="Q82" s="245">
        <f t="shared" si="0"/>
        <v>0.2</v>
      </c>
      <c r="R82" s="208">
        <v>13.3</v>
      </c>
      <c r="S82" s="208">
        <v>100</v>
      </c>
      <c r="T82" s="217">
        <f t="shared" si="1"/>
        <v>33</v>
      </c>
      <c r="U82" s="208">
        <v>321</v>
      </c>
      <c r="V82" s="217">
        <f t="shared" si="2"/>
        <v>2648.25</v>
      </c>
      <c r="W82" s="208">
        <v>4</v>
      </c>
      <c r="X82" s="208" t="s">
        <v>46</v>
      </c>
      <c r="Y82" s="208" t="s">
        <v>88</v>
      </c>
      <c r="Z82" s="208" t="s">
        <v>90</v>
      </c>
      <c r="AA82" s="208" t="s">
        <v>69</v>
      </c>
      <c r="AB82" s="208" t="s">
        <v>350</v>
      </c>
    </row>
    <row r="83" spans="1:28" x14ac:dyDescent="0.15">
      <c r="A83" s="208" t="s">
        <v>34</v>
      </c>
      <c r="B83" s="208" t="s">
        <v>348</v>
      </c>
      <c r="C83" s="208">
        <v>2018</v>
      </c>
      <c r="D83" s="265" t="s">
        <v>356</v>
      </c>
      <c r="E83" s="208" t="s">
        <v>334</v>
      </c>
      <c r="F83" s="208" t="s">
        <v>335</v>
      </c>
      <c r="G83" s="208" t="s">
        <v>36</v>
      </c>
      <c r="H83" s="208" t="s">
        <v>219</v>
      </c>
      <c r="I83" s="208" t="s">
        <v>155</v>
      </c>
      <c r="J83" s="208" t="s">
        <v>38</v>
      </c>
      <c r="K83" s="208" t="s">
        <v>156</v>
      </c>
      <c r="L83" s="208">
        <v>1</v>
      </c>
      <c r="N83" s="208">
        <v>4</v>
      </c>
      <c r="O83" s="208">
        <v>0.2</v>
      </c>
      <c r="P83" s="208">
        <v>0.2</v>
      </c>
      <c r="Q83" s="245">
        <f t="shared" ref="Q83:Q115" si="5">IF(OR(O83="",P83=""),"",AVERAGE(O83,P83))</f>
        <v>0.2</v>
      </c>
      <c r="R83" s="208">
        <v>17.899999999999999</v>
      </c>
      <c r="S83" s="208">
        <v>86</v>
      </c>
      <c r="T83" s="217">
        <f t="shared" ref="T83:T123" si="6">IF(H83="","",IF(OR(H83="GREEN",H83="GK"),IF(S83&gt;=$AX$2,VLOOKUP(S83,$AX$2:$AY$9,2,1),""),IF(S83&gt;=$AZ$2,VLOOKUP(S83,$AZ$2:$BA$9,2,1),"")))</f>
        <v>36</v>
      </c>
      <c r="U83" s="208">
        <v>321</v>
      </c>
      <c r="V83" s="217">
        <f t="shared" si="2"/>
        <v>2889</v>
      </c>
      <c r="W83" s="208">
        <v>2</v>
      </c>
      <c r="X83" s="208" t="s">
        <v>46</v>
      </c>
      <c r="Y83" s="208" t="s">
        <v>88</v>
      </c>
      <c r="Z83" s="208" t="s">
        <v>90</v>
      </c>
      <c r="AA83" s="208" t="s">
        <v>69</v>
      </c>
      <c r="AB83" s="208" t="s">
        <v>350</v>
      </c>
    </row>
    <row r="84" spans="1:28" x14ac:dyDescent="0.15">
      <c r="A84" s="208" t="s">
        <v>34</v>
      </c>
      <c r="B84" s="208" t="s">
        <v>348</v>
      </c>
      <c r="C84" s="208">
        <v>2018</v>
      </c>
      <c r="D84" s="265" t="s">
        <v>356</v>
      </c>
      <c r="E84" s="208" t="s">
        <v>334</v>
      </c>
      <c r="F84" s="208" t="s">
        <v>335</v>
      </c>
      <c r="G84" s="208" t="s">
        <v>36</v>
      </c>
      <c r="H84" s="208" t="s">
        <v>219</v>
      </c>
      <c r="I84" s="208" t="s">
        <v>155</v>
      </c>
      <c r="J84" s="208" t="s">
        <v>38</v>
      </c>
      <c r="K84" s="208" t="s">
        <v>156</v>
      </c>
      <c r="L84" s="208">
        <v>2</v>
      </c>
      <c r="N84" s="208">
        <v>4</v>
      </c>
      <c r="O84" s="208">
        <v>0.6</v>
      </c>
      <c r="P84" s="208">
        <v>0.5</v>
      </c>
      <c r="Q84" s="245">
        <f t="shared" si="5"/>
        <v>0.55000000000000004</v>
      </c>
      <c r="R84" s="208">
        <v>18.600000000000001</v>
      </c>
      <c r="S84" s="208">
        <v>86</v>
      </c>
      <c r="T84" s="217">
        <f t="shared" si="6"/>
        <v>36</v>
      </c>
      <c r="U84" s="208">
        <v>321</v>
      </c>
      <c r="V84" s="217">
        <f t="shared" ref="V84:V121" si="7">IF(OR(N84="",U84="",T84=""),"",U84/N84*T84)</f>
        <v>2889</v>
      </c>
      <c r="W84" s="208">
        <v>2</v>
      </c>
      <c r="X84" s="208" t="s">
        <v>46</v>
      </c>
      <c r="Y84" s="208" t="s">
        <v>88</v>
      </c>
      <c r="Z84" s="208" t="s">
        <v>90</v>
      </c>
      <c r="AA84" s="208" t="s">
        <v>69</v>
      </c>
      <c r="AB84" s="208" t="s">
        <v>350</v>
      </c>
    </row>
    <row r="85" spans="1:28" x14ac:dyDescent="0.15">
      <c r="A85" s="208" t="s">
        <v>34</v>
      </c>
      <c r="B85" s="208" t="s">
        <v>348</v>
      </c>
      <c r="C85" s="208">
        <v>2018</v>
      </c>
      <c r="D85" s="265" t="s">
        <v>356</v>
      </c>
      <c r="E85" s="208" t="s">
        <v>334</v>
      </c>
      <c r="F85" s="208" t="s">
        <v>335</v>
      </c>
      <c r="G85" s="208" t="s">
        <v>36</v>
      </c>
      <c r="H85" s="208" t="s">
        <v>219</v>
      </c>
      <c r="I85" s="208" t="s">
        <v>155</v>
      </c>
      <c r="J85" s="208" t="s">
        <v>38</v>
      </c>
      <c r="K85" s="208" t="s">
        <v>156</v>
      </c>
      <c r="L85" s="208">
        <v>3</v>
      </c>
      <c r="N85" s="208">
        <v>4</v>
      </c>
      <c r="O85" s="208">
        <v>0.6</v>
      </c>
      <c r="P85" s="208">
        <v>0.55000000000000004</v>
      </c>
      <c r="Q85" s="245">
        <f t="shared" si="5"/>
        <v>0.57499999999999996</v>
      </c>
      <c r="R85" s="208">
        <v>16.5</v>
      </c>
      <c r="S85" s="208">
        <v>90</v>
      </c>
      <c r="T85" s="217">
        <f t="shared" si="6"/>
        <v>36</v>
      </c>
      <c r="U85" s="208">
        <v>321</v>
      </c>
      <c r="V85" s="217">
        <f t="shared" si="7"/>
        <v>2889</v>
      </c>
      <c r="W85" s="208">
        <v>2</v>
      </c>
      <c r="X85" s="208" t="s">
        <v>46</v>
      </c>
      <c r="Y85" s="208" t="s">
        <v>88</v>
      </c>
      <c r="Z85" s="208" t="s">
        <v>90</v>
      </c>
      <c r="AA85" s="208" t="s">
        <v>69</v>
      </c>
      <c r="AB85" s="208" t="s">
        <v>350</v>
      </c>
    </row>
    <row r="86" spans="1:28" x14ac:dyDescent="0.15">
      <c r="A86" s="208" t="s">
        <v>34</v>
      </c>
      <c r="B86" s="208" t="s">
        <v>348</v>
      </c>
      <c r="C86" s="208">
        <v>2018</v>
      </c>
      <c r="D86" s="265" t="s">
        <v>356</v>
      </c>
      <c r="E86" s="208" t="s">
        <v>334</v>
      </c>
      <c r="F86" s="208" t="s">
        <v>335</v>
      </c>
      <c r="G86" s="208" t="s">
        <v>36</v>
      </c>
      <c r="H86" s="208" t="s">
        <v>164</v>
      </c>
      <c r="I86" s="208" t="s">
        <v>155</v>
      </c>
      <c r="J86" s="208" t="s">
        <v>38</v>
      </c>
      <c r="K86" s="208" t="s">
        <v>156</v>
      </c>
      <c r="L86" s="208">
        <v>1</v>
      </c>
      <c r="N86" s="208">
        <v>1</v>
      </c>
      <c r="O86" s="208">
        <v>0.7</v>
      </c>
      <c r="P86" s="208">
        <v>0.7</v>
      </c>
      <c r="Q86" s="245">
        <f t="shared" si="5"/>
        <v>0.7</v>
      </c>
      <c r="R86" s="208">
        <v>17.600000000000001</v>
      </c>
      <c r="S86" s="208">
        <v>156</v>
      </c>
      <c r="T86" s="217">
        <f t="shared" si="6"/>
        <v>18</v>
      </c>
      <c r="U86" s="208">
        <v>138</v>
      </c>
      <c r="V86" s="217">
        <f t="shared" si="7"/>
        <v>2484</v>
      </c>
      <c r="W86" s="208">
        <v>2</v>
      </c>
      <c r="X86" s="208" t="s">
        <v>46</v>
      </c>
      <c r="Y86" s="208" t="s">
        <v>88</v>
      </c>
      <c r="Z86" s="208" t="s">
        <v>90</v>
      </c>
      <c r="AA86" s="208" t="s">
        <v>69</v>
      </c>
      <c r="AB86" s="208" t="s">
        <v>350</v>
      </c>
    </row>
    <row r="87" spans="1:28" x14ac:dyDescent="0.15">
      <c r="A87" s="208" t="s">
        <v>34</v>
      </c>
      <c r="B87" s="208" t="s">
        <v>348</v>
      </c>
      <c r="C87" s="208">
        <v>2018</v>
      </c>
      <c r="D87" s="265" t="s">
        <v>356</v>
      </c>
      <c r="E87" s="208" t="s">
        <v>334</v>
      </c>
      <c r="F87" s="208" t="s">
        <v>335</v>
      </c>
      <c r="G87" s="208" t="s">
        <v>36</v>
      </c>
      <c r="H87" s="208" t="s">
        <v>164</v>
      </c>
      <c r="I87" s="208" t="s">
        <v>155</v>
      </c>
      <c r="J87" s="208" t="s">
        <v>38</v>
      </c>
      <c r="K87" s="208" t="s">
        <v>156</v>
      </c>
      <c r="L87" s="208">
        <v>2</v>
      </c>
      <c r="N87" s="208">
        <v>1</v>
      </c>
      <c r="O87" s="208">
        <v>0.6</v>
      </c>
      <c r="P87" s="208">
        <v>0.7</v>
      </c>
      <c r="Q87" s="245">
        <f t="shared" si="5"/>
        <v>0.64999999999999991</v>
      </c>
      <c r="R87" s="208">
        <v>15.9</v>
      </c>
      <c r="S87" s="208">
        <v>153</v>
      </c>
      <c r="T87" s="217">
        <f t="shared" si="6"/>
        <v>18</v>
      </c>
      <c r="U87" s="208">
        <v>138</v>
      </c>
      <c r="V87" s="217">
        <f t="shared" si="7"/>
        <v>2484</v>
      </c>
      <c r="W87" s="208">
        <v>2</v>
      </c>
      <c r="X87" s="208" t="s">
        <v>46</v>
      </c>
      <c r="Y87" s="208" t="s">
        <v>88</v>
      </c>
      <c r="Z87" s="208" t="s">
        <v>90</v>
      </c>
      <c r="AA87" s="208" t="s">
        <v>69</v>
      </c>
      <c r="AB87" s="208" t="s">
        <v>350</v>
      </c>
    </row>
    <row r="88" spans="1:28" x14ac:dyDescent="0.15">
      <c r="A88" s="208" t="s">
        <v>34</v>
      </c>
      <c r="B88" s="208" t="s">
        <v>348</v>
      </c>
      <c r="C88" s="208">
        <v>2018</v>
      </c>
      <c r="D88" s="265" t="s">
        <v>356</v>
      </c>
      <c r="E88" s="208" t="s">
        <v>334</v>
      </c>
      <c r="F88" s="208" t="s">
        <v>335</v>
      </c>
      <c r="G88" s="208" t="s">
        <v>36</v>
      </c>
      <c r="H88" s="208" t="s">
        <v>164</v>
      </c>
      <c r="I88" s="208" t="s">
        <v>155</v>
      </c>
      <c r="J88" s="208" t="s">
        <v>38</v>
      </c>
      <c r="K88" s="208" t="s">
        <v>156</v>
      </c>
      <c r="L88" s="208">
        <v>3</v>
      </c>
      <c r="N88" s="208">
        <v>1</v>
      </c>
      <c r="O88" s="208">
        <v>0.2</v>
      </c>
      <c r="P88" s="208">
        <v>0.65</v>
      </c>
      <c r="Q88" s="245">
        <f t="shared" si="5"/>
        <v>0.42500000000000004</v>
      </c>
      <c r="R88" s="208">
        <v>15.5</v>
      </c>
      <c r="S88" s="208">
        <v>152</v>
      </c>
      <c r="T88" s="217">
        <f t="shared" si="6"/>
        <v>18</v>
      </c>
      <c r="U88" s="208">
        <v>138</v>
      </c>
      <c r="V88" s="217">
        <f t="shared" si="7"/>
        <v>2484</v>
      </c>
      <c r="W88" s="208">
        <v>2</v>
      </c>
      <c r="X88" s="208" t="s">
        <v>46</v>
      </c>
      <c r="Y88" s="208" t="s">
        <v>88</v>
      </c>
      <c r="Z88" s="208" t="s">
        <v>90</v>
      </c>
      <c r="AA88" s="208" t="s">
        <v>69</v>
      </c>
      <c r="AB88" s="208" t="s">
        <v>350</v>
      </c>
    </row>
    <row r="89" spans="1:28" x14ac:dyDescent="0.15">
      <c r="A89" s="208" t="s">
        <v>34</v>
      </c>
      <c r="B89" s="208" t="s">
        <v>348</v>
      </c>
      <c r="C89" s="208">
        <v>2018</v>
      </c>
      <c r="D89" s="265" t="s">
        <v>356</v>
      </c>
      <c r="E89" s="208" t="s">
        <v>336</v>
      </c>
      <c r="F89" s="208" t="s">
        <v>337</v>
      </c>
      <c r="G89" s="208" t="s">
        <v>36</v>
      </c>
      <c r="H89" s="208" t="s">
        <v>157</v>
      </c>
      <c r="I89" s="208" t="s">
        <v>155</v>
      </c>
      <c r="J89" s="208" t="s">
        <v>38</v>
      </c>
      <c r="K89" s="208" t="s">
        <v>156</v>
      </c>
      <c r="L89" s="208">
        <v>1</v>
      </c>
      <c r="N89" s="208">
        <v>1</v>
      </c>
      <c r="O89" s="208">
        <v>0.65</v>
      </c>
      <c r="P89" s="208">
        <v>0.75</v>
      </c>
      <c r="Q89" s="245">
        <f t="shared" si="5"/>
        <v>0.7</v>
      </c>
      <c r="R89" s="208">
        <v>14.7</v>
      </c>
      <c r="S89" s="208">
        <v>137</v>
      </c>
      <c r="T89" s="217">
        <f t="shared" si="6"/>
        <v>30</v>
      </c>
      <c r="U89" s="208">
        <v>108</v>
      </c>
      <c r="V89" s="217">
        <f t="shared" si="7"/>
        <v>3240</v>
      </c>
      <c r="W89" s="208">
        <v>6</v>
      </c>
      <c r="X89" s="208" t="s">
        <v>46</v>
      </c>
      <c r="Y89" s="208" t="s">
        <v>55</v>
      </c>
      <c r="Z89" s="208" t="s">
        <v>88</v>
      </c>
      <c r="AA89" s="208" t="s">
        <v>69</v>
      </c>
      <c r="AB89" s="208" t="s">
        <v>350</v>
      </c>
    </row>
    <row r="90" spans="1:28" x14ac:dyDescent="0.15">
      <c r="A90" s="208" t="s">
        <v>34</v>
      </c>
      <c r="B90" s="208" t="s">
        <v>348</v>
      </c>
      <c r="C90" s="208">
        <v>2018</v>
      </c>
      <c r="D90" s="265" t="s">
        <v>356</v>
      </c>
      <c r="E90" s="208" t="s">
        <v>336</v>
      </c>
      <c r="F90" s="208" t="s">
        <v>337</v>
      </c>
      <c r="G90" s="208" t="s">
        <v>36</v>
      </c>
      <c r="H90" s="208" t="s">
        <v>157</v>
      </c>
      <c r="I90" s="208" t="s">
        <v>155</v>
      </c>
      <c r="J90" s="208" t="s">
        <v>38</v>
      </c>
      <c r="K90" s="208" t="s">
        <v>156</v>
      </c>
      <c r="L90" s="208">
        <v>2</v>
      </c>
      <c r="N90" s="208">
        <v>1</v>
      </c>
      <c r="O90" s="208">
        <v>1.25</v>
      </c>
      <c r="P90" s="208">
        <v>1.05</v>
      </c>
      <c r="Q90" s="245">
        <f t="shared" si="5"/>
        <v>1.1499999999999999</v>
      </c>
      <c r="R90" s="208">
        <v>14</v>
      </c>
      <c r="S90" s="208">
        <v>146</v>
      </c>
      <c r="T90" s="217">
        <f t="shared" si="6"/>
        <v>30</v>
      </c>
      <c r="U90" s="208">
        <v>108</v>
      </c>
      <c r="V90" s="217">
        <f t="shared" si="7"/>
        <v>3240</v>
      </c>
      <c r="W90" s="208">
        <v>6</v>
      </c>
      <c r="X90" s="208" t="s">
        <v>46</v>
      </c>
      <c r="Y90" s="208" t="s">
        <v>55</v>
      </c>
      <c r="Z90" s="208" t="s">
        <v>88</v>
      </c>
      <c r="AA90" s="208" t="s">
        <v>69</v>
      </c>
      <c r="AB90" s="208" t="s">
        <v>350</v>
      </c>
    </row>
    <row r="91" spans="1:28" x14ac:dyDescent="0.15">
      <c r="A91" s="208" t="s">
        <v>34</v>
      </c>
      <c r="B91" s="208" t="s">
        <v>348</v>
      </c>
      <c r="C91" s="208">
        <v>2018</v>
      </c>
      <c r="D91" s="265" t="s">
        <v>356</v>
      </c>
      <c r="E91" s="208" t="s">
        <v>336</v>
      </c>
      <c r="F91" s="208" t="s">
        <v>337</v>
      </c>
      <c r="G91" s="208" t="s">
        <v>36</v>
      </c>
      <c r="H91" s="208" t="s">
        <v>157</v>
      </c>
      <c r="I91" s="208" t="s">
        <v>155</v>
      </c>
      <c r="J91" s="208" t="s">
        <v>38</v>
      </c>
      <c r="K91" s="208" t="s">
        <v>156</v>
      </c>
      <c r="L91" s="208">
        <v>3</v>
      </c>
      <c r="N91" s="208">
        <v>1</v>
      </c>
      <c r="O91" s="208">
        <v>0.8</v>
      </c>
      <c r="P91" s="208">
        <v>0.8</v>
      </c>
      <c r="Q91" s="245">
        <f t="shared" si="5"/>
        <v>0.8</v>
      </c>
      <c r="R91" s="208">
        <v>15.2</v>
      </c>
      <c r="S91" s="208">
        <v>142</v>
      </c>
      <c r="T91" s="217">
        <f t="shared" si="6"/>
        <v>30</v>
      </c>
      <c r="U91" s="208">
        <v>108</v>
      </c>
      <c r="V91" s="217">
        <f t="shared" si="7"/>
        <v>3240</v>
      </c>
      <c r="W91" s="208">
        <v>6</v>
      </c>
      <c r="X91" s="208" t="s">
        <v>46</v>
      </c>
      <c r="Y91" s="208" t="s">
        <v>55</v>
      </c>
      <c r="Z91" s="208" t="s">
        <v>88</v>
      </c>
      <c r="AA91" s="208" t="s">
        <v>69</v>
      </c>
      <c r="AB91" s="208" t="s">
        <v>350</v>
      </c>
    </row>
    <row r="92" spans="1:28" x14ac:dyDescent="0.15">
      <c r="A92" s="208" t="s">
        <v>34</v>
      </c>
      <c r="B92" s="208" t="s">
        <v>348</v>
      </c>
      <c r="C92" s="208">
        <v>2018</v>
      </c>
      <c r="D92" s="265" t="s">
        <v>356</v>
      </c>
      <c r="E92" s="208" t="s">
        <v>336</v>
      </c>
      <c r="F92" s="208" t="s">
        <v>337</v>
      </c>
      <c r="G92" s="208" t="s">
        <v>36</v>
      </c>
      <c r="H92" s="208" t="s">
        <v>157</v>
      </c>
      <c r="I92" s="208" t="s">
        <v>155</v>
      </c>
      <c r="J92" s="208" t="s">
        <v>38</v>
      </c>
      <c r="K92" s="208" t="s">
        <v>156</v>
      </c>
      <c r="L92" s="208">
        <v>1</v>
      </c>
      <c r="N92" s="208">
        <v>4</v>
      </c>
      <c r="O92" s="208">
        <v>0.45</v>
      </c>
      <c r="P92" s="208">
        <v>0.5</v>
      </c>
      <c r="Q92" s="245">
        <f t="shared" si="5"/>
        <v>0.47499999999999998</v>
      </c>
      <c r="R92" s="208">
        <v>14.7</v>
      </c>
      <c r="S92" s="208">
        <v>92</v>
      </c>
      <c r="T92" s="217">
        <f t="shared" si="6"/>
        <v>36</v>
      </c>
      <c r="U92" s="208">
        <v>322</v>
      </c>
      <c r="V92" s="217">
        <f t="shared" si="7"/>
        <v>2898</v>
      </c>
      <c r="W92" s="208">
        <v>6</v>
      </c>
      <c r="X92" s="208" t="s">
        <v>46</v>
      </c>
      <c r="Y92" s="208" t="s">
        <v>55</v>
      </c>
      <c r="Z92" s="208" t="s">
        <v>88</v>
      </c>
      <c r="AA92" s="208" t="s">
        <v>69</v>
      </c>
      <c r="AB92" s="208" t="s">
        <v>350</v>
      </c>
    </row>
    <row r="93" spans="1:28" x14ac:dyDescent="0.15">
      <c r="A93" s="208" t="s">
        <v>34</v>
      </c>
      <c r="B93" s="208" t="s">
        <v>348</v>
      </c>
      <c r="C93" s="208">
        <v>2018</v>
      </c>
      <c r="D93" s="265" t="s">
        <v>356</v>
      </c>
      <c r="E93" s="208" t="s">
        <v>336</v>
      </c>
      <c r="F93" s="208" t="s">
        <v>337</v>
      </c>
      <c r="G93" s="208" t="s">
        <v>36</v>
      </c>
      <c r="H93" s="208" t="s">
        <v>157</v>
      </c>
      <c r="I93" s="208" t="s">
        <v>155</v>
      </c>
      <c r="J93" s="208" t="s">
        <v>38</v>
      </c>
      <c r="K93" s="208" t="s">
        <v>156</v>
      </c>
      <c r="L93" s="208">
        <v>2</v>
      </c>
      <c r="N93" s="208">
        <v>4</v>
      </c>
      <c r="O93" s="208">
        <v>0.45</v>
      </c>
      <c r="P93" s="208">
        <v>0.45</v>
      </c>
      <c r="Q93" s="245">
        <f t="shared" si="5"/>
        <v>0.45</v>
      </c>
      <c r="R93" s="208">
        <v>13.8</v>
      </c>
      <c r="S93" s="208">
        <v>90</v>
      </c>
      <c r="T93" s="217">
        <f t="shared" si="6"/>
        <v>36</v>
      </c>
      <c r="U93" s="208">
        <v>322</v>
      </c>
      <c r="V93" s="217">
        <f t="shared" si="7"/>
        <v>2898</v>
      </c>
      <c r="W93" s="208">
        <v>6</v>
      </c>
      <c r="X93" s="208" t="s">
        <v>46</v>
      </c>
      <c r="Y93" s="208" t="s">
        <v>55</v>
      </c>
      <c r="Z93" s="208" t="s">
        <v>88</v>
      </c>
      <c r="AA93" s="208" t="s">
        <v>69</v>
      </c>
      <c r="AB93" s="208" t="s">
        <v>350</v>
      </c>
    </row>
    <row r="94" spans="1:28" x14ac:dyDescent="0.15">
      <c r="A94" s="208" t="s">
        <v>34</v>
      </c>
      <c r="B94" s="208" t="s">
        <v>348</v>
      </c>
      <c r="C94" s="208">
        <v>2018</v>
      </c>
      <c r="D94" s="265" t="s">
        <v>356</v>
      </c>
      <c r="E94" s="208" t="s">
        <v>336</v>
      </c>
      <c r="F94" s="208" t="s">
        <v>337</v>
      </c>
      <c r="G94" s="208" t="s">
        <v>36</v>
      </c>
      <c r="H94" s="208" t="s">
        <v>157</v>
      </c>
      <c r="I94" s="208" t="s">
        <v>155</v>
      </c>
      <c r="J94" s="208" t="s">
        <v>38</v>
      </c>
      <c r="K94" s="208" t="s">
        <v>156</v>
      </c>
      <c r="L94" s="208">
        <v>3</v>
      </c>
      <c r="N94" s="208">
        <v>4</v>
      </c>
      <c r="O94" s="208">
        <v>0.45</v>
      </c>
      <c r="P94" s="208">
        <v>0.2</v>
      </c>
      <c r="Q94" s="245">
        <f t="shared" si="5"/>
        <v>0.32500000000000001</v>
      </c>
      <c r="R94" s="208">
        <v>11.7</v>
      </c>
      <c r="S94" s="208">
        <v>86</v>
      </c>
      <c r="T94" s="217">
        <f t="shared" si="6"/>
        <v>36</v>
      </c>
      <c r="U94" s="208">
        <v>322</v>
      </c>
      <c r="V94" s="217">
        <f t="shared" si="7"/>
        <v>2898</v>
      </c>
      <c r="W94" s="208">
        <v>6</v>
      </c>
      <c r="X94" s="208" t="s">
        <v>46</v>
      </c>
      <c r="Y94" s="208" t="s">
        <v>55</v>
      </c>
      <c r="Z94" s="208" t="s">
        <v>88</v>
      </c>
      <c r="AA94" s="208" t="s">
        <v>69</v>
      </c>
      <c r="AB94" s="208" t="s">
        <v>350</v>
      </c>
    </row>
    <row r="95" spans="1:28" x14ac:dyDescent="0.15">
      <c r="A95" s="208" t="s">
        <v>34</v>
      </c>
      <c r="B95" s="208" t="s">
        <v>348</v>
      </c>
      <c r="C95" s="208">
        <v>2018</v>
      </c>
      <c r="D95" s="265" t="s">
        <v>356</v>
      </c>
      <c r="E95" s="208" t="s">
        <v>336</v>
      </c>
      <c r="F95" s="208" t="s">
        <v>337</v>
      </c>
      <c r="G95" s="208" t="s">
        <v>36</v>
      </c>
      <c r="H95" s="208" t="s">
        <v>164</v>
      </c>
      <c r="I95" s="208" t="s">
        <v>155</v>
      </c>
      <c r="J95" s="208" t="s">
        <v>38</v>
      </c>
      <c r="K95" s="208" t="s">
        <v>156</v>
      </c>
      <c r="L95" s="208">
        <v>1</v>
      </c>
      <c r="N95" s="208">
        <v>1</v>
      </c>
      <c r="O95" s="208">
        <v>0.65</v>
      </c>
      <c r="P95" s="208">
        <v>0.7</v>
      </c>
      <c r="Q95" s="245">
        <f t="shared" si="5"/>
        <v>0.67500000000000004</v>
      </c>
      <c r="R95" s="208">
        <v>15.4</v>
      </c>
      <c r="S95" s="208">
        <v>140</v>
      </c>
      <c r="T95" s="217">
        <f t="shared" si="6"/>
        <v>30</v>
      </c>
      <c r="U95" s="208">
        <v>108</v>
      </c>
      <c r="V95" s="217">
        <f t="shared" si="7"/>
        <v>3240</v>
      </c>
      <c r="W95" s="208">
        <v>6</v>
      </c>
      <c r="X95" s="208" t="s">
        <v>46</v>
      </c>
      <c r="Y95" s="208" t="s">
        <v>55</v>
      </c>
      <c r="Z95" s="208" t="s">
        <v>88</v>
      </c>
      <c r="AA95" s="208" t="s">
        <v>69</v>
      </c>
      <c r="AB95" s="208" t="s">
        <v>350</v>
      </c>
    </row>
    <row r="96" spans="1:28" x14ac:dyDescent="0.15">
      <c r="A96" s="208" t="s">
        <v>34</v>
      </c>
      <c r="B96" s="208" t="s">
        <v>348</v>
      </c>
      <c r="C96" s="208">
        <v>2018</v>
      </c>
      <c r="D96" s="265" t="s">
        <v>356</v>
      </c>
      <c r="E96" s="208" t="s">
        <v>336</v>
      </c>
      <c r="F96" s="208" t="s">
        <v>337</v>
      </c>
      <c r="G96" s="208" t="s">
        <v>36</v>
      </c>
      <c r="H96" s="208" t="s">
        <v>164</v>
      </c>
      <c r="I96" s="208" t="s">
        <v>155</v>
      </c>
      <c r="J96" s="208" t="s">
        <v>38</v>
      </c>
      <c r="K96" s="208" t="s">
        <v>156</v>
      </c>
      <c r="L96" s="208">
        <v>2</v>
      </c>
      <c r="N96" s="208">
        <v>1</v>
      </c>
      <c r="O96" s="208">
        <v>0.45</v>
      </c>
      <c r="P96" s="208">
        <v>0.55000000000000004</v>
      </c>
      <c r="Q96" s="245">
        <f t="shared" si="5"/>
        <v>0.5</v>
      </c>
      <c r="R96" s="208">
        <v>14.8</v>
      </c>
      <c r="S96" s="208">
        <v>142</v>
      </c>
      <c r="T96" s="217">
        <f t="shared" si="6"/>
        <v>30</v>
      </c>
      <c r="U96" s="208">
        <v>108</v>
      </c>
      <c r="V96" s="217">
        <f t="shared" si="7"/>
        <v>3240</v>
      </c>
      <c r="W96" s="208">
        <v>6</v>
      </c>
      <c r="X96" s="208" t="s">
        <v>46</v>
      </c>
      <c r="Y96" s="208" t="s">
        <v>55</v>
      </c>
      <c r="Z96" s="208" t="s">
        <v>88</v>
      </c>
      <c r="AA96" s="208" t="s">
        <v>69</v>
      </c>
      <c r="AB96" s="208" t="s">
        <v>350</v>
      </c>
    </row>
    <row r="97" spans="1:28" x14ac:dyDescent="0.15">
      <c r="A97" s="208" t="s">
        <v>34</v>
      </c>
      <c r="B97" s="208" t="s">
        <v>348</v>
      </c>
      <c r="C97" s="208">
        <v>2018</v>
      </c>
      <c r="D97" s="265" t="s">
        <v>356</v>
      </c>
      <c r="E97" s="208" t="s">
        <v>336</v>
      </c>
      <c r="F97" s="208" t="s">
        <v>337</v>
      </c>
      <c r="G97" s="208" t="s">
        <v>36</v>
      </c>
      <c r="H97" s="208" t="s">
        <v>164</v>
      </c>
      <c r="I97" s="208" t="s">
        <v>155</v>
      </c>
      <c r="J97" s="208" t="s">
        <v>38</v>
      </c>
      <c r="K97" s="208" t="s">
        <v>156</v>
      </c>
      <c r="L97" s="208">
        <v>3</v>
      </c>
      <c r="N97" s="208">
        <v>1</v>
      </c>
      <c r="O97" s="208">
        <v>0.6</v>
      </c>
      <c r="P97" s="208">
        <v>0.55000000000000004</v>
      </c>
      <c r="Q97" s="245">
        <f t="shared" si="5"/>
        <v>0.57499999999999996</v>
      </c>
      <c r="R97" s="208">
        <v>15.2</v>
      </c>
      <c r="S97" s="208">
        <v>142</v>
      </c>
      <c r="T97" s="217">
        <f t="shared" si="6"/>
        <v>30</v>
      </c>
      <c r="U97" s="208">
        <v>108</v>
      </c>
      <c r="V97" s="217">
        <f t="shared" si="7"/>
        <v>3240</v>
      </c>
      <c r="W97" s="208">
        <v>6</v>
      </c>
      <c r="X97" s="208" t="s">
        <v>46</v>
      </c>
      <c r="Y97" s="208" t="s">
        <v>55</v>
      </c>
      <c r="Z97" s="208" t="s">
        <v>88</v>
      </c>
      <c r="AA97" s="208" t="s">
        <v>69</v>
      </c>
      <c r="AB97" s="208" t="s">
        <v>350</v>
      </c>
    </row>
    <row r="98" spans="1:28" x14ac:dyDescent="0.15">
      <c r="A98" s="208" t="s">
        <v>34</v>
      </c>
      <c r="B98" s="208" t="s">
        <v>348</v>
      </c>
      <c r="C98" s="208">
        <v>2018</v>
      </c>
      <c r="D98" s="265" t="s">
        <v>356</v>
      </c>
      <c r="E98" s="208" t="s">
        <v>338</v>
      </c>
      <c r="F98" s="208" t="s">
        <v>339</v>
      </c>
      <c r="G98" s="208" t="s">
        <v>36</v>
      </c>
      <c r="H98" s="208" t="s">
        <v>157</v>
      </c>
      <c r="I98" s="208" t="s">
        <v>155</v>
      </c>
      <c r="J98" s="208" t="s">
        <v>38</v>
      </c>
      <c r="K98" s="208" t="s">
        <v>156</v>
      </c>
      <c r="L98" s="208">
        <v>1</v>
      </c>
      <c r="N98" s="208">
        <v>1</v>
      </c>
      <c r="O98" s="208">
        <v>0.55000000000000004</v>
      </c>
      <c r="P98" s="208">
        <v>0.55000000000000004</v>
      </c>
      <c r="Q98" s="245">
        <f t="shared" si="5"/>
        <v>0.55000000000000004</v>
      </c>
      <c r="R98" s="208">
        <v>15.6</v>
      </c>
      <c r="S98" s="208">
        <v>131</v>
      </c>
      <c r="T98" s="217">
        <f t="shared" si="6"/>
        <v>30</v>
      </c>
      <c r="U98" s="208">
        <v>101</v>
      </c>
      <c r="V98" s="217">
        <f t="shared" si="7"/>
        <v>3030</v>
      </c>
      <c r="W98" s="208">
        <v>4</v>
      </c>
      <c r="X98" s="208" t="s">
        <v>46</v>
      </c>
      <c r="Y98" s="208" t="s">
        <v>88</v>
      </c>
      <c r="Z98" s="208" t="s">
        <v>55</v>
      </c>
      <c r="AA98" s="208" t="s">
        <v>69</v>
      </c>
      <c r="AB98" s="208" t="s">
        <v>350</v>
      </c>
    </row>
    <row r="99" spans="1:28" x14ac:dyDescent="0.15">
      <c r="A99" s="208" t="s">
        <v>34</v>
      </c>
      <c r="B99" s="208" t="s">
        <v>348</v>
      </c>
      <c r="C99" s="208">
        <v>2018</v>
      </c>
      <c r="D99" s="265" t="s">
        <v>356</v>
      </c>
      <c r="E99" s="208" t="s">
        <v>338</v>
      </c>
      <c r="F99" s="208" t="s">
        <v>339</v>
      </c>
      <c r="G99" s="208" t="s">
        <v>36</v>
      </c>
      <c r="H99" s="208" t="s">
        <v>157</v>
      </c>
      <c r="I99" s="208" t="s">
        <v>155</v>
      </c>
      <c r="J99" s="208" t="s">
        <v>38</v>
      </c>
      <c r="K99" s="208" t="s">
        <v>156</v>
      </c>
      <c r="L99" s="208">
        <v>2</v>
      </c>
      <c r="N99" s="208">
        <v>1</v>
      </c>
      <c r="O99" s="208">
        <v>0.9</v>
      </c>
      <c r="P99" s="208">
        <v>1.05</v>
      </c>
      <c r="Q99" s="245">
        <f t="shared" si="5"/>
        <v>0.97500000000000009</v>
      </c>
      <c r="R99" s="208">
        <v>14</v>
      </c>
      <c r="S99" s="208">
        <v>133</v>
      </c>
      <c r="T99" s="217">
        <f t="shared" si="6"/>
        <v>30</v>
      </c>
      <c r="U99" s="208">
        <v>101</v>
      </c>
      <c r="V99" s="217">
        <f t="shared" si="7"/>
        <v>3030</v>
      </c>
      <c r="W99" s="208">
        <v>4</v>
      </c>
      <c r="X99" s="208" t="s">
        <v>46</v>
      </c>
      <c r="Y99" s="208" t="s">
        <v>88</v>
      </c>
      <c r="Z99" s="208" t="s">
        <v>55</v>
      </c>
      <c r="AA99" s="208" t="s">
        <v>69</v>
      </c>
      <c r="AB99" s="208" t="s">
        <v>350</v>
      </c>
    </row>
    <row r="100" spans="1:28" x14ac:dyDescent="0.15">
      <c r="A100" s="208" t="s">
        <v>34</v>
      </c>
      <c r="B100" s="208" t="s">
        <v>348</v>
      </c>
      <c r="C100" s="208">
        <v>2018</v>
      </c>
      <c r="D100" s="265" t="s">
        <v>356</v>
      </c>
      <c r="E100" s="208" t="s">
        <v>338</v>
      </c>
      <c r="F100" s="208" t="s">
        <v>339</v>
      </c>
      <c r="G100" s="208" t="s">
        <v>36</v>
      </c>
      <c r="H100" s="208" t="s">
        <v>157</v>
      </c>
      <c r="I100" s="208" t="s">
        <v>155</v>
      </c>
      <c r="J100" s="208" t="s">
        <v>38</v>
      </c>
      <c r="K100" s="208" t="s">
        <v>156</v>
      </c>
      <c r="L100" s="208">
        <v>3</v>
      </c>
      <c r="N100" s="208">
        <v>1</v>
      </c>
      <c r="O100" s="208">
        <v>0.85</v>
      </c>
      <c r="P100" s="208">
        <v>0.8</v>
      </c>
      <c r="Q100" s="245">
        <f t="shared" si="5"/>
        <v>0.82499999999999996</v>
      </c>
      <c r="R100" s="208">
        <v>11.6</v>
      </c>
      <c r="S100" s="208">
        <v>127</v>
      </c>
      <c r="T100" s="217">
        <f t="shared" si="6"/>
        <v>30</v>
      </c>
      <c r="U100" s="208">
        <v>101</v>
      </c>
      <c r="V100" s="217">
        <f t="shared" si="7"/>
        <v>3030</v>
      </c>
      <c r="W100" s="208">
        <v>4</v>
      </c>
      <c r="X100" s="208" t="s">
        <v>46</v>
      </c>
      <c r="Y100" s="208" t="s">
        <v>88</v>
      </c>
      <c r="Z100" s="208" t="s">
        <v>55</v>
      </c>
      <c r="AA100" s="208" t="s">
        <v>69</v>
      </c>
      <c r="AB100" s="208" t="s">
        <v>350</v>
      </c>
    </row>
    <row r="101" spans="1:28" x14ac:dyDescent="0.15">
      <c r="A101" s="208" t="s">
        <v>34</v>
      </c>
      <c r="B101" s="208" t="s">
        <v>348</v>
      </c>
      <c r="C101" s="208">
        <v>2018</v>
      </c>
      <c r="D101" s="265" t="s">
        <v>356</v>
      </c>
      <c r="E101" s="208" t="s">
        <v>338</v>
      </c>
      <c r="F101" s="208" t="s">
        <v>339</v>
      </c>
      <c r="G101" s="208" t="s">
        <v>36</v>
      </c>
      <c r="H101" s="208" t="s">
        <v>157</v>
      </c>
      <c r="I101" s="208" t="s">
        <v>155</v>
      </c>
      <c r="J101" s="208" t="s">
        <v>38</v>
      </c>
      <c r="K101" s="208" t="s">
        <v>156</v>
      </c>
      <c r="L101" s="208">
        <v>1</v>
      </c>
      <c r="N101" s="208">
        <v>3</v>
      </c>
      <c r="O101" s="208">
        <v>0.6</v>
      </c>
      <c r="P101" s="208">
        <v>0.7</v>
      </c>
      <c r="Q101" s="245">
        <f t="shared" si="5"/>
        <v>0.64999999999999991</v>
      </c>
      <c r="R101" s="208">
        <v>14.4</v>
      </c>
      <c r="S101" s="208">
        <v>124</v>
      </c>
      <c r="T101" s="217">
        <f t="shared" si="6"/>
        <v>30</v>
      </c>
      <c r="U101" s="208">
        <v>429</v>
      </c>
      <c r="V101" s="217">
        <f t="shared" si="7"/>
        <v>4290</v>
      </c>
      <c r="W101" s="208">
        <v>4</v>
      </c>
      <c r="X101" s="208" t="s">
        <v>46</v>
      </c>
      <c r="Y101" s="208" t="s">
        <v>88</v>
      </c>
      <c r="Z101" s="208" t="s">
        <v>55</v>
      </c>
      <c r="AA101" s="208" t="s">
        <v>69</v>
      </c>
      <c r="AB101" s="208" t="s">
        <v>350</v>
      </c>
    </row>
    <row r="102" spans="1:28" x14ac:dyDescent="0.15">
      <c r="A102" s="208" t="s">
        <v>34</v>
      </c>
      <c r="B102" s="208" t="s">
        <v>348</v>
      </c>
      <c r="C102" s="208">
        <v>2018</v>
      </c>
      <c r="D102" s="265" t="s">
        <v>356</v>
      </c>
      <c r="E102" s="208" t="s">
        <v>338</v>
      </c>
      <c r="F102" s="208" t="s">
        <v>339</v>
      </c>
      <c r="G102" s="208" t="s">
        <v>36</v>
      </c>
      <c r="H102" s="208" t="s">
        <v>157</v>
      </c>
      <c r="I102" s="208" t="s">
        <v>155</v>
      </c>
      <c r="J102" s="208" t="s">
        <v>38</v>
      </c>
      <c r="K102" s="208" t="s">
        <v>156</v>
      </c>
      <c r="L102" s="208">
        <v>2</v>
      </c>
      <c r="N102" s="208">
        <v>3</v>
      </c>
      <c r="O102" s="208">
        <v>0.45</v>
      </c>
      <c r="P102" s="208">
        <v>0.2</v>
      </c>
      <c r="Q102" s="245">
        <f t="shared" si="5"/>
        <v>0.32500000000000001</v>
      </c>
      <c r="R102" s="208">
        <v>14.8</v>
      </c>
      <c r="S102" s="208">
        <v>117</v>
      </c>
      <c r="T102" s="217">
        <f t="shared" si="6"/>
        <v>30</v>
      </c>
      <c r="U102" s="208">
        <v>429</v>
      </c>
      <c r="V102" s="217">
        <f t="shared" si="7"/>
        <v>4290</v>
      </c>
      <c r="W102" s="208">
        <v>4</v>
      </c>
      <c r="X102" s="208" t="s">
        <v>46</v>
      </c>
      <c r="Y102" s="208" t="s">
        <v>88</v>
      </c>
      <c r="Z102" s="208" t="s">
        <v>55</v>
      </c>
      <c r="AA102" s="208" t="s">
        <v>69</v>
      </c>
      <c r="AB102" s="208" t="s">
        <v>350</v>
      </c>
    </row>
    <row r="103" spans="1:28" x14ac:dyDescent="0.15">
      <c r="A103" s="208" t="s">
        <v>34</v>
      </c>
      <c r="B103" s="208" t="s">
        <v>348</v>
      </c>
      <c r="C103" s="208">
        <v>2018</v>
      </c>
      <c r="D103" s="265" t="s">
        <v>356</v>
      </c>
      <c r="E103" s="208" t="s">
        <v>338</v>
      </c>
      <c r="F103" s="208" t="s">
        <v>339</v>
      </c>
      <c r="G103" s="208" t="s">
        <v>36</v>
      </c>
      <c r="H103" s="208" t="s">
        <v>157</v>
      </c>
      <c r="I103" s="208" t="s">
        <v>155</v>
      </c>
      <c r="J103" s="208" t="s">
        <v>38</v>
      </c>
      <c r="K103" s="208" t="s">
        <v>156</v>
      </c>
      <c r="L103" s="208">
        <v>3</v>
      </c>
      <c r="N103" s="208">
        <v>3</v>
      </c>
      <c r="O103" s="208">
        <v>1.05</v>
      </c>
      <c r="P103" s="208">
        <v>0.75</v>
      </c>
      <c r="Q103" s="245">
        <f t="shared" si="5"/>
        <v>0.9</v>
      </c>
      <c r="R103" s="208">
        <v>15.1</v>
      </c>
      <c r="S103" s="208">
        <v>128</v>
      </c>
      <c r="T103" s="217">
        <f t="shared" si="6"/>
        <v>30</v>
      </c>
      <c r="U103" s="208">
        <v>429</v>
      </c>
      <c r="V103" s="217">
        <f t="shared" si="7"/>
        <v>4290</v>
      </c>
      <c r="W103" s="208">
        <v>4</v>
      </c>
      <c r="X103" s="208" t="s">
        <v>46</v>
      </c>
      <c r="Y103" s="208" t="s">
        <v>88</v>
      </c>
      <c r="Z103" s="208" t="s">
        <v>55</v>
      </c>
      <c r="AA103" s="208" t="s">
        <v>69</v>
      </c>
      <c r="AB103" s="208" t="s">
        <v>350</v>
      </c>
    </row>
    <row r="104" spans="1:28" x14ac:dyDescent="0.15">
      <c r="A104" s="208" t="s">
        <v>34</v>
      </c>
      <c r="B104" s="208" t="s">
        <v>348</v>
      </c>
      <c r="C104" s="208">
        <v>2018</v>
      </c>
      <c r="D104" s="265" t="s">
        <v>356</v>
      </c>
      <c r="E104" s="208" t="s">
        <v>338</v>
      </c>
      <c r="F104" s="208" t="s">
        <v>339</v>
      </c>
      <c r="G104" s="208" t="s">
        <v>36</v>
      </c>
      <c r="H104" s="208" t="s">
        <v>157</v>
      </c>
      <c r="I104" s="208" t="s">
        <v>158</v>
      </c>
      <c r="J104" s="208" t="s">
        <v>38</v>
      </c>
      <c r="K104" s="208" t="s">
        <v>156</v>
      </c>
      <c r="L104" s="208">
        <v>1</v>
      </c>
      <c r="N104" s="208">
        <v>5</v>
      </c>
      <c r="O104" s="208">
        <v>0.55000000000000004</v>
      </c>
      <c r="P104" s="208">
        <v>0.6</v>
      </c>
      <c r="Q104" s="245">
        <f t="shared" si="5"/>
        <v>0.57499999999999996</v>
      </c>
      <c r="R104" s="208">
        <v>11.1</v>
      </c>
      <c r="S104" s="208">
        <v>93</v>
      </c>
      <c r="T104" s="217">
        <f t="shared" si="6"/>
        <v>36</v>
      </c>
      <c r="U104" s="208">
        <v>429</v>
      </c>
      <c r="V104" s="217">
        <f t="shared" si="7"/>
        <v>3088.7999999999997</v>
      </c>
      <c r="W104" s="208">
        <v>4</v>
      </c>
      <c r="X104" s="208" t="s">
        <v>46</v>
      </c>
      <c r="Y104" s="208" t="s">
        <v>88</v>
      </c>
      <c r="Z104" s="208" t="s">
        <v>55</v>
      </c>
      <c r="AA104" s="208" t="s">
        <v>69</v>
      </c>
      <c r="AB104" s="208" t="s">
        <v>350</v>
      </c>
    </row>
    <row r="105" spans="1:28" x14ac:dyDescent="0.15">
      <c r="A105" s="208" t="s">
        <v>34</v>
      </c>
      <c r="B105" s="208" t="s">
        <v>348</v>
      </c>
      <c r="C105" s="208">
        <v>2018</v>
      </c>
      <c r="D105" s="265" t="s">
        <v>356</v>
      </c>
      <c r="E105" s="208" t="s">
        <v>338</v>
      </c>
      <c r="F105" s="208" t="s">
        <v>339</v>
      </c>
      <c r="G105" s="208" t="s">
        <v>36</v>
      </c>
      <c r="H105" s="208" t="s">
        <v>157</v>
      </c>
      <c r="I105" s="208" t="s">
        <v>158</v>
      </c>
      <c r="J105" s="208" t="s">
        <v>38</v>
      </c>
      <c r="K105" s="208" t="s">
        <v>156</v>
      </c>
      <c r="L105" s="208">
        <v>2</v>
      </c>
      <c r="N105" s="208">
        <v>5</v>
      </c>
      <c r="O105" s="208">
        <v>0.55000000000000004</v>
      </c>
      <c r="P105" s="208">
        <v>0.5</v>
      </c>
      <c r="Q105" s="245">
        <f t="shared" si="5"/>
        <v>0.52500000000000002</v>
      </c>
      <c r="R105" s="208">
        <v>14.5</v>
      </c>
      <c r="S105" s="208">
        <v>91</v>
      </c>
      <c r="T105" s="217">
        <f t="shared" si="6"/>
        <v>36</v>
      </c>
      <c r="U105" s="208">
        <v>429</v>
      </c>
      <c r="V105" s="217">
        <f t="shared" si="7"/>
        <v>3088.7999999999997</v>
      </c>
      <c r="W105" s="208">
        <v>4</v>
      </c>
      <c r="X105" s="208" t="s">
        <v>46</v>
      </c>
      <c r="Y105" s="208" t="s">
        <v>88</v>
      </c>
      <c r="Z105" s="208" t="s">
        <v>55</v>
      </c>
      <c r="AA105" s="208" t="s">
        <v>69</v>
      </c>
      <c r="AB105" s="208" t="s">
        <v>350</v>
      </c>
    </row>
    <row r="106" spans="1:28" x14ac:dyDescent="0.15">
      <c r="A106" s="208" t="s">
        <v>34</v>
      </c>
      <c r="B106" s="208" t="s">
        <v>348</v>
      </c>
      <c r="C106" s="208">
        <v>2018</v>
      </c>
      <c r="D106" s="265" t="s">
        <v>356</v>
      </c>
      <c r="E106" s="208" t="s">
        <v>338</v>
      </c>
      <c r="F106" s="208" t="s">
        <v>339</v>
      </c>
      <c r="G106" s="208" t="s">
        <v>36</v>
      </c>
      <c r="H106" s="208" t="s">
        <v>157</v>
      </c>
      <c r="I106" s="208" t="s">
        <v>158</v>
      </c>
      <c r="J106" s="208" t="s">
        <v>38</v>
      </c>
      <c r="K106" s="208" t="s">
        <v>156</v>
      </c>
      <c r="L106" s="208">
        <v>3</v>
      </c>
      <c r="N106" s="208">
        <v>5</v>
      </c>
      <c r="O106" s="208">
        <v>0.55000000000000004</v>
      </c>
      <c r="P106" s="208">
        <v>0.55000000000000004</v>
      </c>
      <c r="Q106" s="245">
        <f t="shared" si="5"/>
        <v>0.55000000000000004</v>
      </c>
      <c r="R106" s="208">
        <v>13.7</v>
      </c>
      <c r="S106" s="208">
        <v>90</v>
      </c>
      <c r="T106" s="217">
        <f t="shared" si="6"/>
        <v>36</v>
      </c>
      <c r="U106" s="208">
        <v>429</v>
      </c>
      <c r="V106" s="217">
        <f t="shared" si="7"/>
        <v>3088.7999999999997</v>
      </c>
      <c r="W106" s="208">
        <v>4</v>
      </c>
      <c r="X106" s="208" t="s">
        <v>46</v>
      </c>
      <c r="Y106" s="208" t="s">
        <v>88</v>
      </c>
      <c r="Z106" s="208" t="s">
        <v>55</v>
      </c>
      <c r="AA106" s="208" t="s">
        <v>69</v>
      </c>
      <c r="AB106" s="208" t="s">
        <v>350</v>
      </c>
    </row>
    <row r="107" spans="1:28" x14ac:dyDescent="0.15">
      <c r="A107" s="208" t="s">
        <v>34</v>
      </c>
      <c r="B107" s="208" t="s">
        <v>348</v>
      </c>
      <c r="C107" s="208">
        <v>2018</v>
      </c>
      <c r="D107" s="265" t="s">
        <v>356</v>
      </c>
      <c r="E107" s="208" t="s">
        <v>338</v>
      </c>
      <c r="F107" s="208" t="s">
        <v>339</v>
      </c>
      <c r="G107" s="208" t="s">
        <v>36</v>
      </c>
      <c r="H107" s="208" t="s">
        <v>164</v>
      </c>
      <c r="I107" s="208" t="s">
        <v>155</v>
      </c>
      <c r="J107" s="208" t="s">
        <v>38</v>
      </c>
      <c r="K107" s="208" t="s">
        <v>156</v>
      </c>
      <c r="L107" s="208">
        <v>1</v>
      </c>
      <c r="N107" s="208">
        <v>1</v>
      </c>
      <c r="O107" s="208">
        <v>0.75</v>
      </c>
      <c r="P107" s="208">
        <v>0.7</v>
      </c>
      <c r="Q107" s="245">
        <f t="shared" si="5"/>
        <v>0.72499999999999998</v>
      </c>
      <c r="R107" s="208">
        <v>14.4</v>
      </c>
      <c r="S107" s="208">
        <v>120</v>
      </c>
      <c r="T107" s="217">
        <f t="shared" si="6"/>
        <v>30</v>
      </c>
      <c r="U107" s="208">
        <v>149</v>
      </c>
      <c r="V107" s="217">
        <f t="shared" si="7"/>
        <v>4470</v>
      </c>
      <c r="W107" s="208">
        <v>9</v>
      </c>
      <c r="X107" s="208" t="s">
        <v>46</v>
      </c>
      <c r="Y107" s="208" t="s">
        <v>88</v>
      </c>
      <c r="Z107" s="208" t="s">
        <v>55</v>
      </c>
      <c r="AA107" s="208" t="s">
        <v>69</v>
      </c>
      <c r="AB107" s="208" t="s">
        <v>350</v>
      </c>
    </row>
    <row r="108" spans="1:28" x14ac:dyDescent="0.15">
      <c r="A108" s="208" t="s">
        <v>34</v>
      </c>
      <c r="B108" s="208" t="s">
        <v>348</v>
      </c>
      <c r="C108" s="208">
        <v>2018</v>
      </c>
      <c r="D108" s="265" t="s">
        <v>356</v>
      </c>
      <c r="E108" s="208" t="s">
        <v>338</v>
      </c>
      <c r="F108" s="208" t="s">
        <v>339</v>
      </c>
      <c r="G108" s="208" t="s">
        <v>36</v>
      </c>
      <c r="H108" s="208" t="s">
        <v>164</v>
      </c>
      <c r="I108" s="208" t="s">
        <v>155</v>
      </c>
      <c r="J108" s="208" t="s">
        <v>38</v>
      </c>
      <c r="K108" s="208" t="s">
        <v>156</v>
      </c>
      <c r="L108" s="208">
        <v>2</v>
      </c>
      <c r="N108" s="208">
        <v>1</v>
      </c>
      <c r="O108" s="208">
        <v>0.6</v>
      </c>
      <c r="P108" s="208">
        <v>0.55000000000000004</v>
      </c>
      <c r="Q108" s="245">
        <f t="shared" si="5"/>
        <v>0.57499999999999996</v>
      </c>
      <c r="R108" s="208">
        <v>15.1</v>
      </c>
      <c r="S108" s="208">
        <v>120</v>
      </c>
      <c r="T108" s="217">
        <f t="shared" si="6"/>
        <v>30</v>
      </c>
      <c r="U108" s="208">
        <v>149</v>
      </c>
      <c r="V108" s="217">
        <f t="shared" si="7"/>
        <v>4470</v>
      </c>
      <c r="W108" s="208">
        <v>9</v>
      </c>
      <c r="X108" s="208" t="s">
        <v>46</v>
      </c>
      <c r="Y108" s="208" t="s">
        <v>88</v>
      </c>
      <c r="Z108" s="208" t="s">
        <v>55</v>
      </c>
      <c r="AA108" s="208" t="s">
        <v>69</v>
      </c>
      <c r="AB108" s="208" t="s">
        <v>350</v>
      </c>
    </row>
    <row r="109" spans="1:28" x14ac:dyDescent="0.15">
      <c r="A109" s="208" t="s">
        <v>34</v>
      </c>
      <c r="B109" s="208" t="s">
        <v>348</v>
      </c>
      <c r="C109" s="208">
        <v>2018</v>
      </c>
      <c r="D109" s="265" t="s">
        <v>356</v>
      </c>
      <c r="E109" s="208" t="s">
        <v>338</v>
      </c>
      <c r="F109" s="208" t="s">
        <v>339</v>
      </c>
      <c r="G109" s="208" t="s">
        <v>36</v>
      </c>
      <c r="H109" s="208" t="s">
        <v>164</v>
      </c>
      <c r="I109" s="208" t="s">
        <v>155</v>
      </c>
      <c r="J109" s="208" t="s">
        <v>38</v>
      </c>
      <c r="K109" s="208" t="s">
        <v>156</v>
      </c>
      <c r="L109" s="208">
        <v>3</v>
      </c>
      <c r="N109" s="208">
        <v>1</v>
      </c>
      <c r="O109" s="208">
        <v>0.6</v>
      </c>
      <c r="P109" s="208">
        <v>0.6</v>
      </c>
      <c r="Q109" s="245">
        <f t="shared" si="5"/>
        <v>0.6</v>
      </c>
      <c r="R109" s="208">
        <v>14.2</v>
      </c>
      <c r="S109" s="208">
        <v>116</v>
      </c>
      <c r="T109" s="217">
        <f t="shared" si="6"/>
        <v>30</v>
      </c>
      <c r="U109" s="208">
        <v>149</v>
      </c>
      <c r="V109" s="217">
        <f t="shared" si="7"/>
        <v>4470</v>
      </c>
      <c r="W109" s="208">
        <v>9</v>
      </c>
      <c r="X109" s="208" t="s">
        <v>46</v>
      </c>
      <c r="Y109" s="208" t="s">
        <v>88</v>
      </c>
      <c r="Z109" s="208" t="s">
        <v>55</v>
      </c>
      <c r="AA109" s="208" t="s">
        <v>69</v>
      </c>
      <c r="AB109" s="208" t="s">
        <v>350</v>
      </c>
    </row>
    <row r="110" spans="1:28" x14ac:dyDescent="0.15">
      <c r="A110" s="208" t="s">
        <v>34</v>
      </c>
      <c r="B110" s="208" t="s">
        <v>348</v>
      </c>
      <c r="C110" s="208">
        <v>2018</v>
      </c>
      <c r="D110" s="265" t="s">
        <v>356</v>
      </c>
      <c r="E110" s="208" t="s">
        <v>338</v>
      </c>
      <c r="F110" s="208" t="s">
        <v>339</v>
      </c>
      <c r="G110" s="208" t="s">
        <v>36</v>
      </c>
      <c r="H110" s="208" t="s">
        <v>164</v>
      </c>
      <c r="I110" s="208" t="s">
        <v>155</v>
      </c>
      <c r="J110" s="208" t="s">
        <v>38</v>
      </c>
      <c r="K110" s="208" t="s">
        <v>156</v>
      </c>
      <c r="L110" s="208">
        <v>1</v>
      </c>
      <c r="N110" s="208">
        <v>4</v>
      </c>
      <c r="O110" s="208">
        <v>0.2</v>
      </c>
      <c r="P110" s="208">
        <v>0.2</v>
      </c>
      <c r="Q110" s="245">
        <f t="shared" si="5"/>
        <v>0.2</v>
      </c>
      <c r="R110" s="208">
        <v>18.2</v>
      </c>
      <c r="S110" s="208">
        <v>139</v>
      </c>
      <c r="T110" s="217">
        <f t="shared" si="6"/>
        <v>30</v>
      </c>
      <c r="U110" s="208">
        <v>410</v>
      </c>
      <c r="V110" s="217">
        <f t="shared" si="7"/>
        <v>3075</v>
      </c>
      <c r="W110" s="208">
        <v>9</v>
      </c>
      <c r="X110" s="208" t="s">
        <v>46</v>
      </c>
      <c r="Y110" s="208" t="s">
        <v>88</v>
      </c>
      <c r="Z110" s="208" t="s">
        <v>55</v>
      </c>
      <c r="AA110" s="208" t="s">
        <v>69</v>
      </c>
      <c r="AB110" s="208" t="s">
        <v>350</v>
      </c>
    </row>
    <row r="111" spans="1:28" x14ac:dyDescent="0.15">
      <c r="A111" s="208" t="s">
        <v>34</v>
      </c>
      <c r="B111" s="208" t="s">
        <v>348</v>
      </c>
      <c r="C111" s="208">
        <v>2018</v>
      </c>
      <c r="D111" s="265" t="s">
        <v>356</v>
      </c>
      <c r="E111" s="208" t="s">
        <v>338</v>
      </c>
      <c r="F111" s="208" t="s">
        <v>339</v>
      </c>
      <c r="G111" s="208" t="s">
        <v>36</v>
      </c>
      <c r="H111" s="208" t="s">
        <v>164</v>
      </c>
      <c r="I111" s="208" t="s">
        <v>155</v>
      </c>
      <c r="J111" s="208" t="s">
        <v>38</v>
      </c>
      <c r="K111" s="208" t="s">
        <v>156</v>
      </c>
      <c r="L111" s="208">
        <v>2</v>
      </c>
      <c r="N111" s="208">
        <v>4</v>
      </c>
      <c r="O111" s="208">
        <v>0.2</v>
      </c>
      <c r="P111" s="208">
        <v>0.2</v>
      </c>
      <c r="Q111" s="245">
        <f t="shared" si="5"/>
        <v>0.2</v>
      </c>
      <c r="R111" s="208">
        <v>15.1</v>
      </c>
      <c r="S111" s="208">
        <v>130</v>
      </c>
      <c r="T111" s="217">
        <f t="shared" si="6"/>
        <v>30</v>
      </c>
      <c r="U111" s="208">
        <v>410</v>
      </c>
      <c r="V111" s="217">
        <f t="shared" si="7"/>
        <v>3075</v>
      </c>
      <c r="W111" s="208">
        <v>9</v>
      </c>
      <c r="X111" s="208" t="s">
        <v>46</v>
      </c>
      <c r="Y111" s="208" t="s">
        <v>88</v>
      </c>
      <c r="Z111" s="208" t="s">
        <v>55</v>
      </c>
      <c r="AA111" s="208" t="s">
        <v>69</v>
      </c>
      <c r="AB111" s="208" t="s">
        <v>350</v>
      </c>
    </row>
    <row r="112" spans="1:28" x14ac:dyDescent="0.15">
      <c r="A112" s="208" t="s">
        <v>34</v>
      </c>
      <c r="B112" s="208" t="s">
        <v>348</v>
      </c>
      <c r="C112" s="208">
        <v>2018</v>
      </c>
      <c r="D112" s="265" t="s">
        <v>356</v>
      </c>
      <c r="E112" s="208" t="s">
        <v>338</v>
      </c>
      <c r="F112" s="208" t="s">
        <v>339</v>
      </c>
      <c r="G112" s="208" t="s">
        <v>36</v>
      </c>
      <c r="H112" s="208" t="s">
        <v>164</v>
      </c>
      <c r="I112" s="208" t="s">
        <v>155</v>
      </c>
      <c r="J112" s="208" t="s">
        <v>38</v>
      </c>
      <c r="K112" s="208" t="s">
        <v>156</v>
      </c>
      <c r="L112" s="208">
        <v>3</v>
      </c>
      <c r="N112" s="208">
        <v>4</v>
      </c>
      <c r="O112" s="208">
        <v>0.2</v>
      </c>
      <c r="P112" s="208">
        <v>0.45</v>
      </c>
      <c r="Q112" s="245">
        <f t="shared" si="5"/>
        <v>0.32500000000000001</v>
      </c>
      <c r="R112" s="208">
        <v>17.899999999999999</v>
      </c>
      <c r="S112" s="208">
        <v>140</v>
      </c>
      <c r="T112" s="217">
        <f t="shared" si="6"/>
        <v>30</v>
      </c>
      <c r="U112" s="208">
        <v>410</v>
      </c>
      <c r="V112" s="217">
        <f t="shared" si="7"/>
        <v>3075</v>
      </c>
      <c r="W112" s="208">
        <v>9</v>
      </c>
      <c r="X112" s="208" t="s">
        <v>46</v>
      </c>
      <c r="Y112" s="208" t="s">
        <v>88</v>
      </c>
      <c r="Z112" s="208" t="s">
        <v>55</v>
      </c>
      <c r="AA112" s="208" t="s">
        <v>69</v>
      </c>
      <c r="AB112" s="208" t="s">
        <v>350</v>
      </c>
    </row>
    <row r="113" spans="1:28" x14ac:dyDescent="0.15">
      <c r="A113" s="208" t="s">
        <v>34</v>
      </c>
      <c r="B113" s="208" t="s">
        <v>348</v>
      </c>
      <c r="C113" s="208">
        <v>2018</v>
      </c>
      <c r="D113" s="265" t="s">
        <v>356</v>
      </c>
      <c r="E113" s="208" t="s">
        <v>338</v>
      </c>
      <c r="F113" s="208" t="s">
        <v>339</v>
      </c>
      <c r="G113" s="208" t="s">
        <v>36</v>
      </c>
      <c r="H113" s="208" t="s">
        <v>164</v>
      </c>
      <c r="I113" s="208" t="s">
        <v>158</v>
      </c>
      <c r="J113" s="208" t="s">
        <v>38</v>
      </c>
      <c r="K113" s="208" t="s">
        <v>156</v>
      </c>
      <c r="L113" s="208">
        <v>1</v>
      </c>
      <c r="N113" s="208">
        <v>3</v>
      </c>
      <c r="O113" s="208">
        <v>0.45</v>
      </c>
      <c r="P113" s="208">
        <v>0.45</v>
      </c>
      <c r="Q113" s="245">
        <f t="shared" si="5"/>
        <v>0.45</v>
      </c>
      <c r="R113" s="208">
        <v>15.1</v>
      </c>
      <c r="S113" s="208">
        <v>129</v>
      </c>
      <c r="T113" s="217">
        <f t="shared" si="6"/>
        <v>30</v>
      </c>
      <c r="U113" s="208">
        <v>537</v>
      </c>
      <c r="V113" s="217">
        <f t="shared" si="7"/>
        <v>5370</v>
      </c>
      <c r="W113" s="208">
        <v>9</v>
      </c>
      <c r="X113" s="208" t="s">
        <v>46</v>
      </c>
      <c r="Y113" s="208" t="s">
        <v>88</v>
      </c>
      <c r="Z113" s="208" t="s">
        <v>55</v>
      </c>
      <c r="AA113" s="208" t="s">
        <v>69</v>
      </c>
      <c r="AB113" s="208" t="s">
        <v>350</v>
      </c>
    </row>
    <row r="114" spans="1:28" x14ac:dyDescent="0.15">
      <c r="A114" s="208" t="s">
        <v>34</v>
      </c>
      <c r="B114" s="208" t="s">
        <v>348</v>
      </c>
      <c r="C114" s="208">
        <v>2018</v>
      </c>
      <c r="D114" s="265" t="s">
        <v>356</v>
      </c>
      <c r="E114" s="208" t="s">
        <v>338</v>
      </c>
      <c r="F114" s="208" t="s">
        <v>339</v>
      </c>
      <c r="G114" s="208" t="s">
        <v>36</v>
      </c>
      <c r="H114" s="208" t="s">
        <v>164</v>
      </c>
      <c r="I114" s="208" t="s">
        <v>158</v>
      </c>
      <c r="J114" s="208" t="s">
        <v>38</v>
      </c>
      <c r="K114" s="208" t="s">
        <v>156</v>
      </c>
      <c r="L114" s="208">
        <v>2</v>
      </c>
      <c r="N114" s="208">
        <v>3</v>
      </c>
      <c r="O114" s="208">
        <v>0.2</v>
      </c>
      <c r="P114" s="208">
        <v>0.2</v>
      </c>
      <c r="Q114" s="245">
        <f t="shared" si="5"/>
        <v>0.2</v>
      </c>
      <c r="R114" s="208">
        <v>18.100000000000001</v>
      </c>
      <c r="S114" s="208">
        <v>135</v>
      </c>
      <c r="T114" s="217">
        <f t="shared" si="6"/>
        <v>30</v>
      </c>
      <c r="U114" s="208">
        <v>537</v>
      </c>
      <c r="V114" s="217">
        <f t="shared" si="7"/>
        <v>5370</v>
      </c>
      <c r="W114" s="208">
        <v>9</v>
      </c>
      <c r="X114" s="208" t="s">
        <v>46</v>
      </c>
      <c r="Y114" s="208" t="s">
        <v>88</v>
      </c>
      <c r="Z114" s="208" t="s">
        <v>55</v>
      </c>
      <c r="AA114" s="208" t="s">
        <v>69</v>
      </c>
      <c r="AB114" s="208" t="s">
        <v>350</v>
      </c>
    </row>
    <row r="115" spans="1:28" x14ac:dyDescent="0.15">
      <c r="A115" s="208" t="s">
        <v>34</v>
      </c>
      <c r="B115" s="208" t="s">
        <v>348</v>
      </c>
      <c r="C115" s="208">
        <v>2018</v>
      </c>
      <c r="D115" s="265" t="s">
        <v>356</v>
      </c>
      <c r="E115" s="208" t="s">
        <v>338</v>
      </c>
      <c r="F115" s="208" t="s">
        <v>339</v>
      </c>
      <c r="G115" s="208" t="s">
        <v>36</v>
      </c>
      <c r="H115" s="208" t="s">
        <v>164</v>
      </c>
      <c r="I115" s="208" t="s">
        <v>158</v>
      </c>
      <c r="J115" s="208" t="s">
        <v>38</v>
      </c>
      <c r="K115" s="208" t="s">
        <v>156</v>
      </c>
      <c r="L115" s="208">
        <v>3</v>
      </c>
      <c r="N115" s="208">
        <v>3</v>
      </c>
      <c r="O115" s="208">
        <v>0.2</v>
      </c>
      <c r="P115" s="208">
        <v>0.2</v>
      </c>
      <c r="Q115" s="245">
        <f t="shared" si="5"/>
        <v>0.2</v>
      </c>
      <c r="R115" s="208">
        <v>17.8</v>
      </c>
      <c r="S115" s="208">
        <v>130</v>
      </c>
      <c r="T115" s="217">
        <f t="shared" si="6"/>
        <v>30</v>
      </c>
      <c r="U115" s="208">
        <v>537</v>
      </c>
      <c r="V115" s="217">
        <f t="shared" si="7"/>
        <v>5370</v>
      </c>
      <c r="W115" s="208">
        <v>9</v>
      </c>
      <c r="X115" s="208" t="s">
        <v>46</v>
      </c>
      <c r="Y115" s="208" t="s">
        <v>88</v>
      </c>
      <c r="Z115" s="208" t="s">
        <v>55</v>
      </c>
      <c r="AA115" s="208" t="s">
        <v>69</v>
      </c>
      <c r="AB115" s="208" t="s">
        <v>350</v>
      </c>
    </row>
    <row r="116" spans="1:28" x14ac:dyDescent="0.15">
      <c r="T116" s="217" t="str">
        <f t="shared" si="6"/>
        <v/>
      </c>
      <c r="V116" s="217" t="str">
        <f t="shared" si="7"/>
        <v/>
      </c>
    </row>
    <row r="117" spans="1:28" x14ac:dyDescent="0.15">
      <c r="T117" s="217" t="str">
        <f t="shared" si="6"/>
        <v/>
      </c>
      <c r="V117" s="217" t="str">
        <f t="shared" si="7"/>
        <v/>
      </c>
    </row>
    <row r="118" spans="1:28" x14ac:dyDescent="0.15">
      <c r="T118" s="217" t="str">
        <f t="shared" si="6"/>
        <v/>
      </c>
      <c r="V118" s="217" t="str">
        <f t="shared" si="7"/>
        <v/>
      </c>
    </row>
    <row r="119" spans="1:28" x14ac:dyDescent="0.15">
      <c r="T119" s="217" t="str">
        <f t="shared" si="6"/>
        <v/>
      </c>
      <c r="V119" s="217" t="str">
        <f t="shared" si="7"/>
        <v/>
      </c>
    </row>
    <row r="120" spans="1:28" x14ac:dyDescent="0.15">
      <c r="T120" s="217" t="str">
        <f t="shared" si="6"/>
        <v/>
      </c>
      <c r="V120" s="217" t="str">
        <f t="shared" si="7"/>
        <v/>
      </c>
    </row>
    <row r="121" spans="1:28" x14ac:dyDescent="0.15">
      <c r="T121" s="217" t="str">
        <f t="shared" si="6"/>
        <v/>
      </c>
      <c r="V121" s="217" t="str">
        <f t="shared" si="7"/>
        <v/>
      </c>
    </row>
    <row r="122" spans="1:28" x14ac:dyDescent="0.15">
      <c r="T122" s="217" t="str">
        <f t="shared" si="6"/>
        <v/>
      </c>
    </row>
    <row r="123" spans="1:28" x14ac:dyDescent="0.15">
      <c r="T123" s="217" t="str">
        <f t="shared" si="6"/>
        <v/>
      </c>
    </row>
  </sheetData>
  <autoFilter ref="A1:BA84"/>
  <phoneticPr fontId="3"/>
  <dataValidations count="12">
    <dataValidation type="list" allowBlank="1" showInputMessage="1" showErrorMessage="1" sqref="K2:K755">
      <formula1>$AR$2:$AR$23</formula1>
    </dataValidation>
    <dataValidation type="list" allowBlank="1" showInputMessage="1" showErrorMessage="1" sqref="A2:A442">
      <formula1>$AE$2:$AE$19</formula1>
    </dataValidation>
    <dataValidation type="list" allowBlank="1" showInputMessage="1" showErrorMessage="1" sqref="Y2:AA443">
      <formula1>$AV$2:$AV$21</formula1>
    </dataValidation>
    <dataValidation type="list" allowBlank="1" showInputMessage="1" showErrorMessage="1" sqref="H2:H443">
      <formula1>$AL$2:$AL$8</formula1>
    </dataValidation>
    <dataValidation type="list" allowBlank="1" showInputMessage="1" showErrorMessage="1" sqref="X2:X443">
      <formula1>$AT$2:$AT$3</formula1>
    </dataValidation>
    <dataValidation type="list" allowBlank="1" showInputMessage="1" showErrorMessage="1" sqref="G2:G443">
      <formula1>$AJ$2:$AJ$4</formula1>
    </dataValidation>
    <dataValidation type="list" allowBlank="1" showInputMessage="1" showErrorMessage="1" sqref="I2:I443">
      <formula1>$AN$5:$AN$6</formula1>
    </dataValidation>
    <dataValidation type="list" allowBlank="1" showInputMessage="1" showErrorMessage="1" sqref="J2:J443">
      <formula1>$AP$2:$AP$24</formula1>
    </dataValidation>
    <dataValidation type="list" allowBlank="1" showInputMessage="1" showErrorMessage="1" sqref="F2:F443">
      <formula1>$AH$2:$AH$11</formula1>
    </dataValidation>
    <dataValidation type="list" allowBlank="1" showInputMessage="1" showErrorMessage="1" sqref="E2:E443">
      <formula1>$AG$2:$AG$11</formula1>
    </dataValidation>
    <dataValidation type="decimal" allowBlank="1" showInputMessage="1" showErrorMessage="1" error="硬度を正しく入力して下さい。" sqref="O2:P49 O59:P443">
      <formula1>0</formula1>
      <formula2>7</formula2>
    </dataValidation>
    <dataValidation operator="equal" allowBlank="1" showInputMessage="1" showErrorMessage="1" sqref="B2:B100"/>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C752FB3-C103-40DA-AFA1-EDC5E9EA52B4}"/>
</file>

<file path=customXml/itemProps2.xml><?xml version="1.0" encoding="utf-8"?>
<ds:datastoreItem xmlns:ds="http://schemas.openxmlformats.org/officeDocument/2006/customXml" ds:itemID="{7E3B0040-E76F-45B4-A4DE-7DAC6DF66402}"/>
</file>

<file path=customXml/itemProps3.xml><?xml version="1.0" encoding="utf-8"?>
<ds:datastoreItem xmlns:ds="http://schemas.openxmlformats.org/officeDocument/2006/customXml" ds:itemID="{E9978C65-6AB5-4612-8D5B-8792DC4D14A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tokyo-east(ota)</vt:lpstr>
      <vt:lpstr>tokyo-west(kato)</vt:lpstr>
      <vt:lpstr>hiroshima!Print_Area</vt:lpstr>
      <vt:lpstr>'tokyo-east(ota)'!Print_Area</vt:lpstr>
      <vt:lpstr>nagoya!栽培方法</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共通 ユーザー</cp:lastModifiedBy>
  <dcterms:created xsi:type="dcterms:W3CDTF">2012-06-11T10:59:48Z</dcterms:created>
  <dcterms:modified xsi:type="dcterms:W3CDTF">2018-07-23T01:27:54Z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