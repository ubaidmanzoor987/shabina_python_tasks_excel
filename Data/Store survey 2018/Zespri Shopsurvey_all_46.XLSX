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7.xml" ContentType="application/vnd.openxmlformats-officedocument.spreadsheetml.externalLink+xml"/>
  <Override PartName="/xl/externalLinks/externalLink3.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4.xml" ContentType="application/vnd.openxmlformats-officedocument.spreadsheetml.externalLink+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15" windowWidth="28800" windowHeight="6420"/>
  </bookViews>
  <sheets>
    <sheet name="sapporo" sheetId="17" r:id="rId1"/>
    <sheet name="miyagi" sheetId="26" r:id="rId2"/>
    <sheet name="nagoya" sheetId="27" r:id="rId3"/>
    <sheet name="osaka" sheetId="28" r:id="rId4"/>
    <sheet name="hiroshima" sheetId="29" r:id="rId5"/>
    <sheet name="fukuoka" sheetId="30" r:id="rId6"/>
    <sheet name="tokyo-east(ota)" sheetId="31" r:id="rId7"/>
    <sheet name="tokyo-west(kato)" sheetId="32" r:id="rId8"/>
  </sheets>
  <externalReferences>
    <externalReference r:id="rId9"/>
    <externalReference r:id="rId10"/>
    <externalReference r:id="rId11"/>
    <externalReference r:id="rId12"/>
    <externalReference r:id="rId13"/>
    <externalReference r:id="rId14"/>
    <externalReference r:id="rId15"/>
  </externalReferences>
  <definedNames>
    <definedName name="_xlnm._FilterDatabase" localSheetId="5" hidden="1">fukuoka!$A$1:$BA$146</definedName>
    <definedName name="_xlnm._FilterDatabase" localSheetId="4" hidden="1">hiroshima!$A$1:$BA$1</definedName>
    <definedName name="_xlnm._FilterDatabase" localSheetId="1" hidden="1">miyagi!$A$1:$BA$109</definedName>
    <definedName name="_xlnm._FilterDatabase" localSheetId="2" hidden="1">nagoya!$A$1:$BA$52</definedName>
    <definedName name="_xlnm._FilterDatabase" localSheetId="3" hidden="1">osaka!$A$1:$BA$67</definedName>
    <definedName name="_xlnm._FilterDatabase" localSheetId="0" hidden="1">sapporo!$A$1:$BA$120</definedName>
    <definedName name="_xlnm._FilterDatabase" localSheetId="6" hidden="1">'tokyo-east(ota)'!$A$1:$BA$1</definedName>
    <definedName name="_xlnm._FilterDatabase" localSheetId="7" hidden="1">'tokyo-west(kato)'!$A$1:$BA$84</definedName>
    <definedName name="aaa" localSheetId="5">#REF!</definedName>
    <definedName name="aaa" localSheetId="4">#REF!</definedName>
    <definedName name="aaa" localSheetId="1">#REF!</definedName>
    <definedName name="aaa" localSheetId="2">#REF!</definedName>
    <definedName name="aaa" localSheetId="3">#REF!</definedName>
    <definedName name="aaa" localSheetId="0">#REF!</definedName>
    <definedName name="aaa" localSheetId="6">#REF!</definedName>
    <definedName name="aaa" localSheetId="7">#REF!</definedName>
    <definedName name="aaa">#REF!</definedName>
    <definedName name="Brand" localSheetId="5">#REF!</definedName>
    <definedName name="Brand" localSheetId="4">#REF!</definedName>
    <definedName name="Brand" localSheetId="1">#REF!</definedName>
    <definedName name="Brand" localSheetId="2">#REF!</definedName>
    <definedName name="Brand" localSheetId="3">#REF!</definedName>
    <definedName name="Brand" localSheetId="0">#REF!</definedName>
    <definedName name="Brand" localSheetId="6">#REF!</definedName>
    <definedName name="Brand" localSheetId="7">#REF!</definedName>
    <definedName name="Brand">#REF!</definedName>
    <definedName name="District" localSheetId="5">#REF!</definedName>
    <definedName name="District" localSheetId="4">#REF!</definedName>
    <definedName name="District" localSheetId="1">#REF!</definedName>
    <definedName name="District" localSheetId="2">#REF!</definedName>
    <definedName name="District" localSheetId="3">#REF!</definedName>
    <definedName name="District" localSheetId="0">#REF!</definedName>
    <definedName name="District" localSheetId="6">#REF!</definedName>
    <definedName name="District" localSheetId="7">#REF!</definedName>
    <definedName name="District">#REF!</definedName>
    <definedName name="Fruit" localSheetId="5">#REF!</definedName>
    <definedName name="Fruit" localSheetId="4">#REF!</definedName>
    <definedName name="Fruit" localSheetId="1">#REF!</definedName>
    <definedName name="Fruit" localSheetId="2">#REF!</definedName>
    <definedName name="Fruit" localSheetId="3">#REF!</definedName>
    <definedName name="Fruit" localSheetId="0">#REF!</definedName>
    <definedName name="Fruit" localSheetId="6">#REF!</definedName>
    <definedName name="Fruit" localSheetId="7">#REF!</definedName>
    <definedName name="Fruit">#REF!</definedName>
    <definedName name="GoldSIZE" localSheetId="5">#REF!</definedName>
    <definedName name="GoldSIZE" localSheetId="4">#REF!</definedName>
    <definedName name="GoldSIZE" localSheetId="1">#REF!</definedName>
    <definedName name="GoldSIZE" localSheetId="2">#REF!</definedName>
    <definedName name="GoldSIZE" localSheetId="3">#REF!</definedName>
    <definedName name="GoldSIZE" localSheetId="0">#REF!</definedName>
    <definedName name="GoldSIZE" localSheetId="6">#REF!</definedName>
    <definedName name="GoldSIZE" localSheetId="7">#REF!</definedName>
    <definedName name="GoldSIZE">#REF!</definedName>
    <definedName name="GreenSIZE" localSheetId="5">#REF!</definedName>
    <definedName name="GreenSIZE" localSheetId="4">#REF!</definedName>
    <definedName name="GreenSIZE" localSheetId="1">#REF!</definedName>
    <definedName name="GreenSIZE" localSheetId="2">#REF!</definedName>
    <definedName name="GreenSIZE" localSheetId="3">#REF!</definedName>
    <definedName name="GreenSIZE" localSheetId="0">#REF!</definedName>
    <definedName name="GreenSIZE" localSheetId="6">#REF!</definedName>
    <definedName name="GreenSIZE" localSheetId="7">#REF!</definedName>
    <definedName name="GreenSIZE">#REF!</definedName>
    <definedName name="GrowingMethod" localSheetId="5">#REF!</definedName>
    <definedName name="GrowingMethod" localSheetId="4">#REF!</definedName>
    <definedName name="GrowingMethod" localSheetId="1">#REF!</definedName>
    <definedName name="GrowingMethod" localSheetId="2">#REF!</definedName>
    <definedName name="GrowingMethod" localSheetId="3">#REF!</definedName>
    <definedName name="GrowingMethod" localSheetId="0">#REF!</definedName>
    <definedName name="GrowingMethod" localSheetId="6">#REF!</definedName>
    <definedName name="GrowingMethod" localSheetId="7">#REF!</definedName>
    <definedName name="GrowingMethod">#REF!</definedName>
    <definedName name="hiroshima" localSheetId="5">#REF!</definedName>
    <definedName name="hiroshima" localSheetId="3">#REF!</definedName>
    <definedName name="hiroshima" localSheetId="6">#REF!</definedName>
    <definedName name="hiroshima" localSheetId="7">#REF!</definedName>
    <definedName name="hiroshima">#REF!</definedName>
    <definedName name="kk" localSheetId="5">#REF!</definedName>
    <definedName name="kk" localSheetId="1">#REF!</definedName>
    <definedName name="kk" localSheetId="2">#REF!</definedName>
    <definedName name="kk" localSheetId="3">#REF!</definedName>
    <definedName name="kk" localSheetId="6">#REF!</definedName>
    <definedName name="kk" localSheetId="7">#REF!</definedName>
    <definedName name="kk">#REF!</definedName>
    <definedName name="ｌｌｌｌｌ" localSheetId="5">#REF!</definedName>
    <definedName name="ｌｌｌｌｌ" localSheetId="3">#REF!</definedName>
    <definedName name="ｌｌｌｌｌ" localSheetId="6">#REF!</definedName>
    <definedName name="ｌｌｌｌｌ" localSheetId="7">#REF!</definedName>
    <definedName name="ｌｌｌｌｌ">#REF!</definedName>
    <definedName name="miyagi" localSheetId="5">#REF!</definedName>
    <definedName name="miyagi" localSheetId="3">#REF!</definedName>
    <definedName name="miyagi" localSheetId="6">#REF!</definedName>
    <definedName name="miyagi" localSheetId="7">#REF!</definedName>
    <definedName name="miyagi">#REF!</definedName>
    <definedName name="miyagi2" localSheetId="5">#REF!</definedName>
    <definedName name="miyagi2" localSheetId="3">#REF!</definedName>
    <definedName name="miyagi2" localSheetId="6">#REF!</definedName>
    <definedName name="miyagi2" localSheetId="7">#REF!</definedName>
    <definedName name="miyagi2">#REF!</definedName>
    <definedName name="Origin" localSheetId="5">#REF!</definedName>
    <definedName name="Origin" localSheetId="4">#REF!</definedName>
    <definedName name="Origin" localSheetId="1">#REF!</definedName>
    <definedName name="Origin" localSheetId="2">#REF!</definedName>
    <definedName name="Origin" localSheetId="3">#REF!</definedName>
    <definedName name="Origin" localSheetId="0">#REF!</definedName>
    <definedName name="Origin" localSheetId="6">#REF!</definedName>
    <definedName name="Origin" localSheetId="7">#REF!</definedName>
    <definedName name="Origin">#REF!</definedName>
    <definedName name="_xlnm.Print_Area" localSheetId="4">hiroshima!$E$1:$S$69</definedName>
    <definedName name="_xlnm.Print_Area" localSheetId="6">'tokyo-east(ota)'!$A$1:$AH$47</definedName>
    <definedName name="Shelf" localSheetId="5">#REF!</definedName>
    <definedName name="Shelf" localSheetId="4">#REF!</definedName>
    <definedName name="Shelf" localSheetId="1">#REF!</definedName>
    <definedName name="Shelf" localSheetId="2">#REF!</definedName>
    <definedName name="Shelf" localSheetId="3">#REF!</definedName>
    <definedName name="Shelf" localSheetId="0">#REF!</definedName>
    <definedName name="Shelf" localSheetId="6">#REF!</definedName>
    <definedName name="Shelf" localSheetId="7">#REF!</definedName>
    <definedName name="Shelf">#REF!</definedName>
    <definedName name="Shop" localSheetId="5">#REF!</definedName>
    <definedName name="Shop" localSheetId="4">#REF!</definedName>
    <definedName name="Shop" localSheetId="1">#REF!</definedName>
    <definedName name="Shop" localSheetId="2">#REF!</definedName>
    <definedName name="Shop" localSheetId="3">#REF!</definedName>
    <definedName name="Shop" localSheetId="0">#REF!</definedName>
    <definedName name="Shop" localSheetId="6">#REF!</definedName>
    <definedName name="Shop" localSheetId="7">#REF!</definedName>
    <definedName name="Shop">#REF!</definedName>
    <definedName name="ShopName1" localSheetId="5">#REF!</definedName>
    <definedName name="ShopName1" localSheetId="4">#REF!</definedName>
    <definedName name="ShopName1" localSheetId="1">#REF!</definedName>
    <definedName name="ShopName1" localSheetId="2">#REF!</definedName>
    <definedName name="ShopName1" localSheetId="3">#REF!</definedName>
    <definedName name="ShopName1" localSheetId="0">#REF!</definedName>
    <definedName name="ShopName1" localSheetId="6">#REF!</definedName>
    <definedName name="ShopName1" localSheetId="7">#REF!</definedName>
    <definedName name="ShopName1">#REF!</definedName>
    <definedName name="ShopName2" localSheetId="5">#REF!</definedName>
    <definedName name="ShopName2" localSheetId="4">#REF!</definedName>
    <definedName name="ShopName2" localSheetId="1">#REF!</definedName>
    <definedName name="ShopName2" localSheetId="2">#REF!</definedName>
    <definedName name="ShopName2" localSheetId="3">#REF!</definedName>
    <definedName name="ShopName2" localSheetId="0">#REF!</definedName>
    <definedName name="ShopName2" localSheetId="6">#REF!</definedName>
    <definedName name="ShopName2" localSheetId="7">#REF!</definedName>
    <definedName name="ShopName2">#REF!</definedName>
    <definedName name="Variety" localSheetId="5">#REF!</definedName>
    <definedName name="Variety" localSheetId="4">#REF!</definedName>
    <definedName name="Variety" localSheetId="1">#REF!</definedName>
    <definedName name="Variety" localSheetId="2">#REF!</definedName>
    <definedName name="Variety" localSheetId="3">#REF!</definedName>
    <definedName name="Variety" localSheetId="0">#REF!</definedName>
    <definedName name="Variety" localSheetId="6">#REF!</definedName>
    <definedName name="Variety" localSheetId="7">#REF!</definedName>
    <definedName name="Variety">#REF!</definedName>
    <definedName name="yaginuma" localSheetId="5">#REF!</definedName>
    <definedName name="yaginuma" localSheetId="3">#REF!</definedName>
    <definedName name="yaginuma" localSheetId="6">#REF!</definedName>
    <definedName name="yaginuma" localSheetId="7">#REF!</definedName>
    <definedName name="yaginuma">#REF!</definedName>
    <definedName name="検索店舗名" localSheetId="5">#REF!</definedName>
    <definedName name="検索店舗名" localSheetId="4">#REF!</definedName>
    <definedName name="検索店舗名" localSheetId="1">#REF!</definedName>
    <definedName name="検索店舗名" localSheetId="2">#REF!</definedName>
    <definedName name="検索店舗名" localSheetId="3">#REF!</definedName>
    <definedName name="検索店舗名" localSheetId="0">#REF!</definedName>
    <definedName name="検索店舗名" localSheetId="6">#REF!</definedName>
    <definedName name="検索店舗名" localSheetId="7">#REF!</definedName>
    <definedName name="検索店舗名">#REF!</definedName>
    <definedName name="栽培方法" localSheetId="5">#REF!</definedName>
    <definedName name="栽培方法" localSheetId="2">nagoya!$AN$1:$AN$6</definedName>
    <definedName name="栽培方法" localSheetId="3">#REF!</definedName>
    <definedName name="栽培方法" localSheetId="6">#REF!</definedName>
    <definedName name="栽培方法" localSheetId="7">#REF!</definedName>
    <definedName name="栽培方法">#REF!</definedName>
    <definedName name="販売ユニット個数" localSheetId="5">#REF!</definedName>
    <definedName name="販売ユニット個数" localSheetId="4">#REF!</definedName>
    <definedName name="販売ユニット個数" localSheetId="1">#REF!</definedName>
    <definedName name="販売ユニット個数" localSheetId="2">#REF!</definedName>
    <definedName name="販売ユニット個数" localSheetId="3">#REF!</definedName>
    <definedName name="販売ユニット個数" localSheetId="0">#REF!</definedName>
    <definedName name="販売ユニット個数" localSheetId="6">#REF!</definedName>
    <definedName name="販売ユニット個数" localSheetId="7">#REF!</definedName>
    <definedName name="販売ユニット個数">#REF!</definedName>
  </definedNames>
  <calcPr calcId="145621"/>
</workbook>
</file>

<file path=xl/calcChain.xml><?xml version="1.0" encoding="utf-8"?>
<calcChain xmlns="http://schemas.openxmlformats.org/spreadsheetml/2006/main">
  <c r="T91" i="32" l="1"/>
  <c r="V91" i="32" s="1"/>
  <c r="Q91" i="32"/>
  <c r="T90" i="32"/>
  <c r="V90" i="32" s="1"/>
  <c r="Q90" i="32"/>
  <c r="T89" i="32"/>
  <c r="V89" i="32" s="1"/>
  <c r="Q89" i="32"/>
  <c r="V88" i="32"/>
  <c r="T88" i="32"/>
  <c r="Q88" i="32"/>
  <c r="T87" i="32"/>
  <c r="V87" i="32" s="1"/>
  <c r="Q87" i="32"/>
  <c r="T86" i="32"/>
  <c r="V86" i="32" s="1"/>
  <c r="Q86" i="32"/>
  <c r="V85" i="32"/>
  <c r="T85" i="32"/>
  <c r="Q85" i="32"/>
  <c r="V84" i="32"/>
  <c r="T84" i="32"/>
  <c r="Q84" i="32"/>
  <c r="T83" i="32"/>
  <c r="V83" i="32" s="1"/>
  <c r="Q83" i="32"/>
  <c r="T82" i="32"/>
  <c r="V82" i="32" s="1"/>
  <c r="Q82" i="32"/>
  <c r="V81" i="32"/>
  <c r="T81" i="32"/>
  <c r="Q81" i="32"/>
  <c r="V80" i="32"/>
  <c r="T80" i="32"/>
  <c r="Q80" i="32"/>
  <c r="T79" i="32"/>
  <c r="V79" i="32" s="1"/>
  <c r="Q79" i="32"/>
  <c r="T78" i="32"/>
  <c r="V78" i="32" s="1"/>
  <c r="Q78" i="32"/>
  <c r="V77" i="32"/>
  <c r="T77" i="32"/>
  <c r="Q77" i="32"/>
  <c r="V76" i="32"/>
  <c r="T76" i="32"/>
  <c r="Q76" i="32"/>
  <c r="T75" i="32"/>
  <c r="V75" i="32" s="1"/>
  <c r="Q75" i="32"/>
  <c r="T74" i="32"/>
  <c r="V74" i="32" s="1"/>
  <c r="Q74" i="32"/>
  <c r="V73" i="32"/>
  <c r="T73" i="32"/>
  <c r="Q73" i="32"/>
  <c r="V72" i="32"/>
  <c r="T72" i="32"/>
  <c r="Q72" i="32"/>
  <c r="T71" i="32"/>
  <c r="V71" i="32" s="1"/>
  <c r="Q71" i="32"/>
  <c r="T70" i="32"/>
  <c r="V70" i="32" s="1"/>
  <c r="Q70" i="32"/>
  <c r="V69" i="32"/>
  <c r="T69" i="32"/>
  <c r="Q69" i="32"/>
  <c r="V68" i="32"/>
  <c r="T68" i="32"/>
  <c r="Q68" i="32"/>
  <c r="T67" i="32"/>
  <c r="V67" i="32" s="1"/>
  <c r="Q67" i="32"/>
  <c r="T66" i="32"/>
  <c r="V66" i="32" s="1"/>
  <c r="Q66" i="32"/>
  <c r="V65" i="32"/>
  <c r="T65" i="32"/>
  <c r="Q65" i="32"/>
  <c r="V64" i="32"/>
  <c r="T64" i="32"/>
  <c r="Q64" i="32"/>
  <c r="T63" i="32"/>
  <c r="V63" i="32" s="1"/>
  <c r="Q63" i="32"/>
  <c r="T62" i="32"/>
  <c r="V62" i="32" s="1"/>
  <c r="Q62" i="32"/>
  <c r="V61" i="32"/>
  <c r="T61" i="32"/>
  <c r="Q61" i="32"/>
  <c r="V60" i="32"/>
  <c r="T60" i="32"/>
  <c r="Q60" i="32"/>
  <c r="T59" i="32"/>
  <c r="V59" i="32" s="1"/>
  <c r="Q59" i="32"/>
  <c r="T58" i="32"/>
  <c r="V58" i="32" s="1"/>
  <c r="Q58" i="32"/>
  <c r="V57" i="32"/>
  <c r="T57" i="32"/>
  <c r="Q57" i="32"/>
  <c r="V56" i="32"/>
  <c r="T56" i="32"/>
  <c r="Q56" i="32"/>
  <c r="T55" i="32"/>
  <c r="V55" i="32" s="1"/>
  <c r="Q55" i="32"/>
  <c r="T54" i="32"/>
  <c r="V54" i="32" s="1"/>
  <c r="Q54" i="32"/>
  <c r="V53" i="32"/>
  <c r="T53" i="32"/>
  <c r="Q53" i="32"/>
  <c r="V52" i="32"/>
  <c r="T52" i="32"/>
  <c r="Q52" i="32"/>
  <c r="T51" i="32"/>
  <c r="V51" i="32" s="1"/>
  <c r="Q51" i="32"/>
  <c r="T50" i="32"/>
  <c r="V50" i="32" s="1"/>
  <c r="Q50" i="32"/>
  <c r="V49" i="32"/>
  <c r="T49" i="32"/>
  <c r="Q49" i="32"/>
  <c r="V48" i="32"/>
  <c r="T48" i="32"/>
  <c r="Q48" i="32"/>
  <c r="T47" i="32"/>
  <c r="V47" i="32" s="1"/>
  <c r="Q47" i="32"/>
  <c r="T46" i="32"/>
  <c r="V46" i="32" s="1"/>
  <c r="Q46" i="32"/>
  <c r="V45" i="32"/>
  <c r="T45" i="32"/>
  <c r="Q45" i="32"/>
  <c r="V44" i="32"/>
  <c r="T44" i="32"/>
  <c r="Q44" i="32"/>
  <c r="T43" i="32"/>
  <c r="V43" i="32" s="1"/>
  <c r="Q43" i="32"/>
  <c r="T42" i="32"/>
  <c r="V42" i="32" s="1"/>
  <c r="Q42" i="32"/>
  <c r="V41" i="32"/>
  <c r="T41" i="32"/>
  <c r="Q41" i="32"/>
  <c r="V40" i="32"/>
  <c r="T40" i="32"/>
  <c r="Q40" i="32"/>
  <c r="T39" i="32"/>
  <c r="V39" i="32" s="1"/>
  <c r="Q39" i="32"/>
  <c r="T38" i="32"/>
  <c r="V38" i="32" s="1"/>
  <c r="Q38" i="32"/>
  <c r="V37" i="32"/>
  <c r="T37" i="32"/>
  <c r="Q37" i="32"/>
  <c r="V36" i="32"/>
  <c r="T36" i="32"/>
  <c r="Q36" i="32"/>
  <c r="T35" i="32"/>
  <c r="V35" i="32" s="1"/>
  <c r="Q35" i="32"/>
  <c r="T34" i="32"/>
  <c r="V34" i="32" s="1"/>
  <c r="Q34" i="32"/>
  <c r="V33" i="32"/>
  <c r="T33" i="32"/>
  <c r="Q33" i="32"/>
  <c r="V32" i="32"/>
  <c r="T32" i="32"/>
  <c r="Q32" i="32"/>
  <c r="T31" i="32"/>
  <c r="V31" i="32" s="1"/>
  <c r="Q31" i="32"/>
  <c r="T30" i="32"/>
  <c r="V30" i="32" s="1"/>
  <c r="Q30" i="32"/>
  <c r="V29" i="32"/>
  <c r="T29" i="32"/>
  <c r="Q29" i="32"/>
  <c r="V28" i="32"/>
  <c r="T28" i="32"/>
  <c r="Q28" i="32"/>
  <c r="T27" i="32"/>
  <c r="V27" i="32" s="1"/>
  <c r="Q27" i="32"/>
  <c r="T26" i="32"/>
  <c r="V26" i="32" s="1"/>
  <c r="Q26" i="32"/>
  <c r="V25" i="32"/>
  <c r="T25" i="32"/>
  <c r="Q25" i="32"/>
  <c r="V24" i="32"/>
  <c r="T24" i="32"/>
  <c r="Q24" i="32"/>
  <c r="T23" i="32"/>
  <c r="V23" i="32" s="1"/>
  <c r="Q23" i="32"/>
  <c r="T22" i="32"/>
  <c r="V22" i="32" s="1"/>
  <c r="Q22" i="32"/>
  <c r="V21" i="32"/>
  <c r="T21" i="32"/>
  <c r="Q21" i="32"/>
  <c r="V20" i="32"/>
  <c r="T20" i="32"/>
  <c r="Q20" i="32"/>
  <c r="T19" i="32"/>
  <c r="V19" i="32" s="1"/>
  <c r="Q19" i="32"/>
  <c r="T18" i="32"/>
  <c r="V18" i="32" s="1"/>
  <c r="Q18" i="32"/>
  <c r="V17" i="32"/>
  <c r="T17" i="32"/>
  <c r="Q17" i="32"/>
  <c r="V16" i="32"/>
  <c r="T16" i="32"/>
  <c r="Q16" i="32"/>
  <c r="T15" i="32"/>
  <c r="V15" i="32" s="1"/>
  <c r="Q15" i="32"/>
  <c r="T14" i="32"/>
  <c r="V14" i="32" s="1"/>
  <c r="Q14" i="32"/>
  <c r="V13" i="32"/>
  <c r="T13" i="32"/>
  <c r="Q13" i="32"/>
  <c r="V12" i="32"/>
  <c r="T12" i="32"/>
  <c r="Q12" i="32"/>
  <c r="T11" i="32"/>
  <c r="V11" i="32" s="1"/>
  <c r="Q11" i="32"/>
  <c r="T10" i="32"/>
  <c r="V10" i="32" s="1"/>
  <c r="Q10" i="32"/>
  <c r="V9" i="32"/>
  <c r="T9" i="32"/>
  <c r="Q9" i="32"/>
  <c r="V8" i="32"/>
  <c r="T8" i="32"/>
  <c r="Q8" i="32"/>
  <c r="T7" i="32"/>
  <c r="V7" i="32" s="1"/>
  <c r="Q7" i="32"/>
  <c r="T6" i="32"/>
  <c r="V6" i="32" s="1"/>
  <c r="Q6" i="32"/>
  <c r="V5" i="32"/>
  <c r="T5" i="32"/>
  <c r="Q5" i="32"/>
  <c r="V4" i="32"/>
  <c r="T4" i="32"/>
  <c r="Q4" i="32"/>
  <c r="T3" i="32"/>
  <c r="V3" i="32" s="1"/>
  <c r="Q3" i="32"/>
  <c r="T2" i="32"/>
  <c r="V2" i="32" s="1"/>
  <c r="Q2" i="32"/>
  <c r="T78" i="31" l="1"/>
  <c r="V78" i="31" s="1"/>
  <c r="Q78" i="31"/>
  <c r="T77" i="31"/>
  <c r="V77" i="31" s="1"/>
  <c r="Q77" i="31"/>
  <c r="T76" i="31"/>
  <c r="V76" i="31" s="1"/>
  <c r="Q76" i="31"/>
  <c r="V75" i="31"/>
  <c r="T75" i="31"/>
  <c r="Q75" i="31"/>
  <c r="T74" i="31"/>
  <c r="V74" i="31" s="1"/>
  <c r="Q74" i="31"/>
  <c r="T73" i="31"/>
  <c r="V73" i="31" s="1"/>
  <c r="Q73" i="31"/>
  <c r="T72" i="31"/>
  <c r="V72" i="31" s="1"/>
  <c r="Q72" i="31"/>
  <c r="T71" i="31"/>
  <c r="V71" i="31" s="1"/>
  <c r="Q71" i="31"/>
  <c r="T70" i="31"/>
  <c r="V70" i="31" s="1"/>
  <c r="Q70" i="31"/>
  <c r="T69" i="31"/>
  <c r="V69" i="31" s="1"/>
  <c r="Q69" i="31"/>
  <c r="T68" i="31"/>
  <c r="V68" i="31" s="1"/>
  <c r="Q68" i="31"/>
  <c r="T67" i="31"/>
  <c r="V67" i="31" s="1"/>
  <c r="Q67" i="31"/>
  <c r="T66" i="31"/>
  <c r="V66" i="31" s="1"/>
  <c r="Q66" i="31"/>
  <c r="T65" i="31"/>
  <c r="V65" i="31" s="1"/>
  <c r="Q65" i="31"/>
  <c r="T64" i="31"/>
  <c r="V64" i="31" s="1"/>
  <c r="Q64" i="31"/>
  <c r="T63" i="31"/>
  <c r="V63" i="31" s="1"/>
  <c r="Q63" i="31"/>
  <c r="T62" i="31"/>
  <c r="V62" i="31" s="1"/>
  <c r="Q62" i="31"/>
  <c r="T61" i="31"/>
  <c r="V61" i="31" s="1"/>
  <c r="Q61" i="31"/>
  <c r="T60" i="31"/>
  <c r="V60" i="31" s="1"/>
  <c r="Q60" i="31"/>
  <c r="T59" i="31"/>
  <c r="V59" i="31" s="1"/>
  <c r="Q59" i="31"/>
  <c r="T58" i="31"/>
  <c r="V58" i="31" s="1"/>
  <c r="Q58" i="31"/>
  <c r="T57" i="31"/>
  <c r="V57" i="31" s="1"/>
  <c r="Q57" i="31"/>
  <c r="T56" i="31"/>
  <c r="V56" i="31" s="1"/>
  <c r="Q56" i="31"/>
  <c r="T55" i="31"/>
  <c r="V55" i="31" s="1"/>
  <c r="Q55" i="31"/>
  <c r="T54" i="31"/>
  <c r="V54" i="31" s="1"/>
  <c r="Q54" i="31"/>
  <c r="T53" i="31"/>
  <c r="V53" i="31" s="1"/>
  <c r="Q53" i="31"/>
  <c r="T52" i="31"/>
  <c r="V52" i="31" s="1"/>
  <c r="Q52" i="31"/>
  <c r="T51" i="31"/>
  <c r="V51" i="31" s="1"/>
  <c r="Q51" i="31"/>
  <c r="T50" i="31"/>
  <c r="V50" i="31" s="1"/>
  <c r="Q50" i="31"/>
  <c r="T49" i="31"/>
  <c r="V49" i="31" s="1"/>
  <c r="Q49" i="31"/>
  <c r="T46" i="31"/>
  <c r="V46" i="31" s="1"/>
  <c r="Q46" i="31"/>
  <c r="T45" i="31"/>
  <c r="V45" i="31" s="1"/>
  <c r="Q45" i="31"/>
  <c r="T44" i="31"/>
  <c r="V44" i="31" s="1"/>
  <c r="Q44" i="31"/>
  <c r="T43" i="31"/>
  <c r="V43" i="31" s="1"/>
  <c r="Q43" i="31"/>
  <c r="T42" i="31"/>
  <c r="V42" i="31" s="1"/>
  <c r="Q42" i="31"/>
  <c r="T41" i="31"/>
  <c r="V41" i="31" s="1"/>
  <c r="Q41" i="31"/>
  <c r="T40" i="31"/>
  <c r="V40" i="31" s="1"/>
  <c r="Q40" i="31"/>
  <c r="T39" i="31"/>
  <c r="V39" i="31" s="1"/>
  <c r="Q39" i="31"/>
  <c r="T38" i="31"/>
  <c r="V38" i="31" s="1"/>
  <c r="Q38" i="31"/>
  <c r="T37" i="31"/>
  <c r="V37" i="31" s="1"/>
  <c r="Q37" i="31"/>
  <c r="T36" i="31"/>
  <c r="V36" i="31" s="1"/>
  <c r="Q36" i="31"/>
  <c r="T35" i="31"/>
  <c r="V35" i="31" s="1"/>
  <c r="Q35" i="31"/>
  <c r="T34" i="31"/>
  <c r="V34" i="31" s="1"/>
  <c r="Q34" i="31"/>
  <c r="T33" i="31"/>
  <c r="V33" i="31" s="1"/>
  <c r="Q33" i="31"/>
  <c r="T32" i="31"/>
  <c r="V32" i="31" s="1"/>
  <c r="Q32" i="31"/>
  <c r="T31" i="31"/>
  <c r="V31" i="31" s="1"/>
  <c r="Q31" i="31"/>
  <c r="T30" i="31"/>
  <c r="V30" i="31" s="1"/>
  <c r="Q30" i="31"/>
  <c r="T29" i="31"/>
  <c r="V29" i="31" s="1"/>
  <c r="Q29" i="31"/>
  <c r="T28" i="31"/>
  <c r="V28" i="31" s="1"/>
  <c r="Q28" i="31"/>
  <c r="T27" i="31"/>
  <c r="V27" i="31" s="1"/>
  <c r="Q27" i="31"/>
  <c r="T26" i="31"/>
  <c r="V26" i="31" s="1"/>
  <c r="Q26" i="31"/>
  <c r="T25" i="31"/>
  <c r="V25" i="31" s="1"/>
  <c r="Q25" i="31"/>
  <c r="T24" i="31"/>
  <c r="V24" i="31" s="1"/>
  <c r="Q24" i="31"/>
  <c r="T23" i="31"/>
  <c r="V23" i="31" s="1"/>
  <c r="Q23" i="31"/>
  <c r="T22" i="31"/>
  <c r="V22" i="31" s="1"/>
  <c r="Q22" i="31"/>
  <c r="T21" i="31"/>
  <c r="V21" i="31" s="1"/>
  <c r="Q21" i="31"/>
  <c r="T20" i="31"/>
  <c r="V20" i="31" s="1"/>
  <c r="Q20" i="31"/>
  <c r="T19" i="31"/>
  <c r="V19" i="31" s="1"/>
  <c r="Q19" i="31"/>
  <c r="T18" i="31"/>
  <c r="V18" i="31" s="1"/>
  <c r="Q18" i="31"/>
  <c r="T17" i="31"/>
  <c r="V17" i="31" s="1"/>
  <c r="Q17" i="31"/>
  <c r="T16" i="31"/>
  <c r="V16" i="31" s="1"/>
  <c r="Q16" i="31"/>
  <c r="T15" i="31"/>
  <c r="V15" i="31" s="1"/>
  <c r="Q15" i="31"/>
  <c r="T14" i="31"/>
  <c r="V14" i="31" s="1"/>
  <c r="Q14" i="31"/>
  <c r="T13" i="31"/>
  <c r="V13" i="31" s="1"/>
  <c r="Q13" i="31"/>
  <c r="T12" i="31"/>
  <c r="V12" i="31" s="1"/>
  <c r="Q12" i="31"/>
  <c r="T11" i="31"/>
  <c r="V11" i="31" s="1"/>
  <c r="Q11" i="31"/>
  <c r="T10" i="31"/>
  <c r="V10" i="31" s="1"/>
  <c r="Q10" i="31"/>
  <c r="T9" i="31"/>
  <c r="V9" i="31" s="1"/>
  <c r="Q9" i="31"/>
  <c r="T8" i="31"/>
  <c r="V8" i="31" s="1"/>
  <c r="Q8" i="31"/>
  <c r="T7" i="31"/>
  <c r="V7" i="31" s="1"/>
  <c r="Q7" i="31"/>
  <c r="T6" i="31"/>
  <c r="V6" i="31" s="1"/>
  <c r="Q6" i="31"/>
  <c r="T5" i="31"/>
  <c r="V5" i="31" s="1"/>
  <c r="Q5" i="31"/>
  <c r="T4" i="31"/>
  <c r="V4" i="31" s="1"/>
  <c r="Q4" i="31"/>
  <c r="T3" i="31"/>
  <c r="V3" i="31" s="1"/>
  <c r="Q3" i="31"/>
  <c r="T2" i="31"/>
  <c r="V2" i="31" s="1"/>
  <c r="Q2" i="31"/>
  <c r="V146" i="30" l="1"/>
  <c r="T146" i="30"/>
  <c r="Q146" i="30"/>
  <c r="V145" i="30"/>
  <c r="T145" i="30"/>
  <c r="Q145" i="30"/>
  <c r="V144" i="30"/>
  <c r="T144" i="30"/>
  <c r="Q144" i="30"/>
  <c r="V143" i="30"/>
  <c r="T143" i="30"/>
  <c r="Q143" i="30"/>
  <c r="V142" i="30"/>
  <c r="T142" i="30"/>
  <c r="Q142" i="30"/>
  <c r="V141" i="30"/>
  <c r="T141" i="30"/>
  <c r="Q141" i="30"/>
  <c r="V140" i="30"/>
  <c r="T140" i="30"/>
  <c r="Q140" i="30"/>
  <c r="V139" i="30"/>
  <c r="T139" i="30"/>
  <c r="Q139" i="30"/>
  <c r="V138" i="30"/>
  <c r="T138" i="30"/>
  <c r="Q138" i="30"/>
  <c r="V137" i="30"/>
  <c r="T137" i="30"/>
  <c r="Q137" i="30"/>
  <c r="V136" i="30"/>
  <c r="T136" i="30"/>
  <c r="Q136" i="30"/>
  <c r="V135" i="30"/>
  <c r="T135" i="30"/>
  <c r="Q135" i="30"/>
  <c r="V134" i="30"/>
  <c r="T134" i="30"/>
  <c r="Q134" i="30"/>
  <c r="V133" i="30"/>
  <c r="T133" i="30"/>
  <c r="Q133" i="30"/>
  <c r="V132" i="30"/>
  <c r="T132" i="30"/>
  <c r="Q132" i="30"/>
  <c r="V131" i="30"/>
  <c r="T131" i="30"/>
  <c r="Q131" i="30"/>
  <c r="V130" i="30"/>
  <c r="T130" i="30"/>
  <c r="Q130" i="30"/>
  <c r="V129" i="30"/>
  <c r="T129" i="30"/>
  <c r="Q129" i="30"/>
  <c r="V128" i="30"/>
  <c r="T128" i="30"/>
  <c r="Q128" i="30"/>
  <c r="V127" i="30"/>
  <c r="T127" i="30"/>
  <c r="Q127" i="30"/>
  <c r="V126" i="30"/>
  <c r="T126" i="30"/>
  <c r="Q126" i="30"/>
  <c r="V125" i="30"/>
  <c r="T125" i="30"/>
  <c r="Q125" i="30"/>
  <c r="V124" i="30"/>
  <c r="T124" i="30"/>
  <c r="Q124" i="30"/>
  <c r="V123" i="30"/>
  <c r="T123" i="30"/>
  <c r="Q123" i="30"/>
  <c r="V122" i="30"/>
  <c r="T122" i="30"/>
  <c r="Q122" i="30"/>
  <c r="V121" i="30"/>
  <c r="T121" i="30"/>
  <c r="Q121" i="30"/>
  <c r="V120" i="30"/>
  <c r="T120" i="30"/>
  <c r="Q120" i="30"/>
  <c r="V119" i="30"/>
  <c r="T119" i="30"/>
  <c r="Q119" i="30"/>
  <c r="V118" i="30"/>
  <c r="T118" i="30"/>
  <c r="Q118" i="30"/>
  <c r="V117" i="30"/>
  <c r="T117" i="30"/>
  <c r="Q117" i="30"/>
  <c r="V116" i="30"/>
  <c r="T116" i="30"/>
  <c r="Q116" i="30"/>
  <c r="V115" i="30"/>
  <c r="T115" i="30"/>
  <c r="Q115" i="30"/>
  <c r="V114" i="30"/>
  <c r="T114" i="30"/>
  <c r="Q114" i="30"/>
  <c r="V113" i="30"/>
  <c r="T113" i="30"/>
  <c r="Q113" i="30"/>
  <c r="V112" i="30"/>
  <c r="T112" i="30"/>
  <c r="Q112" i="30"/>
  <c r="V111" i="30"/>
  <c r="T111" i="30"/>
  <c r="Q111" i="30"/>
  <c r="V110" i="30"/>
  <c r="T110" i="30"/>
  <c r="Q110" i="30"/>
  <c r="V109" i="30"/>
  <c r="T109" i="30"/>
  <c r="Q109" i="30"/>
  <c r="V108" i="30"/>
  <c r="T108" i="30"/>
  <c r="Q108" i="30"/>
  <c r="V107" i="30"/>
  <c r="T107" i="30"/>
  <c r="Q107" i="30"/>
  <c r="V106" i="30"/>
  <c r="T106" i="30"/>
  <c r="Q106" i="30"/>
  <c r="V105" i="30"/>
  <c r="T105" i="30"/>
  <c r="Q105" i="30"/>
  <c r="V104" i="30"/>
  <c r="T104" i="30"/>
  <c r="Q104" i="30"/>
  <c r="V103" i="30"/>
  <c r="T103" i="30"/>
  <c r="Q103" i="30"/>
  <c r="V102" i="30"/>
  <c r="T102" i="30"/>
  <c r="Q102" i="30"/>
  <c r="V101" i="30"/>
  <c r="T101" i="30"/>
  <c r="Q101" i="30"/>
  <c r="V100" i="30"/>
  <c r="T100" i="30"/>
  <c r="Q100" i="30"/>
  <c r="V99" i="30"/>
  <c r="T99" i="30"/>
  <c r="Q99" i="30"/>
  <c r="V98" i="30"/>
  <c r="T98" i="30"/>
  <c r="Q98" i="30"/>
  <c r="V97" i="30"/>
  <c r="T97" i="30"/>
  <c r="Q97" i="30"/>
  <c r="V96" i="30"/>
  <c r="T96" i="30"/>
  <c r="Q96" i="30"/>
  <c r="V95" i="30"/>
  <c r="T95" i="30"/>
  <c r="Q95" i="30"/>
  <c r="V70" i="30"/>
  <c r="T70" i="30"/>
  <c r="Q70" i="30"/>
  <c r="V69" i="30"/>
  <c r="T69" i="30"/>
  <c r="Q69" i="30"/>
  <c r="V68" i="30"/>
  <c r="T68" i="30"/>
  <c r="Q68" i="30"/>
  <c r="V67" i="30"/>
  <c r="T67" i="30"/>
  <c r="Q67" i="30"/>
  <c r="V66" i="30"/>
  <c r="T66" i="30"/>
  <c r="Q66" i="30"/>
  <c r="V65" i="30"/>
  <c r="T65" i="30"/>
  <c r="Q65" i="30"/>
  <c r="V64" i="30"/>
  <c r="T64" i="30"/>
  <c r="Q64" i="30"/>
  <c r="V63" i="30"/>
  <c r="T63" i="30"/>
  <c r="Q63" i="30"/>
  <c r="V62" i="30"/>
  <c r="T62" i="30"/>
  <c r="Q62" i="30"/>
  <c r="V61" i="30"/>
  <c r="T61" i="30"/>
  <c r="Q61" i="30"/>
  <c r="V60" i="30"/>
  <c r="T60" i="30"/>
  <c r="Q60" i="30"/>
  <c r="V59" i="30"/>
  <c r="T59" i="30"/>
  <c r="Q59" i="30"/>
  <c r="V58" i="30"/>
  <c r="T58" i="30"/>
  <c r="Q58" i="30"/>
  <c r="V57" i="30"/>
  <c r="T57" i="30"/>
  <c r="Q57" i="30"/>
  <c r="V56" i="30"/>
  <c r="T56" i="30"/>
  <c r="Q56" i="30"/>
  <c r="V55" i="30"/>
  <c r="T55" i="30"/>
  <c r="Q55" i="30"/>
  <c r="V54" i="30"/>
  <c r="T54" i="30"/>
  <c r="Q54" i="30"/>
  <c r="V53" i="30"/>
  <c r="T53" i="30"/>
  <c r="Q53" i="30"/>
  <c r="V52" i="30"/>
  <c r="T52" i="30"/>
  <c r="Q52" i="30"/>
  <c r="V51" i="30"/>
  <c r="T51" i="30"/>
  <c r="Q51" i="30"/>
  <c r="V50" i="30"/>
  <c r="T50" i="30"/>
  <c r="Q50" i="30"/>
  <c r="V49" i="30"/>
  <c r="T49" i="30"/>
  <c r="Q49" i="30"/>
  <c r="V48" i="30"/>
  <c r="T48" i="30"/>
  <c r="Q48" i="30"/>
  <c r="V47" i="30"/>
  <c r="T47" i="30"/>
  <c r="Q47" i="30"/>
  <c r="V46" i="30"/>
  <c r="T46" i="30"/>
  <c r="Q46" i="30"/>
  <c r="V45" i="30"/>
  <c r="T45" i="30"/>
  <c r="Q45" i="30"/>
  <c r="V44" i="30"/>
  <c r="T44" i="30"/>
  <c r="Q44" i="30"/>
  <c r="V43" i="30"/>
  <c r="T43" i="30"/>
  <c r="Q43" i="30"/>
  <c r="V42" i="30"/>
  <c r="T42" i="30"/>
  <c r="Q42" i="30"/>
  <c r="V41" i="30"/>
  <c r="T41" i="30"/>
  <c r="Q41" i="30"/>
  <c r="V40" i="30"/>
  <c r="T40" i="30"/>
  <c r="Q40" i="30"/>
  <c r="V39" i="30"/>
  <c r="T39" i="30"/>
  <c r="Q39" i="30"/>
  <c r="V38" i="30"/>
  <c r="T38" i="30"/>
  <c r="Q38" i="30"/>
  <c r="V37" i="30"/>
  <c r="T37" i="30"/>
  <c r="Q37" i="30"/>
  <c r="V36" i="30"/>
  <c r="T36" i="30"/>
  <c r="Q36" i="30"/>
  <c r="V35" i="30"/>
  <c r="T35" i="30"/>
  <c r="Q35" i="30"/>
  <c r="V34" i="30"/>
  <c r="T34" i="30"/>
  <c r="Q34" i="30"/>
  <c r="V33" i="30"/>
  <c r="T33" i="30"/>
  <c r="Q33" i="30"/>
  <c r="V32" i="30"/>
  <c r="T32" i="30"/>
  <c r="Q32" i="30"/>
  <c r="V31" i="30"/>
  <c r="T31" i="30"/>
  <c r="Q31" i="30"/>
  <c r="V30" i="30"/>
  <c r="T30" i="30"/>
  <c r="Q30" i="30"/>
  <c r="V29" i="30"/>
  <c r="T29" i="30"/>
  <c r="Q29" i="30"/>
  <c r="V28" i="30"/>
  <c r="T28" i="30"/>
  <c r="Q28" i="30"/>
  <c r="V27" i="30"/>
  <c r="T27" i="30"/>
  <c r="Q27" i="30"/>
  <c r="V26" i="30"/>
  <c r="T26" i="30"/>
  <c r="Q26" i="30"/>
  <c r="V25" i="30"/>
  <c r="T25" i="30"/>
  <c r="Q25" i="30"/>
  <c r="V24" i="30"/>
  <c r="T24" i="30"/>
  <c r="Q24" i="30"/>
  <c r="V23" i="30"/>
  <c r="T23" i="30"/>
  <c r="Q23" i="30"/>
  <c r="V22" i="30"/>
  <c r="T22" i="30"/>
  <c r="Q22" i="30"/>
  <c r="V21" i="30"/>
  <c r="T21" i="30"/>
  <c r="Q21" i="30"/>
  <c r="V20" i="30"/>
  <c r="T20" i="30"/>
  <c r="Q20" i="30"/>
  <c r="V19" i="30"/>
  <c r="T19" i="30"/>
  <c r="Q19" i="30"/>
  <c r="V18" i="30"/>
  <c r="T18" i="30"/>
  <c r="Q18" i="30"/>
  <c r="V17" i="30"/>
  <c r="T17" i="30"/>
  <c r="Q17" i="30"/>
  <c r="V16" i="30"/>
  <c r="T16" i="30"/>
  <c r="Q16" i="30"/>
  <c r="V15" i="30"/>
  <c r="T15" i="30"/>
  <c r="Q15" i="30"/>
  <c r="V14" i="30"/>
  <c r="T14" i="30"/>
  <c r="Q14" i="30"/>
  <c r="V13" i="30"/>
  <c r="T13" i="30"/>
  <c r="Q13" i="30"/>
  <c r="V12" i="30"/>
  <c r="T12" i="30"/>
  <c r="Q12" i="30"/>
  <c r="V11" i="30"/>
  <c r="T11" i="30"/>
  <c r="Q11" i="30"/>
  <c r="V10" i="30"/>
  <c r="T10" i="30"/>
  <c r="Q10" i="30"/>
  <c r="V9" i="30"/>
  <c r="T9" i="30"/>
  <c r="Q9" i="30"/>
  <c r="V8" i="30"/>
  <c r="T8" i="30"/>
  <c r="Q8" i="30"/>
  <c r="V7" i="30"/>
  <c r="T7" i="30"/>
  <c r="Q7" i="30"/>
  <c r="V6" i="30"/>
  <c r="T6" i="30"/>
  <c r="Q6" i="30"/>
  <c r="V5" i="30"/>
  <c r="T5" i="30"/>
  <c r="Q5" i="30"/>
  <c r="V4" i="30"/>
  <c r="T4" i="30"/>
  <c r="Q4" i="30"/>
  <c r="V3" i="30"/>
  <c r="T3" i="30"/>
  <c r="Q3" i="30"/>
  <c r="V2" i="30"/>
  <c r="T2" i="30"/>
  <c r="Q2" i="30"/>
  <c r="T67" i="29" l="1"/>
  <c r="V67" i="29" s="1"/>
  <c r="Q67" i="29"/>
  <c r="T66" i="29"/>
  <c r="V66" i="29" s="1"/>
  <c r="Q66" i="29"/>
  <c r="V65" i="29"/>
  <c r="T65" i="29"/>
  <c r="Q65" i="29"/>
  <c r="T64" i="29"/>
  <c r="V64" i="29" s="1"/>
  <c r="Q64" i="29"/>
  <c r="T63" i="29"/>
  <c r="V63" i="29" s="1"/>
  <c r="Q63" i="29"/>
  <c r="V62" i="29"/>
  <c r="T62" i="29"/>
  <c r="Q62" i="29"/>
  <c r="V61" i="29"/>
  <c r="T61" i="29"/>
  <c r="Q61" i="29"/>
  <c r="T60" i="29"/>
  <c r="V60" i="29" s="1"/>
  <c r="Q60" i="29"/>
  <c r="T59" i="29"/>
  <c r="V59" i="29" s="1"/>
  <c r="Q59" i="29"/>
  <c r="V58" i="29"/>
  <c r="T58" i="29"/>
  <c r="Q58" i="29"/>
  <c r="V57" i="29"/>
  <c r="T57" i="29"/>
  <c r="Q57" i="29"/>
  <c r="T56" i="29"/>
  <c r="V56" i="29" s="1"/>
  <c r="Q56" i="29"/>
  <c r="T55" i="29"/>
  <c r="V55" i="29" s="1"/>
  <c r="Q55" i="29"/>
  <c r="V54" i="29"/>
  <c r="T54" i="29"/>
  <c r="Q54" i="29"/>
  <c r="V53" i="29"/>
  <c r="T53" i="29"/>
  <c r="Q53" i="29"/>
  <c r="T52" i="29"/>
  <c r="V52" i="29" s="1"/>
  <c r="Q52" i="29"/>
  <c r="T51" i="29"/>
  <c r="V51" i="29" s="1"/>
  <c r="Q51" i="29"/>
  <c r="V50" i="29"/>
  <c r="T50" i="29"/>
  <c r="Q50" i="29"/>
  <c r="V49" i="29"/>
  <c r="T49" i="29"/>
  <c r="Q49" i="29"/>
  <c r="T48" i="29"/>
  <c r="V48" i="29" s="1"/>
  <c r="Q48" i="29"/>
  <c r="T47" i="29"/>
  <c r="V47" i="29" s="1"/>
  <c r="Q47" i="29"/>
  <c r="V46" i="29"/>
  <c r="T46" i="29"/>
  <c r="Q46" i="29"/>
  <c r="V45" i="29"/>
  <c r="T45" i="29"/>
  <c r="Q45" i="29"/>
  <c r="T44" i="29"/>
  <c r="V44" i="29" s="1"/>
  <c r="Q44" i="29"/>
  <c r="T43" i="29"/>
  <c r="V43" i="29" s="1"/>
  <c r="Q43" i="29"/>
  <c r="V42" i="29"/>
  <c r="T42" i="29"/>
  <c r="Q42" i="29"/>
  <c r="V41" i="29"/>
  <c r="T41" i="29"/>
  <c r="Q41" i="29"/>
  <c r="T40" i="29"/>
  <c r="V40" i="29" s="1"/>
  <c r="Q40" i="29"/>
  <c r="T39" i="29"/>
  <c r="V39" i="29" s="1"/>
  <c r="Q39" i="29"/>
  <c r="V38" i="29"/>
  <c r="T38" i="29"/>
  <c r="Q38" i="29"/>
  <c r="V37" i="29"/>
  <c r="T37" i="29"/>
  <c r="Q37" i="29"/>
  <c r="T36" i="29"/>
  <c r="V36" i="29" s="1"/>
  <c r="Q36" i="29"/>
  <c r="T35" i="29"/>
  <c r="V35" i="29" s="1"/>
  <c r="Q35" i="29"/>
  <c r="V34" i="29"/>
  <c r="T34" i="29"/>
  <c r="Q34" i="29"/>
  <c r="V33" i="29"/>
  <c r="T33" i="29"/>
  <c r="Q33" i="29"/>
  <c r="T32" i="29"/>
  <c r="V32" i="29" s="1"/>
  <c r="Q32" i="29"/>
  <c r="T31" i="29"/>
  <c r="V31" i="29" s="1"/>
  <c r="Q31" i="29"/>
  <c r="V30" i="29"/>
  <c r="T30" i="29"/>
  <c r="Q30" i="29"/>
  <c r="V29" i="29"/>
  <c r="T29" i="29"/>
  <c r="Q29" i="29"/>
  <c r="T28" i="29"/>
  <c r="V28" i="29" s="1"/>
  <c r="Q28" i="29"/>
  <c r="T27" i="29"/>
  <c r="V27" i="29" s="1"/>
  <c r="Q27" i="29"/>
  <c r="V26" i="29"/>
  <c r="T26" i="29"/>
  <c r="Q26" i="29"/>
  <c r="V25" i="29"/>
  <c r="T25" i="29"/>
  <c r="Q25" i="29"/>
  <c r="T24" i="29"/>
  <c r="V24" i="29" s="1"/>
  <c r="Q24" i="29"/>
  <c r="T23" i="29"/>
  <c r="V23" i="29" s="1"/>
  <c r="Q23" i="29"/>
  <c r="V22" i="29"/>
  <c r="T22" i="29"/>
  <c r="Q22" i="29"/>
  <c r="V21" i="29"/>
  <c r="T21" i="29"/>
  <c r="Q21" i="29"/>
  <c r="T20" i="29"/>
  <c r="V20" i="29" s="1"/>
  <c r="Q20" i="29"/>
  <c r="T19" i="29"/>
  <c r="V19" i="29" s="1"/>
  <c r="Q19" i="29"/>
  <c r="V18" i="29"/>
  <c r="T18" i="29"/>
  <c r="Q18" i="29"/>
  <c r="V17" i="29"/>
  <c r="T17" i="29"/>
  <c r="Q17" i="29"/>
  <c r="T16" i="29"/>
  <c r="V16" i="29" s="1"/>
  <c r="Q16" i="29"/>
  <c r="T15" i="29"/>
  <c r="V15" i="29" s="1"/>
  <c r="Q15" i="29"/>
  <c r="V14" i="29"/>
  <c r="T14" i="29"/>
  <c r="Q14" i="29"/>
  <c r="V13" i="29"/>
  <c r="T13" i="29"/>
  <c r="Q13" i="29"/>
  <c r="T12" i="29"/>
  <c r="V12" i="29" s="1"/>
  <c r="Q12" i="29"/>
  <c r="T11" i="29"/>
  <c r="V11" i="29" s="1"/>
  <c r="Q11" i="29"/>
  <c r="V10" i="29"/>
  <c r="T10" i="29"/>
  <c r="Q10" i="29"/>
  <c r="V9" i="29"/>
  <c r="T9" i="29"/>
  <c r="Q9" i="29"/>
  <c r="T8" i="29"/>
  <c r="V8" i="29" s="1"/>
  <c r="Q8" i="29"/>
  <c r="T7" i="29"/>
  <c r="V7" i="29" s="1"/>
  <c r="Q7" i="29"/>
  <c r="V6" i="29"/>
  <c r="T6" i="29"/>
  <c r="Q6" i="29"/>
  <c r="V5" i="29"/>
  <c r="T5" i="29"/>
  <c r="Q5" i="29"/>
  <c r="T4" i="29"/>
  <c r="V4" i="29" s="1"/>
  <c r="Q4" i="29"/>
  <c r="T3" i="29"/>
  <c r="V3" i="29" s="1"/>
  <c r="Q3" i="29"/>
  <c r="V2" i="29"/>
  <c r="T2" i="29"/>
  <c r="Q2" i="29"/>
  <c r="T67" i="28" l="1"/>
  <c r="V67" i="28" s="1"/>
  <c r="Q67" i="28"/>
  <c r="T66" i="28"/>
  <c r="V66" i="28" s="1"/>
  <c r="Q66" i="28"/>
  <c r="V65" i="28"/>
  <c r="T65" i="28"/>
  <c r="Q65" i="28"/>
  <c r="V64" i="28"/>
  <c r="T64" i="28"/>
  <c r="Q64" i="28"/>
  <c r="T63" i="28"/>
  <c r="V63" i="28" s="1"/>
  <c r="Q63" i="28"/>
  <c r="T62" i="28"/>
  <c r="V62" i="28" s="1"/>
  <c r="Q62" i="28"/>
  <c r="V61" i="28"/>
  <c r="T61" i="28"/>
  <c r="Q61" i="28"/>
  <c r="V60" i="28"/>
  <c r="T60" i="28"/>
  <c r="Q60" i="28"/>
  <c r="T59" i="28"/>
  <c r="V59" i="28" s="1"/>
  <c r="Q59" i="28"/>
  <c r="T58" i="28"/>
  <c r="V58" i="28" s="1"/>
  <c r="Q58" i="28"/>
  <c r="V57" i="28"/>
  <c r="T57" i="28"/>
  <c r="Q57" i="28"/>
  <c r="V56" i="28"/>
  <c r="T56" i="28"/>
  <c r="Q56" i="28"/>
  <c r="T55" i="28"/>
  <c r="V55" i="28" s="1"/>
  <c r="Q55" i="28"/>
  <c r="T54" i="28"/>
  <c r="V54" i="28" s="1"/>
  <c r="Q54" i="28"/>
  <c r="V53" i="28"/>
  <c r="T53" i="28"/>
  <c r="Q53" i="28"/>
  <c r="V52" i="28"/>
  <c r="T52" i="28"/>
  <c r="Q52" i="28"/>
  <c r="T51" i="28"/>
  <c r="V51" i="28" s="1"/>
  <c r="Q51" i="28"/>
  <c r="T50" i="28"/>
  <c r="V50" i="28" s="1"/>
  <c r="Q50" i="28"/>
  <c r="V49" i="28"/>
  <c r="T49" i="28"/>
  <c r="Q49" i="28"/>
  <c r="V48" i="28"/>
  <c r="T48" i="28"/>
  <c r="Q48" i="28"/>
  <c r="T47" i="28"/>
  <c r="V47" i="28" s="1"/>
  <c r="Q47" i="28"/>
  <c r="T46" i="28"/>
  <c r="V46" i="28" s="1"/>
  <c r="Q46" i="28"/>
  <c r="V45" i="28"/>
  <c r="T45" i="28"/>
  <c r="Q45" i="28"/>
  <c r="V44" i="28"/>
  <c r="T44" i="28"/>
  <c r="Q44" i="28"/>
  <c r="T43" i="28"/>
  <c r="V43" i="28" s="1"/>
  <c r="Q43" i="28"/>
  <c r="T42" i="28"/>
  <c r="V42" i="28" s="1"/>
  <c r="Q42" i="28"/>
  <c r="V41" i="28"/>
  <c r="T41" i="28"/>
  <c r="Q41" i="28"/>
  <c r="V40" i="28"/>
  <c r="T40" i="28"/>
  <c r="Q40" i="28"/>
  <c r="T39" i="28"/>
  <c r="V39" i="28" s="1"/>
  <c r="Q39" i="28"/>
  <c r="T38" i="28"/>
  <c r="V38" i="28" s="1"/>
  <c r="Q38" i="28"/>
  <c r="V37" i="28"/>
  <c r="T37" i="28"/>
  <c r="Q37" i="28"/>
  <c r="V36" i="28"/>
  <c r="T36" i="28"/>
  <c r="Q36" i="28"/>
  <c r="T35" i="28"/>
  <c r="V35" i="28" s="1"/>
  <c r="Q35" i="28"/>
  <c r="T34" i="28"/>
  <c r="V34" i="28" s="1"/>
  <c r="Q34" i="28"/>
  <c r="V33" i="28"/>
  <c r="T33" i="28"/>
  <c r="Q33" i="28"/>
  <c r="V32" i="28"/>
  <c r="T32" i="28"/>
  <c r="Q32" i="28"/>
  <c r="T31" i="28"/>
  <c r="V31" i="28" s="1"/>
  <c r="Q31" i="28"/>
  <c r="T30" i="28"/>
  <c r="V30" i="28" s="1"/>
  <c r="Q30" i="28"/>
  <c r="V29" i="28"/>
  <c r="T29" i="28"/>
  <c r="Q29" i="28"/>
  <c r="V28" i="28"/>
  <c r="T28" i="28"/>
  <c r="Q28" i="28"/>
  <c r="T27" i="28"/>
  <c r="V27" i="28" s="1"/>
  <c r="Q27" i="28"/>
  <c r="T26" i="28"/>
  <c r="V26" i="28" s="1"/>
  <c r="Q26" i="28"/>
  <c r="V25" i="28"/>
  <c r="T25" i="28"/>
  <c r="Q25" i="28"/>
  <c r="V24" i="28"/>
  <c r="T24" i="28"/>
  <c r="Q24" i="28"/>
  <c r="T23" i="28"/>
  <c r="V23" i="28" s="1"/>
  <c r="Q23" i="28"/>
  <c r="T22" i="28"/>
  <c r="V22" i="28" s="1"/>
  <c r="Q22" i="28"/>
  <c r="V21" i="28"/>
  <c r="T21" i="28"/>
  <c r="Q21" i="28"/>
  <c r="V20" i="28"/>
  <c r="T20" i="28"/>
  <c r="Q20" i="28"/>
  <c r="T19" i="28"/>
  <c r="V19" i="28" s="1"/>
  <c r="Q19" i="28"/>
  <c r="T18" i="28"/>
  <c r="V18" i="28" s="1"/>
  <c r="Q18" i="28"/>
  <c r="V17" i="28"/>
  <c r="T17" i="28"/>
  <c r="Q17" i="28"/>
  <c r="V16" i="28"/>
  <c r="T16" i="28"/>
  <c r="Q16" i="28"/>
  <c r="T15" i="28"/>
  <c r="V15" i="28" s="1"/>
  <c r="Q15" i="28"/>
  <c r="T14" i="28"/>
  <c r="V14" i="28" s="1"/>
  <c r="Q14" i="28"/>
  <c r="V13" i="28"/>
  <c r="T13" i="28"/>
  <c r="Q13" i="28"/>
  <c r="V12" i="28"/>
  <c r="T12" i="28"/>
  <c r="Q12" i="28"/>
  <c r="T11" i="28"/>
  <c r="V11" i="28" s="1"/>
  <c r="Q11" i="28"/>
  <c r="T10" i="28"/>
  <c r="V10" i="28" s="1"/>
  <c r="Q10" i="28"/>
  <c r="V9" i="28"/>
  <c r="T9" i="28"/>
  <c r="Q9" i="28"/>
  <c r="V8" i="28"/>
  <c r="T8" i="28"/>
  <c r="Q8" i="28"/>
  <c r="T7" i="28"/>
  <c r="V7" i="28" s="1"/>
  <c r="Q7" i="28"/>
  <c r="T6" i="28"/>
  <c r="V6" i="28" s="1"/>
  <c r="Q6" i="28"/>
  <c r="V5" i="28"/>
  <c r="T5" i="28"/>
  <c r="Q5" i="28"/>
  <c r="V4" i="28"/>
  <c r="T4" i="28"/>
  <c r="Q4" i="28"/>
  <c r="T3" i="28"/>
  <c r="V3" i="28" s="1"/>
  <c r="Q3" i="28"/>
  <c r="T2" i="28"/>
  <c r="V2" i="28" s="1"/>
  <c r="Q2" i="28"/>
  <c r="T55" i="27"/>
  <c r="V55" i="27" s="1"/>
  <c r="Q55" i="27"/>
  <c r="T54" i="27"/>
  <c r="V54" i="27" s="1"/>
  <c r="Q54" i="27"/>
  <c r="V53" i="27"/>
  <c r="T53" i="27"/>
  <c r="Q53" i="27"/>
  <c r="V52" i="27"/>
  <c r="T52" i="27"/>
  <c r="Q52" i="27"/>
  <c r="T51" i="27"/>
  <c r="V51" i="27" s="1"/>
  <c r="Q51" i="27"/>
  <c r="T50" i="27"/>
  <c r="V50" i="27" s="1"/>
  <c r="Q50" i="27"/>
  <c r="V49" i="27"/>
  <c r="T49" i="27"/>
  <c r="Q49" i="27"/>
  <c r="V48" i="27"/>
  <c r="T48" i="27"/>
  <c r="Q48" i="27"/>
  <c r="T47" i="27"/>
  <c r="V47" i="27" s="1"/>
  <c r="Q47" i="27"/>
  <c r="T46" i="27"/>
  <c r="V46" i="27" s="1"/>
  <c r="Q46" i="27"/>
  <c r="V45" i="27"/>
  <c r="T45" i="27"/>
  <c r="Q45" i="27"/>
  <c r="V44" i="27"/>
  <c r="T44" i="27"/>
  <c r="Q44" i="27"/>
  <c r="T43" i="27"/>
  <c r="V43" i="27" s="1"/>
  <c r="Q43" i="27"/>
  <c r="T42" i="27"/>
  <c r="V42" i="27" s="1"/>
  <c r="Q42" i="27"/>
  <c r="V41" i="27"/>
  <c r="T41" i="27"/>
  <c r="Q41" i="27"/>
  <c r="V40" i="27"/>
  <c r="T40" i="27"/>
  <c r="Q40" i="27"/>
  <c r="T39" i="27"/>
  <c r="V39" i="27" s="1"/>
  <c r="Q39" i="27"/>
  <c r="T38" i="27"/>
  <c r="V38" i="27" s="1"/>
  <c r="Q38" i="27"/>
  <c r="V37" i="27"/>
  <c r="T37" i="27"/>
  <c r="Q37" i="27"/>
  <c r="T36" i="27"/>
  <c r="V36" i="27" s="1"/>
  <c r="Q36" i="27"/>
  <c r="T35" i="27"/>
  <c r="V35" i="27" s="1"/>
  <c r="Q35" i="27"/>
  <c r="T34" i="27"/>
  <c r="V34" i="27" s="1"/>
  <c r="Q34" i="27"/>
  <c r="V33" i="27"/>
  <c r="T33" i="27"/>
  <c r="Q33" i="27"/>
  <c r="T32" i="27"/>
  <c r="V32" i="27" s="1"/>
  <c r="Q32" i="27"/>
  <c r="T31" i="27"/>
  <c r="V31" i="27" s="1"/>
  <c r="Q31" i="27"/>
  <c r="T30" i="27"/>
  <c r="V30" i="27" s="1"/>
  <c r="Q30" i="27"/>
  <c r="V29" i="27"/>
  <c r="T29" i="27"/>
  <c r="Q29" i="27"/>
  <c r="T28" i="27"/>
  <c r="V28" i="27" s="1"/>
  <c r="Q28" i="27"/>
  <c r="T27" i="27"/>
  <c r="V27" i="27" s="1"/>
  <c r="Q27" i="27"/>
  <c r="T26" i="27"/>
  <c r="V26" i="27" s="1"/>
  <c r="Q26" i="27"/>
  <c r="V25" i="27"/>
  <c r="T25" i="27"/>
  <c r="Q25" i="27"/>
  <c r="T24" i="27"/>
  <c r="V24" i="27" s="1"/>
  <c r="Q24" i="27"/>
  <c r="T23" i="27"/>
  <c r="V23" i="27" s="1"/>
  <c r="Q23" i="27"/>
  <c r="T22" i="27"/>
  <c r="V22" i="27" s="1"/>
  <c r="Q22" i="27"/>
  <c r="V21" i="27"/>
  <c r="T21" i="27"/>
  <c r="Q21" i="27"/>
  <c r="T20" i="27"/>
  <c r="V20" i="27" s="1"/>
  <c r="Q20" i="27"/>
  <c r="T19" i="27"/>
  <c r="V19" i="27" s="1"/>
  <c r="Q19" i="27"/>
  <c r="T18" i="27"/>
  <c r="V18" i="27" s="1"/>
  <c r="Q18" i="27"/>
  <c r="V17" i="27"/>
  <c r="T17" i="27"/>
  <c r="Q17" i="27"/>
  <c r="T16" i="27"/>
  <c r="V16" i="27" s="1"/>
  <c r="Q16" i="27"/>
  <c r="T15" i="27"/>
  <c r="V15" i="27" s="1"/>
  <c r="Q15" i="27"/>
  <c r="T14" i="27"/>
  <c r="V14" i="27" s="1"/>
  <c r="Q14" i="27"/>
  <c r="V13" i="27"/>
  <c r="T13" i="27"/>
  <c r="Q13" i="27"/>
  <c r="T12" i="27"/>
  <c r="V12" i="27" s="1"/>
  <c r="Q12" i="27"/>
  <c r="T11" i="27"/>
  <c r="V11" i="27" s="1"/>
  <c r="Q11" i="27"/>
  <c r="T10" i="27"/>
  <c r="V10" i="27" s="1"/>
  <c r="Q10" i="27"/>
  <c r="V9" i="27"/>
  <c r="T9" i="27"/>
  <c r="Q9" i="27"/>
  <c r="T8" i="27"/>
  <c r="V8" i="27" s="1"/>
  <c r="Q8" i="27"/>
  <c r="T7" i="27"/>
  <c r="V7" i="27" s="1"/>
  <c r="Q7" i="27"/>
  <c r="T6" i="27"/>
  <c r="V6" i="27" s="1"/>
  <c r="Q6" i="27"/>
  <c r="V5" i="27"/>
  <c r="T5" i="27"/>
  <c r="Q5" i="27"/>
  <c r="T4" i="27"/>
  <c r="V4" i="27" s="1"/>
  <c r="Q4" i="27"/>
  <c r="T3" i="27"/>
  <c r="V3" i="27" s="1"/>
  <c r="Q3" i="27"/>
  <c r="T2" i="27"/>
  <c r="V2" i="27" s="1"/>
  <c r="Q2" i="27"/>
  <c r="T109" i="26" l="1"/>
  <c r="V109" i="26" s="1"/>
  <c r="Q109" i="26"/>
  <c r="T108" i="26"/>
  <c r="V108" i="26" s="1"/>
  <c r="Q108" i="26"/>
  <c r="T107" i="26"/>
  <c r="V107" i="26" s="1"/>
  <c r="Q107" i="26"/>
  <c r="V106" i="26"/>
  <c r="T106" i="26"/>
  <c r="Q106" i="26"/>
  <c r="T105" i="26"/>
  <c r="V105" i="26" s="1"/>
  <c r="Q105" i="26"/>
  <c r="T104" i="26"/>
  <c r="V104" i="26" s="1"/>
  <c r="Q104" i="26"/>
  <c r="T103" i="26"/>
  <c r="V103" i="26" s="1"/>
  <c r="Q103" i="26"/>
  <c r="V102" i="26"/>
  <c r="T102" i="26"/>
  <c r="Q102" i="26"/>
  <c r="T101" i="26"/>
  <c r="V101" i="26" s="1"/>
  <c r="Q101" i="26"/>
  <c r="T100" i="26"/>
  <c r="V100" i="26" s="1"/>
  <c r="Q100" i="26"/>
  <c r="T99" i="26"/>
  <c r="V99" i="26" s="1"/>
  <c r="Q99" i="26"/>
  <c r="V98" i="26"/>
  <c r="T98" i="26"/>
  <c r="Q98" i="26"/>
  <c r="T97" i="26"/>
  <c r="V97" i="26" s="1"/>
  <c r="Q97" i="26"/>
  <c r="T96" i="26"/>
  <c r="V96" i="26" s="1"/>
  <c r="Q96" i="26"/>
  <c r="T95" i="26"/>
  <c r="V95" i="26" s="1"/>
  <c r="Q95" i="26"/>
  <c r="V94" i="26"/>
  <c r="T94" i="26"/>
  <c r="Q94" i="26"/>
  <c r="T93" i="26"/>
  <c r="V93" i="26" s="1"/>
  <c r="Q93" i="26"/>
  <c r="T92" i="26"/>
  <c r="V92" i="26" s="1"/>
  <c r="Q92" i="26"/>
  <c r="T91" i="26"/>
  <c r="V91" i="26" s="1"/>
  <c r="Q91" i="26"/>
  <c r="V90" i="26"/>
  <c r="T90" i="26"/>
  <c r="Q90" i="26"/>
  <c r="T89" i="26"/>
  <c r="V89" i="26" s="1"/>
  <c r="Q89" i="26"/>
  <c r="T88" i="26"/>
  <c r="V88" i="26" s="1"/>
  <c r="Q88" i="26"/>
  <c r="T87" i="26"/>
  <c r="V87" i="26" s="1"/>
  <c r="Q87" i="26"/>
  <c r="V86" i="26"/>
  <c r="T86" i="26"/>
  <c r="Q86" i="26"/>
  <c r="T85" i="26"/>
  <c r="V85" i="26" s="1"/>
  <c r="Q85" i="26"/>
  <c r="T84" i="26"/>
  <c r="V84" i="26" s="1"/>
  <c r="Q84" i="26"/>
  <c r="T83" i="26"/>
  <c r="V83" i="26" s="1"/>
  <c r="Q83" i="26"/>
  <c r="V82" i="26"/>
  <c r="T82" i="26"/>
  <c r="Q82" i="26"/>
  <c r="T81" i="26"/>
  <c r="V81" i="26" s="1"/>
  <c r="Q81" i="26"/>
  <c r="T80" i="26"/>
  <c r="V80" i="26" s="1"/>
  <c r="Q80" i="26"/>
  <c r="T79" i="26"/>
  <c r="V79" i="26" s="1"/>
  <c r="Q79" i="26"/>
  <c r="V78" i="26"/>
  <c r="T78" i="26"/>
  <c r="Q78" i="26"/>
  <c r="T77" i="26"/>
  <c r="V77" i="26" s="1"/>
  <c r="Q77" i="26"/>
  <c r="T76" i="26"/>
  <c r="V76" i="26" s="1"/>
  <c r="Q76" i="26"/>
  <c r="T75" i="26"/>
  <c r="V75" i="26" s="1"/>
  <c r="Q75" i="26"/>
  <c r="V74" i="26"/>
  <c r="T74" i="26"/>
  <c r="Q74" i="26"/>
  <c r="T73" i="26"/>
  <c r="V73" i="26" s="1"/>
  <c r="Q73" i="26"/>
  <c r="T72" i="26"/>
  <c r="V72" i="26" s="1"/>
  <c r="Q72" i="26"/>
  <c r="T71" i="26"/>
  <c r="V71" i="26" s="1"/>
  <c r="Q71" i="26"/>
  <c r="V70" i="26"/>
  <c r="T70" i="26"/>
  <c r="Q70" i="26"/>
  <c r="T69" i="26"/>
  <c r="V69" i="26" s="1"/>
  <c r="Q69" i="26"/>
  <c r="T68" i="26"/>
  <c r="V68" i="26" s="1"/>
  <c r="Q68" i="26"/>
  <c r="T67" i="26"/>
  <c r="V67" i="26" s="1"/>
  <c r="Q67" i="26"/>
  <c r="V66" i="26"/>
  <c r="T66" i="26"/>
  <c r="Q66" i="26"/>
  <c r="T65" i="26"/>
  <c r="V65" i="26" s="1"/>
  <c r="Q65" i="26"/>
  <c r="T64" i="26"/>
  <c r="V64" i="26" s="1"/>
  <c r="Q64" i="26"/>
  <c r="T63" i="26"/>
  <c r="V63" i="26" s="1"/>
  <c r="Q63" i="26"/>
  <c r="V62" i="26"/>
  <c r="T62" i="26"/>
  <c r="Q62" i="26"/>
  <c r="T61" i="26"/>
  <c r="V61" i="26" s="1"/>
  <c r="Q61" i="26"/>
  <c r="T60" i="26"/>
  <c r="V60" i="26" s="1"/>
  <c r="Q60" i="26"/>
  <c r="T59" i="26"/>
  <c r="V59" i="26" s="1"/>
  <c r="Q59" i="26"/>
  <c r="V58" i="26"/>
  <c r="T58" i="26"/>
  <c r="Q58" i="26"/>
  <c r="T57" i="26"/>
  <c r="V57" i="26" s="1"/>
  <c r="Q57" i="26"/>
  <c r="T56" i="26"/>
  <c r="V56" i="26" s="1"/>
  <c r="Q56" i="26"/>
  <c r="T55" i="26"/>
  <c r="V55" i="26" s="1"/>
  <c r="Q55" i="26"/>
  <c r="V54" i="26"/>
  <c r="T54" i="26"/>
  <c r="Q54" i="26"/>
  <c r="T53" i="26"/>
  <c r="V53" i="26" s="1"/>
  <c r="Q53" i="26"/>
  <c r="T52" i="26"/>
  <c r="V52" i="26" s="1"/>
  <c r="Q52" i="26"/>
  <c r="T51" i="26"/>
  <c r="V51" i="26" s="1"/>
  <c r="Q51" i="26"/>
  <c r="V50" i="26"/>
  <c r="T50" i="26"/>
  <c r="Q50" i="26"/>
  <c r="T49" i="26"/>
  <c r="V49" i="26" s="1"/>
  <c r="Q49" i="26"/>
  <c r="T48" i="26"/>
  <c r="V48" i="26" s="1"/>
  <c r="Q48" i="26"/>
  <c r="T47" i="26"/>
  <c r="V47" i="26" s="1"/>
  <c r="Q47" i="26"/>
  <c r="V46" i="26"/>
  <c r="T46" i="26"/>
  <c r="Q46" i="26"/>
  <c r="T45" i="26"/>
  <c r="V45" i="26" s="1"/>
  <c r="Q45" i="26"/>
  <c r="T44" i="26"/>
  <c r="V44" i="26" s="1"/>
  <c r="Q44" i="26"/>
  <c r="T43" i="26"/>
  <c r="V43" i="26" s="1"/>
  <c r="Q43" i="26"/>
  <c r="V42" i="26"/>
  <c r="T42" i="26"/>
  <c r="Q42" i="26"/>
  <c r="T41" i="26"/>
  <c r="V41" i="26" s="1"/>
  <c r="Q41" i="26"/>
  <c r="T40" i="26"/>
  <c r="V40" i="26" s="1"/>
  <c r="Q40" i="26"/>
  <c r="T39" i="26"/>
  <c r="V39" i="26" s="1"/>
  <c r="Q39" i="26"/>
  <c r="V38" i="26"/>
  <c r="T38" i="26"/>
  <c r="Q38" i="26"/>
  <c r="T37" i="26"/>
  <c r="V37" i="26" s="1"/>
  <c r="Q37" i="26"/>
  <c r="T36" i="26"/>
  <c r="V36" i="26" s="1"/>
  <c r="Q36" i="26"/>
  <c r="T35" i="26"/>
  <c r="V35" i="26" s="1"/>
  <c r="Q35" i="26"/>
  <c r="V34" i="26"/>
  <c r="T34" i="26"/>
  <c r="Q34" i="26"/>
  <c r="T33" i="26"/>
  <c r="V33" i="26" s="1"/>
  <c r="Q33" i="26"/>
  <c r="T32" i="26"/>
  <c r="V32" i="26" s="1"/>
  <c r="Q32" i="26"/>
  <c r="T31" i="26"/>
  <c r="V31" i="26" s="1"/>
  <c r="Q31" i="26"/>
  <c r="V30" i="26"/>
  <c r="T30" i="26"/>
  <c r="Q30" i="26"/>
  <c r="T29" i="26"/>
  <c r="V29" i="26" s="1"/>
  <c r="Q29" i="26"/>
  <c r="T28" i="26"/>
  <c r="V28" i="26" s="1"/>
  <c r="Q28" i="26"/>
  <c r="T27" i="26"/>
  <c r="V27" i="26" s="1"/>
  <c r="Q27" i="26"/>
  <c r="V26" i="26"/>
  <c r="T26" i="26"/>
  <c r="Q26" i="26"/>
  <c r="T25" i="26"/>
  <c r="V25" i="26" s="1"/>
  <c r="Q25" i="26"/>
  <c r="T24" i="26"/>
  <c r="V24" i="26" s="1"/>
  <c r="Q24" i="26"/>
  <c r="T23" i="26"/>
  <c r="V23" i="26" s="1"/>
  <c r="Q23" i="26"/>
  <c r="V22" i="26"/>
  <c r="T22" i="26"/>
  <c r="Q22" i="26"/>
  <c r="T21" i="26"/>
  <c r="V21" i="26" s="1"/>
  <c r="Q21" i="26"/>
  <c r="T20" i="26"/>
  <c r="V20" i="26" s="1"/>
  <c r="Q20" i="26"/>
  <c r="T19" i="26"/>
  <c r="V19" i="26" s="1"/>
  <c r="Q19" i="26"/>
  <c r="V18" i="26"/>
  <c r="T18" i="26"/>
  <c r="Q18" i="26"/>
  <c r="T17" i="26"/>
  <c r="V17" i="26" s="1"/>
  <c r="Q17" i="26"/>
  <c r="T16" i="26"/>
  <c r="V16" i="26" s="1"/>
  <c r="Q16" i="26"/>
  <c r="T15" i="26"/>
  <c r="V15" i="26" s="1"/>
  <c r="Q15" i="26"/>
  <c r="V14" i="26"/>
  <c r="T14" i="26"/>
  <c r="Q14" i="26"/>
  <c r="T13" i="26"/>
  <c r="V13" i="26" s="1"/>
  <c r="Q13" i="26"/>
  <c r="T12" i="26"/>
  <c r="V12" i="26" s="1"/>
  <c r="Q12" i="26"/>
  <c r="T11" i="26"/>
  <c r="V11" i="26" s="1"/>
  <c r="Q11" i="26"/>
  <c r="V10" i="26"/>
  <c r="T10" i="26"/>
  <c r="Q10" i="26"/>
  <c r="T9" i="26"/>
  <c r="V9" i="26" s="1"/>
  <c r="Q9" i="26"/>
  <c r="T8" i="26"/>
  <c r="V8" i="26" s="1"/>
  <c r="Q8" i="26"/>
  <c r="T7" i="26"/>
  <c r="V7" i="26" s="1"/>
  <c r="Q7" i="26"/>
  <c r="V6" i="26"/>
  <c r="T6" i="26"/>
  <c r="Q6" i="26"/>
  <c r="T5" i="26"/>
  <c r="V5" i="26" s="1"/>
  <c r="Q5" i="26"/>
  <c r="T4" i="26"/>
  <c r="V4" i="26" s="1"/>
  <c r="Q4" i="26"/>
  <c r="T3" i="26"/>
  <c r="V3" i="26" s="1"/>
  <c r="Q3" i="26"/>
  <c r="V2" i="26"/>
  <c r="T2" i="26"/>
  <c r="Q2" i="26"/>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<sst xmlns="http://schemas.openxmlformats.org/spreadsheetml/2006/main" count="9219" uniqueCount="535">
  <si>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</si>
  <si>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</si>
  <si>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</si>
  <si>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</si>
  <si>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</si>
  <si>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</si>
  <si>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</si>
  <si>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</si>
  <si>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</si>
  <si>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</si>
  <si>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</si>
  <si>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</si>
  <si>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</si>
  <si>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</si>
  <si>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</si>
  <si>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</si>
  <si>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</si>
  <si>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</si>
  <si>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</si>
  <si>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</si>
  <si>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</si>
  <si>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</si>
  <si>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</si>
  <si>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</si>
  <si>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</si>
  <si>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</si>
  <si>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</si>
  <si>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</si>
  <si>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</si>
  <si>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</si>
  <si>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</si>
  <si>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</si>
  <si>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</si>
  <si>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</si>
  <si>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</si>
  <si>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</si>
  <si>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</si>
  <si>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</si>
  <si>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</si>
  <si>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</si>
  <si>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</si>
  <si>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</si>
  <si>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</si>
  <si>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</si>
  <si>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</si>
  <si>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</si>
  <si>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</si>
  <si>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</si>
  <si>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</si>
  <si>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</si>
  <si>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</si>
  <si>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</si>
  <si>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</si>
  <si>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</si>
  <si>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</si>
  <si>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</si>
  <si>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</si>
  <si>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</si>
  <si>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</si>
  <si>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</si>
  <si>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</si>
  <si>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</si>
  <si>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</si>
  <si>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</si>
  <si>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</si>
  <si>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</si>
  <si>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</si>
  <si>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</si>
  <si>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</si>
  <si>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</si>
  <si>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</si>
  <si>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</si>
  <si>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</si>
  <si>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</si>
  <si>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</si>
  <si>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</si>
  <si>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</si>
  <si>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</si>
  <si>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</si>
  <si>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</si>
  <si>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</si>
  <si>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</si>
  <si>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</si>
  <si>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</si>
  <si>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</si>
  <si>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</si>
  <si>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</si>
  <si>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</si>
  <si>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</si>
  <si>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</si>
  <si>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</si>
  <si>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</si>
  <si>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</si>
  <si>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</si>
  <si>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</si>
  <si>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</si>
  <si>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</si>
  <si>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</si>
  <si>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</si>
  <si>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</si>
  <si>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</si>
  <si>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</si>
  <si>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</si>
  <si>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</si>
  <si>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</si>
  <si>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</si>
  <si>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</si>
  <si>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</si>
  <si>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</si>
  <si>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</si>
  <si>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</si>
  <si>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</si>
  <si>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</si>
  <si>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</si>
  <si>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</si>
  <si>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</si>
  <si>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</si>
  <si>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</si>
  <si>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</si>
  <si>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</si>
  <si>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</si>
  <si>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</si>
  <si>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</si>
  <si>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</si>
  <si>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</si>
  <si>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</si>
  <si>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</si>
  <si>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</si>
  <si>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</si>
  <si>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</si>
  <si>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</si>
  <si>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</si>
  <si>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</si>
  <si>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</si>
  <si>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</si>
  <si>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</si>
  <si>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</si>
  <si>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</si>
  <si>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</si>
  <si>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</si>
  <si>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ホクレンショップ</t>
  </si>
  <si>
    <t>スーパーアークス</t>
  </si>
  <si>
    <t>東光ストア</t>
  </si>
  <si>
    <t>ラルズマート</t>
  </si>
  <si>
    <t>とんでん店</t>
    <rPh sb="4" eb="5">
      <t>テン</t>
    </rPh>
    <phoneticPr fontId="3"/>
  </si>
  <si>
    <t>屯田店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</si>
  <si>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</si>
  <si>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</si>
  <si>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</si>
  <si>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</si>
  <si>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</si>
  <si>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</si>
  <si>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</si>
  <si>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CK</t>
  </si>
  <si>
    <t>ﾆｭｰｼﾞｰﾗﾝﾄﾞ</t>
  </si>
  <si>
    <t>HW</t>
  </si>
  <si>
    <t>OB</t>
  </si>
  <si>
    <t>シーズン</t>
    <phoneticPr fontId="4"/>
  </si>
  <si>
    <t>検体
番号</t>
    <phoneticPr fontId="4"/>
  </si>
  <si>
    <t>硬度
１</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</si>
  <si>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</si>
  <si>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</si>
  <si>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</si>
  <si>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</si>
  <si>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</si>
  <si>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D'lish</t>
    <phoneticPr fontId="4"/>
  </si>
  <si>
    <t>GA</t>
  </si>
  <si>
    <t>大阪</t>
    <phoneticPr fontId="4"/>
  </si>
  <si>
    <t>HW</t>
    <phoneticPr fontId="4"/>
  </si>
  <si>
    <t>CK</t>
    <phoneticPr fontId="4"/>
  </si>
  <si>
    <t>OB</t>
    <phoneticPr fontId="4"/>
  </si>
  <si>
    <t>佐賀</t>
    <rPh sb="0" eb="2">
      <t>サガ</t>
    </rPh>
    <phoneticPr fontId="3"/>
  </si>
  <si>
    <t>ラフランス</t>
  </si>
  <si>
    <t>西友</t>
  </si>
  <si>
    <t>日進岩藤店</t>
    <rPh sb="0" eb="2">
      <t>ニッシン</t>
    </rPh>
    <phoneticPr fontId="4"/>
  </si>
  <si>
    <t>アオキスーパー</t>
    <phoneticPr fontId="4"/>
  </si>
  <si>
    <t>日進店</t>
    <rPh sb="0" eb="2">
      <t>ニッシン</t>
    </rPh>
    <rPh sb="2" eb="3">
      <t>ミセ</t>
    </rPh>
    <phoneticPr fontId="4"/>
  </si>
  <si>
    <t>ピアゴ</t>
    <phoneticPr fontId="4"/>
  </si>
  <si>
    <t>長久手南店</t>
    <phoneticPr fontId="4"/>
  </si>
  <si>
    <t>その他レッド</t>
    <rPh sb="2" eb="3">
      <t>タ</t>
    </rPh>
    <phoneticPr fontId="4"/>
  </si>
  <si>
    <t>カネスエ</t>
    <phoneticPr fontId="4"/>
  </si>
  <si>
    <t>長久手店</t>
    <phoneticPr fontId="4"/>
  </si>
  <si>
    <t>Del Monte</t>
    <phoneticPr fontId="4"/>
  </si>
  <si>
    <t>アピタ</t>
    <phoneticPr fontId="4"/>
  </si>
  <si>
    <t>藤が丘店</t>
    <rPh sb="0" eb="1">
      <t>フジ</t>
    </rPh>
    <rPh sb="2" eb="3">
      <t>オカ</t>
    </rPh>
    <rPh sb="3" eb="4">
      <t>ミセ</t>
    </rPh>
    <phoneticPr fontId="4"/>
  </si>
  <si>
    <t>旬楽膳</t>
    <rPh sb="0" eb="1">
      <t>シュン</t>
    </rPh>
    <rPh sb="1" eb="2">
      <t>ラク</t>
    </rPh>
    <rPh sb="2" eb="3">
      <t>ゼン</t>
    </rPh>
    <phoneticPr fontId="4"/>
  </si>
  <si>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</si>
  <si>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</si>
  <si>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</si>
  <si>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</si>
  <si>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</si>
  <si>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</si>
  <si>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</si>
  <si>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</si>
  <si>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</si>
  <si>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</si>
  <si>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</si>
  <si>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</si>
  <si>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rPr>
        <b/>
        <sz val="8"/>
        <rFont val="Arial"/>
        <family val="2"/>
      </rPr>
      <t xml:space="preserve">Green
Other
</t>
    </r>
    <r>
      <rPr>
        <b/>
        <sz val="8"/>
        <rFont val="ＭＳ Ｐゴシック"/>
        <family val="3"/>
        <charset val="128"/>
      </rPr>
      <t>最低重量</t>
    </r>
  </si>
  <si>
    <t>Green
Other
SIZE</t>
  </si>
  <si>
    <r>
      <rPr>
        <b/>
        <sz val="8"/>
        <rFont val="Arial"/>
        <family val="2"/>
      </rPr>
      <t xml:space="preserve">Gold
</t>
    </r>
    <r>
      <rPr>
        <b/>
        <sz val="8"/>
        <rFont val="ＭＳ Ｐゴシック"/>
        <family val="3"/>
        <charset val="128"/>
      </rPr>
      <t>最低重量</t>
    </r>
  </si>
  <si>
    <t>Gold
SIZE</t>
  </si>
  <si>
    <t>コノミヤ</t>
  </si>
  <si>
    <t>深井店</t>
  </si>
  <si>
    <t>上野芝店</t>
  </si>
  <si>
    <t>その他グリーン</t>
  </si>
  <si>
    <t>デイリーカナート</t>
  </si>
  <si>
    <t>向ヶ丘店</t>
  </si>
  <si>
    <t>その他ゴールド</t>
  </si>
  <si>
    <t>松源</t>
  </si>
  <si>
    <t>北条店</t>
  </si>
  <si>
    <t>その他レッド</t>
  </si>
  <si>
    <t>減農薬栽培</t>
  </si>
  <si>
    <t>D'lish</t>
  </si>
  <si>
    <t>中国</t>
  </si>
  <si>
    <t>ライフ</t>
  </si>
  <si>
    <t>キンショー</t>
  </si>
  <si>
    <t>東湊店</t>
  </si>
  <si>
    <t>万代</t>
  </si>
  <si>
    <t>イズミヤ</t>
  </si>
  <si>
    <t>泉北店</t>
  </si>
  <si>
    <t>岩手</t>
  </si>
  <si>
    <t>ダイエーグルメシティ</t>
  </si>
  <si>
    <t>長崎</t>
  </si>
  <si>
    <t>福島</t>
  </si>
  <si>
    <t>和歌山</t>
  </si>
  <si>
    <t>佐賀</t>
  </si>
  <si>
    <t>熊本</t>
  </si>
  <si>
    <t>岐阜</t>
  </si>
  <si>
    <t>兵庫</t>
  </si>
  <si>
    <t>京都</t>
  </si>
  <si>
    <t>ＪＡ大分</t>
  </si>
  <si>
    <t>ＪＡ山梨</t>
  </si>
  <si>
    <t>ＪＡ香川</t>
  </si>
  <si>
    <t>山梨</t>
  </si>
  <si>
    <t>ＪＡ徳島</t>
  </si>
  <si>
    <t>いちじく</t>
  </si>
  <si>
    <t>ＪＡ広島</t>
  </si>
  <si>
    <t>ＪＡ山形</t>
  </si>
  <si>
    <t>ＪＡ神奈川</t>
  </si>
  <si>
    <t>ＪＡ石川</t>
  </si>
  <si>
    <t>鉄砲町店</t>
    <rPh sb="3" eb="4">
      <t>テン</t>
    </rPh>
    <phoneticPr fontId="3"/>
  </si>
  <si>
    <t>福や</t>
  </si>
  <si>
    <t>ユアーズ</t>
  </si>
  <si>
    <t>十日市店</t>
    <rPh sb="3" eb="4">
      <t>テン</t>
    </rPh>
    <phoneticPr fontId="3"/>
  </si>
  <si>
    <t>スパーク</t>
  </si>
  <si>
    <t>御幸の杜店</t>
    <rPh sb="3" eb="4">
      <t>モリ</t>
    </rPh>
    <rPh sb="4" eb="5">
      <t>テン</t>
    </rPh>
    <phoneticPr fontId="3"/>
  </si>
  <si>
    <t>山陽マルナカ</t>
  </si>
  <si>
    <t>白島店</t>
    <rPh sb="0" eb="2">
      <t>ハクシマ</t>
    </rPh>
    <rPh sb="2" eb="3">
      <t>テン</t>
    </rPh>
    <phoneticPr fontId="3"/>
  </si>
  <si>
    <t>アルク</t>
  </si>
  <si>
    <t>東千田店</t>
    <rPh sb="3" eb="4">
      <t>テン</t>
    </rPh>
    <phoneticPr fontId="3"/>
  </si>
  <si>
    <t>フレスタ</t>
  </si>
  <si>
    <t>吉島店</t>
    <rPh sb="0" eb="2">
      <t>ヨシジマ</t>
    </rPh>
    <rPh sb="2" eb="3">
      <t>テン</t>
    </rPh>
    <phoneticPr fontId="3"/>
  </si>
  <si>
    <t>ピュアクック</t>
  </si>
  <si>
    <t>観音店</t>
    <rPh sb="2" eb="3">
      <t>テン</t>
    </rPh>
    <phoneticPr fontId="3"/>
  </si>
  <si>
    <t>宇品店</t>
    <rPh sb="2" eb="3">
      <t>テン</t>
    </rPh>
    <phoneticPr fontId="3"/>
  </si>
  <si>
    <t>イズミゆめタウン</t>
  </si>
  <si>
    <t>広島店</t>
    <rPh sb="2" eb="3">
      <t>テン</t>
    </rPh>
    <phoneticPr fontId="3"/>
  </si>
  <si>
    <t>フジグラン</t>
  </si>
  <si>
    <t>販売
ユニット
個数</t>
    <phoneticPr fontId="4"/>
  </si>
  <si>
    <t>U/P JPY</t>
    <phoneticPr fontId="4"/>
  </si>
  <si>
    <t>福岡</t>
    <rPh sb="0" eb="2">
      <t>フクオカ</t>
    </rPh>
    <phoneticPr fontId="4"/>
  </si>
  <si>
    <t>西鉄ストア</t>
    <rPh sb="0" eb="2">
      <t>ニシテツ</t>
    </rPh>
    <phoneticPr fontId="3"/>
  </si>
  <si>
    <t>韓国</t>
    <rPh sb="0" eb="2">
      <t>カンコク</t>
    </rPh>
    <phoneticPr fontId="4"/>
  </si>
  <si>
    <t>JA全農ふくれん</t>
    <rPh sb="2" eb="4">
      <t>ゼンノウ</t>
    </rPh>
    <phoneticPr fontId="3"/>
  </si>
  <si>
    <t>栃木</t>
    <rPh sb="0" eb="2">
      <t>トチギ</t>
    </rPh>
    <phoneticPr fontId="4"/>
  </si>
  <si>
    <t>山神農園</t>
    <rPh sb="0" eb="4">
      <t>ヤマガミノウエン</t>
    </rPh>
    <phoneticPr fontId="3"/>
  </si>
  <si>
    <t>喜芳園</t>
    <rPh sb="0" eb="1">
      <t>ヨロコ</t>
    </rPh>
    <rPh sb="1" eb="2">
      <t>ヨシモト</t>
    </rPh>
    <rPh sb="2" eb="3">
      <t>¥</t>
    </rPh>
    <phoneticPr fontId="3"/>
  </si>
  <si>
    <t>ＪＡ八女</t>
    <rPh sb="2" eb="4">
      <t>ヤメ</t>
    </rPh>
    <phoneticPr fontId="4"/>
  </si>
  <si>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</si>
  <si>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</si>
  <si>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</si>
  <si>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甘夏</t>
    <rPh sb="0" eb="2">
      <t>アマナツ</t>
    </rPh>
    <phoneticPr fontId="3"/>
  </si>
  <si>
    <t>久が原食品館</t>
    <rPh sb="0" eb="1">
      <t>ヒサ</t>
    </rPh>
    <rPh sb="2" eb="3">
      <t>ハラ</t>
    </rPh>
    <rPh sb="3" eb="5">
      <t>ショクヒン</t>
    </rPh>
    <rPh sb="5" eb="6">
      <t>カン</t>
    </rPh>
    <phoneticPr fontId="4"/>
  </si>
  <si>
    <t>大森館</t>
    <rPh sb="2" eb="3">
      <t>カン</t>
    </rPh>
    <phoneticPr fontId="4"/>
  </si>
  <si>
    <t>西友</t>
    <rPh sb="0" eb="2">
      <t>セイユウ</t>
    </rPh>
    <phoneticPr fontId="4"/>
  </si>
  <si>
    <t>大森店</t>
    <rPh sb="0" eb="2">
      <t>オオモリ</t>
    </rPh>
    <rPh sb="2" eb="3">
      <t>テン</t>
    </rPh>
    <phoneticPr fontId="4"/>
  </si>
  <si>
    <t>品川シーサイド店</t>
    <rPh sb="0" eb="2">
      <t>シナガワ</t>
    </rPh>
    <rPh sb="7" eb="8">
      <t>テン</t>
    </rPh>
    <phoneticPr fontId="4"/>
  </si>
  <si>
    <t>東急ストア</t>
    <rPh sb="0" eb="2">
      <t>トウキュウ</t>
    </rPh>
    <phoneticPr fontId="4"/>
  </si>
  <si>
    <t>蒲田店</t>
    <rPh sb="0" eb="2">
      <t>カマタ</t>
    </rPh>
    <rPh sb="2" eb="3">
      <t>テン</t>
    </rPh>
    <phoneticPr fontId="4"/>
  </si>
  <si>
    <t>大崎ﾆｭｰｼﾃｨ店</t>
    <rPh sb="0" eb="2">
      <t>オオサキ</t>
    </rPh>
    <rPh sb="8" eb="9">
      <t>テン</t>
    </rPh>
    <phoneticPr fontId="4"/>
  </si>
  <si>
    <t>マルエツ</t>
  </si>
  <si>
    <t>品川店</t>
    <rPh sb="0" eb="2">
      <t>シナガワ</t>
    </rPh>
    <rPh sb="2" eb="3">
      <t>テン</t>
    </rPh>
    <phoneticPr fontId="4"/>
  </si>
  <si>
    <t>大井町店</t>
    <rPh sb="0" eb="4">
      <t>オオイマチテン</t>
    </rPh>
    <phoneticPr fontId="4"/>
  </si>
  <si>
    <t>サミットストア</t>
  </si>
  <si>
    <t>宮崎</t>
    <rPh sb="0" eb="2">
      <t>ミヤザキ</t>
    </rPh>
    <phoneticPr fontId="3"/>
  </si>
  <si>
    <t>みやぎ生協</t>
  </si>
  <si>
    <t>ウジエ</t>
  </si>
  <si>
    <t>ザ・ビッグ</t>
  </si>
  <si>
    <t>ヨークベニマル</t>
  </si>
  <si>
    <t>ヤマザワ</t>
  </si>
  <si>
    <t>利府店</t>
  </si>
  <si>
    <t>杉の入店</t>
  </si>
  <si>
    <t>塩釜店</t>
  </si>
  <si>
    <t>利府野中店</t>
  </si>
  <si>
    <t>塩釜北浜店</t>
  </si>
  <si>
    <t>塩釜中の島店</t>
  </si>
  <si>
    <t>高砂駅前店</t>
  </si>
  <si>
    <t>野間</t>
    <rPh sb="0" eb="2">
      <t>ノマ</t>
    </rPh>
    <phoneticPr fontId="3"/>
  </si>
  <si>
    <t>野間大池</t>
    <rPh sb="0" eb="2">
      <t>ノマ</t>
    </rPh>
    <rPh sb="2" eb="4">
      <t>オオイケ</t>
    </rPh>
    <phoneticPr fontId="3"/>
  </si>
  <si>
    <t>美野島</t>
    <rPh sb="0" eb="1">
      <t>ミ</t>
    </rPh>
    <rPh sb="1" eb="2">
      <t>ノ</t>
    </rPh>
    <rPh sb="2" eb="3">
      <t>シマ</t>
    </rPh>
    <phoneticPr fontId="3"/>
  </si>
  <si>
    <t>高宮</t>
    <rPh sb="0" eb="2">
      <t>タカミヤ</t>
    </rPh>
    <phoneticPr fontId="3"/>
  </si>
  <si>
    <t>博多駅南</t>
    <rPh sb="0" eb="3">
      <t>ハカタエキ</t>
    </rPh>
    <rPh sb="3" eb="4">
      <t>ミナミ</t>
    </rPh>
    <phoneticPr fontId="3"/>
  </si>
  <si>
    <t>清水</t>
    <rPh sb="0" eb="2">
      <t>シミズ</t>
    </rPh>
    <phoneticPr fontId="3"/>
  </si>
  <si>
    <t>大橋</t>
    <rPh sb="0" eb="2">
      <t>オオハシ</t>
    </rPh>
    <phoneticPr fontId="3"/>
  </si>
  <si>
    <t>住吉</t>
    <rPh sb="0" eb="2">
      <t>スミヨシ</t>
    </rPh>
    <phoneticPr fontId="3"/>
  </si>
  <si>
    <t>サニー</t>
  </si>
  <si>
    <t>マルショク</t>
  </si>
  <si>
    <t>マミーズ</t>
  </si>
  <si>
    <t>レッドキャベツ</t>
  </si>
  <si>
    <t>マルキョウ</t>
  </si>
  <si>
    <t>マックスバリュ</t>
  </si>
  <si>
    <t>ダイキョーバリュー</t>
  </si>
  <si>
    <t>ボンラパス</t>
  </si>
  <si>
    <t>ニューヨークストア</t>
  </si>
  <si>
    <t>松江店</t>
  </si>
  <si>
    <t>オリンピック</t>
  </si>
  <si>
    <t>西一之江店</t>
  </si>
  <si>
    <t>ヤマイチ</t>
  </si>
  <si>
    <t>今井店</t>
  </si>
  <si>
    <t>コモディイイダ</t>
  </si>
  <si>
    <t>西瑞江店</t>
  </si>
  <si>
    <t>いなげや</t>
  </si>
  <si>
    <t>江戸川春江店</t>
  </si>
  <si>
    <t>鹿骨店</t>
  </si>
  <si>
    <t>東武ストア</t>
  </si>
  <si>
    <t>新小岩店</t>
  </si>
  <si>
    <t>本一色店</t>
  </si>
  <si>
    <t>ビッグ・エー</t>
  </si>
  <si>
    <t>江戸川本一色店</t>
  </si>
  <si>
    <t>江戸川中央店</t>
  </si>
  <si>
    <t>北海道</t>
    <rPh sb="0" eb="3">
      <t>ホッカイドウ</t>
    </rPh>
    <phoneticPr fontId="3"/>
  </si>
  <si>
    <t>JP</t>
  </si>
  <si>
    <t>JP</t>
    <phoneticPr fontId="3"/>
  </si>
  <si>
    <t>JPY</t>
  </si>
  <si>
    <t>マックスバリュ</t>
    <phoneticPr fontId="3"/>
  </si>
  <si>
    <t>北40条店</t>
    <rPh sb="4" eb="5">
      <t>テン</t>
    </rPh>
    <phoneticPr fontId="3"/>
  </si>
  <si>
    <t>13.11.2018</t>
  </si>
  <si>
    <t>13.11.2018</t>
    <phoneticPr fontId="3"/>
  </si>
  <si>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</si>
  <si>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</si>
  <si>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</si>
  <si>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</si>
  <si>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</si>
  <si>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</si>
  <si>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</si>
  <si>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</si>
  <si>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</si>
  <si>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</si>
  <si>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</si>
  <si>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12.11.2018</t>
    <phoneticPr fontId="3"/>
  </si>
  <si>
    <t>12.11.2018</t>
    <phoneticPr fontId="3"/>
  </si>
  <si>
    <t>12.11.2018</t>
  </si>
  <si>
    <t>GA</t>
    <phoneticPr fontId="4"/>
  </si>
  <si>
    <t>いちじく</t>
    <phoneticPr fontId="4"/>
  </si>
  <si>
    <t>ラフランス</t>
    <phoneticPr fontId="3"/>
  </si>
  <si>
    <t>JPY</t>
    <phoneticPr fontId="3"/>
  </si>
  <si>
    <t>JPY</t>
    <phoneticPr fontId="3"/>
  </si>
  <si>
    <t>14.11.2018</t>
    <phoneticPr fontId="3"/>
  </si>
  <si>
    <t>アオキスーパー</t>
  </si>
  <si>
    <t>マックスバリュ</t>
    <phoneticPr fontId="4"/>
  </si>
  <si>
    <t>HE</t>
    <phoneticPr fontId="4"/>
  </si>
  <si>
    <t>JP</t>
    <phoneticPr fontId="3"/>
  </si>
  <si>
    <t>14.11.2018</t>
    <phoneticPr fontId="3"/>
  </si>
  <si>
    <t>カネトク</t>
    <phoneticPr fontId="4"/>
  </si>
  <si>
    <t>JP</t>
    <phoneticPr fontId="3"/>
  </si>
  <si>
    <t>14.11.2018</t>
    <phoneticPr fontId="3"/>
  </si>
  <si>
    <t>マックスバリュ</t>
    <phoneticPr fontId="4"/>
  </si>
  <si>
    <t>長久手店</t>
    <phoneticPr fontId="4"/>
  </si>
  <si>
    <t>アピタ</t>
    <phoneticPr fontId="4"/>
  </si>
  <si>
    <t>JP</t>
    <phoneticPr fontId="3"/>
  </si>
  <si>
    <t>14.11.2018</t>
    <phoneticPr fontId="3"/>
  </si>
  <si>
    <t>アオキスーパー</t>
    <phoneticPr fontId="4"/>
  </si>
  <si>
    <t>長久手店</t>
    <phoneticPr fontId="4"/>
  </si>
  <si>
    <t>JP</t>
    <phoneticPr fontId="3"/>
  </si>
  <si>
    <t>14.11.2018</t>
    <phoneticPr fontId="3"/>
  </si>
  <si>
    <t>JP</t>
    <phoneticPr fontId="3"/>
  </si>
  <si>
    <t>14.11.2018</t>
    <phoneticPr fontId="3"/>
  </si>
  <si>
    <t>ピアゴ</t>
  </si>
  <si>
    <t>長久手南店</t>
  </si>
  <si>
    <t>JP</t>
    <phoneticPr fontId="3"/>
  </si>
  <si>
    <t>14.11.2018</t>
    <phoneticPr fontId="3"/>
  </si>
  <si>
    <t>カネスエ</t>
  </si>
  <si>
    <t>長久手店</t>
  </si>
  <si>
    <t>ラフランス</t>
    <phoneticPr fontId="4"/>
  </si>
  <si>
    <t>キラキラ</t>
    <phoneticPr fontId="4"/>
  </si>
  <si>
    <t>グリーンアイ</t>
    <phoneticPr fontId="4"/>
  </si>
  <si>
    <t>カネトク</t>
  </si>
  <si>
    <t>アピタ</t>
  </si>
  <si>
    <t>16.11.2018</t>
  </si>
  <si>
    <t>津久野店</t>
  </si>
  <si>
    <t>宮崎</t>
  </si>
  <si>
    <t>県名</t>
    <phoneticPr fontId="3"/>
  </si>
  <si>
    <t>シーズン</t>
    <phoneticPr fontId="4"/>
  </si>
  <si>
    <t>チェーン名</t>
    <phoneticPr fontId="3"/>
  </si>
  <si>
    <t>品種</t>
    <phoneticPr fontId="3"/>
  </si>
  <si>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</si>
  <si>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</si>
  <si>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</si>
  <si>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</si>
  <si>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</si>
  <si>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</si>
  <si>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</si>
  <si>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</si>
  <si>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</si>
  <si>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</si>
  <si>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JP</t>
    <phoneticPr fontId="3"/>
  </si>
  <si>
    <t>12.11.2018</t>
    <phoneticPr fontId="3"/>
  </si>
  <si>
    <t>JPY</t>
    <phoneticPr fontId="3"/>
  </si>
  <si>
    <t>ﾆｭｰｼﾞｰﾗﾝﾄﾞ</t>
    <phoneticPr fontId="4"/>
  </si>
  <si>
    <t>D'lish</t>
    <phoneticPr fontId="4"/>
  </si>
  <si>
    <t>中国</t>
    <phoneticPr fontId="4"/>
  </si>
  <si>
    <t>HW</t>
    <phoneticPr fontId="4"/>
  </si>
  <si>
    <t>CK</t>
    <phoneticPr fontId="4"/>
  </si>
  <si>
    <t>Del Monte</t>
    <phoneticPr fontId="3"/>
  </si>
  <si>
    <t>GK</t>
    <phoneticPr fontId="4"/>
  </si>
  <si>
    <t>OB</t>
    <phoneticPr fontId="4"/>
  </si>
  <si>
    <t>12.11.2018</t>
    <phoneticPr fontId="3"/>
  </si>
  <si>
    <t>JPY</t>
    <phoneticPr fontId="3"/>
  </si>
  <si>
    <t>12.11.2018</t>
    <phoneticPr fontId="3"/>
  </si>
  <si>
    <t>JPY</t>
    <phoneticPr fontId="3"/>
  </si>
  <si>
    <t>バナナ</t>
    <phoneticPr fontId="4"/>
  </si>
  <si>
    <t>12.11.2018</t>
    <phoneticPr fontId="3"/>
  </si>
  <si>
    <t>JPY</t>
    <phoneticPr fontId="3"/>
  </si>
  <si>
    <t>パパイヤ</t>
    <phoneticPr fontId="4"/>
  </si>
  <si>
    <t>12.11.2018</t>
    <phoneticPr fontId="3"/>
  </si>
  <si>
    <t>JPY</t>
    <phoneticPr fontId="3"/>
  </si>
  <si>
    <t>びわ</t>
    <phoneticPr fontId="4"/>
  </si>
  <si>
    <t>12.11.2018</t>
    <phoneticPr fontId="3"/>
  </si>
  <si>
    <t>JPY</t>
    <phoneticPr fontId="3"/>
  </si>
  <si>
    <t>メロン</t>
    <phoneticPr fontId="4"/>
  </si>
  <si>
    <t>桃</t>
    <phoneticPr fontId="4"/>
  </si>
  <si>
    <t>12.11.2018</t>
    <phoneticPr fontId="3"/>
  </si>
  <si>
    <t>JPY</t>
    <phoneticPr fontId="3"/>
  </si>
  <si>
    <t>ブドウ</t>
    <phoneticPr fontId="4"/>
  </si>
  <si>
    <t>ラフランス</t>
    <phoneticPr fontId="4"/>
  </si>
  <si>
    <t>りんご</t>
    <phoneticPr fontId="4"/>
  </si>
  <si>
    <t>みかん</t>
    <phoneticPr fontId="4"/>
  </si>
  <si>
    <t>マンゴー</t>
    <phoneticPr fontId="3"/>
  </si>
  <si>
    <t>ひこさか</t>
    <phoneticPr fontId="3"/>
  </si>
  <si>
    <t>マルショク</t>
    <phoneticPr fontId="3"/>
  </si>
  <si>
    <t>JPY</t>
    <phoneticPr fontId="4"/>
  </si>
  <si>
    <t>一般栽培</t>
    <phoneticPr fontId="4"/>
  </si>
  <si>
    <t>ﾆｭｰｼﾞｰﾗﾝﾄﾞ</t>
    <phoneticPr fontId="4"/>
  </si>
  <si>
    <t>JP</t>
    <phoneticPr fontId="3"/>
  </si>
  <si>
    <t>14.11.2018</t>
    <phoneticPr fontId="3"/>
  </si>
  <si>
    <t>マルショク</t>
    <phoneticPr fontId="3"/>
  </si>
  <si>
    <t>バナナ</t>
    <phoneticPr fontId="3"/>
  </si>
  <si>
    <t>JP</t>
    <phoneticPr fontId="3"/>
  </si>
  <si>
    <t>14.11.2018</t>
    <phoneticPr fontId="3"/>
  </si>
  <si>
    <t>マルショク</t>
    <phoneticPr fontId="3"/>
  </si>
  <si>
    <t>CK</t>
    <phoneticPr fontId="3"/>
  </si>
  <si>
    <t>D'lish</t>
    <phoneticPr fontId="4"/>
  </si>
  <si>
    <t>りんご</t>
    <phoneticPr fontId="3"/>
  </si>
  <si>
    <t>HW</t>
    <phoneticPr fontId="4"/>
  </si>
  <si>
    <t>CK</t>
    <phoneticPr fontId="4"/>
  </si>
  <si>
    <t>Del Monte</t>
    <phoneticPr fontId="4"/>
  </si>
  <si>
    <t>いちご</t>
    <phoneticPr fontId="3"/>
  </si>
  <si>
    <t>GK</t>
    <phoneticPr fontId="4"/>
  </si>
  <si>
    <t>OB</t>
    <phoneticPr fontId="4"/>
  </si>
  <si>
    <t>マルショク</t>
    <phoneticPr fontId="3"/>
  </si>
  <si>
    <t>HW</t>
    <phoneticPr fontId="3"/>
  </si>
  <si>
    <t>HE</t>
    <phoneticPr fontId="4"/>
  </si>
  <si>
    <t>JP</t>
    <phoneticPr fontId="3"/>
  </si>
  <si>
    <t>マルショク</t>
    <phoneticPr fontId="3"/>
  </si>
  <si>
    <t>オレンジ</t>
    <phoneticPr fontId="3"/>
  </si>
  <si>
    <t>JP</t>
    <phoneticPr fontId="3"/>
  </si>
  <si>
    <t>いちじく</t>
    <phoneticPr fontId="4"/>
  </si>
  <si>
    <t>ラフランス</t>
    <phoneticPr fontId="3"/>
  </si>
  <si>
    <t>キラキラ</t>
    <phoneticPr fontId="4"/>
  </si>
  <si>
    <t>プラム</t>
    <phoneticPr fontId="3"/>
  </si>
  <si>
    <t>グリーンアイ</t>
    <phoneticPr fontId="4"/>
  </si>
  <si>
    <t>ぽんかん</t>
    <phoneticPr fontId="3"/>
  </si>
  <si>
    <t>JPY</t>
    <phoneticPr fontId="4"/>
  </si>
  <si>
    <t>ぽんかん</t>
    <phoneticPr fontId="3"/>
  </si>
  <si>
    <t>アメリカンチェリー</t>
    <phoneticPr fontId="3"/>
  </si>
  <si>
    <t>14.11.2018</t>
  </si>
  <si>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</si>
  <si>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</si>
  <si>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</si>
  <si>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</si>
  <si>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</si>
  <si>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</si>
  <si>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</si>
  <si>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</si>
  <si>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</si>
  <si>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</si>
  <si>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</si>
  <si>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JP</t>
    <phoneticPr fontId="3"/>
  </si>
  <si>
    <t>15.11.2018</t>
    <phoneticPr fontId="3"/>
  </si>
  <si>
    <t>サミット</t>
  </si>
  <si>
    <t>JPY</t>
    <phoneticPr fontId="3"/>
  </si>
  <si>
    <t>カドヤ</t>
    <phoneticPr fontId="4"/>
  </si>
  <si>
    <t>ﾆｭｰｼﾞｰﾗﾝﾄﾞ</t>
    <phoneticPr fontId="4"/>
  </si>
  <si>
    <t>15.11.2018</t>
  </si>
  <si>
    <t>イオン</t>
    <phoneticPr fontId="4"/>
  </si>
  <si>
    <t>D'lish</t>
    <phoneticPr fontId="4"/>
  </si>
  <si>
    <t>中国</t>
    <phoneticPr fontId="4"/>
  </si>
  <si>
    <t>ライフ</t>
    <phoneticPr fontId="4"/>
  </si>
  <si>
    <t>HW</t>
    <phoneticPr fontId="4"/>
  </si>
  <si>
    <t>CK</t>
    <phoneticPr fontId="4"/>
  </si>
  <si>
    <t>Del Monte</t>
    <phoneticPr fontId="3"/>
  </si>
  <si>
    <t>マルエツ</t>
    <phoneticPr fontId="4"/>
  </si>
  <si>
    <t>GK</t>
    <phoneticPr fontId="4"/>
  </si>
  <si>
    <t>OB</t>
    <phoneticPr fontId="4"/>
  </si>
  <si>
    <t>HE</t>
    <phoneticPr fontId="4"/>
  </si>
  <si>
    <t>サミット</t>
    <phoneticPr fontId="4"/>
  </si>
  <si>
    <t>イトーヨーカドー</t>
    <phoneticPr fontId="4"/>
  </si>
  <si>
    <t>サミット</t>
    <phoneticPr fontId="4"/>
  </si>
  <si>
    <t>大森西店</t>
    <phoneticPr fontId="4"/>
  </si>
  <si>
    <t>大森西店</t>
  </si>
  <si>
    <t>カドヤ</t>
  </si>
  <si>
    <t>シーズン</t>
    <phoneticPr fontId="4"/>
  </si>
  <si>
    <t>検体
番号</t>
    <phoneticPr fontId="4"/>
  </si>
  <si>
    <t>硬度
１</t>
    <phoneticPr fontId="4"/>
  </si>
  <si>
    <t>硬度
２</t>
    <phoneticPr fontId="4"/>
  </si>
  <si>
    <t>糖度</t>
    <phoneticPr fontId="4"/>
  </si>
  <si>
    <t>Weight</t>
    <phoneticPr fontId="4"/>
  </si>
  <si>
    <t>U/P JPY</t>
    <phoneticPr fontId="4"/>
  </si>
  <si>
    <t>２番人気
果実</t>
    <phoneticPr fontId="3"/>
  </si>
  <si>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</si>
  <si>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</si>
  <si>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</si>
  <si>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</si>
  <si>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</si>
  <si>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14.11.2018</t>
    <phoneticPr fontId="3"/>
  </si>
  <si>
    <t>ﾆｭｰｼﾞｰﾗﾝﾄﾞ</t>
    <phoneticPr fontId="4"/>
  </si>
  <si>
    <t>D'lish</t>
    <phoneticPr fontId="4"/>
  </si>
  <si>
    <t>中国</t>
    <phoneticPr fontId="4"/>
  </si>
  <si>
    <t>HW</t>
    <phoneticPr fontId="4"/>
  </si>
  <si>
    <t>CK</t>
    <phoneticPr fontId="4"/>
  </si>
  <si>
    <t>Del Monte</t>
    <phoneticPr fontId="3"/>
  </si>
  <si>
    <t>GK</t>
    <phoneticPr fontId="4"/>
  </si>
  <si>
    <t>OB</t>
    <phoneticPr fontId="4"/>
  </si>
  <si>
    <t>HE</t>
    <phoneticPr fontId="4"/>
  </si>
</sst>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18"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name val="ＭＳ Ｐゴシック"/>
      <family val="3"/>
      <charset val="128"/>
      <scheme val="minor"/>
    </font>
    <font>
      <sz val="10"/>
      <name val="ＭＳ ゴシック"/>
      <family val="3"/>
      <charset val="128"/>
    </font>
    <font>
      <sz val="11"/>
      <name val="ＭＳ Ｐゴシック"/>
      <family val="2"/>
      <charset val="128"/>
      <scheme val="minor"/>
    </font>
    <font>
      <sz val="11"/>
      <color indexed="8"/>
      <name val="ＭＳ Ｐゴシック"/>
      <family val="3"/>
      <charset val="128"/>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47">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bottom/>
      <diagonal/>
    </border>
    <border>
      <left style="hair">
        <color indexed="64"/>
      </left>
      <right style="thin">
        <color indexed="64"/>
      </right>
      <top/>
      <bottom/>
      <diagonal/>
    </border>
    <border>
      <left style="thin">
        <color indexed="64"/>
      </left>
      <right style="thin">
        <color indexed="64"/>
      </right>
      <top style="thin">
        <color indexed="64"/>
      </top>
      <bottom/>
      <diagonal/>
    </border>
    <border>
      <left style="thin">
        <color theme="0" tint="-0.14993743705557422"/>
      </left>
      <right style="thin">
        <color theme="0" tint="-0.14993743705557422"/>
      </right>
      <top style="thin">
        <color indexed="64"/>
      </top>
      <bottom style="thin">
        <color theme="0" tint="-0.14996795556505021"/>
      </bottom>
      <diagonal/>
    </border>
    <border>
      <left style="thin">
        <color theme="0" tint="-0.14993743705557422"/>
      </left>
      <right style="thin">
        <color theme="0" tint="-0.14993743705557422"/>
      </right>
      <top style="thin">
        <color indexed="64"/>
      </top>
      <bottom/>
      <diagonal/>
    </border>
    <border>
      <left style="thin">
        <color theme="0" tint="-0.14993743705557422"/>
      </left>
      <right/>
      <top style="thin">
        <color indexed="64"/>
      </top>
      <bottom style="thin">
        <color theme="0" tint="-0.14996795556505021"/>
      </bottom>
      <diagonal/>
    </border>
    <border>
      <left style="thin">
        <color theme="0" tint="-0.14996795556505021"/>
      </left>
      <right/>
      <top style="thin">
        <color indexed="64"/>
      </top>
      <bottom/>
      <diagonal/>
    </border>
    <border>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0691854609822"/>
      </top>
      <bottom style="thin">
        <color theme="0" tint="-0.14990691854609822"/>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
      <left style="hair">
        <color indexed="64"/>
      </left>
      <right style="hair">
        <color indexed="64"/>
      </right>
      <top style="thin">
        <color indexed="64"/>
      </top>
      <bottom/>
      <diagonal/>
    </border>
    <border>
      <left style="thin">
        <color theme="0" tint="-0.14993743705557422"/>
      </left>
      <right style="thin">
        <color theme="0" tint="-0.14993743705557422"/>
      </right>
      <top style="thin">
        <color theme="0" tint="-0.14990691854609822"/>
      </top>
      <bottom/>
      <diagonal/>
    </border>
    <border>
      <left style="thin">
        <color theme="0" tint="-0.14993743705557422"/>
      </left>
      <right style="thin">
        <color theme="0" tint="-0.14993743705557422"/>
      </right>
      <top/>
      <bottom/>
      <diagonal/>
    </border>
  </borders>
  <cellStyleXfs count="8">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cellStyleXfs>
  <cellXfs count="260">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49" fontId="2" fillId="3" borderId="3" xfId="1" applyNumberFormat="1" applyFont="1" applyFill="1" applyBorder="1" applyAlignment="1">
      <alignment horizontal="center" vertical="center" wrapText="1"/>
    </xf>
    <xf numFmtId="0" fontId="2" fillId="3" borderId="3" xfId="1" applyNumberFormat="1" applyFont="1" applyFill="1" applyBorder="1" applyAlignment="1">
      <alignment horizontal="center" vertical="center" wrapText="1"/>
    </xf>
    <xf numFmtId="0" fontId="1" fillId="0" borderId="0" xfId="1" applyFont="1" applyFill="1"/>
    <xf numFmtId="14" fontId="14" fillId="0" borderId="0" xfId="1" applyNumberFormat="1" applyFont="1" applyFill="1" applyAlignment="1">
      <alignment horizontal="right"/>
    </xf>
    <xf numFmtId="0" fontId="1" fillId="2" borderId="0" xfId="1" applyFont="1" applyFill="1"/>
    <xf numFmtId="0" fontId="1" fillId="2" borderId="0" xfId="1" applyNumberFormat="1" applyFont="1" applyFill="1"/>
    <xf numFmtId="0" fontId="15" fillId="0" borderId="22" xfId="0" applyFont="1" applyBorder="1" applyAlignment="1">
      <alignment horizontal="center" vertical="center"/>
    </xf>
    <xf numFmtId="0" fontId="15" fillId="0" borderId="23" xfId="0" applyFont="1" applyBorder="1" applyAlignment="1">
      <alignment horizontal="center" vertical="center"/>
    </xf>
    <xf numFmtId="0" fontId="1" fillId="0" borderId="9" xfId="1" applyFont="1" applyFill="1" applyBorder="1" applyAlignment="1">
      <alignment wrapText="1"/>
    </xf>
    <xf numFmtId="0" fontId="1" fillId="0" borderId="10" xfId="1" applyFont="1" applyFill="1" applyBorder="1" applyAlignment="1">
      <alignment wrapText="1"/>
    </xf>
    <xf numFmtId="0" fontId="1" fillId="0" borderId="11" xfId="1" applyFont="1" applyFill="1" applyBorder="1" applyAlignment="1">
      <alignment wrapText="1"/>
    </xf>
    <xf numFmtId="0" fontId="15" fillId="0" borderId="12" xfId="0" applyFont="1" applyBorder="1" applyAlignment="1">
      <alignment horizontal="center" vertical="center"/>
    </xf>
    <xf numFmtId="0" fontId="1" fillId="0" borderId="12" xfId="1" applyFont="1" applyBorder="1"/>
    <xf numFmtId="0" fontId="1" fillId="0" borderId="13" xfId="1" applyFont="1" applyBorder="1" applyAlignment="1">
      <alignment wrapText="1"/>
    </xf>
    <xf numFmtId="0" fontId="1" fillId="0" borderId="14" xfId="1" applyFont="1" applyBorder="1" applyAlignment="1">
      <alignment wrapText="1"/>
    </xf>
    <xf numFmtId="0" fontId="1" fillId="0" borderId="15" xfId="1" applyFont="1" applyBorder="1" applyAlignment="1">
      <alignment wrapText="1"/>
    </xf>
    <xf numFmtId="0" fontId="1" fillId="0" borderId="16" xfId="1" applyFont="1" applyBorder="1"/>
    <xf numFmtId="0" fontId="10" fillId="0" borderId="12" xfId="1" applyFont="1" applyFill="1" applyBorder="1"/>
    <xf numFmtId="0" fontId="1" fillId="0" borderId="17" xfId="1" applyFont="1" applyFill="1" applyBorder="1"/>
    <xf numFmtId="0" fontId="1" fillId="0" borderId="18" xfId="1" applyFont="1" applyFill="1" applyBorder="1"/>
    <xf numFmtId="0" fontId="1" fillId="0" borderId="13" xfId="1" applyFont="1" applyFill="1" applyBorder="1" applyAlignment="1">
      <alignment wrapText="1"/>
    </xf>
    <xf numFmtId="0" fontId="1" fillId="0" borderId="14" xfId="1" applyFont="1" applyFill="1" applyBorder="1" applyAlignment="1">
      <alignment wrapText="1"/>
    </xf>
    <xf numFmtId="0" fontId="1" fillId="0" borderId="15" xfId="1" applyFont="1" applyFill="1" applyBorder="1" applyAlignment="1">
      <alignment wrapText="1"/>
    </xf>
    <xf numFmtId="0" fontId="16" fillId="0" borderId="0" xfId="1" applyFont="1"/>
    <xf numFmtId="0" fontId="1" fillId="3" borderId="0" xfId="1" applyFont="1" applyFill="1"/>
    <xf numFmtId="0" fontId="1" fillId="3" borderId="0" xfId="1" applyNumberFormat="1" applyFont="1" applyFill="1"/>
    <xf numFmtId="0" fontId="1" fillId="0" borderId="19" xfId="1" applyFont="1" applyBorder="1" applyAlignment="1">
      <alignment wrapText="1"/>
    </xf>
    <xf numFmtId="0" fontId="1" fillId="0" borderId="20" xfId="1" applyFont="1" applyBorder="1" applyAlignment="1">
      <alignment wrapText="1"/>
    </xf>
    <xf numFmtId="0" fontId="1" fillId="0" borderId="21" xfId="1" applyFont="1" applyBorder="1" applyAlignment="1">
      <alignment wrapText="1"/>
    </xf>
    <xf numFmtId="178" fontId="1" fillId="2" borderId="0" xfId="1" applyNumberFormat="1" applyFont="1" applyFill="1"/>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14" fontId="17" fillId="0" borderId="0" xfId="1" applyNumberFormat="1" applyFont="1" applyFill="1"/>
    <xf numFmtId="0" fontId="1" fillId="0" borderId="12" xfId="1" applyFont="1" applyFill="1" applyBorder="1" applyAlignment="1">
      <alignment shrinkToFit="1"/>
    </xf>
    <xf numFmtId="0" fontId="17" fillId="0" borderId="0" xfId="1" applyFont="1"/>
    <xf numFmtId="49" fontId="2" fillId="6" borderId="1" xfId="5" applyNumberFormat="1" applyFont="1" applyFill="1" applyBorder="1" applyAlignment="1">
      <alignment horizontal="center" vertical="center" wrapText="1"/>
    </xf>
    <xf numFmtId="49" fontId="2" fillId="0" borderId="2" xfId="5" applyNumberFormat="1" applyFont="1" applyFill="1" applyBorder="1" applyAlignment="1">
      <alignment horizontal="center" vertical="center" wrapText="1"/>
    </xf>
    <xf numFmtId="49" fontId="2" fillId="0" borderId="3" xfId="5" applyNumberFormat="1" applyFont="1" applyFill="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Fill="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Fill="1" applyBorder="1" applyAlignment="1">
      <alignment horizontal="center" vertical="center" wrapText="1"/>
    </xf>
    <xf numFmtId="0" fontId="1" fillId="0" borderId="0" xfId="5" applyAlignment="1"/>
    <xf numFmtId="49" fontId="8" fillId="0" borderId="6" xfId="5" applyNumberFormat="1" applyFont="1" applyFill="1" applyBorder="1" applyAlignment="1">
      <alignment horizontal="center" vertical="center" wrapText="1"/>
    </xf>
    <xf numFmtId="49" fontId="7" fillId="0" borderId="0" xfId="5" applyNumberFormat="1" applyFont="1" applyFill="1" applyBorder="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4" fontId="1" fillId="0" borderId="0" xfId="5" applyNumberFormat="1" applyFont="1" applyFill="1" applyAlignment="1"/>
    <xf numFmtId="177" fontId="1" fillId="2" borderId="0" xfId="5" applyNumberFormat="1" applyFont="1" applyFill="1" applyAlignment="1"/>
    <xf numFmtId="0" fontId="1" fillId="2" borderId="0" xfId="5" applyFont="1" applyFill="1" applyAlignment="1"/>
    <xf numFmtId="179" fontId="1" fillId="2" borderId="0" xfId="5" applyNumberFormat="1" applyFont="1" applyFill="1" applyAlignment="1"/>
    <xf numFmtId="0" fontId="10" fillId="0" borderId="7" xfId="5" applyFont="1" applyFill="1" applyBorder="1" applyAlignment="1"/>
    <xf numFmtId="0" fontId="1" fillId="0" borderId="8" xfId="5" applyFont="1" applyFill="1" applyBorder="1" applyAlignment="1"/>
    <xf numFmtId="0" fontId="1" fillId="0" borderId="9" xfId="5" applyFont="1" applyFill="1" applyBorder="1" applyAlignment="1">
      <alignment wrapText="1"/>
    </xf>
    <xf numFmtId="0" fontId="1" fillId="0" borderId="10" xfId="5" applyFont="1" applyFill="1" applyBorder="1" applyAlignment="1">
      <alignment wrapText="1"/>
    </xf>
    <xf numFmtId="0" fontId="1" fillId="0" borderId="11" xfId="5" applyFont="1" applyFill="1" applyBorder="1" applyAlignment="1">
      <alignment wrapText="1"/>
    </xf>
    <xf numFmtId="0" fontId="1" fillId="0" borderId="0" xfId="5" applyFont="1" applyAlignment="1"/>
    <xf numFmtId="0" fontId="10" fillId="0" borderId="12" xfId="5" applyFont="1" applyBorder="1" applyAlignment="1"/>
    <xf numFmtId="0" fontId="1" fillId="0" borderId="12" xfId="5" applyFont="1" applyBorder="1" applyAlignment="1"/>
    <xf numFmtId="0" fontId="1" fillId="0" borderId="12" xfId="5" applyFont="1" applyFill="1" applyBorder="1" applyAlignment="1"/>
    <xf numFmtId="0" fontId="1" fillId="0" borderId="13" xfId="5" applyFont="1" applyBorder="1" applyAlignment="1">
      <alignment wrapText="1"/>
    </xf>
    <xf numFmtId="0" fontId="1" fillId="0" borderId="14" xfId="5" applyFont="1" applyBorder="1" applyAlignment="1">
      <alignment wrapText="1"/>
    </xf>
    <xf numFmtId="0" fontId="1" fillId="0" borderId="15" xfId="5" applyFont="1" applyBorder="1" applyAlignment="1">
      <alignment wrapText="1"/>
    </xf>
    <xf numFmtId="0" fontId="1" fillId="0" borderId="16" xfId="5" applyFont="1" applyBorder="1" applyAlignment="1"/>
    <xf numFmtId="0" fontId="1" fillId="0" borderId="17" xfId="5" applyFont="1" applyBorder="1" applyAlignment="1"/>
    <xf numFmtId="0" fontId="1" fillId="0" borderId="18" xfId="5" applyFont="1" applyFill="1" applyBorder="1" applyAlignment="1"/>
    <xf numFmtId="0" fontId="1" fillId="0" borderId="16" xfId="5" applyFont="1" applyFill="1" applyBorder="1" applyAlignment="1"/>
    <xf numFmtId="0" fontId="10" fillId="0" borderId="16" xfId="5" applyFont="1" applyBorder="1" applyAlignment="1"/>
    <xf numFmtId="0" fontId="1" fillId="0" borderId="0" xfId="5" applyFill="1" applyAlignment="1"/>
    <xf numFmtId="14" fontId="0" fillId="0" borderId="0" xfId="5" applyNumberFormat="1" applyFont="1" applyFill="1" applyAlignment="1"/>
    <xf numFmtId="0" fontId="1" fillId="2" borderId="0" xfId="5" applyFill="1" applyAlignment="1"/>
    <xf numFmtId="49" fontId="2" fillId="0" borderId="1" xfId="1" applyNumberFormat="1" applyFont="1" applyFill="1" applyBorder="1" applyAlignment="1">
      <alignment horizontal="center" vertical="center" wrapText="1"/>
    </xf>
    <xf numFmtId="49" fontId="2" fillId="0" borderId="4" xfId="1" applyNumberFormat="1" applyFont="1" applyFill="1" applyBorder="1" applyAlignment="1">
      <alignment horizontal="center" vertical="center" wrapText="1"/>
    </xf>
    <xf numFmtId="49" fontId="7" fillId="0" borderId="6" xfId="1" applyNumberFormat="1" applyFont="1" applyFill="1" applyBorder="1" applyAlignment="1">
      <alignment horizontal="center" vertical="center" wrapText="1"/>
    </xf>
    <xf numFmtId="0" fontId="10" fillId="0" borderId="24" xfId="1" applyFont="1" applyBorder="1" applyAlignment="1">
      <alignment horizontal="left" wrapText="1"/>
    </xf>
    <xf numFmtId="0" fontId="1" fillId="4" borderId="0" xfId="1" applyFill="1" applyBorder="1"/>
    <xf numFmtId="14" fontId="1" fillId="4" borderId="0" xfId="1" applyNumberFormat="1" applyFont="1" applyFill="1" applyBorder="1"/>
    <xf numFmtId="178" fontId="1" fillId="2" borderId="0" xfId="1" applyNumberFormat="1" applyFill="1" applyBorder="1"/>
    <xf numFmtId="0" fontId="1" fillId="2" borderId="0" xfId="1" applyFill="1" applyBorder="1"/>
    <xf numFmtId="1" fontId="1" fillId="2" borderId="0" xfId="1" applyNumberFormat="1" applyFill="1" applyBorder="1"/>
    <xf numFmtId="0" fontId="0" fillId="0" borderId="0" xfId="1" applyFont="1" applyBorder="1"/>
    <xf numFmtId="0" fontId="1" fillId="4" borderId="0" xfId="1" applyFill="1"/>
    <xf numFmtId="0" fontId="1" fillId="4" borderId="8" xfId="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1" fillId="0" borderId="18" xfId="1" applyBorder="1"/>
    <xf numFmtId="0" fontId="0" fillId="0" borderId="16" xfId="1" applyFont="1" applyBorder="1"/>
    <xf numFmtId="0" fontId="0" fillId="0" borderId="12" xfId="1" applyFont="1" applyFill="1" applyBorder="1"/>
    <xf numFmtId="0" fontId="0" fillId="0" borderId="17" xfId="1" applyFont="1" applyBorder="1"/>
    <xf numFmtId="0" fontId="1" fillId="0" borderId="0" xfId="1" applyFont="1" applyAlignment="1">
      <alignment horizontal="center"/>
    </xf>
    <xf numFmtId="14" fontId="17" fillId="0" borderId="0" xfId="1" applyNumberFormat="1" applyFont="1" applyAlignment="1">
      <alignment horizontal="center"/>
    </xf>
    <xf numFmtId="0" fontId="16" fillId="0" borderId="1" xfId="0" applyFont="1" applyFill="1" applyBorder="1">
      <alignment vertical="center"/>
    </xf>
    <xf numFmtId="0" fontId="14" fillId="0" borderId="4" xfId="0" applyFont="1" applyFill="1" applyBorder="1">
      <alignment vertical="center"/>
    </xf>
    <xf numFmtId="0" fontId="1" fillId="0" borderId="8" xfId="1" applyFont="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4" fillId="0" borderId="1" xfId="0" applyFont="1" applyFill="1" applyBorder="1">
      <alignment vertical="center"/>
    </xf>
    <xf numFmtId="0" fontId="14" fillId="0" borderId="6" xfId="0" applyFont="1" applyFill="1" applyBorder="1">
      <alignment vertical="center"/>
    </xf>
    <xf numFmtId="49" fontId="7" fillId="4" borderId="0" xfId="1" applyNumberFormat="1" applyFont="1" applyFill="1" applyBorder="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5" xfId="1" applyFill="1" applyBorder="1"/>
    <xf numFmtId="14" fontId="0" fillId="4" borderId="26" xfId="1" applyNumberFormat="1" applyFont="1" applyFill="1" applyBorder="1"/>
    <xf numFmtId="0" fontId="1" fillId="4" borderId="27" xfId="1" applyFill="1" applyBorder="1"/>
    <xf numFmtId="0" fontId="1" fillId="4" borderId="28" xfId="1" applyFill="1" applyBorder="1"/>
    <xf numFmtId="0" fontId="1" fillId="4" borderId="29" xfId="1" applyFill="1" applyBorder="1"/>
    <xf numFmtId="0" fontId="1" fillId="4" borderId="30" xfId="1" applyFill="1" applyBorder="1"/>
    <xf numFmtId="178" fontId="1" fillId="3" borderId="28" xfId="1" applyNumberFormat="1" applyFill="1" applyBorder="1"/>
    <xf numFmtId="0" fontId="1" fillId="4" borderId="31" xfId="1" applyFill="1" applyBorder="1"/>
    <xf numFmtId="0" fontId="1" fillId="3" borderId="32" xfId="1" applyFill="1" applyBorder="1"/>
    <xf numFmtId="0" fontId="1" fillId="4" borderId="33" xfId="1" applyFill="1" applyBorder="1"/>
    <xf numFmtId="0" fontId="1" fillId="4" borderId="34" xfId="1" applyFill="1" applyBorder="1"/>
    <xf numFmtId="0" fontId="1" fillId="4" borderId="34" xfId="1" applyFont="1" applyFill="1" applyBorder="1"/>
    <xf numFmtId="0" fontId="1" fillId="4" borderId="35" xfId="1" applyFill="1" applyBorder="1"/>
    <xf numFmtId="0" fontId="1" fillId="0" borderId="35" xfId="1" applyBorder="1"/>
    <xf numFmtId="14" fontId="0" fillId="4" borderId="36" xfId="1" applyNumberFormat="1" applyFont="1" applyFill="1" applyBorder="1"/>
    <xf numFmtId="0" fontId="1" fillId="4" borderId="37" xfId="1" applyFill="1" applyBorder="1"/>
    <xf numFmtId="178" fontId="1" fillId="3" borderId="38" xfId="1" applyNumberFormat="1" applyFill="1" applyBorder="1"/>
    <xf numFmtId="0" fontId="1" fillId="0" borderId="39" xfId="1" applyBorder="1"/>
    <xf numFmtId="0" fontId="1" fillId="0" borderId="40" xfId="1" applyFill="1" applyBorder="1"/>
    <xf numFmtId="0" fontId="1" fillId="3" borderId="0" xfId="1" applyFill="1" applyBorder="1"/>
    <xf numFmtId="0" fontId="1" fillId="0" borderId="41" xfId="1" applyFill="1" applyBorder="1"/>
    <xf numFmtId="0" fontId="1" fillId="4" borderId="42" xfId="1" applyFill="1" applyBorder="1"/>
    <xf numFmtId="0" fontId="1" fillId="4" borderId="12" xfId="1" applyFill="1" applyBorder="1"/>
    <xf numFmtId="0" fontId="1" fillId="0" borderId="43" xfId="1" applyBorder="1"/>
    <xf numFmtId="0" fontId="1" fillId="4" borderId="40" xfId="1" applyFill="1" applyBorder="1"/>
    <xf numFmtId="0" fontId="1" fillId="0" borderId="41" xfId="1" applyBorder="1"/>
    <xf numFmtId="0" fontId="1" fillId="4" borderId="16" xfId="1" applyFill="1" applyBorder="1"/>
    <xf numFmtId="0" fontId="1" fillId="4" borderId="17" xfId="1" applyFill="1" applyBorder="1"/>
    <xf numFmtId="0" fontId="1" fillId="0" borderId="40" xfId="1" applyBorder="1"/>
    <xf numFmtId="0" fontId="1" fillId="0" borderId="42" xfId="1" applyBorder="1"/>
    <xf numFmtId="0" fontId="1" fillId="0" borderId="42" xfId="1" applyFont="1" applyBorder="1"/>
    <xf numFmtId="0" fontId="1" fillId="0" borderId="17" xfId="1" applyFill="1" applyBorder="1"/>
    <xf numFmtId="0" fontId="1" fillId="0" borderId="43" xfId="1" applyFont="1" applyBorder="1"/>
    <xf numFmtId="0" fontId="1" fillId="0" borderId="34" xfId="1" applyBorder="1"/>
    <xf numFmtId="14" fontId="0" fillId="0" borderId="0" xfId="1" applyNumberFormat="1" applyFont="1"/>
    <xf numFmtId="0" fontId="1" fillId="4" borderId="32" xfId="1" applyFill="1" applyBorder="1"/>
    <xf numFmtId="49" fontId="2" fillId="5" borderId="44" xfId="1" applyNumberFormat="1" applyFont="1" applyFill="1" applyBorder="1" applyAlignment="1">
      <alignment horizontal="center" vertical="center" wrapText="1"/>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0" fontId="1" fillId="0" borderId="12"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1" fillId="0" borderId="8" xfId="1" applyFont="1" applyFill="1" applyBorder="1"/>
    <xf numFmtId="0" fontId="1" fillId="0" borderId="17" xfId="1" applyFont="1" applyBorder="1"/>
    <xf numFmtId="178" fontId="1" fillId="2" borderId="0" xfId="1" applyNumberFormat="1" applyFill="1"/>
    <xf numFmtId="0" fontId="1" fillId="0" borderId="0" xfId="5" applyFont="1" applyFill="1" applyAlignment="1"/>
    <xf numFmtId="0" fontId="1" fillId="0" borderId="0" xfId="1" applyBorder="1"/>
    <xf numFmtId="0" fontId="1" fillId="0" borderId="8" xfId="1" applyBorder="1"/>
    <xf numFmtId="49" fontId="8" fillId="0" borderId="24" xfId="1" applyNumberFormat="1" applyFont="1" applyFill="1" applyBorder="1" applyAlignment="1">
      <alignment horizontal="center" vertical="center" wrapText="1"/>
    </xf>
    <xf numFmtId="49" fontId="1" fillId="0" borderId="0" xfId="1" applyNumberFormat="1" applyFont="1" applyFill="1" applyAlignment="1">
      <alignment horizontal="right"/>
    </xf>
    <xf numFmtId="0" fontId="1" fillId="0" borderId="7" xfId="1" applyFont="1" applyFill="1" applyBorder="1" applyProtection="1">
      <protection locked="0"/>
    </xf>
    <xf numFmtId="0" fontId="1" fillId="0" borderId="8" xfId="1" applyFont="1" applyFill="1" applyBorder="1" applyProtection="1">
      <protection locked="0"/>
    </xf>
    <xf numFmtId="0" fontId="1" fillId="0" borderId="0" xfId="1" applyFont="1" applyBorder="1"/>
    <xf numFmtId="0" fontId="11" fillId="0" borderId="0" xfId="7">
      <alignment vertical="center"/>
    </xf>
    <xf numFmtId="0" fontId="1" fillId="0" borderId="0" xfId="1" applyFill="1" applyBorder="1"/>
    <xf numFmtId="178" fontId="1" fillId="3" borderId="0" xfId="1" applyNumberFormat="1" applyFont="1" applyFill="1"/>
    <xf numFmtId="0" fontId="10" fillId="0" borderId="0" xfId="1" applyFont="1" applyBorder="1"/>
    <xf numFmtId="0" fontId="1" fillId="0" borderId="0" xfId="1" applyFont="1" applyFill="1" applyBorder="1"/>
    <xf numFmtId="0" fontId="14" fillId="0" borderId="0" xfId="1" applyFont="1" applyFill="1"/>
    <xf numFmtId="0" fontId="1" fillId="0" borderId="18" xfId="5" applyFont="1" applyBorder="1" applyAlignment="1"/>
    <xf numFmtId="14" fontId="0" fillId="4" borderId="45" xfId="1" applyNumberFormat="1" applyFont="1" applyFill="1" applyBorder="1"/>
    <xf numFmtId="14" fontId="0" fillId="4" borderId="46" xfId="1" applyNumberFormat="1" applyFont="1" applyFill="1" applyBorder="1"/>
  </cellXfs>
  <cellStyles count="8">
    <cellStyle name="桁区切り[0]" xfId="3"/>
    <cellStyle name="通貨[0]" xfId="4"/>
    <cellStyle name="標準" xfId="0" builtinId="0"/>
    <cellStyle name="標準 2" xfId="1"/>
    <cellStyle name="標準 2 2" xfId="5"/>
    <cellStyle name="標準 3" xfId="2"/>
    <cellStyle name="標準 3 2" xfId="7"/>
    <cellStyle name="標準 4" xfId="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externalLink" Target="externalLinks/externalLink7.xml"/><Relationship Id="rId10" Type="http://schemas.openxmlformats.org/officeDocument/2006/relationships/externalLink" Target="externalLinks/externalLink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Zespri%20Shopsurvey_miyagi_4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Zespri%20Shopsurvey_nagoya_46.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Zespri%20Shopsurvey_osaka46.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Zespri%20Shopsurvey_hiroshima_46.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Zespri%20Shopsurvey_fukuoka_46.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2467;&#12500;&#12540;Zespri%20Shopsurvey_ota_46.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Zespri%20Shopsurvey_kato_4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ato)"/>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ato)"/>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saka"/>
    </sheetNames>
    <sheetDataSet>
      <sheetData sheetId="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ato)"/>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ukuoka"/>
    </sheetNames>
    <sheetDataSet>
      <sheetData sheetId="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kyo-east(ota)"/>
      <sheetName val="Sheet1"/>
      <sheetName val="Sheet2"/>
    </sheetNames>
    <sheetDataSet>
      <sheetData sheetId="0"/>
      <sheetData sheetId="1"/>
      <sheetData sheetId="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kyo-west(kato)"/>
    </sheetNames>
    <sheetDataSet>
      <sheetData sheetId="0"/>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20"/>
  <sheetViews>
    <sheetView tabSelected="1" zoomScale="70" zoomScaleNormal="70" workbookViewId="0">
      <selection activeCell="AB2" sqref="AB2"/>
    </sheetView>
  </sheetViews>
  <sheetFormatPr defaultRowHeight="13.5" x14ac:dyDescent="0.15"/>
  <cols>
    <col min="1" max="3" width="9" style="7"/>
    <col min="4" max="4" width="10.5" style="7" bestFit="1" customWidth="1"/>
    <col min="5" max="5" width="10.875" style="7" bestFit="1" customWidth="1"/>
    <col min="6" max="13" width="9" style="7"/>
    <col min="14" max="14" width="9.5" style="7" bestFit="1" customWidth="1"/>
    <col min="15" max="16" width="9" style="7"/>
    <col min="17" max="17" width="9" style="48"/>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331</v>
      </c>
      <c r="B2" s="15" t="s">
        <v>333</v>
      </c>
      <c r="C2" s="15">
        <v>2018</v>
      </c>
      <c r="D2" s="50" t="s">
        <v>338</v>
      </c>
      <c r="E2" s="15" t="s">
        <v>141</v>
      </c>
      <c r="F2" s="15" t="s">
        <v>149</v>
      </c>
      <c r="G2" s="15" t="s">
        <v>36</v>
      </c>
      <c r="H2" s="15" t="s">
        <v>155</v>
      </c>
      <c r="I2" s="15" t="s">
        <v>153</v>
      </c>
      <c r="J2" s="15" t="s">
        <v>38</v>
      </c>
      <c r="K2" s="7" t="s">
        <v>154</v>
      </c>
      <c r="L2" s="7">
        <v>1</v>
      </c>
      <c r="N2" s="47">
        <v>1</v>
      </c>
      <c r="O2" s="15">
        <v>0.5</v>
      </c>
      <c r="P2" s="15">
        <v>0.5</v>
      </c>
      <c r="Q2" s="51">
        <f t="shared" ref="Q2:Q65" si="0">IF(OR(O2="",P2=""),"",AVERAGE(O2,P2))</f>
        <v>0.5</v>
      </c>
      <c r="R2" s="15">
        <v>15.2</v>
      </c>
      <c r="S2" s="15">
        <v>138</v>
      </c>
      <c r="T2" s="38">
        <f t="shared" ref="T2:T59" si="1">IF(H2="","",IF(OR(H2="GREEN",H2="GK"),IF(S2&gt;=$AX$2,VLOOKUP(S2,$AX$2:$AY$12,2,1),""),IF(S2&gt;=$AZ$2,VLOOKUP(S2,$AZ$2:$BA$12,2,1),"")))</f>
        <v>22</v>
      </c>
      <c r="U2" s="15">
        <v>105</v>
      </c>
      <c r="V2" s="38">
        <f t="shared" ref="V2:V65" si="2">IF(OR(N2="",U2="",T2=""),"",U2/N2*T2)</f>
        <v>2310</v>
      </c>
      <c r="W2" s="15">
        <v>2</v>
      </c>
      <c r="X2" s="15" t="s">
        <v>39</v>
      </c>
      <c r="Y2" s="15" t="s">
        <v>84</v>
      </c>
      <c r="Z2" s="15" t="s">
        <v>50</v>
      </c>
      <c r="AA2" s="15" t="s">
        <v>90</v>
      </c>
      <c r="AB2" s="39" t="s">
        <v>356</v>
      </c>
      <c r="AE2" s="17" t="s">
        <v>35</v>
      </c>
      <c r="AG2" s="49" t="s">
        <v>131</v>
      </c>
      <c r="AH2" s="49" t="s">
        <v>144</v>
      </c>
      <c r="AJ2" s="18" t="s">
        <v>36</v>
      </c>
      <c r="AL2" s="18" t="s">
        <v>127</v>
      </c>
      <c r="AN2" s="18" t="s">
        <v>37</v>
      </c>
      <c r="AP2" s="18" t="s">
        <v>38</v>
      </c>
      <c r="AR2" s="18" t="s">
        <v>120</v>
      </c>
      <c r="AT2" s="18" t="s">
        <v>39</v>
      </c>
      <c r="AV2" s="18" t="s">
        <v>40</v>
      </c>
      <c r="AX2" s="19">
        <v>1</v>
      </c>
      <c r="AY2" s="20">
        <v>50</v>
      </c>
      <c r="AZ2" s="20">
        <v>1</v>
      </c>
      <c r="BA2" s="21">
        <v>50</v>
      </c>
    </row>
    <row r="3" spans="1:53" x14ac:dyDescent="0.15">
      <c r="A3" s="15" t="s">
        <v>331</v>
      </c>
      <c r="B3" s="15" t="s">
        <v>332</v>
      </c>
      <c r="C3" s="15">
        <v>2018</v>
      </c>
      <c r="D3" s="37" t="s">
        <v>337</v>
      </c>
      <c r="E3" s="15" t="s">
        <v>141</v>
      </c>
      <c r="F3" s="7" t="s">
        <v>149</v>
      </c>
      <c r="G3" s="7" t="s">
        <v>36</v>
      </c>
      <c r="H3" s="15" t="s">
        <v>155</v>
      </c>
      <c r="I3" s="7" t="s">
        <v>153</v>
      </c>
      <c r="J3" s="15" t="s">
        <v>38</v>
      </c>
      <c r="K3" s="7" t="s">
        <v>154</v>
      </c>
      <c r="L3" s="7">
        <v>2</v>
      </c>
      <c r="N3" s="7">
        <v>1</v>
      </c>
      <c r="O3" s="34">
        <v>0.5</v>
      </c>
      <c r="P3" s="7">
        <v>0.5</v>
      </c>
      <c r="Q3" s="52">
        <f t="shared" si="0"/>
        <v>0.5</v>
      </c>
      <c r="R3" s="7">
        <v>15</v>
      </c>
      <c r="S3" s="7">
        <v>127</v>
      </c>
      <c r="T3" s="16">
        <f t="shared" si="1"/>
        <v>27</v>
      </c>
      <c r="U3" s="15">
        <v>105</v>
      </c>
      <c r="V3" s="16">
        <f t="shared" si="2"/>
        <v>2835</v>
      </c>
      <c r="W3" s="15">
        <v>2</v>
      </c>
      <c r="X3" s="15" t="s">
        <v>39</v>
      </c>
      <c r="Y3" s="213" t="s">
        <v>84</v>
      </c>
      <c r="Z3" s="213" t="s">
        <v>50</v>
      </c>
      <c r="AA3" s="213" t="s">
        <v>90</v>
      </c>
      <c r="AB3" s="39" t="s">
        <v>334</v>
      </c>
      <c r="AE3" s="22" t="s">
        <v>41</v>
      </c>
      <c r="AG3" s="49" t="s">
        <v>139</v>
      </c>
      <c r="AH3" s="49" t="s">
        <v>145</v>
      </c>
      <c r="AJ3" s="23" t="s">
        <v>42</v>
      </c>
      <c r="AL3" s="23" t="s">
        <v>128</v>
      </c>
      <c r="AN3" s="23" t="s">
        <v>43</v>
      </c>
      <c r="AP3" s="23" t="s">
        <v>44</v>
      </c>
      <c r="AR3" s="41" t="s">
        <v>45</v>
      </c>
      <c r="AT3" s="23" t="s">
        <v>46</v>
      </c>
      <c r="AV3" s="23" t="s">
        <v>47</v>
      </c>
      <c r="AX3" s="24">
        <v>72</v>
      </c>
      <c r="AY3" s="25">
        <v>46</v>
      </c>
      <c r="AZ3" s="25">
        <v>71</v>
      </c>
      <c r="BA3" s="26">
        <v>42</v>
      </c>
    </row>
    <row r="4" spans="1:53" x14ac:dyDescent="0.15">
      <c r="A4" s="15" t="s">
        <v>331</v>
      </c>
      <c r="B4" s="15" t="s">
        <v>332</v>
      </c>
      <c r="C4" s="15">
        <v>2018</v>
      </c>
      <c r="D4" s="37" t="s">
        <v>337</v>
      </c>
      <c r="E4" s="15" t="s">
        <v>141</v>
      </c>
      <c r="F4" s="7" t="s">
        <v>149</v>
      </c>
      <c r="G4" s="7" t="s">
        <v>36</v>
      </c>
      <c r="H4" s="15" t="s">
        <v>155</v>
      </c>
      <c r="I4" s="205" t="s">
        <v>153</v>
      </c>
      <c r="J4" s="15" t="s">
        <v>38</v>
      </c>
      <c r="K4" s="7" t="s">
        <v>154</v>
      </c>
      <c r="L4" s="7">
        <v>3</v>
      </c>
      <c r="N4" s="7">
        <v>1</v>
      </c>
      <c r="O4" s="7">
        <v>0.5</v>
      </c>
      <c r="P4" s="7">
        <v>0.5</v>
      </c>
      <c r="Q4" s="52">
        <f t="shared" si="0"/>
        <v>0.5</v>
      </c>
      <c r="R4" s="7">
        <v>12.4</v>
      </c>
      <c r="S4" s="7">
        <v>126</v>
      </c>
      <c r="T4" s="16">
        <f t="shared" si="1"/>
        <v>27</v>
      </c>
      <c r="U4" s="15">
        <v>105</v>
      </c>
      <c r="V4" s="16">
        <f t="shared" si="2"/>
        <v>2835</v>
      </c>
      <c r="W4" s="15">
        <v>2</v>
      </c>
      <c r="X4" s="213" t="s">
        <v>39</v>
      </c>
      <c r="Y4" s="213" t="s">
        <v>84</v>
      </c>
      <c r="Z4" s="213" t="s">
        <v>50</v>
      </c>
      <c r="AA4" s="213" t="s">
        <v>90</v>
      </c>
      <c r="AB4" s="39" t="s">
        <v>334</v>
      </c>
      <c r="AE4" s="22" t="s">
        <v>34</v>
      </c>
      <c r="AG4" s="49" t="s">
        <v>335</v>
      </c>
      <c r="AH4" s="49" t="s">
        <v>336</v>
      </c>
      <c r="AJ4" s="27" t="s">
        <v>48</v>
      </c>
      <c r="AL4" s="27" t="s">
        <v>129</v>
      </c>
      <c r="AN4" s="28" t="s">
        <v>49</v>
      </c>
      <c r="AP4" s="23" t="s">
        <v>93</v>
      </c>
      <c r="AR4" s="41" t="s">
        <v>121</v>
      </c>
      <c r="AT4" s="28"/>
      <c r="AV4" s="23" t="s">
        <v>50</v>
      </c>
      <c r="AX4" s="24">
        <v>75</v>
      </c>
      <c r="AY4" s="25">
        <v>42</v>
      </c>
      <c r="AZ4" s="25">
        <v>76</v>
      </c>
      <c r="BA4" s="26">
        <v>39</v>
      </c>
    </row>
    <row r="5" spans="1:53" x14ac:dyDescent="0.15">
      <c r="A5" s="15" t="s">
        <v>331</v>
      </c>
      <c r="B5" s="15" t="s">
        <v>332</v>
      </c>
      <c r="C5" s="15">
        <v>2018</v>
      </c>
      <c r="D5" s="37" t="s">
        <v>337</v>
      </c>
      <c r="E5" s="15" t="s">
        <v>141</v>
      </c>
      <c r="F5" s="15" t="s">
        <v>149</v>
      </c>
      <c r="G5" s="7" t="s">
        <v>36</v>
      </c>
      <c r="H5" s="15" t="s">
        <v>166</v>
      </c>
      <c r="I5" s="205" t="s">
        <v>153</v>
      </c>
      <c r="J5" s="15" t="s">
        <v>38</v>
      </c>
      <c r="K5" s="7" t="s">
        <v>154</v>
      </c>
      <c r="L5" s="7">
        <v>1</v>
      </c>
      <c r="N5" s="7">
        <v>1</v>
      </c>
      <c r="O5" s="7">
        <v>0.5</v>
      </c>
      <c r="P5" s="7">
        <v>0.55000000000000004</v>
      </c>
      <c r="Q5" s="52">
        <f t="shared" si="0"/>
        <v>0.52500000000000002</v>
      </c>
      <c r="R5" s="7">
        <v>16.3</v>
      </c>
      <c r="S5" s="7">
        <v>147</v>
      </c>
      <c r="T5" s="16">
        <f t="shared" si="1"/>
        <v>22</v>
      </c>
      <c r="U5" s="15">
        <v>145</v>
      </c>
      <c r="V5" s="16">
        <f t="shared" si="2"/>
        <v>3190</v>
      </c>
      <c r="W5" s="15">
        <v>3</v>
      </c>
      <c r="X5" s="213" t="s">
        <v>39</v>
      </c>
      <c r="Y5" s="213" t="s">
        <v>84</v>
      </c>
      <c r="Z5" s="213" t="s">
        <v>50</v>
      </c>
      <c r="AA5" s="213" t="s">
        <v>90</v>
      </c>
      <c r="AB5" s="39" t="s">
        <v>334</v>
      </c>
      <c r="AE5" s="22" t="s">
        <v>51</v>
      </c>
      <c r="AG5" s="49" t="s">
        <v>130</v>
      </c>
      <c r="AH5" s="49" t="s">
        <v>146</v>
      </c>
      <c r="AJ5" s="28"/>
      <c r="AL5" s="29" t="s">
        <v>66</v>
      </c>
      <c r="AN5" s="29" t="s">
        <v>52</v>
      </c>
      <c r="AP5" s="23" t="s">
        <v>119</v>
      </c>
      <c r="AR5" s="41" t="s">
        <v>54</v>
      </c>
      <c r="AV5" s="23" t="s">
        <v>55</v>
      </c>
      <c r="AX5" s="24">
        <v>84</v>
      </c>
      <c r="AY5" s="25">
        <v>39</v>
      </c>
      <c r="AZ5" s="25">
        <v>84</v>
      </c>
      <c r="BA5" s="26">
        <v>36</v>
      </c>
    </row>
    <row r="6" spans="1:53" x14ac:dyDescent="0.15">
      <c r="A6" s="15" t="s">
        <v>331</v>
      </c>
      <c r="B6" s="15" t="s">
        <v>332</v>
      </c>
      <c r="C6" s="15">
        <v>2018</v>
      </c>
      <c r="D6" s="37" t="s">
        <v>337</v>
      </c>
      <c r="E6" s="15" t="s">
        <v>141</v>
      </c>
      <c r="F6" s="7" t="s">
        <v>149</v>
      </c>
      <c r="G6" s="7" t="s">
        <v>36</v>
      </c>
      <c r="H6" s="213" t="s">
        <v>166</v>
      </c>
      <c r="I6" s="205" t="s">
        <v>153</v>
      </c>
      <c r="J6" s="213" t="s">
        <v>38</v>
      </c>
      <c r="K6" s="205" t="s">
        <v>154</v>
      </c>
      <c r="L6" s="7">
        <v>2</v>
      </c>
      <c r="N6" s="7">
        <v>1</v>
      </c>
      <c r="O6" s="7">
        <v>0.5</v>
      </c>
      <c r="P6" s="7">
        <v>0.5</v>
      </c>
      <c r="Q6" s="52">
        <f t="shared" si="0"/>
        <v>0.5</v>
      </c>
      <c r="R6" s="7">
        <v>15</v>
      </c>
      <c r="S6" s="7">
        <v>137</v>
      </c>
      <c r="T6" s="16">
        <f t="shared" si="1"/>
        <v>25</v>
      </c>
      <c r="U6" s="213">
        <v>145</v>
      </c>
      <c r="V6" s="16">
        <f t="shared" si="2"/>
        <v>3625</v>
      </c>
      <c r="W6" s="15">
        <v>3</v>
      </c>
      <c r="X6" s="213" t="s">
        <v>39</v>
      </c>
      <c r="Y6" s="213" t="s">
        <v>84</v>
      </c>
      <c r="Z6" s="213" t="s">
        <v>50</v>
      </c>
      <c r="AA6" s="213" t="s">
        <v>90</v>
      </c>
      <c r="AB6" s="39" t="s">
        <v>334</v>
      </c>
      <c r="AE6" s="22" t="s">
        <v>56</v>
      </c>
      <c r="AG6" s="49" t="s">
        <v>132</v>
      </c>
      <c r="AH6" s="49" t="s">
        <v>147</v>
      </c>
      <c r="AL6" s="29" t="s">
        <v>99</v>
      </c>
      <c r="AN6" s="29" t="s">
        <v>57</v>
      </c>
      <c r="AP6" s="23" t="s">
        <v>53</v>
      </c>
      <c r="AR6" s="41" t="s">
        <v>59</v>
      </c>
      <c r="AV6" s="23" t="s">
        <v>60</v>
      </c>
      <c r="AX6" s="24">
        <v>97</v>
      </c>
      <c r="AY6" s="25">
        <v>36</v>
      </c>
      <c r="AZ6" s="25">
        <v>99</v>
      </c>
      <c r="BA6" s="26">
        <v>33</v>
      </c>
    </row>
    <row r="7" spans="1:53" ht="12" customHeight="1" x14ac:dyDescent="0.15">
      <c r="A7" s="15" t="s">
        <v>331</v>
      </c>
      <c r="B7" s="15" t="s">
        <v>332</v>
      </c>
      <c r="C7" s="15">
        <v>2018</v>
      </c>
      <c r="D7" s="37" t="s">
        <v>337</v>
      </c>
      <c r="E7" s="15" t="s">
        <v>141</v>
      </c>
      <c r="F7" s="7" t="s">
        <v>149</v>
      </c>
      <c r="G7" s="7" t="s">
        <v>36</v>
      </c>
      <c r="H7" s="213" t="s">
        <v>166</v>
      </c>
      <c r="I7" s="205" t="s">
        <v>153</v>
      </c>
      <c r="J7" s="213" t="s">
        <v>38</v>
      </c>
      <c r="K7" s="205" t="s">
        <v>154</v>
      </c>
      <c r="L7" s="7">
        <v>3</v>
      </c>
      <c r="N7" s="7">
        <v>1</v>
      </c>
      <c r="O7" s="7">
        <v>0.5</v>
      </c>
      <c r="P7" s="7">
        <v>0.5</v>
      </c>
      <c r="Q7" s="52">
        <f t="shared" si="0"/>
        <v>0.5</v>
      </c>
      <c r="R7" s="34">
        <v>17.399999999999999</v>
      </c>
      <c r="S7" s="7">
        <v>138</v>
      </c>
      <c r="T7" s="16">
        <f t="shared" si="1"/>
        <v>22</v>
      </c>
      <c r="U7" s="213">
        <v>145</v>
      </c>
      <c r="V7" s="16">
        <f t="shared" si="2"/>
        <v>3190</v>
      </c>
      <c r="W7" s="15">
        <v>3</v>
      </c>
      <c r="X7" s="213" t="s">
        <v>39</v>
      </c>
      <c r="Y7" s="213" t="s">
        <v>84</v>
      </c>
      <c r="Z7" s="213" t="s">
        <v>50</v>
      </c>
      <c r="AA7" s="213" t="s">
        <v>90</v>
      </c>
      <c r="AB7" s="39" t="s">
        <v>334</v>
      </c>
      <c r="AE7" s="22" t="s">
        <v>61</v>
      </c>
      <c r="AG7" s="49" t="s">
        <v>140</v>
      </c>
      <c r="AH7" s="49" t="s">
        <v>148</v>
      </c>
      <c r="AL7" s="34" t="s">
        <v>109</v>
      </c>
      <c r="AP7" s="23" t="s">
        <v>58</v>
      </c>
      <c r="AR7" s="30" t="s">
        <v>122</v>
      </c>
      <c r="AV7" s="23" t="s">
        <v>64</v>
      </c>
      <c r="AX7" s="24">
        <v>109</v>
      </c>
      <c r="AY7" s="25">
        <v>33</v>
      </c>
      <c r="AZ7" s="25">
        <v>113</v>
      </c>
      <c r="BA7" s="26">
        <v>30</v>
      </c>
    </row>
    <row r="8" spans="1:53" ht="12.75" customHeight="1" x14ac:dyDescent="0.15">
      <c r="A8" s="15" t="s">
        <v>331</v>
      </c>
      <c r="B8" s="15" t="s">
        <v>332</v>
      </c>
      <c r="C8" s="15">
        <v>2018</v>
      </c>
      <c r="D8" s="37" t="s">
        <v>337</v>
      </c>
      <c r="E8" s="15" t="s">
        <v>133</v>
      </c>
      <c r="F8" s="7" t="s">
        <v>150</v>
      </c>
      <c r="G8" s="7" t="s">
        <v>36</v>
      </c>
      <c r="H8" s="15" t="s">
        <v>155</v>
      </c>
      <c r="I8" s="205" t="s">
        <v>153</v>
      </c>
      <c r="J8" s="15" t="s">
        <v>38</v>
      </c>
      <c r="K8" s="7" t="s">
        <v>154</v>
      </c>
      <c r="L8" s="7">
        <v>1</v>
      </c>
      <c r="N8" s="205">
        <v>1</v>
      </c>
      <c r="O8" s="7">
        <v>0.5</v>
      </c>
      <c r="P8" s="7">
        <v>0.5</v>
      </c>
      <c r="Q8" s="52">
        <f t="shared" si="0"/>
        <v>0.5</v>
      </c>
      <c r="R8" s="34">
        <v>15.9</v>
      </c>
      <c r="S8" s="7">
        <v>121</v>
      </c>
      <c r="T8" s="16">
        <f t="shared" si="1"/>
        <v>27</v>
      </c>
      <c r="U8" s="15">
        <v>99</v>
      </c>
      <c r="V8" s="16">
        <f t="shared" si="2"/>
        <v>2673</v>
      </c>
      <c r="W8" s="15">
        <v>1</v>
      </c>
      <c r="X8" s="15" t="s">
        <v>46</v>
      </c>
      <c r="Y8" s="213" t="s">
        <v>102</v>
      </c>
      <c r="Z8" s="213" t="s">
        <v>50</v>
      </c>
      <c r="AA8" s="213" t="s">
        <v>90</v>
      </c>
      <c r="AB8" s="39" t="s">
        <v>334</v>
      </c>
      <c r="AE8" s="22" t="s">
        <v>59</v>
      </c>
      <c r="AG8" s="49" t="s">
        <v>141</v>
      </c>
      <c r="AH8" s="49" t="s">
        <v>149</v>
      </c>
      <c r="AL8" s="34" t="s">
        <v>134</v>
      </c>
      <c r="AP8" s="23" t="s">
        <v>62</v>
      </c>
      <c r="AR8" s="41" t="s">
        <v>81</v>
      </c>
      <c r="AV8" s="23" t="s">
        <v>97</v>
      </c>
      <c r="AX8" s="24">
        <v>119</v>
      </c>
      <c r="AY8" s="25">
        <v>30</v>
      </c>
      <c r="AZ8" s="25">
        <v>121</v>
      </c>
      <c r="BA8" s="26">
        <v>27</v>
      </c>
    </row>
    <row r="9" spans="1:53" x14ac:dyDescent="0.15">
      <c r="A9" s="15" t="s">
        <v>331</v>
      </c>
      <c r="B9" s="15" t="s">
        <v>332</v>
      </c>
      <c r="C9" s="15">
        <v>2018</v>
      </c>
      <c r="D9" s="37" t="s">
        <v>337</v>
      </c>
      <c r="E9" s="15" t="s">
        <v>133</v>
      </c>
      <c r="F9" s="7" t="s">
        <v>150</v>
      </c>
      <c r="G9" s="7" t="s">
        <v>36</v>
      </c>
      <c r="H9" s="213" t="s">
        <v>155</v>
      </c>
      <c r="I9" s="205" t="s">
        <v>153</v>
      </c>
      <c r="J9" s="213" t="s">
        <v>38</v>
      </c>
      <c r="K9" s="205" t="s">
        <v>154</v>
      </c>
      <c r="L9" s="7">
        <v>2</v>
      </c>
      <c r="N9" s="205">
        <v>1</v>
      </c>
      <c r="O9" s="7">
        <v>0.5</v>
      </c>
      <c r="P9" s="7">
        <v>0.7</v>
      </c>
      <c r="Q9" s="52">
        <f t="shared" si="0"/>
        <v>0.6</v>
      </c>
      <c r="R9" s="7">
        <v>12.5</v>
      </c>
      <c r="S9" s="7">
        <v>114</v>
      </c>
      <c r="T9" s="16">
        <f t="shared" si="1"/>
        <v>30</v>
      </c>
      <c r="U9" s="213">
        <v>99</v>
      </c>
      <c r="V9" s="16">
        <f t="shared" si="2"/>
        <v>2970</v>
      </c>
      <c r="W9" s="15">
        <v>1</v>
      </c>
      <c r="X9" s="15" t="s">
        <v>46</v>
      </c>
      <c r="Y9" s="213" t="s">
        <v>102</v>
      </c>
      <c r="Z9" s="213" t="s">
        <v>50</v>
      </c>
      <c r="AA9" s="213" t="s">
        <v>90</v>
      </c>
      <c r="AB9" s="39" t="s">
        <v>334</v>
      </c>
      <c r="AE9" s="22" t="s">
        <v>98</v>
      </c>
      <c r="AG9" s="49" t="s">
        <v>133</v>
      </c>
      <c r="AH9" s="49" t="s">
        <v>150</v>
      </c>
      <c r="AL9" s="34"/>
      <c r="AP9" s="23" t="s">
        <v>95</v>
      </c>
      <c r="AR9" s="30" t="s">
        <v>89</v>
      </c>
      <c r="AV9" s="23" t="s">
        <v>102</v>
      </c>
      <c r="AX9" s="24">
        <v>128</v>
      </c>
      <c r="AY9" s="25">
        <v>27</v>
      </c>
      <c r="AZ9" s="25">
        <v>129</v>
      </c>
      <c r="BA9" s="26">
        <v>25</v>
      </c>
    </row>
    <row r="10" spans="1:53" x14ac:dyDescent="0.15">
      <c r="A10" s="15" t="s">
        <v>331</v>
      </c>
      <c r="B10" s="15" t="s">
        <v>332</v>
      </c>
      <c r="C10" s="15">
        <v>2018</v>
      </c>
      <c r="D10" s="37" t="s">
        <v>337</v>
      </c>
      <c r="E10" s="15" t="s">
        <v>133</v>
      </c>
      <c r="F10" s="7" t="s">
        <v>150</v>
      </c>
      <c r="G10" s="7" t="s">
        <v>36</v>
      </c>
      <c r="H10" s="213" t="s">
        <v>155</v>
      </c>
      <c r="I10" s="205" t="s">
        <v>153</v>
      </c>
      <c r="J10" s="213" t="s">
        <v>38</v>
      </c>
      <c r="K10" s="205" t="s">
        <v>154</v>
      </c>
      <c r="L10" s="7">
        <v>3</v>
      </c>
      <c r="N10" s="205">
        <v>1</v>
      </c>
      <c r="O10" s="7">
        <v>0.65</v>
      </c>
      <c r="P10" s="7">
        <v>0.65</v>
      </c>
      <c r="Q10" s="52">
        <f t="shared" si="0"/>
        <v>0.65</v>
      </c>
      <c r="R10" s="7">
        <v>14</v>
      </c>
      <c r="S10" s="7">
        <v>121</v>
      </c>
      <c r="T10" s="16">
        <f t="shared" si="1"/>
        <v>27</v>
      </c>
      <c r="U10" s="213">
        <v>99</v>
      </c>
      <c r="V10" s="16">
        <f t="shared" si="2"/>
        <v>2673</v>
      </c>
      <c r="W10" s="15">
        <v>1</v>
      </c>
      <c r="X10" s="15" t="s">
        <v>46</v>
      </c>
      <c r="Y10" s="213" t="s">
        <v>102</v>
      </c>
      <c r="Z10" s="213" t="s">
        <v>50</v>
      </c>
      <c r="AA10" s="213" t="s">
        <v>90</v>
      </c>
      <c r="AB10" s="39" t="s">
        <v>334</v>
      </c>
      <c r="AE10" s="22" t="s">
        <v>103</v>
      </c>
      <c r="AG10" s="49" t="s">
        <v>142</v>
      </c>
      <c r="AH10" s="49" t="s">
        <v>151</v>
      </c>
      <c r="AP10" s="23" t="s">
        <v>100</v>
      </c>
      <c r="AR10" s="30" t="s">
        <v>123</v>
      </c>
      <c r="AV10" s="23" t="s">
        <v>106</v>
      </c>
      <c r="AX10" s="24">
        <v>138</v>
      </c>
      <c r="AY10" s="25">
        <v>25</v>
      </c>
      <c r="AZ10" s="25">
        <v>138</v>
      </c>
      <c r="BA10" s="26">
        <v>22</v>
      </c>
    </row>
    <row r="11" spans="1:53" x14ac:dyDescent="0.15">
      <c r="A11" s="15" t="s">
        <v>331</v>
      </c>
      <c r="B11" s="15" t="s">
        <v>332</v>
      </c>
      <c r="C11" s="15">
        <v>2018</v>
      </c>
      <c r="D11" s="37" t="s">
        <v>337</v>
      </c>
      <c r="E11" s="15" t="s">
        <v>133</v>
      </c>
      <c r="F11" s="7" t="s">
        <v>150</v>
      </c>
      <c r="G11" s="7" t="s">
        <v>36</v>
      </c>
      <c r="H11" s="213" t="s">
        <v>166</v>
      </c>
      <c r="I11" s="7" t="s">
        <v>153</v>
      </c>
      <c r="J11" s="15" t="s">
        <v>38</v>
      </c>
      <c r="K11" s="7" t="s">
        <v>154</v>
      </c>
      <c r="L11" s="7">
        <v>1</v>
      </c>
      <c r="N11" s="205">
        <v>1</v>
      </c>
      <c r="O11" s="7">
        <v>0.6</v>
      </c>
      <c r="P11" s="7">
        <v>0.6</v>
      </c>
      <c r="Q11" s="52">
        <f t="shared" si="0"/>
        <v>0.6</v>
      </c>
      <c r="R11" s="7">
        <v>13.5</v>
      </c>
      <c r="S11" s="7">
        <v>124</v>
      </c>
      <c r="T11" s="16">
        <f t="shared" si="1"/>
        <v>27</v>
      </c>
      <c r="U11" s="7">
        <v>99</v>
      </c>
      <c r="V11" s="16">
        <f t="shared" si="2"/>
        <v>2673</v>
      </c>
      <c r="W11" s="7">
        <v>4</v>
      </c>
      <c r="X11" s="15" t="s">
        <v>46</v>
      </c>
      <c r="Y11" s="213" t="s">
        <v>102</v>
      </c>
      <c r="Z11" s="213" t="s">
        <v>50</v>
      </c>
      <c r="AA11" s="213" t="s">
        <v>90</v>
      </c>
      <c r="AB11" s="39" t="s">
        <v>334</v>
      </c>
      <c r="AE11" s="22" t="s">
        <v>65</v>
      </c>
      <c r="AG11" s="49" t="s">
        <v>143</v>
      </c>
      <c r="AH11" s="49" t="s">
        <v>152</v>
      </c>
      <c r="AP11" s="23" t="s">
        <v>104</v>
      </c>
      <c r="AR11" s="30" t="s">
        <v>87</v>
      </c>
      <c r="AV11" s="23" t="s">
        <v>69</v>
      </c>
      <c r="AX11" s="24">
        <v>151</v>
      </c>
      <c r="AY11" s="25">
        <v>22</v>
      </c>
      <c r="AZ11" s="25">
        <v>152</v>
      </c>
      <c r="BA11" s="26">
        <v>18</v>
      </c>
    </row>
    <row r="12" spans="1:53" x14ac:dyDescent="0.15">
      <c r="A12" s="15" t="s">
        <v>331</v>
      </c>
      <c r="B12" s="15" t="s">
        <v>332</v>
      </c>
      <c r="C12" s="15">
        <v>2018</v>
      </c>
      <c r="D12" s="37" t="s">
        <v>337</v>
      </c>
      <c r="E12" s="15" t="s">
        <v>133</v>
      </c>
      <c r="F12" s="7" t="s">
        <v>150</v>
      </c>
      <c r="G12" s="7" t="s">
        <v>36</v>
      </c>
      <c r="H12" s="213" t="s">
        <v>166</v>
      </c>
      <c r="I12" s="205" t="s">
        <v>153</v>
      </c>
      <c r="J12" s="213" t="s">
        <v>38</v>
      </c>
      <c r="K12" s="205" t="s">
        <v>154</v>
      </c>
      <c r="L12" s="7">
        <v>2</v>
      </c>
      <c r="N12" s="7">
        <v>1</v>
      </c>
      <c r="O12" s="7">
        <v>0.55000000000000004</v>
      </c>
      <c r="P12" s="7">
        <v>0.6</v>
      </c>
      <c r="Q12" s="52">
        <f t="shared" si="0"/>
        <v>0.57499999999999996</v>
      </c>
      <c r="R12" s="34">
        <v>15.5</v>
      </c>
      <c r="S12" s="7">
        <v>120</v>
      </c>
      <c r="T12" s="16">
        <f t="shared" si="1"/>
        <v>30</v>
      </c>
      <c r="U12" s="205">
        <v>99</v>
      </c>
      <c r="V12" s="16">
        <f t="shared" si="2"/>
        <v>2970</v>
      </c>
      <c r="W12" s="7">
        <v>4</v>
      </c>
      <c r="X12" s="15" t="s">
        <v>46</v>
      </c>
      <c r="Y12" s="213" t="s">
        <v>102</v>
      </c>
      <c r="Z12" s="213" t="s">
        <v>50</v>
      </c>
      <c r="AA12" s="213" t="s">
        <v>90</v>
      </c>
      <c r="AB12" s="39" t="s">
        <v>334</v>
      </c>
      <c r="AE12" s="22" t="s">
        <v>70</v>
      </c>
      <c r="AG12" s="40"/>
      <c r="AH12" s="40"/>
      <c r="AP12" s="23" t="s">
        <v>67</v>
      </c>
      <c r="AR12" s="30" t="s">
        <v>124</v>
      </c>
      <c r="AV12" s="23" t="s">
        <v>72</v>
      </c>
      <c r="AX12" s="31">
        <v>180</v>
      </c>
      <c r="AY12" s="32">
        <v>18</v>
      </c>
      <c r="AZ12" s="32">
        <v>181</v>
      </c>
      <c r="BA12" s="33">
        <v>16</v>
      </c>
    </row>
    <row r="13" spans="1:53" x14ac:dyDescent="0.15">
      <c r="A13" s="15" t="s">
        <v>331</v>
      </c>
      <c r="B13" s="15" t="s">
        <v>332</v>
      </c>
      <c r="C13" s="15">
        <v>2018</v>
      </c>
      <c r="D13" s="37" t="s">
        <v>337</v>
      </c>
      <c r="E13" s="15" t="s">
        <v>133</v>
      </c>
      <c r="F13" s="7" t="s">
        <v>150</v>
      </c>
      <c r="G13" s="7" t="s">
        <v>36</v>
      </c>
      <c r="H13" s="213" t="s">
        <v>166</v>
      </c>
      <c r="I13" s="205" t="s">
        <v>153</v>
      </c>
      <c r="J13" s="213" t="s">
        <v>38</v>
      </c>
      <c r="K13" s="205" t="s">
        <v>154</v>
      </c>
      <c r="L13" s="7">
        <v>3</v>
      </c>
      <c r="N13" s="7">
        <v>1</v>
      </c>
      <c r="O13" s="7">
        <v>0.5</v>
      </c>
      <c r="P13" s="7">
        <v>0.5</v>
      </c>
      <c r="Q13" s="52">
        <f t="shared" si="0"/>
        <v>0.5</v>
      </c>
      <c r="R13" s="7">
        <v>12.6</v>
      </c>
      <c r="S13" s="7">
        <v>117</v>
      </c>
      <c r="T13" s="16">
        <f t="shared" si="1"/>
        <v>30</v>
      </c>
      <c r="U13" s="205">
        <v>99</v>
      </c>
      <c r="V13" s="16">
        <f t="shared" si="2"/>
        <v>2970</v>
      </c>
      <c r="W13" s="7">
        <v>4</v>
      </c>
      <c r="X13" s="15" t="s">
        <v>46</v>
      </c>
      <c r="Y13" s="213" t="s">
        <v>102</v>
      </c>
      <c r="Z13" s="213" t="s">
        <v>50</v>
      </c>
      <c r="AA13" s="213" t="s">
        <v>90</v>
      </c>
      <c r="AB13" s="39" t="s">
        <v>334</v>
      </c>
      <c r="AE13" s="22" t="s">
        <v>73</v>
      </c>
      <c r="AG13" s="23"/>
      <c r="AH13" s="23"/>
      <c r="AP13" s="23" t="s">
        <v>71</v>
      </c>
      <c r="AR13" s="30" t="s">
        <v>103</v>
      </c>
      <c r="AV13" s="23" t="s">
        <v>75</v>
      </c>
    </row>
    <row r="14" spans="1:53" x14ac:dyDescent="0.15">
      <c r="A14" s="15" t="s">
        <v>331</v>
      </c>
      <c r="B14" s="15" t="s">
        <v>332</v>
      </c>
      <c r="C14" s="15">
        <v>2018</v>
      </c>
      <c r="D14" s="37" t="s">
        <v>337</v>
      </c>
      <c r="E14" s="15" t="s">
        <v>142</v>
      </c>
      <c r="F14" s="7" t="s">
        <v>151</v>
      </c>
      <c r="G14" s="7" t="s">
        <v>36</v>
      </c>
      <c r="H14" s="15" t="s">
        <v>155</v>
      </c>
      <c r="I14" s="7" t="s">
        <v>153</v>
      </c>
      <c r="J14" s="15" t="s">
        <v>38</v>
      </c>
      <c r="K14" s="7" t="s">
        <v>154</v>
      </c>
      <c r="L14" s="7">
        <v>1</v>
      </c>
      <c r="N14" s="7">
        <v>1</v>
      </c>
      <c r="O14" s="7">
        <v>0.9</v>
      </c>
      <c r="P14" s="7">
        <v>0.75</v>
      </c>
      <c r="Q14" s="52">
        <f t="shared" si="0"/>
        <v>0.82499999999999996</v>
      </c>
      <c r="R14" s="7">
        <v>13.2</v>
      </c>
      <c r="S14" s="7">
        <v>168</v>
      </c>
      <c r="T14" s="16">
        <f t="shared" si="1"/>
        <v>18</v>
      </c>
      <c r="U14" s="7">
        <v>108</v>
      </c>
      <c r="V14" s="16">
        <f t="shared" si="2"/>
        <v>1944</v>
      </c>
      <c r="W14" s="7">
        <v>8</v>
      </c>
      <c r="X14" s="15" t="s">
        <v>39</v>
      </c>
      <c r="Y14" s="213" t="s">
        <v>50</v>
      </c>
      <c r="Z14" s="213" t="s">
        <v>84</v>
      </c>
      <c r="AA14" s="213" t="s">
        <v>90</v>
      </c>
      <c r="AB14" s="39" t="s">
        <v>334</v>
      </c>
      <c r="AE14" s="22" t="s">
        <v>76</v>
      </c>
      <c r="AG14" s="23"/>
      <c r="AH14" s="23"/>
      <c r="AP14" s="23" t="s">
        <v>74</v>
      </c>
      <c r="AR14" s="30" t="s">
        <v>125</v>
      </c>
      <c r="AV14" s="23" t="s">
        <v>78</v>
      </c>
    </row>
    <row r="15" spans="1:53" x14ac:dyDescent="0.15">
      <c r="A15" s="15" t="s">
        <v>331</v>
      </c>
      <c r="B15" s="15" t="s">
        <v>332</v>
      </c>
      <c r="C15" s="15">
        <v>2018</v>
      </c>
      <c r="D15" s="37" t="s">
        <v>337</v>
      </c>
      <c r="E15" s="15" t="s">
        <v>142</v>
      </c>
      <c r="F15" s="7" t="s">
        <v>151</v>
      </c>
      <c r="G15" s="7" t="s">
        <v>36</v>
      </c>
      <c r="H15" s="213" t="s">
        <v>155</v>
      </c>
      <c r="I15" s="205" t="s">
        <v>153</v>
      </c>
      <c r="J15" s="213" t="s">
        <v>38</v>
      </c>
      <c r="K15" s="205" t="s">
        <v>154</v>
      </c>
      <c r="L15" s="7">
        <v>2</v>
      </c>
      <c r="N15" s="7">
        <v>1</v>
      </c>
      <c r="O15" s="7">
        <v>0.7</v>
      </c>
      <c r="P15" s="7">
        <v>0.75</v>
      </c>
      <c r="Q15" s="52">
        <f t="shared" si="0"/>
        <v>0.72499999999999998</v>
      </c>
      <c r="R15" s="7">
        <v>12.3</v>
      </c>
      <c r="S15" s="7">
        <v>155</v>
      </c>
      <c r="T15" s="16">
        <f t="shared" si="1"/>
        <v>18</v>
      </c>
      <c r="U15" s="205">
        <v>108</v>
      </c>
      <c r="V15" s="16">
        <f t="shared" si="2"/>
        <v>1944</v>
      </c>
      <c r="W15" s="7">
        <v>8</v>
      </c>
      <c r="X15" s="213" t="s">
        <v>39</v>
      </c>
      <c r="Y15" s="213" t="s">
        <v>50</v>
      </c>
      <c r="Z15" s="213" t="s">
        <v>84</v>
      </c>
      <c r="AA15" s="213" t="s">
        <v>90</v>
      </c>
      <c r="AB15" s="39" t="s">
        <v>334</v>
      </c>
      <c r="AE15" s="22" t="s">
        <v>79</v>
      </c>
      <c r="AG15" s="23"/>
      <c r="AH15" s="23"/>
      <c r="AP15" s="23" t="s">
        <v>77</v>
      </c>
      <c r="AR15" s="30" t="s">
        <v>94</v>
      </c>
      <c r="AV15" s="23" t="s">
        <v>107</v>
      </c>
    </row>
    <row r="16" spans="1:53" x14ac:dyDescent="0.15">
      <c r="A16" s="15" t="s">
        <v>331</v>
      </c>
      <c r="B16" s="15" t="s">
        <v>332</v>
      </c>
      <c r="C16" s="15">
        <v>2018</v>
      </c>
      <c r="D16" s="37" t="s">
        <v>337</v>
      </c>
      <c r="E16" s="15" t="s">
        <v>142</v>
      </c>
      <c r="F16" s="7" t="s">
        <v>151</v>
      </c>
      <c r="G16" s="7" t="s">
        <v>36</v>
      </c>
      <c r="H16" s="213" t="s">
        <v>155</v>
      </c>
      <c r="I16" s="205" t="s">
        <v>153</v>
      </c>
      <c r="J16" s="213" t="s">
        <v>38</v>
      </c>
      <c r="K16" s="205" t="s">
        <v>154</v>
      </c>
      <c r="L16" s="7">
        <v>3</v>
      </c>
      <c r="N16" s="7">
        <v>1</v>
      </c>
      <c r="O16" s="7">
        <v>0.8</v>
      </c>
      <c r="P16" s="7">
        <v>0.65</v>
      </c>
      <c r="Q16" s="52">
        <f t="shared" si="0"/>
        <v>0.72500000000000009</v>
      </c>
      <c r="R16" s="7">
        <v>15</v>
      </c>
      <c r="S16" s="7">
        <v>163</v>
      </c>
      <c r="T16" s="16">
        <f t="shared" si="1"/>
        <v>18</v>
      </c>
      <c r="U16" s="205">
        <v>108</v>
      </c>
      <c r="V16" s="16">
        <f t="shared" si="2"/>
        <v>1944</v>
      </c>
      <c r="W16" s="7">
        <v>8</v>
      </c>
      <c r="X16" s="213" t="s">
        <v>39</v>
      </c>
      <c r="Y16" s="213" t="s">
        <v>50</v>
      </c>
      <c r="Z16" s="213" t="s">
        <v>84</v>
      </c>
      <c r="AA16" s="213" t="s">
        <v>90</v>
      </c>
      <c r="AB16" s="39" t="s">
        <v>334</v>
      </c>
      <c r="AE16" s="22" t="s">
        <v>82</v>
      </c>
      <c r="AG16" s="28"/>
      <c r="AH16" s="28"/>
      <c r="AP16" s="23" t="s">
        <v>80</v>
      </c>
      <c r="AR16" s="41" t="s">
        <v>63</v>
      </c>
      <c r="AV16" s="23" t="s">
        <v>84</v>
      </c>
    </row>
    <row r="17" spans="1:48" x14ac:dyDescent="0.15">
      <c r="A17" s="15" t="s">
        <v>331</v>
      </c>
      <c r="B17" s="15" t="s">
        <v>332</v>
      </c>
      <c r="C17" s="15">
        <v>2018</v>
      </c>
      <c r="D17" s="37" t="s">
        <v>337</v>
      </c>
      <c r="E17" s="15" t="s">
        <v>142</v>
      </c>
      <c r="F17" s="7" t="s">
        <v>151</v>
      </c>
      <c r="G17" s="7" t="s">
        <v>36</v>
      </c>
      <c r="H17" s="15" t="s">
        <v>166</v>
      </c>
      <c r="I17" s="205" t="s">
        <v>153</v>
      </c>
      <c r="J17" s="213" t="s">
        <v>38</v>
      </c>
      <c r="K17" s="205" t="s">
        <v>154</v>
      </c>
      <c r="L17" s="7">
        <v>1</v>
      </c>
      <c r="N17" s="7">
        <v>3</v>
      </c>
      <c r="O17" s="7">
        <v>0.55000000000000004</v>
      </c>
      <c r="P17" s="7">
        <v>0.6</v>
      </c>
      <c r="Q17" s="52">
        <f t="shared" si="0"/>
        <v>0.57499999999999996</v>
      </c>
      <c r="R17" s="7">
        <v>15.2</v>
      </c>
      <c r="S17" s="7">
        <v>126</v>
      </c>
      <c r="T17" s="16">
        <f t="shared" si="1"/>
        <v>27</v>
      </c>
      <c r="U17" s="7">
        <v>494</v>
      </c>
      <c r="V17" s="16">
        <f t="shared" si="2"/>
        <v>4446</v>
      </c>
      <c r="W17" s="7">
        <v>2</v>
      </c>
      <c r="X17" s="213" t="s">
        <v>39</v>
      </c>
      <c r="Y17" s="213" t="s">
        <v>50</v>
      </c>
      <c r="Z17" s="213" t="s">
        <v>84</v>
      </c>
      <c r="AA17" s="213" t="s">
        <v>90</v>
      </c>
      <c r="AB17" s="39" t="s">
        <v>334</v>
      </c>
      <c r="AE17" s="22" t="s">
        <v>85</v>
      </c>
      <c r="AP17" s="43" t="s">
        <v>110</v>
      </c>
      <c r="AR17" s="41" t="s">
        <v>96</v>
      </c>
      <c r="AV17" s="23" t="s">
        <v>86</v>
      </c>
    </row>
    <row r="18" spans="1:48" x14ac:dyDescent="0.15">
      <c r="A18" s="15" t="s">
        <v>331</v>
      </c>
      <c r="B18" s="15" t="s">
        <v>332</v>
      </c>
      <c r="C18" s="15">
        <v>2018</v>
      </c>
      <c r="D18" s="37" t="s">
        <v>337</v>
      </c>
      <c r="E18" s="15" t="s">
        <v>142</v>
      </c>
      <c r="F18" s="7" t="s">
        <v>151</v>
      </c>
      <c r="G18" s="7" t="s">
        <v>36</v>
      </c>
      <c r="H18" s="213" t="s">
        <v>166</v>
      </c>
      <c r="I18" s="205" t="s">
        <v>153</v>
      </c>
      <c r="J18" s="213" t="s">
        <v>38</v>
      </c>
      <c r="K18" s="205" t="s">
        <v>154</v>
      </c>
      <c r="L18" s="7">
        <v>2</v>
      </c>
      <c r="N18" s="7">
        <v>3</v>
      </c>
      <c r="O18" s="7">
        <v>0.6</v>
      </c>
      <c r="P18" s="7">
        <v>0.55000000000000004</v>
      </c>
      <c r="Q18" s="52">
        <f t="shared" si="0"/>
        <v>0.57499999999999996</v>
      </c>
      <c r="R18" s="7">
        <v>19.600000000000001</v>
      </c>
      <c r="S18" s="7">
        <v>126</v>
      </c>
      <c r="T18" s="16">
        <f t="shared" si="1"/>
        <v>27</v>
      </c>
      <c r="U18" s="205">
        <v>494</v>
      </c>
      <c r="V18" s="16">
        <f t="shared" si="2"/>
        <v>4446</v>
      </c>
      <c r="W18" s="7">
        <v>2</v>
      </c>
      <c r="X18" s="213" t="s">
        <v>39</v>
      </c>
      <c r="Y18" s="213" t="s">
        <v>50</v>
      </c>
      <c r="Z18" s="213" t="s">
        <v>84</v>
      </c>
      <c r="AA18" s="213" t="s">
        <v>90</v>
      </c>
      <c r="AB18" s="39" t="s">
        <v>334</v>
      </c>
      <c r="AE18" s="22" t="s">
        <v>87</v>
      </c>
      <c r="AP18" s="43" t="s">
        <v>111</v>
      </c>
      <c r="AR18" s="41" t="s">
        <v>101</v>
      </c>
      <c r="AV18" s="23" t="s">
        <v>88</v>
      </c>
    </row>
    <row r="19" spans="1:48" x14ac:dyDescent="0.15">
      <c r="A19" s="15" t="s">
        <v>331</v>
      </c>
      <c r="B19" s="15" t="s">
        <v>332</v>
      </c>
      <c r="C19" s="15">
        <v>2018</v>
      </c>
      <c r="D19" s="37" t="s">
        <v>337</v>
      </c>
      <c r="E19" s="15" t="s">
        <v>142</v>
      </c>
      <c r="F19" s="7" t="s">
        <v>151</v>
      </c>
      <c r="G19" s="7" t="s">
        <v>36</v>
      </c>
      <c r="H19" s="213" t="s">
        <v>166</v>
      </c>
      <c r="I19" s="205" t="s">
        <v>153</v>
      </c>
      <c r="J19" s="213" t="s">
        <v>38</v>
      </c>
      <c r="K19" s="205" t="s">
        <v>154</v>
      </c>
      <c r="L19" s="7">
        <v>3</v>
      </c>
      <c r="N19" s="7">
        <v>3</v>
      </c>
      <c r="O19" s="7">
        <v>0.8</v>
      </c>
      <c r="P19" s="7">
        <v>0.75</v>
      </c>
      <c r="Q19" s="52">
        <f t="shared" si="0"/>
        <v>0.77500000000000002</v>
      </c>
      <c r="R19" s="7">
        <v>16.600000000000001</v>
      </c>
      <c r="S19" s="7">
        <v>127</v>
      </c>
      <c r="T19" s="16">
        <f t="shared" si="1"/>
        <v>27</v>
      </c>
      <c r="U19" s="205">
        <v>494</v>
      </c>
      <c r="V19" s="16">
        <f t="shared" si="2"/>
        <v>4446</v>
      </c>
      <c r="W19" s="7">
        <v>2</v>
      </c>
      <c r="X19" s="213" t="s">
        <v>39</v>
      </c>
      <c r="Y19" s="213" t="s">
        <v>50</v>
      </c>
      <c r="Z19" s="213" t="s">
        <v>84</v>
      </c>
      <c r="AA19" s="213" t="s">
        <v>90</v>
      </c>
      <c r="AB19" s="39" t="s">
        <v>334</v>
      </c>
      <c r="AE19" s="35" t="s">
        <v>89</v>
      </c>
      <c r="AP19" s="43" t="s">
        <v>112</v>
      </c>
      <c r="AR19" s="30" t="s">
        <v>126</v>
      </c>
      <c r="AV19" s="23" t="s">
        <v>90</v>
      </c>
    </row>
    <row r="20" spans="1:48" x14ac:dyDescent="0.15">
      <c r="A20" s="15" t="s">
        <v>331</v>
      </c>
      <c r="B20" s="15" t="s">
        <v>332</v>
      </c>
      <c r="C20" s="15">
        <v>2018</v>
      </c>
      <c r="D20" s="37" t="s">
        <v>337</v>
      </c>
      <c r="E20" s="15" t="s">
        <v>143</v>
      </c>
      <c r="F20" s="7" t="s">
        <v>152</v>
      </c>
      <c r="G20" s="7" t="s">
        <v>36</v>
      </c>
      <c r="H20" s="15" t="s">
        <v>155</v>
      </c>
      <c r="I20" s="205" t="s">
        <v>153</v>
      </c>
      <c r="J20" s="15" t="s">
        <v>38</v>
      </c>
      <c r="K20" s="7" t="s">
        <v>154</v>
      </c>
      <c r="L20" s="7">
        <v>1</v>
      </c>
      <c r="N20" s="7">
        <v>1</v>
      </c>
      <c r="O20" s="7">
        <v>0.89500000000000002</v>
      </c>
      <c r="P20" s="34">
        <v>0.8</v>
      </c>
      <c r="Q20" s="52">
        <f t="shared" si="0"/>
        <v>0.84750000000000003</v>
      </c>
      <c r="R20" s="7">
        <v>13.2</v>
      </c>
      <c r="S20" s="7">
        <v>129</v>
      </c>
      <c r="T20" s="16">
        <f t="shared" si="1"/>
        <v>25</v>
      </c>
      <c r="U20" s="7">
        <v>105</v>
      </c>
      <c r="V20" s="16">
        <f t="shared" si="2"/>
        <v>2625</v>
      </c>
      <c r="W20" s="7">
        <v>3</v>
      </c>
      <c r="X20" s="213" t="s">
        <v>39</v>
      </c>
      <c r="Y20" s="213" t="s">
        <v>50</v>
      </c>
      <c r="Z20" s="213" t="s">
        <v>90</v>
      </c>
      <c r="AA20" s="213" t="s">
        <v>84</v>
      </c>
      <c r="AB20" s="39" t="s">
        <v>334</v>
      </c>
      <c r="AE20" s="22"/>
      <c r="AP20" s="43" t="s">
        <v>113</v>
      </c>
      <c r="AR20" s="41" t="s">
        <v>105</v>
      </c>
      <c r="AV20" s="27" t="s">
        <v>135</v>
      </c>
    </row>
    <row r="21" spans="1:48" x14ac:dyDescent="0.15">
      <c r="A21" s="15" t="s">
        <v>331</v>
      </c>
      <c r="B21" s="15" t="s">
        <v>332</v>
      </c>
      <c r="C21" s="15">
        <v>2018</v>
      </c>
      <c r="D21" s="37" t="s">
        <v>337</v>
      </c>
      <c r="E21" s="15" t="s">
        <v>143</v>
      </c>
      <c r="F21" s="7" t="s">
        <v>152</v>
      </c>
      <c r="G21" s="7" t="s">
        <v>36</v>
      </c>
      <c r="H21" s="213" t="s">
        <v>155</v>
      </c>
      <c r="I21" s="205" t="s">
        <v>153</v>
      </c>
      <c r="J21" s="213" t="s">
        <v>38</v>
      </c>
      <c r="K21" s="205" t="s">
        <v>154</v>
      </c>
      <c r="L21" s="7">
        <v>2</v>
      </c>
      <c r="N21" s="7">
        <v>1</v>
      </c>
      <c r="O21" s="7">
        <v>0.75</v>
      </c>
      <c r="P21" s="7">
        <v>0.65</v>
      </c>
      <c r="Q21" s="52">
        <f t="shared" si="0"/>
        <v>0.7</v>
      </c>
      <c r="R21" s="7">
        <v>15.2</v>
      </c>
      <c r="S21" s="7">
        <v>125</v>
      </c>
      <c r="T21" s="16">
        <f t="shared" si="1"/>
        <v>27</v>
      </c>
      <c r="U21" s="205">
        <v>105</v>
      </c>
      <c r="V21" s="16">
        <f t="shared" si="2"/>
        <v>2835</v>
      </c>
      <c r="W21" s="7">
        <v>3</v>
      </c>
      <c r="X21" s="213" t="s">
        <v>39</v>
      </c>
      <c r="Y21" s="213" t="s">
        <v>50</v>
      </c>
      <c r="Z21" s="213" t="s">
        <v>90</v>
      </c>
      <c r="AA21" s="213" t="s">
        <v>84</v>
      </c>
      <c r="AB21" s="39" t="s">
        <v>334</v>
      </c>
      <c r="AE21" s="22"/>
      <c r="AP21" s="43" t="s">
        <v>114</v>
      </c>
      <c r="AR21" s="41" t="s">
        <v>68</v>
      </c>
      <c r="AV21" s="27" t="s">
        <v>136</v>
      </c>
    </row>
    <row r="22" spans="1:48" x14ac:dyDescent="0.15">
      <c r="A22" s="15" t="s">
        <v>331</v>
      </c>
      <c r="B22" s="15" t="s">
        <v>332</v>
      </c>
      <c r="C22" s="15">
        <v>2018</v>
      </c>
      <c r="D22" s="37" t="s">
        <v>337</v>
      </c>
      <c r="E22" s="15" t="s">
        <v>143</v>
      </c>
      <c r="F22" s="7" t="s">
        <v>152</v>
      </c>
      <c r="G22" s="7" t="s">
        <v>36</v>
      </c>
      <c r="H22" s="213" t="s">
        <v>155</v>
      </c>
      <c r="I22" s="205" t="s">
        <v>153</v>
      </c>
      <c r="J22" s="213" t="s">
        <v>38</v>
      </c>
      <c r="K22" s="205" t="s">
        <v>154</v>
      </c>
      <c r="L22" s="7">
        <v>3</v>
      </c>
      <c r="N22" s="7">
        <v>1</v>
      </c>
      <c r="O22" s="34">
        <v>0.8</v>
      </c>
      <c r="P22" s="7">
        <v>0.65</v>
      </c>
      <c r="Q22" s="52">
        <f t="shared" si="0"/>
        <v>0.72500000000000009</v>
      </c>
      <c r="R22" s="7">
        <v>12.1</v>
      </c>
      <c r="S22" s="7">
        <v>127</v>
      </c>
      <c r="T22" s="16">
        <f t="shared" si="1"/>
        <v>27</v>
      </c>
      <c r="U22" s="205">
        <v>105</v>
      </c>
      <c r="V22" s="16">
        <f t="shared" si="2"/>
        <v>2835</v>
      </c>
      <c r="W22" s="7">
        <v>3</v>
      </c>
      <c r="X22" s="213" t="s">
        <v>39</v>
      </c>
      <c r="Y22" s="213" t="s">
        <v>50</v>
      </c>
      <c r="Z22" s="213" t="s">
        <v>90</v>
      </c>
      <c r="AA22" s="213" t="s">
        <v>84</v>
      </c>
      <c r="AB22" s="39" t="s">
        <v>334</v>
      </c>
      <c r="AE22" s="35"/>
      <c r="AP22" s="43" t="s">
        <v>115</v>
      </c>
      <c r="AR22" s="41" t="s">
        <v>83</v>
      </c>
      <c r="AV22" s="27"/>
    </row>
    <row r="23" spans="1:48" x14ac:dyDescent="0.15">
      <c r="A23" s="15" t="s">
        <v>331</v>
      </c>
      <c r="B23" s="15" t="s">
        <v>332</v>
      </c>
      <c r="C23" s="15">
        <v>2018</v>
      </c>
      <c r="D23" s="37" t="s">
        <v>337</v>
      </c>
      <c r="E23" s="7" t="s">
        <v>143</v>
      </c>
      <c r="F23" s="7" t="s">
        <v>152</v>
      </c>
      <c r="G23" s="7" t="s">
        <v>36</v>
      </c>
      <c r="H23" s="15" t="s">
        <v>166</v>
      </c>
      <c r="I23" s="205" t="s">
        <v>153</v>
      </c>
      <c r="J23" s="15" t="s">
        <v>38</v>
      </c>
      <c r="K23" s="7" t="s">
        <v>154</v>
      </c>
      <c r="L23" s="7">
        <v>1</v>
      </c>
      <c r="N23" s="7">
        <v>1</v>
      </c>
      <c r="O23" s="34">
        <v>0.5</v>
      </c>
      <c r="P23" s="7">
        <v>0.5</v>
      </c>
      <c r="Q23" s="52">
        <f t="shared" si="0"/>
        <v>0.5</v>
      </c>
      <c r="R23" s="7">
        <v>16.5</v>
      </c>
      <c r="S23" s="7">
        <v>168</v>
      </c>
      <c r="T23" s="16">
        <f t="shared" si="1"/>
        <v>18</v>
      </c>
      <c r="U23" s="7">
        <v>149</v>
      </c>
      <c r="V23" s="16">
        <f t="shared" si="2"/>
        <v>2682</v>
      </c>
      <c r="W23" s="7">
        <v>2</v>
      </c>
      <c r="X23" s="213" t="s">
        <v>39</v>
      </c>
      <c r="Y23" s="213" t="s">
        <v>50</v>
      </c>
      <c r="Z23" s="213" t="s">
        <v>90</v>
      </c>
      <c r="AA23" s="213" t="s">
        <v>84</v>
      </c>
      <c r="AB23" s="39" t="s">
        <v>334</v>
      </c>
      <c r="AE23" s="22"/>
      <c r="AP23" s="43" t="s">
        <v>137</v>
      </c>
      <c r="AR23" s="41" t="s">
        <v>61</v>
      </c>
      <c r="AV23" s="27"/>
    </row>
    <row r="24" spans="1:48" x14ac:dyDescent="0.15">
      <c r="A24" s="15" t="s">
        <v>331</v>
      </c>
      <c r="B24" s="15" t="s">
        <v>332</v>
      </c>
      <c r="C24" s="15">
        <v>2018</v>
      </c>
      <c r="D24" s="37" t="s">
        <v>337</v>
      </c>
      <c r="E24" s="7" t="s">
        <v>143</v>
      </c>
      <c r="F24" s="7" t="s">
        <v>152</v>
      </c>
      <c r="G24" s="7" t="s">
        <v>36</v>
      </c>
      <c r="H24" s="213" t="s">
        <v>166</v>
      </c>
      <c r="I24" s="205" t="s">
        <v>153</v>
      </c>
      <c r="J24" s="15" t="s">
        <v>38</v>
      </c>
      <c r="K24" s="7" t="s">
        <v>154</v>
      </c>
      <c r="L24" s="7">
        <v>2</v>
      </c>
      <c r="N24" s="7">
        <v>1</v>
      </c>
      <c r="O24" s="7">
        <v>0.5</v>
      </c>
      <c r="P24" s="7">
        <v>0.5</v>
      </c>
      <c r="Q24" s="52">
        <f t="shared" si="0"/>
        <v>0.5</v>
      </c>
      <c r="R24" s="7">
        <v>14.1</v>
      </c>
      <c r="S24" s="7">
        <v>157</v>
      </c>
      <c r="T24" s="16">
        <f t="shared" si="1"/>
        <v>18</v>
      </c>
      <c r="U24" s="205">
        <v>149</v>
      </c>
      <c r="V24" s="16">
        <f t="shared" si="2"/>
        <v>2682</v>
      </c>
      <c r="W24" s="7">
        <v>2</v>
      </c>
      <c r="X24" s="213" t="s">
        <v>39</v>
      </c>
      <c r="Y24" s="213" t="s">
        <v>50</v>
      </c>
      <c r="Z24" s="213" t="s">
        <v>90</v>
      </c>
      <c r="AA24" s="213" t="s">
        <v>84</v>
      </c>
      <c r="AB24" s="39" t="s">
        <v>334</v>
      </c>
      <c r="AE24" s="22"/>
      <c r="AP24" s="43" t="s">
        <v>138</v>
      </c>
      <c r="AR24" s="41" t="s">
        <v>91</v>
      </c>
      <c r="AV24" s="27"/>
    </row>
    <row r="25" spans="1:48" x14ac:dyDescent="0.15">
      <c r="A25" s="15" t="s">
        <v>331</v>
      </c>
      <c r="B25" s="15" t="s">
        <v>332</v>
      </c>
      <c r="C25" s="15">
        <v>2018</v>
      </c>
      <c r="D25" s="37" t="s">
        <v>337</v>
      </c>
      <c r="E25" s="7" t="s">
        <v>143</v>
      </c>
      <c r="F25" s="7" t="s">
        <v>152</v>
      </c>
      <c r="G25" s="7" t="s">
        <v>36</v>
      </c>
      <c r="H25" s="213" t="s">
        <v>166</v>
      </c>
      <c r="I25" s="205" t="s">
        <v>153</v>
      </c>
      <c r="J25" s="15" t="s">
        <v>38</v>
      </c>
      <c r="K25" s="7" t="s">
        <v>154</v>
      </c>
      <c r="L25" s="7">
        <v>3</v>
      </c>
      <c r="N25" s="7">
        <v>1</v>
      </c>
      <c r="O25" s="7">
        <v>0.6</v>
      </c>
      <c r="P25" s="7">
        <v>0.5</v>
      </c>
      <c r="Q25" s="52">
        <f t="shared" si="0"/>
        <v>0.55000000000000004</v>
      </c>
      <c r="R25" s="7">
        <v>17.5</v>
      </c>
      <c r="S25" s="7">
        <v>150</v>
      </c>
      <c r="T25" s="16">
        <f t="shared" si="1"/>
        <v>22</v>
      </c>
      <c r="U25" s="205">
        <v>149</v>
      </c>
      <c r="V25" s="16">
        <f t="shared" si="2"/>
        <v>3278</v>
      </c>
      <c r="W25" s="7">
        <v>2</v>
      </c>
      <c r="X25" s="213" t="s">
        <v>39</v>
      </c>
      <c r="Y25" s="213" t="s">
        <v>50</v>
      </c>
      <c r="Z25" s="213" t="s">
        <v>90</v>
      </c>
      <c r="AA25" s="213" t="s">
        <v>84</v>
      </c>
      <c r="AB25" s="39" t="s">
        <v>334</v>
      </c>
      <c r="AE25" s="35"/>
      <c r="AP25" s="43" t="s">
        <v>116</v>
      </c>
      <c r="AR25" s="42" t="s">
        <v>92</v>
      </c>
      <c r="AV25" s="27"/>
    </row>
    <row r="26" spans="1:48" x14ac:dyDescent="0.15">
      <c r="A26" s="15" t="s">
        <v>331</v>
      </c>
      <c r="B26" s="15" t="s">
        <v>332</v>
      </c>
      <c r="C26" s="15">
        <v>2018</v>
      </c>
      <c r="D26" s="37" t="s">
        <v>337</v>
      </c>
      <c r="E26" s="7" t="s">
        <v>131</v>
      </c>
      <c r="F26" s="7" t="s">
        <v>144</v>
      </c>
      <c r="G26" s="7" t="s">
        <v>36</v>
      </c>
      <c r="H26" s="15" t="s">
        <v>155</v>
      </c>
      <c r="I26" s="205" t="s">
        <v>153</v>
      </c>
      <c r="J26" s="15" t="s">
        <v>38</v>
      </c>
      <c r="K26" s="7" t="s">
        <v>154</v>
      </c>
      <c r="L26" s="7">
        <v>1</v>
      </c>
      <c r="N26" s="7">
        <v>1</v>
      </c>
      <c r="O26" s="7">
        <v>0.55000000000000004</v>
      </c>
      <c r="P26" s="7">
        <v>0.65</v>
      </c>
      <c r="Q26" s="52">
        <f t="shared" si="0"/>
        <v>0.60000000000000009</v>
      </c>
      <c r="R26" s="7">
        <v>13.4</v>
      </c>
      <c r="S26" s="7">
        <v>108</v>
      </c>
      <c r="T26" s="16">
        <f t="shared" si="1"/>
        <v>33</v>
      </c>
      <c r="U26" s="7">
        <v>59</v>
      </c>
      <c r="V26" s="16">
        <f t="shared" si="2"/>
        <v>1947</v>
      </c>
      <c r="W26" s="7">
        <v>4</v>
      </c>
      <c r="X26" s="15" t="s">
        <v>46</v>
      </c>
      <c r="Y26" s="213" t="s">
        <v>84</v>
      </c>
      <c r="Z26" s="213" t="s">
        <v>50</v>
      </c>
      <c r="AA26" s="213" t="s">
        <v>90</v>
      </c>
      <c r="AB26" s="39" t="s">
        <v>334</v>
      </c>
      <c r="AE26" s="35"/>
      <c r="AP26" s="43" t="s">
        <v>117</v>
      </c>
      <c r="AR26" s="23" t="s">
        <v>285</v>
      </c>
      <c r="AV26" s="28"/>
    </row>
    <row r="27" spans="1:48" x14ac:dyDescent="0.15">
      <c r="A27" s="15" t="s">
        <v>331</v>
      </c>
      <c r="B27" s="15" t="s">
        <v>332</v>
      </c>
      <c r="C27" s="15">
        <v>2018</v>
      </c>
      <c r="D27" s="37" t="s">
        <v>337</v>
      </c>
      <c r="E27" s="7" t="s">
        <v>131</v>
      </c>
      <c r="F27" s="7" t="s">
        <v>144</v>
      </c>
      <c r="G27" s="7" t="s">
        <v>36</v>
      </c>
      <c r="H27" s="213" t="s">
        <v>155</v>
      </c>
      <c r="I27" s="205" t="s">
        <v>153</v>
      </c>
      <c r="J27" s="15" t="s">
        <v>38</v>
      </c>
      <c r="K27" s="7" t="s">
        <v>154</v>
      </c>
      <c r="L27" s="7">
        <v>2</v>
      </c>
      <c r="N27" s="7">
        <v>1</v>
      </c>
      <c r="O27" s="7">
        <v>0.65</v>
      </c>
      <c r="P27" s="7">
        <v>0.5</v>
      </c>
      <c r="Q27" s="52">
        <f t="shared" si="0"/>
        <v>0.57499999999999996</v>
      </c>
      <c r="R27" s="7">
        <v>14.9</v>
      </c>
      <c r="S27" s="7">
        <v>113</v>
      </c>
      <c r="T27" s="16">
        <f t="shared" si="1"/>
        <v>30</v>
      </c>
      <c r="U27" s="205">
        <v>59</v>
      </c>
      <c r="V27" s="16">
        <f t="shared" si="2"/>
        <v>1770</v>
      </c>
      <c r="W27" s="7">
        <v>4</v>
      </c>
      <c r="X27" s="15" t="s">
        <v>46</v>
      </c>
      <c r="Y27" s="213" t="s">
        <v>84</v>
      </c>
      <c r="Z27" s="213" t="s">
        <v>50</v>
      </c>
      <c r="AA27" s="213" t="s">
        <v>90</v>
      </c>
      <c r="AB27" s="39" t="s">
        <v>334</v>
      </c>
      <c r="AE27" s="28"/>
      <c r="AP27" s="43" t="s">
        <v>118</v>
      </c>
      <c r="AR27" s="23"/>
    </row>
    <row r="28" spans="1:48" x14ac:dyDescent="0.15">
      <c r="A28" s="15" t="s">
        <v>331</v>
      </c>
      <c r="B28" s="15" t="s">
        <v>332</v>
      </c>
      <c r="C28" s="15">
        <v>2018</v>
      </c>
      <c r="D28" s="37" t="s">
        <v>337</v>
      </c>
      <c r="E28" s="7" t="s">
        <v>131</v>
      </c>
      <c r="F28" s="7" t="s">
        <v>144</v>
      </c>
      <c r="G28" s="7" t="s">
        <v>36</v>
      </c>
      <c r="H28" s="213" t="s">
        <v>155</v>
      </c>
      <c r="I28" s="205" t="s">
        <v>153</v>
      </c>
      <c r="J28" s="15" t="s">
        <v>38</v>
      </c>
      <c r="K28" s="7" t="s">
        <v>154</v>
      </c>
      <c r="L28" s="7">
        <v>3</v>
      </c>
      <c r="N28" s="7">
        <v>1</v>
      </c>
      <c r="O28" s="7">
        <v>0.5</v>
      </c>
      <c r="P28" s="7">
        <v>0.5</v>
      </c>
      <c r="Q28" s="52">
        <f t="shared" si="0"/>
        <v>0.5</v>
      </c>
      <c r="R28" s="7">
        <v>13.5</v>
      </c>
      <c r="S28" s="7">
        <v>117</v>
      </c>
      <c r="T28" s="16">
        <f t="shared" si="1"/>
        <v>30</v>
      </c>
      <c r="U28" s="205">
        <v>59</v>
      </c>
      <c r="V28" s="16">
        <f t="shared" si="2"/>
        <v>1770</v>
      </c>
      <c r="W28" s="7">
        <v>4</v>
      </c>
      <c r="X28" s="15" t="s">
        <v>46</v>
      </c>
      <c r="Y28" s="213" t="s">
        <v>84</v>
      </c>
      <c r="Z28" s="213" t="s">
        <v>50</v>
      </c>
      <c r="AA28" s="213" t="s">
        <v>90</v>
      </c>
      <c r="AB28" s="39" t="s">
        <v>334</v>
      </c>
      <c r="AP28" s="27"/>
      <c r="AR28" s="23"/>
    </row>
    <row r="29" spans="1:48" x14ac:dyDescent="0.15">
      <c r="A29" s="15" t="s">
        <v>331</v>
      </c>
      <c r="B29" s="15" t="s">
        <v>332</v>
      </c>
      <c r="C29" s="15">
        <v>2018</v>
      </c>
      <c r="D29" s="37" t="s">
        <v>337</v>
      </c>
      <c r="E29" s="7" t="s">
        <v>131</v>
      </c>
      <c r="F29" s="7" t="s">
        <v>144</v>
      </c>
      <c r="G29" s="7" t="s">
        <v>36</v>
      </c>
      <c r="H29" s="15" t="s">
        <v>166</v>
      </c>
      <c r="I29" s="205" t="s">
        <v>153</v>
      </c>
      <c r="J29" s="15" t="s">
        <v>38</v>
      </c>
      <c r="K29" s="7" t="s">
        <v>154</v>
      </c>
      <c r="L29" s="7">
        <v>1</v>
      </c>
      <c r="N29" s="7">
        <v>1</v>
      </c>
      <c r="O29" s="7">
        <v>0.5</v>
      </c>
      <c r="P29" s="7">
        <v>0.5</v>
      </c>
      <c r="Q29" s="52">
        <f t="shared" si="0"/>
        <v>0.5</v>
      </c>
      <c r="R29" s="7">
        <v>14.7</v>
      </c>
      <c r="S29" s="7">
        <v>152</v>
      </c>
      <c r="T29" s="16">
        <f t="shared" si="1"/>
        <v>18</v>
      </c>
      <c r="U29" s="7">
        <v>149</v>
      </c>
      <c r="V29" s="16">
        <f t="shared" si="2"/>
        <v>2682</v>
      </c>
      <c r="W29" s="7">
        <v>4</v>
      </c>
      <c r="X29" s="15" t="s">
        <v>46</v>
      </c>
      <c r="Y29" s="213" t="s">
        <v>84</v>
      </c>
      <c r="Z29" s="213" t="s">
        <v>50</v>
      </c>
      <c r="AA29" s="213" t="s">
        <v>90</v>
      </c>
      <c r="AB29" s="39" t="s">
        <v>334</v>
      </c>
      <c r="AP29" s="27"/>
      <c r="AR29" s="27"/>
      <c r="AV29" s="28"/>
    </row>
    <row r="30" spans="1:48" x14ac:dyDescent="0.15">
      <c r="A30" s="15" t="s">
        <v>331</v>
      </c>
      <c r="B30" s="15" t="s">
        <v>332</v>
      </c>
      <c r="C30" s="15">
        <v>2018</v>
      </c>
      <c r="D30" s="37" t="s">
        <v>337</v>
      </c>
      <c r="E30" s="7" t="s">
        <v>131</v>
      </c>
      <c r="F30" s="7" t="s">
        <v>144</v>
      </c>
      <c r="G30" s="7" t="s">
        <v>36</v>
      </c>
      <c r="H30" s="213" t="s">
        <v>166</v>
      </c>
      <c r="I30" s="205" t="s">
        <v>153</v>
      </c>
      <c r="J30" s="15" t="s">
        <v>38</v>
      </c>
      <c r="K30" s="7" t="s">
        <v>154</v>
      </c>
      <c r="L30" s="7">
        <v>2</v>
      </c>
      <c r="N30" s="7">
        <v>1</v>
      </c>
      <c r="O30" s="7">
        <v>0.65</v>
      </c>
      <c r="P30" s="7">
        <v>0.5</v>
      </c>
      <c r="Q30" s="52">
        <f t="shared" si="0"/>
        <v>0.57499999999999996</v>
      </c>
      <c r="R30" s="7">
        <v>16.3</v>
      </c>
      <c r="S30" s="7">
        <v>151</v>
      </c>
      <c r="T30" s="16">
        <f t="shared" si="1"/>
        <v>22</v>
      </c>
      <c r="U30" s="205">
        <v>149</v>
      </c>
      <c r="V30" s="16">
        <f t="shared" si="2"/>
        <v>3278</v>
      </c>
      <c r="W30" s="7">
        <v>4</v>
      </c>
      <c r="X30" s="15" t="s">
        <v>46</v>
      </c>
      <c r="Y30" s="213" t="s">
        <v>84</v>
      </c>
      <c r="Z30" s="213" t="s">
        <v>50</v>
      </c>
      <c r="AA30" s="213" t="s">
        <v>90</v>
      </c>
      <c r="AB30" s="39" t="s">
        <v>334</v>
      </c>
      <c r="AP30" s="27"/>
      <c r="AR30" s="27"/>
    </row>
    <row r="31" spans="1:48" x14ac:dyDescent="0.15">
      <c r="A31" s="15" t="s">
        <v>331</v>
      </c>
      <c r="B31" s="15" t="s">
        <v>332</v>
      </c>
      <c r="C31" s="15">
        <v>2018</v>
      </c>
      <c r="D31" s="37" t="s">
        <v>337</v>
      </c>
      <c r="E31" s="7" t="s">
        <v>131</v>
      </c>
      <c r="F31" s="7" t="s">
        <v>144</v>
      </c>
      <c r="G31" s="7" t="s">
        <v>36</v>
      </c>
      <c r="H31" s="213" t="s">
        <v>166</v>
      </c>
      <c r="I31" s="205" t="s">
        <v>153</v>
      </c>
      <c r="J31" s="15" t="s">
        <v>38</v>
      </c>
      <c r="K31" s="7" t="s">
        <v>154</v>
      </c>
      <c r="L31" s="7">
        <v>3</v>
      </c>
      <c r="N31" s="7">
        <v>1</v>
      </c>
      <c r="O31" s="7">
        <v>0.5</v>
      </c>
      <c r="P31" s="7">
        <v>0.5</v>
      </c>
      <c r="Q31" s="52">
        <f t="shared" si="0"/>
        <v>0.5</v>
      </c>
      <c r="R31" s="7">
        <v>15.7</v>
      </c>
      <c r="S31" s="7">
        <v>159</v>
      </c>
      <c r="T31" s="16">
        <f t="shared" si="1"/>
        <v>18</v>
      </c>
      <c r="U31" s="205">
        <v>149</v>
      </c>
      <c r="V31" s="16">
        <f t="shared" si="2"/>
        <v>2682</v>
      </c>
      <c r="W31" s="7">
        <v>4</v>
      </c>
      <c r="X31" s="15" t="s">
        <v>46</v>
      </c>
      <c r="Y31" s="213" t="s">
        <v>84</v>
      </c>
      <c r="Z31" s="213" t="s">
        <v>50</v>
      </c>
      <c r="AA31" s="213" t="s">
        <v>90</v>
      </c>
      <c r="AB31" s="39" t="s">
        <v>334</v>
      </c>
      <c r="AP31" s="27"/>
      <c r="AR31" s="27"/>
    </row>
    <row r="32" spans="1:48" x14ac:dyDescent="0.15">
      <c r="A32" s="15" t="s">
        <v>331</v>
      </c>
      <c r="B32" s="15" t="s">
        <v>332</v>
      </c>
      <c r="C32" s="15">
        <v>2018</v>
      </c>
      <c r="D32" s="37" t="s">
        <v>337</v>
      </c>
      <c r="E32" s="7" t="s">
        <v>139</v>
      </c>
      <c r="F32" s="7" t="s">
        <v>145</v>
      </c>
      <c r="G32" s="7" t="s">
        <v>36</v>
      </c>
      <c r="H32" s="15" t="s">
        <v>155</v>
      </c>
      <c r="I32" s="205" t="s">
        <v>153</v>
      </c>
      <c r="J32" s="15" t="s">
        <v>38</v>
      </c>
      <c r="K32" s="7" t="s">
        <v>154</v>
      </c>
      <c r="L32" s="7">
        <v>1</v>
      </c>
      <c r="N32" s="7">
        <v>1</v>
      </c>
      <c r="O32" s="7">
        <v>0.75</v>
      </c>
      <c r="P32" s="7">
        <v>0.7</v>
      </c>
      <c r="Q32" s="52">
        <f t="shared" si="0"/>
        <v>0.72499999999999998</v>
      </c>
      <c r="R32" s="7">
        <v>13.5</v>
      </c>
      <c r="S32" s="7">
        <v>141</v>
      </c>
      <c r="T32" s="16">
        <f t="shared" si="1"/>
        <v>22</v>
      </c>
      <c r="U32" s="7">
        <v>100</v>
      </c>
      <c r="V32" s="16">
        <f t="shared" si="2"/>
        <v>2200</v>
      </c>
      <c r="W32" s="7">
        <v>2</v>
      </c>
      <c r="X32" s="15" t="s">
        <v>46</v>
      </c>
      <c r="Y32" s="213" t="s">
        <v>84</v>
      </c>
      <c r="Z32" s="213" t="s">
        <v>50</v>
      </c>
      <c r="AA32" s="213" t="s">
        <v>90</v>
      </c>
      <c r="AB32" s="39" t="s">
        <v>334</v>
      </c>
      <c r="AP32" s="28"/>
      <c r="AR32" s="28"/>
    </row>
    <row r="33" spans="1:44" x14ac:dyDescent="0.15">
      <c r="A33" s="15" t="s">
        <v>331</v>
      </c>
      <c r="B33" s="15" t="s">
        <v>332</v>
      </c>
      <c r="C33" s="15">
        <v>2018</v>
      </c>
      <c r="D33" s="37" t="s">
        <v>337</v>
      </c>
      <c r="E33" s="7" t="s">
        <v>139</v>
      </c>
      <c r="F33" s="7" t="s">
        <v>145</v>
      </c>
      <c r="G33" s="7" t="s">
        <v>36</v>
      </c>
      <c r="H33" s="213" t="s">
        <v>155</v>
      </c>
      <c r="I33" s="205" t="s">
        <v>153</v>
      </c>
      <c r="J33" s="15" t="s">
        <v>38</v>
      </c>
      <c r="K33" s="7" t="s">
        <v>154</v>
      </c>
      <c r="L33" s="7">
        <v>2</v>
      </c>
      <c r="N33" s="7">
        <v>1</v>
      </c>
      <c r="O33" s="7">
        <v>0.7</v>
      </c>
      <c r="P33" s="7">
        <v>0.8</v>
      </c>
      <c r="Q33" s="52">
        <f t="shared" si="0"/>
        <v>0.75</v>
      </c>
      <c r="R33" s="7">
        <v>13.5</v>
      </c>
      <c r="S33" s="7">
        <v>140</v>
      </c>
      <c r="T33" s="16">
        <f t="shared" si="1"/>
        <v>22</v>
      </c>
      <c r="U33" s="205">
        <v>100</v>
      </c>
      <c r="V33" s="16">
        <f t="shared" si="2"/>
        <v>2200</v>
      </c>
      <c r="W33" s="7">
        <v>2</v>
      </c>
      <c r="X33" s="15" t="s">
        <v>46</v>
      </c>
      <c r="Y33" s="213" t="s">
        <v>84</v>
      </c>
      <c r="Z33" s="213" t="s">
        <v>50</v>
      </c>
      <c r="AA33" s="213" t="s">
        <v>90</v>
      </c>
      <c r="AB33" s="39" t="s">
        <v>334</v>
      </c>
    </row>
    <row r="34" spans="1:44" x14ac:dyDescent="0.15">
      <c r="A34" s="15" t="s">
        <v>331</v>
      </c>
      <c r="B34" s="15" t="s">
        <v>332</v>
      </c>
      <c r="C34" s="15">
        <v>2018</v>
      </c>
      <c r="D34" s="37" t="s">
        <v>337</v>
      </c>
      <c r="E34" s="7" t="s">
        <v>139</v>
      </c>
      <c r="F34" s="7" t="s">
        <v>145</v>
      </c>
      <c r="G34" s="7" t="s">
        <v>36</v>
      </c>
      <c r="H34" s="213" t="s">
        <v>155</v>
      </c>
      <c r="I34" s="205" t="s">
        <v>153</v>
      </c>
      <c r="J34" s="15" t="s">
        <v>38</v>
      </c>
      <c r="K34" s="7" t="s">
        <v>154</v>
      </c>
      <c r="L34" s="7">
        <v>3</v>
      </c>
      <c r="N34" s="7">
        <v>1</v>
      </c>
      <c r="O34" s="7">
        <v>0.7</v>
      </c>
      <c r="P34" s="7">
        <v>0.55000000000000004</v>
      </c>
      <c r="Q34" s="52">
        <f t="shared" si="0"/>
        <v>0.625</v>
      </c>
      <c r="R34" s="7">
        <v>14</v>
      </c>
      <c r="S34" s="7">
        <v>142</v>
      </c>
      <c r="T34" s="16">
        <f t="shared" si="1"/>
        <v>22</v>
      </c>
      <c r="U34" s="205">
        <v>100</v>
      </c>
      <c r="V34" s="16">
        <f t="shared" si="2"/>
        <v>2200</v>
      </c>
      <c r="W34" s="7">
        <v>2</v>
      </c>
      <c r="X34" s="15" t="s">
        <v>46</v>
      </c>
      <c r="Y34" s="213" t="s">
        <v>84</v>
      </c>
      <c r="Z34" s="213" t="s">
        <v>50</v>
      </c>
      <c r="AA34" s="213" t="s">
        <v>90</v>
      </c>
      <c r="AB34" s="39" t="s">
        <v>334</v>
      </c>
    </row>
    <row r="35" spans="1:44" x14ac:dyDescent="0.15">
      <c r="A35" s="15" t="s">
        <v>331</v>
      </c>
      <c r="B35" s="15" t="s">
        <v>332</v>
      </c>
      <c r="C35" s="15">
        <v>2018</v>
      </c>
      <c r="D35" s="37" t="s">
        <v>337</v>
      </c>
      <c r="E35" s="7" t="s">
        <v>139</v>
      </c>
      <c r="F35" s="7" t="s">
        <v>145</v>
      </c>
      <c r="G35" s="7" t="s">
        <v>36</v>
      </c>
      <c r="H35" s="213" t="s">
        <v>166</v>
      </c>
      <c r="I35" s="205" t="s">
        <v>153</v>
      </c>
      <c r="J35" s="15" t="s">
        <v>38</v>
      </c>
      <c r="K35" s="7" t="s">
        <v>154</v>
      </c>
      <c r="L35" s="7">
        <v>1</v>
      </c>
      <c r="N35" s="7">
        <v>1</v>
      </c>
      <c r="O35" s="7">
        <v>0.5</v>
      </c>
      <c r="P35" s="7">
        <v>0.5</v>
      </c>
      <c r="Q35" s="52">
        <f t="shared" si="0"/>
        <v>0.5</v>
      </c>
      <c r="R35" s="7">
        <v>14.4</v>
      </c>
      <c r="S35" s="7">
        <v>104</v>
      </c>
      <c r="T35" s="16">
        <f t="shared" si="1"/>
        <v>33</v>
      </c>
      <c r="U35" s="7">
        <v>100</v>
      </c>
      <c r="V35" s="16">
        <f t="shared" si="2"/>
        <v>3300</v>
      </c>
      <c r="W35" s="7">
        <v>5</v>
      </c>
      <c r="X35" s="15" t="s">
        <v>46</v>
      </c>
      <c r="Y35" s="213" t="s">
        <v>84</v>
      </c>
      <c r="Z35" s="213" t="s">
        <v>50</v>
      </c>
      <c r="AA35" s="213" t="s">
        <v>90</v>
      </c>
      <c r="AB35" s="39" t="s">
        <v>334</v>
      </c>
      <c r="AP35" s="28"/>
      <c r="AR35" s="28"/>
    </row>
    <row r="36" spans="1:44" x14ac:dyDescent="0.15">
      <c r="A36" s="15" t="s">
        <v>331</v>
      </c>
      <c r="B36" s="15" t="s">
        <v>332</v>
      </c>
      <c r="C36" s="15">
        <v>2018</v>
      </c>
      <c r="D36" s="37" t="s">
        <v>337</v>
      </c>
      <c r="E36" s="7" t="s">
        <v>139</v>
      </c>
      <c r="F36" s="7" t="s">
        <v>145</v>
      </c>
      <c r="G36" s="7" t="s">
        <v>36</v>
      </c>
      <c r="H36" s="213" t="s">
        <v>166</v>
      </c>
      <c r="I36" s="205" t="s">
        <v>153</v>
      </c>
      <c r="J36" s="15" t="s">
        <v>38</v>
      </c>
      <c r="K36" s="7" t="s">
        <v>154</v>
      </c>
      <c r="L36" s="7">
        <v>2</v>
      </c>
      <c r="N36" s="205">
        <v>1</v>
      </c>
      <c r="O36" s="7">
        <v>0.5</v>
      </c>
      <c r="P36" s="7">
        <v>0.5</v>
      </c>
      <c r="Q36" s="52">
        <f t="shared" si="0"/>
        <v>0.5</v>
      </c>
      <c r="R36" s="7">
        <v>13.8</v>
      </c>
      <c r="S36" s="7">
        <v>106</v>
      </c>
      <c r="T36" s="16">
        <f t="shared" si="1"/>
        <v>33</v>
      </c>
      <c r="U36" s="205">
        <v>100</v>
      </c>
      <c r="V36" s="16">
        <f t="shared" si="2"/>
        <v>3300</v>
      </c>
      <c r="W36" s="7">
        <v>5</v>
      </c>
      <c r="X36" s="15" t="s">
        <v>46</v>
      </c>
      <c r="Y36" s="213" t="s">
        <v>84</v>
      </c>
      <c r="Z36" s="213" t="s">
        <v>50</v>
      </c>
      <c r="AA36" s="213" t="s">
        <v>90</v>
      </c>
      <c r="AB36" s="39" t="s">
        <v>334</v>
      </c>
    </row>
    <row r="37" spans="1:44" x14ac:dyDescent="0.15">
      <c r="A37" s="15" t="s">
        <v>331</v>
      </c>
      <c r="B37" s="15" t="s">
        <v>332</v>
      </c>
      <c r="C37" s="15">
        <v>2018</v>
      </c>
      <c r="D37" s="37" t="s">
        <v>337</v>
      </c>
      <c r="E37" s="7" t="s">
        <v>139</v>
      </c>
      <c r="F37" s="7" t="s">
        <v>145</v>
      </c>
      <c r="G37" s="7" t="s">
        <v>36</v>
      </c>
      <c r="H37" s="213" t="s">
        <v>166</v>
      </c>
      <c r="I37" s="205" t="s">
        <v>153</v>
      </c>
      <c r="J37" s="15" t="s">
        <v>38</v>
      </c>
      <c r="K37" s="7" t="s">
        <v>154</v>
      </c>
      <c r="L37" s="7">
        <v>3</v>
      </c>
      <c r="N37" s="205">
        <v>1</v>
      </c>
      <c r="O37" s="34">
        <v>0.5</v>
      </c>
      <c r="P37" s="34">
        <v>0.5</v>
      </c>
      <c r="Q37" s="52">
        <f t="shared" si="0"/>
        <v>0.5</v>
      </c>
      <c r="R37" s="7">
        <v>18.8</v>
      </c>
      <c r="S37" s="7">
        <v>100</v>
      </c>
      <c r="T37" s="16">
        <f t="shared" si="1"/>
        <v>33</v>
      </c>
      <c r="U37" s="205">
        <v>100</v>
      </c>
      <c r="V37" s="16">
        <f t="shared" si="2"/>
        <v>3300</v>
      </c>
      <c r="W37" s="7">
        <v>5</v>
      </c>
      <c r="X37" s="15" t="s">
        <v>46</v>
      </c>
      <c r="Y37" s="213" t="s">
        <v>84</v>
      </c>
      <c r="Z37" s="213" t="s">
        <v>50</v>
      </c>
      <c r="AA37" s="213" t="s">
        <v>90</v>
      </c>
      <c r="AB37" s="39" t="s">
        <v>334</v>
      </c>
    </row>
    <row r="38" spans="1:44" x14ac:dyDescent="0.15">
      <c r="A38" s="15" t="s">
        <v>331</v>
      </c>
      <c r="B38" s="15" t="s">
        <v>332</v>
      </c>
      <c r="C38" s="15">
        <v>2018</v>
      </c>
      <c r="D38" s="37" t="s">
        <v>337</v>
      </c>
      <c r="E38" s="7" t="s">
        <v>311</v>
      </c>
      <c r="F38" s="7" t="s">
        <v>336</v>
      </c>
      <c r="G38" s="7" t="s">
        <v>36</v>
      </c>
      <c r="H38" s="213" t="s">
        <v>155</v>
      </c>
      <c r="I38" s="7" t="s">
        <v>153</v>
      </c>
      <c r="J38" s="213" t="s">
        <v>38</v>
      </c>
      <c r="K38" s="205" t="s">
        <v>154</v>
      </c>
      <c r="L38" s="7">
        <v>1</v>
      </c>
      <c r="N38" s="205">
        <v>1</v>
      </c>
      <c r="O38" s="34">
        <v>0.55000000000000004</v>
      </c>
      <c r="P38" s="34">
        <v>0.6</v>
      </c>
      <c r="Q38" s="52">
        <f t="shared" si="0"/>
        <v>0.57499999999999996</v>
      </c>
      <c r="R38" s="7">
        <v>14.4</v>
      </c>
      <c r="S38" s="7">
        <v>143</v>
      </c>
      <c r="T38" s="16">
        <f t="shared" si="1"/>
        <v>22</v>
      </c>
      <c r="U38" s="7">
        <v>70</v>
      </c>
      <c r="V38" s="16">
        <f t="shared" si="2"/>
        <v>1540</v>
      </c>
      <c r="W38" s="7">
        <v>6</v>
      </c>
      <c r="X38" s="15" t="s">
        <v>46</v>
      </c>
      <c r="Y38" s="213" t="s">
        <v>84</v>
      </c>
      <c r="Z38" s="213" t="s">
        <v>78</v>
      </c>
      <c r="AA38" s="213" t="s">
        <v>50</v>
      </c>
      <c r="AB38" s="39" t="s">
        <v>334</v>
      </c>
    </row>
    <row r="39" spans="1:44" x14ac:dyDescent="0.15">
      <c r="A39" s="15" t="s">
        <v>331</v>
      </c>
      <c r="B39" s="15" t="s">
        <v>332</v>
      </c>
      <c r="C39" s="15">
        <v>2018</v>
      </c>
      <c r="D39" s="37" t="s">
        <v>337</v>
      </c>
      <c r="E39" s="7" t="s">
        <v>311</v>
      </c>
      <c r="F39" s="7" t="s">
        <v>336</v>
      </c>
      <c r="G39" s="7" t="s">
        <v>36</v>
      </c>
      <c r="H39" s="213" t="s">
        <v>155</v>
      </c>
      <c r="I39" s="205" t="s">
        <v>153</v>
      </c>
      <c r="J39" s="213" t="s">
        <v>38</v>
      </c>
      <c r="K39" s="205" t="s">
        <v>154</v>
      </c>
      <c r="L39" s="7">
        <v>2</v>
      </c>
      <c r="N39" s="205">
        <v>1</v>
      </c>
      <c r="O39" s="7">
        <v>0.75</v>
      </c>
      <c r="P39" s="7">
        <v>0.75</v>
      </c>
      <c r="Q39" s="52">
        <f t="shared" si="0"/>
        <v>0.75</v>
      </c>
      <c r="R39" s="34">
        <v>13.8</v>
      </c>
      <c r="S39" s="7">
        <v>142</v>
      </c>
      <c r="T39" s="16">
        <f t="shared" si="1"/>
        <v>22</v>
      </c>
      <c r="U39" s="205">
        <v>70</v>
      </c>
      <c r="V39" s="16">
        <f t="shared" si="2"/>
        <v>1540</v>
      </c>
      <c r="W39" s="7">
        <v>6</v>
      </c>
      <c r="X39" s="15" t="s">
        <v>46</v>
      </c>
      <c r="Y39" s="213" t="s">
        <v>84</v>
      </c>
      <c r="Z39" s="213" t="s">
        <v>78</v>
      </c>
      <c r="AA39" s="213" t="s">
        <v>50</v>
      </c>
      <c r="AB39" s="39" t="s">
        <v>334</v>
      </c>
    </row>
    <row r="40" spans="1:44" x14ac:dyDescent="0.15">
      <c r="A40" s="15" t="s">
        <v>331</v>
      </c>
      <c r="B40" s="15" t="s">
        <v>332</v>
      </c>
      <c r="C40" s="15">
        <v>2018</v>
      </c>
      <c r="D40" s="37" t="s">
        <v>337</v>
      </c>
      <c r="E40" s="7" t="s">
        <v>311</v>
      </c>
      <c r="F40" s="7" t="s">
        <v>336</v>
      </c>
      <c r="G40" s="7" t="s">
        <v>36</v>
      </c>
      <c r="H40" s="213" t="s">
        <v>155</v>
      </c>
      <c r="I40" s="205" t="s">
        <v>153</v>
      </c>
      <c r="J40" s="213" t="s">
        <v>38</v>
      </c>
      <c r="K40" s="205" t="s">
        <v>154</v>
      </c>
      <c r="L40" s="7">
        <v>3</v>
      </c>
      <c r="N40" s="205">
        <v>1</v>
      </c>
      <c r="O40" s="7">
        <v>0.65</v>
      </c>
      <c r="P40" s="7">
        <v>0.7</v>
      </c>
      <c r="Q40" s="52">
        <f t="shared" si="0"/>
        <v>0.67500000000000004</v>
      </c>
      <c r="R40" s="7">
        <v>14.2</v>
      </c>
      <c r="S40" s="7">
        <v>145</v>
      </c>
      <c r="T40" s="16">
        <f t="shared" si="1"/>
        <v>22</v>
      </c>
      <c r="U40" s="205">
        <v>70</v>
      </c>
      <c r="V40" s="16">
        <f t="shared" si="2"/>
        <v>1540</v>
      </c>
      <c r="W40" s="7">
        <v>6</v>
      </c>
      <c r="X40" s="15" t="s">
        <v>46</v>
      </c>
      <c r="Y40" s="213" t="s">
        <v>84</v>
      </c>
      <c r="Z40" s="213" t="s">
        <v>78</v>
      </c>
      <c r="AA40" s="213" t="s">
        <v>50</v>
      </c>
      <c r="AB40" s="39" t="s">
        <v>334</v>
      </c>
    </row>
    <row r="41" spans="1:44" ht="12.75" customHeight="1" x14ac:dyDescent="0.15">
      <c r="A41" s="15" t="s">
        <v>331</v>
      </c>
      <c r="B41" s="15" t="s">
        <v>332</v>
      </c>
      <c r="C41" s="15">
        <v>2018</v>
      </c>
      <c r="D41" s="37" t="s">
        <v>337</v>
      </c>
      <c r="E41" s="7" t="s">
        <v>311</v>
      </c>
      <c r="F41" s="7" t="s">
        <v>336</v>
      </c>
      <c r="G41" s="7" t="s">
        <v>36</v>
      </c>
      <c r="H41" s="15" t="s">
        <v>166</v>
      </c>
      <c r="I41" s="7" t="s">
        <v>153</v>
      </c>
      <c r="J41" s="15" t="s">
        <v>38</v>
      </c>
      <c r="K41" s="7" t="s">
        <v>154</v>
      </c>
      <c r="L41" s="7">
        <v>1</v>
      </c>
      <c r="N41" s="205">
        <v>1</v>
      </c>
      <c r="O41" s="7">
        <v>0.65</v>
      </c>
      <c r="P41" s="7">
        <v>0.55000000000000004</v>
      </c>
      <c r="Q41" s="52">
        <f t="shared" si="0"/>
        <v>0.60000000000000009</v>
      </c>
      <c r="R41" s="7">
        <v>16.600000000000001</v>
      </c>
      <c r="S41" s="7">
        <v>127</v>
      </c>
      <c r="T41" s="16">
        <f t="shared" si="1"/>
        <v>27</v>
      </c>
      <c r="U41" s="7">
        <v>138</v>
      </c>
      <c r="V41" s="16">
        <f t="shared" si="2"/>
        <v>3726</v>
      </c>
      <c r="W41" s="7">
        <v>2</v>
      </c>
      <c r="X41" s="15" t="s">
        <v>46</v>
      </c>
      <c r="Y41" s="213" t="s">
        <v>84</v>
      </c>
      <c r="Z41" s="213" t="s">
        <v>78</v>
      </c>
      <c r="AA41" s="213" t="s">
        <v>50</v>
      </c>
      <c r="AB41" s="39" t="s">
        <v>334</v>
      </c>
    </row>
    <row r="42" spans="1:44" x14ac:dyDescent="0.15">
      <c r="A42" s="15" t="s">
        <v>331</v>
      </c>
      <c r="B42" s="15" t="s">
        <v>332</v>
      </c>
      <c r="C42" s="15">
        <v>2018</v>
      </c>
      <c r="D42" s="37" t="s">
        <v>337</v>
      </c>
      <c r="E42" s="7" t="s">
        <v>311</v>
      </c>
      <c r="F42" s="7" t="s">
        <v>336</v>
      </c>
      <c r="G42" s="7" t="s">
        <v>36</v>
      </c>
      <c r="H42" s="213" t="s">
        <v>166</v>
      </c>
      <c r="I42" s="205" t="s">
        <v>153</v>
      </c>
      <c r="J42" s="15" t="s">
        <v>38</v>
      </c>
      <c r="K42" s="7" t="s">
        <v>154</v>
      </c>
      <c r="L42" s="7">
        <v>2</v>
      </c>
      <c r="N42" s="205">
        <v>1</v>
      </c>
      <c r="O42" s="7">
        <v>0.5</v>
      </c>
      <c r="P42" s="7">
        <v>0.5</v>
      </c>
      <c r="Q42" s="52">
        <f t="shared" si="0"/>
        <v>0.5</v>
      </c>
      <c r="R42" s="7">
        <v>15.3</v>
      </c>
      <c r="S42" s="7">
        <v>122</v>
      </c>
      <c r="T42" s="16">
        <f t="shared" si="1"/>
        <v>27</v>
      </c>
      <c r="U42" s="205">
        <v>138</v>
      </c>
      <c r="V42" s="16">
        <f t="shared" si="2"/>
        <v>3726</v>
      </c>
      <c r="W42" s="7">
        <v>2</v>
      </c>
      <c r="X42" s="15" t="s">
        <v>46</v>
      </c>
      <c r="Y42" s="213" t="s">
        <v>84</v>
      </c>
      <c r="Z42" s="213" t="s">
        <v>78</v>
      </c>
      <c r="AA42" s="213" t="s">
        <v>50</v>
      </c>
      <c r="AB42" s="39" t="s">
        <v>334</v>
      </c>
    </row>
    <row r="43" spans="1:44" x14ac:dyDescent="0.15">
      <c r="A43" s="15" t="s">
        <v>331</v>
      </c>
      <c r="B43" s="15" t="s">
        <v>332</v>
      </c>
      <c r="C43" s="15">
        <v>2018</v>
      </c>
      <c r="D43" s="37" t="s">
        <v>337</v>
      </c>
      <c r="E43" s="7" t="s">
        <v>311</v>
      </c>
      <c r="F43" s="7" t="s">
        <v>336</v>
      </c>
      <c r="G43" s="7" t="s">
        <v>36</v>
      </c>
      <c r="H43" s="213" t="s">
        <v>166</v>
      </c>
      <c r="I43" s="205" t="s">
        <v>153</v>
      </c>
      <c r="J43" s="15" t="s">
        <v>38</v>
      </c>
      <c r="K43" s="7" t="s">
        <v>154</v>
      </c>
      <c r="L43" s="7">
        <v>3</v>
      </c>
      <c r="N43" s="205">
        <v>1</v>
      </c>
      <c r="O43" s="7">
        <v>0.5</v>
      </c>
      <c r="P43" s="7">
        <v>0.55000000000000004</v>
      </c>
      <c r="Q43" s="52">
        <f t="shared" si="0"/>
        <v>0.52500000000000002</v>
      </c>
      <c r="R43" s="7">
        <v>15.5</v>
      </c>
      <c r="S43" s="7">
        <v>126</v>
      </c>
      <c r="T43" s="16">
        <f t="shared" si="1"/>
        <v>27</v>
      </c>
      <c r="U43" s="205">
        <v>138</v>
      </c>
      <c r="V43" s="16">
        <f t="shared" si="2"/>
        <v>3726</v>
      </c>
      <c r="W43" s="7">
        <v>2</v>
      </c>
      <c r="X43" s="15" t="s">
        <v>46</v>
      </c>
      <c r="Y43" s="213" t="s">
        <v>84</v>
      </c>
      <c r="Z43" s="213" t="s">
        <v>78</v>
      </c>
      <c r="AA43" s="213" t="s">
        <v>50</v>
      </c>
      <c r="AB43" s="39" t="s">
        <v>334</v>
      </c>
    </row>
    <row r="44" spans="1:44" x14ac:dyDescent="0.15">
      <c r="A44" s="15" t="s">
        <v>331</v>
      </c>
      <c r="B44" s="15" t="s">
        <v>332</v>
      </c>
      <c r="C44" s="15">
        <v>2018</v>
      </c>
      <c r="D44" s="37" t="s">
        <v>337</v>
      </c>
      <c r="E44" s="7" t="s">
        <v>130</v>
      </c>
      <c r="F44" s="7" t="s">
        <v>146</v>
      </c>
      <c r="G44" s="7" t="s">
        <v>36</v>
      </c>
      <c r="H44" s="15" t="s">
        <v>155</v>
      </c>
      <c r="I44" s="205" t="s">
        <v>153</v>
      </c>
      <c r="J44" s="15" t="s">
        <v>38</v>
      </c>
      <c r="K44" s="7" t="s">
        <v>154</v>
      </c>
      <c r="L44" s="7">
        <v>1</v>
      </c>
      <c r="N44" s="205">
        <v>1</v>
      </c>
      <c r="O44" s="7">
        <v>0.85</v>
      </c>
      <c r="P44" s="7">
        <v>0.6</v>
      </c>
      <c r="Q44" s="52">
        <f t="shared" si="0"/>
        <v>0.72499999999999998</v>
      </c>
      <c r="R44" s="7">
        <v>15.1</v>
      </c>
      <c r="S44" s="7">
        <v>120</v>
      </c>
      <c r="T44" s="16">
        <f t="shared" si="1"/>
        <v>30</v>
      </c>
      <c r="U44" s="7">
        <v>102</v>
      </c>
      <c r="V44" s="16">
        <f t="shared" si="2"/>
        <v>3060</v>
      </c>
      <c r="W44" s="7">
        <v>5</v>
      </c>
      <c r="X44" s="15" t="s">
        <v>46</v>
      </c>
      <c r="Y44" s="213" t="s">
        <v>84</v>
      </c>
      <c r="Z44" s="213" t="s">
        <v>50</v>
      </c>
      <c r="AA44" s="213" t="s">
        <v>90</v>
      </c>
      <c r="AB44" s="39" t="s">
        <v>334</v>
      </c>
    </row>
    <row r="45" spans="1:44" x14ac:dyDescent="0.15">
      <c r="A45" s="15" t="s">
        <v>331</v>
      </c>
      <c r="B45" s="15" t="s">
        <v>332</v>
      </c>
      <c r="C45" s="15">
        <v>2018</v>
      </c>
      <c r="D45" s="37" t="s">
        <v>337</v>
      </c>
      <c r="E45" s="7" t="s">
        <v>130</v>
      </c>
      <c r="F45" s="7" t="s">
        <v>146</v>
      </c>
      <c r="G45" s="7" t="s">
        <v>36</v>
      </c>
      <c r="H45" s="213" t="s">
        <v>155</v>
      </c>
      <c r="I45" s="205" t="s">
        <v>153</v>
      </c>
      <c r="J45" s="15" t="s">
        <v>38</v>
      </c>
      <c r="K45" s="7" t="s">
        <v>154</v>
      </c>
      <c r="L45" s="7">
        <v>2</v>
      </c>
      <c r="N45" s="205">
        <v>1</v>
      </c>
      <c r="O45" s="7">
        <v>0.95</v>
      </c>
      <c r="P45" s="7">
        <v>0.85</v>
      </c>
      <c r="Q45" s="52">
        <f t="shared" si="0"/>
        <v>0.89999999999999991</v>
      </c>
      <c r="R45" s="7">
        <v>14.2</v>
      </c>
      <c r="S45" s="7">
        <v>124</v>
      </c>
      <c r="T45" s="16">
        <f t="shared" si="1"/>
        <v>27</v>
      </c>
      <c r="U45" s="205">
        <v>102</v>
      </c>
      <c r="V45" s="16">
        <f t="shared" si="2"/>
        <v>2754</v>
      </c>
      <c r="W45" s="7">
        <v>5</v>
      </c>
      <c r="X45" s="15" t="s">
        <v>46</v>
      </c>
      <c r="Y45" s="213" t="s">
        <v>84</v>
      </c>
      <c r="Z45" s="213" t="s">
        <v>50</v>
      </c>
      <c r="AA45" s="213" t="s">
        <v>90</v>
      </c>
      <c r="AB45" s="39" t="s">
        <v>334</v>
      </c>
    </row>
    <row r="46" spans="1:44" x14ac:dyDescent="0.15">
      <c r="A46" s="15" t="s">
        <v>331</v>
      </c>
      <c r="B46" s="15" t="s">
        <v>332</v>
      </c>
      <c r="C46" s="15">
        <v>2018</v>
      </c>
      <c r="D46" s="37" t="s">
        <v>337</v>
      </c>
      <c r="E46" s="7" t="s">
        <v>130</v>
      </c>
      <c r="F46" s="7" t="s">
        <v>146</v>
      </c>
      <c r="G46" s="7" t="s">
        <v>36</v>
      </c>
      <c r="H46" s="213" t="s">
        <v>155</v>
      </c>
      <c r="I46" s="205" t="s">
        <v>153</v>
      </c>
      <c r="J46" s="15" t="s">
        <v>38</v>
      </c>
      <c r="K46" s="7" t="s">
        <v>154</v>
      </c>
      <c r="L46" s="7">
        <v>3</v>
      </c>
      <c r="N46" s="7">
        <v>1</v>
      </c>
      <c r="O46" s="7">
        <v>0.8</v>
      </c>
      <c r="P46" s="34">
        <v>0.95</v>
      </c>
      <c r="Q46" s="52">
        <f t="shared" si="0"/>
        <v>0.875</v>
      </c>
      <c r="R46" s="7">
        <v>12.3</v>
      </c>
      <c r="S46" s="7">
        <v>133</v>
      </c>
      <c r="T46" s="16">
        <f t="shared" si="1"/>
        <v>25</v>
      </c>
      <c r="U46" s="205">
        <v>102</v>
      </c>
      <c r="V46" s="16">
        <f t="shared" si="2"/>
        <v>2550</v>
      </c>
      <c r="W46" s="7">
        <v>5</v>
      </c>
      <c r="X46" s="15" t="s">
        <v>46</v>
      </c>
      <c r="Y46" s="213" t="s">
        <v>84</v>
      </c>
      <c r="Z46" s="213" t="s">
        <v>50</v>
      </c>
      <c r="AA46" s="213" t="s">
        <v>90</v>
      </c>
      <c r="AB46" s="39" t="s">
        <v>334</v>
      </c>
    </row>
    <row r="47" spans="1:44" x14ac:dyDescent="0.15">
      <c r="A47" s="15" t="s">
        <v>331</v>
      </c>
      <c r="B47" s="15" t="s">
        <v>332</v>
      </c>
      <c r="C47" s="15">
        <v>2018</v>
      </c>
      <c r="D47" s="37" t="s">
        <v>337</v>
      </c>
      <c r="E47" s="7" t="s">
        <v>130</v>
      </c>
      <c r="F47" s="7" t="s">
        <v>146</v>
      </c>
      <c r="G47" s="7" t="s">
        <v>36</v>
      </c>
      <c r="H47" s="15" t="s">
        <v>166</v>
      </c>
      <c r="I47" s="205" t="s">
        <v>153</v>
      </c>
      <c r="J47" s="15" t="s">
        <v>38</v>
      </c>
      <c r="K47" s="7" t="s">
        <v>154</v>
      </c>
      <c r="L47" s="7">
        <v>1</v>
      </c>
      <c r="N47" s="7">
        <v>1</v>
      </c>
      <c r="O47" s="7">
        <v>0.5</v>
      </c>
      <c r="P47" s="7">
        <v>0.55000000000000004</v>
      </c>
      <c r="Q47" s="52">
        <f t="shared" si="0"/>
        <v>0.52500000000000002</v>
      </c>
      <c r="R47" s="7">
        <v>14.6</v>
      </c>
      <c r="S47" s="7">
        <v>128</v>
      </c>
      <c r="T47" s="16">
        <f t="shared" si="1"/>
        <v>27</v>
      </c>
      <c r="U47" s="7">
        <v>145</v>
      </c>
      <c r="V47" s="16">
        <f t="shared" si="2"/>
        <v>3915</v>
      </c>
      <c r="W47" s="7">
        <v>5</v>
      </c>
      <c r="X47" s="15" t="s">
        <v>46</v>
      </c>
      <c r="Y47" s="213" t="s">
        <v>84</v>
      </c>
      <c r="Z47" s="213" t="s">
        <v>50</v>
      </c>
      <c r="AA47" s="213" t="s">
        <v>90</v>
      </c>
      <c r="AB47" s="39" t="s">
        <v>334</v>
      </c>
    </row>
    <row r="48" spans="1:44" x14ac:dyDescent="0.15">
      <c r="A48" s="15" t="s">
        <v>331</v>
      </c>
      <c r="B48" s="15" t="s">
        <v>332</v>
      </c>
      <c r="C48" s="15">
        <v>2018</v>
      </c>
      <c r="D48" s="37" t="s">
        <v>337</v>
      </c>
      <c r="E48" s="7" t="s">
        <v>130</v>
      </c>
      <c r="F48" s="7" t="s">
        <v>146</v>
      </c>
      <c r="G48" s="7" t="s">
        <v>36</v>
      </c>
      <c r="H48" s="213" t="s">
        <v>166</v>
      </c>
      <c r="I48" s="205" t="s">
        <v>153</v>
      </c>
      <c r="J48" s="213" t="s">
        <v>38</v>
      </c>
      <c r="K48" s="205" t="s">
        <v>154</v>
      </c>
      <c r="L48" s="7">
        <v>2</v>
      </c>
      <c r="N48" s="7">
        <v>1</v>
      </c>
      <c r="O48" s="7">
        <v>0.6</v>
      </c>
      <c r="P48" s="7">
        <v>0.55000000000000004</v>
      </c>
      <c r="Q48" s="52">
        <f t="shared" si="0"/>
        <v>0.57499999999999996</v>
      </c>
      <c r="R48" s="7">
        <v>16.3</v>
      </c>
      <c r="S48" s="7">
        <v>130</v>
      </c>
      <c r="T48" s="16">
        <f t="shared" si="1"/>
        <v>25</v>
      </c>
      <c r="U48" s="205">
        <v>145</v>
      </c>
      <c r="V48" s="16">
        <f t="shared" si="2"/>
        <v>3625</v>
      </c>
      <c r="W48" s="7">
        <v>5</v>
      </c>
      <c r="X48" s="15" t="s">
        <v>46</v>
      </c>
      <c r="Y48" s="213" t="s">
        <v>84</v>
      </c>
      <c r="Z48" s="213" t="s">
        <v>50</v>
      </c>
      <c r="AA48" s="213" t="s">
        <v>90</v>
      </c>
      <c r="AB48" s="39" t="s">
        <v>334</v>
      </c>
    </row>
    <row r="49" spans="1:29" x14ac:dyDescent="0.15">
      <c r="A49" s="15" t="s">
        <v>331</v>
      </c>
      <c r="B49" s="15" t="s">
        <v>332</v>
      </c>
      <c r="C49" s="15">
        <v>2018</v>
      </c>
      <c r="D49" s="37" t="s">
        <v>337</v>
      </c>
      <c r="E49" s="7" t="s">
        <v>130</v>
      </c>
      <c r="F49" s="7" t="s">
        <v>146</v>
      </c>
      <c r="G49" s="7" t="s">
        <v>36</v>
      </c>
      <c r="H49" s="213" t="s">
        <v>166</v>
      </c>
      <c r="I49" s="205" t="s">
        <v>153</v>
      </c>
      <c r="J49" s="213" t="s">
        <v>38</v>
      </c>
      <c r="K49" s="205" t="s">
        <v>154</v>
      </c>
      <c r="L49" s="7">
        <v>3</v>
      </c>
      <c r="N49" s="7">
        <v>1</v>
      </c>
      <c r="O49" s="7">
        <v>0.5</v>
      </c>
      <c r="P49" s="34">
        <v>0.6</v>
      </c>
      <c r="Q49" s="52">
        <f t="shared" si="0"/>
        <v>0.55000000000000004</v>
      </c>
      <c r="R49" s="7">
        <v>14</v>
      </c>
      <c r="S49" s="7">
        <v>148</v>
      </c>
      <c r="T49" s="16">
        <f t="shared" si="1"/>
        <v>22</v>
      </c>
      <c r="U49" s="205">
        <v>145</v>
      </c>
      <c r="V49" s="16">
        <f t="shared" si="2"/>
        <v>3190</v>
      </c>
      <c r="W49" s="7">
        <v>5</v>
      </c>
      <c r="X49" s="15" t="s">
        <v>46</v>
      </c>
      <c r="Y49" s="213" t="s">
        <v>84</v>
      </c>
      <c r="Z49" s="213" t="s">
        <v>50</v>
      </c>
      <c r="AA49" s="213" t="s">
        <v>90</v>
      </c>
      <c r="AB49" s="39" t="s">
        <v>334</v>
      </c>
    </row>
    <row r="50" spans="1:29" x14ac:dyDescent="0.15">
      <c r="A50" s="15" t="s">
        <v>331</v>
      </c>
      <c r="B50" s="15" t="s">
        <v>332</v>
      </c>
      <c r="C50" s="15">
        <v>2018</v>
      </c>
      <c r="D50" s="37" t="s">
        <v>337</v>
      </c>
      <c r="E50" s="7" t="s">
        <v>132</v>
      </c>
      <c r="F50" s="7" t="s">
        <v>147</v>
      </c>
      <c r="G50" s="7" t="s">
        <v>36</v>
      </c>
      <c r="H50" s="15" t="s">
        <v>155</v>
      </c>
      <c r="I50" s="205" t="s">
        <v>153</v>
      </c>
      <c r="J50" s="15" t="s">
        <v>38</v>
      </c>
      <c r="K50" s="7" t="s">
        <v>154</v>
      </c>
      <c r="L50" s="7">
        <v>1</v>
      </c>
      <c r="N50" s="7">
        <v>1</v>
      </c>
      <c r="O50" s="7">
        <v>0.6</v>
      </c>
      <c r="P50" s="7">
        <v>0.8</v>
      </c>
      <c r="Q50" s="52">
        <f t="shared" si="0"/>
        <v>0.7</v>
      </c>
      <c r="R50" s="7">
        <v>12.4</v>
      </c>
      <c r="S50" s="7">
        <v>145</v>
      </c>
      <c r="T50" s="16">
        <f t="shared" si="1"/>
        <v>22</v>
      </c>
      <c r="U50" s="205">
        <v>105</v>
      </c>
      <c r="V50" s="16">
        <f t="shared" si="2"/>
        <v>2310</v>
      </c>
      <c r="W50" s="7">
        <v>5</v>
      </c>
      <c r="X50" s="15" t="s">
        <v>46</v>
      </c>
      <c r="Y50" s="213" t="s">
        <v>84</v>
      </c>
      <c r="Z50" s="213" t="s">
        <v>50</v>
      </c>
      <c r="AA50" s="213" t="s">
        <v>90</v>
      </c>
      <c r="AB50" s="39" t="s">
        <v>334</v>
      </c>
    </row>
    <row r="51" spans="1:29" x14ac:dyDescent="0.15">
      <c r="A51" s="15" t="s">
        <v>331</v>
      </c>
      <c r="B51" s="15" t="s">
        <v>332</v>
      </c>
      <c r="C51" s="15">
        <v>2018</v>
      </c>
      <c r="D51" s="37" t="s">
        <v>337</v>
      </c>
      <c r="E51" s="7" t="s">
        <v>132</v>
      </c>
      <c r="F51" s="7" t="s">
        <v>147</v>
      </c>
      <c r="G51" s="7" t="s">
        <v>36</v>
      </c>
      <c r="H51" s="213" t="s">
        <v>155</v>
      </c>
      <c r="I51" s="205" t="s">
        <v>153</v>
      </c>
      <c r="J51" s="15" t="s">
        <v>38</v>
      </c>
      <c r="K51" s="7" t="s">
        <v>154</v>
      </c>
      <c r="L51" s="7">
        <v>2</v>
      </c>
      <c r="N51" s="7">
        <v>1</v>
      </c>
      <c r="O51" s="7">
        <v>0.7</v>
      </c>
      <c r="P51" s="7">
        <v>0.85</v>
      </c>
      <c r="Q51" s="52">
        <f t="shared" si="0"/>
        <v>0.77499999999999991</v>
      </c>
      <c r="R51" s="7">
        <v>13.9</v>
      </c>
      <c r="S51" s="7">
        <v>145</v>
      </c>
      <c r="T51" s="16">
        <f t="shared" si="1"/>
        <v>22</v>
      </c>
      <c r="U51" s="205">
        <v>105</v>
      </c>
      <c r="V51" s="16">
        <f t="shared" si="2"/>
        <v>2310</v>
      </c>
      <c r="W51" s="7">
        <v>5</v>
      </c>
      <c r="X51" s="15" t="s">
        <v>46</v>
      </c>
      <c r="Y51" s="213" t="s">
        <v>84</v>
      </c>
      <c r="Z51" s="213" t="s">
        <v>50</v>
      </c>
      <c r="AA51" s="213" t="s">
        <v>90</v>
      </c>
      <c r="AB51" s="39" t="s">
        <v>334</v>
      </c>
    </row>
    <row r="52" spans="1:29" x14ac:dyDescent="0.15">
      <c r="A52" s="15" t="s">
        <v>331</v>
      </c>
      <c r="B52" s="15" t="s">
        <v>332</v>
      </c>
      <c r="C52" s="15">
        <v>2018</v>
      </c>
      <c r="D52" s="37" t="s">
        <v>337</v>
      </c>
      <c r="E52" s="7" t="s">
        <v>132</v>
      </c>
      <c r="F52" s="7" t="s">
        <v>147</v>
      </c>
      <c r="G52" s="7" t="s">
        <v>36</v>
      </c>
      <c r="H52" s="213" t="s">
        <v>155</v>
      </c>
      <c r="I52" s="205" t="s">
        <v>153</v>
      </c>
      <c r="J52" s="15" t="s">
        <v>38</v>
      </c>
      <c r="K52" s="7" t="s">
        <v>154</v>
      </c>
      <c r="L52" s="7">
        <v>3</v>
      </c>
      <c r="N52" s="7">
        <v>1</v>
      </c>
      <c r="O52" s="7">
        <v>0.6</v>
      </c>
      <c r="P52" s="7">
        <v>0.65</v>
      </c>
      <c r="Q52" s="52">
        <f t="shared" si="0"/>
        <v>0.625</v>
      </c>
      <c r="R52" s="7">
        <v>14.9</v>
      </c>
      <c r="S52" s="7">
        <v>146</v>
      </c>
      <c r="T52" s="16">
        <f t="shared" si="1"/>
        <v>22</v>
      </c>
      <c r="U52" s="205">
        <v>105</v>
      </c>
      <c r="V52" s="16">
        <f t="shared" si="2"/>
        <v>2310</v>
      </c>
      <c r="W52" s="7">
        <v>5</v>
      </c>
      <c r="X52" s="15" t="s">
        <v>46</v>
      </c>
      <c r="Y52" s="213" t="s">
        <v>84</v>
      </c>
      <c r="Z52" s="213" t="s">
        <v>50</v>
      </c>
      <c r="AA52" s="213" t="s">
        <v>90</v>
      </c>
      <c r="AB52" s="39" t="s">
        <v>334</v>
      </c>
    </row>
    <row r="53" spans="1:29" x14ac:dyDescent="0.15">
      <c r="A53" s="15" t="s">
        <v>331</v>
      </c>
      <c r="B53" s="15" t="s">
        <v>332</v>
      </c>
      <c r="C53" s="15">
        <v>2018</v>
      </c>
      <c r="D53" s="37" t="s">
        <v>337</v>
      </c>
      <c r="E53" s="7" t="s">
        <v>140</v>
      </c>
      <c r="F53" s="7" t="s">
        <v>148</v>
      </c>
      <c r="G53" s="7" t="s">
        <v>36</v>
      </c>
      <c r="H53" s="15" t="s">
        <v>155</v>
      </c>
      <c r="I53" s="205" t="s">
        <v>153</v>
      </c>
      <c r="J53" s="15" t="s">
        <v>38</v>
      </c>
      <c r="K53" s="7" t="s">
        <v>154</v>
      </c>
      <c r="L53" s="7">
        <v>1</v>
      </c>
      <c r="N53" s="7">
        <v>1</v>
      </c>
      <c r="O53" s="7">
        <v>0.5</v>
      </c>
      <c r="P53" s="7">
        <v>0.5</v>
      </c>
      <c r="Q53" s="52">
        <f t="shared" si="0"/>
        <v>0.5</v>
      </c>
      <c r="R53" s="7">
        <v>13.9</v>
      </c>
      <c r="S53" s="7">
        <v>125</v>
      </c>
      <c r="T53" s="16">
        <f t="shared" si="1"/>
        <v>27</v>
      </c>
      <c r="U53" s="7">
        <v>73</v>
      </c>
      <c r="V53" s="16">
        <f t="shared" si="2"/>
        <v>1971</v>
      </c>
      <c r="W53" s="7">
        <v>8</v>
      </c>
      <c r="X53" s="15" t="s">
        <v>46</v>
      </c>
      <c r="Y53" s="213" t="s">
        <v>84</v>
      </c>
      <c r="Z53" s="213" t="s">
        <v>50</v>
      </c>
      <c r="AA53" s="213" t="s">
        <v>90</v>
      </c>
      <c r="AB53" s="39" t="s">
        <v>334</v>
      </c>
      <c r="AC53" s="36"/>
    </row>
    <row r="54" spans="1:29" x14ac:dyDescent="0.15">
      <c r="A54" s="15" t="s">
        <v>331</v>
      </c>
      <c r="B54" s="15" t="s">
        <v>332</v>
      </c>
      <c r="C54" s="15">
        <v>2018</v>
      </c>
      <c r="D54" s="37" t="s">
        <v>337</v>
      </c>
      <c r="E54" s="7" t="s">
        <v>140</v>
      </c>
      <c r="F54" s="7" t="s">
        <v>148</v>
      </c>
      <c r="G54" s="7" t="s">
        <v>36</v>
      </c>
      <c r="H54" s="213" t="s">
        <v>155</v>
      </c>
      <c r="I54" s="205" t="s">
        <v>153</v>
      </c>
      <c r="J54" s="213" t="s">
        <v>38</v>
      </c>
      <c r="K54" s="7" t="s">
        <v>154</v>
      </c>
      <c r="L54" s="7">
        <v>2</v>
      </c>
      <c r="N54" s="7">
        <v>1</v>
      </c>
      <c r="O54" s="7">
        <v>0.6</v>
      </c>
      <c r="P54" s="7">
        <v>0.75</v>
      </c>
      <c r="Q54" s="52">
        <f t="shared" si="0"/>
        <v>0.67500000000000004</v>
      </c>
      <c r="R54" s="7">
        <v>14.2</v>
      </c>
      <c r="S54" s="7">
        <v>121</v>
      </c>
      <c r="T54" s="16">
        <f t="shared" si="1"/>
        <v>27</v>
      </c>
      <c r="U54" s="205">
        <v>73</v>
      </c>
      <c r="V54" s="16">
        <f t="shared" si="2"/>
        <v>1971</v>
      </c>
      <c r="W54" s="7">
        <v>8</v>
      </c>
      <c r="X54" s="15" t="s">
        <v>46</v>
      </c>
      <c r="Y54" s="213" t="s">
        <v>84</v>
      </c>
      <c r="Z54" s="213" t="s">
        <v>50</v>
      </c>
      <c r="AA54" s="213" t="s">
        <v>90</v>
      </c>
      <c r="AB54" s="39" t="s">
        <v>334</v>
      </c>
      <c r="AC54" s="36"/>
    </row>
    <row r="55" spans="1:29" x14ac:dyDescent="0.15">
      <c r="A55" s="15" t="s">
        <v>331</v>
      </c>
      <c r="B55" s="15" t="s">
        <v>332</v>
      </c>
      <c r="C55" s="15">
        <v>2018</v>
      </c>
      <c r="D55" s="37" t="s">
        <v>337</v>
      </c>
      <c r="E55" s="7" t="s">
        <v>140</v>
      </c>
      <c r="F55" s="7" t="s">
        <v>148</v>
      </c>
      <c r="G55" s="7" t="s">
        <v>36</v>
      </c>
      <c r="H55" s="213" t="s">
        <v>155</v>
      </c>
      <c r="I55" s="205" t="s">
        <v>153</v>
      </c>
      <c r="J55" s="213" t="s">
        <v>38</v>
      </c>
      <c r="K55" s="7" t="s">
        <v>154</v>
      </c>
      <c r="L55" s="7">
        <v>3</v>
      </c>
      <c r="N55" s="205">
        <v>1</v>
      </c>
      <c r="O55" s="7">
        <v>0.7</v>
      </c>
      <c r="P55" s="7">
        <v>0.85</v>
      </c>
      <c r="Q55" s="52">
        <f t="shared" si="0"/>
        <v>0.77499999999999991</v>
      </c>
      <c r="R55" s="7">
        <v>15.8</v>
      </c>
      <c r="S55" s="7">
        <v>120</v>
      </c>
      <c r="T55" s="16">
        <f t="shared" si="1"/>
        <v>30</v>
      </c>
      <c r="U55" s="205">
        <v>73</v>
      </c>
      <c r="V55" s="16">
        <f t="shared" si="2"/>
        <v>2190</v>
      </c>
      <c r="W55" s="7">
        <v>8</v>
      </c>
      <c r="X55" s="15" t="s">
        <v>46</v>
      </c>
      <c r="Y55" s="213" t="s">
        <v>84</v>
      </c>
      <c r="Z55" s="213" t="s">
        <v>50</v>
      </c>
      <c r="AA55" s="213" t="s">
        <v>90</v>
      </c>
      <c r="AB55" s="39" t="s">
        <v>334</v>
      </c>
      <c r="AC55" s="36"/>
    </row>
    <row r="56" spans="1:29" x14ac:dyDescent="0.15">
      <c r="A56" s="15" t="s">
        <v>331</v>
      </c>
      <c r="B56" s="15" t="s">
        <v>332</v>
      </c>
      <c r="C56" s="15">
        <v>2018</v>
      </c>
      <c r="D56" s="37" t="s">
        <v>337</v>
      </c>
      <c r="E56" s="7" t="s">
        <v>140</v>
      </c>
      <c r="F56" s="7" t="s">
        <v>148</v>
      </c>
      <c r="G56" s="7" t="s">
        <v>36</v>
      </c>
      <c r="H56" s="15" t="s">
        <v>166</v>
      </c>
      <c r="I56" s="205" t="s">
        <v>153</v>
      </c>
      <c r="J56" s="15" t="s">
        <v>38</v>
      </c>
      <c r="K56" s="7" t="s">
        <v>154</v>
      </c>
      <c r="L56" s="7">
        <v>1</v>
      </c>
      <c r="N56" s="205">
        <v>1</v>
      </c>
      <c r="O56" s="7">
        <v>0.6</v>
      </c>
      <c r="P56" s="7">
        <v>0.5</v>
      </c>
      <c r="Q56" s="52">
        <f t="shared" si="0"/>
        <v>0.55000000000000004</v>
      </c>
      <c r="R56" s="7">
        <v>16.2</v>
      </c>
      <c r="S56" s="7">
        <v>123</v>
      </c>
      <c r="T56" s="16">
        <f t="shared" si="1"/>
        <v>27</v>
      </c>
      <c r="U56" s="205">
        <v>138</v>
      </c>
      <c r="V56" s="16">
        <f t="shared" si="2"/>
        <v>3726</v>
      </c>
      <c r="W56" s="7">
        <v>6</v>
      </c>
      <c r="X56" s="15" t="s">
        <v>46</v>
      </c>
      <c r="Y56" s="213" t="s">
        <v>84</v>
      </c>
      <c r="Z56" s="213" t="s">
        <v>50</v>
      </c>
      <c r="AA56" s="213" t="s">
        <v>90</v>
      </c>
      <c r="AB56" s="39" t="s">
        <v>334</v>
      </c>
    </row>
    <row r="57" spans="1:29" x14ac:dyDescent="0.15">
      <c r="A57" s="15" t="s">
        <v>331</v>
      </c>
      <c r="B57" s="15" t="s">
        <v>332</v>
      </c>
      <c r="C57" s="15">
        <v>2018</v>
      </c>
      <c r="D57" s="37" t="s">
        <v>337</v>
      </c>
      <c r="E57" s="7" t="s">
        <v>140</v>
      </c>
      <c r="F57" s="7" t="s">
        <v>148</v>
      </c>
      <c r="G57" s="7" t="s">
        <v>36</v>
      </c>
      <c r="H57" s="213" t="s">
        <v>166</v>
      </c>
      <c r="I57" s="205" t="s">
        <v>153</v>
      </c>
      <c r="J57" s="15" t="s">
        <v>38</v>
      </c>
      <c r="K57" s="7" t="s">
        <v>154</v>
      </c>
      <c r="L57" s="7">
        <v>2</v>
      </c>
      <c r="N57" s="205">
        <v>1</v>
      </c>
      <c r="O57" s="7">
        <v>0.55000000000000004</v>
      </c>
      <c r="P57" s="7">
        <v>0.7</v>
      </c>
      <c r="Q57" s="52">
        <f t="shared" si="0"/>
        <v>0.625</v>
      </c>
      <c r="R57" s="7">
        <v>15.7</v>
      </c>
      <c r="S57" s="7">
        <v>124</v>
      </c>
      <c r="T57" s="16">
        <f t="shared" si="1"/>
        <v>27</v>
      </c>
      <c r="U57" s="205">
        <v>138</v>
      </c>
      <c r="V57" s="16">
        <f t="shared" si="2"/>
        <v>3726</v>
      </c>
      <c r="W57" s="7">
        <v>6</v>
      </c>
      <c r="X57" s="15" t="s">
        <v>46</v>
      </c>
      <c r="Y57" s="213" t="s">
        <v>84</v>
      </c>
      <c r="Z57" s="213" t="s">
        <v>50</v>
      </c>
      <c r="AA57" s="213" t="s">
        <v>90</v>
      </c>
      <c r="AB57" s="39" t="s">
        <v>334</v>
      </c>
    </row>
    <row r="58" spans="1:29" x14ac:dyDescent="0.15">
      <c r="A58" s="15" t="s">
        <v>331</v>
      </c>
      <c r="B58" s="15" t="s">
        <v>332</v>
      </c>
      <c r="C58" s="15">
        <v>2018</v>
      </c>
      <c r="D58" s="37" t="s">
        <v>337</v>
      </c>
      <c r="E58" s="7" t="s">
        <v>140</v>
      </c>
      <c r="F58" s="7" t="s">
        <v>148</v>
      </c>
      <c r="G58" s="7" t="s">
        <v>36</v>
      </c>
      <c r="H58" s="213" t="s">
        <v>166</v>
      </c>
      <c r="I58" s="205" t="s">
        <v>153</v>
      </c>
      <c r="J58" s="15" t="s">
        <v>38</v>
      </c>
      <c r="K58" s="7" t="s">
        <v>154</v>
      </c>
      <c r="L58" s="7">
        <v>3</v>
      </c>
      <c r="N58" s="205">
        <v>1</v>
      </c>
      <c r="O58" s="7">
        <v>0.65</v>
      </c>
      <c r="P58" s="7">
        <v>0.7</v>
      </c>
      <c r="Q58" s="52">
        <f t="shared" si="0"/>
        <v>0.67500000000000004</v>
      </c>
      <c r="R58" s="7">
        <v>16.899999999999999</v>
      </c>
      <c r="S58" s="7">
        <v>123</v>
      </c>
      <c r="T58" s="16">
        <f t="shared" si="1"/>
        <v>27</v>
      </c>
      <c r="U58" s="205">
        <v>138</v>
      </c>
      <c r="V58" s="16">
        <f t="shared" si="2"/>
        <v>3726</v>
      </c>
      <c r="W58" s="7">
        <v>6</v>
      </c>
      <c r="X58" s="15" t="s">
        <v>46</v>
      </c>
      <c r="Y58" s="213" t="s">
        <v>84</v>
      </c>
      <c r="Z58" s="213" t="s">
        <v>50</v>
      </c>
      <c r="AA58" s="213" t="s">
        <v>90</v>
      </c>
      <c r="AB58" s="39" t="s">
        <v>334</v>
      </c>
    </row>
    <row r="59" spans="1:29" x14ac:dyDescent="0.15">
      <c r="A59" s="15"/>
      <c r="B59" s="15"/>
      <c r="C59" s="15"/>
      <c r="D59" s="37"/>
      <c r="H59" s="15"/>
      <c r="I59" s="205"/>
      <c r="J59" s="15"/>
      <c r="N59" s="205"/>
      <c r="Q59" s="52" t="str">
        <f t="shared" si="0"/>
        <v/>
      </c>
      <c r="T59" s="16" t="str">
        <f t="shared" si="1"/>
        <v/>
      </c>
      <c r="V59" s="16" t="str">
        <f t="shared" si="2"/>
        <v/>
      </c>
      <c r="X59" s="15"/>
      <c r="Y59" s="213"/>
      <c r="Z59" s="213"/>
      <c r="AA59" s="213"/>
      <c r="AB59" s="39"/>
    </row>
    <row r="60" spans="1:29" x14ac:dyDescent="0.15">
      <c r="A60" s="15"/>
      <c r="B60" s="15"/>
      <c r="C60" s="15"/>
      <c r="D60" s="37"/>
      <c r="H60" s="213"/>
      <c r="I60" s="205"/>
      <c r="J60" s="15"/>
      <c r="Q60" s="52" t="str">
        <f t="shared" si="0"/>
        <v/>
      </c>
      <c r="T60" s="16" t="str">
        <f>IF(H60="","",IF(OR(H60="GREEN",H60="GK"),IF(S60&gt;=$AX$2,VLOOKUP(S60,$AX$2:$AY$12,2,1),""),IF(S60&gt;=$AZ$2,VLOOKUP(S60,$AZ$2:$BA$12,2,1),"")))</f>
        <v/>
      </c>
      <c r="U60" s="205"/>
      <c r="V60" s="16" t="str">
        <f t="shared" si="2"/>
        <v/>
      </c>
      <c r="X60" s="213"/>
      <c r="Y60" s="213"/>
      <c r="Z60" s="213"/>
      <c r="AA60" s="213"/>
      <c r="AB60" s="39"/>
    </row>
    <row r="61" spans="1:29" x14ac:dyDescent="0.15">
      <c r="A61" s="15"/>
      <c r="B61" s="15"/>
      <c r="C61" s="15"/>
      <c r="D61" s="37"/>
      <c r="H61" s="213"/>
      <c r="I61" s="205"/>
      <c r="J61" s="15"/>
      <c r="Q61" s="52" t="str">
        <f t="shared" si="0"/>
        <v/>
      </c>
      <c r="T61" s="16" t="str">
        <f>IF(H61="","",IF(OR(H61="GREEN",H61="GK"),IF(S61&gt;=$AX$2,VLOOKUP(S61,$AX$2:$AY$12,2,1),""),IF(S61&gt;=$AZ$2,VLOOKUP(S61,$AZ$2:$BA$12,2,1),"")))</f>
        <v/>
      </c>
      <c r="U61" s="205"/>
      <c r="V61" s="16" t="str">
        <f t="shared" si="2"/>
        <v/>
      </c>
      <c r="X61" s="213"/>
      <c r="Y61" s="213"/>
      <c r="Z61" s="213"/>
      <c r="AA61" s="213"/>
      <c r="AB61" s="39"/>
    </row>
    <row r="62" spans="1:29" x14ac:dyDescent="0.15">
      <c r="A62" s="15"/>
      <c r="B62" s="15"/>
      <c r="C62" s="15"/>
      <c r="D62" s="37"/>
      <c r="H62" s="15"/>
      <c r="I62" s="205"/>
      <c r="J62" s="15"/>
      <c r="Q62" s="52" t="str">
        <f t="shared" si="0"/>
        <v/>
      </c>
      <c r="T62" s="16" t="str">
        <f t="shared" ref="T62:T120" si="3">IF(H62="","",IF(OR(H62="GREEN",H62="GK"),IF(S62&gt;=$AX$2,VLOOKUP(S62,$AX$2:$AY$12,2,1),""),IF(S62&gt;=$AZ$2,VLOOKUP(S62,$AZ$2:$BA$12,2,1),"")))</f>
        <v/>
      </c>
      <c r="V62" s="16" t="str">
        <f t="shared" si="2"/>
        <v/>
      </c>
      <c r="X62" s="213"/>
      <c r="Y62" s="213"/>
      <c r="Z62" s="213"/>
      <c r="AA62" s="213"/>
      <c r="AB62" s="39"/>
    </row>
    <row r="63" spans="1:29" x14ac:dyDescent="0.15">
      <c r="A63" s="15"/>
      <c r="B63" s="15"/>
      <c r="C63" s="15"/>
      <c r="D63" s="37"/>
      <c r="H63" s="213"/>
      <c r="I63" s="205"/>
      <c r="J63" s="15"/>
      <c r="Q63" s="52" t="str">
        <f t="shared" si="0"/>
        <v/>
      </c>
      <c r="T63" s="16" t="str">
        <f t="shared" si="3"/>
        <v/>
      </c>
      <c r="U63" s="205"/>
      <c r="V63" s="16" t="str">
        <f t="shared" si="2"/>
        <v/>
      </c>
      <c r="X63" s="213"/>
      <c r="Y63" s="213"/>
      <c r="Z63" s="213"/>
      <c r="AA63" s="213"/>
      <c r="AB63" s="39"/>
    </row>
    <row r="64" spans="1:29" x14ac:dyDescent="0.15">
      <c r="A64" s="15"/>
      <c r="B64" s="15"/>
      <c r="C64" s="15"/>
      <c r="D64" s="37"/>
      <c r="H64" s="213"/>
      <c r="I64" s="205"/>
      <c r="J64" s="15"/>
      <c r="Q64" s="52" t="str">
        <f t="shared" si="0"/>
        <v/>
      </c>
      <c r="T64" s="16" t="str">
        <f t="shared" si="3"/>
        <v/>
      </c>
      <c r="U64" s="205"/>
      <c r="V64" s="16" t="str">
        <f t="shared" si="2"/>
        <v/>
      </c>
      <c r="X64" s="213"/>
      <c r="Y64" s="213"/>
      <c r="Z64" s="213"/>
      <c r="AA64" s="213"/>
      <c r="AB64" s="39"/>
    </row>
    <row r="65" spans="1:28" x14ac:dyDescent="0.15">
      <c r="A65" s="15"/>
      <c r="B65" s="15"/>
      <c r="C65" s="15"/>
      <c r="D65" s="37"/>
      <c r="H65" s="15"/>
      <c r="I65" s="205"/>
      <c r="J65" s="15"/>
      <c r="Q65" s="52" t="str">
        <f t="shared" si="0"/>
        <v/>
      </c>
      <c r="T65" s="16" t="str">
        <f t="shared" si="3"/>
        <v/>
      </c>
      <c r="V65" s="16" t="str">
        <f t="shared" si="2"/>
        <v/>
      </c>
      <c r="X65" s="213"/>
      <c r="Y65" s="213"/>
      <c r="Z65" s="213"/>
      <c r="AA65" s="213"/>
      <c r="AB65" s="39"/>
    </row>
    <row r="66" spans="1:28" x14ac:dyDescent="0.15">
      <c r="A66" s="15"/>
      <c r="B66" s="15"/>
      <c r="C66" s="15"/>
      <c r="D66" s="37"/>
      <c r="H66" s="213"/>
      <c r="I66" s="205"/>
      <c r="J66" s="15"/>
      <c r="Q66" s="52" t="str">
        <f t="shared" ref="Q66:Q77" si="4">IF(OR(O66="",P66=""),"",AVERAGE(O66,P66))</f>
        <v/>
      </c>
      <c r="T66" s="16" t="str">
        <f t="shared" si="3"/>
        <v/>
      </c>
      <c r="U66" s="205"/>
      <c r="V66" s="16" t="str">
        <f t="shared" ref="V66:V70" si="5">IF(OR(N66="",U66="",T66=""),"",U66/N66*T66)</f>
        <v/>
      </c>
      <c r="X66" s="213"/>
      <c r="Y66" s="213"/>
      <c r="Z66" s="213"/>
      <c r="AA66" s="213"/>
      <c r="AB66" s="39"/>
    </row>
    <row r="67" spans="1:28" x14ac:dyDescent="0.15">
      <c r="A67" s="15"/>
      <c r="B67" s="15"/>
      <c r="C67" s="15"/>
      <c r="D67" s="37"/>
      <c r="H67" s="213"/>
      <c r="I67" s="205"/>
      <c r="J67" s="15"/>
      <c r="Q67" s="52" t="str">
        <f t="shared" si="4"/>
        <v/>
      </c>
      <c r="T67" s="16" t="str">
        <f t="shared" si="3"/>
        <v/>
      </c>
      <c r="U67" s="205"/>
      <c r="V67" s="16" t="str">
        <f t="shared" si="5"/>
        <v/>
      </c>
      <c r="X67" s="213"/>
      <c r="Y67" s="213"/>
      <c r="Z67" s="213"/>
      <c r="AA67" s="213"/>
      <c r="AB67" s="39"/>
    </row>
    <row r="68" spans="1:28" x14ac:dyDescent="0.15">
      <c r="A68" s="15"/>
      <c r="B68" s="15"/>
      <c r="C68" s="15"/>
      <c r="D68" s="37"/>
      <c r="H68" s="15"/>
      <c r="I68" s="205"/>
      <c r="J68" s="15"/>
      <c r="Q68" s="52" t="str">
        <f t="shared" si="4"/>
        <v/>
      </c>
      <c r="T68" s="16" t="str">
        <f t="shared" si="3"/>
        <v/>
      </c>
      <c r="V68" s="16" t="str">
        <f t="shared" si="5"/>
        <v/>
      </c>
      <c r="X68" s="213"/>
      <c r="Y68" s="213"/>
      <c r="Z68" s="213"/>
      <c r="AA68" s="213"/>
      <c r="AB68" s="39"/>
    </row>
    <row r="69" spans="1:28" x14ac:dyDescent="0.15">
      <c r="A69" s="15"/>
      <c r="B69" s="15"/>
      <c r="C69" s="15"/>
      <c r="D69" s="37"/>
      <c r="H69" s="213"/>
      <c r="I69" s="205"/>
      <c r="J69" s="15"/>
      <c r="N69" s="205"/>
      <c r="Q69" s="52" t="str">
        <f t="shared" si="4"/>
        <v/>
      </c>
      <c r="T69" s="16" t="str">
        <f t="shared" si="3"/>
        <v/>
      </c>
      <c r="U69" s="205"/>
      <c r="V69" s="16" t="str">
        <f t="shared" si="5"/>
        <v/>
      </c>
      <c r="X69" s="213"/>
      <c r="Y69" s="213"/>
      <c r="Z69" s="213"/>
      <c r="AA69" s="213"/>
      <c r="AB69" s="39"/>
    </row>
    <row r="70" spans="1:28" x14ac:dyDescent="0.15">
      <c r="A70" s="15"/>
      <c r="B70" s="15"/>
      <c r="C70" s="15"/>
      <c r="D70" s="37"/>
      <c r="H70" s="213"/>
      <c r="I70" s="205"/>
      <c r="J70" s="15"/>
      <c r="N70" s="205"/>
      <c r="Q70" s="52" t="str">
        <f t="shared" si="4"/>
        <v/>
      </c>
      <c r="T70" s="16" t="str">
        <f t="shared" si="3"/>
        <v/>
      </c>
      <c r="U70" s="205"/>
      <c r="V70" s="16" t="str">
        <f t="shared" si="5"/>
        <v/>
      </c>
      <c r="X70" s="213"/>
      <c r="Y70" s="213"/>
      <c r="Z70" s="213"/>
      <c r="AA70" s="213"/>
      <c r="AB70" s="39"/>
    </row>
    <row r="71" spans="1:28" x14ac:dyDescent="0.15">
      <c r="A71" s="15"/>
      <c r="B71" s="15"/>
      <c r="C71" s="15"/>
      <c r="D71" s="37"/>
      <c r="H71" s="15"/>
      <c r="I71" s="205"/>
      <c r="J71" s="15"/>
      <c r="N71" s="205"/>
      <c r="Q71" s="52" t="str">
        <f t="shared" si="4"/>
        <v/>
      </c>
      <c r="T71" s="16" t="str">
        <f t="shared" si="3"/>
        <v/>
      </c>
      <c r="V71" s="16" t="str">
        <f>IF(OR(N71="",U71="",T71=""),"",U71/N71*T71)</f>
        <v/>
      </c>
      <c r="X71" s="15"/>
      <c r="Y71" s="15"/>
      <c r="Z71" s="15"/>
      <c r="AA71" s="15"/>
      <c r="AB71" s="39"/>
    </row>
    <row r="72" spans="1:28" x14ac:dyDescent="0.15">
      <c r="A72" s="15"/>
      <c r="B72" s="15"/>
      <c r="C72" s="15"/>
      <c r="D72" s="37"/>
      <c r="H72" s="213"/>
      <c r="I72" s="205"/>
      <c r="J72" s="213"/>
      <c r="K72" s="205"/>
      <c r="N72" s="205"/>
      <c r="Q72" s="52" t="str">
        <f t="shared" si="4"/>
        <v/>
      </c>
      <c r="T72" s="16" t="str">
        <f t="shared" si="3"/>
        <v/>
      </c>
      <c r="U72" s="205"/>
      <c r="V72" s="16" t="str">
        <f t="shared" ref="V72:V74" si="6">IF(OR(N72="",U72="",T72=""),"",U72/N72*T72)</f>
        <v/>
      </c>
      <c r="X72" s="15"/>
      <c r="Y72" s="213"/>
      <c r="Z72" s="213"/>
      <c r="AA72" s="213"/>
      <c r="AB72" s="39"/>
    </row>
    <row r="73" spans="1:28" x14ac:dyDescent="0.15">
      <c r="A73" s="15"/>
      <c r="B73" s="15"/>
      <c r="C73" s="15"/>
      <c r="D73" s="37"/>
      <c r="H73" s="213"/>
      <c r="I73" s="205"/>
      <c r="J73" s="213"/>
      <c r="K73" s="205"/>
      <c r="N73" s="205"/>
      <c r="Q73" s="52" t="str">
        <f t="shared" si="4"/>
        <v/>
      </c>
      <c r="T73" s="16" t="str">
        <f t="shared" si="3"/>
        <v/>
      </c>
      <c r="U73" s="205"/>
      <c r="V73" s="16" t="str">
        <f>IF(OR(N73="",U73="",T73=""),"",U73/N73*T73)</f>
        <v/>
      </c>
      <c r="X73" s="15"/>
      <c r="Y73" s="213"/>
      <c r="Z73" s="213"/>
      <c r="AA73" s="213"/>
      <c r="AB73" s="39"/>
    </row>
    <row r="74" spans="1:28" x14ac:dyDescent="0.15">
      <c r="A74" s="15"/>
      <c r="B74" s="15"/>
      <c r="C74" s="15"/>
      <c r="D74" s="37"/>
      <c r="H74" s="15"/>
      <c r="I74" s="205"/>
      <c r="J74" s="15"/>
      <c r="N74" s="205"/>
      <c r="Q74" s="52" t="str">
        <f t="shared" si="4"/>
        <v/>
      </c>
      <c r="T74" s="16" t="str">
        <f t="shared" si="3"/>
        <v/>
      </c>
      <c r="V74" s="16" t="str">
        <f t="shared" si="6"/>
        <v/>
      </c>
      <c r="X74" s="15"/>
      <c r="Y74" s="213"/>
      <c r="Z74" s="213"/>
      <c r="AA74" s="213"/>
      <c r="AB74" s="39"/>
    </row>
    <row r="75" spans="1:28" x14ac:dyDescent="0.15">
      <c r="A75" s="15"/>
      <c r="B75" s="15"/>
      <c r="C75" s="15"/>
      <c r="D75" s="37"/>
      <c r="H75" s="213"/>
      <c r="I75" s="205"/>
      <c r="J75" s="15"/>
      <c r="N75" s="205"/>
      <c r="Q75" s="52" t="str">
        <f t="shared" si="4"/>
        <v/>
      </c>
      <c r="T75" s="16" t="str">
        <f t="shared" si="3"/>
        <v/>
      </c>
      <c r="U75" s="205"/>
      <c r="V75" s="16" t="str">
        <f>IF(OR(N75="",U75="",T75=""),"",U75/N75*T75)</f>
        <v/>
      </c>
      <c r="X75" s="15"/>
      <c r="Y75" s="213"/>
      <c r="Z75" s="213"/>
      <c r="AA75" s="213"/>
      <c r="AB75" s="39"/>
    </row>
    <row r="76" spans="1:28" x14ac:dyDescent="0.15">
      <c r="A76" s="15"/>
      <c r="B76" s="15"/>
      <c r="C76" s="15"/>
      <c r="D76" s="37"/>
      <c r="H76" s="213"/>
      <c r="I76" s="205"/>
      <c r="J76" s="15"/>
      <c r="N76" s="205"/>
      <c r="Q76" s="52" t="str">
        <f t="shared" si="4"/>
        <v/>
      </c>
      <c r="T76" s="16" t="str">
        <f t="shared" si="3"/>
        <v/>
      </c>
      <c r="U76" s="205"/>
      <c r="V76" s="16" t="str">
        <f>IF(OR(N76="",U76="",T76=""),"",U76/N76*T76)</f>
        <v/>
      </c>
      <c r="X76" s="15"/>
      <c r="Y76" s="213"/>
      <c r="Z76" s="213"/>
      <c r="AA76" s="213"/>
      <c r="AB76" s="39"/>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formula1>$AV$2:$AV$20</formula1>
    </dataValidation>
    <dataValidation type="list" allowBlank="1" showInputMessage="1" showErrorMessage="1" sqref="H2:H497">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formula1>$AH$2:$AH$10</formula1>
    </dataValidation>
    <dataValidation type="list" allowBlank="1" showInputMessage="1" showErrorMessage="1" sqref="J2:J497">
      <formula1>$AP$2:$AP$27</formula1>
    </dataValidation>
    <dataValidation type="list" allowBlank="1" showInputMessage="1" showErrorMessage="1" sqref="A3:A497">
      <formula1>$AE$2:$AE$19</formula1>
    </dataValidation>
    <dataValidation type="list" allowBlank="1" showInputMessage="1" showErrorMessage="1" sqref="K127:K497">
      <formula1>$AR$2:$AR$25</formula1>
    </dataValidation>
    <dataValidation type="list" allowBlank="1" showInputMessage="1" showErrorMessage="1" sqref="Y2:AA497">
      <formula1>$AV$2:$AV$21</formula1>
    </dataValidation>
    <dataValidation type="decimal" allowBlank="1" showInputMessage="1" showErrorMessage="1" error="硬度を正しく入力して下さい。" sqref="O2:P497">
      <formula1>0</formula1>
      <formula2>7</formula2>
    </dataValidation>
    <dataValidation type="list" allowBlank="1" showInputMessage="1" showErrorMessage="1" sqref="F1:F1048576">
      <formula1>$AH$2:$AH$11</formula1>
    </dataValidation>
    <dataValidation type="list" allowBlank="1" showInputMessage="1" showErrorMessage="1" sqref="K2:K126">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09"/>
  <sheetViews>
    <sheetView zoomScale="70" zoomScaleNormal="70" workbookViewId="0">
      <selection activeCell="AB2" sqref="AB2"/>
    </sheetView>
  </sheetViews>
  <sheetFormatPr defaultColWidth="9" defaultRowHeight="13.5" x14ac:dyDescent="0.15"/>
  <cols>
    <col min="1" max="3" width="9" style="234"/>
    <col min="4" max="4" width="11" style="234" bestFit="1" customWidth="1"/>
    <col min="5" max="5" width="10.875" style="234" bestFit="1" customWidth="1"/>
    <col min="6" max="16" width="9" style="234"/>
    <col min="17" max="17" width="9" style="57"/>
    <col min="18" max="18" width="9" style="234"/>
    <col min="19" max="19" width="11.625" style="234" bestFit="1" customWidth="1"/>
    <col min="20" max="20" width="9" style="57"/>
    <col min="21" max="21" width="9" style="234"/>
    <col min="22" max="22" width="9" style="58"/>
    <col min="23" max="32" width="9" style="234"/>
    <col min="33" max="33" width="14.375" style="234" bestFit="1" customWidth="1"/>
    <col min="34" max="34" width="11.375" style="234" bestFit="1" customWidth="1"/>
    <col min="35" max="16384" width="9" style="234"/>
  </cols>
  <sheetData>
    <row r="1" spans="1:53" ht="45" x14ac:dyDescent="0.15">
      <c r="A1" s="237" t="s">
        <v>0</v>
      </c>
      <c r="B1" s="199" t="s">
        <v>1</v>
      </c>
      <c r="C1" s="199" t="s">
        <v>339</v>
      </c>
      <c r="D1" s="200" t="s">
        <v>3</v>
      </c>
      <c r="E1" s="238" t="s">
        <v>4</v>
      </c>
      <c r="F1" s="238" t="s">
        <v>5</v>
      </c>
      <c r="G1" s="238" t="s">
        <v>6</v>
      </c>
      <c r="H1" s="238" t="s">
        <v>7</v>
      </c>
      <c r="I1" s="238" t="s">
        <v>8</v>
      </c>
      <c r="J1" s="238" t="s">
        <v>9</v>
      </c>
      <c r="K1" s="238" t="s">
        <v>10</v>
      </c>
      <c r="L1" s="200" t="s">
        <v>340</v>
      </c>
      <c r="M1" s="200" t="s">
        <v>12</v>
      </c>
      <c r="N1" s="200" t="s">
        <v>13</v>
      </c>
      <c r="O1" s="200" t="s">
        <v>341</v>
      </c>
      <c r="P1" s="200" t="s">
        <v>342</v>
      </c>
      <c r="Q1" s="53" t="s">
        <v>16</v>
      </c>
      <c r="R1" s="200" t="s">
        <v>343</v>
      </c>
      <c r="S1" s="200" t="s">
        <v>344</v>
      </c>
      <c r="T1" s="53" t="s">
        <v>19</v>
      </c>
      <c r="U1" s="202" t="s">
        <v>108</v>
      </c>
      <c r="V1" s="54" t="s">
        <v>20</v>
      </c>
      <c r="W1" s="200" t="s">
        <v>21</v>
      </c>
      <c r="X1" s="238" t="s">
        <v>22</v>
      </c>
      <c r="Y1" s="238" t="s">
        <v>23</v>
      </c>
      <c r="Z1" s="238" t="s">
        <v>24</v>
      </c>
      <c r="AA1" s="238" t="s">
        <v>25</v>
      </c>
      <c r="AB1" s="239" t="s">
        <v>345</v>
      </c>
      <c r="AE1" s="206" t="s">
        <v>0</v>
      </c>
      <c r="AF1" s="207"/>
      <c r="AG1" s="206" t="s">
        <v>4</v>
      </c>
      <c r="AH1" s="206" t="s">
        <v>5</v>
      </c>
      <c r="AI1" s="207"/>
      <c r="AJ1" s="206" t="s">
        <v>6</v>
      </c>
      <c r="AK1" s="207"/>
      <c r="AL1" s="208" t="s">
        <v>7</v>
      </c>
      <c r="AM1" s="207"/>
      <c r="AN1" s="208" t="s">
        <v>8</v>
      </c>
      <c r="AO1" s="207"/>
      <c r="AP1" s="208" t="s">
        <v>27</v>
      </c>
      <c r="AQ1" s="207"/>
      <c r="AR1" s="208" t="s">
        <v>10</v>
      </c>
      <c r="AS1" s="207"/>
      <c r="AT1" s="209" t="s">
        <v>28</v>
      </c>
      <c r="AU1" s="207"/>
      <c r="AV1" s="208" t="s">
        <v>29</v>
      </c>
      <c r="AX1" s="210" t="s">
        <v>346</v>
      </c>
      <c r="AY1" s="211" t="s">
        <v>347</v>
      </c>
      <c r="AZ1" s="211" t="s">
        <v>348</v>
      </c>
      <c r="BA1" s="212" t="s">
        <v>349</v>
      </c>
    </row>
    <row r="2" spans="1:53" s="55" customFormat="1" x14ac:dyDescent="0.15">
      <c r="A2" s="55" t="s">
        <v>41</v>
      </c>
      <c r="B2" s="234" t="s">
        <v>332</v>
      </c>
      <c r="C2" s="149">
        <v>2018</v>
      </c>
      <c r="D2" s="56" t="s">
        <v>351</v>
      </c>
      <c r="E2" s="234" t="s">
        <v>133</v>
      </c>
      <c r="F2" s="234" t="s">
        <v>291</v>
      </c>
      <c r="G2" s="55" t="s">
        <v>42</v>
      </c>
      <c r="H2" s="55" t="s">
        <v>155</v>
      </c>
      <c r="I2" s="55" t="s">
        <v>153</v>
      </c>
      <c r="J2" s="55" t="s">
        <v>38</v>
      </c>
      <c r="K2" s="55" t="s">
        <v>154</v>
      </c>
      <c r="L2" s="234">
        <v>1</v>
      </c>
      <c r="M2" s="234"/>
      <c r="N2" s="55">
        <v>1</v>
      </c>
      <c r="O2" s="234">
        <v>0.85</v>
      </c>
      <c r="P2" s="234">
        <v>0.65</v>
      </c>
      <c r="Q2" s="253">
        <f t="shared" ref="Q2:Q65" si="0">IF(OR(O2="",P2=""),"",AVERAGE(O2,P2))</f>
        <v>0.75</v>
      </c>
      <c r="R2" s="234">
        <v>16</v>
      </c>
      <c r="S2" s="55">
        <v>138</v>
      </c>
      <c r="T2" s="57">
        <f t="shared" ref="T2:T10" si="1">IF(H2="","",IF(OR(H2="GREEN",H2="GK"),IF(S2&gt;=$AX$2,VLOOKUP(S2,$AX$2:$AY$10,2,1),""),IF(S2&gt;=$AZ$2,VLOOKUP(S2,$AZ$2:$BA$10,2,1),"")))</f>
        <v>22</v>
      </c>
      <c r="U2" s="234">
        <v>105</v>
      </c>
      <c r="V2" s="58">
        <f t="shared" ref="V2:V65" si="2">IF(OR(N2="",U2="",T2=""),"",U2/N2*T2)</f>
        <v>2310</v>
      </c>
      <c r="W2" s="234">
        <v>4</v>
      </c>
      <c r="X2" s="55" t="s">
        <v>46</v>
      </c>
      <c r="Y2" s="55" t="s">
        <v>84</v>
      </c>
      <c r="Z2" s="55" t="s">
        <v>90</v>
      </c>
      <c r="AA2" s="55" t="s">
        <v>69</v>
      </c>
      <c r="AB2" s="55" t="s">
        <v>356</v>
      </c>
      <c r="AE2" s="215" t="s">
        <v>35</v>
      </c>
      <c r="AG2" s="59" t="s">
        <v>133</v>
      </c>
      <c r="AH2" s="60" t="s">
        <v>291</v>
      </c>
      <c r="AJ2" s="240" t="s">
        <v>36</v>
      </c>
      <c r="AL2" s="240" t="s">
        <v>127</v>
      </c>
      <c r="AN2" s="240" t="s">
        <v>37</v>
      </c>
      <c r="AP2" s="240" t="s">
        <v>38</v>
      </c>
      <c r="AR2" s="240" t="s">
        <v>120</v>
      </c>
      <c r="AT2" s="240" t="s">
        <v>39</v>
      </c>
      <c r="AV2" s="240" t="s">
        <v>40</v>
      </c>
      <c r="AX2" s="61">
        <v>1</v>
      </c>
      <c r="AY2" s="62">
        <v>50</v>
      </c>
      <c r="AZ2" s="62">
        <v>1</v>
      </c>
      <c r="BA2" s="63">
        <v>50</v>
      </c>
    </row>
    <row r="3" spans="1:53" x14ac:dyDescent="0.15">
      <c r="A3" s="55" t="s">
        <v>41</v>
      </c>
      <c r="B3" s="234" t="s">
        <v>332</v>
      </c>
      <c r="C3" s="149">
        <v>2018</v>
      </c>
      <c r="D3" s="56" t="s">
        <v>350</v>
      </c>
      <c r="E3" s="234" t="s">
        <v>133</v>
      </c>
      <c r="F3" s="234" t="s">
        <v>291</v>
      </c>
      <c r="G3" s="55" t="s">
        <v>42</v>
      </c>
      <c r="H3" s="55" t="s">
        <v>155</v>
      </c>
      <c r="I3" s="55" t="s">
        <v>153</v>
      </c>
      <c r="J3" s="55" t="s">
        <v>38</v>
      </c>
      <c r="K3" s="55" t="s">
        <v>154</v>
      </c>
      <c r="L3" s="234">
        <v>2</v>
      </c>
      <c r="N3" s="55">
        <v>1</v>
      </c>
      <c r="O3" s="234">
        <v>0.45</v>
      </c>
      <c r="P3" s="234">
        <v>0.6</v>
      </c>
      <c r="Q3" s="253">
        <f t="shared" si="0"/>
        <v>0.52500000000000002</v>
      </c>
      <c r="R3" s="234">
        <v>15.2</v>
      </c>
      <c r="S3" s="55">
        <v>134</v>
      </c>
      <c r="T3" s="57">
        <f t="shared" si="1"/>
        <v>25</v>
      </c>
      <c r="U3" s="234">
        <v>105</v>
      </c>
      <c r="V3" s="58">
        <f t="shared" si="2"/>
        <v>2625</v>
      </c>
      <c r="W3" s="234">
        <v>4</v>
      </c>
      <c r="X3" s="55" t="s">
        <v>46</v>
      </c>
      <c r="Y3" s="55" t="s">
        <v>84</v>
      </c>
      <c r="Z3" s="55" t="s">
        <v>90</v>
      </c>
      <c r="AA3" s="55" t="s">
        <v>69</v>
      </c>
      <c r="AB3" s="55" t="s">
        <v>357</v>
      </c>
      <c r="AE3" s="220" t="s">
        <v>41</v>
      </c>
      <c r="AG3" s="64" t="s">
        <v>286</v>
      </c>
      <c r="AH3" s="64" t="s">
        <v>291</v>
      </c>
      <c r="AJ3" s="65" t="s">
        <v>42</v>
      </c>
      <c r="AL3" s="65" t="s">
        <v>128</v>
      </c>
      <c r="AN3" s="65" t="s">
        <v>43</v>
      </c>
      <c r="AP3" s="65" t="s">
        <v>44</v>
      </c>
      <c r="AR3" s="228" t="s">
        <v>45</v>
      </c>
      <c r="AT3" s="65" t="s">
        <v>46</v>
      </c>
      <c r="AV3" s="65" t="s">
        <v>47</v>
      </c>
      <c r="AX3" s="66">
        <v>72</v>
      </c>
      <c r="AY3" s="67">
        <v>46</v>
      </c>
      <c r="AZ3" s="67">
        <v>71</v>
      </c>
      <c r="BA3" s="68">
        <v>42</v>
      </c>
    </row>
    <row r="4" spans="1:53" x14ac:dyDescent="0.15">
      <c r="A4" s="55" t="s">
        <v>41</v>
      </c>
      <c r="B4" s="234" t="s">
        <v>332</v>
      </c>
      <c r="C4" s="149">
        <v>2018</v>
      </c>
      <c r="D4" s="56" t="s">
        <v>352</v>
      </c>
      <c r="E4" s="234" t="s">
        <v>133</v>
      </c>
      <c r="F4" s="234" t="s">
        <v>291</v>
      </c>
      <c r="G4" s="55" t="s">
        <v>42</v>
      </c>
      <c r="H4" s="55" t="s">
        <v>155</v>
      </c>
      <c r="I4" s="55" t="s">
        <v>153</v>
      </c>
      <c r="J4" s="55" t="s">
        <v>38</v>
      </c>
      <c r="K4" s="55" t="s">
        <v>154</v>
      </c>
      <c r="L4" s="234">
        <v>3</v>
      </c>
      <c r="N4" s="55">
        <v>1</v>
      </c>
      <c r="O4" s="234">
        <v>0.65</v>
      </c>
      <c r="P4" s="234">
        <v>0.75</v>
      </c>
      <c r="Q4" s="253">
        <f t="shared" si="0"/>
        <v>0.7</v>
      </c>
      <c r="R4" s="234">
        <v>13.8</v>
      </c>
      <c r="S4" s="55">
        <v>135</v>
      </c>
      <c r="T4" s="57">
        <f t="shared" si="1"/>
        <v>25</v>
      </c>
      <c r="U4" s="234">
        <v>105</v>
      </c>
      <c r="V4" s="58">
        <f t="shared" si="2"/>
        <v>2625</v>
      </c>
      <c r="W4" s="234">
        <v>4</v>
      </c>
      <c r="X4" s="55" t="s">
        <v>46</v>
      </c>
      <c r="Y4" s="55" t="s">
        <v>84</v>
      </c>
      <c r="Z4" s="55" t="s">
        <v>90</v>
      </c>
      <c r="AA4" s="55" t="s">
        <v>69</v>
      </c>
      <c r="AB4" s="55" t="s">
        <v>357</v>
      </c>
      <c r="AE4" s="220" t="s">
        <v>34</v>
      </c>
      <c r="AG4" s="64" t="s">
        <v>286</v>
      </c>
      <c r="AH4" s="64" t="s">
        <v>292</v>
      </c>
      <c r="AJ4" s="69" t="s">
        <v>48</v>
      </c>
      <c r="AL4" s="69" t="s">
        <v>129</v>
      </c>
      <c r="AN4" s="241" t="s">
        <v>49</v>
      </c>
      <c r="AP4" s="65" t="s">
        <v>165</v>
      </c>
      <c r="AR4" s="228" t="s">
        <v>121</v>
      </c>
      <c r="AT4" s="241"/>
      <c r="AV4" s="65" t="s">
        <v>50</v>
      </c>
      <c r="AX4" s="66">
        <v>75</v>
      </c>
      <c r="AY4" s="67">
        <v>42</v>
      </c>
      <c r="AZ4" s="67">
        <v>76</v>
      </c>
      <c r="BA4" s="68">
        <v>39</v>
      </c>
    </row>
    <row r="5" spans="1:53" s="55" customFormat="1" ht="13.5" customHeight="1" x14ac:dyDescent="0.15">
      <c r="A5" s="55" t="s">
        <v>41</v>
      </c>
      <c r="B5" s="234" t="s">
        <v>332</v>
      </c>
      <c r="C5" s="149">
        <v>2018</v>
      </c>
      <c r="D5" s="56" t="s">
        <v>352</v>
      </c>
      <c r="E5" s="234" t="s">
        <v>133</v>
      </c>
      <c r="F5" s="234" t="s">
        <v>291</v>
      </c>
      <c r="G5" s="55" t="s">
        <v>42</v>
      </c>
      <c r="H5" s="55" t="s">
        <v>155</v>
      </c>
      <c r="I5" s="55" t="s">
        <v>153</v>
      </c>
      <c r="J5" s="55" t="s">
        <v>38</v>
      </c>
      <c r="K5" s="55" t="s">
        <v>154</v>
      </c>
      <c r="L5" s="234">
        <v>1</v>
      </c>
      <c r="N5" s="55">
        <v>8</v>
      </c>
      <c r="O5" s="55">
        <v>0.3</v>
      </c>
      <c r="P5" s="55">
        <v>0.35</v>
      </c>
      <c r="Q5" s="57">
        <f t="shared" si="0"/>
        <v>0.32499999999999996</v>
      </c>
      <c r="R5" s="55">
        <v>15.1</v>
      </c>
      <c r="S5" s="234">
        <v>110</v>
      </c>
      <c r="T5" s="77">
        <f t="shared" si="1"/>
        <v>33</v>
      </c>
      <c r="U5" s="55">
        <v>753</v>
      </c>
      <c r="V5" s="78">
        <f t="shared" si="2"/>
        <v>3106.125</v>
      </c>
      <c r="W5" s="55">
        <v>2</v>
      </c>
      <c r="X5" s="55" t="s">
        <v>46</v>
      </c>
      <c r="Y5" s="55" t="s">
        <v>84</v>
      </c>
      <c r="Z5" s="55" t="s">
        <v>90</v>
      </c>
      <c r="AA5" s="55" t="s">
        <v>69</v>
      </c>
      <c r="AB5" s="55" t="s">
        <v>357</v>
      </c>
      <c r="AC5" s="234"/>
      <c r="AD5" s="234"/>
      <c r="AE5" s="70" t="s">
        <v>167</v>
      </c>
      <c r="AG5" s="64" t="s">
        <v>287</v>
      </c>
      <c r="AH5" s="64" t="s">
        <v>291</v>
      </c>
      <c r="AJ5" s="71"/>
      <c r="AL5" s="72" t="s">
        <v>168</v>
      </c>
      <c r="AN5" s="72" t="s">
        <v>169</v>
      </c>
      <c r="AP5" s="228" t="s">
        <v>119</v>
      </c>
      <c r="AR5" s="228" t="s">
        <v>54</v>
      </c>
      <c r="AV5" s="228" t="s">
        <v>55</v>
      </c>
      <c r="AX5" s="73">
        <v>84</v>
      </c>
      <c r="AY5" s="74">
        <v>39</v>
      </c>
      <c r="AZ5" s="74">
        <v>84</v>
      </c>
      <c r="BA5" s="75">
        <v>36</v>
      </c>
    </row>
    <row r="6" spans="1:53" x14ac:dyDescent="0.15">
      <c r="A6" s="55" t="s">
        <v>41</v>
      </c>
      <c r="B6" s="234" t="s">
        <v>332</v>
      </c>
      <c r="C6" s="149">
        <v>2018</v>
      </c>
      <c r="D6" s="56" t="s">
        <v>352</v>
      </c>
      <c r="E6" s="234" t="s">
        <v>133</v>
      </c>
      <c r="F6" s="234" t="s">
        <v>291</v>
      </c>
      <c r="G6" s="55" t="s">
        <v>42</v>
      </c>
      <c r="H6" s="55" t="s">
        <v>155</v>
      </c>
      <c r="I6" s="55" t="s">
        <v>153</v>
      </c>
      <c r="J6" s="55" t="s">
        <v>38</v>
      </c>
      <c r="K6" s="55" t="s">
        <v>154</v>
      </c>
      <c r="L6" s="234">
        <v>2</v>
      </c>
      <c r="N6" s="55">
        <v>8</v>
      </c>
      <c r="O6" s="55">
        <v>0.25</v>
      </c>
      <c r="P6" s="55">
        <v>0.35</v>
      </c>
      <c r="Q6" s="57">
        <f t="shared" si="0"/>
        <v>0.3</v>
      </c>
      <c r="R6" s="55">
        <v>13.5</v>
      </c>
      <c r="S6" s="234">
        <v>108</v>
      </c>
      <c r="T6" s="77">
        <f t="shared" si="1"/>
        <v>33</v>
      </c>
      <c r="U6" s="55">
        <v>753</v>
      </c>
      <c r="V6" s="78">
        <f t="shared" si="2"/>
        <v>3106.125</v>
      </c>
      <c r="W6" s="55">
        <v>2</v>
      </c>
      <c r="X6" s="55" t="s">
        <v>46</v>
      </c>
      <c r="Y6" s="55" t="s">
        <v>84</v>
      </c>
      <c r="Z6" s="55" t="s">
        <v>90</v>
      </c>
      <c r="AA6" s="55" t="s">
        <v>69</v>
      </c>
      <c r="AB6" s="55" t="s">
        <v>357</v>
      </c>
      <c r="AE6" s="220" t="s">
        <v>56</v>
      </c>
      <c r="AG6" s="64" t="s">
        <v>287</v>
      </c>
      <c r="AH6" s="64" t="s">
        <v>293</v>
      </c>
      <c r="AL6" s="72" t="s">
        <v>99</v>
      </c>
      <c r="AN6" s="72" t="s">
        <v>170</v>
      </c>
      <c r="AP6" s="65" t="s">
        <v>53</v>
      </c>
      <c r="AR6" s="228" t="s">
        <v>59</v>
      </c>
      <c r="AV6" s="65" t="s">
        <v>60</v>
      </c>
      <c r="AX6" s="66">
        <v>97</v>
      </c>
      <c r="AY6" s="67">
        <v>36</v>
      </c>
      <c r="AZ6" s="67">
        <v>99</v>
      </c>
      <c r="BA6" s="68">
        <v>33</v>
      </c>
    </row>
    <row r="7" spans="1:53" x14ac:dyDescent="0.15">
      <c r="A7" s="55" t="s">
        <v>41</v>
      </c>
      <c r="B7" s="234" t="s">
        <v>332</v>
      </c>
      <c r="C7" s="149">
        <v>2018</v>
      </c>
      <c r="D7" s="56" t="s">
        <v>352</v>
      </c>
      <c r="E7" s="234" t="s">
        <v>133</v>
      </c>
      <c r="F7" s="234" t="s">
        <v>291</v>
      </c>
      <c r="G7" s="55" t="s">
        <v>42</v>
      </c>
      <c r="H7" s="55" t="s">
        <v>155</v>
      </c>
      <c r="I7" s="55" t="s">
        <v>153</v>
      </c>
      <c r="J7" s="55" t="s">
        <v>38</v>
      </c>
      <c r="K7" s="55" t="s">
        <v>154</v>
      </c>
      <c r="L7" s="234">
        <v>3</v>
      </c>
      <c r="N7" s="55">
        <v>8</v>
      </c>
      <c r="O7" s="55">
        <v>0.25</v>
      </c>
      <c r="P7" s="55">
        <v>0.25</v>
      </c>
      <c r="Q7" s="57">
        <f t="shared" si="0"/>
        <v>0.25</v>
      </c>
      <c r="R7" s="55">
        <v>14.8</v>
      </c>
      <c r="S7" s="234">
        <v>105</v>
      </c>
      <c r="T7" s="77">
        <f t="shared" si="1"/>
        <v>33</v>
      </c>
      <c r="U7" s="55">
        <v>753</v>
      </c>
      <c r="V7" s="78">
        <f t="shared" si="2"/>
        <v>3106.125</v>
      </c>
      <c r="W7" s="234">
        <v>2</v>
      </c>
      <c r="X7" s="55" t="s">
        <v>46</v>
      </c>
      <c r="Y7" s="55" t="s">
        <v>84</v>
      </c>
      <c r="Z7" s="55" t="s">
        <v>90</v>
      </c>
      <c r="AA7" s="55" t="s">
        <v>69</v>
      </c>
      <c r="AB7" s="55" t="s">
        <v>357</v>
      </c>
      <c r="AE7" s="220" t="s">
        <v>61</v>
      </c>
      <c r="AG7" s="64" t="s">
        <v>288</v>
      </c>
      <c r="AH7" s="64" t="s">
        <v>293</v>
      </c>
      <c r="AL7" s="76" t="s">
        <v>109</v>
      </c>
      <c r="AP7" s="65" t="s">
        <v>58</v>
      </c>
      <c r="AR7" s="228" t="s">
        <v>122</v>
      </c>
      <c r="AV7" s="65" t="s">
        <v>64</v>
      </c>
      <c r="AX7" s="66">
        <v>109</v>
      </c>
      <c r="AY7" s="67">
        <v>33</v>
      </c>
      <c r="AZ7" s="67">
        <v>113</v>
      </c>
      <c r="BA7" s="68">
        <v>30</v>
      </c>
    </row>
    <row r="8" spans="1:53" x14ac:dyDescent="0.15">
      <c r="A8" s="55" t="s">
        <v>41</v>
      </c>
      <c r="B8" s="234" t="s">
        <v>332</v>
      </c>
      <c r="C8" s="149">
        <v>2018</v>
      </c>
      <c r="D8" s="56" t="s">
        <v>352</v>
      </c>
      <c r="E8" s="234" t="s">
        <v>133</v>
      </c>
      <c r="F8" s="234" t="s">
        <v>291</v>
      </c>
      <c r="G8" s="55" t="s">
        <v>42</v>
      </c>
      <c r="H8" s="55" t="s">
        <v>128</v>
      </c>
      <c r="I8" s="55" t="s">
        <v>153</v>
      </c>
      <c r="J8" s="55" t="s">
        <v>80</v>
      </c>
      <c r="K8" s="55" t="s">
        <v>45</v>
      </c>
      <c r="L8" s="234">
        <v>1</v>
      </c>
      <c r="M8" s="55"/>
      <c r="N8" s="55">
        <v>1</v>
      </c>
      <c r="O8" s="55">
        <v>0.25</v>
      </c>
      <c r="P8" s="55">
        <v>0.25</v>
      </c>
      <c r="Q8" s="57">
        <f t="shared" si="0"/>
        <v>0.25</v>
      </c>
      <c r="R8" s="55">
        <v>16.5</v>
      </c>
      <c r="S8" s="55">
        <v>81</v>
      </c>
      <c r="T8" s="77">
        <f t="shared" si="1"/>
        <v>39</v>
      </c>
      <c r="U8" s="55">
        <v>149</v>
      </c>
      <c r="V8" s="78">
        <f t="shared" si="2"/>
        <v>5811</v>
      </c>
      <c r="W8" s="55">
        <v>1</v>
      </c>
      <c r="X8" s="55" t="s">
        <v>46</v>
      </c>
      <c r="Y8" s="55" t="s">
        <v>84</v>
      </c>
      <c r="Z8" s="55" t="s">
        <v>90</v>
      </c>
      <c r="AA8" s="55" t="s">
        <v>69</v>
      </c>
      <c r="AB8" s="55" t="s">
        <v>357</v>
      </c>
      <c r="AC8" s="55"/>
      <c r="AD8" s="55"/>
      <c r="AE8" s="220" t="s">
        <v>59</v>
      </c>
      <c r="AG8" s="64" t="s">
        <v>289</v>
      </c>
      <c r="AH8" s="64" t="s">
        <v>294</v>
      </c>
      <c r="AL8" s="76" t="s">
        <v>353</v>
      </c>
      <c r="AP8" s="65" t="s">
        <v>62</v>
      </c>
      <c r="AR8" s="228" t="s">
        <v>81</v>
      </c>
      <c r="AV8" s="65" t="s">
        <v>97</v>
      </c>
      <c r="AX8" s="66">
        <v>119</v>
      </c>
      <c r="AY8" s="67">
        <v>30</v>
      </c>
      <c r="AZ8" s="67">
        <v>121</v>
      </c>
      <c r="BA8" s="68">
        <v>27</v>
      </c>
    </row>
    <row r="9" spans="1:53" x14ac:dyDescent="0.15">
      <c r="A9" s="55" t="s">
        <v>41</v>
      </c>
      <c r="B9" s="234" t="s">
        <v>332</v>
      </c>
      <c r="C9" s="149">
        <v>2018</v>
      </c>
      <c r="D9" s="56" t="s">
        <v>352</v>
      </c>
      <c r="E9" s="234" t="s">
        <v>133</v>
      </c>
      <c r="F9" s="234" t="s">
        <v>291</v>
      </c>
      <c r="G9" s="55" t="s">
        <v>42</v>
      </c>
      <c r="H9" s="55" t="s">
        <v>128</v>
      </c>
      <c r="I9" s="55" t="s">
        <v>153</v>
      </c>
      <c r="J9" s="55" t="s">
        <v>80</v>
      </c>
      <c r="K9" s="55" t="s">
        <v>45</v>
      </c>
      <c r="L9" s="234">
        <v>2</v>
      </c>
      <c r="N9" s="55">
        <v>1</v>
      </c>
      <c r="O9" s="55">
        <v>0.25</v>
      </c>
      <c r="P9" s="55">
        <v>0.25</v>
      </c>
      <c r="Q9" s="57">
        <f t="shared" si="0"/>
        <v>0.25</v>
      </c>
      <c r="R9" s="55">
        <v>15</v>
      </c>
      <c r="S9" s="55">
        <v>90</v>
      </c>
      <c r="T9" s="77">
        <f t="shared" si="1"/>
        <v>36</v>
      </c>
      <c r="U9" s="55">
        <v>149</v>
      </c>
      <c r="V9" s="58">
        <f t="shared" si="2"/>
        <v>5364</v>
      </c>
      <c r="W9" s="234">
        <v>1</v>
      </c>
      <c r="X9" s="55" t="s">
        <v>46</v>
      </c>
      <c r="Y9" s="55" t="s">
        <v>84</v>
      </c>
      <c r="Z9" s="55" t="s">
        <v>90</v>
      </c>
      <c r="AA9" s="55" t="s">
        <v>69</v>
      </c>
      <c r="AB9" s="55" t="s">
        <v>357</v>
      </c>
      <c r="AE9" s="220" t="s">
        <v>98</v>
      </c>
      <c r="AG9" s="64" t="s">
        <v>289</v>
      </c>
      <c r="AH9" s="64" t="s">
        <v>295</v>
      </c>
      <c r="AL9" s="72"/>
      <c r="AP9" s="65" t="s">
        <v>95</v>
      </c>
      <c r="AR9" s="228" t="s">
        <v>89</v>
      </c>
      <c r="AV9" s="65" t="s">
        <v>102</v>
      </c>
      <c r="AX9" s="66">
        <v>128</v>
      </c>
      <c r="AY9" s="67">
        <v>27</v>
      </c>
      <c r="AZ9" s="67">
        <v>129</v>
      </c>
      <c r="BA9" s="68">
        <v>25</v>
      </c>
    </row>
    <row r="10" spans="1:53" x14ac:dyDescent="0.15">
      <c r="A10" s="55" t="s">
        <v>41</v>
      </c>
      <c r="B10" s="234" t="s">
        <v>332</v>
      </c>
      <c r="C10" s="149">
        <v>2018</v>
      </c>
      <c r="D10" s="56" t="s">
        <v>352</v>
      </c>
      <c r="E10" s="234" t="s">
        <v>133</v>
      </c>
      <c r="F10" s="234" t="s">
        <v>291</v>
      </c>
      <c r="G10" s="55" t="s">
        <v>42</v>
      </c>
      <c r="H10" s="55" t="s">
        <v>128</v>
      </c>
      <c r="I10" s="55" t="s">
        <v>153</v>
      </c>
      <c r="J10" s="55" t="s">
        <v>80</v>
      </c>
      <c r="K10" s="55" t="s">
        <v>45</v>
      </c>
      <c r="L10" s="234">
        <v>3</v>
      </c>
      <c r="N10" s="55">
        <v>1</v>
      </c>
      <c r="O10" s="55">
        <v>0.25</v>
      </c>
      <c r="P10" s="55">
        <v>0.25</v>
      </c>
      <c r="Q10" s="57">
        <f t="shared" si="0"/>
        <v>0.25</v>
      </c>
      <c r="R10" s="55">
        <v>14.9</v>
      </c>
      <c r="S10" s="55">
        <v>86</v>
      </c>
      <c r="T10" s="77">
        <f t="shared" si="1"/>
        <v>36</v>
      </c>
      <c r="U10" s="55">
        <v>149</v>
      </c>
      <c r="V10" s="58">
        <f t="shared" si="2"/>
        <v>5364</v>
      </c>
      <c r="W10" s="234">
        <v>1</v>
      </c>
      <c r="X10" s="55" t="s">
        <v>46</v>
      </c>
      <c r="Y10" s="55" t="s">
        <v>84</v>
      </c>
      <c r="Z10" s="55" t="s">
        <v>90</v>
      </c>
      <c r="AA10" s="55" t="s">
        <v>69</v>
      </c>
      <c r="AB10" s="55" t="s">
        <v>357</v>
      </c>
      <c r="AE10" s="220" t="s">
        <v>103</v>
      </c>
      <c r="AG10" s="64" t="s">
        <v>290</v>
      </c>
      <c r="AH10" s="64" t="s">
        <v>296</v>
      </c>
      <c r="AL10" s="76"/>
      <c r="AP10" s="65" t="s">
        <v>100</v>
      </c>
      <c r="AR10" s="228" t="s">
        <v>123</v>
      </c>
      <c r="AV10" s="65" t="s">
        <v>106</v>
      </c>
      <c r="AX10" s="66">
        <v>138</v>
      </c>
      <c r="AY10" s="67">
        <v>25</v>
      </c>
      <c r="AZ10" s="67">
        <v>138</v>
      </c>
      <c r="BA10" s="68">
        <v>22</v>
      </c>
    </row>
    <row r="11" spans="1:53" x14ac:dyDescent="0.15">
      <c r="A11" s="55" t="s">
        <v>41</v>
      </c>
      <c r="B11" s="234" t="s">
        <v>332</v>
      </c>
      <c r="C11" s="149">
        <v>2018</v>
      </c>
      <c r="D11" s="56" t="s">
        <v>352</v>
      </c>
      <c r="E11" s="234" t="s">
        <v>286</v>
      </c>
      <c r="F11" s="55" t="s">
        <v>291</v>
      </c>
      <c r="G11" s="55" t="s">
        <v>42</v>
      </c>
      <c r="H11" s="55" t="s">
        <v>166</v>
      </c>
      <c r="I11" s="55" t="s">
        <v>153</v>
      </c>
      <c r="J11" s="55" t="s">
        <v>38</v>
      </c>
      <c r="K11" s="55" t="s">
        <v>154</v>
      </c>
      <c r="L11" s="234">
        <v>1</v>
      </c>
      <c r="N11" s="55">
        <v>3</v>
      </c>
      <c r="O11" s="55">
        <v>0.25</v>
      </c>
      <c r="P11" s="55">
        <v>0.4</v>
      </c>
      <c r="Q11" s="57">
        <f t="shared" si="0"/>
        <v>0.32500000000000001</v>
      </c>
      <c r="R11" s="234">
        <v>16.3</v>
      </c>
      <c r="S11" s="55">
        <v>125</v>
      </c>
      <c r="T11" s="77">
        <f t="shared" ref="T11:T19" si="3">IF(H11="","",IF(OR(H11="GREEN",H11="GK"),IF(S11&gt;=$AX$2,VLOOKUP(S11,$AX$2:$AY$12,2,1),""),IF(S11&gt;=$AZ$2,VLOOKUP(S11,$AZ$2:$BA$12,2,1),"")))</f>
        <v>27</v>
      </c>
      <c r="U11" s="55">
        <v>429</v>
      </c>
      <c r="V11" s="58">
        <f t="shared" si="2"/>
        <v>3861</v>
      </c>
      <c r="W11" s="234">
        <v>1</v>
      </c>
      <c r="X11" s="55" t="s">
        <v>39</v>
      </c>
      <c r="Y11" s="55" t="s">
        <v>84</v>
      </c>
      <c r="Z11" s="55" t="s">
        <v>78</v>
      </c>
      <c r="AA11" s="55" t="s">
        <v>50</v>
      </c>
      <c r="AB11" s="55" t="s">
        <v>357</v>
      </c>
      <c r="AE11" s="220" t="s">
        <v>65</v>
      </c>
      <c r="AG11" s="64" t="s">
        <v>173</v>
      </c>
      <c r="AH11" s="64" t="s">
        <v>297</v>
      </c>
      <c r="AL11" s="76"/>
      <c r="AP11" s="65" t="s">
        <v>104</v>
      </c>
      <c r="AR11" s="228" t="s">
        <v>87</v>
      </c>
      <c r="AV11" s="65" t="s">
        <v>69</v>
      </c>
      <c r="AX11" s="66">
        <v>151</v>
      </c>
      <c r="AY11" s="67">
        <v>22</v>
      </c>
      <c r="AZ11" s="67">
        <v>152</v>
      </c>
      <c r="BA11" s="68">
        <v>18</v>
      </c>
    </row>
    <row r="12" spans="1:53" x14ac:dyDescent="0.15">
      <c r="A12" s="55" t="s">
        <v>41</v>
      </c>
      <c r="B12" s="234" t="s">
        <v>332</v>
      </c>
      <c r="C12" s="149">
        <v>2018</v>
      </c>
      <c r="D12" s="56" t="s">
        <v>352</v>
      </c>
      <c r="E12" s="234" t="s">
        <v>286</v>
      </c>
      <c r="F12" s="55" t="s">
        <v>291</v>
      </c>
      <c r="G12" s="55" t="s">
        <v>42</v>
      </c>
      <c r="H12" s="55" t="s">
        <v>166</v>
      </c>
      <c r="I12" s="55" t="s">
        <v>153</v>
      </c>
      <c r="J12" s="55" t="s">
        <v>38</v>
      </c>
      <c r="K12" s="55" t="s">
        <v>154</v>
      </c>
      <c r="L12" s="234">
        <v>2</v>
      </c>
      <c r="N12" s="55">
        <v>3</v>
      </c>
      <c r="O12" s="55">
        <v>0.25</v>
      </c>
      <c r="P12" s="55">
        <v>0.25</v>
      </c>
      <c r="Q12" s="82">
        <f t="shared" si="0"/>
        <v>0.25</v>
      </c>
      <c r="R12" s="234">
        <v>17</v>
      </c>
      <c r="S12" s="55">
        <v>122</v>
      </c>
      <c r="T12" s="77">
        <f t="shared" si="3"/>
        <v>27</v>
      </c>
      <c r="U12" s="55">
        <v>429</v>
      </c>
      <c r="V12" s="58">
        <f t="shared" si="2"/>
        <v>3861</v>
      </c>
      <c r="W12" s="234">
        <v>1</v>
      </c>
      <c r="X12" s="55" t="s">
        <v>39</v>
      </c>
      <c r="Y12" s="55" t="s">
        <v>84</v>
      </c>
      <c r="Z12" s="55" t="s">
        <v>78</v>
      </c>
      <c r="AA12" s="55" t="s">
        <v>50</v>
      </c>
      <c r="AB12" s="55" t="s">
        <v>357</v>
      </c>
      <c r="AE12" s="220" t="s">
        <v>70</v>
      </c>
      <c r="AG12" s="70"/>
      <c r="AH12" s="70"/>
      <c r="AL12" s="76"/>
      <c r="AP12" s="65" t="s">
        <v>67</v>
      </c>
      <c r="AR12" s="228" t="s">
        <v>124</v>
      </c>
      <c r="AV12" s="65" t="s">
        <v>72</v>
      </c>
      <c r="AX12" s="79">
        <v>180</v>
      </c>
      <c r="AY12" s="80">
        <v>18</v>
      </c>
      <c r="AZ12" s="80">
        <v>181</v>
      </c>
      <c r="BA12" s="81">
        <v>16</v>
      </c>
    </row>
    <row r="13" spans="1:53" x14ac:dyDescent="0.15">
      <c r="A13" s="55" t="s">
        <v>41</v>
      </c>
      <c r="B13" s="234" t="s">
        <v>332</v>
      </c>
      <c r="C13" s="149">
        <v>2018</v>
      </c>
      <c r="D13" s="56" t="s">
        <v>352</v>
      </c>
      <c r="E13" s="234" t="s">
        <v>286</v>
      </c>
      <c r="F13" s="55" t="s">
        <v>291</v>
      </c>
      <c r="G13" s="55" t="s">
        <v>42</v>
      </c>
      <c r="H13" s="55" t="s">
        <v>166</v>
      </c>
      <c r="I13" s="55" t="s">
        <v>153</v>
      </c>
      <c r="J13" s="55" t="s">
        <v>38</v>
      </c>
      <c r="K13" s="55" t="s">
        <v>154</v>
      </c>
      <c r="L13" s="234">
        <v>3</v>
      </c>
      <c r="N13" s="55">
        <v>3</v>
      </c>
      <c r="O13" s="55">
        <v>0.25</v>
      </c>
      <c r="P13" s="55">
        <v>0.25</v>
      </c>
      <c r="Q13" s="82">
        <f t="shared" si="0"/>
        <v>0.25</v>
      </c>
      <c r="R13" s="234">
        <v>15</v>
      </c>
      <c r="S13" s="55">
        <v>124</v>
      </c>
      <c r="T13" s="77">
        <f t="shared" si="3"/>
        <v>27</v>
      </c>
      <c r="U13" s="55">
        <v>429</v>
      </c>
      <c r="V13" s="58">
        <f t="shared" si="2"/>
        <v>3861</v>
      </c>
      <c r="W13" s="234">
        <v>1</v>
      </c>
      <c r="X13" s="55" t="s">
        <v>39</v>
      </c>
      <c r="Y13" s="55" t="s">
        <v>84</v>
      </c>
      <c r="Z13" s="55" t="s">
        <v>78</v>
      </c>
      <c r="AA13" s="55" t="s">
        <v>50</v>
      </c>
      <c r="AB13" s="55" t="s">
        <v>357</v>
      </c>
      <c r="AE13" s="220" t="s">
        <v>73</v>
      </c>
      <c r="AG13" s="228"/>
      <c r="AH13" s="228"/>
      <c r="AP13" s="65" t="s">
        <v>71</v>
      </c>
      <c r="AR13" s="228" t="s">
        <v>103</v>
      </c>
      <c r="AV13" s="65" t="s">
        <v>75</v>
      </c>
    </row>
    <row r="14" spans="1:53" x14ac:dyDescent="0.15">
      <c r="A14" s="55" t="s">
        <v>41</v>
      </c>
      <c r="B14" s="234" t="s">
        <v>332</v>
      </c>
      <c r="C14" s="149">
        <v>2018</v>
      </c>
      <c r="D14" s="56" t="s">
        <v>352</v>
      </c>
      <c r="E14" s="234" t="s">
        <v>286</v>
      </c>
      <c r="F14" s="234" t="s">
        <v>291</v>
      </c>
      <c r="G14" s="55" t="s">
        <v>42</v>
      </c>
      <c r="H14" s="55" t="s">
        <v>166</v>
      </c>
      <c r="I14" s="55" t="s">
        <v>153</v>
      </c>
      <c r="J14" s="55" t="s">
        <v>38</v>
      </c>
      <c r="K14" s="55" t="s">
        <v>154</v>
      </c>
      <c r="L14" s="234">
        <v>1</v>
      </c>
      <c r="M14" s="55"/>
      <c r="N14" s="55">
        <v>1</v>
      </c>
      <c r="O14" s="55">
        <v>0.25</v>
      </c>
      <c r="P14" s="55">
        <v>0.25</v>
      </c>
      <c r="Q14" s="82">
        <f t="shared" si="0"/>
        <v>0.25</v>
      </c>
      <c r="R14" s="234">
        <v>13.8</v>
      </c>
      <c r="S14" s="55">
        <v>120</v>
      </c>
      <c r="T14" s="77">
        <f t="shared" si="3"/>
        <v>30</v>
      </c>
      <c r="U14" s="55">
        <v>149</v>
      </c>
      <c r="V14" s="78">
        <f t="shared" si="2"/>
        <v>4470</v>
      </c>
      <c r="W14" s="55">
        <v>1</v>
      </c>
      <c r="X14" s="55" t="s">
        <v>39</v>
      </c>
      <c r="Y14" s="55" t="s">
        <v>84</v>
      </c>
      <c r="Z14" s="55" t="s">
        <v>78</v>
      </c>
      <c r="AA14" s="55" t="s">
        <v>50</v>
      </c>
      <c r="AB14" s="55" t="s">
        <v>357</v>
      </c>
      <c r="AE14" s="220" t="s">
        <v>76</v>
      </c>
      <c r="AG14" s="228"/>
      <c r="AH14" s="228"/>
      <c r="AP14" s="65" t="s">
        <v>74</v>
      </c>
      <c r="AR14" s="228" t="s">
        <v>125</v>
      </c>
      <c r="AV14" s="65" t="s">
        <v>78</v>
      </c>
    </row>
    <row r="15" spans="1:53" x14ac:dyDescent="0.15">
      <c r="A15" s="55" t="s">
        <v>41</v>
      </c>
      <c r="B15" s="234" t="s">
        <v>332</v>
      </c>
      <c r="C15" s="149">
        <v>2018</v>
      </c>
      <c r="D15" s="56" t="s">
        <v>352</v>
      </c>
      <c r="E15" s="234" t="s">
        <v>286</v>
      </c>
      <c r="F15" s="55" t="s">
        <v>291</v>
      </c>
      <c r="G15" s="55" t="s">
        <v>42</v>
      </c>
      <c r="H15" s="55" t="s">
        <v>166</v>
      </c>
      <c r="I15" s="55" t="s">
        <v>153</v>
      </c>
      <c r="J15" s="55" t="s">
        <v>38</v>
      </c>
      <c r="K15" s="55" t="s">
        <v>154</v>
      </c>
      <c r="L15" s="234">
        <v>2</v>
      </c>
      <c r="N15" s="55">
        <v>1</v>
      </c>
      <c r="O15" s="55">
        <v>0.3</v>
      </c>
      <c r="P15" s="55">
        <v>0.25</v>
      </c>
      <c r="Q15" s="82">
        <f t="shared" si="0"/>
        <v>0.27500000000000002</v>
      </c>
      <c r="R15" s="234">
        <v>14.4</v>
      </c>
      <c r="S15" s="55">
        <v>122</v>
      </c>
      <c r="T15" s="77">
        <f t="shared" si="3"/>
        <v>27</v>
      </c>
      <c r="U15" s="55">
        <v>149</v>
      </c>
      <c r="V15" s="58">
        <f t="shared" si="2"/>
        <v>4023</v>
      </c>
      <c r="W15" s="234">
        <v>1</v>
      </c>
      <c r="X15" s="55" t="s">
        <v>39</v>
      </c>
      <c r="Y15" s="55" t="s">
        <v>84</v>
      </c>
      <c r="Z15" s="55" t="s">
        <v>78</v>
      </c>
      <c r="AA15" s="55" t="s">
        <v>50</v>
      </c>
      <c r="AB15" s="55" t="s">
        <v>357</v>
      </c>
      <c r="AE15" s="220" t="s">
        <v>79</v>
      </c>
      <c r="AG15" s="228"/>
      <c r="AH15" s="228"/>
      <c r="AP15" s="65" t="s">
        <v>77</v>
      </c>
      <c r="AR15" s="228" t="s">
        <v>94</v>
      </c>
      <c r="AV15" s="65" t="s">
        <v>107</v>
      </c>
    </row>
    <row r="16" spans="1:53" x14ac:dyDescent="0.15">
      <c r="A16" s="55" t="s">
        <v>41</v>
      </c>
      <c r="B16" s="234" t="s">
        <v>332</v>
      </c>
      <c r="C16" s="149">
        <v>2018</v>
      </c>
      <c r="D16" s="56" t="s">
        <v>352</v>
      </c>
      <c r="E16" s="234" t="s">
        <v>286</v>
      </c>
      <c r="F16" s="55" t="s">
        <v>291</v>
      </c>
      <c r="G16" s="55" t="s">
        <v>42</v>
      </c>
      <c r="H16" s="55" t="s">
        <v>166</v>
      </c>
      <c r="I16" s="55" t="s">
        <v>153</v>
      </c>
      <c r="J16" s="55" t="s">
        <v>38</v>
      </c>
      <c r="K16" s="55" t="s">
        <v>154</v>
      </c>
      <c r="L16" s="234">
        <v>3</v>
      </c>
      <c r="N16" s="55">
        <v>1</v>
      </c>
      <c r="O16" s="55">
        <v>0.3</v>
      </c>
      <c r="P16" s="55">
        <v>0.3</v>
      </c>
      <c r="Q16" s="82">
        <f t="shared" si="0"/>
        <v>0.3</v>
      </c>
      <c r="R16" s="234">
        <v>14</v>
      </c>
      <c r="S16" s="55">
        <v>124</v>
      </c>
      <c r="T16" s="77">
        <f t="shared" si="3"/>
        <v>27</v>
      </c>
      <c r="U16" s="55">
        <v>149</v>
      </c>
      <c r="V16" s="58">
        <f t="shared" si="2"/>
        <v>4023</v>
      </c>
      <c r="W16" s="234">
        <v>1</v>
      </c>
      <c r="X16" s="55" t="s">
        <v>39</v>
      </c>
      <c r="Y16" s="55" t="s">
        <v>84</v>
      </c>
      <c r="Z16" s="55" t="s">
        <v>78</v>
      </c>
      <c r="AA16" s="55" t="s">
        <v>50</v>
      </c>
      <c r="AB16" s="55" t="s">
        <v>357</v>
      </c>
      <c r="AE16" s="220" t="s">
        <v>82</v>
      </c>
      <c r="AG16" s="71"/>
      <c r="AH16" s="71"/>
      <c r="AP16" s="65" t="s">
        <v>80</v>
      </c>
      <c r="AR16" s="228" t="s">
        <v>63</v>
      </c>
      <c r="AV16" s="65" t="s">
        <v>84</v>
      </c>
    </row>
    <row r="17" spans="1:49" x14ac:dyDescent="0.15">
      <c r="A17" s="55" t="s">
        <v>41</v>
      </c>
      <c r="B17" s="234" t="s">
        <v>332</v>
      </c>
      <c r="C17" s="149">
        <v>2018</v>
      </c>
      <c r="D17" s="56" t="s">
        <v>352</v>
      </c>
      <c r="E17" s="234" t="s">
        <v>286</v>
      </c>
      <c r="F17" s="234" t="s">
        <v>291</v>
      </c>
      <c r="G17" s="55" t="s">
        <v>42</v>
      </c>
      <c r="H17" s="55" t="s">
        <v>155</v>
      </c>
      <c r="I17" s="55" t="s">
        <v>153</v>
      </c>
      <c r="J17" s="55" t="s">
        <v>38</v>
      </c>
      <c r="K17" s="55" t="s">
        <v>154</v>
      </c>
      <c r="L17" s="234">
        <v>1</v>
      </c>
      <c r="M17" s="55"/>
      <c r="N17" s="55">
        <v>1</v>
      </c>
      <c r="O17" s="55">
        <v>0.75</v>
      </c>
      <c r="P17" s="55">
        <v>0.8</v>
      </c>
      <c r="Q17" s="57">
        <f t="shared" si="0"/>
        <v>0.77500000000000002</v>
      </c>
      <c r="R17" s="234">
        <v>13.8</v>
      </c>
      <c r="S17" s="234">
        <v>126</v>
      </c>
      <c r="T17" s="77">
        <f t="shared" si="3"/>
        <v>27</v>
      </c>
      <c r="U17" s="55">
        <v>84</v>
      </c>
      <c r="V17" s="78">
        <f t="shared" si="2"/>
        <v>2268</v>
      </c>
      <c r="W17" s="55">
        <v>2</v>
      </c>
      <c r="X17" s="55" t="s">
        <v>39</v>
      </c>
      <c r="Y17" s="55" t="s">
        <v>84</v>
      </c>
      <c r="Z17" s="55" t="s">
        <v>78</v>
      </c>
      <c r="AA17" s="55" t="s">
        <v>50</v>
      </c>
      <c r="AB17" s="55" t="s">
        <v>357</v>
      </c>
      <c r="AE17" s="220" t="s">
        <v>85</v>
      </c>
      <c r="AP17" s="236" t="s">
        <v>110</v>
      </c>
      <c r="AR17" s="228" t="s">
        <v>96</v>
      </c>
      <c r="AV17" s="65" t="s">
        <v>86</v>
      </c>
    </row>
    <row r="18" spans="1:49" x14ac:dyDescent="0.15">
      <c r="A18" s="55" t="s">
        <v>41</v>
      </c>
      <c r="B18" s="234" t="s">
        <v>332</v>
      </c>
      <c r="C18" s="149">
        <v>2018</v>
      </c>
      <c r="D18" s="56" t="s">
        <v>352</v>
      </c>
      <c r="E18" s="234" t="s">
        <v>286</v>
      </c>
      <c r="F18" s="234" t="s">
        <v>291</v>
      </c>
      <c r="G18" s="55" t="s">
        <v>42</v>
      </c>
      <c r="H18" s="55" t="s">
        <v>155</v>
      </c>
      <c r="I18" s="55" t="s">
        <v>153</v>
      </c>
      <c r="J18" s="55" t="s">
        <v>38</v>
      </c>
      <c r="K18" s="55" t="s">
        <v>154</v>
      </c>
      <c r="L18" s="234">
        <v>2</v>
      </c>
      <c r="N18" s="55">
        <v>1</v>
      </c>
      <c r="O18" s="55">
        <v>0.95</v>
      </c>
      <c r="P18" s="55">
        <v>0.95</v>
      </c>
      <c r="Q18" s="57">
        <f t="shared" si="0"/>
        <v>0.95</v>
      </c>
      <c r="R18" s="234">
        <v>15.1</v>
      </c>
      <c r="S18" s="234">
        <v>125</v>
      </c>
      <c r="T18" s="77">
        <f t="shared" si="3"/>
        <v>27</v>
      </c>
      <c r="U18" s="55">
        <v>84</v>
      </c>
      <c r="V18" s="58">
        <f t="shared" si="2"/>
        <v>2268</v>
      </c>
      <c r="W18" s="234">
        <v>2</v>
      </c>
      <c r="X18" s="55" t="s">
        <v>39</v>
      </c>
      <c r="Y18" s="55" t="s">
        <v>84</v>
      </c>
      <c r="Z18" s="55" t="s">
        <v>78</v>
      </c>
      <c r="AA18" s="55" t="s">
        <v>50</v>
      </c>
      <c r="AB18" s="55" t="s">
        <v>357</v>
      </c>
      <c r="AE18" s="220" t="s">
        <v>87</v>
      </c>
      <c r="AP18" s="236" t="s">
        <v>111</v>
      </c>
      <c r="AR18" s="228" t="s">
        <v>101</v>
      </c>
      <c r="AV18" s="65" t="s">
        <v>88</v>
      </c>
    </row>
    <row r="19" spans="1:49" x14ac:dyDescent="0.15">
      <c r="A19" s="55" t="s">
        <v>41</v>
      </c>
      <c r="B19" s="234" t="s">
        <v>332</v>
      </c>
      <c r="C19" s="149">
        <v>2018</v>
      </c>
      <c r="D19" s="56" t="s">
        <v>352</v>
      </c>
      <c r="E19" s="234" t="s">
        <v>286</v>
      </c>
      <c r="F19" s="234" t="s">
        <v>291</v>
      </c>
      <c r="G19" s="55" t="s">
        <v>42</v>
      </c>
      <c r="H19" s="55" t="s">
        <v>155</v>
      </c>
      <c r="I19" s="55" t="s">
        <v>153</v>
      </c>
      <c r="J19" s="55" t="s">
        <v>38</v>
      </c>
      <c r="K19" s="55" t="s">
        <v>154</v>
      </c>
      <c r="L19" s="234">
        <v>3</v>
      </c>
      <c r="N19" s="55">
        <v>1</v>
      </c>
      <c r="O19" s="55">
        <v>0.85</v>
      </c>
      <c r="P19" s="55">
        <v>0.9</v>
      </c>
      <c r="Q19" s="57">
        <f t="shared" si="0"/>
        <v>0.875</v>
      </c>
      <c r="R19" s="234">
        <v>14.2</v>
      </c>
      <c r="S19" s="234">
        <v>127</v>
      </c>
      <c r="T19" s="77">
        <f t="shared" si="3"/>
        <v>27</v>
      </c>
      <c r="U19" s="55">
        <v>84</v>
      </c>
      <c r="V19" s="58">
        <f t="shared" si="2"/>
        <v>2268</v>
      </c>
      <c r="W19" s="234">
        <v>2</v>
      </c>
      <c r="X19" s="55" t="s">
        <v>39</v>
      </c>
      <c r="Y19" s="55" t="s">
        <v>84</v>
      </c>
      <c r="Z19" s="55" t="s">
        <v>78</v>
      </c>
      <c r="AA19" s="55" t="s">
        <v>50</v>
      </c>
      <c r="AB19" s="55" t="s">
        <v>357</v>
      </c>
      <c r="AE19" s="233" t="s">
        <v>89</v>
      </c>
      <c r="AP19" s="236" t="s">
        <v>112</v>
      </c>
      <c r="AR19" s="228" t="s">
        <v>126</v>
      </c>
      <c r="AV19" s="65" t="s">
        <v>90</v>
      </c>
    </row>
    <row r="20" spans="1:49" x14ac:dyDescent="0.15">
      <c r="A20" s="55" t="s">
        <v>41</v>
      </c>
      <c r="B20" s="234" t="s">
        <v>332</v>
      </c>
      <c r="C20" s="149">
        <v>2018</v>
      </c>
      <c r="D20" s="56" t="s">
        <v>352</v>
      </c>
      <c r="E20" s="234" t="s">
        <v>286</v>
      </c>
      <c r="F20" s="234" t="s">
        <v>291</v>
      </c>
      <c r="G20" s="55" t="s">
        <v>42</v>
      </c>
      <c r="H20" s="55" t="s">
        <v>155</v>
      </c>
      <c r="I20" s="55" t="s">
        <v>153</v>
      </c>
      <c r="J20" s="55" t="s">
        <v>38</v>
      </c>
      <c r="K20" s="55" t="s">
        <v>154</v>
      </c>
      <c r="L20" s="234">
        <v>1</v>
      </c>
      <c r="M20" s="55"/>
      <c r="N20" s="55">
        <v>3</v>
      </c>
      <c r="O20" s="55">
        <v>0.75</v>
      </c>
      <c r="P20" s="55">
        <v>0.9</v>
      </c>
      <c r="Q20" s="57">
        <f t="shared" si="0"/>
        <v>0.82499999999999996</v>
      </c>
      <c r="R20" s="234">
        <v>13.8</v>
      </c>
      <c r="S20" s="234">
        <v>126</v>
      </c>
      <c r="T20" s="77">
        <f t="shared" ref="T20:T83" si="4">IF(H20="","",IF(OR(H20="GREEN",H20="GK"),IF(S20&gt;=$AX$2,VLOOKUP(S20,$AX$2:$AY$10,2,1),""),IF(S20&gt;=$AZ$2,VLOOKUP(S20,$AZ$2:$BA$10,2,1),"")))</f>
        <v>27</v>
      </c>
      <c r="U20" s="55">
        <v>429</v>
      </c>
      <c r="V20" s="78">
        <f t="shared" si="2"/>
        <v>3861</v>
      </c>
      <c r="W20" s="55">
        <v>1</v>
      </c>
      <c r="X20" s="55" t="s">
        <v>39</v>
      </c>
      <c r="Y20" s="55" t="s">
        <v>84</v>
      </c>
      <c r="Z20" s="55" t="s">
        <v>78</v>
      </c>
      <c r="AA20" s="55" t="s">
        <v>50</v>
      </c>
      <c r="AB20" s="55" t="s">
        <v>357</v>
      </c>
      <c r="AE20" s="233"/>
      <c r="AP20" s="236" t="s">
        <v>113</v>
      </c>
      <c r="AR20" s="228" t="s">
        <v>105</v>
      </c>
      <c r="AV20" s="69" t="s">
        <v>354</v>
      </c>
    </row>
    <row r="21" spans="1:49" x14ac:dyDescent="0.15">
      <c r="A21" s="55" t="s">
        <v>41</v>
      </c>
      <c r="B21" s="234" t="s">
        <v>332</v>
      </c>
      <c r="C21" s="149">
        <v>2018</v>
      </c>
      <c r="D21" s="56" t="s">
        <v>352</v>
      </c>
      <c r="E21" s="234" t="s">
        <v>286</v>
      </c>
      <c r="F21" s="234" t="s">
        <v>291</v>
      </c>
      <c r="G21" s="55" t="s">
        <v>42</v>
      </c>
      <c r="H21" s="55" t="s">
        <v>155</v>
      </c>
      <c r="I21" s="55" t="s">
        <v>153</v>
      </c>
      <c r="J21" s="55" t="s">
        <v>38</v>
      </c>
      <c r="K21" s="55" t="s">
        <v>154</v>
      </c>
      <c r="L21" s="234">
        <v>2</v>
      </c>
      <c r="N21" s="55">
        <v>3</v>
      </c>
      <c r="O21" s="55">
        <v>0.65</v>
      </c>
      <c r="P21" s="55">
        <v>0.45</v>
      </c>
      <c r="Q21" s="57">
        <f t="shared" si="0"/>
        <v>0.55000000000000004</v>
      </c>
      <c r="R21" s="234">
        <v>14.4</v>
      </c>
      <c r="S21" s="234">
        <v>123</v>
      </c>
      <c r="T21" s="77">
        <f t="shared" si="4"/>
        <v>27</v>
      </c>
      <c r="U21" s="55">
        <v>429</v>
      </c>
      <c r="V21" s="58">
        <f t="shared" si="2"/>
        <v>3861</v>
      </c>
      <c r="W21" s="234">
        <v>1</v>
      </c>
      <c r="X21" s="55" t="s">
        <v>39</v>
      </c>
      <c r="Y21" s="55" t="s">
        <v>84</v>
      </c>
      <c r="Z21" s="55" t="s">
        <v>78</v>
      </c>
      <c r="AA21" s="55" t="s">
        <v>50</v>
      </c>
      <c r="AB21" s="55" t="s">
        <v>357</v>
      </c>
      <c r="AE21" s="241"/>
      <c r="AP21" s="236" t="s">
        <v>114</v>
      </c>
      <c r="AR21" s="228" t="s">
        <v>68</v>
      </c>
      <c r="AV21" s="69" t="s">
        <v>355</v>
      </c>
    </row>
    <row r="22" spans="1:49" x14ac:dyDescent="0.15">
      <c r="A22" s="55" t="s">
        <v>41</v>
      </c>
      <c r="B22" s="234" t="s">
        <v>332</v>
      </c>
      <c r="C22" s="149">
        <v>2018</v>
      </c>
      <c r="D22" s="56" t="s">
        <v>352</v>
      </c>
      <c r="E22" s="234" t="s">
        <v>286</v>
      </c>
      <c r="F22" s="234" t="s">
        <v>291</v>
      </c>
      <c r="G22" s="55" t="s">
        <v>42</v>
      </c>
      <c r="H22" s="55" t="s">
        <v>155</v>
      </c>
      <c r="I22" s="55" t="s">
        <v>153</v>
      </c>
      <c r="J22" s="55" t="s">
        <v>38</v>
      </c>
      <c r="K22" s="55" t="s">
        <v>154</v>
      </c>
      <c r="L22" s="234">
        <v>3</v>
      </c>
      <c r="N22" s="55">
        <v>3</v>
      </c>
      <c r="O22" s="55">
        <v>0.5</v>
      </c>
      <c r="P22" s="55">
        <v>0.4</v>
      </c>
      <c r="Q22" s="57">
        <f t="shared" si="0"/>
        <v>0.45</v>
      </c>
      <c r="R22" s="234">
        <v>13</v>
      </c>
      <c r="S22" s="234">
        <v>124</v>
      </c>
      <c r="T22" s="77">
        <f t="shared" si="4"/>
        <v>27</v>
      </c>
      <c r="U22" s="55">
        <v>429</v>
      </c>
      <c r="V22" s="58">
        <f t="shared" si="2"/>
        <v>3861</v>
      </c>
      <c r="W22" s="234">
        <v>1</v>
      </c>
      <c r="X22" s="55" t="s">
        <v>39</v>
      </c>
      <c r="Y22" s="55" t="s">
        <v>84</v>
      </c>
      <c r="Z22" s="55" t="s">
        <v>78</v>
      </c>
      <c r="AA22" s="55" t="s">
        <v>50</v>
      </c>
      <c r="AB22" s="55" t="s">
        <v>357</v>
      </c>
      <c r="AP22" s="236" t="s">
        <v>115</v>
      </c>
      <c r="AR22" s="228" t="s">
        <v>83</v>
      </c>
      <c r="AV22" s="69"/>
    </row>
    <row r="23" spans="1:49" x14ac:dyDescent="0.15">
      <c r="A23" s="55" t="s">
        <v>41</v>
      </c>
      <c r="B23" s="234" t="s">
        <v>332</v>
      </c>
      <c r="C23" s="149">
        <v>2018</v>
      </c>
      <c r="D23" s="56" t="s">
        <v>352</v>
      </c>
      <c r="E23" s="234" t="s">
        <v>286</v>
      </c>
      <c r="F23" s="234" t="s">
        <v>291</v>
      </c>
      <c r="G23" s="55" t="s">
        <v>42</v>
      </c>
      <c r="H23" s="55" t="s">
        <v>129</v>
      </c>
      <c r="I23" s="55" t="s">
        <v>153</v>
      </c>
      <c r="J23" s="55" t="s">
        <v>58</v>
      </c>
      <c r="K23" s="55" t="s">
        <v>59</v>
      </c>
      <c r="L23" s="234">
        <v>1</v>
      </c>
      <c r="N23" s="55">
        <v>4</v>
      </c>
      <c r="O23" s="55">
        <v>0.25</v>
      </c>
      <c r="P23" s="55">
        <v>0.25</v>
      </c>
      <c r="Q23" s="57">
        <f t="shared" si="0"/>
        <v>0.25</v>
      </c>
      <c r="R23" s="234">
        <v>16.399999999999999</v>
      </c>
      <c r="S23" s="234">
        <v>85</v>
      </c>
      <c r="T23" s="77">
        <f t="shared" si="4"/>
        <v>36</v>
      </c>
      <c r="U23" s="55">
        <v>321</v>
      </c>
      <c r="V23" s="58">
        <f t="shared" si="2"/>
        <v>2889</v>
      </c>
      <c r="W23" s="234">
        <v>4</v>
      </c>
      <c r="X23" s="55" t="s">
        <v>39</v>
      </c>
      <c r="Y23" s="55" t="s">
        <v>84</v>
      </c>
      <c r="Z23" s="55" t="s">
        <v>78</v>
      </c>
      <c r="AA23" s="55" t="s">
        <v>50</v>
      </c>
      <c r="AB23" s="55" t="s">
        <v>357</v>
      </c>
      <c r="AP23" s="236" t="s">
        <v>117</v>
      </c>
      <c r="AR23" s="241" t="s">
        <v>285</v>
      </c>
      <c r="AV23" s="241"/>
    </row>
    <row r="24" spans="1:49" x14ac:dyDescent="0.15">
      <c r="A24" s="55" t="s">
        <v>41</v>
      </c>
      <c r="B24" s="234" t="s">
        <v>332</v>
      </c>
      <c r="C24" s="149">
        <v>2018</v>
      </c>
      <c r="D24" s="56" t="s">
        <v>352</v>
      </c>
      <c r="E24" s="234" t="s">
        <v>286</v>
      </c>
      <c r="F24" s="234" t="s">
        <v>291</v>
      </c>
      <c r="G24" s="55" t="s">
        <v>42</v>
      </c>
      <c r="H24" s="55" t="s">
        <v>129</v>
      </c>
      <c r="I24" s="55" t="s">
        <v>153</v>
      </c>
      <c r="J24" s="55" t="s">
        <v>58</v>
      </c>
      <c r="K24" s="55" t="s">
        <v>59</v>
      </c>
      <c r="L24" s="234">
        <v>2</v>
      </c>
      <c r="M24" s="55"/>
      <c r="N24" s="55">
        <v>4</v>
      </c>
      <c r="O24" s="55">
        <v>0.25</v>
      </c>
      <c r="P24" s="55">
        <v>0.25</v>
      </c>
      <c r="Q24" s="57">
        <f t="shared" si="0"/>
        <v>0.25</v>
      </c>
      <c r="R24" s="234">
        <v>15.1</v>
      </c>
      <c r="S24" s="234">
        <v>62</v>
      </c>
      <c r="T24" s="77">
        <f t="shared" si="4"/>
        <v>50</v>
      </c>
      <c r="U24" s="55">
        <v>321</v>
      </c>
      <c r="V24" s="78">
        <f t="shared" si="2"/>
        <v>4012.5</v>
      </c>
      <c r="W24" s="55">
        <v>4</v>
      </c>
      <c r="X24" s="55" t="s">
        <v>39</v>
      </c>
      <c r="Y24" s="55" t="s">
        <v>84</v>
      </c>
      <c r="Z24" s="55" t="s">
        <v>78</v>
      </c>
      <c r="AA24" s="55" t="s">
        <v>50</v>
      </c>
      <c r="AB24" s="55" t="s">
        <v>357</v>
      </c>
      <c r="AP24" s="236" t="s">
        <v>118</v>
      </c>
    </row>
    <row r="25" spans="1:49" x14ac:dyDescent="0.15">
      <c r="A25" s="55" t="s">
        <v>41</v>
      </c>
      <c r="B25" s="234" t="s">
        <v>332</v>
      </c>
      <c r="C25" s="149">
        <v>2018</v>
      </c>
      <c r="D25" s="56" t="s">
        <v>352</v>
      </c>
      <c r="E25" s="234" t="s">
        <v>286</v>
      </c>
      <c r="F25" s="234" t="s">
        <v>291</v>
      </c>
      <c r="G25" s="55" t="s">
        <v>42</v>
      </c>
      <c r="H25" s="55" t="s">
        <v>129</v>
      </c>
      <c r="I25" s="55" t="s">
        <v>153</v>
      </c>
      <c r="J25" s="55" t="s">
        <v>58</v>
      </c>
      <c r="K25" s="55" t="s">
        <v>59</v>
      </c>
      <c r="L25" s="234">
        <v>3</v>
      </c>
      <c r="N25" s="55">
        <v>4</v>
      </c>
      <c r="O25" s="55">
        <v>0.25</v>
      </c>
      <c r="P25" s="55">
        <v>0.25</v>
      </c>
      <c r="Q25" s="57">
        <f t="shared" si="0"/>
        <v>0.25</v>
      </c>
      <c r="R25" s="234">
        <v>14.1</v>
      </c>
      <c r="S25" s="234">
        <v>75</v>
      </c>
      <c r="T25" s="77">
        <f t="shared" si="4"/>
        <v>42</v>
      </c>
      <c r="U25" s="55">
        <v>321</v>
      </c>
      <c r="V25" s="58">
        <f t="shared" si="2"/>
        <v>3370.5</v>
      </c>
      <c r="W25" s="234">
        <v>4</v>
      </c>
      <c r="X25" s="55" t="s">
        <v>39</v>
      </c>
      <c r="Y25" s="55" t="s">
        <v>84</v>
      </c>
      <c r="Z25" s="55" t="s">
        <v>78</v>
      </c>
      <c r="AA25" s="55" t="s">
        <v>50</v>
      </c>
      <c r="AB25" s="55" t="s">
        <v>357</v>
      </c>
    </row>
    <row r="26" spans="1:49" x14ac:dyDescent="0.15">
      <c r="A26" s="55" t="s">
        <v>41</v>
      </c>
      <c r="B26" s="234" t="s">
        <v>332</v>
      </c>
      <c r="C26" s="149">
        <v>2018</v>
      </c>
      <c r="D26" s="56" t="s">
        <v>352</v>
      </c>
      <c r="E26" s="234" t="s">
        <v>286</v>
      </c>
      <c r="F26" s="234" t="s">
        <v>292</v>
      </c>
      <c r="G26" s="55" t="s">
        <v>42</v>
      </c>
      <c r="H26" s="55" t="s">
        <v>155</v>
      </c>
      <c r="I26" s="55" t="s">
        <v>153</v>
      </c>
      <c r="J26" s="55" t="s">
        <v>38</v>
      </c>
      <c r="K26" s="55" t="s">
        <v>154</v>
      </c>
      <c r="L26" s="234">
        <v>1</v>
      </c>
      <c r="M26" s="55"/>
      <c r="N26" s="55">
        <v>1</v>
      </c>
      <c r="O26" s="55">
        <v>0.95</v>
      </c>
      <c r="P26" s="55">
        <v>0.85</v>
      </c>
      <c r="Q26" s="82">
        <f t="shared" si="0"/>
        <v>0.89999999999999991</v>
      </c>
      <c r="R26" s="55">
        <v>13.5</v>
      </c>
      <c r="S26" s="55">
        <v>125</v>
      </c>
      <c r="T26" s="77">
        <f t="shared" si="4"/>
        <v>27</v>
      </c>
      <c r="U26" s="55">
        <v>84</v>
      </c>
      <c r="V26" s="78">
        <f t="shared" si="2"/>
        <v>2268</v>
      </c>
      <c r="W26" s="55">
        <v>2</v>
      </c>
      <c r="X26" s="55" t="s">
        <v>39</v>
      </c>
      <c r="Y26" s="55" t="s">
        <v>90</v>
      </c>
      <c r="Z26" s="55" t="s">
        <v>84</v>
      </c>
      <c r="AA26" s="55" t="s">
        <v>50</v>
      </c>
      <c r="AB26" s="55" t="s">
        <v>357</v>
      </c>
    </row>
    <row r="27" spans="1:49" x14ac:dyDescent="0.15">
      <c r="A27" s="55" t="s">
        <v>41</v>
      </c>
      <c r="B27" s="234" t="s">
        <v>332</v>
      </c>
      <c r="C27" s="149">
        <v>2018</v>
      </c>
      <c r="D27" s="56" t="s">
        <v>352</v>
      </c>
      <c r="E27" s="234" t="s">
        <v>286</v>
      </c>
      <c r="F27" s="234" t="s">
        <v>292</v>
      </c>
      <c r="G27" s="55" t="s">
        <v>42</v>
      </c>
      <c r="H27" s="55" t="s">
        <v>155</v>
      </c>
      <c r="I27" s="55" t="s">
        <v>153</v>
      </c>
      <c r="J27" s="55" t="s">
        <v>38</v>
      </c>
      <c r="K27" s="55" t="s">
        <v>154</v>
      </c>
      <c r="L27" s="234">
        <v>2</v>
      </c>
      <c r="N27" s="55">
        <v>1</v>
      </c>
      <c r="O27" s="234">
        <v>0.8</v>
      </c>
      <c r="P27" s="234">
        <v>0.9</v>
      </c>
      <c r="Q27" s="57">
        <f t="shared" si="0"/>
        <v>0.85000000000000009</v>
      </c>
      <c r="R27" s="234">
        <v>14</v>
      </c>
      <c r="S27" s="234">
        <v>124</v>
      </c>
      <c r="T27" s="77">
        <f t="shared" si="4"/>
        <v>27</v>
      </c>
      <c r="U27" s="55">
        <v>84</v>
      </c>
      <c r="V27" s="58">
        <f t="shared" si="2"/>
        <v>2268</v>
      </c>
      <c r="W27" s="234">
        <v>2</v>
      </c>
      <c r="X27" s="55" t="s">
        <v>39</v>
      </c>
      <c r="Y27" s="55" t="s">
        <v>90</v>
      </c>
      <c r="Z27" s="55" t="s">
        <v>84</v>
      </c>
      <c r="AA27" s="55" t="s">
        <v>50</v>
      </c>
      <c r="AB27" s="55" t="s">
        <v>357</v>
      </c>
      <c r="AE27" s="250"/>
      <c r="AF27" s="250"/>
      <c r="AG27" s="250"/>
      <c r="AH27" s="250"/>
      <c r="AI27" s="250"/>
      <c r="AJ27" s="250"/>
      <c r="AK27" s="250"/>
      <c r="AL27" s="250"/>
      <c r="AM27" s="250"/>
      <c r="AN27" s="250"/>
      <c r="AO27" s="250"/>
      <c r="AP27" s="250"/>
      <c r="AQ27" s="250"/>
      <c r="AR27" s="250"/>
      <c r="AS27" s="250"/>
      <c r="AT27" s="250"/>
      <c r="AU27" s="250"/>
      <c r="AV27" s="250"/>
      <c r="AW27" s="250"/>
    </row>
    <row r="28" spans="1:49" x14ac:dyDescent="0.15">
      <c r="A28" s="55" t="s">
        <v>41</v>
      </c>
      <c r="B28" s="234" t="s">
        <v>332</v>
      </c>
      <c r="C28" s="149">
        <v>2018</v>
      </c>
      <c r="D28" s="56" t="s">
        <v>352</v>
      </c>
      <c r="E28" s="234" t="s">
        <v>286</v>
      </c>
      <c r="F28" s="234" t="s">
        <v>292</v>
      </c>
      <c r="G28" s="55" t="s">
        <v>42</v>
      </c>
      <c r="H28" s="55" t="s">
        <v>155</v>
      </c>
      <c r="I28" s="55" t="s">
        <v>153</v>
      </c>
      <c r="J28" s="55" t="s">
        <v>38</v>
      </c>
      <c r="K28" s="55" t="s">
        <v>154</v>
      </c>
      <c r="L28" s="234">
        <v>3</v>
      </c>
      <c r="N28" s="55">
        <v>1</v>
      </c>
      <c r="O28" s="234">
        <v>0.95</v>
      </c>
      <c r="P28" s="234">
        <v>0.9</v>
      </c>
      <c r="Q28" s="57">
        <f t="shared" si="0"/>
        <v>0.92500000000000004</v>
      </c>
      <c r="R28" s="234">
        <v>12.9</v>
      </c>
      <c r="S28" s="234">
        <v>126</v>
      </c>
      <c r="T28" s="77">
        <f t="shared" si="4"/>
        <v>27</v>
      </c>
      <c r="U28" s="55">
        <v>84</v>
      </c>
      <c r="V28" s="58">
        <f t="shared" si="2"/>
        <v>2268</v>
      </c>
      <c r="W28" s="234">
        <v>2</v>
      </c>
      <c r="X28" s="55" t="s">
        <v>39</v>
      </c>
      <c r="Y28" s="55" t="s">
        <v>90</v>
      </c>
      <c r="Z28" s="55" t="s">
        <v>84</v>
      </c>
      <c r="AA28" s="55" t="s">
        <v>50</v>
      </c>
      <c r="AB28" s="55" t="s">
        <v>357</v>
      </c>
      <c r="AE28" s="250"/>
      <c r="AF28" s="250"/>
      <c r="AG28" s="250"/>
      <c r="AH28" s="250"/>
      <c r="AI28" s="250"/>
      <c r="AJ28" s="250"/>
      <c r="AK28" s="250"/>
      <c r="AL28" s="250"/>
      <c r="AM28" s="250"/>
      <c r="AN28" s="250"/>
      <c r="AO28" s="250"/>
      <c r="AP28" s="250"/>
      <c r="AQ28" s="250"/>
      <c r="AR28" s="250"/>
      <c r="AS28" s="250"/>
      <c r="AT28" s="250"/>
      <c r="AU28" s="250"/>
      <c r="AV28" s="250"/>
      <c r="AW28" s="250"/>
    </row>
    <row r="29" spans="1:49" x14ac:dyDescent="0.15">
      <c r="A29" s="55" t="s">
        <v>41</v>
      </c>
      <c r="B29" s="234" t="s">
        <v>332</v>
      </c>
      <c r="C29" s="149">
        <v>2018</v>
      </c>
      <c r="D29" s="56" t="s">
        <v>352</v>
      </c>
      <c r="E29" s="234" t="s">
        <v>286</v>
      </c>
      <c r="F29" s="234" t="s">
        <v>292</v>
      </c>
      <c r="G29" s="55" t="s">
        <v>42</v>
      </c>
      <c r="H29" s="55" t="s">
        <v>166</v>
      </c>
      <c r="I29" s="55" t="s">
        <v>153</v>
      </c>
      <c r="J29" s="55" t="s">
        <v>38</v>
      </c>
      <c r="K29" s="55" t="s">
        <v>154</v>
      </c>
      <c r="L29" s="234">
        <v>1</v>
      </c>
      <c r="M29" s="55"/>
      <c r="N29" s="55">
        <v>1</v>
      </c>
      <c r="O29" s="55">
        <v>0.4</v>
      </c>
      <c r="P29" s="55">
        <v>0.35</v>
      </c>
      <c r="Q29" s="82">
        <f t="shared" si="0"/>
        <v>0.375</v>
      </c>
      <c r="R29" s="55">
        <v>16.100000000000001</v>
      </c>
      <c r="S29" s="55">
        <v>130</v>
      </c>
      <c r="T29" s="77">
        <f t="shared" si="4"/>
        <v>25</v>
      </c>
      <c r="U29" s="55">
        <v>149</v>
      </c>
      <c r="V29" s="78">
        <f t="shared" si="2"/>
        <v>3725</v>
      </c>
      <c r="W29" s="55">
        <v>2</v>
      </c>
      <c r="X29" s="55" t="s">
        <v>39</v>
      </c>
      <c r="Y29" s="55" t="s">
        <v>90</v>
      </c>
      <c r="Z29" s="55" t="s">
        <v>84</v>
      </c>
      <c r="AA29" s="55" t="s">
        <v>50</v>
      </c>
      <c r="AB29" s="55" t="s">
        <v>357</v>
      </c>
    </row>
    <row r="30" spans="1:49" x14ac:dyDescent="0.15">
      <c r="A30" s="55" t="s">
        <v>41</v>
      </c>
      <c r="B30" s="234" t="s">
        <v>332</v>
      </c>
      <c r="C30" s="149">
        <v>2018</v>
      </c>
      <c r="D30" s="56" t="s">
        <v>352</v>
      </c>
      <c r="E30" s="234" t="s">
        <v>286</v>
      </c>
      <c r="F30" s="234" t="s">
        <v>292</v>
      </c>
      <c r="G30" s="55" t="s">
        <v>42</v>
      </c>
      <c r="H30" s="55" t="s">
        <v>166</v>
      </c>
      <c r="I30" s="55" t="s">
        <v>153</v>
      </c>
      <c r="J30" s="55" t="s">
        <v>38</v>
      </c>
      <c r="K30" s="55" t="s">
        <v>154</v>
      </c>
      <c r="L30" s="234">
        <v>2</v>
      </c>
      <c r="N30" s="55">
        <v>1</v>
      </c>
      <c r="O30" s="234">
        <v>0.35</v>
      </c>
      <c r="P30" s="234">
        <v>0.25</v>
      </c>
      <c r="Q30" s="57">
        <f t="shared" si="0"/>
        <v>0.3</v>
      </c>
      <c r="R30" s="234">
        <v>15</v>
      </c>
      <c r="S30" s="234">
        <v>128</v>
      </c>
      <c r="T30" s="77">
        <f t="shared" si="4"/>
        <v>27</v>
      </c>
      <c r="U30" s="55">
        <v>149</v>
      </c>
      <c r="V30" s="58">
        <f t="shared" si="2"/>
        <v>4023</v>
      </c>
      <c r="W30" s="234">
        <v>2</v>
      </c>
      <c r="X30" s="55" t="s">
        <v>39</v>
      </c>
      <c r="Y30" s="55" t="s">
        <v>90</v>
      </c>
      <c r="Z30" s="55" t="s">
        <v>84</v>
      </c>
      <c r="AA30" s="55" t="s">
        <v>50</v>
      </c>
      <c r="AB30" s="55" t="s">
        <v>357</v>
      </c>
      <c r="AE30" s="250"/>
      <c r="AF30" s="250"/>
      <c r="AG30" s="250"/>
      <c r="AH30" s="250"/>
      <c r="AI30" s="250"/>
      <c r="AJ30" s="250"/>
      <c r="AK30" s="250"/>
      <c r="AL30" s="250"/>
      <c r="AM30" s="250"/>
      <c r="AN30" s="250"/>
      <c r="AO30" s="250"/>
      <c r="AP30" s="250"/>
      <c r="AQ30" s="250"/>
      <c r="AR30" s="250"/>
      <c r="AS30" s="250"/>
      <c r="AT30" s="250"/>
      <c r="AU30" s="250"/>
      <c r="AV30" s="250"/>
      <c r="AW30" s="250"/>
    </row>
    <row r="31" spans="1:49" x14ac:dyDescent="0.15">
      <c r="A31" s="55" t="s">
        <v>41</v>
      </c>
      <c r="B31" s="234" t="s">
        <v>332</v>
      </c>
      <c r="C31" s="149">
        <v>2018</v>
      </c>
      <c r="D31" s="56" t="s">
        <v>352</v>
      </c>
      <c r="E31" s="234" t="s">
        <v>286</v>
      </c>
      <c r="F31" s="234" t="s">
        <v>292</v>
      </c>
      <c r="G31" s="55" t="s">
        <v>42</v>
      </c>
      <c r="H31" s="55" t="s">
        <v>166</v>
      </c>
      <c r="I31" s="55" t="s">
        <v>153</v>
      </c>
      <c r="J31" s="55" t="s">
        <v>38</v>
      </c>
      <c r="K31" s="55" t="s">
        <v>154</v>
      </c>
      <c r="L31" s="234">
        <v>3</v>
      </c>
      <c r="N31" s="55">
        <v>1</v>
      </c>
      <c r="O31" s="234">
        <v>0.45</v>
      </c>
      <c r="P31" s="234">
        <v>0.3</v>
      </c>
      <c r="Q31" s="57">
        <f t="shared" si="0"/>
        <v>0.375</v>
      </c>
      <c r="R31" s="234">
        <v>15.4</v>
      </c>
      <c r="S31" s="234">
        <v>127</v>
      </c>
      <c r="T31" s="77">
        <f t="shared" si="4"/>
        <v>27</v>
      </c>
      <c r="U31" s="55">
        <v>149</v>
      </c>
      <c r="V31" s="58">
        <f t="shared" si="2"/>
        <v>4023</v>
      </c>
      <c r="W31" s="234">
        <v>2</v>
      </c>
      <c r="X31" s="55" t="s">
        <v>39</v>
      </c>
      <c r="Y31" s="55" t="s">
        <v>90</v>
      </c>
      <c r="Z31" s="55" t="s">
        <v>84</v>
      </c>
      <c r="AA31" s="55" t="s">
        <v>50</v>
      </c>
      <c r="AB31" s="55" t="s">
        <v>357</v>
      </c>
      <c r="AE31" s="250"/>
      <c r="AF31" s="250"/>
      <c r="AG31" s="250"/>
      <c r="AH31" s="250"/>
      <c r="AI31" s="250"/>
      <c r="AJ31" s="250"/>
      <c r="AK31" s="250"/>
      <c r="AL31" s="250"/>
      <c r="AM31" s="250"/>
      <c r="AN31" s="250"/>
      <c r="AO31" s="250"/>
      <c r="AP31" s="250"/>
      <c r="AQ31" s="250"/>
      <c r="AR31" s="250"/>
      <c r="AS31" s="250"/>
      <c r="AT31" s="250"/>
      <c r="AU31" s="250"/>
      <c r="AV31" s="250"/>
      <c r="AW31" s="250"/>
    </row>
    <row r="32" spans="1:49" x14ac:dyDescent="0.15">
      <c r="A32" s="55" t="s">
        <v>41</v>
      </c>
      <c r="B32" s="234" t="s">
        <v>332</v>
      </c>
      <c r="C32" s="149">
        <v>2018</v>
      </c>
      <c r="D32" s="56" t="s">
        <v>352</v>
      </c>
      <c r="E32" s="234" t="s">
        <v>286</v>
      </c>
      <c r="F32" s="234" t="s">
        <v>292</v>
      </c>
      <c r="G32" s="55" t="s">
        <v>42</v>
      </c>
      <c r="H32" s="55" t="s">
        <v>155</v>
      </c>
      <c r="I32" s="55" t="s">
        <v>153</v>
      </c>
      <c r="J32" s="55" t="s">
        <v>38</v>
      </c>
      <c r="K32" s="55" t="s">
        <v>154</v>
      </c>
      <c r="L32" s="234">
        <v>1</v>
      </c>
      <c r="M32" s="55"/>
      <c r="N32" s="55">
        <v>7</v>
      </c>
      <c r="O32" s="55">
        <v>0.65</v>
      </c>
      <c r="P32" s="55">
        <v>0.75</v>
      </c>
      <c r="Q32" s="82">
        <f t="shared" si="0"/>
        <v>0.7</v>
      </c>
      <c r="R32" s="55">
        <v>14.7</v>
      </c>
      <c r="S32" s="55">
        <v>118</v>
      </c>
      <c r="T32" s="77">
        <f t="shared" si="4"/>
        <v>30</v>
      </c>
      <c r="U32" s="55">
        <v>540</v>
      </c>
      <c r="V32" s="78">
        <f t="shared" si="2"/>
        <v>2314.2857142857142</v>
      </c>
      <c r="W32" s="55">
        <v>1</v>
      </c>
      <c r="X32" s="55" t="s">
        <v>39</v>
      </c>
      <c r="Y32" s="55" t="s">
        <v>90</v>
      </c>
      <c r="Z32" s="55" t="s">
        <v>84</v>
      </c>
      <c r="AA32" s="55" t="s">
        <v>50</v>
      </c>
      <c r="AB32" s="55" t="s">
        <v>357</v>
      </c>
      <c r="AE32" s="254"/>
      <c r="AF32" s="250"/>
      <c r="AG32" s="255"/>
      <c r="AH32" s="255"/>
      <c r="AI32" s="250"/>
      <c r="AJ32" s="250"/>
      <c r="AK32" s="250"/>
      <c r="AL32" s="250"/>
      <c r="AM32" s="250"/>
      <c r="AN32" s="250"/>
      <c r="AO32" s="250"/>
      <c r="AP32" s="250"/>
      <c r="AQ32" s="250"/>
      <c r="AR32" s="255"/>
      <c r="AS32" s="250"/>
      <c r="AT32" s="250"/>
      <c r="AU32" s="250"/>
      <c r="AV32" s="250"/>
      <c r="AW32" s="250"/>
    </row>
    <row r="33" spans="1:49" x14ac:dyDescent="0.15">
      <c r="A33" s="55" t="s">
        <v>41</v>
      </c>
      <c r="B33" s="234" t="s">
        <v>332</v>
      </c>
      <c r="C33" s="149">
        <v>2018</v>
      </c>
      <c r="D33" s="56" t="s">
        <v>352</v>
      </c>
      <c r="E33" s="234" t="s">
        <v>286</v>
      </c>
      <c r="F33" s="234" t="s">
        <v>292</v>
      </c>
      <c r="G33" s="55" t="s">
        <v>42</v>
      </c>
      <c r="H33" s="55" t="s">
        <v>155</v>
      </c>
      <c r="I33" s="55" t="s">
        <v>153</v>
      </c>
      <c r="J33" s="55" t="s">
        <v>38</v>
      </c>
      <c r="K33" s="55" t="s">
        <v>154</v>
      </c>
      <c r="L33" s="234">
        <v>2</v>
      </c>
      <c r="N33" s="55">
        <v>7</v>
      </c>
      <c r="O33" s="234">
        <v>0.8</v>
      </c>
      <c r="P33" s="234">
        <v>0.8</v>
      </c>
      <c r="Q33" s="57">
        <f t="shared" si="0"/>
        <v>0.8</v>
      </c>
      <c r="R33" s="234">
        <v>14.1</v>
      </c>
      <c r="S33" s="234">
        <v>115</v>
      </c>
      <c r="T33" s="77">
        <f t="shared" si="4"/>
        <v>30</v>
      </c>
      <c r="U33" s="55">
        <v>540</v>
      </c>
      <c r="V33" s="58">
        <f t="shared" si="2"/>
        <v>2314.2857142857142</v>
      </c>
      <c r="W33" s="234">
        <v>1</v>
      </c>
      <c r="X33" s="55" t="s">
        <v>39</v>
      </c>
      <c r="Y33" s="55" t="s">
        <v>90</v>
      </c>
      <c r="Z33" s="55" t="s">
        <v>84</v>
      </c>
      <c r="AA33" s="55" t="s">
        <v>50</v>
      </c>
      <c r="AB33" s="55" t="s">
        <v>357</v>
      </c>
      <c r="AE33" s="254"/>
      <c r="AF33" s="250"/>
      <c r="AG33" s="255"/>
      <c r="AH33" s="255"/>
      <c r="AI33" s="250"/>
      <c r="AJ33" s="250"/>
      <c r="AK33" s="250"/>
      <c r="AL33" s="250"/>
      <c r="AM33" s="250"/>
      <c r="AN33" s="250"/>
      <c r="AO33" s="250"/>
      <c r="AP33" s="250"/>
      <c r="AQ33" s="250"/>
      <c r="AR33" s="255"/>
      <c r="AS33" s="250"/>
      <c r="AT33" s="250"/>
      <c r="AU33" s="250"/>
      <c r="AV33" s="250"/>
      <c r="AW33" s="250"/>
    </row>
    <row r="34" spans="1:49" x14ac:dyDescent="0.15">
      <c r="A34" s="55" t="s">
        <v>41</v>
      </c>
      <c r="B34" s="234" t="s">
        <v>332</v>
      </c>
      <c r="C34" s="149">
        <v>2018</v>
      </c>
      <c r="D34" s="56" t="s">
        <v>352</v>
      </c>
      <c r="E34" s="234" t="s">
        <v>286</v>
      </c>
      <c r="F34" s="234" t="s">
        <v>292</v>
      </c>
      <c r="G34" s="55" t="s">
        <v>42</v>
      </c>
      <c r="H34" s="55" t="s">
        <v>155</v>
      </c>
      <c r="I34" s="55" t="s">
        <v>153</v>
      </c>
      <c r="J34" s="55" t="s">
        <v>38</v>
      </c>
      <c r="K34" s="55" t="s">
        <v>154</v>
      </c>
      <c r="L34" s="234">
        <v>3</v>
      </c>
      <c r="N34" s="55">
        <v>7</v>
      </c>
      <c r="O34" s="234">
        <v>0.65</v>
      </c>
      <c r="P34" s="234">
        <v>0.7</v>
      </c>
      <c r="Q34" s="57">
        <f t="shared" si="0"/>
        <v>0.67500000000000004</v>
      </c>
      <c r="R34" s="234">
        <v>14.3</v>
      </c>
      <c r="S34" s="234">
        <v>115</v>
      </c>
      <c r="T34" s="77">
        <f t="shared" si="4"/>
        <v>30</v>
      </c>
      <c r="U34" s="55">
        <v>540</v>
      </c>
      <c r="V34" s="58">
        <f t="shared" si="2"/>
        <v>2314.2857142857142</v>
      </c>
      <c r="W34" s="234">
        <v>1</v>
      </c>
      <c r="X34" s="55" t="s">
        <v>39</v>
      </c>
      <c r="Y34" s="55" t="s">
        <v>90</v>
      </c>
      <c r="Z34" s="55" t="s">
        <v>84</v>
      </c>
      <c r="AA34" s="55" t="s">
        <v>50</v>
      </c>
      <c r="AB34" s="55" t="s">
        <v>357</v>
      </c>
      <c r="AE34" s="254"/>
      <c r="AF34" s="250"/>
      <c r="AG34" s="255"/>
      <c r="AH34" s="255"/>
      <c r="AI34" s="250"/>
      <c r="AJ34" s="250"/>
      <c r="AK34" s="250"/>
      <c r="AL34" s="250"/>
      <c r="AM34" s="250"/>
      <c r="AN34" s="250"/>
      <c r="AO34" s="250"/>
      <c r="AP34" s="250"/>
      <c r="AQ34" s="250"/>
      <c r="AR34" s="255"/>
      <c r="AS34" s="250"/>
      <c r="AT34" s="250"/>
      <c r="AU34" s="250"/>
      <c r="AV34" s="250"/>
      <c r="AW34" s="250"/>
    </row>
    <row r="35" spans="1:49" x14ac:dyDescent="0.15">
      <c r="A35" s="55" t="s">
        <v>41</v>
      </c>
      <c r="B35" s="234" t="s">
        <v>332</v>
      </c>
      <c r="C35" s="149">
        <v>2018</v>
      </c>
      <c r="D35" s="56" t="s">
        <v>352</v>
      </c>
      <c r="E35" s="234" t="s">
        <v>287</v>
      </c>
      <c r="F35" s="234" t="s">
        <v>291</v>
      </c>
      <c r="G35" s="55" t="s">
        <v>42</v>
      </c>
      <c r="H35" s="55" t="s">
        <v>155</v>
      </c>
      <c r="I35" s="55" t="s">
        <v>153</v>
      </c>
      <c r="J35" s="55" t="s">
        <v>38</v>
      </c>
      <c r="K35" s="55" t="s">
        <v>154</v>
      </c>
      <c r="L35" s="234">
        <v>1</v>
      </c>
      <c r="N35" s="55">
        <v>1</v>
      </c>
      <c r="O35" s="55">
        <v>0.85</v>
      </c>
      <c r="P35" s="55">
        <v>0.95</v>
      </c>
      <c r="Q35" s="57">
        <f t="shared" si="0"/>
        <v>0.89999999999999991</v>
      </c>
      <c r="R35" s="234">
        <v>14.3</v>
      </c>
      <c r="S35" s="55">
        <v>125</v>
      </c>
      <c r="T35" s="57">
        <f t="shared" si="4"/>
        <v>27</v>
      </c>
      <c r="U35" s="234">
        <v>108</v>
      </c>
      <c r="V35" s="58">
        <f t="shared" si="2"/>
        <v>2916</v>
      </c>
      <c r="W35" s="234">
        <v>1</v>
      </c>
      <c r="X35" s="55" t="s">
        <v>46</v>
      </c>
      <c r="Y35" s="55" t="s">
        <v>84</v>
      </c>
      <c r="Z35" s="55" t="s">
        <v>90</v>
      </c>
      <c r="AA35" s="55" t="s">
        <v>102</v>
      </c>
      <c r="AB35" s="55" t="s">
        <v>357</v>
      </c>
    </row>
    <row r="36" spans="1:49" x14ac:dyDescent="0.15">
      <c r="A36" s="55" t="s">
        <v>41</v>
      </c>
      <c r="B36" s="234" t="s">
        <v>332</v>
      </c>
      <c r="C36" s="149">
        <v>2018</v>
      </c>
      <c r="D36" s="56" t="s">
        <v>352</v>
      </c>
      <c r="E36" s="234" t="s">
        <v>287</v>
      </c>
      <c r="F36" s="234" t="s">
        <v>291</v>
      </c>
      <c r="G36" s="55" t="s">
        <v>42</v>
      </c>
      <c r="H36" s="55" t="s">
        <v>155</v>
      </c>
      <c r="I36" s="55" t="s">
        <v>153</v>
      </c>
      <c r="J36" s="55" t="s">
        <v>38</v>
      </c>
      <c r="K36" s="55" t="s">
        <v>154</v>
      </c>
      <c r="L36" s="234">
        <v>2</v>
      </c>
      <c r="N36" s="55">
        <v>1</v>
      </c>
      <c r="O36" s="55">
        <v>0.65</v>
      </c>
      <c r="P36" s="55">
        <v>0.75</v>
      </c>
      <c r="Q36" s="57">
        <f t="shared" si="0"/>
        <v>0.7</v>
      </c>
      <c r="R36" s="234">
        <v>13.8</v>
      </c>
      <c r="S36" s="55">
        <v>124</v>
      </c>
      <c r="T36" s="57">
        <f t="shared" si="4"/>
        <v>27</v>
      </c>
      <c r="U36" s="234">
        <v>108</v>
      </c>
      <c r="V36" s="58">
        <f t="shared" si="2"/>
        <v>2916</v>
      </c>
      <c r="W36" s="234">
        <v>1</v>
      </c>
      <c r="X36" s="55" t="s">
        <v>46</v>
      </c>
      <c r="Y36" s="55" t="s">
        <v>84</v>
      </c>
      <c r="Z36" s="55" t="s">
        <v>90</v>
      </c>
      <c r="AA36" s="55" t="s">
        <v>102</v>
      </c>
      <c r="AB36" s="55" t="s">
        <v>357</v>
      </c>
    </row>
    <row r="37" spans="1:49" x14ac:dyDescent="0.15">
      <c r="A37" s="55" t="s">
        <v>41</v>
      </c>
      <c r="B37" s="234" t="s">
        <v>332</v>
      </c>
      <c r="C37" s="149">
        <v>2018</v>
      </c>
      <c r="D37" s="56" t="s">
        <v>352</v>
      </c>
      <c r="E37" s="234" t="s">
        <v>287</v>
      </c>
      <c r="F37" s="234" t="s">
        <v>291</v>
      </c>
      <c r="G37" s="55" t="s">
        <v>42</v>
      </c>
      <c r="H37" s="55" t="s">
        <v>155</v>
      </c>
      <c r="I37" s="55" t="s">
        <v>153</v>
      </c>
      <c r="J37" s="55" t="s">
        <v>38</v>
      </c>
      <c r="K37" s="55" t="s">
        <v>154</v>
      </c>
      <c r="L37" s="234">
        <v>3</v>
      </c>
      <c r="N37" s="55">
        <v>1</v>
      </c>
      <c r="O37" s="55">
        <v>0.95</v>
      </c>
      <c r="P37" s="55">
        <v>1</v>
      </c>
      <c r="Q37" s="57">
        <f t="shared" si="0"/>
        <v>0.97499999999999998</v>
      </c>
      <c r="R37" s="234">
        <v>15.4</v>
      </c>
      <c r="S37" s="55">
        <v>122</v>
      </c>
      <c r="T37" s="57">
        <f t="shared" si="4"/>
        <v>27</v>
      </c>
      <c r="U37" s="234">
        <v>108</v>
      </c>
      <c r="V37" s="58">
        <f t="shared" si="2"/>
        <v>2916</v>
      </c>
      <c r="W37" s="234">
        <v>1</v>
      </c>
      <c r="X37" s="55" t="s">
        <v>46</v>
      </c>
      <c r="Y37" s="55" t="s">
        <v>84</v>
      </c>
      <c r="Z37" s="55" t="s">
        <v>90</v>
      </c>
      <c r="AA37" s="55" t="s">
        <v>102</v>
      </c>
      <c r="AB37" s="55" t="s">
        <v>357</v>
      </c>
    </row>
    <row r="38" spans="1:49" x14ac:dyDescent="0.15">
      <c r="A38" s="55" t="s">
        <v>41</v>
      </c>
      <c r="B38" s="234" t="s">
        <v>332</v>
      </c>
      <c r="C38" s="149">
        <v>2018</v>
      </c>
      <c r="D38" s="56" t="s">
        <v>352</v>
      </c>
      <c r="E38" s="234" t="s">
        <v>287</v>
      </c>
      <c r="F38" s="234" t="s">
        <v>291</v>
      </c>
      <c r="G38" s="55" t="s">
        <v>42</v>
      </c>
      <c r="H38" s="55" t="s">
        <v>166</v>
      </c>
      <c r="I38" s="55" t="s">
        <v>153</v>
      </c>
      <c r="J38" s="55" t="s">
        <v>38</v>
      </c>
      <c r="K38" s="55" t="s">
        <v>154</v>
      </c>
      <c r="L38" s="234">
        <v>1</v>
      </c>
      <c r="N38" s="55">
        <v>1</v>
      </c>
      <c r="O38" s="55">
        <v>0.35</v>
      </c>
      <c r="P38" s="55">
        <v>0.35</v>
      </c>
      <c r="Q38" s="82">
        <f t="shared" si="0"/>
        <v>0.35</v>
      </c>
      <c r="R38" s="55">
        <v>16.5</v>
      </c>
      <c r="S38" s="55">
        <v>120</v>
      </c>
      <c r="T38" s="57">
        <f t="shared" si="4"/>
        <v>30</v>
      </c>
      <c r="U38" s="234">
        <v>170</v>
      </c>
      <c r="V38" s="58">
        <f t="shared" si="2"/>
        <v>5100</v>
      </c>
      <c r="W38" s="234">
        <v>1</v>
      </c>
      <c r="X38" s="55" t="s">
        <v>46</v>
      </c>
      <c r="Y38" s="55" t="s">
        <v>84</v>
      </c>
      <c r="Z38" s="55" t="s">
        <v>90</v>
      </c>
      <c r="AA38" s="55" t="s">
        <v>102</v>
      </c>
      <c r="AB38" s="55" t="s">
        <v>357</v>
      </c>
      <c r="AC38" s="55"/>
      <c r="AD38" s="55"/>
    </row>
    <row r="39" spans="1:49" x14ac:dyDescent="0.15">
      <c r="A39" s="55" t="s">
        <v>41</v>
      </c>
      <c r="B39" s="234" t="s">
        <v>332</v>
      </c>
      <c r="C39" s="149">
        <v>2018</v>
      </c>
      <c r="D39" s="56" t="s">
        <v>352</v>
      </c>
      <c r="E39" s="234" t="s">
        <v>287</v>
      </c>
      <c r="F39" s="234" t="s">
        <v>291</v>
      </c>
      <c r="G39" s="55" t="s">
        <v>42</v>
      </c>
      <c r="H39" s="55" t="s">
        <v>166</v>
      </c>
      <c r="I39" s="55" t="s">
        <v>153</v>
      </c>
      <c r="J39" s="55" t="s">
        <v>38</v>
      </c>
      <c r="K39" s="55" t="s">
        <v>154</v>
      </c>
      <c r="L39" s="234">
        <v>2</v>
      </c>
      <c r="N39" s="55">
        <v>1</v>
      </c>
      <c r="O39" s="55">
        <v>0.25</v>
      </c>
      <c r="P39" s="55">
        <v>0.25</v>
      </c>
      <c r="Q39" s="82">
        <f t="shared" si="0"/>
        <v>0.25</v>
      </c>
      <c r="R39" s="55">
        <v>14.4</v>
      </c>
      <c r="S39" s="55">
        <v>119</v>
      </c>
      <c r="T39" s="57">
        <f t="shared" si="4"/>
        <v>30</v>
      </c>
      <c r="U39" s="234">
        <v>170</v>
      </c>
      <c r="V39" s="58">
        <f t="shared" si="2"/>
        <v>5100</v>
      </c>
      <c r="W39" s="234">
        <v>1</v>
      </c>
      <c r="X39" s="55" t="s">
        <v>46</v>
      </c>
      <c r="Y39" s="55" t="s">
        <v>84</v>
      </c>
      <c r="Z39" s="55" t="s">
        <v>90</v>
      </c>
      <c r="AA39" s="55" t="s">
        <v>102</v>
      </c>
      <c r="AB39" s="55" t="s">
        <v>357</v>
      </c>
      <c r="AC39" s="55"/>
      <c r="AD39" s="55"/>
    </row>
    <row r="40" spans="1:49" x14ac:dyDescent="0.15">
      <c r="A40" s="55" t="s">
        <v>41</v>
      </c>
      <c r="B40" s="234" t="s">
        <v>332</v>
      </c>
      <c r="C40" s="149">
        <v>2018</v>
      </c>
      <c r="D40" s="56" t="s">
        <v>352</v>
      </c>
      <c r="E40" s="234" t="s">
        <v>287</v>
      </c>
      <c r="F40" s="234" t="s">
        <v>291</v>
      </c>
      <c r="G40" s="55" t="s">
        <v>42</v>
      </c>
      <c r="H40" s="55" t="s">
        <v>166</v>
      </c>
      <c r="I40" s="55" t="s">
        <v>153</v>
      </c>
      <c r="J40" s="55" t="s">
        <v>38</v>
      </c>
      <c r="K40" s="55" t="s">
        <v>154</v>
      </c>
      <c r="L40" s="234">
        <v>3</v>
      </c>
      <c r="N40" s="55">
        <v>1</v>
      </c>
      <c r="O40" s="55">
        <v>0.45</v>
      </c>
      <c r="P40" s="55">
        <v>0.3</v>
      </c>
      <c r="Q40" s="82">
        <f t="shared" si="0"/>
        <v>0.375</v>
      </c>
      <c r="R40" s="55">
        <v>14.3</v>
      </c>
      <c r="S40" s="55">
        <v>121</v>
      </c>
      <c r="T40" s="57">
        <f t="shared" si="4"/>
        <v>27</v>
      </c>
      <c r="U40" s="234">
        <v>170</v>
      </c>
      <c r="V40" s="58">
        <f t="shared" si="2"/>
        <v>4590</v>
      </c>
      <c r="W40" s="234">
        <v>1</v>
      </c>
      <c r="X40" s="55" t="s">
        <v>46</v>
      </c>
      <c r="Y40" s="55" t="s">
        <v>84</v>
      </c>
      <c r="Z40" s="55" t="s">
        <v>90</v>
      </c>
      <c r="AA40" s="55" t="s">
        <v>102</v>
      </c>
      <c r="AB40" s="55" t="s">
        <v>357</v>
      </c>
      <c r="AC40" s="55"/>
      <c r="AD40" s="55"/>
    </row>
    <row r="41" spans="1:49" x14ac:dyDescent="0.15">
      <c r="A41" s="55" t="s">
        <v>41</v>
      </c>
      <c r="B41" s="234" t="s">
        <v>332</v>
      </c>
      <c r="C41" s="149">
        <v>2018</v>
      </c>
      <c r="D41" s="56" t="s">
        <v>352</v>
      </c>
      <c r="E41" s="234" t="s">
        <v>287</v>
      </c>
      <c r="F41" s="234" t="s">
        <v>291</v>
      </c>
      <c r="G41" s="55" t="s">
        <v>42</v>
      </c>
      <c r="H41" s="55" t="s">
        <v>166</v>
      </c>
      <c r="I41" s="55" t="s">
        <v>153</v>
      </c>
      <c r="J41" s="55" t="s">
        <v>38</v>
      </c>
      <c r="K41" s="55" t="s">
        <v>154</v>
      </c>
      <c r="L41" s="234">
        <v>1</v>
      </c>
      <c r="N41" s="55">
        <v>4</v>
      </c>
      <c r="O41" s="55">
        <v>0.25</v>
      </c>
      <c r="P41" s="55">
        <v>0.25</v>
      </c>
      <c r="Q41" s="82">
        <f t="shared" si="0"/>
        <v>0.25</v>
      </c>
      <c r="R41" s="55">
        <v>13.2</v>
      </c>
      <c r="S41" s="55">
        <v>120</v>
      </c>
      <c r="T41" s="57">
        <f t="shared" si="4"/>
        <v>30</v>
      </c>
      <c r="U41" s="234">
        <v>645</v>
      </c>
      <c r="V41" s="58">
        <f t="shared" si="2"/>
        <v>4837.5</v>
      </c>
      <c r="W41" s="234">
        <v>1</v>
      </c>
      <c r="X41" s="55" t="s">
        <v>46</v>
      </c>
      <c r="Y41" s="55" t="s">
        <v>84</v>
      </c>
      <c r="Z41" s="55" t="s">
        <v>90</v>
      </c>
      <c r="AA41" s="55" t="s">
        <v>102</v>
      </c>
      <c r="AB41" s="55" t="s">
        <v>357</v>
      </c>
    </row>
    <row r="42" spans="1:49" x14ac:dyDescent="0.15">
      <c r="A42" s="55" t="s">
        <v>41</v>
      </c>
      <c r="B42" s="234" t="s">
        <v>332</v>
      </c>
      <c r="C42" s="149">
        <v>2018</v>
      </c>
      <c r="D42" s="56" t="s">
        <v>352</v>
      </c>
      <c r="E42" s="234" t="s">
        <v>287</v>
      </c>
      <c r="F42" s="234" t="s">
        <v>291</v>
      </c>
      <c r="G42" s="55" t="s">
        <v>42</v>
      </c>
      <c r="H42" s="55" t="s">
        <v>166</v>
      </c>
      <c r="I42" s="55" t="s">
        <v>153</v>
      </c>
      <c r="J42" s="55" t="s">
        <v>38</v>
      </c>
      <c r="K42" s="55" t="s">
        <v>154</v>
      </c>
      <c r="L42" s="234">
        <v>2</v>
      </c>
      <c r="N42" s="55">
        <v>4</v>
      </c>
      <c r="O42" s="55">
        <v>0.25</v>
      </c>
      <c r="P42" s="55">
        <v>0.25</v>
      </c>
      <c r="Q42" s="82">
        <f t="shared" si="0"/>
        <v>0.25</v>
      </c>
      <c r="R42" s="55">
        <v>15.5</v>
      </c>
      <c r="S42" s="55">
        <v>120</v>
      </c>
      <c r="T42" s="57">
        <f t="shared" si="4"/>
        <v>30</v>
      </c>
      <c r="U42" s="234">
        <v>645</v>
      </c>
      <c r="V42" s="58">
        <f t="shared" si="2"/>
        <v>4837.5</v>
      </c>
      <c r="W42" s="234">
        <v>1</v>
      </c>
      <c r="X42" s="55" t="s">
        <v>46</v>
      </c>
      <c r="Y42" s="55" t="s">
        <v>84</v>
      </c>
      <c r="Z42" s="55" t="s">
        <v>90</v>
      </c>
      <c r="AA42" s="55" t="s">
        <v>102</v>
      </c>
      <c r="AB42" s="55" t="s">
        <v>357</v>
      </c>
    </row>
    <row r="43" spans="1:49" x14ac:dyDescent="0.15">
      <c r="A43" s="55" t="s">
        <v>41</v>
      </c>
      <c r="B43" s="234" t="s">
        <v>332</v>
      </c>
      <c r="C43" s="149">
        <v>2018</v>
      </c>
      <c r="D43" s="56" t="s">
        <v>352</v>
      </c>
      <c r="E43" s="234" t="s">
        <v>287</v>
      </c>
      <c r="F43" s="234" t="s">
        <v>291</v>
      </c>
      <c r="G43" s="55" t="s">
        <v>42</v>
      </c>
      <c r="H43" s="55" t="s">
        <v>166</v>
      </c>
      <c r="I43" s="55" t="s">
        <v>153</v>
      </c>
      <c r="J43" s="55" t="s">
        <v>38</v>
      </c>
      <c r="K43" s="55" t="s">
        <v>154</v>
      </c>
      <c r="L43" s="234">
        <v>3</v>
      </c>
      <c r="N43" s="55">
        <v>4</v>
      </c>
      <c r="O43" s="55">
        <v>0.25</v>
      </c>
      <c r="P43" s="55">
        <v>0.25</v>
      </c>
      <c r="Q43" s="82">
        <f t="shared" si="0"/>
        <v>0.25</v>
      </c>
      <c r="R43" s="55">
        <v>15.3</v>
      </c>
      <c r="S43" s="55">
        <v>117</v>
      </c>
      <c r="T43" s="57">
        <f t="shared" si="4"/>
        <v>30</v>
      </c>
      <c r="U43" s="55">
        <v>645</v>
      </c>
      <c r="V43" s="58">
        <f t="shared" si="2"/>
        <v>4837.5</v>
      </c>
      <c r="W43" s="234">
        <v>1</v>
      </c>
      <c r="X43" s="55" t="s">
        <v>46</v>
      </c>
      <c r="Y43" s="55" t="s">
        <v>84</v>
      </c>
      <c r="Z43" s="55" t="s">
        <v>90</v>
      </c>
      <c r="AA43" s="55" t="s">
        <v>102</v>
      </c>
      <c r="AB43" s="55" t="s">
        <v>357</v>
      </c>
    </row>
    <row r="44" spans="1:49" x14ac:dyDescent="0.15">
      <c r="A44" s="55" t="s">
        <v>41</v>
      </c>
      <c r="B44" s="234" t="s">
        <v>332</v>
      </c>
      <c r="C44" s="149">
        <v>2018</v>
      </c>
      <c r="D44" s="56" t="s">
        <v>352</v>
      </c>
      <c r="E44" s="234" t="s">
        <v>287</v>
      </c>
      <c r="F44" s="234" t="s">
        <v>291</v>
      </c>
      <c r="G44" s="55" t="s">
        <v>42</v>
      </c>
      <c r="H44" s="55" t="s">
        <v>155</v>
      </c>
      <c r="I44" s="55" t="s">
        <v>153</v>
      </c>
      <c r="J44" s="55" t="s">
        <v>38</v>
      </c>
      <c r="K44" s="55" t="s">
        <v>154</v>
      </c>
      <c r="L44" s="234">
        <v>1</v>
      </c>
      <c r="N44" s="55">
        <v>8</v>
      </c>
      <c r="O44" s="55">
        <v>1</v>
      </c>
      <c r="P44" s="55">
        <v>0.9</v>
      </c>
      <c r="Q44" s="82">
        <f t="shared" si="0"/>
        <v>0.95</v>
      </c>
      <c r="R44" s="55">
        <v>14.7</v>
      </c>
      <c r="S44" s="55">
        <v>118</v>
      </c>
      <c r="T44" s="57">
        <f t="shared" si="4"/>
        <v>30</v>
      </c>
      <c r="U44" s="234">
        <v>842</v>
      </c>
      <c r="V44" s="58">
        <f t="shared" si="2"/>
        <v>3157.5</v>
      </c>
      <c r="W44" s="234">
        <v>3</v>
      </c>
      <c r="X44" s="55" t="s">
        <v>46</v>
      </c>
      <c r="Y44" s="55" t="s">
        <v>84</v>
      </c>
      <c r="Z44" s="55" t="s">
        <v>90</v>
      </c>
      <c r="AA44" s="55" t="s">
        <v>102</v>
      </c>
      <c r="AB44" s="55" t="s">
        <v>357</v>
      </c>
    </row>
    <row r="45" spans="1:49" x14ac:dyDescent="0.15">
      <c r="A45" s="55" t="s">
        <v>41</v>
      </c>
      <c r="B45" s="234" t="s">
        <v>332</v>
      </c>
      <c r="C45" s="149">
        <v>2018</v>
      </c>
      <c r="D45" s="56" t="s">
        <v>352</v>
      </c>
      <c r="E45" s="234" t="s">
        <v>287</v>
      </c>
      <c r="F45" s="234" t="s">
        <v>291</v>
      </c>
      <c r="G45" s="55" t="s">
        <v>42</v>
      </c>
      <c r="H45" s="55" t="s">
        <v>155</v>
      </c>
      <c r="I45" s="55" t="s">
        <v>153</v>
      </c>
      <c r="J45" s="55" t="s">
        <v>38</v>
      </c>
      <c r="K45" s="55" t="s">
        <v>154</v>
      </c>
      <c r="L45" s="234">
        <v>2</v>
      </c>
      <c r="N45" s="55">
        <v>8</v>
      </c>
      <c r="O45" s="55">
        <v>0.95</v>
      </c>
      <c r="P45" s="55">
        <v>0.85</v>
      </c>
      <c r="Q45" s="82">
        <f t="shared" si="0"/>
        <v>0.89999999999999991</v>
      </c>
      <c r="R45" s="55">
        <v>13.8</v>
      </c>
      <c r="S45" s="55">
        <v>115</v>
      </c>
      <c r="T45" s="57">
        <f t="shared" si="4"/>
        <v>30</v>
      </c>
      <c r="U45" s="234">
        <v>842</v>
      </c>
      <c r="V45" s="58">
        <f t="shared" si="2"/>
        <v>3157.5</v>
      </c>
      <c r="W45" s="234">
        <v>3</v>
      </c>
      <c r="X45" s="55" t="s">
        <v>46</v>
      </c>
      <c r="Y45" s="55" t="s">
        <v>84</v>
      </c>
      <c r="Z45" s="55" t="s">
        <v>90</v>
      </c>
      <c r="AA45" s="55" t="s">
        <v>102</v>
      </c>
      <c r="AB45" s="55" t="s">
        <v>357</v>
      </c>
    </row>
    <row r="46" spans="1:49" x14ac:dyDescent="0.15">
      <c r="A46" s="55" t="s">
        <v>41</v>
      </c>
      <c r="B46" s="234" t="s">
        <v>332</v>
      </c>
      <c r="C46" s="149">
        <v>2018</v>
      </c>
      <c r="D46" s="56" t="s">
        <v>352</v>
      </c>
      <c r="E46" s="234" t="s">
        <v>287</v>
      </c>
      <c r="F46" s="234" t="s">
        <v>291</v>
      </c>
      <c r="G46" s="55" t="s">
        <v>42</v>
      </c>
      <c r="H46" s="55" t="s">
        <v>155</v>
      </c>
      <c r="I46" s="55" t="s">
        <v>153</v>
      </c>
      <c r="J46" s="55" t="s">
        <v>38</v>
      </c>
      <c r="K46" s="55" t="s">
        <v>154</v>
      </c>
      <c r="L46" s="234">
        <v>3</v>
      </c>
      <c r="N46" s="55">
        <v>8</v>
      </c>
      <c r="O46" s="55">
        <v>0.85</v>
      </c>
      <c r="P46" s="55">
        <v>0.95</v>
      </c>
      <c r="Q46" s="82">
        <f t="shared" si="0"/>
        <v>0.89999999999999991</v>
      </c>
      <c r="R46" s="55">
        <v>15.2</v>
      </c>
      <c r="S46" s="55">
        <v>120</v>
      </c>
      <c r="T46" s="57">
        <f t="shared" si="4"/>
        <v>30</v>
      </c>
      <c r="U46" s="55">
        <v>842</v>
      </c>
      <c r="V46" s="58">
        <f t="shared" si="2"/>
        <v>3157.5</v>
      </c>
      <c r="W46" s="234">
        <v>3</v>
      </c>
      <c r="X46" s="55" t="s">
        <v>46</v>
      </c>
      <c r="Y46" s="55" t="s">
        <v>84</v>
      </c>
      <c r="Z46" s="55" t="s">
        <v>90</v>
      </c>
      <c r="AA46" s="55" t="s">
        <v>102</v>
      </c>
      <c r="AB46" s="55" t="s">
        <v>357</v>
      </c>
    </row>
    <row r="47" spans="1:49" x14ac:dyDescent="0.15">
      <c r="A47" s="55" t="s">
        <v>41</v>
      </c>
      <c r="B47" s="234" t="s">
        <v>332</v>
      </c>
      <c r="C47" s="149">
        <v>2018</v>
      </c>
      <c r="D47" s="56" t="s">
        <v>352</v>
      </c>
      <c r="E47" s="234" t="s">
        <v>287</v>
      </c>
      <c r="F47" s="234" t="s">
        <v>291</v>
      </c>
      <c r="G47" s="55" t="s">
        <v>42</v>
      </c>
      <c r="H47" s="55" t="s">
        <v>155</v>
      </c>
      <c r="I47" s="55" t="s">
        <v>153</v>
      </c>
      <c r="J47" s="55" t="s">
        <v>38</v>
      </c>
      <c r="K47" s="55" t="s">
        <v>154</v>
      </c>
      <c r="L47" s="234">
        <v>1</v>
      </c>
      <c r="N47" s="234">
        <v>5</v>
      </c>
      <c r="O47" s="55">
        <v>0.65</v>
      </c>
      <c r="P47" s="55">
        <v>0.65</v>
      </c>
      <c r="Q47" s="57">
        <f t="shared" si="0"/>
        <v>0.65</v>
      </c>
      <c r="R47" s="55">
        <v>14.1</v>
      </c>
      <c r="S47" s="55">
        <v>116</v>
      </c>
      <c r="T47" s="57">
        <f t="shared" si="4"/>
        <v>30</v>
      </c>
      <c r="U47" s="234">
        <v>537</v>
      </c>
      <c r="V47" s="58">
        <f t="shared" si="2"/>
        <v>3222</v>
      </c>
      <c r="W47" s="234">
        <v>2</v>
      </c>
      <c r="X47" s="55" t="s">
        <v>46</v>
      </c>
      <c r="Y47" s="55" t="s">
        <v>84</v>
      </c>
      <c r="Z47" s="55" t="s">
        <v>90</v>
      </c>
      <c r="AA47" s="55" t="s">
        <v>102</v>
      </c>
      <c r="AB47" s="55" t="s">
        <v>357</v>
      </c>
    </row>
    <row r="48" spans="1:49" x14ac:dyDescent="0.15">
      <c r="A48" s="55" t="s">
        <v>41</v>
      </c>
      <c r="B48" s="234" t="s">
        <v>332</v>
      </c>
      <c r="C48" s="149">
        <v>2018</v>
      </c>
      <c r="D48" s="56" t="s">
        <v>352</v>
      </c>
      <c r="E48" s="234" t="s">
        <v>287</v>
      </c>
      <c r="F48" s="234" t="s">
        <v>291</v>
      </c>
      <c r="G48" s="55" t="s">
        <v>42</v>
      </c>
      <c r="H48" s="55" t="s">
        <v>155</v>
      </c>
      <c r="I48" s="55" t="s">
        <v>153</v>
      </c>
      <c r="J48" s="55" t="s">
        <v>38</v>
      </c>
      <c r="K48" s="55" t="s">
        <v>154</v>
      </c>
      <c r="L48" s="234">
        <v>2</v>
      </c>
      <c r="N48" s="234">
        <v>5</v>
      </c>
      <c r="O48" s="55">
        <v>0.7</v>
      </c>
      <c r="P48" s="55">
        <v>0.65</v>
      </c>
      <c r="Q48" s="57">
        <f t="shared" si="0"/>
        <v>0.67500000000000004</v>
      </c>
      <c r="R48" s="55">
        <v>14.6</v>
      </c>
      <c r="S48" s="55">
        <v>117</v>
      </c>
      <c r="T48" s="57">
        <f t="shared" si="4"/>
        <v>30</v>
      </c>
      <c r="U48" s="234">
        <v>537</v>
      </c>
      <c r="V48" s="58">
        <f t="shared" si="2"/>
        <v>3222</v>
      </c>
      <c r="W48" s="234">
        <v>2</v>
      </c>
      <c r="X48" s="55" t="s">
        <v>46</v>
      </c>
      <c r="Y48" s="55" t="s">
        <v>84</v>
      </c>
      <c r="Z48" s="55" t="s">
        <v>90</v>
      </c>
      <c r="AA48" s="55" t="s">
        <v>102</v>
      </c>
      <c r="AB48" s="55" t="s">
        <v>357</v>
      </c>
    </row>
    <row r="49" spans="1:30" x14ac:dyDescent="0.15">
      <c r="A49" s="55" t="s">
        <v>41</v>
      </c>
      <c r="B49" s="234" t="s">
        <v>332</v>
      </c>
      <c r="C49" s="149">
        <v>2018</v>
      </c>
      <c r="D49" s="56" t="s">
        <v>352</v>
      </c>
      <c r="E49" s="234" t="s">
        <v>287</v>
      </c>
      <c r="F49" s="234" t="s">
        <v>291</v>
      </c>
      <c r="G49" s="55" t="s">
        <v>42</v>
      </c>
      <c r="H49" s="55" t="s">
        <v>155</v>
      </c>
      <c r="I49" s="55" t="s">
        <v>153</v>
      </c>
      <c r="J49" s="55" t="s">
        <v>38</v>
      </c>
      <c r="K49" s="55" t="s">
        <v>154</v>
      </c>
      <c r="L49" s="234">
        <v>3</v>
      </c>
      <c r="N49" s="234">
        <v>5</v>
      </c>
      <c r="O49" s="55">
        <v>0.65</v>
      </c>
      <c r="P49" s="55">
        <v>0.7</v>
      </c>
      <c r="Q49" s="57">
        <f t="shared" si="0"/>
        <v>0.67500000000000004</v>
      </c>
      <c r="R49" s="55">
        <v>13.3</v>
      </c>
      <c r="S49" s="55">
        <v>119</v>
      </c>
      <c r="T49" s="57">
        <f t="shared" si="4"/>
        <v>30</v>
      </c>
      <c r="U49" s="234">
        <v>537</v>
      </c>
      <c r="V49" s="58">
        <f t="shared" si="2"/>
        <v>3222</v>
      </c>
      <c r="W49" s="234">
        <v>2</v>
      </c>
      <c r="X49" s="55" t="s">
        <v>46</v>
      </c>
      <c r="Y49" s="55" t="s">
        <v>84</v>
      </c>
      <c r="Z49" s="55" t="s">
        <v>90</v>
      </c>
      <c r="AA49" s="55" t="s">
        <v>102</v>
      </c>
      <c r="AB49" s="55" t="s">
        <v>357</v>
      </c>
    </row>
    <row r="50" spans="1:30" x14ac:dyDescent="0.15">
      <c r="A50" s="55" t="s">
        <v>41</v>
      </c>
      <c r="B50" s="234" t="s">
        <v>332</v>
      </c>
      <c r="C50" s="149">
        <v>2018</v>
      </c>
      <c r="D50" s="56" t="s">
        <v>352</v>
      </c>
      <c r="E50" s="234" t="s">
        <v>287</v>
      </c>
      <c r="F50" s="234" t="s">
        <v>293</v>
      </c>
      <c r="G50" s="55" t="s">
        <v>42</v>
      </c>
      <c r="H50" s="55" t="s">
        <v>166</v>
      </c>
      <c r="I50" s="55" t="s">
        <v>153</v>
      </c>
      <c r="J50" s="55" t="s">
        <v>38</v>
      </c>
      <c r="K50" s="55" t="s">
        <v>154</v>
      </c>
      <c r="L50" s="234">
        <v>1</v>
      </c>
      <c r="N50" s="55">
        <v>1</v>
      </c>
      <c r="O50" s="55">
        <v>0.65</v>
      </c>
      <c r="P50" s="55">
        <v>0.5</v>
      </c>
      <c r="Q50" s="57">
        <f t="shared" si="0"/>
        <v>0.57499999999999996</v>
      </c>
      <c r="R50" s="55">
        <v>13.5</v>
      </c>
      <c r="S50" s="55">
        <v>122</v>
      </c>
      <c r="T50" s="57">
        <f t="shared" si="4"/>
        <v>27</v>
      </c>
      <c r="U50" s="234">
        <v>170</v>
      </c>
      <c r="V50" s="58">
        <f t="shared" si="2"/>
        <v>4590</v>
      </c>
      <c r="W50" s="234">
        <v>1</v>
      </c>
      <c r="X50" s="55" t="s">
        <v>46</v>
      </c>
      <c r="Y50" s="55" t="s">
        <v>84</v>
      </c>
      <c r="Z50" s="55" t="s">
        <v>50</v>
      </c>
      <c r="AA50" s="55" t="s">
        <v>90</v>
      </c>
      <c r="AB50" s="55" t="s">
        <v>357</v>
      </c>
      <c r="AC50" s="55"/>
      <c r="AD50" s="55"/>
    </row>
    <row r="51" spans="1:30" x14ac:dyDescent="0.15">
      <c r="A51" s="55" t="s">
        <v>41</v>
      </c>
      <c r="B51" s="234" t="s">
        <v>332</v>
      </c>
      <c r="C51" s="149">
        <v>2018</v>
      </c>
      <c r="D51" s="56" t="s">
        <v>352</v>
      </c>
      <c r="E51" s="234" t="s">
        <v>287</v>
      </c>
      <c r="F51" s="234" t="s">
        <v>293</v>
      </c>
      <c r="G51" s="55" t="s">
        <v>42</v>
      </c>
      <c r="H51" s="55" t="s">
        <v>166</v>
      </c>
      <c r="I51" s="55" t="s">
        <v>153</v>
      </c>
      <c r="J51" s="55" t="s">
        <v>38</v>
      </c>
      <c r="K51" s="55" t="s">
        <v>154</v>
      </c>
      <c r="L51" s="234">
        <v>2</v>
      </c>
      <c r="N51" s="55">
        <v>1</v>
      </c>
      <c r="O51" s="55">
        <v>0.45</v>
      </c>
      <c r="P51" s="55">
        <v>0.55000000000000004</v>
      </c>
      <c r="Q51" s="57">
        <f t="shared" si="0"/>
        <v>0.5</v>
      </c>
      <c r="R51" s="55">
        <v>16.2</v>
      </c>
      <c r="S51" s="55">
        <v>125</v>
      </c>
      <c r="T51" s="57">
        <f t="shared" si="4"/>
        <v>27</v>
      </c>
      <c r="U51" s="234">
        <v>170</v>
      </c>
      <c r="V51" s="58">
        <f t="shared" si="2"/>
        <v>4590</v>
      </c>
      <c r="W51" s="234">
        <v>1</v>
      </c>
      <c r="X51" s="55" t="s">
        <v>46</v>
      </c>
      <c r="Y51" s="55" t="s">
        <v>84</v>
      </c>
      <c r="Z51" s="55" t="s">
        <v>50</v>
      </c>
      <c r="AA51" s="55" t="s">
        <v>90</v>
      </c>
      <c r="AB51" s="55" t="s">
        <v>357</v>
      </c>
      <c r="AC51" s="55"/>
      <c r="AD51" s="55"/>
    </row>
    <row r="52" spans="1:30" x14ac:dyDescent="0.15">
      <c r="A52" s="55" t="s">
        <v>41</v>
      </c>
      <c r="B52" s="234" t="s">
        <v>332</v>
      </c>
      <c r="C52" s="149">
        <v>2018</v>
      </c>
      <c r="D52" s="56" t="s">
        <v>352</v>
      </c>
      <c r="E52" s="234" t="s">
        <v>287</v>
      </c>
      <c r="F52" s="234" t="s">
        <v>293</v>
      </c>
      <c r="G52" s="55" t="s">
        <v>42</v>
      </c>
      <c r="H52" s="55" t="s">
        <v>166</v>
      </c>
      <c r="I52" s="55" t="s">
        <v>153</v>
      </c>
      <c r="J52" s="55" t="s">
        <v>38</v>
      </c>
      <c r="K52" s="55" t="s">
        <v>154</v>
      </c>
      <c r="L52" s="234">
        <v>3</v>
      </c>
      <c r="N52" s="55">
        <v>1</v>
      </c>
      <c r="O52" s="55">
        <v>0.5</v>
      </c>
      <c r="P52" s="55">
        <v>0.4</v>
      </c>
      <c r="Q52" s="57">
        <f t="shared" si="0"/>
        <v>0.45</v>
      </c>
      <c r="R52" s="55">
        <v>14.8</v>
      </c>
      <c r="S52" s="55">
        <v>125</v>
      </c>
      <c r="T52" s="57">
        <f t="shared" si="4"/>
        <v>27</v>
      </c>
      <c r="U52" s="55">
        <v>170</v>
      </c>
      <c r="V52" s="58">
        <f t="shared" si="2"/>
        <v>4590</v>
      </c>
      <c r="W52" s="234">
        <v>1</v>
      </c>
      <c r="X52" s="55" t="s">
        <v>46</v>
      </c>
      <c r="Y52" s="55" t="s">
        <v>84</v>
      </c>
      <c r="Z52" s="55" t="s">
        <v>50</v>
      </c>
      <c r="AA52" s="55" t="s">
        <v>90</v>
      </c>
      <c r="AB52" s="55" t="s">
        <v>357</v>
      </c>
      <c r="AC52" s="55"/>
      <c r="AD52" s="55"/>
    </row>
    <row r="53" spans="1:30" x14ac:dyDescent="0.15">
      <c r="A53" s="55" t="s">
        <v>41</v>
      </c>
      <c r="B53" s="234" t="s">
        <v>332</v>
      </c>
      <c r="C53" s="149">
        <v>2018</v>
      </c>
      <c r="D53" s="56" t="s">
        <v>352</v>
      </c>
      <c r="E53" s="234" t="s">
        <v>287</v>
      </c>
      <c r="F53" s="234" t="s">
        <v>293</v>
      </c>
      <c r="G53" s="55" t="s">
        <v>42</v>
      </c>
      <c r="H53" s="55" t="s">
        <v>155</v>
      </c>
      <c r="I53" s="55" t="s">
        <v>153</v>
      </c>
      <c r="J53" s="55" t="s">
        <v>38</v>
      </c>
      <c r="K53" s="55" t="s">
        <v>154</v>
      </c>
      <c r="L53" s="234">
        <v>1</v>
      </c>
      <c r="N53" s="55">
        <v>1</v>
      </c>
      <c r="O53" s="55">
        <v>0.35</v>
      </c>
      <c r="P53" s="55">
        <v>0.3</v>
      </c>
      <c r="Q53" s="57">
        <f t="shared" si="0"/>
        <v>0.32499999999999996</v>
      </c>
      <c r="R53" s="55">
        <v>15.9</v>
      </c>
      <c r="S53" s="55">
        <v>130</v>
      </c>
      <c r="T53" s="57">
        <f t="shared" si="4"/>
        <v>25</v>
      </c>
      <c r="U53" s="234">
        <v>108</v>
      </c>
      <c r="V53" s="58">
        <f t="shared" si="2"/>
        <v>2700</v>
      </c>
      <c r="W53" s="234">
        <v>1</v>
      </c>
      <c r="X53" s="55" t="s">
        <v>46</v>
      </c>
      <c r="Y53" s="55" t="s">
        <v>84</v>
      </c>
      <c r="Z53" s="55" t="s">
        <v>50</v>
      </c>
      <c r="AA53" s="55" t="s">
        <v>90</v>
      </c>
      <c r="AB53" s="55" t="s">
        <v>357</v>
      </c>
      <c r="AC53" s="55"/>
      <c r="AD53" s="55"/>
    </row>
    <row r="54" spans="1:30" x14ac:dyDescent="0.15">
      <c r="A54" s="55" t="s">
        <v>41</v>
      </c>
      <c r="B54" s="234" t="s">
        <v>332</v>
      </c>
      <c r="C54" s="149">
        <v>2018</v>
      </c>
      <c r="D54" s="56" t="s">
        <v>352</v>
      </c>
      <c r="E54" s="234" t="s">
        <v>287</v>
      </c>
      <c r="F54" s="234" t="s">
        <v>293</v>
      </c>
      <c r="G54" s="55" t="s">
        <v>42</v>
      </c>
      <c r="H54" s="55" t="s">
        <v>155</v>
      </c>
      <c r="I54" s="55" t="s">
        <v>153</v>
      </c>
      <c r="J54" s="55" t="s">
        <v>38</v>
      </c>
      <c r="K54" s="55" t="s">
        <v>154</v>
      </c>
      <c r="L54" s="234">
        <v>2</v>
      </c>
      <c r="N54" s="55">
        <v>1</v>
      </c>
      <c r="O54" s="55">
        <v>0.45</v>
      </c>
      <c r="P54" s="55">
        <v>0.4</v>
      </c>
      <c r="Q54" s="57">
        <f t="shared" si="0"/>
        <v>0.42500000000000004</v>
      </c>
      <c r="R54" s="55">
        <v>13.5</v>
      </c>
      <c r="S54" s="55">
        <v>128</v>
      </c>
      <c r="T54" s="57">
        <f t="shared" si="4"/>
        <v>27</v>
      </c>
      <c r="U54" s="234">
        <v>108</v>
      </c>
      <c r="V54" s="58">
        <f t="shared" si="2"/>
        <v>2916</v>
      </c>
      <c r="W54" s="234">
        <v>1</v>
      </c>
      <c r="X54" s="55" t="s">
        <v>46</v>
      </c>
      <c r="Y54" s="55" t="s">
        <v>84</v>
      </c>
      <c r="Z54" s="55" t="s">
        <v>50</v>
      </c>
      <c r="AA54" s="55" t="s">
        <v>90</v>
      </c>
      <c r="AB54" s="55" t="s">
        <v>357</v>
      </c>
      <c r="AC54" s="55"/>
      <c r="AD54" s="55"/>
    </row>
    <row r="55" spans="1:30" x14ac:dyDescent="0.15">
      <c r="A55" s="55" t="s">
        <v>41</v>
      </c>
      <c r="B55" s="234" t="s">
        <v>332</v>
      </c>
      <c r="C55" s="149">
        <v>2018</v>
      </c>
      <c r="D55" s="56" t="s">
        <v>352</v>
      </c>
      <c r="E55" s="234" t="s">
        <v>287</v>
      </c>
      <c r="F55" s="234" t="s">
        <v>293</v>
      </c>
      <c r="G55" s="55" t="s">
        <v>42</v>
      </c>
      <c r="H55" s="55" t="s">
        <v>155</v>
      </c>
      <c r="I55" s="55" t="s">
        <v>153</v>
      </c>
      <c r="J55" s="55" t="s">
        <v>38</v>
      </c>
      <c r="K55" s="55" t="s">
        <v>154</v>
      </c>
      <c r="L55" s="234">
        <v>3</v>
      </c>
      <c r="N55" s="55">
        <v>1</v>
      </c>
      <c r="O55" s="55">
        <v>0.6</v>
      </c>
      <c r="P55" s="55">
        <v>0.55000000000000004</v>
      </c>
      <c r="Q55" s="57">
        <f t="shared" si="0"/>
        <v>0.57499999999999996</v>
      </c>
      <c r="R55" s="55">
        <v>14.7</v>
      </c>
      <c r="S55" s="55">
        <v>127</v>
      </c>
      <c r="T55" s="57">
        <f t="shared" si="4"/>
        <v>27</v>
      </c>
      <c r="U55" s="55">
        <v>108</v>
      </c>
      <c r="V55" s="58">
        <f t="shared" si="2"/>
        <v>2916</v>
      </c>
      <c r="W55" s="234">
        <v>1</v>
      </c>
      <c r="X55" s="55" t="s">
        <v>46</v>
      </c>
      <c r="Y55" s="55" t="s">
        <v>84</v>
      </c>
      <c r="Z55" s="55" t="s">
        <v>50</v>
      </c>
      <c r="AA55" s="55" t="s">
        <v>90</v>
      </c>
      <c r="AB55" s="55" t="s">
        <v>357</v>
      </c>
      <c r="AC55" s="55"/>
      <c r="AD55" s="55"/>
    </row>
    <row r="56" spans="1:30" x14ac:dyDescent="0.15">
      <c r="A56" s="55" t="s">
        <v>41</v>
      </c>
      <c r="B56" s="234" t="s">
        <v>332</v>
      </c>
      <c r="C56" s="149">
        <v>2018</v>
      </c>
      <c r="D56" s="56" t="s">
        <v>352</v>
      </c>
      <c r="E56" s="234" t="s">
        <v>287</v>
      </c>
      <c r="F56" s="234" t="s">
        <v>293</v>
      </c>
      <c r="G56" s="55" t="s">
        <v>42</v>
      </c>
      <c r="H56" s="55" t="s">
        <v>155</v>
      </c>
      <c r="I56" s="55" t="s">
        <v>153</v>
      </c>
      <c r="J56" s="55" t="s">
        <v>38</v>
      </c>
      <c r="K56" s="55" t="s">
        <v>154</v>
      </c>
      <c r="L56" s="234">
        <v>1</v>
      </c>
      <c r="N56" s="55">
        <v>5</v>
      </c>
      <c r="O56" s="234">
        <v>0.85</v>
      </c>
      <c r="P56" s="234">
        <v>0.7</v>
      </c>
      <c r="Q56" s="57">
        <f t="shared" si="0"/>
        <v>0.77499999999999991</v>
      </c>
      <c r="R56" s="234">
        <v>14.4</v>
      </c>
      <c r="S56" s="234">
        <v>115</v>
      </c>
      <c r="T56" s="57">
        <f t="shared" si="4"/>
        <v>30</v>
      </c>
      <c r="U56" s="234">
        <v>429</v>
      </c>
      <c r="V56" s="58">
        <f t="shared" si="2"/>
        <v>2574</v>
      </c>
      <c r="W56" s="234">
        <v>1</v>
      </c>
      <c r="X56" s="55" t="s">
        <v>46</v>
      </c>
      <c r="Y56" s="55" t="s">
        <v>84</v>
      </c>
      <c r="Z56" s="55" t="s">
        <v>50</v>
      </c>
      <c r="AA56" s="55" t="s">
        <v>90</v>
      </c>
      <c r="AB56" s="55" t="s">
        <v>357</v>
      </c>
      <c r="AC56" s="55"/>
      <c r="AD56" s="55"/>
    </row>
    <row r="57" spans="1:30" x14ac:dyDescent="0.15">
      <c r="A57" s="55" t="s">
        <v>41</v>
      </c>
      <c r="B57" s="234" t="s">
        <v>332</v>
      </c>
      <c r="C57" s="149">
        <v>2018</v>
      </c>
      <c r="D57" s="56" t="s">
        <v>352</v>
      </c>
      <c r="E57" s="234" t="s">
        <v>287</v>
      </c>
      <c r="F57" s="234" t="s">
        <v>293</v>
      </c>
      <c r="G57" s="55" t="s">
        <v>42</v>
      </c>
      <c r="H57" s="55" t="s">
        <v>155</v>
      </c>
      <c r="I57" s="55" t="s">
        <v>153</v>
      </c>
      <c r="J57" s="55" t="s">
        <v>38</v>
      </c>
      <c r="K57" s="55" t="s">
        <v>154</v>
      </c>
      <c r="L57" s="234">
        <v>2</v>
      </c>
      <c r="N57" s="55">
        <v>5</v>
      </c>
      <c r="O57" s="234">
        <v>0.9</v>
      </c>
      <c r="P57" s="234">
        <v>0.9</v>
      </c>
      <c r="Q57" s="57">
        <f t="shared" si="0"/>
        <v>0.9</v>
      </c>
      <c r="R57" s="234">
        <v>13.5</v>
      </c>
      <c r="S57" s="234">
        <v>114</v>
      </c>
      <c r="T57" s="57">
        <f t="shared" si="4"/>
        <v>30</v>
      </c>
      <c r="U57" s="234">
        <v>429</v>
      </c>
      <c r="V57" s="58">
        <f t="shared" si="2"/>
        <v>2574</v>
      </c>
      <c r="W57" s="234">
        <v>1</v>
      </c>
      <c r="X57" s="55" t="s">
        <v>46</v>
      </c>
      <c r="Y57" s="55" t="s">
        <v>84</v>
      </c>
      <c r="Z57" s="55" t="s">
        <v>50</v>
      </c>
      <c r="AA57" s="55" t="s">
        <v>90</v>
      </c>
      <c r="AB57" s="55" t="s">
        <v>357</v>
      </c>
    </row>
    <row r="58" spans="1:30" x14ac:dyDescent="0.15">
      <c r="A58" s="55" t="s">
        <v>41</v>
      </c>
      <c r="B58" s="234" t="s">
        <v>332</v>
      </c>
      <c r="C58" s="149">
        <v>2018</v>
      </c>
      <c r="D58" s="56" t="s">
        <v>352</v>
      </c>
      <c r="E58" s="234" t="s">
        <v>287</v>
      </c>
      <c r="F58" s="234" t="s">
        <v>293</v>
      </c>
      <c r="G58" s="55" t="s">
        <v>42</v>
      </c>
      <c r="H58" s="55" t="s">
        <v>155</v>
      </c>
      <c r="I58" s="55" t="s">
        <v>153</v>
      </c>
      <c r="J58" s="55" t="s">
        <v>38</v>
      </c>
      <c r="K58" s="55" t="s">
        <v>154</v>
      </c>
      <c r="L58" s="234">
        <v>3</v>
      </c>
      <c r="N58" s="55">
        <v>5</v>
      </c>
      <c r="O58" s="234">
        <v>1</v>
      </c>
      <c r="P58" s="234">
        <v>0.95</v>
      </c>
      <c r="Q58" s="57">
        <f t="shared" si="0"/>
        <v>0.97499999999999998</v>
      </c>
      <c r="R58" s="234">
        <v>14.9</v>
      </c>
      <c r="S58" s="234">
        <v>117</v>
      </c>
      <c r="T58" s="57">
        <f t="shared" si="4"/>
        <v>30</v>
      </c>
      <c r="U58" s="55">
        <v>429</v>
      </c>
      <c r="V58" s="58">
        <f t="shared" si="2"/>
        <v>2574</v>
      </c>
      <c r="W58" s="234">
        <v>1</v>
      </c>
      <c r="X58" s="55" t="s">
        <v>46</v>
      </c>
      <c r="Y58" s="55" t="s">
        <v>84</v>
      </c>
      <c r="Z58" s="55" t="s">
        <v>50</v>
      </c>
      <c r="AA58" s="55" t="s">
        <v>90</v>
      </c>
      <c r="AB58" s="55" t="s">
        <v>357</v>
      </c>
    </row>
    <row r="59" spans="1:30" x14ac:dyDescent="0.15">
      <c r="A59" s="55" t="s">
        <v>41</v>
      </c>
      <c r="B59" s="234" t="s">
        <v>332</v>
      </c>
      <c r="C59" s="149">
        <v>2018</v>
      </c>
      <c r="D59" s="56" t="s">
        <v>352</v>
      </c>
      <c r="E59" s="234" t="s">
        <v>287</v>
      </c>
      <c r="F59" s="234" t="s">
        <v>293</v>
      </c>
      <c r="G59" s="55" t="s">
        <v>42</v>
      </c>
      <c r="H59" s="55" t="s">
        <v>166</v>
      </c>
      <c r="I59" s="55" t="s">
        <v>153</v>
      </c>
      <c r="J59" s="55" t="s">
        <v>38</v>
      </c>
      <c r="K59" s="55" t="s">
        <v>154</v>
      </c>
      <c r="L59" s="234">
        <v>1</v>
      </c>
      <c r="N59" s="55">
        <v>4</v>
      </c>
      <c r="O59" s="234">
        <v>0.35</v>
      </c>
      <c r="P59" s="234">
        <v>0.4</v>
      </c>
      <c r="Q59" s="57">
        <f t="shared" si="0"/>
        <v>0.375</v>
      </c>
      <c r="R59" s="234">
        <v>15</v>
      </c>
      <c r="S59" s="234">
        <v>115</v>
      </c>
      <c r="T59" s="57">
        <f t="shared" si="4"/>
        <v>30</v>
      </c>
      <c r="U59" s="234">
        <v>537</v>
      </c>
      <c r="V59" s="58">
        <f t="shared" si="2"/>
        <v>4027.5</v>
      </c>
      <c r="W59" s="234">
        <v>1</v>
      </c>
      <c r="X59" s="55" t="s">
        <v>46</v>
      </c>
      <c r="Y59" s="55" t="s">
        <v>84</v>
      </c>
      <c r="Z59" s="55" t="s">
        <v>50</v>
      </c>
      <c r="AA59" s="55" t="s">
        <v>90</v>
      </c>
      <c r="AB59" s="55" t="s">
        <v>357</v>
      </c>
    </row>
    <row r="60" spans="1:30" x14ac:dyDescent="0.15">
      <c r="A60" s="55" t="s">
        <v>41</v>
      </c>
      <c r="B60" s="234" t="s">
        <v>332</v>
      </c>
      <c r="C60" s="149">
        <v>2018</v>
      </c>
      <c r="D60" s="56" t="s">
        <v>352</v>
      </c>
      <c r="E60" s="234" t="s">
        <v>287</v>
      </c>
      <c r="F60" s="234" t="s">
        <v>293</v>
      </c>
      <c r="G60" s="55" t="s">
        <v>42</v>
      </c>
      <c r="H60" s="55" t="s">
        <v>166</v>
      </c>
      <c r="I60" s="55" t="s">
        <v>153</v>
      </c>
      <c r="J60" s="55" t="s">
        <v>38</v>
      </c>
      <c r="K60" s="55" t="s">
        <v>154</v>
      </c>
      <c r="L60" s="234">
        <v>2</v>
      </c>
      <c r="N60" s="55">
        <v>4</v>
      </c>
      <c r="O60" s="234">
        <v>0.25</v>
      </c>
      <c r="P60" s="234">
        <v>0.25</v>
      </c>
      <c r="Q60" s="57">
        <f t="shared" si="0"/>
        <v>0.25</v>
      </c>
      <c r="R60" s="234">
        <v>13.5</v>
      </c>
      <c r="S60" s="234">
        <v>120</v>
      </c>
      <c r="T60" s="57">
        <f t="shared" si="4"/>
        <v>30</v>
      </c>
      <c r="U60" s="234">
        <v>537</v>
      </c>
      <c r="V60" s="58">
        <f t="shared" si="2"/>
        <v>4027.5</v>
      </c>
      <c r="W60" s="234">
        <v>1</v>
      </c>
      <c r="X60" s="55" t="s">
        <v>46</v>
      </c>
      <c r="Y60" s="55" t="s">
        <v>84</v>
      </c>
      <c r="Z60" s="55" t="s">
        <v>50</v>
      </c>
      <c r="AA60" s="55" t="s">
        <v>90</v>
      </c>
      <c r="AB60" s="55" t="s">
        <v>357</v>
      </c>
    </row>
    <row r="61" spans="1:30" x14ac:dyDescent="0.15">
      <c r="A61" s="55" t="s">
        <v>41</v>
      </c>
      <c r="B61" s="234" t="s">
        <v>332</v>
      </c>
      <c r="C61" s="149">
        <v>2018</v>
      </c>
      <c r="D61" s="56" t="s">
        <v>352</v>
      </c>
      <c r="E61" s="234" t="s">
        <v>287</v>
      </c>
      <c r="F61" s="234" t="s">
        <v>293</v>
      </c>
      <c r="G61" s="55" t="s">
        <v>42</v>
      </c>
      <c r="H61" s="55" t="s">
        <v>166</v>
      </c>
      <c r="I61" s="55" t="s">
        <v>153</v>
      </c>
      <c r="J61" s="55" t="s">
        <v>38</v>
      </c>
      <c r="K61" s="55" t="s">
        <v>154</v>
      </c>
      <c r="L61" s="234">
        <v>3</v>
      </c>
      <c r="N61" s="55">
        <v>4</v>
      </c>
      <c r="O61" s="234">
        <v>0.3</v>
      </c>
      <c r="P61" s="234">
        <v>0.25</v>
      </c>
      <c r="Q61" s="57">
        <f t="shared" si="0"/>
        <v>0.27500000000000002</v>
      </c>
      <c r="R61" s="234">
        <v>14.7</v>
      </c>
      <c r="S61" s="234">
        <v>117</v>
      </c>
      <c r="T61" s="57">
        <f t="shared" si="4"/>
        <v>30</v>
      </c>
      <c r="U61" s="55">
        <v>537</v>
      </c>
      <c r="V61" s="58">
        <f t="shared" si="2"/>
        <v>4027.5</v>
      </c>
      <c r="W61" s="234">
        <v>1</v>
      </c>
      <c r="X61" s="55" t="s">
        <v>46</v>
      </c>
      <c r="Y61" s="55" t="s">
        <v>84</v>
      </c>
      <c r="Z61" s="55" t="s">
        <v>50</v>
      </c>
      <c r="AA61" s="55" t="s">
        <v>90</v>
      </c>
      <c r="AB61" s="55" t="s">
        <v>357</v>
      </c>
    </row>
    <row r="62" spans="1:30" x14ac:dyDescent="0.15">
      <c r="A62" s="55" t="s">
        <v>41</v>
      </c>
      <c r="B62" s="234" t="s">
        <v>332</v>
      </c>
      <c r="C62" s="149">
        <v>2018</v>
      </c>
      <c r="D62" s="56" t="s">
        <v>352</v>
      </c>
      <c r="E62" s="55" t="s">
        <v>289</v>
      </c>
      <c r="F62" s="234" t="s">
        <v>294</v>
      </c>
      <c r="G62" s="55" t="s">
        <v>42</v>
      </c>
      <c r="H62" s="55" t="s">
        <v>155</v>
      </c>
      <c r="I62" s="55" t="s">
        <v>153</v>
      </c>
      <c r="J62" s="55" t="s">
        <v>38</v>
      </c>
      <c r="K62" s="55" t="s">
        <v>154</v>
      </c>
      <c r="L62" s="234">
        <v>1</v>
      </c>
      <c r="N62" s="234">
        <v>1</v>
      </c>
      <c r="O62" s="55">
        <v>1</v>
      </c>
      <c r="P62" s="55">
        <v>0.95</v>
      </c>
      <c r="Q62" s="57">
        <f t="shared" si="0"/>
        <v>0.97499999999999998</v>
      </c>
      <c r="R62" s="234">
        <v>13.5</v>
      </c>
      <c r="S62" s="234">
        <v>120</v>
      </c>
      <c r="T62" s="57">
        <f t="shared" si="4"/>
        <v>30</v>
      </c>
      <c r="U62" s="234">
        <v>105</v>
      </c>
      <c r="V62" s="58">
        <f t="shared" si="2"/>
        <v>3150</v>
      </c>
      <c r="W62" s="234">
        <v>2</v>
      </c>
      <c r="X62" s="55" t="s">
        <v>46</v>
      </c>
      <c r="Y62" s="55" t="s">
        <v>90</v>
      </c>
      <c r="Z62" s="55" t="s">
        <v>84</v>
      </c>
      <c r="AA62" s="55" t="s">
        <v>50</v>
      </c>
      <c r="AB62" s="55" t="s">
        <v>357</v>
      </c>
    </row>
    <row r="63" spans="1:30" x14ac:dyDescent="0.15">
      <c r="A63" s="55" t="s">
        <v>41</v>
      </c>
      <c r="B63" s="234" t="s">
        <v>332</v>
      </c>
      <c r="C63" s="149">
        <v>2018</v>
      </c>
      <c r="D63" s="56" t="s">
        <v>352</v>
      </c>
      <c r="E63" s="55" t="s">
        <v>289</v>
      </c>
      <c r="F63" s="234" t="s">
        <v>294</v>
      </c>
      <c r="G63" s="55" t="s">
        <v>42</v>
      </c>
      <c r="H63" s="55" t="s">
        <v>155</v>
      </c>
      <c r="I63" s="55" t="s">
        <v>153</v>
      </c>
      <c r="J63" s="55" t="s">
        <v>38</v>
      </c>
      <c r="K63" s="55" t="s">
        <v>154</v>
      </c>
      <c r="L63" s="234">
        <v>2</v>
      </c>
      <c r="N63" s="234">
        <v>1</v>
      </c>
      <c r="O63" s="55">
        <v>1.2</v>
      </c>
      <c r="P63" s="55">
        <v>1.1000000000000001</v>
      </c>
      <c r="Q63" s="57">
        <f t="shared" si="0"/>
        <v>1.1499999999999999</v>
      </c>
      <c r="R63" s="234">
        <v>14.2</v>
      </c>
      <c r="S63" s="234">
        <v>124</v>
      </c>
      <c r="T63" s="57">
        <f t="shared" si="4"/>
        <v>27</v>
      </c>
      <c r="U63" s="234">
        <v>105</v>
      </c>
      <c r="V63" s="58">
        <f t="shared" si="2"/>
        <v>2835</v>
      </c>
      <c r="W63" s="234">
        <v>2</v>
      </c>
      <c r="X63" s="55" t="s">
        <v>46</v>
      </c>
      <c r="Y63" s="55" t="s">
        <v>90</v>
      </c>
      <c r="Z63" s="55" t="s">
        <v>84</v>
      </c>
      <c r="AA63" s="55" t="s">
        <v>50</v>
      </c>
      <c r="AB63" s="55" t="s">
        <v>357</v>
      </c>
    </row>
    <row r="64" spans="1:30" x14ac:dyDescent="0.15">
      <c r="A64" s="55" t="s">
        <v>41</v>
      </c>
      <c r="B64" s="234" t="s">
        <v>332</v>
      </c>
      <c r="C64" s="149">
        <v>2018</v>
      </c>
      <c r="D64" s="56" t="s">
        <v>352</v>
      </c>
      <c r="E64" s="55" t="s">
        <v>289</v>
      </c>
      <c r="F64" s="234" t="s">
        <v>294</v>
      </c>
      <c r="G64" s="55" t="s">
        <v>42</v>
      </c>
      <c r="H64" s="55" t="s">
        <v>155</v>
      </c>
      <c r="I64" s="55" t="s">
        <v>153</v>
      </c>
      <c r="J64" s="55" t="s">
        <v>38</v>
      </c>
      <c r="K64" s="55" t="s">
        <v>154</v>
      </c>
      <c r="L64" s="234">
        <v>3</v>
      </c>
      <c r="N64" s="234">
        <v>1</v>
      </c>
      <c r="O64" s="55">
        <v>1.3</v>
      </c>
      <c r="P64" s="256">
        <v>1.2</v>
      </c>
      <c r="Q64" s="57">
        <f t="shared" si="0"/>
        <v>1.25</v>
      </c>
      <c r="R64" s="234">
        <v>14.6</v>
      </c>
      <c r="S64" s="234">
        <v>126</v>
      </c>
      <c r="T64" s="57">
        <f t="shared" si="4"/>
        <v>27</v>
      </c>
      <c r="U64" s="234">
        <v>105</v>
      </c>
      <c r="V64" s="58">
        <f t="shared" si="2"/>
        <v>2835</v>
      </c>
      <c r="W64" s="234">
        <v>2</v>
      </c>
      <c r="X64" s="55" t="s">
        <v>46</v>
      </c>
      <c r="Y64" s="55" t="s">
        <v>90</v>
      </c>
      <c r="Z64" s="55" t="s">
        <v>84</v>
      </c>
      <c r="AA64" s="55" t="s">
        <v>50</v>
      </c>
      <c r="AB64" s="55" t="s">
        <v>357</v>
      </c>
    </row>
    <row r="65" spans="1:28" x14ac:dyDescent="0.15">
      <c r="A65" s="55" t="s">
        <v>41</v>
      </c>
      <c r="B65" s="234" t="s">
        <v>332</v>
      </c>
      <c r="C65" s="149">
        <v>2018</v>
      </c>
      <c r="D65" s="56" t="s">
        <v>352</v>
      </c>
      <c r="E65" s="55" t="s">
        <v>289</v>
      </c>
      <c r="F65" s="234" t="s">
        <v>294</v>
      </c>
      <c r="G65" s="55" t="s">
        <v>42</v>
      </c>
      <c r="H65" s="55" t="s">
        <v>155</v>
      </c>
      <c r="I65" s="55" t="s">
        <v>153</v>
      </c>
      <c r="J65" s="55" t="s">
        <v>38</v>
      </c>
      <c r="K65" s="55" t="s">
        <v>154</v>
      </c>
      <c r="L65" s="234">
        <v>1</v>
      </c>
      <c r="N65" s="234">
        <v>6</v>
      </c>
      <c r="O65" s="55">
        <v>0.6</v>
      </c>
      <c r="P65" s="55">
        <v>0.7</v>
      </c>
      <c r="Q65" s="57">
        <f t="shared" si="0"/>
        <v>0.64999999999999991</v>
      </c>
      <c r="R65" s="234">
        <v>13.8</v>
      </c>
      <c r="S65" s="234">
        <v>105</v>
      </c>
      <c r="T65" s="57">
        <f t="shared" si="4"/>
        <v>33</v>
      </c>
      <c r="U65" s="234">
        <v>419</v>
      </c>
      <c r="V65" s="58">
        <f t="shared" si="2"/>
        <v>2304.5</v>
      </c>
      <c r="W65" s="234">
        <v>1</v>
      </c>
      <c r="X65" s="55" t="s">
        <v>46</v>
      </c>
      <c r="Y65" s="55" t="s">
        <v>90</v>
      </c>
      <c r="Z65" s="55" t="s">
        <v>84</v>
      </c>
      <c r="AA65" s="55" t="s">
        <v>50</v>
      </c>
      <c r="AB65" s="55" t="s">
        <v>357</v>
      </c>
    </row>
    <row r="66" spans="1:28" x14ac:dyDescent="0.15">
      <c r="A66" s="55" t="s">
        <v>41</v>
      </c>
      <c r="B66" s="234" t="s">
        <v>332</v>
      </c>
      <c r="C66" s="149">
        <v>2018</v>
      </c>
      <c r="D66" s="56" t="s">
        <v>352</v>
      </c>
      <c r="E66" s="55" t="s">
        <v>289</v>
      </c>
      <c r="F66" s="234" t="s">
        <v>294</v>
      </c>
      <c r="G66" s="55" t="s">
        <v>42</v>
      </c>
      <c r="H66" s="55" t="s">
        <v>155</v>
      </c>
      <c r="I66" s="55" t="s">
        <v>153</v>
      </c>
      <c r="J66" s="55" t="s">
        <v>38</v>
      </c>
      <c r="K66" s="55" t="s">
        <v>154</v>
      </c>
      <c r="L66" s="234">
        <v>2</v>
      </c>
      <c r="N66" s="234">
        <v>6</v>
      </c>
      <c r="O66" s="55">
        <v>0.5</v>
      </c>
      <c r="P66" s="55">
        <v>0.75</v>
      </c>
      <c r="Q66" s="57">
        <f t="shared" ref="Q66:Q118" si="5">IF(OR(O66="",P66=""),"",AVERAGE(O66,P66))</f>
        <v>0.625</v>
      </c>
      <c r="R66" s="234">
        <v>15.7</v>
      </c>
      <c r="S66" s="234">
        <v>107</v>
      </c>
      <c r="T66" s="57">
        <f t="shared" si="4"/>
        <v>33</v>
      </c>
      <c r="U66" s="234">
        <v>419</v>
      </c>
      <c r="V66" s="58">
        <f t="shared" ref="V66:V112" si="6">IF(OR(N66="",U66="",T66=""),"",U66/N66*T66)</f>
        <v>2304.5</v>
      </c>
      <c r="W66" s="234">
        <v>1</v>
      </c>
      <c r="X66" s="55" t="s">
        <v>46</v>
      </c>
      <c r="Y66" s="55" t="s">
        <v>90</v>
      </c>
      <c r="Z66" s="55" t="s">
        <v>84</v>
      </c>
      <c r="AA66" s="55" t="s">
        <v>50</v>
      </c>
      <c r="AB66" s="55" t="s">
        <v>357</v>
      </c>
    </row>
    <row r="67" spans="1:28" x14ac:dyDescent="0.15">
      <c r="A67" s="55" t="s">
        <v>41</v>
      </c>
      <c r="B67" s="234" t="s">
        <v>332</v>
      </c>
      <c r="C67" s="149">
        <v>2018</v>
      </c>
      <c r="D67" s="56" t="s">
        <v>352</v>
      </c>
      <c r="E67" s="55" t="s">
        <v>289</v>
      </c>
      <c r="F67" s="234" t="s">
        <v>294</v>
      </c>
      <c r="G67" s="55" t="s">
        <v>42</v>
      </c>
      <c r="H67" s="55" t="s">
        <v>155</v>
      </c>
      <c r="I67" s="55" t="s">
        <v>153</v>
      </c>
      <c r="J67" s="55" t="s">
        <v>38</v>
      </c>
      <c r="K67" s="55" t="s">
        <v>154</v>
      </c>
      <c r="L67" s="234">
        <v>3</v>
      </c>
      <c r="N67" s="234">
        <v>6</v>
      </c>
      <c r="O67" s="55">
        <v>0.65</v>
      </c>
      <c r="P67" s="256">
        <v>0.6</v>
      </c>
      <c r="Q67" s="57">
        <f t="shared" si="5"/>
        <v>0.625</v>
      </c>
      <c r="R67" s="234">
        <v>15</v>
      </c>
      <c r="S67" s="234">
        <v>110</v>
      </c>
      <c r="T67" s="57">
        <f t="shared" si="4"/>
        <v>33</v>
      </c>
      <c r="U67" s="234">
        <v>419</v>
      </c>
      <c r="V67" s="58">
        <f t="shared" si="6"/>
        <v>2304.5</v>
      </c>
      <c r="W67" s="234">
        <v>1</v>
      </c>
      <c r="X67" s="55" t="s">
        <v>46</v>
      </c>
      <c r="Y67" s="55" t="s">
        <v>90</v>
      </c>
      <c r="Z67" s="55" t="s">
        <v>84</v>
      </c>
      <c r="AA67" s="55" t="s">
        <v>50</v>
      </c>
      <c r="AB67" s="55" t="s">
        <v>357</v>
      </c>
    </row>
    <row r="68" spans="1:28" x14ac:dyDescent="0.15">
      <c r="A68" s="55" t="s">
        <v>41</v>
      </c>
      <c r="B68" s="234" t="s">
        <v>332</v>
      </c>
      <c r="C68" s="149">
        <v>2018</v>
      </c>
      <c r="D68" s="56" t="s">
        <v>352</v>
      </c>
      <c r="E68" s="55" t="s">
        <v>289</v>
      </c>
      <c r="F68" s="234" t="s">
        <v>295</v>
      </c>
      <c r="G68" s="55" t="s">
        <v>42</v>
      </c>
      <c r="H68" s="55" t="s">
        <v>155</v>
      </c>
      <c r="I68" s="55" t="s">
        <v>153</v>
      </c>
      <c r="J68" s="55" t="s">
        <v>38</v>
      </c>
      <c r="K68" s="55" t="s">
        <v>154</v>
      </c>
      <c r="L68" s="234">
        <v>1</v>
      </c>
      <c r="N68" s="234">
        <v>6</v>
      </c>
      <c r="O68" s="55">
        <v>0.25</v>
      </c>
      <c r="P68" s="55">
        <v>0.3</v>
      </c>
      <c r="Q68" s="57">
        <f t="shared" si="5"/>
        <v>0.27500000000000002</v>
      </c>
      <c r="R68" s="234">
        <v>16</v>
      </c>
      <c r="S68" s="55">
        <v>100</v>
      </c>
      <c r="T68" s="57">
        <f t="shared" si="4"/>
        <v>33</v>
      </c>
      <c r="U68" s="234">
        <v>419</v>
      </c>
      <c r="V68" s="58">
        <f t="shared" si="6"/>
        <v>2304.5</v>
      </c>
      <c r="W68" s="234">
        <v>2</v>
      </c>
      <c r="X68" s="55" t="s">
        <v>46</v>
      </c>
      <c r="Y68" s="55" t="s">
        <v>90</v>
      </c>
      <c r="Z68" s="55" t="s">
        <v>84</v>
      </c>
      <c r="AA68" s="55" t="s">
        <v>50</v>
      </c>
      <c r="AB68" s="55" t="s">
        <v>357</v>
      </c>
    </row>
    <row r="69" spans="1:28" x14ac:dyDescent="0.15">
      <c r="A69" s="55" t="s">
        <v>41</v>
      </c>
      <c r="B69" s="234" t="s">
        <v>332</v>
      </c>
      <c r="C69" s="149">
        <v>2018</v>
      </c>
      <c r="D69" s="56" t="s">
        <v>352</v>
      </c>
      <c r="E69" s="55" t="s">
        <v>289</v>
      </c>
      <c r="F69" s="234" t="s">
        <v>295</v>
      </c>
      <c r="G69" s="55" t="s">
        <v>42</v>
      </c>
      <c r="H69" s="55" t="s">
        <v>155</v>
      </c>
      <c r="I69" s="55" t="s">
        <v>153</v>
      </c>
      <c r="J69" s="55" t="s">
        <v>38</v>
      </c>
      <c r="K69" s="55" t="s">
        <v>154</v>
      </c>
      <c r="L69" s="234">
        <v>2</v>
      </c>
      <c r="N69" s="234">
        <v>6</v>
      </c>
      <c r="O69" s="55">
        <v>0.35</v>
      </c>
      <c r="P69" s="55">
        <v>0.25</v>
      </c>
      <c r="Q69" s="57">
        <f t="shared" si="5"/>
        <v>0.3</v>
      </c>
      <c r="R69" s="55">
        <v>15.4</v>
      </c>
      <c r="S69" s="55">
        <v>105</v>
      </c>
      <c r="T69" s="57">
        <f t="shared" si="4"/>
        <v>33</v>
      </c>
      <c r="U69" s="234">
        <v>419</v>
      </c>
      <c r="V69" s="58">
        <f t="shared" si="6"/>
        <v>2304.5</v>
      </c>
      <c r="W69" s="234">
        <v>2</v>
      </c>
      <c r="X69" s="55" t="s">
        <v>46</v>
      </c>
      <c r="Y69" s="55" t="s">
        <v>90</v>
      </c>
      <c r="Z69" s="55" t="s">
        <v>84</v>
      </c>
      <c r="AA69" s="55" t="s">
        <v>50</v>
      </c>
      <c r="AB69" s="55" t="s">
        <v>357</v>
      </c>
    </row>
    <row r="70" spans="1:28" x14ac:dyDescent="0.15">
      <c r="A70" s="55" t="s">
        <v>41</v>
      </c>
      <c r="B70" s="234" t="s">
        <v>332</v>
      </c>
      <c r="C70" s="149">
        <v>2018</v>
      </c>
      <c r="D70" s="56" t="s">
        <v>352</v>
      </c>
      <c r="E70" s="55" t="s">
        <v>289</v>
      </c>
      <c r="F70" s="234" t="s">
        <v>295</v>
      </c>
      <c r="G70" s="55" t="s">
        <v>42</v>
      </c>
      <c r="H70" s="55" t="s">
        <v>155</v>
      </c>
      <c r="I70" s="55" t="s">
        <v>153</v>
      </c>
      <c r="J70" s="55" t="s">
        <v>38</v>
      </c>
      <c r="K70" s="55" t="s">
        <v>154</v>
      </c>
      <c r="L70" s="234">
        <v>3</v>
      </c>
      <c r="N70" s="234">
        <v>6</v>
      </c>
      <c r="O70" s="234">
        <v>0.45</v>
      </c>
      <c r="P70" s="234">
        <v>0.4</v>
      </c>
      <c r="Q70" s="57">
        <f t="shared" si="5"/>
        <v>0.42500000000000004</v>
      </c>
      <c r="R70" s="234">
        <v>14.1</v>
      </c>
      <c r="S70" s="234">
        <v>104</v>
      </c>
      <c r="T70" s="57">
        <f t="shared" si="4"/>
        <v>33</v>
      </c>
      <c r="U70" s="234">
        <v>419</v>
      </c>
      <c r="V70" s="58">
        <f t="shared" si="6"/>
        <v>2304.5</v>
      </c>
      <c r="W70" s="234">
        <v>2</v>
      </c>
      <c r="X70" s="55" t="s">
        <v>46</v>
      </c>
      <c r="Y70" s="55" t="s">
        <v>90</v>
      </c>
      <c r="Z70" s="55" t="s">
        <v>84</v>
      </c>
      <c r="AA70" s="55" t="s">
        <v>50</v>
      </c>
      <c r="AB70" s="55" t="s">
        <v>357</v>
      </c>
    </row>
    <row r="71" spans="1:28" x14ac:dyDescent="0.15">
      <c r="A71" s="55" t="s">
        <v>41</v>
      </c>
      <c r="B71" s="234" t="s">
        <v>332</v>
      </c>
      <c r="C71" s="149">
        <v>2018</v>
      </c>
      <c r="D71" s="56" t="s">
        <v>352</v>
      </c>
      <c r="E71" s="55" t="s">
        <v>289</v>
      </c>
      <c r="F71" s="234" t="s">
        <v>295</v>
      </c>
      <c r="G71" s="55" t="s">
        <v>42</v>
      </c>
      <c r="H71" s="55" t="s">
        <v>155</v>
      </c>
      <c r="I71" s="55" t="s">
        <v>153</v>
      </c>
      <c r="J71" s="55" t="s">
        <v>38</v>
      </c>
      <c r="K71" s="55" t="s">
        <v>154</v>
      </c>
      <c r="L71" s="234">
        <v>1</v>
      </c>
      <c r="N71" s="234">
        <v>1</v>
      </c>
      <c r="O71" s="234">
        <v>0.85</v>
      </c>
      <c r="P71" s="234">
        <v>1</v>
      </c>
      <c r="Q71" s="57">
        <f t="shared" si="5"/>
        <v>0.92500000000000004</v>
      </c>
      <c r="R71" s="234">
        <v>12.9</v>
      </c>
      <c r="S71" s="234">
        <v>122</v>
      </c>
      <c r="T71" s="57">
        <f t="shared" si="4"/>
        <v>27</v>
      </c>
      <c r="U71" s="234">
        <v>84</v>
      </c>
      <c r="V71" s="58">
        <f t="shared" si="6"/>
        <v>2268</v>
      </c>
      <c r="W71" s="234">
        <v>2</v>
      </c>
      <c r="X71" s="55" t="s">
        <v>46</v>
      </c>
      <c r="Y71" s="55" t="s">
        <v>90</v>
      </c>
      <c r="Z71" s="55" t="s">
        <v>84</v>
      </c>
      <c r="AA71" s="55" t="s">
        <v>50</v>
      </c>
      <c r="AB71" s="55" t="s">
        <v>357</v>
      </c>
    </row>
    <row r="72" spans="1:28" x14ac:dyDescent="0.15">
      <c r="A72" s="55" t="s">
        <v>41</v>
      </c>
      <c r="B72" s="234" t="s">
        <v>332</v>
      </c>
      <c r="C72" s="149">
        <v>2018</v>
      </c>
      <c r="D72" s="56" t="s">
        <v>352</v>
      </c>
      <c r="E72" s="55" t="s">
        <v>289</v>
      </c>
      <c r="F72" s="234" t="s">
        <v>295</v>
      </c>
      <c r="G72" s="55" t="s">
        <v>42</v>
      </c>
      <c r="H72" s="55" t="s">
        <v>155</v>
      </c>
      <c r="I72" s="55" t="s">
        <v>153</v>
      </c>
      <c r="J72" s="55" t="s">
        <v>38</v>
      </c>
      <c r="K72" s="55" t="s">
        <v>154</v>
      </c>
      <c r="L72" s="234">
        <v>2</v>
      </c>
      <c r="N72" s="234">
        <v>1</v>
      </c>
      <c r="O72" s="234">
        <v>0.9</v>
      </c>
      <c r="P72" s="234">
        <v>1.05</v>
      </c>
      <c r="Q72" s="57">
        <f t="shared" si="5"/>
        <v>0.97500000000000009</v>
      </c>
      <c r="R72" s="234">
        <v>13.3</v>
      </c>
      <c r="S72" s="234">
        <v>126</v>
      </c>
      <c r="T72" s="57">
        <f t="shared" si="4"/>
        <v>27</v>
      </c>
      <c r="U72" s="234">
        <v>84</v>
      </c>
      <c r="V72" s="58">
        <f t="shared" si="6"/>
        <v>2268</v>
      </c>
      <c r="W72" s="234">
        <v>2</v>
      </c>
      <c r="X72" s="55" t="s">
        <v>46</v>
      </c>
      <c r="Y72" s="55" t="s">
        <v>90</v>
      </c>
      <c r="Z72" s="55" t="s">
        <v>84</v>
      </c>
      <c r="AA72" s="55" t="s">
        <v>50</v>
      </c>
      <c r="AB72" s="55" t="s">
        <v>357</v>
      </c>
    </row>
    <row r="73" spans="1:28" x14ac:dyDescent="0.15">
      <c r="A73" s="55" t="s">
        <v>41</v>
      </c>
      <c r="B73" s="234" t="s">
        <v>332</v>
      </c>
      <c r="C73" s="149">
        <v>2018</v>
      </c>
      <c r="D73" s="56" t="s">
        <v>352</v>
      </c>
      <c r="E73" s="55" t="s">
        <v>289</v>
      </c>
      <c r="F73" s="234" t="s">
        <v>295</v>
      </c>
      <c r="G73" s="55" t="s">
        <v>42</v>
      </c>
      <c r="H73" s="55" t="s">
        <v>155</v>
      </c>
      <c r="I73" s="55" t="s">
        <v>153</v>
      </c>
      <c r="J73" s="55" t="s">
        <v>38</v>
      </c>
      <c r="K73" s="55" t="s">
        <v>154</v>
      </c>
      <c r="L73" s="234">
        <v>3</v>
      </c>
      <c r="N73" s="234">
        <v>1</v>
      </c>
      <c r="O73" s="55">
        <v>0.75</v>
      </c>
      <c r="P73" s="55">
        <v>0.8</v>
      </c>
      <c r="Q73" s="82">
        <f t="shared" si="5"/>
        <v>0.77500000000000002</v>
      </c>
      <c r="R73" s="55">
        <v>15.1</v>
      </c>
      <c r="S73" s="55">
        <v>121</v>
      </c>
      <c r="T73" s="57">
        <f t="shared" si="4"/>
        <v>27</v>
      </c>
      <c r="U73" s="234">
        <v>84</v>
      </c>
      <c r="V73" s="58">
        <f t="shared" si="6"/>
        <v>2268</v>
      </c>
      <c r="W73" s="234">
        <v>2</v>
      </c>
      <c r="X73" s="55" t="s">
        <v>46</v>
      </c>
      <c r="Y73" s="55" t="s">
        <v>90</v>
      </c>
      <c r="Z73" s="55" t="s">
        <v>84</v>
      </c>
      <c r="AA73" s="55" t="s">
        <v>50</v>
      </c>
      <c r="AB73" s="55" t="s">
        <v>357</v>
      </c>
    </row>
    <row r="74" spans="1:28" x14ac:dyDescent="0.15">
      <c r="A74" s="55" t="s">
        <v>41</v>
      </c>
      <c r="B74" s="234" t="s">
        <v>332</v>
      </c>
      <c r="C74" s="149">
        <v>2018</v>
      </c>
      <c r="D74" s="56" t="s">
        <v>352</v>
      </c>
      <c r="E74" s="55" t="s">
        <v>289</v>
      </c>
      <c r="F74" s="234" t="s">
        <v>295</v>
      </c>
      <c r="G74" s="55" t="s">
        <v>42</v>
      </c>
      <c r="H74" s="55" t="s">
        <v>166</v>
      </c>
      <c r="I74" s="55" t="s">
        <v>153</v>
      </c>
      <c r="J74" s="55" t="s">
        <v>38</v>
      </c>
      <c r="K74" s="55" t="s">
        <v>154</v>
      </c>
      <c r="L74" s="234">
        <v>1</v>
      </c>
      <c r="N74" s="234">
        <v>1</v>
      </c>
      <c r="O74" s="234">
        <v>0.35</v>
      </c>
      <c r="P74" s="234">
        <v>0.45</v>
      </c>
      <c r="Q74" s="57">
        <f t="shared" si="5"/>
        <v>0.4</v>
      </c>
      <c r="R74" s="234">
        <v>16.399999999999999</v>
      </c>
      <c r="S74" s="234">
        <v>120</v>
      </c>
      <c r="T74" s="57">
        <f t="shared" si="4"/>
        <v>30</v>
      </c>
      <c r="U74" s="234">
        <v>138</v>
      </c>
      <c r="V74" s="58">
        <f t="shared" si="6"/>
        <v>4140</v>
      </c>
      <c r="W74" s="234">
        <v>1</v>
      </c>
      <c r="X74" s="55" t="s">
        <v>46</v>
      </c>
      <c r="Y74" s="55" t="s">
        <v>90</v>
      </c>
      <c r="Z74" s="55" t="s">
        <v>84</v>
      </c>
      <c r="AA74" s="55" t="s">
        <v>50</v>
      </c>
      <c r="AB74" s="55" t="s">
        <v>357</v>
      </c>
    </row>
    <row r="75" spans="1:28" x14ac:dyDescent="0.15">
      <c r="A75" s="55" t="s">
        <v>41</v>
      </c>
      <c r="B75" s="234" t="s">
        <v>332</v>
      </c>
      <c r="C75" s="149">
        <v>2018</v>
      </c>
      <c r="D75" s="56" t="s">
        <v>352</v>
      </c>
      <c r="E75" s="55" t="s">
        <v>289</v>
      </c>
      <c r="F75" s="234" t="s">
        <v>295</v>
      </c>
      <c r="G75" s="55" t="s">
        <v>42</v>
      </c>
      <c r="H75" s="55" t="s">
        <v>166</v>
      </c>
      <c r="I75" s="55" t="s">
        <v>153</v>
      </c>
      <c r="J75" s="55" t="s">
        <v>38</v>
      </c>
      <c r="K75" s="55" t="s">
        <v>154</v>
      </c>
      <c r="L75" s="234">
        <v>2</v>
      </c>
      <c r="N75" s="234">
        <v>1</v>
      </c>
      <c r="O75" s="234">
        <v>0.25</v>
      </c>
      <c r="P75" s="234">
        <v>0.35</v>
      </c>
      <c r="Q75" s="57">
        <f t="shared" si="5"/>
        <v>0.3</v>
      </c>
      <c r="R75" s="234">
        <v>15.7</v>
      </c>
      <c r="S75" s="234">
        <v>118</v>
      </c>
      <c r="T75" s="57">
        <f t="shared" si="4"/>
        <v>30</v>
      </c>
      <c r="U75" s="234">
        <v>138</v>
      </c>
      <c r="V75" s="58">
        <f t="shared" si="6"/>
        <v>4140</v>
      </c>
      <c r="W75" s="234">
        <v>1</v>
      </c>
      <c r="X75" s="55" t="s">
        <v>46</v>
      </c>
      <c r="Y75" s="55" t="s">
        <v>90</v>
      </c>
      <c r="Z75" s="55" t="s">
        <v>84</v>
      </c>
      <c r="AA75" s="55" t="s">
        <v>50</v>
      </c>
      <c r="AB75" s="55" t="s">
        <v>357</v>
      </c>
    </row>
    <row r="76" spans="1:28" x14ac:dyDescent="0.15">
      <c r="A76" s="55" t="s">
        <v>41</v>
      </c>
      <c r="B76" s="234" t="s">
        <v>332</v>
      </c>
      <c r="C76" s="149">
        <v>2018</v>
      </c>
      <c r="D76" s="56" t="s">
        <v>352</v>
      </c>
      <c r="E76" s="55" t="s">
        <v>289</v>
      </c>
      <c r="F76" s="234" t="s">
        <v>295</v>
      </c>
      <c r="G76" s="55" t="s">
        <v>42</v>
      </c>
      <c r="H76" s="55" t="s">
        <v>166</v>
      </c>
      <c r="I76" s="55" t="s">
        <v>153</v>
      </c>
      <c r="J76" s="55" t="s">
        <v>38</v>
      </c>
      <c r="K76" s="55" t="s">
        <v>154</v>
      </c>
      <c r="L76" s="234">
        <v>3</v>
      </c>
      <c r="N76" s="234">
        <v>1</v>
      </c>
      <c r="O76" s="55">
        <v>0.3</v>
      </c>
      <c r="P76" s="55">
        <v>0.25</v>
      </c>
      <c r="Q76" s="82">
        <f t="shared" si="5"/>
        <v>0.27500000000000002</v>
      </c>
      <c r="R76" s="55">
        <v>12.8</v>
      </c>
      <c r="S76" s="55">
        <v>120</v>
      </c>
      <c r="T76" s="57">
        <f t="shared" si="4"/>
        <v>30</v>
      </c>
      <c r="U76" s="234">
        <v>138</v>
      </c>
      <c r="V76" s="58">
        <f t="shared" si="6"/>
        <v>4140</v>
      </c>
      <c r="W76" s="234">
        <v>1</v>
      </c>
      <c r="X76" s="55" t="s">
        <v>46</v>
      </c>
      <c r="Y76" s="55" t="s">
        <v>90</v>
      </c>
      <c r="Z76" s="55" t="s">
        <v>84</v>
      </c>
      <c r="AA76" s="55" t="s">
        <v>50</v>
      </c>
      <c r="AB76" s="55" t="s">
        <v>357</v>
      </c>
    </row>
    <row r="77" spans="1:28" x14ac:dyDescent="0.15">
      <c r="A77" s="55" t="s">
        <v>41</v>
      </c>
      <c r="B77" s="234" t="s">
        <v>332</v>
      </c>
      <c r="C77" s="149">
        <v>2018</v>
      </c>
      <c r="D77" s="56" t="s">
        <v>352</v>
      </c>
      <c r="E77" s="55" t="s">
        <v>289</v>
      </c>
      <c r="F77" s="234" t="s">
        <v>295</v>
      </c>
      <c r="G77" s="55" t="s">
        <v>42</v>
      </c>
      <c r="H77" s="55" t="s">
        <v>166</v>
      </c>
      <c r="I77" s="55" t="s">
        <v>153</v>
      </c>
      <c r="J77" s="55" t="s">
        <v>38</v>
      </c>
      <c r="K77" s="55" t="s">
        <v>154</v>
      </c>
      <c r="L77" s="234">
        <v>1</v>
      </c>
      <c r="N77" s="234">
        <v>3</v>
      </c>
      <c r="O77" s="55">
        <v>0.45</v>
      </c>
      <c r="P77" s="55">
        <v>0.5</v>
      </c>
      <c r="Q77" s="82">
        <f t="shared" si="5"/>
        <v>0.47499999999999998</v>
      </c>
      <c r="R77" s="55">
        <v>13.4</v>
      </c>
      <c r="S77" s="55">
        <v>126</v>
      </c>
      <c r="T77" s="57">
        <f t="shared" si="4"/>
        <v>27</v>
      </c>
      <c r="U77" s="234">
        <v>537</v>
      </c>
      <c r="V77" s="58">
        <f t="shared" si="6"/>
        <v>4833</v>
      </c>
      <c r="W77" s="234">
        <v>2</v>
      </c>
      <c r="X77" s="55" t="s">
        <v>46</v>
      </c>
      <c r="Y77" s="55" t="s">
        <v>90</v>
      </c>
      <c r="Z77" s="55" t="s">
        <v>84</v>
      </c>
      <c r="AA77" s="55" t="s">
        <v>50</v>
      </c>
      <c r="AB77" s="55" t="s">
        <v>357</v>
      </c>
    </row>
    <row r="78" spans="1:28" x14ac:dyDescent="0.15">
      <c r="A78" s="55" t="s">
        <v>41</v>
      </c>
      <c r="B78" s="234" t="s">
        <v>332</v>
      </c>
      <c r="C78" s="149">
        <v>2018</v>
      </c>
      <c r="D78" s="56" t="s">
        <v>352</v>
      </c>
      <c r="E78" s="55" t="s">
        <v>289</v>
      </c>
      <c r="F78" s="234" t="s">
        <v>295</v>
      </c>
      <c r="G78" s="55" t="s">
        <v>42</v>
      </c>
      <c r="H78" s="55" t="s">
        <v>166</v>
      </c>
      <c r="I78" s="55" t="s">
        <v>153</v>
      </c>
      <c r="J78" s="55" t="s">
        <v>38</v>
      </c>
      <c r="K78" s="55" t="s">
        <v>154</v>
      </c>
      <c r="L78" s="234">
        <v>2</v>
      </c>
      <c r="N78" s="234">
        <v>3</v>
      </c>
      <c r="O78" s="55">
        <v>0.55000000000000004</v>
      </c>
      <c r="P78" s="55">
        <v>0.65</v>
      </c>
      <c r="Q78" s="82">
        <f t="shared" si="5"/>
        <v>0.60000000000000009</v>
      </c>
      <c r="R78" s="55">
        <v>14.1</v>
      </c>
      <c r="S78" s="55">
        <v>128</v>
      </c>
      <c r="T78" s="57">
        <f t="shared" si="4"/>
        <v>27</v>
      </c>
      <c r="U78" s="234">
        <v>537</v>
      </c>
      <c r="V78" s="58">
        <f t="shared" si="6"/>
        <v>4833</v>
      </c>
      <c r="W78" s="234">
        <v>2</v>
      </c>
      <c r="X78" s="55" t="s">
        <v>46</v>
      </c>
      <c r="Y78" s="55" t="s">
        <v>90</v>
      </c>
      <c r="Z78" s="55" t="s">
        <v>84</v>
      </c>
      <c r="AA78" s="55" t="s">
        <v>50</v>
      </c>
      <c r="AB78" s="55" t="s">
        <v>357</v>
      </c>
    </row>
    <row r="79" spans="1:28" x14ac:dyDescent="0.15">
      <c r="A79" s="55" t="s">
        <v>41</v>
      </c>
      <c r="B79" s="234" t="s">
        <v>332</v>
      </c>
      <c r="C79" s="149">
        <v>2018</v>
      </c>
      <c r="D79" s="56" t="s">
        <v>352</v>
      </c>
      <c r="E79" s="55" t="s">
        <v>289</v>
      </c>
      <c r="F79" s="234" t="s">
        <v>295</v>
      </c>
      <c r="G79" s="55" t="s">
        <v>42</v>
      </c>
      <c r="H79" s="55" t="s">
        <v>166</v>
      </c>
      <c r="I79" s="55" t="s">
        <v>153</v>
      </c>
      <c r="J79" s="55" t="s">
        <v>38</v>
      </c>
      <c r="K79" s="55" t="s">
        <v>154</v>
      </c>
      <c r="L79" s="234">
        <v>3</v>
      </c>
      <c r="N79" s="234">
        <v>3</v>
      </c>
      <c r="O79" s="55">
        <v>0.65</v>
      </c>
      <c r="P79" s="55">
        <v>0.4</v>
      </c>
      <c r="Q79" s="57">
        <f t="shared" si="5"/>
        <v>0.52500000000000002</v>
      </c>
      <c r="R79" s="234">
        <v>13.7</v>
      </c>
      <c r="S79" s="55">
        <v>124</v>
      </c>
      <c r="T79" s="57">
        <f t="shared" si="4"/>
        <v>27</v>
      </c>
      <c r="U79" s="234">
        <v>537</v>
      </c>
      <c r="V79" s="58">
        <f t="shared" si="6"/>
        <v>4833</v>
      </c>
      <c r="W79" s="234">
        <v>2</v>
      </c>
      <c r="X79" s="55" t="s">
        <v>46</v>
      </c>
      <c r="Y79" s="55" t="s">
        <v>90</v>
      </c>
      <c r="Z79" s="55" t="s">
        <v>84</v>
      </c>
      <c r="AA79" s="55" t="s">
        <v>50</v>
      </c>
      <c r="AB79" s="55" t="s">
        <v>357</v>
      </c>
    </row>
    <row r="80" spans="1:28" x14ac:dyDescent="0.15">
      <c r="A80" s="55" t="s">
        <v>41</v>
      </c>
      <c r="B80" s="234" t="s">
        <v>332</v>
      </c>
      <c r="C80" s="149">
        <v>2018</v>
      </c>
      <c r="D80" s="56" t="s">
        <v>352</v>
      </c>
      <c r="E80" s="234" t="s">
        <v>290</v>
      </c>
      <c r="F80" s="234" t="s">
        <v>296</v>
      </c>
      <c r="G80" s="55" t="s">
        <v>42</v>
      </c>
      <c r="H80" s="55" t="s">
        <v>166</v>
      </c>
      <c r="I80" s="55" t="s">
        <v>153</v>
      </c>
      <c r="J80" s="55" t="s">
        <v>38</v>
      </c>
      <c r="K80" s="55" t="s">
        <v>154</v>
      </c>
      <c r="L80" s="234">
        <v>1</v>
      </c>
      <c r="N80" s="234">
        <v>1</v>
      </c>
      <c r="O80" s="55">
        <v>0.25</v>
      </c>
      <c r="P80" s="55">
        <v>0.3</v>
      </c>
      <c r="Q80" s="57">
        <f t="shared" si="5"/>
        <v>0.27500000000000002</v>
      </c>
      <c r="R80" s="234">
        <v>15.6</v>
      </c>
      <c r="S80" s="55">
        <v>122</v>
      </c>
      <c r="T80" s="57">
        <f t="shared" si="4"/>
        <v>27</v>
      </c>
      <c r="U80" s="234">
        <v>138</v>
      </c>
      <c r="V80" s="58">
        <f t="shared" si="6"/>
        <v>3726</v>
      </c>
      <c r="W80" s="234">
        <v>1</v>
      </c>
      <c r="X80" s="55" t="s">
        <v>46</v>
      </c>
      <c r="Y80" s="55" t="s">
        <v>84</v>
      </c>
      <c r="Z80" s="55" t="s">
        <v>90</v>
      </c>
      <c r="AA80" s="55" t="s">
        <v>50</v>
      </c>
      <c r="AB80" s="55" t="s">
        <v>357</v>
      </c>
    </row>
    <row r="81" spans="1:28" x14ac:dyDescent="0.15">
      <c r="A81" s="55" t="s">
        <v>41</v>
      </c>
      <c r="B81" s="234" t="s">
        <v>332</v>
      </c>
      <c r="C81" s="149">
        <v>2018</v>
      </c>
      <c r="D81" s="56" t="s">
        <v>352</v>
      </c>
      <c r="E81" s="234" t="s">
        <v>290</v>
      </c>
      <c r="F81" s="234" t="s">
        <v>296</v>
      </c>
      <c r="G81" s="55" t="s">
        <v>42</v>
      </c>
      <c r="H81" s="55" t="s">
        <v>166</v>
      </c>
      <c r="I81" s="55" t="s">
        <v>153</v>
      </c>
      <c r="J81" s="55" t="s">
        <v>38</v>
      </c>
      <c r="K81" s="55" t="s">
        <v>154</v>
      </c>
      <c r="L81" s="234">
        <v>2</v>
      </c>
      <c r="N81" s="234">
        <v>1</v>
      </c>
      <c r="O81" s="55">
        <v>0.25</v>
      </c>
      <c r="P81" s="55">
        <v>0.25</v>
      </c>
      <c r="Q81" s="57">
        <f t="shared" si="5"/>
        <v>0.25</v>
      </c>
      <c r="R81" s="234">
        <v>13.8</v>
      </c>
      <c r="S81" s="55">
        <v>121</v>
      </c>
      <c r="T81" s="57">
        <f t="shared" si="4"/>
        <v>27</v>
      </c>
      <c r="U81" s="234">
        <v>138</v>
      </c>
      <c r="V81" s="58">
        <f t="shared" si="6"/>
        <v>3726</v>
      </c>
      <c r="W81" s="234">
        <v>1</v>
      </c>
      <c r="X81" s="55" t="s">
        <v>46</v>
      </c>
      <c r="Y81" s="55" t="s">
        <v>84</v>
      </c>
      <c r="Z81" s="55" t="s">
        <v>90</v>
      </c>
      <c r="AA81" s="55" t="s">
        <v>50</v>
      </c>
      <c r="AB81" s="55" t="s">
        <v>357</v>
      </c>
    </row>
    <row r="82" spans="1:28" x14ac:dyDescent="0.15">
      <c r="A82" s="55" t="s">
        <v>41</v>
      </c>
      <c r="B82" s="234" t="s">
        <v>332</v>
      </c>
      <c r="C82" s="149">
        <v>2018</v>
      </c>
      <c r="D82" s="56" t="s">
        <v>352</v>
      </c>
      <c r="E82" s="234" t="s">
        <v>290</v>
      </c>
      <c r="F82" s="234" t="s">
        <v>296</v>
      </c>
      <c r="G82" s="55" t="s">
        <v>42</v>
      </c>
      <c r="H82" s="55" t="s">
        <v>166</v>
      </c>
      <c r="I82" s="55" t="s">
        <v>153</v>
      </c>
      <c r="J82" s="55" t="s">
        <v>38</v>
      </c>
      <c r="K82" s="55" t="s">
        <v>154</v>
      </c>
      <c r="L82" s="234">
        <v>3</v>
      </c>
      <c r="N82" s="234">
        <v>1</v>
      </c>
      <c r="O82" s="55">
        <v>0.25</v>
      </c>
      <c r="P82" s="55">
        <v>0.25</v>
      </c>
      <c r="Q82" s="82">
        <f t="shared" si="5"/>
        <v>0.25</v>
      </c>
      <c r="R82" s="55">
        <v>14.4</v>
      </c>
      <c r="S82" s="55">
        <v>123</v>
      </c>
      <c r="T82" s="57">
        <f t="shared" si="4"/>
        <v>27</v>
      </c>
      <c r="U82" s="234">
        <v>138</v>
      </c>
      <c r="V82" s="58">
        <f t="shared" si="6"/>
        <v>3726</v>
      </c>
      <c r="W82" s="234">
        <v>1</v>
      </c>
      <c r="X82" s="55" t="s">
        <v>46</v>
      </c>
      <c r="Y82" s="55" t="s">
        <v>84</v>
      </c>
      <c r="Z82" s="55" t="s">
        <v>90</v>
      </c>
      <c r="AA82" s="55" t="s">
        <v>50</v>
      </c>
      <c r="AB82" s="55" t="s">
        <v>357</v>
      </c>
    </row>
    <row r="83" spans="1:28" x14ac:dyDescent="0.15">
      <c r="A83" s="55" t="s">
        <v>41</v>
      </c>
      <c r="B83" s="234" t="s">
        <v>332</v>
      </c>
      <c r="C83" s="149">
        <v>2018</v>
      </c>
      <c r="D83" s="56" t="s">
        <v>352</v>
      </c>
      <c r="E83" s="234" t="s">
        <v>290</v>
      </c>
      <c r="F83" s="234" t="s">
        <v>296</v>
      </c>
      <c r="G83" s="55" t="s">
        <v>42</v>
      </c>
      <c r="H83" s="55" t="s">
        <v>166</v>
      </c>
      <c r="I83" s="55" t="s">
        <v>153</v>
      </c>
      <c r="J83" s="55" t="s">
        <v>38</v>
      </c>
      <c r="K83" s="55" t="s">
        <v>285</v>
      </c>
      <c r="L83" s="234">
        <v>1</v>
      </c>
      <c r="N83" s="234">
        <v>4</v>
      </c>
      <c r="O83" s="55">
        <v>0.25</v>
      </c>
      <c r="P83" s="55">
        <v>0.25</v>
      </c>
      <c r="Q83" s="82">
        <f t="shared" si="5"/>
        <v>0.25</v>
      </c>
      <c r="R83" s="55">
        <v>14.3</v>
      </c>
      <c r="S83" s="55">
        <v>95</v>
      </c>
      <c r="T83" s="57">
        <f t="shared" si="4"/>
        <v>36</v>
      </c>
      <c r="U83" s="234">
        <v>429</v>
      </c>
      <c r="V83" s="58">
        <f t="shared" si="6"/>
        <v>3861</v>
      </c>
      <c r="W83" s="234">
        <v>2</v>
      </c>
      <c r="X83" s="55" t="s">
        <v>46</v>
      </c>
      <c r="Y83" s="55" t="s">
        <v>84</v>
      </c>
      <c r="Z83" s="55" t="s">
        <v>90</v>
      </c>
      <c r="AA83" s="55" t="s">
        <v>50</v>
      </c>
      <c r="AB83" s="55" t="s">
        <v>357</v>
      </c>
    </row>
    <row r="84" spans="1:28" x14ac:dyDescent="0.15">
      <c r="A84" s="55" t="s">
        <v>41</v>
      </c>
      <c r="B84" s="234" t="s">
        <v>332</v>
      </c>
      <c r="C84" s="149">
        <v>2018</v>
      </c>
      <c r="D84" s="56" t="s">
        <v>352</v>
      </c>
      <c r="E84" s="234" t="s">
        <v>290</v>
      </c>
      <c r="F84" s="234" t="s">
        <v>296</v>
      </c>
      <c r="G84" s="55" t="s">
        <v>42</v>
      </c>
      <c r="H84" s="55" t="s">
        <v>166</v>
      </c>
      <c r="I84" s="55" t="s">
        <v>153</v>
      </c>
      <c r="J84" s="55" t="s">
        <v>38</v>
      </c>
      <c r="K84" s="55" t="s">
        <v>285</v>
      </c>
      <c r="L84" s="234">
        <v>2</v>
      </c>
      <c r="N84" s="234">
        <v>4</v>
      </c>
      <c r="O84" s="55">
        <v>0.25</v>
      </c>
      <c r="P84" s="55">
        <v>0.25</v>
      </c>
      <c r="Q84" s="82">
        <f t="shared" si="5"/>
        <v>0.25</v>
      </c>
      <c r="R84" s="55">
        <v>15.8</v>
      </c>
      <c r="S84" s="55">
        <v>87</v>
      </c>
      <c r="T84" s="57">
        <f t="shared" ref="T84:T125" si="7">IF(H84="","",IF(OR(H84="GREEN",H84="GK"),IF(S84&gt;=$AX$2,VLOOKUP(S84,$AX$2:$AY$10,2,1),""),IF(S84&gt;=$AZ$2,VLOOKUP(S84,$AZ$2:$BA$10,2,1),"")))</f>
        <v>36</v>
      </c>
      <c r="U84" s="234">
        <v>429</v>
      </c>
      <c r="V84" s="58">
        <f t="shared" si="6"/>
        <v>3861</v>
      </c>
      <c r="W84" s="234">
        <v>2</v>
      </c>
      <c r="X84" s="55" t="s">
        <v>46</v>
      </c>
      <c r="Y84" s="55" t="s">
        <v>84</v>
      </c>
      <c r="Z84" s="55" t="s">
        <v>90</v>
      </c>
      <c r="AA84" s="55" t="s">
        <v>50</v>
      </c>
      <c r="AB84" s="55" t="s">
        <v>357</v>
      </c>
    </row>
    <row r="85" spans="1:28" x14ac:dyDescent="0.15">
      <c r="A85" s="55" t="s">
        <v>41</v>
      </c>
      <c r="B85" s="234" t="s">
        <v>332</v>
      </c>
      <c r="C85" s="149">
        <v>2018</v>
      </c>
      <c r="D85" s="56" t="s">
        <v>352</v>
      </c>
      <c r="E85" s="234" t="s">
        <v>290</v>
      </c>
      <c r="F85" s="234" t="s">
        <v>296</v>
      </c>
      <c r="G85" s="55" t="s">
        <v>42</v>
      </c>
      <c r="H85" s="55" t="s">
        <v>166</v>
      </c>
      <c r="I85" s="55" t="s">
        <v>153</v>
      </c>
      <c r="J85" s="55" t="s">
        <v>38</v>
      </c>
      <c r="K85" s="55" t="s">
        <v>285</v>
      </c>
      <c r="L85" s="234">
        <v>3</v>
      </c>
      <c r="N85" s="234">
        <v>4</v>
      </c>
      <c r="O85" s="55">
        <v>0.25</v>
      </c>
      <c r="P85" s="55">
        <v>0.25</v>
      </c>
      <c r="Q85" s="57">
        <f t="shared" si="5"/>
        <v>0.25</v>
      </c>
      <c r="R85" s="234">
        <v>13.4</v>
      </c>
      <c r="S85" s="234">
        <v>90</v>
      </c>
      <c r="T85" s="57">
        <f t="shared" si="7"/>
        <v>36</v>
      </c>
      <c r="U85" s="234">
        <v>429</v>
      </c>
      <c r="V85" s="58">
        <f t="shared" si="6"/>
        <v>3861</v>
      </c>
      <c r="W85" s="234">
        <v>2</v>
      </c>
      <c r="X85" s="55" t="s">
        <v>46</v>
      </c>
      <c r="Y85" s="55" t="s">
        <v>84</v>
      </c>
      <c r="Z85" s="55" t="s">
        <v>90</v>
      </c>
      <c r="AA85" s="55" t="s">
        <v>50</v>
      </c>
      <c r="AB85" s="55" t="s">
        <v>357</v>
      </c>
    </row>
    <row r="86" spans="1:28" x14ac:dyDescent="0.15">
      <c r="A86" s="55" t="s">
        <v>41</v>
      </c>
      <c r="B86" s="234" t="s">
        <v>332</v>
      </c>
      <c r="C86" s="149">
        <v>2018</v>
      </c>
      <c r="D86" s="56" t="s">
        <v>352</v>
      </c>
      <c r="E86" s="234" t="s">
        <v>290</v>
      </c>
      <c r="F86" s="234" t="s">
        <v>296</v>
      </c>
      <c r="G86" s="55" t="s">
        <v>42</v>
      </c>
      <c r="H86" s="55" t="s">
        <v>155</v>
      </c>
      <c r="I86" s="55" t="s">
        <v>153</v>
      </c>
      <c r="J86" s="55" t="s">
        <v>38</v>
      </c>
      <c r="K86" s="55" t="s">
        <v>154</v>
      </c>
      <c r="L86" s="234">
        <v>1</v>
      </c>
      <c r="N86" s="234">
        <v>1</v>
      </c>
      <c r="O86" s="234">
        <v>0.95</v>
      </c>
      <c r="P86" s="234">
        <v>1</v>
      </c>
      <c r="Q86" s="82">
        <f t="shared" si="5"/>
        <v>0.97499999999999998</v>
      </c>
      <c r="R86" s="55">
        <v>14</v>
      </c>
      <c r="S86" s="55">
        <v>124</v>
      </c>
      <c r="T86" s="57">
        <f t="shared" si="7"/>
        <v>27</v>
      </c>
      <c r="U86" s="234">
        <v>84</v>
      </c>
      <c r="V86" s="58">
        <f t="shared" si="6"/>
        <v>2268</v>
      </c>
      <c r="W86" s="234">
        <v>1</v>
      </c>
      <c r="X86" s="55" t="s">
        <v>46</v>
      </c>
      <c r="Y86" s="55" t="s">
        <v>84</v>
      </c>
      <c r="Z86" s="55" t="s">
        <v>90</v>
      </c>
      <c r="AA86" s="55" t="s">
        <v>50</v>
      </c>
      <c r="AB86" s="55" t="s">
        <v>357</v>
      </c>
    </row>
    <row r="87" spans="1:28" x14ac:dyDescent="0.15">
      <c r="A87" s="55" t="s">
        <v>41</v>
      </c>
      <c r="B87" s="234" t="s">
        <v>332</v>
      </c>
      <c r="C87" s="149">
        <v>2018</v>
      </c>
      <c r="D87" s="56" t="s">
        <v>352</v>
      </c>
      <c r="E87" s="234" t="s">
        <v>290</v>
      </c>
      <c r="F87" s="234" t="s">
        <v>296</v>
      </c>
      <c r="G87" s="55" t="s">
        <v>42</v>
      </c>
      <c r="H87" s="55" t="s">
        <v>155</v>
      </c>
      <c r="I87" s="55" t="s">
        <v>153</v>
      </c>
      <c r="J87" s="55" t="s">
        <v>38</v>
      </c>
      <c r="K87" s="55" t="s">
        <v>154</v>
      </c>
      <c r="L87" s="234">
        <v>2</v>
      </c>
      <c r="N87" s="234">
        <v>1</v>
      </c>
      <c r="O87" s="234">
        <v>0.8</v>
      </c>
      <c r="P87" s="234">
        <v>0.95</v>
      </c>
      <c r="Q87" s="82">
        <f t="shared" si="5"/>
        <v>0.875</v>
      </c>
      <c r="R87" s="55">
        <v>13.8</v>
      </c>
      <c r="S87" s="55">
        <v>122</v>
      </c>
      <c r="T87" s="57">
        <f t="shared" si="7"/>
        <v>27</v>
      </c>
      <c r="U87" s="234">
        <v>84</v>
      </c>
      <c r="V87" s="58">
        <f t="shared" si="6"/>
        <v>2268</v>
      </c>
      <c r="W87" s="234">
        <v>1</v>
      </c>
      <c r="X87" s="55" t="s">
        <v>46</v>
      </c>
      <c r="Y87" s="55" t="s">
        <v>84</v>
      </c>
      <c r="Z87" s="55" t="s">
        <v>90</v>
      </c>
      <c r="AA87" s="55" t="s">
        <v>50</v>
      </c>
      <c r="AB87" s="55" t="s">
        <v>357</v>
      </c>
    </row>
    <row r="88" spans="1:28" x14ac:dyDescent="0.15">
      <c r="A88" s="55" t="s">
        <v>41</v>
      </c>
      <c r="B88" s="234" t="s">
        <v>332</v>
      </c>
      <c r="C88" s="149">
        <v>2018</v>
      </c>
      <c r="D88" s="56" t="s">
        <v>352</v>
      </c>
      <c r="E88" s="234" t="s">
        <v>290</v>
      </c>
      <c r="F88" s="234" t="s">
        <v>296</v>
      </c>
      <c r="G88" s="55" t="s">
        <v>42</v>
      </c>
      <c r="H88" s="55" t="s">
        <v>155</v>
      </c>
      <c r="I88" s="55" t="s">
        <v>153</v>
      </c>
      <c r="J88" s="55" t="s">
        <v>38</v>
      </c>
      <c r="K88" s="55" t="s">
        <v>154</v>
      </c>
      <c r="L88" s="234">
        <v>3</v>
      </c>
      <c r="N88" s="234">
        <v>1</v>
      </c>
      <c r="O88" s="55">
        <v>0.95</v>
      </c>
      <c r="P88" s="55">
        <v>0.85</v>
      </c>
      <c r="Q88" s="82">
        <f t="shared" si="5"/>
        <v>0.89999999999999991</v>
      </c>
      <c r="R88" s="55">
        <v>16.399999999999999</v>
      </c>
      <c r="S88" s="55">
        <v>126</v>
      </c>
      <c r="T88" s="57">
        <f t="shared" si="7"/>
        <v>27</v>
      </c>
      <c r="U88" s="234">
        <v>84</v>
      </c>
      <c r="V88" s="58">
        <f t="shared" si="6"/>
        <v>2268</v>
      </c>
      <c r="W88" s="234">
        <v>1</v>
      </c>
      <c r="X88" s="55" t="s">
        <v>46</v>
      </c>
      <c r="Y88" s="55" t="s">
        <v>84</v>
      </c>
      <c r="Z88" s="55" t="s">
        <v>90</v>
      </c>
      <c r="AA88" s="55" t="s">
        <v>50</v>
      </c>
      <c r="AB88" s="55" t="s">
        <v>357</v>
      </c>
    </row>
    <row r="89" spans="1:28" x14ac:dyDescent="0.15">
      <c r="A89" s="55" t="s">
        <v>41</v>
      </c>
      <c r="B89" s="234" t="s">
        <v>332</v>
      </c>
      <c r="C89" s="149">
        <v>2018</v>
      </c>
      <c r="D89" s="56" t="s">
        <v>352</v>
      </c>
      <c r="E89" s="234" t="s">
        <v>290</v>
      </c>
      <c r="F89" s="234" t="s">
        <v>296</v>
      </c>
      <c r="G89" s="55" t="s">
        <v>42</v>
      </c>
      <c r="H89" s="55" t="s">
        <v>155</v>
      </c>
      <c r="I89" s="55" t="s">
        <v>153</v>
      </c>
      <c r="J89" s="55" t="s">
        <v>38</v>
      </c>
      <c r="K89" s="55" t="s">
        <v>154</v>
      </c>
      <c r="L89" s="234">
        <v>1</v>
      </c>
      <c r="N89" s="234">
        <v>4</v>
      </c>
      <c r="O89" s="55">
        <v>0.65</v>
      </c>
      <c r="P89" s="55">
        <v>0.65</v>
      </c>
      <c r="Q89" s="82">
        <f>IF(OR(O89="",P89=""),"",AVERAGE(O89,P89))</f>
        <v>0.65</v>
      </c>
      <c r="R89" s="234">
        <v>15.5</v>
      </c>
      <c r="S89" s="55">
        <v>118</v>
      </c>
      <c r="T89" s="57">
        <f t="shared" si="7"/>
        <v>30</v>
      </c>
      <c r="U89" s="234">
        <v>321</v>
      </c>
      <c r="V89" s="58">
        <f t="shared" si="6"/>
        <v>2407.5</v>
      </c>
      <c r="W89" s="234">
        <v>2</v>
      </c>
      <c r="X89" s="55" t="s">
        <v>46</v>
      </c>
      <c r="Y89" s="55" t="s">
        <v>84</v>
      </c>
      <c r="Z89" s="55" t="s">
        <v>90</v>
      </c>
      <c r="AA89" s="55" t="s">
        <v>50</v>
      </c>
      <c r="AB89" s="55" t="s">
        <v>357</v>
      </c>
    </row>
    <row r="90" spans="1:28" x14ac:dyDescent="0.15">
      <c r="A90" s="55" t="s">
        <v>41</v>
      </c>
      <c r="B90" s="234" t="s">
        <v>332</v>
      </c>
      <c r="C90" s="149">
        <v>2018</v>
      </c>
      <c r="D90" s="56" t="s">
        <v>352</v>
      </c>
      <c r="E90" s="234" t="s">
        <v>290</v>
      </c>
      <c r="F90" s="234" t="s">
        <v>296</v>
      </c>
      <c r="G90" s="55" t="s">
        <v>42</v>
      </c>
      <c r="H90" s="55" t="s">
        <v>155</v>
      </c>
      <c r="I90" s="55" t="s">
        <v>153</v>
      </c>
      <c r="J90" s="55" t="s">
        <v>38</v>
      </c>
      <c r="K90" s="55" t="s">
        <v>154</v>
      </c>
      <c r="L90" s="234">
        <v>2</v>
      </c>
      <c r="N90" s="234">
        <v>4</v>
      </c>
      <c r="O90" s="55">
        <v>0.75</v>
      </c>
      <c r="P90" s="55">
        <v>0.7</v>
      </c>
      <c r="Q90" s="82">
        <f>IF(OR(O90="",P90=""),"",AVERAGE(O90,P90))</f>
        <v>0.72499999999999998</v>
      </c>
      <c r="R90" s="234">
        <v>16.2</v>
      </c>
      <c r="S90" s="55">
        <v>121</v>
      </c>
      <c r="T90" s="57">
        <f t="shared" si="7"/>
        <v>27</v>
      </c>
      <c r="U90" s="234">
        <v>321</v>
      </c>
      <c r="V90" s="58">
        <f t="shared" si="6"/>
        <v>2166.75</v>
      </c>
      <c r="W90" s="234">
        <v>2</v>
      </c>
      <c r="X90" s="55" t="s">
        <v>46</v>
      </c>
      <c r="Y90" s="55" t="s">
        <v>84</v>
      </c>
      <c r="Z90" s="55" t="s">
        <v>90</v>
      </c>
      <c r="AA90" s="55" t="s">
        <v>50</v>
      </c>
      <c r="AB90" s="55" t="s">
        <v>357</v>
      </c>
    </row>
    <row r="91" spans="1:28" x14ac:dyDescent="0.15">
      <c r="A91" s="55" t="s">
        <v>41</v>
      </c>
      <c r="B91" s="234" t="s">
        <v>332</v>
      </c>
      <c r="C91" s="149">
        <v>2018</v>
      </c>
      <c r="D91" s="56" t="s">
        <v>352</v>
      </c>
      <c r="E91" s="234" t="s">
        <v>290</v>
      </c>
      <c r="F91" s="234" t="s">
        <v>296</v>
      </c>
      <c r="G91" s="55" t="s">
        <v>42</v>
      </c>
      <c r="H91" s="55" t="s">
        <v>155</v>
      </c>
      <c r="I91" s="55" t="s">
        <v>153</v>
      </c>
      <c r="J91" s="55" t="s">
        <v>38</v>
      </c>
      <c r="K91" s="55" t="s">
        <v>154</v>
      </c>
      <c r="L91" s="234">
        <v>3</v>
      </c>
      <c r="N91" s="234">
        <v>4</v>
      </c>
      <c r="O91" s="55">
        <v>0.85</v>
      </c>
      <c r="P91" s="55">
        <v>0.8</v>
      </c>
      <c r="Q91" s="82">
        <f>IF(OR(O91="",P91=""),"",AVERAGE(O91,P91))</f>
        <v>0.82499999999999996</v>
      </c>
      <c r="R91" s="234">
        <v>14.1</v>
      </c>
      <c r="S91" s="55">
        <v>119</v>
      </c>
      <c r="T91" s="57">
        <f t="shared" si="7"/>
        <v>30</v>
      </c>
      <c r="U91" s="234">
        <v>321</v>
      </c>
      <c r="V91" s="58">
        <f t="shared" si="6"/>
        <v>2407.5</v>
      </c>
      <c r="W91" s="234">
        <v>2</v>
      </c>
      <c r="X91" s="55" t="s">
        <v>46</v>
      </c>
      <c r="Y91" s="55" t="s">
        <v>84</v>
      </c>
      <c r="Z91" s="55" t="s">
        <v>90</v>
      </c>
      <c r="AA91" s="55" t="s">
        <v>50</v>
      </c>
      <c r="AB91" s="55" t="s">
        <v>357</v>
      </c>
    </row>
    <row r="92" spans="1:28" x14ac:dyDescent="0.15">
      <c r="A92" s="55" t="s">
        <v>41</v>
      </c>
      <c r="B92" s="234" t="s">
        <v>332</v>
      </c>
      <c r="C92" s="149">
        <v>2018</v>
      </c>
      <c r="D92" s="56" t="s">
        <v>352</v>
      </c>
      <c r="E92" s="234" t="s">
        <v>173</v>
      </c>
      <c r="F92" s="234" t="s">
        <v>297</v>
      </c>
      <c r="G92" s="55" t="s">
        <v>42</v>
      </c>
      <c r="H92" s="55" t="s">
        <v>166</v>
      </c>
      <c r="I92" s="55" t="s">
        <v>153</v>
      </c>
      <c r="J92" s="55" t="s">
        <v>38</v>
      </c>
      <c r="K92" s="55" t="s">
        <v>154</v>
      </c>
      <c r="L92" s="234">
        <v>1</v>
      </c>
      <c r="N92" s="234">
        <v>1</v>
      </c>
      <c r="O92" s="234">
        <v>0.45</v>
      </c>
      <c r="P92" s="234">
        <v>0.45</v>
      </c>
      <c r="Q92" s="57">
        <f t="shared" ref="Q92:Q109" si="8">IF(OR(O92="",P92=""),"",AVERAGE(O92,P92))</f>
        <v>0.45</v>
      </c>
      <c r="R92" s="234">
        <v>13.5</v>
      </c>
      <c r="S92" s="234">
        <v>135</v>
      </c>
      <c r="T92" s="57">
        <f t="shared" si="7"/>
        <v>25</v>
      </c>
      <c r="U92" s="234">
        <v>137</v>
      </c>
      <c r="V92" s="58">
        <f t="shared" si="6"/>
        <v>3425</v>
      </c>
      <c r="W92" s="234">
        <v>1</v>
      </c>
      <c r="X92" s="55" t="s">
        <v>39</v>
      </c>
      <c r="Y92" s="55" t="s">
        <v>84</v>
      </c>
      <c r="Z92" s="55" t="s">
        <v>90</v>
      </c>
      <c r="AA92" s="55" t="s">
        <v>172</v>
      </c>
      <c r="AB92" s="55" t="s">
        <v>357</v>
      </c>
    </row>
    <row r="93" spans="1:28" x14ac:dyDescent="0.15">
      <c r="A93" s="55" t="s">
        <v>41</v>
      </c>
      <c r="B93" s="234" t="s">
        <v>332</v>
      </c>
      <c r="C93" s="149">
        <v>2018</v>
      </c>
      <c r="D93" s="56" t="s">
        <v>352</v>
      </c>
      <c r="E93" s="234" t="s">
        <v>173</v>
      </c>
      <c r="F93" s="234" t="s">
        <v>297</v>
      </c>
      <c r="G93" s="55" t="s">
        <v>42</v>
      </c>
      <c r="H93" s="55" t="s">
        <v>166</v>
      </c>
      <c r="I93" s="55" t="s">
        <v>153</v>
      </c>
      <c r="J93" s="55" t="s">
        <v>38</v>
      </c>
      <c r="K93" s="55" t="s">
        <v>154</v>
      </c>
      <c r="L93" s="234">
        <v>2</v>
      </c>
      <c r="N93" s="234">
        <v>1</v>
      </c>
      <c r="O93" s="234">
        <v>0.35</v>
      </c>
      <c r="P93" s="234">
        <v>0.5</v>
      </c>
      <c r="Q93" s="57">
        <f t="shared" si="8"/>
        <v>0.42499999999999999</v>
      </c>
      <c r="R93" s="234">
        <v>16.5</v>
      </c>
      <c r="S93" s="234">
        <v>130</v>
      </c>
      <c r="T93" s="57">
        <f t="shared" si="7"/>
        <v>25</v>
      </c>
      <c r="U93" s="234">
        <v>137</v>
      </c>
      <c r="V93" s="58">
        <f t="shared" si="6"/>
        <v>3425</v>
      </c>
      <c r="W93" s="234">
        <v>1</v>
      </c>
      <c r="X93" s="55" t="s">
        <v>39</v>
      </c>
      <c r="Y93" s="55" t="s">
        <v>84</v>
      </c>
      <c r="Z93" s="55" t="s">
        <v>90</v>
      </c>
      <c r="AA93" s="55" t="s">
        <v>172</v>
      </c>
      <c r="AB93" s="55" t="s">
        <v>357</v>
      </c>
    </row>
    <row r="94" spans="1:28" x14ac:dyDescent="0.15">
      <c r="A94" s="55" t="s">
        <v>41</v>
      </c>
      <c r="B94" s="234" t="s">
        <v>332</v>
      </c>
      <c r="C94" s="149">
        <v>2018</v>
      </c>
      <c r="D94" s="56" t="s">
        <v>352</v>
      </c>
      <c r="E94" s="234" t="s">
        <v>173</v>
      </c>
      <c r="F94" s="234" t="s">
        <v>297</v>
      </c>
      <c r="G94" s="55" t="s">
        <v>42</v>
      </c>
      <c r="H94" s="55" t="s">
        <v>166</v>
      </c>
      <c r="I94" s="55" t="s">
        <v>153</v>
      </c>
      <c r="J94" s="55" t="s">
        <v>38</v>
      </c>
      <c r="K94" s="55" t="s">
        <v>154</v>
      </c>
      <c r="L94" s="234">
        <v>3</v>
      </c>
      <c r="N94" s="234">
        <v>1</v>
      </c>
      <c r="O94" s="234">
        <v>0.45</v>
      </c>
      <c r="P94" s="234">
        <v>0.4</v>
      </c>
      <c r="Q94" s="57">
        <f t="shared" si="8"/>
        <v>0.42500000000000004</v>
      </c>
      <c r="R94" s="234">
        <v>14</v>
      </c>
      <c r="S94" s="234">
        <v>131</v>
      </c>
      <c r="T94" s="57">
        <f t="shared" si="7"/>
        <v>25</v>
      </c>
      <c r="U94" s="234">
        <v>137</v>
      </c>
      <c r="V94" s="58">
        <f t="shared" si="6"/>
        <v>3425</v>
      </c>
      <c r="W94" s="234">
        <v>1</v>
      </c>
      <c r="X94" s="55" t="s">
        <v>39</v>
      </c>
      <c r="Y94" s="55" t="s">
        <v>84</v>
      </c>
      <c r="Z94" s="55" t="s">
        <v>90</v>
      </c>
      <c r="AA94" s="55" t="s">
        <v>172</v>
      </c>
      <c r="AB94" s="55" t="s">
        <v>357</v>
      </c>
    </row>
    <row r="95" spans="1:28" x14ac:dyDescent="0.15">
      <c r="A95" s="55" t="s">
        <v>41</v>
      </c>
      <c r="B95" s="234" t="s">
        <v>332</v>
      </c>
      <c r="C95" s="149">
        <v>2018</v>
      </c>
      <c r="D95" s="56" t="s">
        <v>352</v>
      </c>
      <c r="E95" s="234" t="s">
        <v>173</v>
      </c>
      <c r="F95" s="234" t="s">
        <v>297</v>
      </c>
      <c r="G95" s="55" t="s">
        <v>42</v>
      </c>
      <c r="H95" s="55" t="s">
        <v>166</v>
      </c>
      <c r="I95" s="55" t="s">
        <v>153</v>
      </c>
      <c r="J95" s="55" t="s">
        <v>38</v>
      </c>
      <c r="K95" s="55" t="s">
        <v>154</v>
      </c>
      <c r="L95" s="234">
        <v>1</v>
      </c>
      <c r="N95" s="234">
        <v>4</v>
      </c>
      <c r="O95" s="234">
        <v>0.25</v>
      </c>
      <c r="P95" s="234">
        <v>0.25</v>
      </c>
      <c r="Q95" s="57">
        <f t="shared" si="8"/>
        <v>0.25</v>
      </c>
      <c r="R95" s="234">
        <v>15.9</v>
      </c>
      <c r="S95" s="234">
        <v>127</v>
      </c>
      <c r="T95" s="57">
        <f t="shared" si="7"/>
        <v>27</v>
      </c>
      <c r="U95" s="234">
        <v>515</v>
      </c>
      <c r="V95" s="58">
        <f t="shared" si="6"/>
        <v>3476.25</v>
      </c>
      <c r="W95" s="234">
        <v>1</v>
      </c>
      <c r="X95" s="55" t="s">
        <v>39</v>
      </c>
      <c r="Y95" s="55" t="s">
        <v>84</v>
      </c>
      <c r="Z95" s="55" t="s">
        <v>90</v>
      </c>
      <c r="AA95" s="55" t="s">
        <v>172</v>
      </c>
      <c r="AB95" s="55" t="s">
        <v>357</v>
      </c>
    </row>
    <row r="96" spans="1:28" x14ac:dyDescent="0.15">
      <c r="A96" s="55" t="s">
        <v>41</v>
      </c>
      <c r="B96" s="234" t="s">
        <v>332</v>
      </c>
      <c r="C96" s="149">
        <v>2018</v>
      </c>
      <c r="D96" s="56" t="s">
        <v>352</v>
      </c>
      <c r="E96" s="234" t="s">
        <v>173</v>
      </c>
      <c r="F96" s="234" t="s">
        <v>297</v>
      </c>
      <c r="G96" s="55" t="s">
        <v>42</v>
      </c>
      <c r="H96" s="55" t="s">
        <v>166</v>
      </c>
      <c r="I96" s="55" t="s">
        <v>153</v>
      </c>
      <c r="J96" s="55" t="s">
        <v>38</v>
      </c>
      <c r="K96" s="55" t="s">
        <v>154</v>
      </c>
      <c r="L96" s="234">
        <v>2</v>
      </c>
      <c r="N96" s="234">
        <v>4</v>
      </c>
      <c r="O96" s="234">
        <v>0.25</v>
      </c>
      <c r="P96" s="234">
        <v>0.3</v>
      </c>
      <c r="Q96" s="57">
        <f t="shared" si="8"/>
        <v>0.27500000000000002</v>
      </c>
      <c r="R96" s="234">
        <v>14.7</v>
      </c>
      <c r="S96" s="234">
        <v>125</v>
      </c>
      <c r="T96" s="57">
        <f t="shared" si="7"/>
        <v>27</v>
      </c>
      <c r="U96" s="234">
        <v>515</v>
      </c>
      <c r="V96" s="58">
        <f t="shared" si="6"/>
        <v>3476.25</v>
      </c>
      <c r="W96" s="234">
        <v>1</v>
      </c>
      <c r="X96" s="55" t="s">
        <v>39</v>
      </c>
      <c r="Y96" s="55" t="s">
        <v>84</v>
      </c>
      <c r="Z96" s="55" t="s">
        <v>90</v>
      </c>
      <c r="AA96" s="55" t="s">
        <v>172</v>
      </c>
      <c r="AB96" s="55" t="s">
        <v>357</v>
      </c>
    </row>
    <row r="97" spans="1:28" x14ac:dyDescent="0.15">
      <c r="A97" s="55" t="s">
        <v>41</v>
      </c>
      <c r="B97" s="234" t="s">
        <v>332</v>
      </c>
      <c r="C97" s="149">
        <v>2018</v>
      </c>
      <c r="D97" s="56" t="s">
        <v>352</v>
      </c>
      <c r="E97" s="234" t="s">
        <v>173</v>
      </c>
      <c r="F97" s="234" t="s">
        <v>297</v>
      </c>
      <c r="G97" s="55" t="s">
        <v>42</v>
      </c>
      <c r="H97" s="55" t="s">
        <v>166</v>
      </c>
      <c r="I97" s="55" t="s">
        <v>153</v>
      </c>
      <c r="J97" s="55" t="s">
        <v>38</v>
      </c>
      <c r="K97" s="55" t="s">
        <v>154</v>
      </c>
      <c r="L97" s="234">
        <v>3</v>
      </c>
      <c r="N97" s="234">
        <v>4</v>
      </c>
      <c r="O97" s="234">
        <v>0.25</v>
      </c>
      <c r="P97" s="234">
        <v>0.25</v>
      </c>
      <c r="Q97" s="57">
        <f t="shared" si="8"/>
        <v>0.25</v>
      </c>
      <c r="R97" s="234">
        <v>14.4</v>
      </c>
      <c r="S97" s="234">
        <v>126</v>
      </c>
      <c r="T97" s="57">
        <f t="shared" si="7"/>
        <v>27</v>
      </c>
      <c r="U97" s="234">
        <v>515</v>
      </c>
      <c r="V97" s="58">
        <f t="shared" si="6"/>
        <v>3476.25</v>
      </c>
      <c r="W97" s="234">
        <v>1</v>
      </c>
      <c r="X97" s="55" t="s">
        <v>39</v>
      </c>
      <c r="Y97" s="55" t="s">
        <v>84</v>
      </c>
      <c r="Z97" s="55" t="s">
        <v>90</v>
      </c>
      <c r="AA97" s="55" t="s">
        <v>172</v>
      </c>
      <c r="AB97" s="55" t="s">
        <v>357</v>
      </c>
    </row>
    <row r="98" spans="1:28" x14ac:dyDescent="0.15">
      <c r="A98" s="55" t="s">
        <v>41</v>
      </c>
      <c r="B98" s="234" t="s">
        <v>332</v>
      </c>
      <c r="C98" s="149">
        <v>2018</v>
      </c>
      <c r="D98" s="56" t="s">
        <v>352</v>
      </c>
      <c r="E98" s="234" t="s">
        <v>173</v>
      </c>
      <c r="F98" s="234" t="s">
        <v>297</v>
      </c>
      <c r="G98" s="55" t="s">
        <v>42</v>
      </c>
      <c r="H98" s="55" t="s">
        <v>155</v>
      </c>
      <c r="I98" s="55" t="s">
        <v>153</v>
      </c>
      <c r="J98" s="55" t="s">
        <v>38</v>
      </c>
      <c r="K98" s="55" t="s">
        <v>154</v>
      </c>
      <c r="L98" s="234">
        <v>1</v>
      </c>
      <c r="N98" s="234">
        <v>1</v>
      </c>
      <c r="O98" s="55">
        <v>0.85</v>
      </c>
      <c r="P98" s="55">
        <v>0.95</v>
      </c>
      <c r="Q98" s="57">
        <f t="shared" si="8"/>
        <v>0.89999999999999991</v>
      </c>
      <c r="R98" s="234">
        <v>15.3</v>
      </c>
      <c r="S98" s="55">
        <v>134</v>
      </c>
      <c r="T98" s="57">
        <f t="shared" si="7"/>
        <v>25</v>
      </c>
      <c r="U98" s="234">
        <v>137</v>
      </c>
      <c r="V98" s="58">
        <f t="shared" si="6"/>
        <v>3425</v>
      </c>
      <c r="W98" s="234">
        <v>2</v>
      </c>
      <c r="X98" s="55" t="s">
        <v>39</v>
      </c>
      <c r="Y98" s="55" t="s">
        <v>84</v>
      </c>
      <c r="Z98" s="55" t="s">
        <v>90</v>
      </c>
      <c r="AA98" s="55" t="s">
        <v>172</v>
      </c>
      <c r="AB98" s="55" t="s">
        <v>357</v>
      </c>
    </row>
    <row r="99" spans="1:28" x14ac:dyDescent="0.15">
      <c r="A99" s="55" t="s">
        <v>41</v>
      </c>
      <c r="B99" s="234" t="s">
        <v>332</v>
      </c>
      <c r="C99" s="149">
        <v>2018</v>
      </c>
      <c r="D99" s="56" t="s">
        <v>352</v>
      </c>
      <c r="E99" s="234" t="s">
        <v>173</v>
      </c>
      <c r="F99" s="234" t="s">
        <v>297</v>
      </c>
      <c r="G99" s="55" t="s">
        <v>42</v>
      </c>
      <c r="H99" s="55" t="s">
        <v>155</v>
      </c>
      <c r="I99" s="55" t="s">
        <v>153</v>
      </c>
      <c r="J99" s="55" t="s">
        <v>38</v>
      </c>
      <c r="K99" s="55" t="s">
        <v>154</v>
      </c>
      <c r="L99" s="234">
        <v>2</v>
      </c>
      <c r="N99" s="234">
        <v>1</v>
      </c>
      <c r="O99" s="55">
        <v>0.9</v>
      </c>
      <c r="P99" s="55">
        <v>0.85</v>
      </c>
      <c r="Q99" s="57">
        <f t="shared" si="8"/>
        <v>0.875</v>
      </c>
      <c r="R99" s="55">
        <v>15.1</v>
      </c>
      <c r="S99" s="55">
        <v>130</v>
      </c>
      <c r="T99" s="57">
        <f t="shared" si="7"/>
        <v>25</v>
      </c>
      <c r="U99" s="234">
        <v>137</v>
      </c>
      <c r="V99" s="58">
        <f t="shared" si="6"/>
        <v>3425</v>
      </c>
      <c r="W99" s="234">
        <v>2</v>
      </c>
      <c r="X99" s="55" t="s">
        <v>39</v>
      </c>
      <c r="Y99" s="55" t="s">
        <v>84</v>
      </c>
      <c r="Z99" s="55" t="s">
        <v>90</v>
      </c>
      <c r="AA99" s="55" t="s">
        <v>172</v>
      </c>
      <c r="AB99" s="55" t="s">
        <v>357</v>
      </c>
    </row>
    <row r="100" spans="1:28" x14ac:dyDescent="0.15">
      <c r="A100" s="55" t="s">
        <v>41</v>
      </c>
      <c r="B100" s="234" t="s">
        <v>332</v>
      </c>
      <c r="C100" s="149">
        <v>2018</v>
      </c>
      <c r="D100" s="56" t="s">
        <v>352</v>
      </c>
      <c r="E100" s="234" t="s">
        <v>173</v>
      </c>
      <c r="F100" s="234" t="s">
        <v>297</v>
      </c>
      <c r="G100" s="55" t="s">
        <v>42</v>
      </c>
      <c r="H100" s="55" t="s">
        <v>155</v>
      </c>
      <c r="I100" s="55" t="s">
        <v>153</v>
      </c>
      <c r="J100" s="55" t="s">
        <v>38</v>
      </c>
      <c r="K100" s="55" t="s">
        <v>154</v>
      </c>
      <c r="L100" s="234">
        <v>3</v>
      </c>
      <c r="N100" s="234">
        <v>1</v>
      </c>
      <c r="O100" s="55">
        <v>0.85</v>
      </c>
      <c r="P100" s="55">
        <v>0.9</v>
      </c>
      <c r="Q100" s="57">
        <f t="shared" si="8"/>
        <v>0.875</v>
      </c>
      <c r="R100" s="55">
        <v>13.8</v>
      </c>
      <c r="S100" s="55">
        <v>135</v>
      </c>
      <c r="T100" s="57">
        <f t="shared" si="7"/>
        <v>25</v>
      </c>
      <c r="U100" s="234">
        <v>137</v>
      </c>
      <c r="V100" s="58">
        <f t="shared" si="6"/>
        <v>3425</v>
      </c>
      <c r="W100" s="234">
        <v>2</v>
      </c>
      <c r="X100" s="55" t="s">
        <v>39</v>
      </c>
      <c r="Y100" s="55" t="s">
        <v>84</v>
      </c>
      <c r="Z100" s="55" t="s">
        <v>90</v>
      </c>
      <c r="AA100" s="55" t="s">
        <v>172</v>
      </c>
      <c r="AB100" s="55" t="s">
        <v>357</v>
      </c>
    </row>
    <row r="101" spans="1:28" x14ac:dyDescent="0.15">
      <c r="A101" s="55" t="s">
        <v>41</v>
      </c>
      <c r="B101" s="234" t="s">
        <v>332</v>
      </c>
      <c r="C101" s="149">
        <v>2018</v>
      </c>
      <c r="D101" s="56" t="s">
        <v>352</v>
      </c>
      <c r="E101" s="234" t="s">
        <v>173</v>
      </c>
      <c r="F101" s="234" t="s">
        <v>297</v>
      </c>
      <c r="G101" s="55" t="s">
        <v>42</v>
      </c>
      <c r="H101" s="55" t="s">
        <v>155</v>
      </c>
      <c r="I101" s="55" t="s">
        <v>153</v>
      </c>
      <c r="J101" s="55" t="s">
        <v>38</v>
      </c>
      <c r="K101" s="55" t="s">
        <v>154</v>
      </c>
      <c r="L101" s="234">
        <v>1</v>
      </c>
      <c r="N101" s="234">
        <v>4</v>
      </c>
      <c r="O101" s="55">
        <v>0.75</v>
      </c>
      <c r="P101" s="55">
        <v>0.8</v>
      </c>
      <c r="Q101" s="57">
        <f t="shared" si="8"/>
        <v>0.77500000000000002</v>
      </c>
      <c r="R101" s="234">
        <v>13</v>
      </c>
      <c r="S101" s="234">
        <v>131</v>
      </c>
      <c r="T101" s="57">
        <f t="shared" si="7"/>
        <v>25</v>
      </c>
      <c r="U101" s="234">
        <v>428</v>
      </c>
      <c r="V101" s="58">
        <f t="shared" si="6"/>
        <v>2675</v>
      </c>
      <c r="W101" s="234">
        <v>2</v>
      </c>
      <c r="X101" s="55" t="s">
        <v>39</v>
      </c>
      <c r="Y101" s="55" t="s">
        <v>84</v>
      </c>
      <c r="Z101" s="55" t="s">
        <v>90</v>
      </c>
      <c r="AA101" s="55" t="s">
        <v>172</v>
      </c>
      <c r="AB101" s="55" t="s">
        <v>357</v>
      </c>
    </row>
    <row r="102" spans="1:28" x14ac:dyDescent="0.15">
      <c r="A102" s="55" t="s">
        <v>41</v>
      </c>
      <c r="B102" s="234" t="s">
        <v>332</v>
      </c>
      <c r="C102" s="149">
        <v>2018</v>
      </c>
      <c r="D102" s="56" t="s">
        <v>352</v>
      </c>
      <c r="E102" s="234" t="s">
        <v>173</v>
      </c>
      <c r="F102" s="234" t="s">
        <v>297</v>
      </c>
      <c r="G102" s="55" t="s">
        <v>42</v>
      </c>
      <c r="H102" s="55" t="s">
        <v>155</v>
      </c>
      <c r="I102" s="55" t="s">
        <v>153</v>
      </c>
      <c r="J102" s="55" t="s">
        <v>38</v>
      </c>
      <c r="K102" s="55" t="s">
        <v>154</v>
      </c>
      <c r="L102" s="234">
        <v>2</v>
      </c>
      <c r="N102" s="234">
        <v>4</v>
      </c>
      <c r="O102" s="55">
        <v>0.65</v>
      </c>
      <c r="P102" s="55">
        <v>0.8</v>
      </c>
      <c r="Q102" s="57">
        <f t="shared" si="8"/>
        <v>0.72500000000000009</v>
      </c>
      <c r="R102" s="234">
        <v>14.5</v>
      </c>
      <c r="S102" s="234">
        <v>128</v>
      </c>
      <c r="T102" s="57">
        <f t="shared" si="7"/>
        <v>27</v>
      </c>
      <c r="U102" s="234">
        <v>428</v>
      </c>
      <c r="V102" s="58">
        <f t="shared" si="6"/>
        <v>2889</v>
      </c>
      <c r="W102" s="234">
        <v>2</v>
      </c>
      <c r="X102" s="55" t="s">
        <v>39</v>
      </c>
      <c r="Y102" s="55" t="s">
        <v>84</v>
      </c>
      <c r="Z102" s="55" t="s">
        <v>90</v>
      </c>
      <c r="AA102" s="55" t="s">
        <v>172</v>
      </c>
      <c r="AB102" s="55" t="s">
        <v>357</v>
      </c>
    </row>
    <row r="103" spans="1:28" x14ac:dyDescent="0.15">
      <c r="A103" s="55" t="s">
        <v>41</v>
      </c>
      <c r="B103" s="234" t="s">
        <v>332</v>
      </c>
      <c r="C103" s="149">
        <v>2018</v>
      </c>
      <c r="D103" s="56" t="s">
        <v>352</v>
      </c>
      <c r="E103" s="234" t="s">
        <v>173</v>
      </c>
      <c r="F103" s="234" t="s">
        <v>297</v>
      </c>
      <c r="G103" s="55" t="s">
        <v>42</v>
      </c>
      <c r="H103" s="55" t="s">
        <v>155</v>
      </c>
      <c r="I103" s="55" t="s">
        <v>153</v>
      </c>
      <c r="J103" s="55" t="s">
        <v>38</v>
      </c>
      <c r="K103" s="55" t="s">
        <v>154</v>
      </c>
      <c r="L103" s="234">
        <v>3</v>
      </c>
      <c r="N103" s="234">
        <v>4</v>
      </c>
      <c r="O103" s="55">
        <v>0.65</v>
      </c>
      <c r="P103" s="55">
        <v>0.75</v>
      </c>
      <c r="Q103" s="57">
        <f t="shared" si="8"/>
        <v>0.7</v>
      </c>
      <c r="R103" s="234">
        <v>13.7</v>
      </c>
      <c r="S103" s="234">
        <v>128</v>
      </c>
      <c r="T103" s="57">
        <f t="shared" si="7"/>
        <v>27</v>
      </c>
      <c r="U103" s="234">
        <v>428</v>
      </c>
      <c r="V103" s="58">
        <f t="shared" si="6"/>
        <v>2889</v>
      </c>
      <c r="W103" s="234">
        <v>2</v>
      </c>
      <c r="X103" s="55" t="s">
        <v>39</v>
      </c>
      <c r="Y103" s="55" t="s">
        <v>84</v>
      </c>
      <c r="Z103" s="55" t="s">
        <v>90</v>
      </c>
      <c r="AA103" s="55" t="s">
        <v>172</v>
      </c>
      <c r="AB103" s="55" t="s">
        <v>357</v>
      </c>
    </row>
    <row r="104" spans="1:28" x14ac:dyDescent="0.15">
      <c r="A104" s="55" t="s">
        <v>41</v>
      </c>
      <c r="B104" s="234" t="s">
        <v>332</v>
      </c>
      <c r="C104" s="149">
        <v>2018</v>
      </c>
      <c r="D104" s="56" t="s">
        <v>352</v>
      </c>
      <c r="E104" s="234" t="s">
        <v>288</v>
      </c>
      <c r="F104" s="234" t="s">
        <v>293</v>
      </c>
      <c r="G104" s="55" t="s">
        <v>42</v>
      </c>
      <c r="H104" s="55" t="s">
        <v>155</v>
      </c>
      <c r="I104" s="55" t="s">
        <v>153</v>
      </c>
      <c r="J104" s="55" t="s">
        <v>38</v>
      </c>
      <c r="K104" s="55" t="s">
        <v>154</v>
      </c>
      <c r="L104" s="234">
        <v>1</v>
      </c>
      <c r="N104" s="234">
        <v>1</v>
      </c>
      <c r="O104" s="55">
        <v>0.95</v>
      </c>
      <c r="P104" s="55">
        <v>1</v>
      </c>
      <c r="Q104" s="57">
        <f t="shared" si="8"/>
        <v>0.97499999999999998</v>
      </c>
      <c r="R104" s="234">
        <v>14.2</v>
      </c>
      <c r="S104" s="234">
        <v>118</v>
      </c>
      <c r="T104" s="57">
        <f t="shared" si="7"/>
        <v>30</v>
      </c>
      <c r="U104" s="234">
        <v>104</v>
      </c>
      <c r="V104" s="58">
        <f t="shared" si="6"/>
        <v>3120</v>
      </c>
      <c r="W104" s="234">
        <v>3</v>
      </c>
      <c r="X104" s="55" t="s">
        <v>46</v>
      </c>
      <c r="Y104" s="55" t="s">
        <v>84</v>
      </c>
      <c r="Z104" s="55" t="s">
        <v>90</v>
      </c>
      <c r="AA104" s="55" t="s">
        <v>78</v>
      </c>
      <c r="AB104" s="55" t="s">
        <v>357</v>
      </c>
    </row>
    <row r="105" spans="1:28" x14ac:dyDescent="0.15">
      <c r="A105" s="55" t="s">
        <v>41</v>
      </c>
      <c r="B105" s="234" t="s">
        <v>332</v>
      </c>
      <c r="C105" s="149">
        <v>2018</v>
      </c>
      <c r="D105" s="56" t="s">
        <v>352</v>
      </c>
      <c r="E105" s="234" t="s">
        <v>288</v>
      </c>
      <c r="F105" s="234" t="s">
        <v>293</v>
      </c>
      <c r="G105" s="55" t="s">
        <v>42</v>
      </c>
      <c r="H105" s="55" t="s">
        <v>155</v>
      </c>
      <c r="I105" s="55" t="s">
        <v>153</v>
      </c>
      <c r="J105" s="55" t="s">
        <v>38</v>
      </c>
      <c r="K105" s="55" t="s">
        <v>154</v>
      </c>
      <c r="L105" s="234">
        <v>2</v>
      </c>
      <c r="N105" s="234">
        <v>1</v>
      </c>
      <c r="O105" s="55">
        <v>0.8</v>
      </c>
      <c r="P105" s="55">
        <v>0.95</v>
      </c>
      <c r="Q105" s="57">
        <f t="shared" si="8"/>
        <v>0.875</v>
      </c>
      <c r="R105" s="234">
        <v>14</v>
      </c>
      <c r="S105" s="234">
        <v>119</v>
      </c>
      <c r="T105" s="57">
        <f t="shared" si="7"/>
        <v>30</v>
      </c>
      <c r="U105" s="234">
        <v>104</v>
      </c>
      <c r="V105" s="58">
        <f t="shared" si="6"/>
        <v>3120</v>
      </c>
      <c r="W105" s="234">
        <v>3</v>
      </c>
      <c r="X105" s="55" t="s">
        <v>46</v>
      </c>
      <c r="Y105" s="55" t="s">
        <v>84</v>
      </c>
      <c r="Z105" s="55" t="s">
        <v>90</v>
      </c>
      <c r="AA105" s="55" t="s">
        <v>78</v>
      </c>
      <c r="AB105" s="55" t="s">
        <v>357</v>
      </c>
    </row>
    <row r="106" spans="1:28" x14ac:dyDescent="0.15">
      <c r="A106" s="55" t="s">
        <v>41</v>
      </c>
      <c r="B106" s="234" t="s">
        <v>332</v>
      </c>
      <c r="C106" s="149">
        <v>2018</v>
      </c>
      <c r="D106" s="56" t="s">
        <v>352</v>
      </c>
      <c r="E106" s="234" t="s">
        <v>288</v>
      </c>
      <c r="F106" s="234" t="s">
        <v>293</v>
      </c>
      <c r="G106" s="55" t="s">
        <v>42</v>
      </c>
      <c r="H106" s="55" t="s">
        <v>155</v>
      </c>
      <c r="I106" s="55" t="s">
        <v>153</v>
      </c>
      <c r="J106" s="55" t="s">
        <v>38</v>
      </c>
      <c r="K106" s="55" t="s">
        <v>154</v>
      </c>
      <c r="L106" s="234">
        <v>3</v>
      </c>
      <c r="N106" s="234">
        <v>1</v>
      </c>
      <c r="O106" s="55">
        <v>0.95</v>
      </c>
      <c r="P106" s="55">
        <v>1</v>
      </c>
      <c r="Q106" s="57">
        <f t="shared" si="8"/>
        <v>0.97499999999999998</v>
      </c>
      <c r="R106" s="234">
        <v>13.2</v>
      </c>
      <c r="S106" s="234">
        <v>120</v>
      </c>
      <c r="T106" s="57">
        <f t="shared" si="7"/>
        <v>30</v>
      </c>
      <c r="U106" s="234">
        <v>104</v>
      </c>
      <c r="V106" s="58">
        <f t="shared" si="6"/>
        <v>3120</v>
      </c>
      <c r="W106" s="234">
        <v>3</v>
      </c>
      <c r="X106" s="55" t="s">
        <v>46</v>
      </c>
      <c r="Y106" s="55" t="s">
        <v>84</v>
      </c>
      <c r="Z106" s="55" t="s">
        <v>90</v>
      </c>
      <c r="AA106" s="55" t="s">
        <v>78</v>
      </c>
      <c r="AB106" s="55" t="s">
        <v>357</v>
      </c>
    </row>
    <row r="107" spans="1:28" x14ac:dyDescent="0.15">
      <c r="A107" s="55" t="s">
        <v>41</v>
      </c>
      <c r="B107" s="234" t="s">
        <v>332</v>
      </c>
      <c r="C107" s="149">
        <v>2018</v>
      </c>
      <c r="D107" s="56" t="s">
        <v>352</v>
      </c>
      <c r="E107" s="234" t="s">
        <v>288</v>
      </c>
      <c r="F107" s="234" t="s">
        <v>293</v>
      </c>
      <c r="G107" s="55" t="s">
        <v>42</v>
      </c>
      <c r="H107" s="55" t="s">
        <v>127</v>
      </c>
      <c r="I107" s="55" t="s">
        <v>153</v>
      </c>
      <c r="J107" s="55" t="s">
        <v>80</v>
      </c>
      <c r="K107" s="55" t="s">
        <v>45</v>
      </c>
      <c r="L107" s="234">
        <v>1</v>
      </c>
      <c r="N107" s="234">
        <v>1</v>
      </c>
      <c r="O107" s="55">
        <v>0.65</v>
      </c>
      <c r="P107" s="55">
        <v>0.55000000000000004</v>
      </c>
      <c r="Q107" s="57">
        <f t="shared" si="8"/>
        <v>0.60000000000000009</v>
      </c>
      <c r="R107" s="234">
        <v>13.8</v>
      </c>
      <c r="S107" s="55">
        <v>100</v>
      </c>
      <c r="T107" s="57">
        <f t="shared" si="7"/>
        <v>33</v>
      </c>
      <c r="U107" s="234">
        <v>104</v>
      </c>
      <c r="V107" s="58">
        <f t="shared" si="6"/>
        <v>3432</v>
      </c>
      <c r="W107" s="234">
        <v>3</v>
      </c>
      <c r="X107" s="55" t="s">
        <v>46</v>
      </c>
      <c r="Y107" s="55" t="s">
        <v>84</v>
      </c>
      <c r="Z107" s="55" t="s">
        <v>90</v>
      </c>
      <c r="AA107" s="55" t="s">
        <v>78</v>
      </c>
      <c r="AB107" s="55" t="s">
        <v>357</v>
      </c>
    </row>
    <row r="108" spans="1:28" x14ac:dyDescent="0.15">
      <c r="A108" s="55" t="s">
        <v>41</v>
      </c>
      <c r="B108" s="234" t="s">
        <v>332</v>
      </c>
      <c r="C108" s="149">
        <v>2018</v>
      </c>
      <c r="D108" s="56" t="s">
        <v>352</v>
      </c>
      <c r="E108" s="234" t="s">
        <v>288</v>
      </c>
      <c r="F108" s="234" t="s">
        <v>293</v>
      </c>
      <c r="G108" s="55" t="s">
        <v>42</v>
      </c>
      <c r="H108" s="55" t="s">
        <v>127</v>
      </c>
      <c r="I108" s="55" t="s">
        <v>153</v>
      </c>
      <c r="J108" s="55" t="s">
        <v>80</v>
      </c>
      <c r="K108" s="55" t="s">
        <v>45</v>
      </c>
      <c r="L108" s="234">
        <v>2</v>
      </c>
      <c r="N108" s="234">
        <v>1</v>
      </c>
      <c r="O108" s="55">
        <v>0.45</v>
      </c>
      <c r="P108" s="55">
        <v>0.65</v>
      </c>
      <c r="Q108" s="57">
        <f t="shared" si="8"/>
        <v>0.55000000000000004</v>
      </c>
      <c r="R108" s="234">
        <v>14.5</v>
      </c>
      <c r="S108" s="55">
        <v>102</v>
      </c>
      <c r="T108" s="57">
        <f t="shared" si="7"/>
        <v>33</v>
      </c>
      <c r="U108" s="234">
        <v>104</v>
      </c>
      <c r="V108" s="58">
        <f t="shared" si="6"/>
        <v>3432</v>
      </c>
      <c r="W108" s="234">
        <v>3</v>
      </c>
      <c r="X108" s="55" t="s">
        <v>46</v>
      </c>
      <c r="Y108" s="55" t="s">
        <v>84</v>
      </c>
      <c r="Z108" s="55" t="s">
        <v>90</v>
      </c>
      <c r="AA108" s="55" t="s">
        <v>78</v>
      </c>
      <c r="AB108" s="55" t="s">
        <v>357</v>
      </c>
    </row>
    <row r="109" spans="1:28" x14ac:dyDescent="0.15">
      <c r="A109" s="55" t="s">
        <v>41</v>
      </c>
      <c r="B109" s="234" t="s">
        <v>332</v>
      </c>
      <c r="C109" s="149">
        <v>2018</v>
      </c>
      <c r="D109" s="56" t="s">
        <v>352</v>
      </c>
      <c r="E109" s="234" t="s">
        <v>288</v>
      </c>
      <c r="F109" s="234" t="s">
        <v>293</v>
      </c>
      <c r="G109" s="55" t="s">
        <v>42</v>
      </c>
      <c r="H109" s="55" t="s">
        <v>127</v>
      </c>
      <c r="I109" s="55" t="s">
        <v>153</v>
      </c>
      <c r="J109" s="55" t="s">
        <v>80</v>
      </c>
      <c r="K109" s="55" t="s">
        <v>45</v>
      </c>
      <c r="L109" s="234">
        <v>3</v>
      </c>
      <c r="N109" s="234">
        <v>1</v>
      </c>
      <c r="O109" s="55">
        <v>0.5</v>
      </c>
      <c r="P109" s="55">
        <v>0.6</v>
      </c>
      <c r="Q109" s="57">
        <f t="shared" si="8"/>
        <v>0.55000000000000004</v>
      </c>
      <c r="R109" s="234">
        <v>12.9</v>
      </c>
      <c r="S109" s="55">
        <v>104</v>
      </c>
      <c r="T109" s="57">
        <f t="shared" si="7"/>
        <v>33</v>
      </c>
      <c r="U109" s="234">
        <v>104</v>
      </c>
      <c r="V109" s="58">
        <f t="shared" si="6"/>
        <v>3432</v>
      </c>
      <c r="W109" s="234">
        <v>3</v>
      </c>
      <c r="X109" s="55" t="s">
        <v>46</v>
      </c>
      <c r="Y109" s="55" t="s">
        <v>84</v>
      </c>
      <c r="Z109" s="55" t="s">
        <v>90</v>
      </c>
      <c r="AA109" s="55" t="s">
        <v>78</v>
      </c>
      <c r="AB109" s="55" t="s">
        <v>357</v>
      </c>
    </row>
  </sheetData>
  <autoFilter ref="A1:BA109"/>
  <dataConsolidate/>
  <phoneticPr fontId="3"/>
  <dataValidations count="13">
    <dataValidation operator="equal" allowBlank="1" showInputMessage="1" showErrorMessage="1" sqref="B2:B109"/>
    <dataValidation type="decimal" allowBlank="1" showInputMessage="1" showErrorMessage="1" error="硬度を正しく入力して下さい。" sqref="O2:P292">
      <formula1>0</formula1>
      <formula2>7</formula2>
    </dataValidation>
    <dataValidation type="list" allowBlank="1" showInputMessage="1" showErrorMessage="1" sqref="Y1:AA1048576">
      <formula1>$AV$2:$AV$21</formula1>
    </dataValidation>
    <dataValidation type="list" allowBlank="1" showInputMessage="1" showErrorMessage="1" sqref="F1:F1048576">
      <formula1>$AH$2:$AH$11</formula1>
    </dataValidation>
    <dataValidation type="list" allowBlank="1" showInputMessage="1" showErrorMessage="1" sqref="E1:E1048576">
      <formula1>$AG$2:$AG$11</formula1>
    </dataValidation>
    <dataValidation type="list" allowBlank="1" showInputMessage="1" showErrorMessage="1" sqref="K2:K109">
      <formula1>$AR$2:$AR$23</formula1>
    </dataValidation>
    <dataValidation type="list" allowBlank="1" showInputMessage="1" showErrorMessage="1" sqref="J2:J292">
      <formula1>$AP$2:$AP$19</formula1>
    </dataValidation>
    <dataValidation type="list" allowBlank="1" showInputMessage="1" showErrorMessage="1" sqref="A2:A292">
      <formula1>$AE$2:$AE$16</formula1>
    </dataValidation>
    <dataValidation type="list" allowBlank="1" showInputMessage="1" showErrorMessage="1" sqref="X2:X292">
      <formula1>$AT$2:$AT$3</formula1>
    </dataValidation>
    <dataValidation type="list" allowBlank="1" showInputMessage="1" showErrorMessage="1" sqref="I2:I292">
      <formula1>$AN$5:$AN$6</formula1>
    </dataValidation>
    <dataValidation type="list" allowBlank="1" showInputMessage="1" showErrorMessage="1" sqref="G2:G292">
      <formula1>$AJ$2:$AJ$4</formula1>
    </dataValidation>
    <dataValidation type="list" allowBlank="1" showInputMessage="1" showErrorMessage="1" sqref="H2:H292">
      <formula1>$AL$2:$AL$8</formula1>
    </dataValidation>
    <dataValidation type="list" allowBlank="1" showInputMessage="1" showErrorMessage="1" sqref="K110:K292">
      <formula1>$AR$2:$AR$19</formula1>
    </dataValidation>
  </dataValidations>
  <pageMargins left="0.7" right="0.7"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50"/>
  <sheetViews>
    <sheetView zoomScale="70" zoomScaleNormal="70" workbookViewId="0">
      <selection activeCell="AC52" sqref="AC52"/>
    </sheetView>
  </sheetViews>
  <sheetFormatPr defaultRowHeight="13.5" x14ac:dyDescent="0.15"/>
  <cols>
    <col min="1" max="1" width="9" style="205"/>
    <col min="2" max="2" width="9" style="213"/>
    <col min="3" max="3" width="9" style="205"/>
    <col min="4" max="4" width="10.5" style="205" bestFit="1" customWidth="1"/>
    <col min="5" max="13" width="9" style="205"/>
    <col min="14" max="14" width="9.5" style="205" bestFit="1" customWidth="1"/>
    <col min="15" max="16" width="9" style="205"/>
    <col min="17" max="17" width="9" style="214"/>
    <col min="18" max="19" width="9" style="205"/>
    <col min="20" max="20" width="9" style="214"/>
    <col min="21" max="21" width="9" style="205"/>
    <col min="22" max="22" width="9" style="214"/>
    <col min="23" max="27" width="9" style="205"/>
    <col min="28" max="28" width="9" style="213"/>
    <col min="29" max="32" width="9" style="205"/>
    <col min="33" max="33" width="15.875" style="205" bestFit="1" customWidth="1"/>
    <col min="34" max="34" width="11.375" style="205" bestFit="1" customWidth="1"/>
    <col min="35" max="259" width="9" style="205"/>
    <col min="260" max="260" width="10.5" style="205" bestFit="1" customWidth="1"/>
    <col min="261" max="269" width="9" style="205"/>
    <col min="270" max="270" width="9.5" style="205" bestFit="1" customWidth="1"/>
    <col min="271" max="288" width="9" style="205"/>
    <col min="289" max="289" width="15.875" style="205" bestFit="1" customWidth="1"/>
    <col min="290" max="290" width="11.375" style="205" bestFit="1" customWidth="1"/>
    <col min="291" max="515" width="9" style="205"/>
    <col min="516" max="516" width="10.5" style="205" bestFit="1" customWidth="1"/>
    <col min="517" max="525" width="9" style="205"/>
    <col min="526" max="526" width="9.5" style="205" bestFit="1" customWidth="1"/>
    <col min="527" max="544" width="9" style="205"/>
    <col min="545" max="545" width="15.875" style="205" bestFit="1" customWidth="1"/>
    <col min="546" max="546" width="11.375" style="205" bestFit="1" customWidth="1"/>
    <col min="547" max="771" width="9" style="205"/>
    <col min="772" max="772" width="10.5" style="205" bestFit="1" customWidth="1"/>
    <col min="773" max="781" width="9" style="205"/>
    <col min="782" max="782" width="9.5" style="205" bestFit="1" customWidth="1"/>
    <col min="783" max="800" width="9" style="205"/>
    <col min="801" max="801" width="15.875" style="205" bestFit="1" customWidth="1"/>
    <col min="802" max="802" width="11.375" style="205" bestFit="1" customWidth="1"/>
    <col min="803" max="1027" width="9" style="205"/>
    <col min="1028" max="1028" width="10.5" style="205" bestFit="1" customWidth="1"/>
    <col min="1029" max="1037" width="9" style="205"/>
    <col min="1038" max="1038" width="9.5" style="205" bestFit="1" customWidth="1"/>
    <col min="1039" max="1056" width="9" style="205"/>
    <col min="1057" max="1057" width="15.875" style="205" bestFit="1" customWidth="1"/>
    <col min="1058" max="1058" width="11.375" style="205" bestFit="1" customWidth="1"/>
    <col min="1059" max="1283" width="9" style="205"/>
    <col min="1284" max="1284" width="10.5" style="205" bestFit="1" customWidth="1"/>
    <col min="1285" max="1293" width="9" style="205"/>
    <col min="1294" max="1294" width="9.5" style="205" bestFit="1" customWidth="1"/>
    <col min="1295" max="1312" width="9" style="205"/>
    <col min="1313" max="1313" width="15.875" style="205" bestFit="1" customWidth="1"/>
    <col min="1314" max="1314" width="11.375" style="205" bestFit="1" customWidth="1"/>
    <col min="1315" max="1539" width="9" style="205"/>
    <col min="1540" max="1540" width="10.5" style="205" bestFit="1" customWidth="1"/>
    <col min="1541" max="1549" width="9" style="205"/>
    <col min="1550" max="1550" width="9.5" style="205" bestFit="1" customWidth="1"/>
    <col min="1551" max="1568" width="9" style="205"/>
    <col min="1569" max="1569" width="15.875" style="205" bestFit="1" customWidth="1"/>
    <col min="1570" max="1570" width="11.375" style="205" bestFit="1" customWidth="1"/>
    <col min="1571" max="1795" width="9" style="205"/>
    <col min="1796" max="1796" width="10.5" style="205" bestFit="1" customWidth="1"/>
    <col min="1797" max="1805" width="9" style="205"/>
    <col min="1806" max="1806" width="9.5" style="205" bestFit="1" customWidth="1"/>
    <col min="1807" max="1824" width="9" style="205"/>
    <col min="1825" max="1825" width="15.875" style="205" bestFit="1" customWidth="1"/>
    <col min="1826" max="1826" width="11.375" style="205" bestFit="1" customWidth="1"/>
    <col min="1827" max="2051" width="9" style="205"/>
    <col min="2052" max="2052" width="10.5" style="205" bestFit="1" customWidth="1"/>
    <col min="2053" max="2061" width="9" style="205"/>
    <col min="2062" max="2062" width="9.5" style="205" bestFit="1" customWidth="1"/>
    <col min="2063" max="2080" width="9" style="205"/>
    <col min="2081" max="2081" width="15.875" style="205" bestFit="1" customWidth="1"/>
    <col min="2082" max="2082" width="11.375" style="205" bestFit="1" customWidth="1"/>
    <col min="2083" max="2307" width="9" style="205"/>
    <col min="2308" max="2308" width="10.5" style="205" bestFit="1" customWidth="1"/>
    <col min="2309" max="2317" width="9" style="205"/>
    <col min="2318" max="2318" width="9.5" style="205" bestFit="1" customWidth="1"/>
    <col min="2319" max="2336" width="9" style="205"/>
    <col min="2337" max="2337" width="15.875" style="205" bestFit="1" customWidth="1"/>
    <col min="2338" max="2338" width="11.375" style="205" bestFit="1" customWidth="1"/>
    <col min="2339" max="2563" width="9" style="205"/>
    <col min="2564" max="2564" width="10.5" style="205" bestFit="1" customWidth="1"/>
    <col min="2565" max="2573" width="9" style="205"/>
    <col min="2574" max="2574" width="9.5" style="205" bestFit="1" customWidth="1"/>
    <col min="2575" max="2592" width="9" style="205"/>
    <col min="2593" max="2593" width="15.875" style="205" bestFit="1" customWidth="1"/>
    <col min="2594" max="2594" width="11.375" style="205" bestFit="1" customWidth="1"/>
    <col min="2595" max="2819" width="9" style="205"/>
    <col min="2820" max="2820" width="10.5" style="205" bestFit="1" customWidth="1"/>
    <col min="2821" max="2829" width="9" style="205"/>
    <col min="2830" max="2830" width="9.5" style="205" bestFit="1" customWidth="1"/>
    <col min="2831" max="2848" width="9" style="205"/>
    <col min="2849" max="2849" width="15.875" style="205" bestFit="1" customWidth="1"/>
    <col min="2850" max="2850" width="11.375" style="205" bestFit="1" customWidth="1"/>
    <col min="2851" max="3075" width="9" style="205"/>
    <col min="3076" max="3076" width="10.5" style="205" bestFit="1" customWidth="1"/>
    <col min="3077" max="3085" width="9" style="205"/>
    <col min="3086" max="3086" width="9.5" style="205" bestFit="1" customWidth="1"/>
    <col min="3087" max="3104" width="9" style="205"/>
    <col min="3105" max="3105" width="15.875" style="205" bestFit="1" customWidth="1"/>
    <col min="3106" max="3106" width="11.375" style="205" bestFit="1" customWidth="1"/>
    <col min="3107" max="3331" width="9" style="205"/>
    <col min="3332" max="3332" width="10.5" style="205" bestFit="1" customWidth="1"/>
    <col min="3333" max="3341" width="9" style="205"/>
    <col min="3342" max="3342" width="9.5" style="205" bestFit="1" customWidth="1"/>
    <col min="3343" max="3360" width="9" style="205"/>
    <col min="3361" max="3361" width="15.875" style="205" bestFit="1" customWidth="1"/>
    <col min="3362" max="3362" width="11.375" style="205" bestFit="1" customWidth="1"/>
    <col min="3363" max="3587" width="9" style="205"/>
    <col min="3588" max="3588" width="10.5" style="205" bestFit="1" customWidth="1"/>
    <col min="3589" max="3597" width="9" style="205"/>
    <col min="3598" max="3598" width="9.5" style="205" bestFit="1" customWidth="1"/>
    <col min="3599" max="3616" width="9" style="205"/>
    <col min="3617" max="3617" width="15.875" style="205" bestFit="1" customWidth="1"/>
    <col min="3618" max="3618" width="11.375" style="205" bestFit="1" customWidth="1"/>
    <col min="3619" max="3843" width="9" style="205"/>
    <col min="3844" max="3844" width="10.5" style="205" bestFit="1" customWidth="1"/>
    <col min="3845" max="3853" width="9" style="205"/>
    <col min="3854" max="3854" width="9.5" style="205" bestFit="1" customWidth="1"/>
    <col min="3855" max="3872" width="9" style="205"/>
    <col min="3873" max="3873" width="15.875" style="205" bestFit="1" customWidth="1"/>
    <col min="3874" max="3874" width="11.375" style="205" bestFit="1" customWidth="1"/>
    <col min="3875" max="4099" width="9" style="205"/>
    <col min="4100" max="4100" width="10.5" style="205" bestFit="1" customWidth="1"/>
    <col min="4101" max="4109" width="9" style="205"/>
    <col min="4110" max="4110" width="9.5" style="205" bestFit="1" customWidth="1"/>
    <col min="4111" max="4128" width="9" style="205"/>
    <col min="4129" max="4129" width="15.875" style="205" bestFit="1" customWidth="1"/>
    <col min="4130" max="4130" width="11.375" style="205" bestFit="1" customWidth="1"/>
    <col min="4131" max="4355" width="9" style="205"/>
    <col min="4356" max="4356" width="10.5" style="205" bestFit="1" customWidth="1"/>
    <col min="4357" max="4365" width="9" style="205"/>
    <col min="4366" max="4366" width="9.5" style="205" bestFit="1" customWidth="1"/>
    <col min="4367" max="4384" width="9" style="205"/>
    <col min="4385" max="4385" width="15.875" style="205" bestFit="1" customWidth="1"/>
    <col min="4386" max="4386" width="11.375" style="205" bestFit="1" customWidth="1"/>
    <col min="4387" max="4611" width="9" style="205"/>
    <col min="4612" max="4612" width="10.5" style="205" bestFit="1" customWidth="1"/>
    <col min="4613" max="4621" width="9" style="205"/>
    <col min="4622" max="4622" width="9.5" style="205" bestFit="1" customWidth="1"/>
    <col min="4623" max="4640" width="9" style="205"/>
    <col min="4641" max="4641" width="15.875" style="205" bestFit="1" customWidth="1"/>
    <col min="4642" max="4642" width="11.375" style="205" bestFit="1" customWidth="1"/>
    <col min="4643" max="4867" width="9" style="205"/>
    <col min="4868" max="4868" width="10.5" style="205" bestFit="1" customWidth="1"/>
    <col min="4869" max="4877" width="9" style="205"/>
    <col min="4878" max="4878" width="9.5" style="205" bestFit="1" customWidth="1"/>
    <col min="4879" max="4896" width="9" style="205"/>
    <col min="4897" max="4897" width="15.875" style="205" bestFit="1" customWidth="1"/>
    <col min="4898" max="4898" width="11.375" style="205" bestFit="1" customWidth="1"/>
    <col min="4899" max="5123" width="9" style="205"/>
    <col min="5124" max="5124" width="10.5" style="205" bestFit="1" customWidth="1"/>
    <col min="5125" max="5133" width="9" style="205"/>
    <col min="5134" max="5134" width="9.5" style="205" bestFit="1" customWidth="1"/>
    <col min="5135" max="5152" width="9" style="205"/>
    <col min="5153" max="5153" width="15.875" style="205" bestFit="1" customWidth="1"/>
    <col min="5154" max="5154" width="11.375" style="205" bestFit="1" customWidth="1"/>
    <col min="5155" max="5379" width="9" style="205"/>
    <col min="5380" max="5380" width="10.5" style="205" bestFit="1" customWidth="1"/>
    <col min="5381" max="5389" width="9" style="205"/>
    <col min="5390" max="5390" width="9.5" style="205" bestFit="1" customWidth="1"/>
    <col min="5391" max="5408" width="9" style="205"/>
    <col min="5409" max="5409" width="15.875" style="205" bestFit="1" customWidth="1"/>
    <col min="5410" max="5410" width="11.375" style="205" bestFit="1" customWidth="1"/>
    <col min="5411" max="5635" width="9" style="205"/>
    <col min="5636" max="5636" width="10.5" style="205" bestFit="1" customWidth="1"/>
    <col min="5637" max="5645" width="9" style="205"/>
    <col min="5646" max="5646" width="9.5" style="205" bestFit="1" customWidth="1"/>
    <col min="5647" max="5664" width="9" style="205"/>
    <col min="5665" max="5665" width="15.875" style="205" bestFit="1" customWidth="1"/>
    <col min="5666" max="5666" width="11.375" style="205" bestFit="1" customWidth="1"/>
    <col min="5667" max="5891" width="9" style="205"/>
    <col min="5892" max="5892" width="10.5" style="205" bestFit="1" customWidth="1"/>
    <col min="5893" max="5901" width="9" style="205"/>
    <col min="5902" max="5902" width="9.5" style="205" bestFit="1" customWidth="1"/>
    <col min="5903" max="5920" width="9" style="205"/>
    <col min="5921" max="5921" width="15.875" style="205" bestFit="1" customWidth="1"/>
    <col min="5922" max="5922" width="11.375" style="205" bestFit="1" customWidth="1"/>
    <col min="5923" max="6147" width="9" style="205"/>
    <col min="6148" max="6148" width="10.5" style="205" bestFit="1" customWidth="1"/>
    <col min="6149" max="6157" width="9" style="205"/>
    <col min="6158" max="6158" width="9.5" style="205" bestFit="1" customWidth="1"/>
    <col min="6159" max="6176" width="9" style="205"/>
    <col min="6177" max="6177" width="15.875" style="205" bestFit="1" customWidth="1"/>
    <col min="6178" max="6178" width="11.375" style="205" bestFit="1" customWidth="1"/>
    <col min="6179" max="6403" width="9" style="205"/>
    <col min="6404" max="6404" width="10.5" style="205" bestFit="1" customWidth="1"/>
    <col min="6405" max="6413" width="9" style="205"/>
    <col min="6414" max="6414" width="9.5" style="205" bestFit="1" customWidth="1"/>
    <col min="6415" max="6432" width="9" style="205"/>
    <col min="6433" max="6433" width="15.875" style="205" bestFit="1" customWidth="1"/>
    <col min="6434" max="6434" width="11.375" style="205" bestFit="1" customWidth="1"/>
    <col min="6435" max="6659" width="9" style="205"/>
    <col min="6660" max="6660" width="10.5" style="205" bestFit="1" customWidth="1"/>
    <col min="6661" max="6669" width="9" style="205"/>
    <col min="6670" max="6670" width="9.5" style="205" bestFit="1" customWidth="1"/>
    <col min="6671" max="6688" width="9" style="205"/>
    <col min="6689" max="6689" width="15.875" style="205" bestFit="1" customWidth="1"/>
    <col min="6690" max="6690" width="11.375" style="205" bestFit="1" customWidth="1"/>
    <col min="6691" max="6915" width="9" style="205"/>
    <col min="6916" max="6916" width="10.5" style="205" bestFit="1" customWidth="1"/>
    <col min="6917" max="6925" width="9" style="205"/>
    <col min="6926" max="6926" width="9.5" style="205" bestFit="1" customWidth="1"/>
    <col min="6927" max="6944" width="9" style="205"/>
    <col min="6945" max="6945" width="15.875" style="205" bestFit="1" customWidth="1"/>
    <col min="6946" max="6946" width="11.375" style="205" bestFit="1" customWidth="1"/>
    <col min="6947" max="7171" width="9" style="205"/>
    <col min="7172" max="7172" width="10.5" style="205" bestFit="1" customWidth="1"/>
    <col min="7173" max="7181" width="9" style="205"/>
    <col min="7182" max="7182" width="9.5" style="205" bestFit="1" customWidth="1"/>
    <col min="7183" max="7200" width="9" style="205"/>
    <col min="7201" max="7201" width="15.875" style="205" bestFit="1" customWidth="1"/>
    <col min="7202" max="7202" width="11.375" style="205" bestFit="1" customWidth="1"/>
    <col min="7203" max="7427" width="9" style="205"/>
    <col min="7428" max="7428" width="10.5" style="205" bestFit="1" customWidth="1"/>
    <col min="7429" max="7437" width="9" style="205"/>
    <col min="7438" max="7438" width="9.5" style="205" bestFit="1" customWidth="1"/>
    <col min="7439" max="7456" width="9" style="205"/>
    <col min="7457" max="7457" width="15.875" style="205" bestFit="1" customWidth="1"/>
    <col min="7458" max="7458" width="11.375" style="205" bestFit="1" customWidth="1"/>
    <col min="7459" max="7683" width="9" style="205"/>
    <col min="7684" max="7684" width="10.5" style="205" bestFit="1" customWidth="1"/>
    <col min="7685" max="7693" width="9" style="205"/>
    <col min="7694" max="7694" width="9.5" style="205" bestFit="1" customWidth="1"/>
    <col min="7695" max="7712" width="9" style="205"/>
    <col min="7713" max="7713" width="15.875" style="205" bestFit="1" customWidth="1"/>
    <col min="7714" max="7714" width="11.375" style="205" bestFit="1" customWidth="1"/>
    <col min="7715" max="7939" width="9" style="205"/>
    <col min="7940" max="7940" width="10.5" style="205" bestFit="1" customWidth="1"/>
    <col min="7941" max="7949" width="9" style="205"/>
    <col min="7950" max="7950" width="9.5" style="205" bestFit="1" customWidth="1"/>
    <col min="7951" max="7968" width="9" style="205"/>
    <col min="7969" max="7969" width="15.875" style="205" bestFit="1" customWidth="1"/>
    <col min="7970" max="7970" width="11.375" style="205" bestFit="1" customWidth="1"/>
    <col min="7971" max="8195" width="9" style="205"/>
    <col min="8196" max="8196" width="10.5" style="205" bestFit="1" customWidth="1"/>
    <col min="8197" max="8205" width="9" style="205"/>
    <col min="8206" max="8206" width="9.5" style="205" bestFit="1" customWidth="1"/>
    <col min="8207" max="8224" width="9" style="205"/>
    <col min="8225" max="8225" width="15.875" style="205" bestFit="1" customWidth="1"/>
    <col min="8226" max="8226" width="11.375" style="205" bestFit="1" customWidth="1"/>
    <col min="8227" max="8451" width="9" style="205"/>
    <col min="8452" max="8452" width="10.5" style="205" bestFit="1" customWidth="1"/>
    <col min="8453" max="8461" width="9" style="205"/>
    <col min="8462" max="8462" width="9.5" style="205" bestFit="1" customWidth="1"/>
    <col min="8463" max="8480" width="9" style="205"/>
    <col min="8481" max="8481" width="15.875" style="205" bestFit="1" customWidth="1"/>
    <col min="8482" max="8482" width="11.375" style="205" bestFit="1" customWidth="1"/>
    <col min="8483" max="8707" width="9" style="205"/>
    <col min="8708" max="8708" width="10.5" style="205" bestFit="1" customWidth="1"/>
    <col min="8709" max="8717" width="9" style="205"/>
    <col min="8718" max="8718" width="9.5" style="205" bestFit="1" customWidth="1"/>
    <col min="8719" max="8736" width="9" style="205"/>
    <col min="8737" max="8737" width="15.875" style="205" bestFit="1" customWidth="1"/>
    <col min="8738" max="8738" width="11.375" style="205" bestFit="1" customWidth="1"/>
    <col min="8739" max="8963" width="9" style="205"/>
    <col min="8964" max="8964" width="10.5" style="205" bestFit="1" customWidth="1"/>
    <col min="8965" max="8973" width="9" style="205"/>
    <col min="8974" max="8974" width="9.5" style="205" bestFit="1" customWidth="1"/>
    <col min="8975" max="8992" width="9" style="205"/>
    <col min="8993" max="8993" width="15.875" style="205" bestFit="1" customWidth="1"/>
    <col min="8994" max="8994" width="11.375" style="205" bestFit="1" customWidth="1"/>
    <col min="8995" max="9219" width="9" style="205"/>
    <col min="9220" max="9220" width="10.5" style="205" bestFit="1" customWidth="1"/>
    <col min="9221" max="9229" width="9" style="205"/>
    <col min="9230" max="9230" width="9.5" style="205" bestFit="1" customWidth="1"/>
    <col min="9231" max="9248" width="9" style="205"/>
    <col min="9249" max="9249" width="15.875" style="205" bestFit="1" customWidth="1"/>
    <col min="9250" max="9250" width="11.375" style="205" bestFit="1" customWidth="1"/>
    <col min="9251" max="9475" width="9" style="205"/>
    <col min="9476" max="9476" width="10.5" style="205" bestFit="1" customWidth="1"/>
    <col min="9477" max="9485" width="9" style="205"/>
    <col min="9486" max="9486" width="9.5" style="205" bestFit="1" customWidth="1"/>
    <col min="9487" max="9504" width="9" style="205"/>
    <col min="9505" max="9505" width="15.875" style="205" bestFit="1" customWidth="1"/>
    <col min="9506" max="9506" width="11.375" style="205" bestFit="1" customWidth="1"/>
    <col min="9507" max="9731" width="9" style="205"/>
    <col min="9732" max="9732" width="10.5" style="205" bestFit="1" customWidth="1"/>
    <col min="9733" max="9741" width="9" style="205"/>
    <col min="9742" max="9742" width="9.5" style="205" bestFit="1" customWidth="1"/>
    <col min="9743" max="9760" width="9" style="205"/>
    <col min="9761" max="9761" width="15.875" style="205" bestFit="1" customWidth="1"/>
    <col min="9762" max="9762" width="11.375" style="205" bestFit="1" customWidth="1"/>
    <col min="9763" max="9987" width="9" style="205"/>
    <col min="9988" max="9988" width="10.5" style="205" bestFit="1" customWidth="1"/>
    <col min="9989" max="9997" width="9" style="205"/>
    <col min="9998" max="9998" width="9.5" style="205" bestFit="1" customWidth="1"/>
    <col min="9999" max="10016" width="9" style="205"/>
    <col min="10017" max="10017" width="15.875" style="205" bestFit="1" customWidth="1"/>
    <col min="10018" max="10018" width="11.375" style="205" bestFit="1" customWidth="1"/>
    <col min="10019" max="10243" width="9" style="205"/>
    <col min="10244" max="10244" width="10.5" style="205" bestFit="1" customWidth="1"/>
    <col min="10245" max="10253" width="9" style="205"/>
    <col min="10254" max="10254" width="9.5" style="205" bestFit="1" customWidth="1"/>
    <col min="10255" max="10272" width="9" style="205"/>
    <col min="10273" max="10273" width="15.875" style="205" bestFit="1" customWidth="1"/>
    <col min="10274" max="10274" width="11.375" style="205" bestFit="1" customWidth="1"/>
    <col min="10275" max="10499" width="9" style="205"/>
    <col min="10500" max="10500" width="10.5" style="205" bestFit="1" customWidth="1"/>
    <col min="10501" max="10509" width="9" style="205"/>
    <col min="10510" max="10510" width="9.5" style="205" bestFit="1" customWidth="1"/>
    <col min="10511" max="10528" width="9" style="205"/>
    <col min="10529" max="10529" width="15.875" style="205" bestFit="1" customWidth="1"/>
    <col min="10530" max="10530" width="11.375" style="205" bestFit="1" customWidth="1"/>
    <col min="10531" max="10755" width="9" style="205"/>
    <col min="10756" max="10756" width="10.5" style="205" bestFit="1" customWidth="1"/>
    <col min="10757" max="10765" width="9" style="205"/>
    <col min="10766" max="10766" width="9.5" style="205" bestFit="1" customWidth="1"/>
    <col min="10767" max="10784" width="9" style="205"/>
    <col min="10785" max="10785" width="15.875" style="205" bestFit="1" customWidth="1"/>
    <col min="10786" max="10786" width="11.375" style="205" bestFit="1" customWidth="1"/>
    <col min="10787" max="11011" width="9" style="205"/>
    <col min="11012" max="11012" width="10.5" style="205" bestFit="1" customWidth="1"/>
    <col min="11013" max="11021" width="9" style="205"/>
    <col min="11022" max="11022" width="9.5" style="205" bestFit="1" customWidth="1"/>
    <col min="11023" max="11040" width="9" style="205"/>
    <col min="11041" max="11041" width="15.875" style="205" bestFit="1" customWidth="1"/>
    <col min="11042" max="11042" width="11.375" style="205" bestFit="1" customWidth="1"/>
    <col min="11043" max="11267" width="9" style="205"/>
    <col min="11268" max="11268" width="10.5" style="205" bestFit="1" customWidth="1"/>
    <col min="11269" max="11277" width="9" style="205"/>
    <col min="11278" max="11278" width="9.5" style="205" bestFit="1" customWidth="1"/>
    <col min="11279" max="11296" width="9" style="205"/>
    <col min="11297" max="11297" width="15.875" style="205" bestFit="1" customWidth="1"/>
    <col min="11298" max="11298" width="11.375" style="205" bestFit="1" customWidth="1"/>
    <col min="11299" max="11523" width="9" style="205"/>
    <col min="11524" max="11524" width="10.5" style="205" bestFit="1" customWidth="1"/>
    <col min="11525" max="11533" width="9" style="205"/>
    <col min="11534" max="11534" width="9.5" style="205" bestFit="1" customWidth="1"/>
    <col min="11535" max="11552" width="9" style="205"/>
    <col min="11553" max="11553" width="15.875" style="205" bestFit="1" customWidth="1"/>
    <col min="11554" max="11554" width="11.375" style="205" bestFit="1" customWidth="1"/>
    <col min="11555" max="11779" width="9" style="205"/>
    <col min="11780" max="11780" width="10.5" style="205" bestFit="1" customWidth="1"/>
    <col min="11781" max="11789" width="9" style="205"/>
    <col min="11790" max="11790" width="9.5" style="205" bestFit="1" customWidth="1"/>
    <col min="11791" max="11808" width="9" style="205"/>
    <col min="11809" max="11809" width="15.875" style="205" bestFit="1" customWidth="1"/>
    <col min="11810" max="11810" width="11.375" style="205" bestFit="1" customWidth="1"/>
    <col min="11811" max="12035" width="9" style="205"/>
    <col min="12036" max="12036" width="10.5" style="205" bestFit="1" customWidth="1"/>
    <col min="12037" max="12045" width="9" style="205"/>
    <col min="12046" max="12046" width="9.5" style="205" bestFit="1" customWidth="1"/>
    <col min="12047" max="12064" width="9" style="205"/>
    <col min="12065" max="12065" width="15.875" style="205" bestFit="1" customWidth="1"/>
    <col min="12066" max="12066" width="11.375" style="205" bestFit="1" customWidth="1"/>
    <col min="12067" max="12291" width="9" style="205"/>
    <col min="12292" max="12292" width="10.5" style="205" bestFit="1" customWidth="1"/>
    <col min="12293" max="12301" width="9" style="205"/>
    <col min="12302" max="12302" width="9.5" style="205" bestFit="1" customWidth="1"/>
    <col min="12303" max="12320" width="9" style="205"/>
    <col min="12321" max="12321" width="15.875" style="205" bestFit="1" customWidth="1"/>
    <col min="12322" max="12322" width="11.375" style="205" bestFit="1" customWidth="1"/>
    <col min="12323" max="12547" width="9" style="205"/>
    <col min="12548" max="12548" width="10.5" style="205" bestFit="1" customWidth="1"/>
    <col min="12549" max="12557" width="9" style="205"/>
    <col min="12558" max="12558" width="9.5" style="205" bestFit="1" customWidth="1"/>
    <col min="12559" max="12576" width="9" style="205"/>
    <col min="12577" max="12577" width="15.875" style="205" bestFit="1" customWidth="1"/>
    <col min="12578" max="12578" width="11.375" style="205" bestFit="1" customWidth="1"/>
    <col min="12579" max="12803" width="9" style="205"/>
    <col min="12804" max="12804" width="10.5" style="205" bestFit="1" customWidth="1"/>
    <col min="12805" max="12813" width="9" style="205"/>
    <col min="12814" max="12814" width="9.5" style="205" bestFit="1" customWidth="1"/>
    <col min="12815" max="12832" width="9" style="205"/>
    <col min="12833" max="12833" width="15.875" style="205" bestFit="1" customWidth="1"/>
    <col min="12834" max="12834" width="11.375" style="205" bestFit="1" customWidth="1"/>
    <col min="12835" max="13059" width="9" style="205"/>
    <col min="13060" max="13060" width="10.5" style="205" bestFit="1" customWidth="1"/>
    <col min="13061" max="13069" width="9" style="205"/>
    <col min="13070" max="13070" width="9.5" style="205" bestFit="1" customWidth="1"/>
    <col min="13071" max="13088" width="9" style="205"/>
    <col min="13089" max="13089" width="15.875" style="205" bestFit="1" customWidth="1"/>
    <col min="13090" max="13090" width="11.375" style="205" bestFit="1" customWidth="1"/>
    <col min="13091" max="13315" width="9" style="205"/>
    <col min="13316" max="13316" width="10.5" style="205" bestFit="1" customWidth="1"/>
    <col min="13317" max="13325" width="9" style="205"/>
    <col min="13326" max="13326" width="9.5" style="205" bestFit="1" customWidth="1"/>
    <col min="13327" max="13344" width="9" style="205"/>
    <col min="13345" max="13345" width="15.875" style="205" bestFit="1" customWidth="1"/>
    <col min="13346" max="13346" width="11.375" style="205" bestFit="1" customWidth="1"/>
    <col min="13347" max="13571" width="9" style="205"/>
    <col min="13572" max="13572" width="10.5" style="205" bestFit="1" customWidth="1"/>
    <col min="13573" max="13581" width="9" style="205"/>
    <col min="13582" max="13582" width="9.5" style="205" bestFit="1" customWidth="1"/>
    <col min="13583" max="13600" width="9" style="205"/>
    <col min="13601" max="13601" width="15.875" style="205" bestFit="1" customWidth="1"/>
    <col min="13602" max="13602" width="11.375" style="205" bestFit="1" customWidth="1"/>
    <col min="13603" max="13827" width="9" style="205"/>
    <col min="13828" max="13828" width="10.5" style="205" bestFit="1" customWidth="1"/>
    <col min="13829" max="13837" width="9" style="205"/>
    <col min="13838" max="13838" width="9.5" style="205" bestFit="1" customWidth="1"/>
    <col min="13839" max="13856" width="9" style="205"/>
    <col min="13857" max="13857" width="15.875" style="205" bestFit="1" customWidth="1"/>
    <col min="13858" max="13858" width="11.375" style="205" bestFit="1" customWidth="1"/>
    <col min="13859" max="14083" width="9" style="205"/>
    <col min="14084" max="14084" width="10.5" style="205" bestFit="1" customWidth="1"/>
    <col min="14085" max="14093" width="9" style="205"/>
    <col min="14094" max="14094" width="9.5" style="205" bestFit="1" customWidth="1"/>
    <col min="14095" max="14112" width="9" style="205"/>
    <col min="14113" max="14113" width="15.875" style="205" bestFit="1" customWidth="1"/>
    <col min="14114" max="14114" width="11.375" style="205" bestFit="1" customWidth="1"/>
    <col min="14115" max="14339" width="9" style="205"/>
    <col min="14340" max="14340" width="10.5" style="205" bestFit="1" customWidth="1"/>
    <col min="14341" max="14349" width="9" style="205"/>
    <col min="14350" max="14350" width="9.5" style="205" bestFit="1" customWidth="1"/>
    <col min="14351" max="14368" width="9" style="205"/>
    <col min="14369" max="14369" width="15.875" style="205" bestFit="1" customWidth="1"/>
    <col min="14370" max="14370" width="11.375" style="205" bestFit="1" customWidth="1"/>
    <col min="14371" max="14595" width="9" style="205"/>
    <col min="14596" max="14596" width="10.5" style="205" bestFit="1" customWidth="1"/>
    <col min="14597" max="14605" width="9" style="205"/>
    <col min="14606" max="14606" width="9.5" style="205" bestFit="1" customWidth="1"/>
    <col min="14607" max="14624" width="9" style="205"/>
    <col min="14625" max="14625" width="15.875" style="205" bestFit="1" customWidth="1"/>
    <col min="14626" max="14626" width="11.375" style="205" bestFit="1" customWidth="1"/>
    <col min="14627" max="14851" width="9" style="205"/>
    <col min="14852" max="14852" width="10.5" style="205" bestFit="1" customWidth="1"/>
    <col min="14853" max="14861" width="9" style="205"/>
    <col min="14862" max="14862" width="9.5" style="205" bestFit="1" customWidth="1"/>
    <col min="14863" max="14880" width="9" style="205"/>
    <col min="14881" max="14881" width="15.875" style="205" bestFit="1" customWidth="1"/>
    <col min="14882" max="14882" width="11.375" style="205" bestFit="1" customWidth="1"/>
    <col min="14883" max="15107" width="9" style="205"/>
    <col min="15108" max="15108" width="10.5" style="205" bestFit="1" customWidth="1"/>
    <col min="15109" max="15117" width="9" style="205"/>
    <col min="15118" max="15118" width="9.5" style="205" bestFit="1" customWidth="1"/>
    <col min="15119" max="15136" width="9" style="205"/>
    <col min="15137" max="15137" width="15.875" style="205" bestFit="1" customWidth="1"/>
    <col min="15138" max="15138" width="11.375" style="205" bestFit="1" customWidth="1"/>
    <col min="15139" max="15363" width="9" style="205"/>
    <col min="15364" max="15364" width="10.5" style="205" bestFit="1" customWidth="1"/>
    <col min="15365" max="15373" width="9" style="205"/>
    <col min="15374" max="15374" width="9.5" style="205" bestFit="1" customWidth="1"/>
    <col min="15375" max="15392" width="9" style="205"/>
    <col min="15393" max="15393" width="15.875" style="205" bestFit="1" customWidth="1"/>
    <col min="15394" max="15394" width="11.375" style="205" bestFit="1" customWidth="1"/>
    <col min="15395" max="15619" width="9" style="205"/>
    <col min="15620" max="15620" width="10.5" style="205" bestFit="1" customWidth="1"/>
    <col min="15621" max="15629" width="9" style="205"/>
    <col min="15630" max="15630" width="9.5" style="205" bestFit="1" customWidth="1"/>
    <col min="15631" max="15648" width="9" style="205"/>
    <col min="15649" max="15649" width="15.875" style="205" bestFit="1" customWidth="1"/>
    <col min="15650" max="15650" width="11.375" style="205" bestFit="1" customWidth="1"/>
    <col min="15651" max="15875" width="9" style="205"/>
    <col min="15876" max="15876" width="10.5" style="205" bestFit="1" customWidth="1"/>
    <col min="15877" max="15885" width="9" style="205"/>
    <col min="15886" max="15886" width="9.5" style="205" bestFit="1" customWidth="1"/>
    <col min="15887" max="15904" width="9" style="205"/>
    <col min="15905" max="15905" width="15.875" style="205" bestFit="1" customWidth="1"/>
    <col min="15906" max="15906" width="11.375" style="205" bestFit="1" customWidth="1"/>
    <col min="15907" max="16131" width="9" style="205"/>
    <col min="16132" max="16132" width="10.5" style="205" bestFit="1" customWidth="1"/>
    <col min="16133" max="16141" width="9" style="205"/>
    <col min="16142" max="16142" width="9.5" style="205" bestFit="1" customWidth="1"/>
    <col min="16143" max="16160" width="9" style="205"/>
    <col min="16161" max="16161" width="15.875" style="205" bestFit="1" customWidth="1"/>
    <col min="16162" max="16162" width="11.375" style="205" bestFit="1" customWidth="1"/>
    <col min="16163" max="16384" width="9" style="205"/>
  </cols>
  <sheetData>
    <row r="1" spans="1:53" ht="45" x14ac:dyDescent="0.15">
      <c r="A1" s="83" t="s">
        <v>0</v>
      </c>
      <c r="B1" s="199" t="s">
        <v>1</v>
      </c>
      <c r="C1" s="199" t="s">
        <v>157</v>
      </c>
      <c r="D1" s="200" t="s">
        <v>3</v>
      </c>
      <c r="E1" s="84" t="s">
        <v>4</v>
      </c>
      <c r="F1" s="84" t="s">
        <v>5</v>
      </c>
      <c r="G1" s="84" t="s">
        <v>6</v>
      </c>
      <c r="H1" s="84" t="s">
        <v>7</v>
      </c>
      <c r="I1" s="84" t="s">
        <v>8</v>
      </c>
      <c r="J1" s="84" t="s">
        <v>9</v>
      </c>
      <c r="K1" s="84" t="s">
        <v>10</v>
      </c>
      <c r="L1" s="200" t="s">
        <v>158</v>
      </c>
      <c r="M1" s="200" t="s">
        <v>12</v>
      </c>
      <c r="N1" s="200" t="s">
        <v>13</v>
      </c>
      <c r="O1" s="200" t="s">
        <v>159</v>
      </c>
      <c r="P1" s="200" t="s">
        <v>15</v>
      </c>
      <c r="Q1" s="201" t="s">
        <v>16</v>
      </c>
      <c r="R1" s="200" t="s">
        <v>17</v>
      </c>
      <c r="S1" s="200" t="s">
        <v>18</v>
      </c>
      <c r="T1" s="201" t="s">
        <v>19</v>
      </c>
      <c r="U1" s="202" t="s">
        <v>108</v>
      </c>
      <c r="V1" s="203" t="s">
        <v>20</v>
      </c>
      <c r="W1" s="200" t="s">
        <v>21</v>
      </c>
      <c r="X1" s="84" t="s">
        <v>22</v>
      </c>
      <c r="Y1" s="84" t="s">
        <v>23</v>
      </c>
      <c r="Z1" s="84" t="s">
        <v>24</v>
      </c>
      <c r="AA1" s="85" t="s">
        <v>25</v>
      </c>
      <c r="AB1" s="204" t="s">
        <v>160</v>
      </c>
      <c r="AE1" s="206" t="s">
        <v>0</v>
      </c>
      <c r="AF1" s="207"/>
      <c r="AG1" s="206" t="s">
        <v>4</v>
      </c>
      <c r="AH1" s="206" t="s">
        <v>5</v>
      </c>
      <c r="AI1" s="207"/>
      <c r="AJ1" s="206" t="s">
        <v>6</v>
      </c>
      <c r="AK1" s="207"/>
      <c r="AL1" s="208" t="s">
        <v>7</v>
      </c>
      <c r="AM1" s="207"/>
      <c r="AN1" s="208" t="s">
        <v>8</v>
      </c>
      <c r="AO1" s="207"/>
      <c r="AP1" s="208" t="s">
        <v>27</v>
      </c>
      <c r="AQ1" s="207"/>
      <c r="AR1" s="208" t="s">
        <v>10</v>
      </c>
      <c r="AS1" s="207"/>
      <c r="AT1" s="209" t="s">
        <v>28</v>
      </c>
      <c r="AU1" s="207"/>
      <c r="AV1" s="208" t="s">
        <v>29</v>
      </c>
      <c r="AX1" s="210" t="s">
        <v>161</v>
      </c>
      <c r="AY1" s="211" t="s">
        <v>162</v>
      </c>
      <c r="AZ1" s="211" t="s">
        <v>163</v>
      </c>
      <c r="BA1" s="212" t="s">
        <v>164</v>
      </c>
    </row>
    <row r="2" spans="1:53" s="213" customFormat="1" x14ac:dyDescent="0.15">
      <c r="A2" s="55" t="s">
        <v>56</v>
      </c>
      <c r="B2" s="55" t="s">
        <v>333</v>
      </c>
      <c r="C2" s="213">
        <v>2018</v>
      </c>
      <c r="D2" s="86" t="s">
        <v>358</v>
      </c>
      <c r="E2" s="213" t="s">
        <v>359</v>
      </c>
      <c r="F2" s="213" t="s">
        <v>174</v>
      </c>
      <c r="G2" s="55" t="s">
        <v>42</v>
      </c>
      <c r="H2" s="213" t="s">
        <v>155</v>
      </c>
      <c r="I2" s="55" t="s">
        <v>153</v>
      </c>
      <c r="J2" s="213" t="s">
        <v>38</v>
      </c>
      <c r="K2" s="213" t="s">
        <v>154</v>
      </c>
      <c r="L2" s="213">
        <v>1</v>
      </c>
      <c r="N2" s="205">
        <v>1</v>
      </c>
      <c r="O2" s="213">
        <v>0.75</v>
      </c>
      <c r="P2" s="205">
        <v>0.8</v>
      </c>
      <c r="Q2" s="242">
        <f t="shared" ref="Q2:Q55" si="0">IF(OR(O2="",P2=""),"",AVERAGE(O2,P2))</f>
        <v>0.77500000000000002</v>
      </c>
      <c r="R2" s="213">
        <v>14.2</v>
      </c>
      <c r="S2" s="213">
        <v>142</v>
      </c>
      <c r="T2" s="214">
        <f t="shared" ref="T2:T55" si="1">IF(H2="","",IF(OR(H2="GREEN",H2="GK"),IF(S2&gt;=$AX$2,VLOOKUP(S2,$AX$2:$AY$10,2,1),""),IF(S2&gt;=$AZ$2,VLOOKUP(S2,$AZ$2:$BA$10,2,1),"")))</f>
        <v>22</v>
      </c>
      <c r="U2" s="213">
        <v>84</v>
      </c>
      <c r="V2" s="214">
        <f t="shared" ref="V2:V55" si="2">IF(OR(N2="",U2="",T2=""),"",U2/N2*T2)</f>
        <v>1848</v>
      </c>
      <c r="W2" s="213">
        <v>2</v>
      </c>
      <c r="X2" s="55" t="s">
        <v>46</v>
      </c>
      <c r="Y2" s="55" t="s">
        <v>84</v>
      </c>
      <c r="Z2" s="213" t="s">
        <v>90</v>
      </c>
      <c r="AA2" s="55" t="s">
        <v>102</v>
      </c>
      <c r="AB2" s="213" t="s">
        <v>334</v>
      </c>
      <c r="AE2" s="215" t="s">
        <v>35</v>
      </c>
      <c r="AG2" s="228" t="s">
        <v>175</v>
      </c>
      <c r="AH2" s="87" t="s">
        <v>174</v>
      </c>
      <c r="AJ2" s="216" t="s">
        <v>36</v>
      </c>
      <c r="AL2" s="216" t="s">
        <v>127</v>
      </c>
      <c r="AN2" s="216" t="s">
        <v>37</v>
      </c>
      <c r="AP2" s="216" t="s">
        <v>38</v>
      </c>
      <c r="AR2" s="216" t="s">
        <v>120</v>
      </c>
      <c r="AT2" s="216" t="s">
        <v>39</v>
      </c>
      <c r="AV2" s="216" t="s">
        <v>40</v>
      </c>
      <c r="AX2" s="217">
        <v>1</v>
      </c>
      <c r="AY2" s="218">
        <v>50</v>
      </c>
      <c r="AZ2" s="218">
        <v>1</v>
      </c>
      <c r="BA2" s="219">
        <v>50</v>
      </c>
    </row>
    <row r="3" spans="1:53" x14ac:dyDescent="0.15">
      <c r="A3" s="55" t="s">
        <v>56</v>
      </c>
      <c r="B3" s="55" t="s">
        <v>333</v>
      </c>
      <c r="C3" s="213">
        <v>2018</v>
      </c>
      <c r="D3" s="86" t="s">
        <v>358</v>
      </c>
      <c r="E3" s="213" t="s">
        <v>359</v>
      </c>
      <c r="F3" s="213" t="s">
        <v>174</v>
      </c>
      <c r="G3" s="55" t="s">
        <v>42</v>
      </c>
      <c r="H3" s="213" t="s">
        <v>155</v>
      </c>
      <c r="I3" s="55" t="s">
        <v>153</v>
      </c>
      <c r="J3" s="213" t="s">
        <v>38</v>
      </c>
      <c r="K3" s="213" t="s">
        <v>154</v>
      </c>
      <c r="L3" s="205">
        <v>2</v>
      </c>
      <c r="N3" s="205">
        <v>1</v>
      </c>
      <c r="O3" s="205">
        <v>0.8</v>
      </c>
      <c r="P3" s="205">
        <v>0.85</v>
      </c>
      <c r="Q3" s="242">
        <f t="shared" si="0"/>
        <v>0.82499999999999996</v>
      </c>
      <c r="R3" s="205">
        <v>14.8</v>
      </c>
      <c r="S3" s="205">
        <v>140</v>
      </c>
      <c r="T3" s="214">
        <f t="shared" si="1"/>
        <v>22</v>
      </c>
      <c r="U3" s="205">
        <v>84</v>
      </c>
      <c r="V3" s="214">
        <f t="shared" si="2"/>
        <v>1848</v>
      </c>
      <c r="W3" s="205">
        <v>2</v>
      </c>
      <c r="X3" s="55" t="s">
        <v>46</v>
      </c>
      <c r="Y3" s="55" t="s">
        <v>84</v>
      </c>
      <c r="Z3" s="213" t="s">
        <v>90</v>
      </c>
      <c r="AA3" s="55" t="s">
        <v>102</v>
      </c>
      <c r="AB3" s="213" t="s">
        <v>334</v>
      </c>
      <c r="AE3" s="220" t="s">
        <v>41</v>
      </c>
      <c r="AG3" s="228" t="s">
        <v>175</v>
      </c>
      <c r="AH3" s="87" t="s">
        <v>176</v>
      </c>
      <c r="AJ3" s="221" t="s">
        <v>42</v>
      </c>
      <c r="AL3" s="221" t="s">
        <v>128</v>
      </c>
      <c r="AN3" s="221" t="s">
        <v>43</v>
      </c>
      <c r="AP3" s="221" t="s">
        <v>44</v>
      </c>
      <c r="AR3" s="235" t="s">
        <v>45</v>
      </c>
      <c r="AT3" s="221" t="s">
        <v>46</v>
      </c>
      <c r="AV3" s="221" t="s">
        <v>47</v>
      </c>
      <c r="AX3" s="222">
        <v>72</v>
      </c>
      <c r="AY3" s="223">
        <v>46</v>
      </c>
      <c r="AZ3" s="223">
        <v>71</v>
      </c>
      <c r="BA3" s="224">
        <v>42</v>
      </c>
    </row>
    <row r="4" spans="1:53" x14ac:dyDescent="0.15">
      <c r="A4" s="55" t="s">
        <v>56</v>
      </c>
      <c r="B4" s="55" t="s">
        <v>333</v>
      </c>
      <c r="C4" s="213">
        <v>2018</v>
      </c>
      <c r="D4" s="86" t="s">
        <v>358</v>
      </c>
      <c r="E4" s="213" t="s">
        <v>359</v>
      </c>
      <c r="F4" s="213" t="s">
        <v>174</v>
      </c>
      <c r="G4" s="55" t="s">
        <v>42</v>
      </c>
      <c r="H4" s="213" t="s">
        <v>155</v>
      </c>
      <c r="I4" s="55" t="s">
        <v>153</v>
      </c>
      <c r="J4" s="213" t="s">
        <v>38</v>
      </c>
      <c r="K4" s="213" t="s">
        <v>154</v>
      </c>
      <c r="L4" s="205">
        <v>3</v>
      </c>
      <c r="N4" s="205">
        <v>1</v>
      </c>
      <c r="O4" s="205">
        <v>0.9</v>
      </c>
      <c r="P4" s="205">
        <v>1</v>
      </c>
      <c r="Q4" s="242">
        <f t="shared" si="0"/>
        <v>0.95</v>
      </c>
      <c r="R4" s="205">
        <v>12.6</v>
      </c>
      <c r="S4" s="205">
        <v>124</v>
      </c>
      <c r="T4" s="214">
        <f t="shared" si="1"/>
        <v>27</v>
      </c>
      <c r="U4" s="205">
        <v>84</v>
      </c>
      <c r="V4" s="214">
        <f t="shared" si="2"/>
        <v>2268</v>
      </c>
      <c r="W4" s="205">
        <v>2</v>
      </c>
      <c r="X4" s="55" t="s">
        <v>46</v>
      </c>
      <c r="Y4" s="55" t="s">
        <v>84</v>
      </c>
      <c r="Z4" s="213" t="s">
        <v>90</v>
      </c>
      <c r="AA4" s="55" t="s">
        <v>102</v>
      </c>
      <c r="AB4" s="213" t="s">
        <v>334</v>
      </c>
      <c r="AE4" s="220" t="s">
        <v>34</v>
      </c>
      <c r="AG4" s="228" t="s">
        <v>177</v>
      </c>
      <c r="AH4" s="87" t="s">
        <v>178</v>
      </c>
      <c r="AJ4" s="225" t="s">
        <v>48</v>
      </c>
      <c r="AL4" s="225" t="s">
        <v>179</v>
      </c>
      <c r="AN4" s="226" t="s">
        <v>49</v>
      </c>
      <c r="AP4" s="221" t="s">
        <v>165</v>
      </c>
      <c r="AR4" s="235" t="s">
        <v>121</v>
      </c>
      <c r="AT4" s="226"/>
      <c r="AV4" s="221" t="s">
        <v>50</v>
      </c>
      <c r="AX4" s="222">
        <v>75</v>
      </c>
      <c r="AY4" s="223">
        <v>42</v>
      </c>
      <c r="AZ4" s="223">
        <v>76</v>
      </c>
      <c r="BA4" s="224">
        <v>39</v>
      </c>
    </row>
    <row r="5" spans="1:53" x14ac:dyDescent="0.15">
      <c r="A5" s="55" t="s">
        <v>56</v>
      </c>
      <c r="B5" s="55" t="s">
        <v>333</v>
      </c>
      <c r="C5" s="213">
        <v>2018</v>
      </c>
      <c r="D5" s="86" t="s">
        <v>358</v>
      </c>
      <c r="E5" s="213" t="s">
        <v>359</v>
      </c>
      <c r="F5" s="213" t="s">
        <v>174</v>
      </c>
      <c r="G5" s="55" t="s">
        <v>42</v>
      </c>
      <c r="H5" s="213" t="s">
        <v>166</v>
      </c>
      <c r="I5" s="55" t="s">
        <v>153</v>
      </c>
      <c r="J5" s="213" t="s">
        <v>38</v>
      </c>
      <c r="K5" s="213" t="s">
        <v>154</v>
      </c>
      <c r="L5" s="213">
        <v>1</v>
      </c>
      <c r="M5" s="213"/>
      <c r="N5" s="205">
        <v>1</v>
      </c>
      <c r="O5" s="213">
        <v>0.65</v>
      </c>
      <c r="P5" s="205">
        <v>0.75</v>
      </c>
      <c r="Q5" s="242">
        <f t="shared" si="0"/>
        <v>0.7</v>
      </c>
      <c r="R5" s="213">
        <v>15</v>
      </c>
      <c r="S5" s="213">
        <v>136</v>
      </c>
      <c r="T5" s="214">
        <f t="shared" si="1"/>
        <v>25</v>
      </c>
      <c r="U5" s="213">
        <v>84</v>
      </c>
      <c r="V5" s="214">
        <f t="shared" si="2"/>
        <v>2100</v>
      </c>
      <c r="W5" s="213">
        <v>2</v>
      </c>
      <c r="X5" s="55" t="s">
        <v>46</v>
      </c>
      <c r="Y5" s="55" t="s">
        <v>84</v>
      </c>
      <c r="Z5" s="213" t="s">
        <v>90</v>
      </c>
      <c r="AA5" s="55" t="s">
        <v>102</v>
      </c>
      <c r="AB5" s="213" t="s">
        <v>334</v>
      </c>
      <c r="AE5" s="220" t="s">
        <v>51</v>
      </c>
      <c r="AG5" s="228" t="s">
        <v>180</v>
      </c>
      <c r="AH5" s="87" t="s">
        <v>181</v>
      </c>
      <c r="AJ5" s="226"/>
      <c r="AL5" s="227" t="s">
        <v>168</v>
      </c>
      <c r="AN5" s="227" t="s">
        <v>169</v>
      </c>
      <c r="AP5" s="221" t="s">
        <v>182</v>
      </c>
      <c r="AR5" s="235" t="s">
        <v>54</v>
      </c>
      <c r="AV5" s="221" t="s">
        <v>55</v>
      </c>
      <c r="AX5" s="222">
        <v>84</v>
      </c>
      <c r="AY5" s="223">
        <v>39</v>
      </c>
      <c r="AZ5" s="223">
        <v>84</v>
      </c>
      <c r="BA5" s="224">
        <v>36</v>
      </c>
    </row>
    <row r="6" spans="1:53" x14ac:dyDescent="0.15">
      <c r="A6" s="55" t="s">
        <v>56</v>
      </c>
      <c r="B6" s="55" t="s">
        <v>333</v>
      </c>
      <c r="C6" s="213">
        <v>2018</v>
      </c>
      <c r="D6" s="86" t="s">
        <v>358</v>
      </c>
      <c r="E6" s="213" t="s">
        <v>359</v>
      </c>
      <c r="F6" s="213" t="s">
        <v>174</v>
      </c>
      <c r="G6" s="55" t="s">
        <v>42</v>
      </c>
      <c r="H6" s="213" t="s">
        <v>166</v>
      </c>
      <c r="I6" s="55" t="s">
        <v>153</v>
      </c>
      <c r="J6" s="213" t="s">
        <v>38</v>
      </c>
      <c r="K6" s="213" t="s">
        <v>154</v>
      </c>
      <c r="L6" s="205">
        <v>2</v>
      </c>
      <c r="N6" s="205">
        <v>1</v>
      </c>
      <c r="O6" s="205">
        <v>0.7</v>
      </c>
      <c r="P6" s="205">
        <v>0.65</v>
      </c>
      <c r="Q6" s="242">
        <f t="shared" si="0"/>
        <v>0.67500000000000004</v>
      </c>
      <c r="R6" s="205">
        <v>15.7</v>
      </c>
      <c r="S6" s="205">
        <v>142</v>
      </c>
      <c r="T6" s="214">
        <f t="shared" si="1"/>
        <v>22</v>
      </c>
      <c r="U6" s="205">
        <v>84</v>
      </c>
      <c r="V6" s="214">
        <f t="shared" si="2"/>
        <v>1848</v>
      </c>
      <c r="W6" s="205">
        <v>2</v>
      </c>
      <c r="X6" s="55" t="s">
        <v>46</v>
      </c>
      <c r="Y6" s="55" t="s">
        <v>84</v>
      </c>
      <c r="Z6" s="213" t="s">
        <v>90</v>
      </c>
      <c r="AA6" s="55" t="s">
        <v>102</v>
      </c>
      <c r="AB6" s="213" t="s">
        <v>334</v>
      </c>
      <c r="AE6" s="220" t="s">
        <v>56</v>
      </c>
      <c r="AG6" s="228" t="s">
        <v>183</v>
      </c>
      <c r="AH6" s="87" t="s">
        <v>181</v>
      </c>
      <c r="AL6" s="227" t="s">
        <v>99</v>
      </c>
      <c r="AN6" s="227" t="s">
        <v>170</v>
      </c>
      <c r="AP6" s="221" t="s">
        <v>53</v>
      </c>
      <c r="AR6" s="235" t="s">
        <v>59</v>
      </c>
      <c r="AV6" s="221" t="s">
        <v>60</v>
      </c>
      <c r="AX6" s="222">
        <v>97</v>
      </c>
      <c r="AY6" s="223">
        <v>36</v>
      </c>
      <c r="AZ6" s="223">
        <v>99</v>
      </c>
      <c r="BA6" s="224">
        <v>33</v>
      </c>
    </row>
    <row r="7" spans="1:53" x14ac:dyDescent="0.15">
      <c r="A7" s="55" t="s">
        <v>56</v>
      </c>
      <c r="B7" s="55" t="s">
        <v>333</v>
      </c>
      <c r="C7" s="213">
        <v>2018</v>
      </c>
      <c r="D7" s="86" t="s">
        <v>358</v>
      </c>
      <c r="E7" s="213" t="s">
        <v>359</v>
      </c>
      <c r="F7" s="213" t="s">
        <v>174</v>
      </c>
      <c r="G7" s="55" t="s">
        <v>42</v>
      </c>
      <c r="H7" s="213" t="s">
        <v>166</v>
      </c>
      <c r="I7" s="55" t="s">
        <v>153</v>
      </c>
      <c r="J7" s="213" t="s">
        <v>38</v>
      </c>
      <c r="K7" s="213" t="s">
        <v>154</v>
      </c>
      <c r="L7" s="205">
        <v>3</v>
      </c>
      <c r="N7" s="205">
        <v>1</v>
      </c>
      <c r="O7" s="205">
        <v>0.65</v>
      </c>
      <c r="P7" s="205">
        <v>0.65</v>
      </c>
      <c r="Q7" s="242">
        <f t="shared" si="0"/>
        <v>0.65</v>
      </c>
      <c r="R7" s="205">
        <v>15.4</v>
      </c>
      <c r="S7" s="205">
        <v>140</v>
      </c>
      <c r="T7" s="214">
        <f t="shared" si="1"/>
        <v>22</v>
      </c>
      <c r="U7" s="205">
        <v>84</v>
      </c>
      <c r="V7" s="214">
        <f t="shared" si="2"/>
        <v>1848</v>
      </c>
      <c r="W7" s="205">
        <v>2</v>
      </c>
      <c r="X7" s="55" t="s">
        <v>46</v>
      </c>
      <c r="Y7" s="55" t="s">
        <v>84</v>
      </c>
      <c r="Z7" s="213" t="s">
        <v>90</v>
      </c>
      <c r="AA7" s="55" t="s">
        <v>102</v>
      </c>
      <c r="AB7" s="213" t="s">
        <v>334</v>
      </c>
      <c r="AE7" s="220" t="s">
        <v>61</v>
      </c>
      <c r="AG7" s="228" t="s">
        <v>360</v>
      </c>
      <c r="AH7" s="87" t="s">
        <v>184</v>
      </c>
      <c r="AL7" s="88" t="s">
        <v>361</v>
      </c>
      <c r="AP7" s="221" t="s">
        <v>58</v>
      </c>
      <c r="AR7" s="228" t="s">
        <v>122</v>
      </c>
      <c r="AV7" s="221" t="s">
        <v>64</v>
      </c>
      <c r="AX7" s="222">
        <v>109</v>
      </c>
      <c r="AY7" s="223">
        <v>33</v>
      </c>
      <c r="AZ7" s="223">
        <v>113</v>
      </c>
      <c r="BA7" s="224">
        <v>30</v>
      </c>
    </row>
    <row r="8" spans="1:53" x14ac:dyDescent="0.15">
      <c r="A8" s="55" t="s">
        <v>56</v>
      </c>
      <c r="B8" s="55" t="s">
        <v>362</v>
      </c>
      <c r="C8" s="213">
        <v>2018</v>
      </c>
      <c r="D8" s="86" t="s">
        <v>363</v>
      </c>
      <c r="E8" s="213" t="s">
        <v>359</v>
      </c>
      <c r="F8" s="213" t="s">
        <v>176</v>
      </c>
      <c r="G8" s="55" t="s">
        <v>42</v>
      </c>
      <c r="H8" s="213" t="s">
        <v>155</v>
      </c>
      <c r="I8" s="55" t="s">
        <v>153</v>
      </c>
      <c r="J8" s="213" t="s">
        <v>38</v>
      </c>
      <c r="K8" s="213" t="s">
        <v>154</v>
      </c>
      <c r="L8" s="205">
        <v>1</v>
      </c>
      <c r="N8" s="205">
        <v>1</v>
      </c>
      <c r="O8" s="205">
        <v>1</v>
      </c>
      <c r="P8" s="205">
        <v>0.8</v>
      </c>
      <c r="Q8" s="242">
        <f t="shared" si="0"/>
        <v>0.9</v>
      </c>
      <c r="R8" s="205">
        <v>11.6</v>
      </c>
      <c r="S8" s="205">
        <v>140</v>
      </c>
      <c r="T8" s="214">
        <f t="shared" si="1"/>
        <v>22</v>
      </c>
      <c r="U8" s="205">
        <v>84</v>
      </c>
      <c r="V8" s="214">
        <f t="shared" si="2"/>
        <v>1848</v>
      </c>
      <c r="W8" s="205">
        <v>6</v>
      </c>
      <c r="X8" s="55" t="s">
        <v>46</v>
      </c>
      <c r="Y8" s="55" t="s">
        <v>84</v>
      </c>
      <c r="Z8" s="213" t="s">
        <v>90</v>
      </c>
      <c r="AA8" s="55" t="s">
        <v>55</v>
      </c>
      <c r="AB8" s="213" t="s">
        <v>334</v>
      </c>
      <c r="AE8" s="220" t="s">
        <v>59</v>
      </c>
      <c r="AG8" s="228" t="s">
        <v>364</v>
      </c>
      <c r="AH8" s="87" t="s">
        <v>184</v>
      </c>
      <c r="AL8" s="88" t="s">
        <v>353</v>
      </c>
      <c r="AP8" s="221" t="s">
        <v>62</v>
      </c>
      <c r="AR8" s="235" t="s">
        <v>81</v>
      </c>
      <c r="AV8" s="221" t="s">
        <v>97</v>
      </c>
      <c r="AX8" s="222">
        <v>119</v>
      </c>
      <c r="AY8" s="223">
        <v>30</v>
      </c>
      <c r="AZ8" s="223">
        <v>121</v>
      </c>
      <c r="BA8" s="224">
        <v>27</v>
      </c>
    </row>
    <row r="9" spans="1:53" x14ac:dyDescent="0.15">
      <c r="A9" s="55" t="s">
        <v>56</v>
      </c>
      <c r="B9" s="55" t="s">
        <v>362</v>
      </c>
      <c r="C9" s="213">
        <v>2018</v>
      </c>
      <c r="D9" s="86" t="s">
        <v>363</v>
      </c>
      <c r="E9" s="213" t="s">
        <v>359</v>
      </c>
      <c r="F9" s="213" t="s">
        <v>176</v>
      </c>
      <c r="G9" s="55" t="s">
        <v>42</v>
      </c>
      <c r="H9" s="213" t="s">
        <v>155</v>
      </c>
      <c r="I9" s="55" t="s">
        <v>153</v>
      </c>
      <c r="J9" s="213" t="s">
        <v>38</v>
      </c>
      <c r="K9" s="213" t="s">
        <v>154</v>
      </c>
      <c r="L9" s="205">
        <v>2</v>
      </c>
      <c r="N9" s="205">
        <v>1</v>
      </c>
      <c r="O9" s="205">
        <v>0.85</v>
      </c>
      <c r="P9" s="205">
        <v>0.9</v>
      </c>
      <c r="Q9" s="242">
        <f t="shared" si="0"/>
        <v>0.875</v>
      </c>
      <c r="R9" s="205">
        <v>12.4</v>
      </c>
      <c r="S9" s="205">
        <v>138</v>
      </c>
      <c r="T9" s="214">
        <f t="shared" si="1"/>
        <v>22</v>
      </c>
      <c r="U9" s="205">
        <v>84</v>
      </c>
      <c r="V9" s="214">
        <f t="shared" si="2"/>
        <v>1848</v>
      </c>
      <c r="W9" s="205">
        <v>6</v>
      </c>
      <c r="X9" s="55" t="s">
        <v>46</v>
      </c>
      <c r="Y9" s="55" t="s">
        <v>84</v>
      </c>
      <c r="Z9" s="213" t="s">
        <v>90</v>
      </c>
      <c r="AA9" s="55" t="s">
        <v>55</v>
      </c>
      <c r="AB9" s="213" t="s">
        <v>334</v>
      </c>
      <c r="AE9" s="220" t="s">
        <v>98</v>
      </c>
      <c r="AG9" s="228" t="s">
        <v>185</v>
      </c>
      <c r="AH9" s="228" t="s">
        <v>176</v>
      </c>
      <c r="AL9" s="227"/>
      <c r="AP9" s="221" t="s">
        <v>95</v>
      </c>
      <c r="AR9" s="228" t="s">
        <v>89</v>
      </c>
      <c r="AV9" s="221" t="s">
        <v>102</v>
      </c>
      <c r="AX9" s="222">
        <v>128</v>
      </c>
      <c r="AY9" s="223">
        <v>27</v>
      </c>
      <c r="AZ9" s="223">
        <v>129</v>
      </c>
      <c r="BA9" s="224">
        <v>25</v>
      </c>
    </row>
    <row r="10" spans="1:53" x14ac:dyDescent="0.15">
      <c r="A10" s="55" t="s">
        <v>56</v>
      </c>
      <c r="B10" s="55" t="s">
        <v>365</v>
      </c>
      <c r="C10" s="213">
        <v>2018</v>
      </c>
      <c r="D10" s="86" t="s">
        <v>366</v>
      </c>
      <c r="E10" s="213" t="s">
        <v>359</v>
      </c>
      <c r="F10" s="213" t="s">
        <v>176</v>
      </c>
      <c r="G10" s="55" t="s">
        <v>42</v>
      </c>
      <c r="H10" s="213" t="s">
        <v>155</v>
      </c>
      <c r="I10" s="55" t="s">
        <v>153</v>
      </c>
      <c r="J10" s="213" t="s">
        <v>38</v>
      </c>
      <c r="K10" s="213" t="s">
        <v>154</v>
      </c>
      <c r="L10" s="205">
        <v>3</v>
      </c>
      <c r="N10" s="205">
        <v>1</v>
      </c>
      <c r="O10" s="205">
        <v>0.8</v>
      </c>
      <c r="P10" s="205">
        <v>0.8</v>
      </c>
      <c r="Q10" s="242">
        <f t="shared" si="0"/>
        <v>0.8</v>
      </c>
      <c r="R10" s="234">
        <v>13.9</v>
      </c>
      <c r="S10" s="205">
        <v>144</v>
      </c>
      <c r="T10" s="214">
        <f t="shared" si="1"/>
        <v>22</v>
      </c>
      <c r="U10" s="205">
        <v>84</v>
      </c>
      <c r="V10" s="214">
        <f t="shared" si="2"/>
        <v>1848</v>
      </c>
      <c r="W10" s="205">
        <v>6</v>
      </c>
      <c r="X10" s="55" t="s">
        <v>46</v>
      </c>
      <c r="Y10" s="55" t="s">
        <v>84</v>
      </c>
      <c r="Z10" s="213" t="s">
        <v>90</v>
      </c>
      <c r="AA10" s="55" t="s">
        <v>55</v>
      </c>
      <c r="AB10" s="213" t="s">
        <v>334</v>
      </c>
      <c r="AE10" s="220" t="s">
        <v>103</v>
      </c>
      <c r="AG10" s="228" t="s">
        <v>367</v>
      </c>
      <c r="AH10" s="87" t="s">
        <v>368</v>
      </c>
      <c r="AL10" s="88"/>
      <c r="AP10" s="221" t="s">
        <v>100</v>
      </c>
      <c r="AR10" s="228" t="s">
        <v>123</v>
      </c>
      <c r="AV10" s="221" t="s">
        <v>106</v>
      </c>
      <c r="AX10" s="222">
        <v>138</v>
      </c>
      <c r="AY10" s="223">
        <v>25</v>
      </c>
      <c r="AZ10" s="223">
        <v>138</v>
      </c>
      <c r="BA10" s="224">
        <v>22</v>
      </c>
    </row>
    <row r="11" spans="1:53" x14ac:dyDescent="0.15">
      <c r="A11" s="55" t="s">
        <v>56</v>
      </c>
      <c r="B11" s="55" t="s">
        <v>365</v>
      </c>
      <c r="C11" s="213">
        <v>2018</v>
      </c>
      <c r="D11" s="86" t="s">
        <v>366</v>
      </c>
      <c r="E11" s="213" t="s">
        <v>359</v>
      </c>
      <c r="F11" s="213" t="s">
        <v>176</v>
      </c>
      <c r="G11" s="55" t="s">
        <v>42</v>
      </c>
      <c r="H11" s="213" t="s">
        <v>155</v>
      </c>
      <c r="I11" s="55" t="s">
        <v>156</v>
      </c>
      <c r="J11" s="213" t="s">
        <v>38</v>
      </c>
      <c r="K11" s="213" t="s">
        <v>154</v>
      </c>
      <c r="L11" s="205">
        <v>1</v>
      </c>
      <c r="N11" s="205">
        <v>4</v>
      </c>
      <c r="O11" s="205">
        <v>0.6</v>
      </c>
      <c r="P11" s="205">
        <v>0.6</v>
      </c>
      <c r="Q11" s="242">
        <f t="shared" si="0"/>
        <v>0.6</v>
      </c>
      <c r="R11" s="205">
        <v>12.6</v>
      </c>
      <c r="S11" s="205">
        <v>97</v>
      </c>
      <c r="T11" s="214">
        <f t="shared" si="1"/>
        <v>36</v>
      </c>
      <c r="U11" s="205">
        <v>430</v>
      </c>
      <c r="V11" s="214">
        <f t="shared" si="2"/>
        <v>3870</v>
      </c>
      <c r="W11" s="205">
        <v>2</v>
      </c>
      <c r="X11" s="55" t="s">
        <v>46</v>
      </c>
      <c r="Y11" s="55" t="s">
        <v>84</v>
      </c>
      <c r="Z11" s="213" t="s">
        <v>90</v>
      </c>
      <c r="AA11" s="55" t="s">
        <v>55</v>
      </c>
      <c r="AB11" s="213" t="s">
        <v>334</v>
      </c>
      <c r="AE11" s="220" t="s">
        <v>65</v>
      </c>
      <c r="AG11" s="228" t="s">
        <v>369</v>
      </c>
      <c r="AH11" s="87" t="s">
        <v>368</v>
      </c>
      <c r="AJ11" s="88"/>
      <c r="AP11" s="221" t="s">
        <v>104</v>
      </c>
      <c r="AR11" s="228" t="s">
        <v>87</v>
      </c>
      <c r="AV11" s="221" t="s">
        <v>69</v>
      </c>
    </row>
    <row r="12" spans="1:53" x14ac:dyDescent="0.15">
      <c r="A12" s="55" t="s">
        <v>56</v>
      </c>
      <c r="B12" s="55" t="s">
        <v>370</v>
      </c>
      <c r="C12" s="213">
        <v>2018</v>
      </c>
      <c r="D12" s="86" t="s">
        <v>371</v>
      </c>
      <c r="E12" s="213" t="s">
        <v>359</v>
      </c>
      <c r="F12" s="213" t="s">
        <v>176</v>
      </c>
      <c r="G12" s="55" t="s">
        <v>42</v>
      </c>
      <c r="H12" s="213" t="s">
        <v>155</v>
      </c>
      <c r="I12" s="55" t="s">
        <v>156</v>
      </c>
      <c r="J12" s="213" t="s">
        <v>38</v>
      </c>
      <c r="K12" s="213" t="s">
        <v>154</v>
      </c>
      <c r="L12" s="205">
        <v>2</v>
      </c>
      <c r="N12" s="205">
        <v>4</v>
      </c>
      <c r="O12" s="205">
        <v>0.55000000000000004</v>
      </c>
      <c r="P12" s="205">
        <v>0.6</v>
      </c>
      <c r="Q12" s="242">
        <f t="shared" si="0"/>
        <v>0.57499999999999996</v>
      </c>
      <c r="R12" s="205">
        <v>12.3</v>
      </c>
      <c r="S12" s="205">
        <v>99</v>
      </c>
      <c r="T12" s="214">
        <f t="shared" si="1"/>
        <v>33</v>
      </c>
      <c r="U12" s="205">
        <v>430</v>
      </c>
      <c r="V12" s="214">
        <f t="shared" si="2"/>
        <v>3547.5</v>
      </c>
      <c r="W12" s="205">
        <v>2</v>
      </c>
      <c r="X12" s="55" t="s">
        <v>46</v>
      </c>
      <c r="Y12" s="55" t="s">
        <v>84</v>
      </c>
      <c r="Z12" s="213" t="s">
        <v>90</v>
      </c>
      <c r="AA12" s="55" t="s">
        <v>55</v>
      </c>
      <c r="AB12" s="213" t="s">
        <v>334</v>
      </c>
      <c r="AE12" s="220" t="s">
        <v>70</v>
      </c>
      <c r="AG12" s="228" t="s">
        <v>372</v>
      </c>
      <c r="AH12" s="87" t="s">
        <v>373</v>
      </c>
      <c r="AJ12" s="88"/>
      <c r="AP12" s="221" t="s">
        <v>67</v>
      </c>
      <c r="AR12" s="228" t="s">
        <v>124</v>
      </c>
      <c r="AV12" s="221" t="s">
        <v>72</v>
      </c>
    </row>
    <row r="13" spans="1:53" x14ac:dyDescent="0.15">
      <c r="A13" s="55" t="s">
        <v>56</v>
      </c>
      <c r="B13" s="55" t="s">
        <v>374</v>
      </c>
      <c r="C13" s="213">
        <v>2018</v>
      </c>
      <c r="D13" s="86" t="s">
        <v>375</v>
      </c>
      <c r="E13" s="213" t="s">
        <v>359</v>
      </c>
      <c r="F13" s="213" t="s">
        <v>176</v>
      </c>
      <c r="G13" s="55" t="s">
        <v>42</v>
      </c>
      <c r="H13" s="213" t="s">
        <v>155</v>
      </c>
      <c r="I13" s="55" t="s">
        <v>156</v>
      </c>
      <c r="J13" s="213" t="s">
        <v>38</v>
      </c>
      <c r="K13" s="213" t="s">
        <v>154</v>
      </c>
      <c r="L13" s="205">
        <v>3</v>
      </c>
      <c r="N13" s="205">
        <v>4</v>
      </c>
      <c r="O13" s="205">
        <v>0.6</v>
      </c>
      <c r="P13" s="205">
        <v>0.6</v>
      </c>
      <c r="Q13" s="242">
        <f t="shared" si="0"/>
        <v>0.6</v>
      </c>
      <c r="R13" s="234">
        <v>14.2</v>
      </c>
      <c r="S13" s="205">
        <v>99</v>
      </c>
      <c r="T13" s="214">
        <f t="shared" si="1"/>
        <v>33</v>
      </c>
      <c r="U13" s="205">
        <v>430</v>
      </c>
      <c r="V13" s="214">
        <f t="shared" si="2"/>
        <v>3547.5</v>
      </c>
      <c r="W13" s="205">
        <v>2</v>
      </c>
      <c r="X13" s="55" t="s">
        <v>46</v>
      </c>
      <c r="Y13" s="55" t="s">
        <v>84</v>
      </c>
      <c r="Z13" s="213" t="s">
        <v>90</v>
      </c>
      <c r="AA13" s="55" t="s">
        <v>55</v>
      </c>
      <c r="AB13" s="213" t="s">
        <v>334</v>
      </c>
      <c r="AE13" s="220" t="s">
        <v>73</v>
      </c>
      <c r="AP13" s="221" t="s">
        <v>71</v>
      </c>
      <c r="AR13" s="228" t="s">
        <v>103</v>
      </c>
      <c r="AV13" s="221" t="s">
        <v>75</v>
      </c>
    </row>
    <row r="14" spans="1:53" x14ac:dyDescent="0.15">
      <c r="A14" s="55" t="s">
        <v>56</v>
      </c>
      <c r="B14" s="55" t="s">
        <v>376</v>
      </c>
      <c r="C14" s="213">
        <v>2018</v>
      </c>
      <c r="D14" s="86" t="s">
        <v>377</v>
      </c>
      <c r="E14" s="213" t="s">
        <v>378</v>
      </c>
      <c r="F14" s="213" t="s">
        <v>379</v>
      </c>
      <c r="G14" s="55" t="s">
        <v>42</v>
      </c>
      <c r="H14" s="213" t="s">
        <v>155</v>
      </c>
      <c r="I14" s="55" t="s">
        <v>153</v>
      </c>
      <c r="J14" s="213" t="s">
        <v>38</v>
      </c>
      <c r="K14" s="213" t="s">
        <v>154</v>
      </c>
      <c r="L14" s="205">
        <v>1</v>
      </c>
      <c r="N14" s="205">
        <v>1</v>
      </c>
      <c r="O14" s="205">
        <v>0.75</v>
      </c>
      <c r="P14" s="205">
        <v>0.85</v>
      </c>
      <c r="Q14" s="242">
        <f t="shared" si="0"/>
        <v>0.8</v>
      </c>
      <c r="R14" s="205">
        <v>13.4</v>
      </c>
      <c r="S14" s="205">
        <v>125</v>
      </c>
      <c r="T14" s="214">
        <f t="shared" si="1"/>
        <v>27</v>
      </c>
      <c r="U14" s="205">
        <v>106</v>
      </c>
      <c r="V14" s="214">
        <f t="shared" si="2"/>
        <v>2862</v>
      </c>
      <c r="W14" s="205">
        <v>3</v>
      </c>
      <c r="X14" s="55" t="s">
        <v>46</v>
      </c>
      <c r="Y14" s="55" t="s">
        <v>84</v>
      </c>
      <c r="Z14" s="213" t="s">
        <v>90</v>
      </c>
      <c r="AA14" s="55" t="s">
        <v>78</v>
      </c>
      <c r="AB14" s="213" t="s">
        <v>334</v>
      </c>
      <c r="AE14" s="220" t="s">
        <v>76</v>
      </c>
      <c r="AP14" s="221" t="s">
        <v>74</v>
      </c>
      <c r="AR14" s="228" t="s">
        <v>125</v>
      </c>
      <c r="AV14" s="221" t="s">
        <v>78</v>
      </c>
    </row>
    <row r="15" spans="1:53" x14ac:dyDescent="0.15">
      <c r="A15" s="55" t="s">
        <v>56</v>
      </c>
      <c r="B15" s="55" t="s">
        <v>376</v>
      </c>
      <c r="C15" s="213">
        <v>2018</v>
      </c>
      <c r="D15" s="86" t="s">
        <v>377</v>
      </c>
      <c r="E15" s="213" t="s">
        <v>378</v>
      </c>
      <c r="F15" s="213" t="s">
        <v>379</v>
      </c>
      <c r="G15" s="55" t="s">
        <v>42</v>
      </c>
      <c r="H15" s="213" t="s">
        <v>155</v>
      </c>
      <c r="I15" s="55" t="s">
        <v>153</v>
      </c>
      <c r="J15" s="213" t="s">
        <v>38</v>
      </c>
      <c r="K15" s="213" t="s">
        <v>154</v>
      </c>
      <c r="L15" s="205">
        <v>2</v>
      </c>
      <c r="N15" s="205">
        <v>1</v>
      </c>
      <c r="O15" s="205">
        <v>0.75</v>
      </c>
      <c r="P15" s="205">
        <v>0.75</v>
      </c>
      <c r="Q15" s="242">
        <f t="shared" si="0"/>
        <v>0.75</v>
      </c>
      <c r="R15" s="205">
        <v>11.3</v>
      </c>
      <c r="S15" s="205">
        <v>129</v>
      </c>
      <c r="T15" s="214">
        <f t="shared" si="1"/>
        <v>25</v>
      </c>
      <c r="U15" s="205">
        <v>106</v>
      </c>
      <c r="V15" s="214">
        <f t="shared" si="2"/>
        <v>2650</v>
      </c>
      <c r="W15" s="205">
        <v>3</v>
      </c>
      <c r="X15" s="55" t="s">
        <v>46</v>
      </c>
      <c r="Y15" s="55" t="s">
        <v>84</v>
      </c>
      <c r="Z15" s="213" t="s">
        <v>90</v>
      </c>
      <c r="AA15" s="55" t="s">
        <v>78</v>
      </c>
      <c r="AB15" s="213" t="s">
        <v>334</v>
      </c>
      <c r="AE15" s="220" t="s">
        <v>79</v>
      </c>
      <c r="AP15" s="221" t="s">
        <v>77</v>
      </c>
      <c r="AR15" s="228" t="s">
        <v>94</v>
      </c>
      <c r="AV15" s="221" t="s">
        <v>107</v>
      </c>
    </row>
    <row r="16" spans="1:53" x14ac:dyDescent="0.15">
      <c r="A16" s="55" t="s">
        <v>56</v>
      </c>
      <c r="B16" s="55" t="s">
        <v>380</v>
      </c>
      <c r="C16" s="213">
        <v>2018</v>
      </c>
      <c r="D16" s="86" t="s">
        <v>381</v>
      </c>
      <c r="E16" s="213" t="s">
        <v>378</v>
      </c>
      <c r="F16" s="213" t="s">
        <v>379</v>
      </c>
      <c r="G16" s="55" t="s">
        <v>42</v>
      </c>
      <c r="H16" s="213" t="s">
        <v>155</v>
      </c>
      <c r="I16" s="55" t="s">
        <v>153</v>
      </c>
      <c r="J16" s="213" t="s">
        <v>38</v>
      </c>
      <c r="K16" s="213" t="s">
        <v>154</v>
      </c>
      <c r="L16" s="205">
        <v>3</v>
      </c>
      <c r="N16" s="205">
        <v>1</v>
      </c>
      <c r="O16" s="205">
        <v>0.85</v>
      </c>
      <c r="P16" s="205">
        <v>0.95</v>
      </c>
      <c r="Q16" s="242">
        <f t="shared" si="0"/>
        <v>0.89999999999999991</v>
      </c>
      <c r="R16" s="234">
        <v>12.5</v>
      </c>
      <c r="S16" s="205">
        <v>126</v>
      </c>
      <c r="T16" s="214">
        <f t="shared" si="1"/>
        <v>27</v>
      </c>
      <c r="U16" s="205">
        <v>106</v>
      </c>
      <c r="V16" s="214">
        <f t="shared" si="2"/>
        <v>2862</v>
      </c>
      <c r="W16" s="205">
        <v>3</v>
      </c>
      <c r="X16" s="55" t="s">
        <v>46</v>
      </c>
      <c r="Y16" s="55" t="s">
        <v>84</v>
      </c>
      <c r="Z16" s="213" t="s">
        <v>90</v>
      </c>
      <c r="AA16" s="55" t="s">
        <v>78</v>
      </c>
      <c r="AB16" s="213" t="s">
        <v>334</v>
      </c>
      <c r="AE16" s="220" t="s">
        <v>82</v>
      </c>
      <c r="AP16" s="221" t="s">
        <v>80</v>
      </c>
      <c r="AR16" s="235" t="s">
        <v>63</v>
      </c>
      <c r="AV16" s="221" t="s">
        <v>84</v>
      </c>
    </row>
    <row r="17" spans="1:48" x14ac:dyDescent="0.15">
      <c r="A17" s="55" t="s">
        <v>56</v>
      </c>
      <c r="B17" s="55" t="s">
        <v>380</v>
      </c>
      <c r="C17" s="213">
        <v>2018</v>
      </c>
      <c r="D17" s="86" t="s">
        <v>381</v>
      </c>
      <c r="E17" s="213" t="s">
        <v>378</v>
      </c>
      <c r="F17" s="213" t="s">
        <v>379</v>
      </c>
      <c r="G17" s="55" t="s">
        <v>42</v>
      </c>
      <c r="H17" s="213" t="s">
        <v>166</v>
      </c>
      <c r="I17" s="55" t="s">
        <v>153</v>
      </c>
      <c r="J17" s="213" t="s">
        <v>38</v>
      </c>
      <c r="K17" s="213" t="s">
        <v>154</v>
      </c>
      <c r="L17" s="205">
        <v>1</v>
      </c>
      <c r="N17" s="205">
        <v>1</v>
      </c>
      <c r="O17" s="205">
        <v>0.65</v>
      </c>
      <c r="P17" s="205">
        <v>0.7</v>
      </c>
      <c r="Q17" s="242">
        <f t="shared" si="0"/>
        <v>0.67500000000000004</v>
      </c>
      <c r="R17" s="205">
        <v>14.8</v>
      </c>
      <c r="S17" s="205">
        <v>138</v>
      </c>
      <c r="T17" s="214">
        <f t="shared" si="1"/>
        <v>22</v>
      </c>
      <c r="U17" s="205">
        <v>138</v>
      </c>
      <c r="V17" s="214">
        <f t="shared" si="2"/>
        <v>3036</v>
      </c>
      <c r="W17" s="205">
        <v>3</v>
      </c>
      <c r="X17" s="55" t="s">
        <v>46</v>
      </c>
      <c r="Y17" s="55" t="s">
        <v>84</v>
      </c>
      <c r="Z17" s="213" t="s">
        <v>90</v>
      </c>
      <c r="AA17" s="55" t="s">
        <v>78</v>
      </c>
      <c r="AB17" s="213" t="s">
        <v>334</v>
      </c>
      <c r="AE17" s="220" t="s">
        <v>85</v>
      </c>
      <c r="AP17" s="236" t="s">
        <v>110</v>
      </c>
      <c r="AR17" s="235" t="s">
        <v>96</v>
      </c>
      <c r="AV17" s="221" t="s">
        <v>86</v>
      </c>
    </row>
    <row r="18" spans="1:48" x14ac:dyDescent="0.15">
      <c r="A18" s="55" t="s">
        <v>56</v>
      </c>
      <c r="B18" s="55" t="s">
        <v>380</v>
      </c>
      <c r="C18" s="213">
        <v>2018</v>
      </c>
      <c r="D18" s="86" t="s">
        <v>381</v>
      </c>
      <c r="E18" s="213" t="s">
        <v>378</v>
      </c>
      <c r="F18" s="213" t="s">
        <v>379</v>
      </c>
      <c r="G18" s="55" t="s">
        <v>42</v>
      </c>
      <c r="H18" s="213" t="s">
        <v>166</v>
      </c>
      <c r="I18" s="55" t="s">
        <v>153</v>
      </c>
      <c r="J18" s="213" t="s">
        <v>38</v>
      </c>
      <c r="K18" s="213" t="s">
        <v>154</v>
      </c>
      <c r="L18" s="205">
        <v>2</v>
      </c>
      <c r="N18" s="205">
        <v>1</v>
      </c>
      <c r="O18" s="205">
        <v>0.65</v>
      </c>
      <c r="P18" s="205">
        <v>0.65</v>
      </c>
      <c r="Q18" s="242">
        <f t="shared" si="0"/>
        <v>0.65</v>
      </c>
      <c r="R18" s="205">
        <v>15.1</v>
      </c>
      <c r="S18" s="205">
        <v>146</v>
      </c>
      <c r="T18" s="214">
        <f t="shared" si="1"/>
        <v>22</v>
      </c>
      <c r="U18" s="205">
        <v>138</v>
      </c>
      <c r="V18" s="214">
        <f t="shared" si="2"/>
        <v>3036</v>
      </c>
      <c r="W18" s="205">
        <v>3</v>
      </c>
      <c r="X18" s="55" t="s">
        <v>46</v>
      </c>
      <c r="Y18" s="55" t="s">
        <v>84</v>
      </c>
      <c r="Z18" s="213" t="s">
        <v>90</v>
      </c>
      <c r="AA18" s="55" t="s">
        <v>78</v>
      </c>
      <c r="AB18" s="213" t="s">
        <v>334</v>
      </c>
      <c r="AE18" s="220" t="s">
        <v>87</v>
      </c>
      <c r="AP18" s="236" t="s">
        <v>111</v>
      </c>
      <c r="AR18" s="235" t="s">
        <v>101</v>
      </c>
      <c r="AV18" s="221" t="s">
        <v>88</v>
      </c>
    </row>
    <row r="19" spans="1:48" x14ac:dyDescent="0.15">
      <c r="A19" s="55" t="s">
        <v>56</v>
      </c>
      <c r="B19" s="55" t="s">
        <v>370</v>
      </c>
      <c r="C19" s="213">
        <v>2018</v>
      </c>
      <c r="D19" s="86" t="s">
        <v>371</v>
      </c>
      <c r="E19" s="213" t="s">
        <v>378</v>
      </c>
      <c r="F19" s="213" t="s">
        <v>379</v>
      </c>
      <c r="G19" s="55" t="s">
        <v>42</v>
      </c>
      <c r="H19" s="213" t="s">
        <v>166</v>
      </c>
      <c r="I19" s="55" t="s">
        <v>153</v>
      </c>
      <c r="J19" s="213" t="s">
        <v>38</v>
      </c>
      <c r="K19" s="213" t="s">
        <v>154</v>
      </c>
      <c r="L19" s="205">
        <v>3</v>
      </c>
      <c r="N19" s="205">
        <v>1</v>
      </c>
      <c r="O19" s="205">
        <v>0.7</v>
      </c>
      <c r="P19" s="205">
        <v>0.7</v>
      </c>
      <c r="Q19" s="242">
        <f t="shared" si="0"/>
        <v>0.7</v>
      </c>
      <c r="R19" s="234">
        <v>16.600000000000001</v>
      </c>
      <c r="S19" s="205">
        <v>138</v>
      </c>
      <c r="T19" s="214">
        <f t="shared" si="1"/>
        <v>22</v>
      </c>
      <c r="U19" s="205">
        <v>138</v>
      </c>
      <c r="V19" s="214">
        <f t="shared" si="2"/>
        <v>3036</v>
      </c>
      <c r="W19" s="205">
        <v>3</v>
      </c>
      <c r="X19" s="55" t="s">
        <v>46</v>
      </c>
      <c r="Y19" s="55" t="s">
        <v>84</v>
      </c>
      <c r="Z19" s="213" t="s">
        <v>90</v>
      </c>
      <c r="AA19" s="55" t="s">
        <v>78</v>
      </c>
      <c r="AB19" s="213" t="s">
        <v>334</v>
      </c>
      <c r="AE19" s="233" t="s">
        <v>89</v>
      </c>
      <c r="AP19" s="236" t="s">
        <v>112</v>
      </c>
      <c r="AR19" s="228" t="s">
        <v>126</v>
      </c>
      <c r="AV19" s="221" t="s">
        <v>90</v>
      </c>
    </row>
    <row r="20" spans="1:48" x14ac:dyDescent="0.15">
      <c r="A20" s="55" t="s">
        <v>56</v>
      </c>
      <c r="B20" s="55" t="s">
        <v>370</v>
      </c>
      <c r="C20" s="213">
        <v>2018</v>
      </c>
      <c r="D20" s="86" t="s">
        <v>371</v>
      </c>
      <c r="E20" s="213" t="s">
        <v>382</v>
      </c>
      <c r="F20" s="213" t="s">
        <v>383</v>
      </c>
      <c r="G20" s="55" t="s">
        <v>42</v>
      </c>
      <c r="H20" s="213" t="s">
        <v>155</v>
      </c>
      <c r="I20" s="55" t="s">
        <v>153</v>
      </c>
      <c r="J20" s="213" t="s">
        <v>38</v>
      </c>
      <c r="K20" s="213" t="s">
        <v>154</v>
      </c>
      <c r="L20" s="205">
        <v>1</v>
      </c>
      <c r="N20" s="205">
        <v>4</v>
      </c>
      <c r="O20" s="205">
        <v>0.8</v>
      </c>
      <c r="P20" s="205">
        <v>1</v>
      </c>
      <c r="Q20" s="242">
        <f t="shared" si="0"/>
        <v>0.9</v>
      </c>
      <c r="R20" s="205">
        <v>12.2</v>
      </c>
      <c r="S20" s="205">
        <v>110</v>
      </c>
      <c r="T20" s="214">
        <f t="shared" si="1"/>
        <v>33</v>
      </c>
      <c r="U20" s="205">
        <v>377</v>
      </c>
      <c r="V20" s="214">
        <f t="shared" si="2"/>
        <v>3110.25</v>
      </c>
      <c r="W20" s="205">
        <v>2</v>
      </c>
      <c r="X20" s="55" t="s">
        <v>46</v>
      </c>
      <c r="Y20" s="55" t="s">
        <v>84</v>
      </c>
      <c r="Z20" s="213" t="s">
        <v>90</v>
      </c>
      <c r="AA20" s="55" t="s">
        <v>78</v>
      </c>
      <c r="AB20" s="213" t="s">
        <v>334</v>
      </c>
      <c r="AP20" s="236" t="s">
        <v>113</v>
      </c>
      <c r="AR20" s="235" t="s">
        <v>105</v>
      </c>
      <c r="AV20" s="225" t="s">
        <v>354</v>
      </c>
    </row>
    <row r="21" spans="1:48" x14ac:dyDescent="0.15">
      <c r="A21" s="55" t="s">
        <v>56</v>
      </c>
      <c r="B21" s="55" t="s">
        <v>370</v>
      </c>
      <c r="C21" s="213">
        <v>2018</v>
      </c>
      <c r="D21" s="86" t="s">
        <v>371</v>
      </c>
      <c r="E21" s="213" t="s">
        <v>382</v>
      </c>
      <c r="F21" s="213" t="s">
        <v>383</v>
      </c>
      <c r="G21" s="55" t="s">
        <v>42</v>
      </c>
      <c r="H21" s="213" t="s">
        <v>155</v>
      </c>
      <c r="I21" s="55" t="s">
        <v>153</v>
      </c>
      <c r="J21" s="213" t="s">
        <v>38</v>
      </c>
      <c r="K21" s="213" t="s">
        <v>154</v>
      </c>
      <c r="L21" s="205">
        <v>2</v>
      </c>
      <c r="N21" s="205">
        <v>4</v>
      </c>
      <c r="O21" s="205">
        <v>0.7</v>
      </c>
      <c r="P21" s="205">
        <v>0.75</v>
      </c>
      <c r="Q21" s="242">
        <f t="shared" si="0"/>
        <v>0.72499999999999998</v>
      </c>
      <c r="R21" s="205">
        <v>13.5</v>
      </c>
      <c r="S21" s="205">
        <v>108</v>
      </c>
      <c r="T21" s="214">
        <f t="shared" si="1"/>
        <v>33</v>
      </c>
      <c r="U21" s="205">
        <v>377</v>
      </c>
      <c r="V21" s="214">
        <f t="shared" si="2"/>
        <v>3110.25</v>
      </c>
      <c r="W21" s="205">
        <v>2</v>
      </c>
      <c r="X21" s="55" t="s">
        <v>46</v>
      </c>
      <c r="Y21" s="55" t="s">
        <v>84</v>
      </c>
      <c r="Z21" s="213" t="s">
        <v>90</v>
      </c>
      <c r="AA21" s="55" t="s">
        <v>78</v>
      </c>
      <c r="AB21" s="213" t="s">
        <v>334</v>
      </c>
      <c r="AP21" s="236" t="s">
        <v>114</v>
      </c>
      <c r="AR21" s="235" t="s">
        <v>68</v>
      </c>
      <c r="AV21" s="226" t="s">
        <v>384</v>
      </c>
    </row>
    <row r="22" spans="1:48" x14ac:dyDescent="0.15">
      <c r="A22" s="55" t="s">
        <v>56</v>
      </c>
      <c r="B22" s="55" t="s">
        <v>370</v>
      </c>
      <c r="C22" s="213">
        <v>2018</v>
      </c>
      <c r="D22" s="86" t="s">
        <v>371</v>
      </c>
      <c r="E22" s="213" t="s">
        <v>382</v>
      </c>
      <c r="F22" s="213" t="s">
        <v>383</v>
      </c>
      <c r="G22" s="55" t="s">
        <v>42</v>
      </c>
      <c r="H22" s="213" t="s">
        <v>155</v>
      </c>
      <c r="I22" s="55" t="s">
        <v>153</v>
      </c>
      <c r="J22" s="213" t="s">
        <v>38</v>
      </c>
      <c r="K22" s="213" t="s">
        <v>154</v>
      </c>
      <c r="L22" s="205">
        <v>3</v>
      </c>
      <c r="N22" s="205">
        <v>4</v>
      </c>
      <c r="O22" s="205">
        <v>0.65</v>
      </c>
      <c r="P22" s="205">
        <v>0.6</v>
      </c>
      <c r="Q22" s="242">
        <f t="shared" si="0"/>
        <v>0.625</v>
      </c>
      <c r="R22" s="234">
        <v>12.1</v>
      </c>
      <c r="S22" s="205">
        <v>105</v>
      </c>
      <c r="T22" s="214">
        <f t="shared" si="1"/>
        <v>33</v>
      </c>
      <c r="U22" s="205">
        <v>377</v>
      </c>
      <c r="V22" s="214">
        <f t="shared" si="2"/>
        <v>3110.25</v>
      </c>
      <c r="W22" s="205">
        <v>2</v>
      </c>
      <c r="X22" s="55" t="s">
        <v>46</v>
      </c>
      <c r="Y22" s="55" t="s">
        <v>84</v>
      </c>
      <c r="Z22" s="213" t="s">
        <v>90</v>
      </c>
      <c r="AA22" s="55" t="s">
        <v>78</v>
      </c>
      <c r="AB22" s="213" t="s">
        <v>334</v>
      </c>
      <c r="AP22" s="236" t="s">
        <v>115</v>
      </c>
      <c r="AR22" s="235" t="s">
        <v>83</v>
      </c>
    </row>
    <row r="23" spans="1:48" x14ac:dyDescent="0.15">
      <c r="A23" s="55" t="s">
        <v>56</v>
      </c>
      <c r="B23" s="55" t="s">
        <v>370</v>
      </c>
      <c r="C23" s="213">
        <v>2018</v>
      </c>
      <c r="D23" s="86" t="s">
        <v>371</v>
      </c>
      <c r="E23" s="213" t="s">
        <v>311</v>
      </c>
      <c r="F23" s="213" t="s">
        <v>184</v>
      </c>
      <c r="G23" s="55" t="s">
        <v>42</v>
      </c>
      <c r="H23" s="213" t="s">
        <v>155</v>
      </c>
      <c r="I23" s="55" t="s">
        <v>153</v>
      </c>
      <c r="J23" s="213" t="s">
        <v>38</v>
      </c>
      <c r="K23" s="213" t="s">
        <v>154</v>
      </c>
      <c r="L23" s="205">
        <v>1</v>
      </c>
      <c r="N23" s="205">
        <v>1</v>
      </c>
      <c r="O23" s="205">
        <v>0.7</v>
      </c>
      <c r="P23" s="205">
        <v>0.75</v>
      </c>
      <c r="Q23" s="242">
        <f t="shared" si="0"/>
        <v>0.72499999999999998</v>
      </c>
      <c r="R23" s="205">
        <v>12.2</v>
      </c>
      <c r="S23" s="205">
        <v>129</v>
      </c>
      <c r="T23" s="214">
        <f t="shared" si="1"/>
        <v>25</v>
      </c>
      <c r="U23" s="205">
        <v>105</v>
      </c>
      <c r="V23" s="214">
        <f t="shared" si="2"/>
        <v>2625</v>
      </c>
      <c r="W23" s="205">
        <v>4</v>
      </c>
      <c r="X23" s="55" t="s">
        <v>46</v>
      </c>
      <c r="Y23" s="55" t="s">
        <v>84</v>
      </c>
      <c r="Z23" s="213" t="s">
        <v>90</v>
      </c>
      <c r="AA23" s="55" t="s">
        <v>69</v>
      </c>
      <c r="AB23" s="213" t="s">
        <v>334</v>
      </c>
      <c r="AP23" s="236" t="s">
        <v>385</v>
      </c>
      <c r="AR23" s="235" t="s">
        <v>61</v>
      </c>
    </row>
    <row r="24" spans="1:48" x14ac:dyDescent="0.15">
      <c r="A24" s="55" t="s">
        <v>56</v>
      </c>
      <c r="B24" s="55" t="s">
        <v>370</v>
      </c>
      <c r="C24" s="213">
        <v>2018</v>
      </c>
      <c r="D24" s="86" t="s">
        <v>371</v>
      </c>
      <c r="E24" s="213" t="s">
        <v>311</v>
      </c>
      <c r="F24" s="213" t="s">
        <v>184</v>
      </c>
      <c r="G24" s="55" t="s">
        <v>42</v>
      </c>
      <c r="H24" s="213" t="s">
        <v>155</v>
      </c>
      <c r="I24" s="55" t="s">
        <v>153</v>
      </c>
      <c r="J24" s="213" t="s">
        <v>38</v>
      </c>
      <c r="K24" s="213" t="s">
        <v>154</v>
      </c>
      <c r="L24" s="205">
        <v>2</v>
      </c>
      <c r="N24" s="205">
        <v>1</v>
      </c>
      <c r="O24" s="205">
        <v>0.85</v>
      </c>
      <c r="P24" s="205">
        <v>0.95</v>
      </c>
      <c r="Q24" s="242">
        <f t="shared" si="0"/>
        <v>0.89999999999999991</v>
      </c>
      <c r="R24" s="205">
        <v>13.4</v>
      </c>
      <c r="S24" s="205">
        <v>133</v>
      </c>
      <c r="T24" s="214">
        <f t="shared" si="1"/>
        <v>25</v>
      </c>
      <c r="U24" s="205">
        <v>105</v>
      </c>
      <c r="V24" s="214">
        <f t="shared" si="2"/>
        <v>2625</v>
      </c>
      <c r="W24" s="205">
        <v>4</v>
      </c>
      <c r="X24" s="55" t="s">
        <v>46</v>
      </c>
      <c r="Y24" s="55" t="s">
        <v>84</v>
      </c>
      <c r="Z24" s="213" t="s">
        <v>90</v>
      </c>
      <c r="AA24" s="55" t="s">
        <v>69</v>
      </c>
      <c r="AB24" s="213" t="s">
        <v>334</v>
      </c>
      <c r="AP24" s="236" t="s">
        <v>386</v>
      </c>
      <c r="AR24" s="235" t="s">
        <v>91</v>
      </c>
    </row>
    <row r="25" spans="1:48" x14ac:dyDescent="0.15">
      <c r="A25" s="55" t="s">
        <v>56</v>
      </c>
      <c r="B25" s="55" t="s">
        <v>370</v>
      </c>
      <c r="C25" s="213">
        <v>2018</v>
      </c>
      <c r="D25" s="86" t="s">
        <v>371</v>
      </c>
      <c r="E25" s="213" t="s">
        <v>311</v>
      </c>
      <c r="F25" s="213" t="s">
        <v>184</v>
      </c>
      <c r="G25" s="55" t="s">
        <v>42</v>
      </c>
      <c r="H25" s="213" t="s">
        <v>155</v>
      </c>
      <c r="I25" s="55" t="s">
        <v>153</v>
      </c>
      <c r="J25" s="213" t="s">
        <v>38</v>
      </c>
      <c r="K25" s="213" t="s">
        <v>154</v>
      </c>
      <c r="L25" s="205">
        <v>3</v>
      </c>
      <c r="N25" s="205">
        <v>1</v>
      </c>
      <c r="O25" s="205">
        <v>0.8</v>
      </c>
      <c r="P25" s="205">
        <v>0.95</v>
      </c>
      <c r="Q25" s="242">
        <f t="shared" si="0"/>
        <v>0.875</v>
      </c>
      <c r="R25" s="205">
        <v>12.2</v>
      </c>
      <c r="S25" s="205">
        <v>126</v>
      </c>
      <c r="T25" s="214">
        <f t="shared" si="1"/>
        <v>27</v>
      </c>
      <c r="U25" s="205">
        <v>105</v>
      </c>
      <c r="V25" s="214">
        <f t="shared" si="2"/>
        <v>2835</v>
      </c>
      <c r="W25" s="205">
        <v>4</v>
      </c>
      <c r="X25" s="55" t="s">
        <v>46</v>
      </c>
      <c r="Y25" s="55" t="s">
        <v>84</v>
      </c>
      <c r="Z25" s="213" t="s">
        <v>90</v>
      </c>
      <c r="AA25" s="55" t="s">
        <v>69</v>
      </c>
      <c r="AB25" s="213" t="s">
        <v>334</v>
      </c>
      <c r="AP25" s="236" t="s">
        <v>116</v>
      </c>
      <c r="AR25" s="42" t="s">
        <v>92</v>
      </c>
    </row>
    <row r="26" spans="1:48" x14ac:dyDescent="0.15">
      <c r="A26" s="55" t="s">
        <v>56</v>
      </c>
      <c r="B26" s="55" t="s">
        <v>370</v>
      </c>
      <c r="C26" s="213">
        <v>2018</v>
      </c>
      <c r="D26" s="86" t="s">
        <v>371</v>
      </c>
      <c r="E26" s="213" t="s">
        <v>387</v>
      </c>
      <c r="F26" s="213" t="s">
        <v>184</v>
      </c>
      <c r="G26" s="55" t="s">
        <v>42</v>
      </c>
      <c r="H26" s="213" t="s">
        <v>155</v>
      </c>
      <c r="I26" s="55" t="s">
        <v>153</v>
      </c>
      <c r="J26" s="213" t="s">
        <v>38</v>
      </c>
      <c r="K26" s="213" t="s">
        <v>154</v>
      </c>
      <c r="L26" s="205">
        <v>1</v>
      </c>
      <c r="N26" s="205">
        <v>1</v>
      </c>
      <c r="O26" s="205">
        <v>0.85</v>
      </c>
      <c r="P26" s="205">
        <v>1</v>
      </c>
      <c r="Q26" s="214">
        <f t="shared" si="0"/>
        <v>0.92500000000000004</v>
      </c>
      <c r="R26" s="205">
        <v>12.4</v>
      </c>
      <c r="S26" s="205">
        <v>134</v>
      </c>
      <c r="T26" s="214">
        <f t="shared" si="1"/>
        <v>25</v>
      </c>
      <c r="U26" s="205">
        <v>138</v>
      </c>
      <c r="V26" s="214">
        <f t="shared" si="2"/>
        <v>3450</v>
      </c>
      <c r="W26" s="205">
        <v>1</v>
      </c>
      <c r="X26" s="55" t="s">
        <v>39</v>
      </c>
      <c r="Y26" s="55" t="s">
        <v>84</v>
      </c>
      <c r="Z26" s="213" t="s">
        <v>90</v>
      </c>
      <c r="AA26" s="55" t="s">
        <v>69</v>
      </c>
      <c r="AB26" s="213" t="s">
        <v>334</v>
      </c>
      <c r="AP26" s="236" t="s">
        <v>117</v>
      </c>
      <c r="AR26" s="205" t="s">
        <v>285</v>
      </c>
    </row>
    <row r="27" spans="1:48" x14ac:dyDescent="0.15">
      <c r="A27" s="55" t="s">
        <v>56</v>
      </c>
      <c r="B27" s="55" t="s">
        <v>370</v>
      </c>
      <c r="C27" s="213">
        <v>2018</v>
      </c>
      <c r="D27" s="86" t="s">
        <v>371</v>
      </c>
      <c r="E27" s="213" t="s">
        <v>387</v>
      </c>
      <c r="F27" s="213" t="s">
        <v>184</v>
      </c>
      <c r="G27" s="55" t="s">
        <v>42</v>
      </c>
      <c r="H27" s="213" t="s">
        <v>155</v>
      </c>
      <c r="I27" s="55" t="s">
        <v>153</v>
      </c>
      <c r="J27" s="213" t="s">
        <v>38</v>
      </c>
      <c r="K27" s="213" t="s">
        <v>154</v>
      </c>
      <c r="L27" s="205">
        <v>2</v>
      </c>
      <c r="N27" s="205">
        <v>1</v>
      </c>
      <c r="O27" s="205">
        <v>0.7</v>
      </c>
      <c r="P27" s="205">
        <v>0.85</v>
      </c>
      <c r="Q27" s="214">
        <f t="shared" si="0"/>
        <v>0.77499999999999991</v>
      </c>
      <c r="R27" s="205">
        <v>12</v>
      </c>
      <c r="S27" s="205">
        <v>129</v>
      </c>
      <c r="T27" s="214">
        <f t="shared" si="1"/>
        <v>25</v>
      </c>
      <c r="U27" s="205">
        <v>138</v>
      </c>
      <c r="V27" s="214">
        <f t="shared" si="2"/>
        <v>3450</v>
      </c>
      <c r="W27" s="205">
        <v>1</v>
      </c>
      <c r="X27" s="55" t="s">
        <v>39</v>
      </c>
      <c r="Y27" s="55" t="s">
        <v>84</v>
      </c>
      <c r="Z27" s="213" t="s">
        <v>90</v>
      </c>
      <c r="AA27" s="55" t="s">
        <v>69</v>
      </c>
      <c r="AB27" s="213" t="s">
        <v>334</v>
      </c>
      <c r="AP27" s="236" t="s">
        <v>118</v>
      </c>
    </row>
    <row r="28" spans="1:48" x14ac:dyDescent="0.15">
      <c r="A28" s="55" t="s">
        <v>56</v>
      </c>
      <c r="B28" s="55" t="s">
        <v>370</v>
      </c>
      <c r="C28" s="213">
        <v>2018</v>
      </c>
      <c r="D28" s="86" t="s">
        <v>371</v>
      </c>
      <c r="E28" s="213" t="s">
        <v>387</v>
      </c>
      <c r="F28" s="213" t="s">
        <v>184</v>
      </c>
      <c r="G28" s="55" t="s">
        <v>42</v>
      </c>
      <c r="H28" s="213" t="s">
        <v>155</v>
      </c>
      <c r="I28" s="55" t="s">
        <v>153</v>
      </c>
      <c r="J28" s="213" t="s">
        <v>38</v>
      </c>
      <c r="K28" s="213" t="s">
        <v>154</v>
      </c>
      <c r="L28" s="205">
        <v>3</v>
      </c>
      <c r="N28" s="205">
        <v>1</v>
      </c>
      <c r="O28" s="205">
        <v>0.85</v>
      </c>
      <c r="P28" s="205">
        <v>0.9</v>
      </c>
      <c r="Q28" s="214">
        <f t="shared" si="0"/>
        <v>0.875</v>
      </c>
      <c r="R28" s="205">
        <v>13.5</v>
      </c>
      <c r="S28" s="205">
        <v>126</v>
      </c>
      <c r="T28" s="214">
        <f t="shared" si="1"/>
        <v>27</v>
      </c>
      <c r="U28" s="205">
        <v>138</v>
      </c>
      <c r="V28" s="214">
        <f t="shared" si="2"/>
        <v>3726</v>
      </c>
      <c r="W28" s="205">
        <v>1</v>
      </c>
      <c r="X28" s="55" t="s">
        <v>39</v>
      </c>
      <c r="Y28" s="55" t="s">
        <v>84</v>
      </c>
      <c r="Z28" s="213" t="s">
        <v>90</v>
      </c>
      <c r="AA28" s="55" t="s">
        <v>69</v>
      </c>
      <c r="AB28" s="213" t="s">
        <v>334</v>
      </c>
    </row>
    <row r="29" spans="1:48" x14ac:dyDescent="0.15">
      <c r="A29" s="55" t="s">
        <v>56</v>
      </c>
      <c r="B29" s="55" t="s">
        <v>370</v>
      </c>
      <c r="C29" s="213">
        <v>2018</v>
      </c>
      <c r="D29" s="86" t="s">
        <v>371</v>
      </c>
      <c r="E29" s="213" t="s">
        <v>387</v>
      </c>
      <c r="F29" s="213" t="s">
        <v>184</v>
      </c>
      <c r="G29" s="55" t="s">
        <v>42</v>
      </c>
      <c r="H29" s="213" t="s">
        <v>166</v>
      </c>
      <c r="I29" s="55" t="s">
        <v>153</v>
      </c>
      <c r="J29" s="213" t="s">
        <v>38</v>
      </c>
      <c r="K29" s="213" t="s">
        <v>154</v>
      </c>
      <c r="L29" s="205">
        <v>1</v>
      </c>
      <c r="N29" s="205">
        <v>1</v>
      </c>
      <c r="O29" s="205">
        <v>0.6</v>
      </c>
      <c r="P29" s="205">
        <v>0.6</v>
      </c>
      <c r="Q29" s="214">
        <f t="shared" si="0"/>
        <v>0.6</v>
      </c>
      <c r="R29" s="205">
        <v>14.5</v>
      </c>
      <c r="S29" s="205">
        <v>125</v>
      </c>
      <c r="T29" s="214">
        <f t="shared" si="1"/>
        <v>27</v>
      </c>
      <c r="U29" s="205">
        <v>177</v>
      </c>
      <c r="V29" s="214">
        <f t="shared" si="2"/>
        <v>4779</v>
      </c>
      <c r="W29" s="205">
        <v>1</v>
      </c>
      <c r="X29" s="55" t="s">
        <v>39</v>
      </c>
      <c r="Y29" s="55" t="s">
        <v>84</v>
      </c>
      <c r="Z29" s="213" t="s">
        <v>90</v>
      </c>
      <c r="AA29" s="55" t="s">
        <v>69</v>
      </c>
      <c r="AB29" s="213" t="s">
        <v>334</v>
      </c>
    </row>
    <row r="30" spans="1:48" x14ac:dyDescent="0.15">
      <c r="A30" s="55" t="s">
        <v>56</v>
      </c>
      <c r="B30" s="55" t="s">
        <v>370</v>
      </c>
      <c r="C30" s="213">
        <v>2018</v>
      </c>
      <c r="D30" s="86" t="s">
        <v>371</v>
      </c>
      <c r="E30" s="213" t="s">
        <v>387</v>
      </c>
      <c r="F30" s="213" t="s">
        <v>184</v>
      </c>
      <c r="G30" s="55" t="s">
        <v>42</v>
      </c>
      <c r="H30" s="213" t="s">
        <v>166</v>
      </c>
      <c r="I30" s="55" t="s">
        <v>153</v>
      </c>
      <c r="J30" s="213" t="s">
        <v>38</v>
      </c>
      <c r="K30" s="213" t="s">
        <v>154</v>
      </c>
      <c r="L30" s="205">
        <v>2</v>
      </c>
      <c r="N30" s="205">
        <v>1</v>
      </c>
      <c r="O30" s="205">
        <v>0.6</v>
      </c>
      <c r="P30" s="205">
        <v>0.6</v>
      </c>
      <c r="Q30" s="214">
        <f t="shared" si="0"/>
        <v>0.6</v>
      </c>
      <c r="R30" s="205">
        <v>14.5</v>
      </c>
      <c r="S30" s="205">
        <v>129</v>
      </c>
      <c r="T30" s="214">
        <f t="shared" si="1"/>
        <v>25</v>
      </c>
      <c r="U30" s="205">
        <v>177</v>
      </c>
      <c r="V30" s="214">
        <f t="shared" si="2"/>
        <v>4425</v>
      </c>
      <c r="W30" s="205">
        <v>1</v>
      </c>
      <c r="X30" s="55" t="s">
        <v>39</v>
      </c>
      <c r="Y30" s="55" t="s">
        <v>84</v>
      </c>
      <c r="Z30" s="213" t="s">
        <v>90</v>
      </c>
      <c r="AA30" s="55" t="s">
        <v>69</v>
      </c>
      <c r="AB30" s="213" t="s">
        <v>334</v>
      </c>
    </row>
    <row r="31" spans="1:48" x14ac:dyDescent="0.15">
      <c r="A31" s="55" t="s">
        <v>56</v>
      </c>
      <c r="B31" s="55" t="s">
        <v>370</v>
      </c>
      <c r="C31" s="213">
        <v>2018</v>
      </c>
      <c r="D31" s="86" t="s">
        <v>371</v>
      </c>
      <c r="E31" s="213" t="s">
        <v>387</v>
      </c>
      <c r="F31" s="213" t="s">
        <v>184</v>
      </c>
      <c r="G31" s="55" t="s">
        <v>42</v>
      </c>
      <c r="H31" s="213" t="s">
        <v>166</v>
      </c>
      <c r="I31" s="55" t="s">
        <v>153</v>
      </c>
      <c r="J31" s="213" t="s">
        <v>38</v>
      </c>
      <c r="K31" s="213" t="s">
        <v>154</v>
      </c>
      <c r="L31" s="205">
        <v>3</v>
      </c>
      <c r="N31" s="205">
        <v>1</v>
      </c>
      <c r="O31" s="205">
        <v>0.6</v>
      </c>
      <c r="P31" s="205">
        <v>0.55000000000000004</v>
      </c>
      <c r="Q31" s="214">
        <f t="shared" si="0"/>
        <v>0.57499999999999996</v>
      </c>
      <c r="R31" s="205">
        <v>14.7</v>
      </c>
      <c r="S31" s="205">
        <v>128</v>
      </c>
      <c r="T31" s="214">
        <f t="shared" si="1"/>
        <v>27</v>
      </c>
      <c r="U31" s="205">
        <v>177</v>
      </c>
      <c r="V31" s="214">
        <f t="shared" si="2"/>
        <v>4779</v>
      </c>
      <c r="W31" s="205">
        <v>1</v>
      </c>
      <c r="X31" s="55" t="s">
        <v>39</v>
      </c>
      <c r="Y31" s="55" t="s">
        <v>84</v>
      </c>
      <c r="Z31" s="213" t="s">
        <v>90</v>
      </c>
      <c r="AA31" s="55" t="s">
        <v>69</v>
      </c>
      <c r="AB31" s="213" t="s">
        <v>334</v>
      </c>
    </row>
    <row r="32" spans="1:48" x14ac:dyDescent="0.15">
      <c r="A32" s="55" t="s">
        <v>56</v>
      </c>
      <c r="B32" s="55" t="s">
        <v>370</v>
      </c>
      <c r="C32" s="213">
        <v>2018</v>
      </c>
      <c r="D32" s="86" t="s">
        <v>371</v>
      </c>
      <c r="E32" s="213" t="s">
        <v>185</v>
      </c>
      <c r="F32" s="213" t="s">
        <v>383</v>
      </c>
      <c r="G32" s="55" t="s">
        <v>42</v>
      </c>
      <c r="H32" s="213" t="s">
        <v>155</v>
      </c>
      <c r="I32" s="55" t="s">
        <v>156</v>
      </c>
      <c r="J32" s="213" t="s">
        <v>38</v>
      </c>
      <c r="K32" s="213" t="s">
        <v>154</v>
      </c>
      <c r="L32" s="205">
        <v>1</v>
      </c>
      <c r="N32" s="205">
        <v>4</v>
      </c>
      <c r="O32" s="205">
        <v>1</v>
      </c>
      <c r="P32" s="205">
        <v>0.85</v>
      </c>
      <c r="Q32" s="214">
        <f t="shared" si="0"/>
        <v>0.92500000000000004</v>
      </c>
      <c r="R32" s="205">
        <v>12.5</v>
      </c>
      <c r="S32" s="205">
        <v>98</v>
      </c>
      <c r="T32" s="214">
        <f t="shared" si="1"/>
        <v>36</v>
      </c>
      <c r="U32" s="205">
        <v>539</v>
      </c>
      <c r="V32" s="214">
        <f t="shared" si="2"/>
        <v>4851</v>
      </c>
      <c r="W32" s="205">
        <v>6</v>
      </c>
      <c r="X32" s="55" t="s">
        <v>39</v>
      </c>
      <c r="Y32" s="55" t="s">
        <v>84</v>
      </c>
      <c r="Z32" s="213" t="s">
        <v>90</v>
      </c>
      <c r="AA32" s="55" t="s">
        <v>55</v>
      </c>
      <c r="AB32" s="213" t="s">
        <v>334</v>
      </c>
    </row>
    <row r="33" spans="1:28" x14ac:dyDescent="0.15">
      <c r="A33" s="55" t="s">
        <v>56</v>
      </c>
      <c r="B33" s="55" t="s">
        <v>370</v>
      </c>
      <c r="C33" s="213">
        <v>2018</v>
      </c>
      <c r="D33" s="86" t="s">
        <v>371</v>
      </c>
      <c r="E33" s="213" t="s">
        <v>185</v>
      </c>
      <c r="F33" s="213" t="s">
        <v>383</v>
      </c>
      <c r="G33" s="55" t="s">
        <v>42</v>
      </c>
      <c r="H33" s="213" t="s">
        <v>155</v>
      </c>
      <c r="I33" s="55" t="s">
        <v>156</v>
      </c>
      <c r="J33" s="213" t="s">
        <v>38</v>
      </c>
      <c r="K33" s="213" t="s">
        <v>154</v>
      </c>
      <c r="L33" s="205">
        <v>2</v>
      </c>
      <c r="N33" s="205">
        <v>4</v>
      </c>
      <c r="O33" s="205">
        <v>1.1000000000000001</v>
      </c>
      <c r="P33" s="205">
        <v>0.95</v>
      </c>
      <c r="Q33" s="214">
        <f t="shared" si="0"/>
        <v>1.0249999999999999</v>
      </c>
      <c r="R33" s="205">
        <v>12.5</v>
      </c>
      <c r="S33" s="205">
        <v>100</v>
      </c>
      <c r="T33" s="214">
        <f t="shared" si="1"/>
        <v>33</v>
      </c>
      <c r="U33" s="205">
        <v>539</v>
      </c>
      <c r="V33" s="214">
        <f t="shared" si="2"/>
        <v>4446.75</v>
      </c>
      <c r="W33" s="205">
        <v>6</v>
      </c>
      <c r="X33" s="55" t="s">
        <v>39</v>
      </c>
      <c r="Y33" s="55" t="s">
        <v>84</v>
      </c>
      <c r="Z33" s="213" t="s">
        <v>90</v>
      </c>
      <c r="AA33" s="55" t="s">
        <v>55</v>
      </c>
      <c r="AB33" s="213" t="s">
        <v>334</v>
      </c>
    </row>
    <row r="34" spans="1:28" x14ac:dyDescent="0.15">
      <c r="A34" s="55" t="s">
        <v>56</v>
      </c>
      <c r="B34" s="55" t="s">
        <v>370</v>
      </c>
      <c r="C34" s="213">
        <v>2018</v>
      </c>
      <c r="D34" s="86" t="s">
        <v>371</v>
      </c>
      <c r="E34" s="213" t="s">
        <v>185</v>
      </c>
      <c r="F34" s="213" t="s">
        <v>383</v>
      </c>
      <c r="G34" s="55" t="s">
        <v>42</v>
      </c>
      <c r="H34" s="213" t="s">
        <v>155</v>
      </c>
      <c r="I34" s="55" t="s">
        <v>156</v>
      </c>
      <c r="J34" s="213" t="s">
        <v>38</v>
      </c>
      <c r="K34" s="213" t="s">
        <v>154</v>
      </c>
      <c r="L34" s="205">
        <v>3</v>
      </c>
      <c r="N34" s="205">
        <v>4</v>
      </c>
      <c r="O34" s="205">
        <v>0.8</v>
      </c>
      <c r="P34" s="205">
        <v>0.9</v>
      </c>
      <c r="Q34" s="214">
        <f t="shared" si="0"/>
        <v>0.85000000000000009</v>
      </c>
      <c r="R34" s="205">
        <v>12.1</v>
      </c>
      <c r="S34" s="205">
        <v>98</v>
      </c>
      <c r="T34" s="214">
        <f t="shared" si="1"/>
        <v>36</v>
      </c>
      <c r="U34" s="205">
        <v>539</v>
      </c>
      <c r="V34" s="214">
        <f t="shared" si="2"/>
        <v>4851</v>
      </c>
      <c r="W34" s="205">
        <v>6</v>
      </c>
      <c r="X34" s="55" t="s">
        <v>39</v>
      </c>
      <c r="Y34" s="55" t="s">
        <v>84</v>
      </c>
      <c r="Z34" s="213" t="s">
        <v>90</v>
      </c>
      <c r="AA34" s="55" t="s">
        <v>55</v>
      </c>
      <c r="AB34" s="213" t="s">
        <v>334</v>
      </c>
    </row>
    <row r="35" spans="1:28" x14ac:dyDescent="0.15">
      <c r="A35" s="55" t="s">
        <v>56</v>
      </c>
      <c r="B35" s="55" t="s">
        <v>370</v>
      </c>
      <c r="C35" s="213">
        <v>2018</v>
      </c>
      <c r="D35" s="86" t="s">
        <v>371</v>
      </c>
      <c r="E35" s="213" t="s">
        <v>311</v>
      </c>
      <c r="F35" s="213" t="s">
        <v>383</v>
      </c>
      <c r="G35" s="55" t="s">
        <v>42</v>
      </c>
      <c r="H35" s="213" t="s">
        <v>155</v>
      </c>
      <c r="I35" s="55" t="s">
        <v>153</v>
      </c>
      <c r="J35" s="213" t="s">
        <v>38</v>
      </c>
      <c r="K35" s="213" t="s">
        <v>154</v>
      </c>
      <c r="L35" s="205">
        <v>1</v>
      </c>
      <c r="N35" s="205">
        <v>5</v>
      </c>
      <c r="O35" s="205">
        <v>0.85</v>
      </c>
      <c r="P35" s="205">
        <v>0.85</v>
      </c>
      <c r="Q35" s="214">
        <f t="shared" si="0"/>
        <v>0.85</v>
      </c>
      <c r="R35" s="205">
        <v>13.1</v>
      </c>
      <c r="S35" s="205">
        <v>78</v>
      </c>
      <c r="T35" s="214">
        <f t="shared" si="1"/>
        <v>39</v>
      </c>
      <c r="U35" s="205">
        <v>321</v>
      </c>
      <c r="V35" s="214">
        <f t="shared" si="2"/>
        <v>2503.8000000000002</v>
      </c>
      <c r="W35" s="205">
        <v>2</v>
      </c>
      <c r="X35" s="55" t="s">
        <v>46</v>
      </c>
      <c r="Y35" s="55" t="s">
        <v>84</v>
      </c>
      <c r="Z35" s="205" t="s">
        <v>90</v>
      </c>
      <c r="AA35" s="55" t="s">
        <v>78</v>
      </c>
      <c r="AB35" s="213" t="s">
        <v>334</v>
      </c>
    </row>
    <row r="36" spans="1:28" x14ac:dyDescent="0.15">
      <c r="A36" s="55" t="s">
        <v>56</v>
      </c>
      <c r="B36" s="55" t="s">
        <v>370</v>
      </c>
      <c r="C36" s="213">
        <v>2018</v>
      </c>
      <c r="D36" s="86" t="s">
        <v>371</v>
      </c>
      <c r="E36" s="213" t="s">
        <v>311</v>
      </c>
      <c r="F36" s="213" t="s">
        <v>383</v>
      </c>
      <c r="G36" s="55" t="s">
        <v>42</v>
      </c>
      <c r="H36" s="213" t="s">
        <v>155</v>
      </c>
      <c r="I36" s="55" t="s">
        <v>153</v>
      </c>
      <c r="J36" s="213" t="s">
        <v>38</v>
      </c>
      <c r="K36" s="213" t="s">
        <v>154</v>
      </c>
      <c r="L36" s="205">
        <v>2</v>
      </c>
      <c r="N36" s="205">
        <v>5</v>
      </c>
      <c r="O36" s="205">
        <v>0.6</v>
      </c>
      <c r="P36" s="205">
        <v>0.65</v>
      </c>
      <c r="Q36" s="214">
        <f t="shared" si="0"/>
        <v>0.625</v>
      </c>
      <c r="R36" s="205">
        <v>13.1</v>
      </c>
      <c r="S36" s="205">
        <v>87</v>
      </c>
      <c r="T36" s="214">
        <f t="shared" si="1"/>
        <v>36</v>
      </c>
      <c r="U36" s="205">
        <v>321</v>
      </c>
      <c r="V36" s="214">
        <f t="shared" si="2"/>
        <v>2311.2000000000003</v>
      </c>
      <c r="W36" s="205">
        <v>2</v>
      </c>
      <c r="X36" s="55" t="s">
        <v>46</v>
      </c>
      <c r="Y36" s="55" t="s">
        <v>84</v>
      </c>
      <c r="Z36" s="205" t="s">
        <v>90</v>
      </c>
      <c r="AA36" s="55" t="s">
        <v>78</v>
      </c>
      <c r="AB36" s="213" t="s">
        <v>334</v>
      </c>
    </row>
    <row r="37" spans="1:28" x14ac:dyDescent="0.15">
      <c r="A37" s="55" t="s">
        <v>56</v>
      </c>
      <c r="B37" s="55" t="s">
        <v>370</v>
      </c>
      <c r="C37" s="213">
        <v>2018</v>
      </c>
      <c r="D37" s="86" t="s">
        <v>371</v>
      </c>
      <c r="E37" s="213" t="s">
        <v>311</v>
      </c>
      <c r="F37" s="213" t="s">
        <v>383</v>
      </c>
      <c r="G37" s="55" t="s">
        <v>42</v>
      </c>
      <c r="H37" s="213" t="s">
        <v>155</v>
      </c>
      <c r="I37" s="55" t="s">
        <v>153</v>
      </c>
      <c r="J37" s="213" t="s">
        <v>38</v>
      </c>
      <c r="K37" s="213" t="s">
        <v>154</v>
      </c>
      <c r="L37" s="205">
        <v>3</v>
      </c>
      <c r="N37" s="205">
        <v>5</v>
      </c>
      <c r="O37" s="205">
        <v>0.65</v>
      </c>
      <c r="P37" s="205">
        <v>0.65</v>
      </c>
      <c r="Q37" s="214">
        <f t="shared" si="0"/>
        <v>0.65</v>
      </c>
      <c r="R37" s="205">
        <v>14.2</v>
      </c>
      <c r="S37" s="205">
        <v>85</v>
      </c>
      <c r="T37" s="214">
        <f t="shared" si="1"/>
        <v>36</v>
      </c>
      <c r="U37" s="205">
        <v>321</v>
      </c>
      <c r="V37" s="214">
        <f t="shared" si="2"/>
        <v>2311.2000000000003</v>
      </c>
      <c r="W37" s="205">
        <v>2</v>
      </c>
      <c r="X37" s="55" t="s">
        <v>46</v>
      </c>
      <c r="Y37" s="55" t="s">
        <v>84</v>
      </c>
      <c r="Z37" s="205" t="s">
        <v>90</v>
      </c>
      <c r="AA37" s="55" t="s">
        <v>78</v>
      </c>
      <c r="AB37" s="213" t="s">
        <v>334</v>
      </c>
    </row>
    <row r="38" spans="1:28" x14ac:dyDescent="0.15">
      <c r="A38" s="55" t="s">
        <v>56</v>
      </c>
      <c r="B38" s="55" t="s">
        <v>370</v>
      </c>
      <c r="C38" s="213">
        <v>2018</v>
      </c>
      <c r="D38" s="86" t="s">
        <v>371</v>
      </c>
      <c r="E38" s="213" t="s">
        <v>311</v>
      </c>
      <c r="F38" s="213" t="s">
        <v>383</v>
      </c>
      <c r="G38" s="55" t="s">
        <v>42</v>
      </c>
      <c r="H38" s="213" t="s">
        <v>166</v>
      </c>
      <c r="I38" s="55" t="s">
        <v>153</v>
      </c>
      <c r="J38" s="213" t="s">
        <v>38</v>
      </c>
      <c r="K38" s="213" t="s">
        <v>154</v>
      </c>
      <c r="L38" s="205">
        <v>1</v>
      </c>
      <c r="N38" s="205">
        <v>1</v>
      </c>
      <c r="O38" s="205">
        <v>0.6</v>
      </c>
      <c r="P38" s="205">
        <v>0.6</v>
      </c>
      <c r="Q38" s="214">
        <f t="shared" si="0"/>
        <v>0.6</v>
      </c>
      <c r="R38" s="205">
        <v>14.4</v>
      </c>
      <c r="S38" s="205">
        <v>126</v>
      </c>
      <c r="T38" s="214">
        <f t="shared" si="1"/>
        <v>27</v>
      </c>
      <c r="U38" s="205">
        <v>149</v>
      </c>
      <c r="V38" s="214">
        <f t="shared" si="2"/>
        <v>4023</v>
      </c>
      <c r="W38" s="205">
        <v>4</v>
      </c>
      <c r="X38" s="55" t="s">
        <v>46</v>
      </c>
      <c r="Y38" s="55" t="s">
        <v>84</v>
      </c>
      <c r="Z38" s="205" t="s">
        <v>90</v>
      </c>
      <c r="AA38" s="55" t="s">
        <v>78</v>
      </c>
      <c r="AB38" s="213" t="s">
        <v>334</v>
      </c>
    </row>
    <row r="39" spans="1:28" x14ac:dyDescent="0.15">
      <c r="A39" s="55" t="s">
        <v>56</v>
      </c>
      <c r="B39" s="55" t="s">
        <v>370</v>
      </c>
      <c r="C39" s="213">
        <v>2018</v>
      </c>
      <c r="D39" s="86" t="s">
        <v>371</v>
      </c>
      <c r="E39" s="213" t="s">
        <v>311</v>
      </c>
      <c r="F39" s="213" t="s">
        <v>383</v>
      </c>
      <c r="G39" s="55" t="s">
        <v>42</v>
      </c>
      <c r="H39" s="213" t="s">
        <v>166</v>
      </c>
      <c r="I39" s="55" t="s">
        <v>153</v>
      </c>
      <c r="J39" s="213" t="s">
        <v>38</v>
      </c>
      <c r="K39" s="213" t="s">
        <v>154</v>
      </c>
      <c r="L39" s="205">
        <v>2</v>
      </c>
      <c r="N39" s="205">
        <v>1</v>
      </c>
      <c r="O39" s="205">
        <v>0.7</v>
      </c>
      <c r="P39" s="205">
        <v>0.75</v>
      </c>
      <c r="Q39" s="214">
        <f t="shared" si="0"/>
        <v>0.72499999999999998</v>
      </c>
      <c r="R39" s="205">
        <v>14.9</v>
      </c>
      <c r="S39" s="205">
        <v>131</v>
      </c>
      <c r="T39" s="214">
        <f t="shared" si="1"/>
        <v>25</v>
      </c>
      <c r="U39" s="205">
        <v>149</v>
      </c>
      <c r="V39" s="214">
        <f t="shared" si="2"/>
        <v>3725</v>
      </c>
      <c r="W39" s="205">
        <v>4</v>
      </c>
      <c r="X39" s="55" t="s">
        <v>46</v>
      </c>
      <c r="Y39" s="55" t="s">
        <v>84</v>
      </c>
      <c r="Z39" s="205" t="s">
        <v>90</v>
      </c>
      <c r="AA39" s="55" t="s">
        <v>78</v>
      </c>
      <c r="AB39" s="213" t="s">
        <v>334</v>
      </c>
    </row>
    <row r="40" spans="1:28" x14ac:dyDescent="0.15">
      <c r="A40" s="55" t="s">
        <v>56</v>
      </c>
      <c r="B40" s="55" t="s">
        <v>370</v>
      </c>
      <c r="C40" s="213">
        <v>2018</v>
      </c>
      <c r="D40" s="86" t="s">
        <v>371</v>
      </c>
      <c r="E40" s="213" t="s">
        <v>311</v>
      </c>
      <c r="F40" s="213" t="s">
        <v>383</v>
      </c>
      <c r="G40" s="55" t="s">
        <v>42</v>
      </c>
      <c r="H40" s="213" t="s">
        <v>166</v>
      </c>
      <c r="I40" s="55" t="s">
        <v>153</v>
      </c>
      <c r="J40" s="213" t="s">
        <v>38</v>
      </c>
      <c r="K40" s="213" t="s">
        <v>154</v>
      </c>
      <c r="L40" s="205">
        <v>3</v>
      </c>
      <c r="N40" s="205">
        <v>1</v>
      </c>
      <c r="O40" s="205">
        <v>0.7</v>
      </c>
      <c r="P40" s="205">
        <v>0.7</v>
      </c>
      <c r="Q40" s="214">
        <f t="shared" si="0"/>
        <v>0.7</v>
      </c>
      <c r="R40" s="205">
        <v>11.5</v>
      </c>
      <c r="S40" s="205">
        <v>126</v>
      </c>
      <c r="T40" s="214">
        <f t="shared" si="1"/>
        <v>27</v>
      </c>
      <c r="U40" s="205">
        <v>149</v>
      </c>
      <c r="V40" s="214">
        <f t="shared" si="2"/>
        <v>4023</v>
      </c>
      <c r="W40" s="205">
        <v>4</v>
      </c>
      <c r="X40" s="55" t="s">
        <v>46</v>
      </c>
      <c r="Y40" s="55" t="s">
        <v>84</v>
      </c>
      <c r="Z40" s="205" t="s">
        <v>90</v>
      </c>
      <c r="AA40" s="55" t="s">
        <v>78</v>
      </c>
      <c r="AB40" s="213" t="s">
        <v>334</v>
      </c>
    </row>
    <row r="41" spans="1:28" x14ac:dyDescent="0.15">
      <c r="A41" s="55" t="s">
        <v>56</v>
      </c>
      <c r="B41" s="55" t="s">
        <v>370</v>
      </c>
      <c r="C41" s="213">
        <v>2018</v>
      </c>
      <c r="D41" s="86" t="s">
        <v>371</v>
      </c>
      <c r="E41" s="213" t="s">
        <v>359</v>
      </c>
      <c r="F41" s="213" t="s">
        <v>383</v>
      </c>
      <c r="G41" s="55" t="s">
        <v>42</v>
      </c>
      <c r="H41" s="213" t="s">
        <v>155</v>
      </c>
      <c r="I41" s="55" t="s">
        <v>153</v>
      </c>
      <c r="J41" s="213" t="s">
        <v>38</v>
      </c>
      <c r="K41" s="213" t="s">
        <v>154</v>
      </c>
      <c r="L41" s="205">
        <v>1</v>
      </c>
      <c r="N41" s="205">
        <v>1</v>
      </c>
      <c r="O41" s="205">
        <v>0.95</v>
      </c>
      <c r="P41" s="205">
        <v>0.95</v>
      </c>
      <c r="Q41" s="214">
        <f t="shared" si="0"/>
        <v>0.95</v>
      </c>
      <c r="R41" s="205">
        <v>10.5</v>
      </c>
      <c r="S41" s="205">
        <v>145</v>
      </c>
      <c r="T41" s="214">
        <f t="shared" si="1"/>
        <v>22</v>
      </c>
      <c r="U41" s="205">
        <v>84</v>
      </c>
      <c r="V41" s="214">
        <f t="shared" si="2"/>
        <v>1848</v>
      </c>
      <c r="W41" s="205">
        <v>2</v>
      </c>
      <c r="X41" s="55" t="s">
        <v>46</v>
      </c>
      <c r="Y41" s="55" t="s">
        <v>84</v>
      </c>
      <c r="Z41" s="205" t="s">
        <v>90</v>
      </c>
      <c r="AA41" s="55" t="s">
        <v>102</v>
      </c>
      <c r="AB41" s="213" t="s">
        <v>334</v>
      </c>
    </row>
    <row r="42" spans="1:28" x14ac:dyDescent="0.15">
      <c r="A42" s="55" t="s">
        <v>56</v>
      </c>
      <c r="B42" s="55" t="s">
        <v>370</v>
      </c>
      <c r="C42" s="213">
        <v>2018</v>
      </c>
      <c r="D42" s="86" t="s">
        <v>371</v>
      </c>
      <c r="E42" s="213" t="s">
        <v>359</v>
      </c>
      <c r="F42" s="213" t="s">
        <v>383</v>
      </c>
      <c r="G42" s="55" t="s">
        <v>42</v>
      </c>
      <c r="H42" s="213" t="s">
        <v>155</v>
      </c>
      <c r="I42" s="55" t="s">
        <v>153</v>
      </c>
      <c r="J42" s="213" t="s">
        <v>38</v>
      </c>
      <c r="K42" s="213" t="s">
        <v>154</v>
      </c>
      <c r="L42" s="205">
        <v>2</v>
      </c>
      <c r="N42" s="205">
        <v>1</v>
      </c>
      <c r="O42" s="205">
        <v>0.75</v>
      </c>
      <c r="P42" s="205">
        <v>0.85</v>
      </c>
      <c r="Q42" s="214">
        <f t="shared" si="0"/>
        <v>0.8</v>
      </c>
      <c r="R42" s="205">
        <v>12.3</v>
      </c>
      <c r="S42" s="205">
        <v>135</v>
      </c>
      <c r="T42" s="214">
        <f t="shared" si="1"/>
        <v>25</v>
      </c>
      <c r="U42" s="205">
        <v>84</v>
      </c>
      <c r="V42" s="214">
        <f t="shared" si="2"/>
        <v>2100</v>
      </c>
      <c r="W42" s="205">
        <v>2</v>
      </c>
      <c r="X42" s="55" t="s">
        <v>46</v>
      </c>
      <c r="Y42" s="55" t="s">
        <v>84</v>
      </c>
      <c r="Z42" s="205" t="s">
        <v>90</v>
      </c>
      <c r="AA42" s="55" t="s">
        <v>102</v>
      </c>
      <c r="AB42" s="213" t="s">
        <v>334</v>
      </c>
    </row>
    <row r="43" spans="1:28" x14ac:dyDescent="0.15">
      <c r="A43" s="55" t="s">
        <v>56</v>
      </c>
      <c r="B43" s="55" t="s">
        <v>370</v>
      </c>
      <c r="C43" s="213">
        <v>2018</v>
      </c>
      <c r="D43" s="86" t="s">
        <v>371</v>
      </c>
      <c r="E43" s="213" t="s">
        <v>359</v>
      </c>
      <c r="F43" s="213" t="s">
        <v>383</v>
      </c>
      <c r="G43" s="55" t="s">
        <v>42</v>
      </c>
      <c r="H43" s="213" t="s">
        <v>155</v>
      </c>
      <c r="I43" s="55" t="s">
        <v>153</v>
      </c>
      <c r="J43" s="213" t="s">
        <v>38</v>
      </c>
      <c r="K43" s="213" t="s">
        <v>154</v>
      </c>
      <c r="L43" s="205">
        <v>3</v>
      </c>
      <c r="N43" s="205">
        <v>1</v>
      </c>
      <c r="O43" s="205">
        <v>0.7</v>
      </c>
      <c r="P43" s="205">
        <v>0.7</v>
      </c>
      <c r="Q43" s="214">
        <f t="shared" si="0"/>
        <v>0.7</v>
      </c>
      <c r="R43" s="205">
        <v>11.8</v>
      </c>
      <c r="S43" s="205">
        <v>140</v>
      </c>
      <c r="T43" s="214">
        <f t="shared" si="1"/>
        <v>22</v>
      </c>
      <c r="U43" s="205">
        <v>84</v>
      </c>
      <c r="V43" s="214">
        <f t="shared" si="2"/>
        <v>1848</v>
      </c>
      <c r="W43" s="205">
        <v>2</v>
      </c>
      <c r="X43" s="55" t="s">
        <v>46</v>
      </c>
      <c r="Y43" s="55" t="s">
        <v>84</v>
      </c>
      <c r="Z43" s="205" t="s">
        <v>90</v>
      </c>
      <c r="AA43" s="55" t="s">
        <v>102</v>
      </c>
      <c r="AB43" s="213" t="s">
        <v>334</v>
      </c>
    </row>
    <row r="44" spans="1:28" x14ac:dyDescent="0.15">
      <c r="A44" s="55" t="s">
        <v>56</v>
      </c>
      <c r="B44" s="55" t="s">
        <v>370</v>
      </c>
      <c r="C44" s="213">
        <v>2018</v>
      </c>
      <c r="D44" s="86" t="s">
        <v>371</v>
      </c>
      <c r="E44" s="213" t="s">
        <v>359</v>
      </c>
      <c r="F44" s="213" t="s">
        <v>383</v>
      </c>
      <c r="G44" s="55" t="s">
        <v>42</v>
      </c>
      <c r="H44" s="213" t="s">
        <v>155</v>
      </c>
      <c r="I44" s="55" t="s">
        <v>156</v>
      </c>
      <c r="J44" s="213" t="s">
        <v>38</v>
      </c>
      <c r="K44" s="213" t="s">
        <v>154</v>
      </c>
      <c r="L44" s="205">
        <v>1</v>
      </c>
      <c r="N44" s="205">
        <v>4</v>
      </c>
      <c r="O44" s="205">
        <v>0.6</v>
      </c>
      <c r="P44" s="205">
        <v>0.6</v>
      </c>
      <c r="Q44" s="214">
        <f t="shared" si="0"/>
        <v>0.6</v>
      </c>
      <c r="R44" s="205">
        <v>12.1</v>
      </c>
      <c r="S44" s="205">
        <v>94</v>
      </c>
      <c r="T44" s="214">
        <f t="shared" si="1"/>
        <v>36</v>
      </c>
      <c r="U44" s="205">
        <v>430</v>
      </c>
      <c r="V44" s="214">
        <f t="shared" si="2"/>
        <v>3870</v>
      </c>
      <c r="W44" s="205">
        <v>1</v>
      </c>
      <c r="X44" s="55" t="s">
        <v>46</v>
      </c>
      <c r="Y44" s="55" t="s">
        <v>84</v>
      </c>
      <c r="Z44" s="205" t="s">
        <v>90</v>
      </c>
      <c r="AA44" s="55" t="s">
        <v>102</v>
      </c>
      <c r="AB44" s="213" t="s">
        <v>334</v>
      </c>
    </row>
    <row r="45" spans="1:28" x14ac:dyDescent="0.15">
      <c r="A45" s="55" t="s">
        <v>56</v>
      </c>
      <c r="B45" s="55" t="s">
        <v>370</v>
      </c>
      <c r="C45" s="213">
        <v>2018</v>
      </c>
      <c r="D45" s="86" t="s">
        <v>371</v>
      </c>
      <c r="E45" s="213" t="s">
        <v>359</v>
      </c>
      <c r="F45" s="213" t="s">
        <v>383</v>
      </c>
      <c r="G45" s="55" t="s">
        <v>42</v>
      </c>
      <c r="H45" s="213" t="s">
        <v>155</v>
      </c>
      <c r="I45" s="55" t="s">
        <v>156</v>
      </c>
      <c r="J45" s="213" t="s">
        <v>38</v>
      </c>
      <c r="K45" s="213" t="s">
        <v>154</v>
      </c>
      <c r="L45" s="205">
        <v>2</v>
      </c>
      <c r="N45" s="205">
        <v>4</v>
      </c>
      <c r="O45" s="205">
        <v>0.55000000000000004</v>
      </c>
      <c r="P45" s="205">
        <v>0.5</v>
      </c>
      <c r="Q45" s="214">
        <f t="shared" si="0"/>
        <v>0.52500000000000002</v>
      </c>
      <c r="R45" s="205">
        <v>12.1</v>
      </c>
      <c r="S45" s="205">
        <v>95</v>
      </c>
      <c r="T45" s="214">
        <f t="shared" si="1"/>
        <v>36</v>
      </c>
      <c r="U45" s="205">
        <v>430</v>
      </c>
      <c r="V45" s="214">
        <f t="shared" si="2"/>
        <v>3870</v>
      </c>
      <c r="W45" s="205">
        <v>1</v>
      </c>
      <c r="X45" s="55" t="s">
        <v>46</v>
      </c>
      <c r="Y45" s="55" t="s">
        <v>84</v>
      </c>
      <c r="Z45" s="205" t="s">
        <v>90</v>
      </c>
      <c r="AA45" s="55" t="s">
        <v>102</v>
      </c>
      <c r="AB45" s="213" t="s">
        <v>334</v>
      </c>
    </row>
    <row r="46" spans="1:28" x14ac:dyDescent="0.15">
      <c r="A46" s="55" t="s">
        <v>56</v>
      </c>
      <c r="B46" s="55" t="s">
        <v>370</v>
      </c>
      <c r="C46" s="213">
        <v>2018</v>
      </c>
      <c r="D46" s="86" t="s">
        <v>371</v>
      </c>
      <c r="E46" s="213" t="s">
        <v>359</v>
      </c>
      <c r="F46" s="213" t="s">
        <v>383</v>
      </c>
      <c r="G46" s="55" t="s">
        <v>42</v>
      </c>
      <c r="H46" s="213" t="s">
        <v>155</v>
      </c>
      <c r="I46" s="55" t="s">
        <v>156</v>
      </c>
      <c r="J46" s="213" t="s">
        <v>38</v>
      </c>
      <c r="K46" s="213" t="s">
        <v>154</v>
      </c>
      <c r="L46" s="205">
        <v>3</v>
      </c>
      <c r="N46" s="205">
        <v>4</v>
      </c>
      <c r="O46" s="205">
        <v>0.7</v>
      </c>
      <c r="P46" s="205">
        <v>0.7</v>
      </c>
      <c r="Q46" s="214">
        <f t="shared" si="0"/>
        <v>0.7</v>
      </c>
      <c r="R46" s="205">
        <v>11.4</v>
      </c>
      <c r="S46" s="205">
        <v>100</v>
      </c>
      <c r="T46" s="214">
        <f t="shared" si="1"/>
        <v>33</v>
      </c>
      <c r="U46" s="205">
        <v>430</v>
      </c>
      <c r="V46" s="214">
        <f t="shared" si="2"/>
        <v>3547.5</v>
      </c>
      <c r="W46" s="205">
        <v>1</v>
      </c>
      <c r="X46" s="55" t="s">
        <v>46</v>
      </c>
      <c r="Y46" s="55" t="s">
        <v>84</v>
      </c>
      <c r="Z46" s="205" t="s">
        <v>90</v>
      </c>
      <c r="AA46" s="55" t="s">
        <v>102</v>
      </c>
      <c r="AB46" s="213" t="s">
        <v>334</v>
      </c>
    </row>
    <row r="47" spans="1:28" x14ac:dyDescent="0.15">
      <c r="A47" s="55" t="s">
        <v>56</v>
      </c>
      <c r="B47" s="55" t="s">
        <v>370</v>
      </c>
      <c r="C47" s="213">
        <v>2018</v>
      </c>
      <c r="D47" s="86" t="s">
        <v>371</v>
      </c>
      <c r="E47" s="213" t="s">
        <v>359</v>
      </c>
      <c r="F47" s="213" t="s">
        <v>383</v>
      </c>
      <c r="G47" s="55" t="s">
        <v>42</v>
      </c>
      <c r="H47" s="213" t="s">
        <v>166</v>
      </c>
      <c r="I47" s="55" t="s">
        <v>153</v>
      </c>
      <c r="J47" s="213" t="s">
        <v>38</v>
      </c>
      <c r="K47" s="213" t="s">
        <v>154</v>
      </c>
      <c r="L47" s="205">
        <v>1</v>
      </c>
      <c r="N47" s="205">
        <v>1</v>
      </c>
      <c r="O47" s="205">
        <v>0.75</v>
      </c>
      <c r="P47" s="205">
        <v>0.75</v>
      </c>
      <c r="Q47" s="214">
        <f t="shared" si="0"/>
        <v>0.75</v>
      </c>
      <c r="R47" s="205">
        <v>14</v>
      </c>
      <c r="S47" s="205">
        <v>138</v>
      </c>
      <c r="T47" s="214">
        <f t="shared" si="1"/>
        <v>22</v>
      </c>
      <c r="U47" s="205">
        <v>108</v>
      </c>
      <c r="V47" s="214">
        <f t="shared" si="2"/>
        <v>2376</v>
      </c>
      <c r="W47" s="205">
        <v>2</v>
      </c>
      <c r="X47" s="55" t="s">
        <v>46</v>
      </c>
      <c r="Y47" s="55" t="s">
        <v>84</v>
      </c>
      <c r="Z47" s="205" t="s">
        <v>90</v>
      </c>
      <c r="AA47" s="55" t="s">
        <v>102</v>
      </c>
      <c r="AB47" s="213" t="s">
        <v>334</v>
      </c>
    </row>
    <row r="48" spans="1:28" x14ac:dyDescent="0.15">
      <c r="A48" s="55" t="s">
        <v>56</v>
      </c>
      <c r="B48" s="55" t="s">
        <v>370</v>
      </c>
      <c r="C48" s="213">
        <v>2018</v>
      </c>
      <c r="D48" s="86" t="s">
        <v>371</v>
      </c>
      <c r="E48" s="213" t="s">
        <v>359</v>
      </c>
      <c r="F48" s="213" t="s">
        <v>383</v>
      </c>
      <c r="G48" s="55" t="s">
        <v>42</v>
      </c>
      <c r="H48" s="213" t="s">
        <v>166</v>
      </c>
      <c r="I48" s="55" t="s">
        <v>153</v>
      </c>
      <c r="J48" s="213" t="s">
        <v>38</v>
      </c>
      <c r="K48" s="213" t="s">
        <v>154</v>
      </c>
      <c r="L48" s="205">
        <v>2</v>
      </c>
      <c r="N48" s="205">
        <v>1</v>
      </c>
      <c r="O48" s="205">
        <v>0.7</v>
      </c>
      <c r="P48" s="205">
        <v>0.75</v>
      </c>
      <c r="Q48" s="214">
        <f t="shared" si="0"/>
        <v>0.72499999999999998</v>
      </c>
      <c r="R48" s="205">
        <v>14.3</v>
      </c>
      <c r="S48" s="205">
        <v>143</v>
      </c>
      <c r="T48" s="214">
        <f t="shared" si="1"/>
        <v>22</v>
      </c>
      <c r="U48" s="205">
        <v>108</v>
      </c>
      <c r="V48" s="214">
        <f t="shared" si="2"/>
        <v>2376</v>
      </c>
      <c r="W48" s="205">
        <v>2</v>
      </c>
      <c r="X48" s="55" t="s">
        <v>46</v>
      </c>
      <c r="Y48" s="55" t="s">
        <v>84</v>
      </c>
      <c r="Z48" s="205" t="s">
        <v>90</v>
      </c>
      <c r="AA48" s="55" t="s">
        <v>102</v>
      </c>
      <c r="AB48" s="213" t="s">
        <v>334</v>
      </c>
    </row>
    <row r="49" spans="1:28" x14ac:dyDescent="0.15">
      <c r="A49" s="55" t="s">
        <v>56</v>
      </c>
      <c r="B49" s="55" t="s">
        <v>370</v>
      </c>
      <c r="C49" s="213">
        <v>2018</v>
      </c>
      <c r="D49" s="86" t="s">
        <v>371</v>
      </c>
      <c r="E49" s="213" t="s">
        <v>359</v>
      </c>
      <c r="F49" s="213" t="s">
        <v>383</v>
      </c>
      <c r="G49" s="55" t="s">
        <v>42</v>
      </c>
      <c r="H49" s="213" t="s">
        <v>166</v>
      </c>
      <c r="I49" s="55" t="s">
        <v>153</v>
      </c>
      <c r="J49" s="213" t="s">
        <v>38</v>
      </c>
      <c r="K49" s="213" t="s">
        <v>154</v>
      </c>
      <c r="L49" s="205">
        <v>3</v>
      </c>
      <c r="N49" s="205">
        <v>1</v>
      </c>
      <c r="O49" s="205">
        <v>0.75</v>
      </c>
      <c r="P49" s="205">
        <v>0.7</v>
      </c>
      <c r="Q49" s="214">
        <f t="shared" si="0"/>
        <v>0.72499999999999998</v>
      </c>
      <c r="R49" s="205">
        <v>14.8</v>
      </c>
      <c r="S49" s="205">
        <v>143</v>
      </c>
      <c r="T49" s="214">
        <f t="shared" si="1"/>
        <v>22</v>
      </c>
      <c r="U49" s="205">
        <v>108</v>
      </c>
      <c r="V49" s="214">
        <f t="shared" si="2"/>
        <v>2376</v>
      </c>
      <c r="W49" s="205">
        <v>2</v>
      </c>
      <c r="X49" s="55" t="s">
        <v>46</v>
      </c>
      <c r="Y49" s="55" t="s">
        <v>84</v>
      </c>
      <c r="Z49" s="205" t="s">
        <v>90</v>
      </c>
      <c r="AA49" s="55" t="s">
        <v>102</v>
      </c>
      <c r="AB49" s="213" t="s">
        <v>334</v>
      </c>
    </row>
    <row r="50" spans="1:28" x14ac:dyDescent="0.15">
      <c r="A50" s="55" t="s">
        <v>56</v>
      </c>
      <c r="B50" s="55" t="s">
        <v>370</v>
      </c>
      <c r="C50" s="213">
        <v>2018</v>
      </c>
      <c r="D50" s="86" t="s">
        <v>371</v>
      </c>
      <c r="E50" s="213" t="s">
        <v>388</v>
      </c>
      <c r="F50" s="213" t="s">
        <v>383</v>
      </c>
      <c r="G50" s="55" t="s">
        <v>42</v>
      </c>
      <c r="H50" s="213" t="s">
        <v>155</v>
      </c>
      <c r="I50" s="55" t="s">
        <v>153</v>
      </c>
      <c r="J50" s="213" t="s">
        <v>38</v>
      </c>
      <c r="K50" s="213" t="s">
        <v>154</v>
      </c>
      <c r="L50" s="205">
        <v>1</v>
      </c>
      <c r="N50" s="205">
        <v>5</v>
      </c>
      <c r="O50" s="205">
        <v>0.8</v>
      </c>
      <c r="P50" s="205">
        <v>0.8</v>
      </c>
      <c r="Q50" s="214">
        <f t="shared" si="0"/>
        <v>0.8</v>
      </c>
      <c r="R50" s="205">
        <v>11.1</v>
      </c>
      <c r="S50" s="205">
        <v>91</v>
      </c>
      <c r="T50" s="214">
        <f t="shared" si="1"/>
        <v>36</v>
      </c>
      <c r="U50" s="205">
        <v>430</v>
      </c>
      <c r="V50" s="214">
        <f t="shared" si="2"/>
        <v>3096</v>
      </c>
      <c r="W50" s="205">
        <v>6</v>
      </c>
      <c r="X50" s="55" t="s">
        <v>46</v>
      </c>
      <c r="Y50" s="55" t="s">
        <v>84</v>
      </c>
      <c r="Z50" s="205" t="s">
        <v>90</v>
      </c>
      <c r="AA50" s="55" t="s">
        <v>78</v>
      </c>
      <c r="AB50" s="213" t="s">
        <v>334</v>
      </c>
    </row>
    <row r="51" spans="1:28" x14ac:dyDescent="0.15">
      <c r="A51" s="55" t="s">
        <v>56</v>
      </c>
      <c r="B51" s="55" t="s">
        <v>370</v>
      </c>
      <c r="C51" s="213">
        <v>2018</v>
      </c>
      <c r="D51" s="86" t="s">
        <v>371</v>
      </c>
      <c r="E51" s="213" t="s">
        <v>388</v>
      </c>
      <c r="F51" s="213" t="s">
        <v>383</v>
      </c>
      <c r="G51" s="55" t="s">
        <v>42</v>
      </c>
      <c r="H51" s="213" t="s">
        <v>155</v>
      </c>
      <c r="I51" s="55" t="s">
        <v>153</v>
      </c>
      <c r="J51" s="213" t="s">
        <v>38</v>
      </c>
      <c r="K51" s="213" t="s">
        <v>154</v>
      </c>
      <c r="L51" s="205">
        <v>2</v>
      </c>
      <c r="N51" s="205">
        <v>5</v>
      </c>
      <c r="O51" s="205">
        <v>0.8</v>
      </c>
      <c r="P51" s="205">
        <v>0.6</v>
      </c>
      <c r="Q51" s="214">
        <f t="shared" si="0"/>
        <v>0.7</v>
      </c>
      <c r="R51" s="205">
        <v>11.7</v>
      </c>
      <c r="S51" s="205">
        <v>88</v>
      </c>
      <c r="T51" s="214">
        <f t="shared" si="1"/>
        <v>36</v>
      </c>
      <c r="U51" s="205">
        <v>430</v>
      </c>
      <c r="V51" s="214">
        <f t="shared" si="2"/>
        <v>3096</v>
      </c>
      <c r="W51" s="205">
        <v>6</v>
      </c>
      <c r="X51" s="55" t="s">
        <v>46</v>
      </c>
      <c r="Y51" s="55" t="s">
        <v>84</v>
      </c>
      <c r="Z51" s="205" t="s">
        <v>90</v>
      </c>
      <c r="AA51" s="55" t="s">
        <v>78</v>
      </c>
      <c r="AB51" s="213" t="s">
        <v>334</v>
      </c>
    </row>
    <row r="52" spans="1:28" x14ac:dyDescent="0.15">
      <c r="A52" s="55" t="s">
        <v>56</v>
      </c>
      <c r="B52" s="55" t="s">
        <v>370</v>
      </c>
      <c r="C52" s="213">
        <v>2018</v>
      </c>
      <c r="D52" s="86" t="s">
        <v>371</v>
      </c>
      <c r="E52" s="213" t="s">
        <v>388</v>
      </c>
      <c r="F52" s="213" t="s">
        <v>383</v>
      </c>
      <c r="G52" s="55" t="s">
        <v>42</v>
      </c>
      <c r="H52" s="213" t="s">
        <v>155</v>
      </c>
      <c r="I52" s="55" t="s">
        <v>153</v>
      </c>
      <c r="J52" s="213" t="s">
        <v>38</v>
      </c>
      <c r="K52" s="213" t="s">
        <v>154</v>
      </c>
      <c r="L52" s="205">
        <v>3</v>
      </c>
      <c r="N52" s="205">
        <v>5</v>
      </c>
      <c r="O52" s="205">
        <v>0.6</v>
      </c>
      <c r="P52" s="205">
        <v>0.65</v>
      </c>
      <c r="Q52" s="214">
        <f t="shared" si="0"/>
        <v>0.625</v>
      </c>
      <c r="R52" s="205">
        <v>14.3</v>
      </c>
      <c r="S52" s="205">
        <v>106</v>
      </c>
      <c r="T52" s="214">
        <f t="shared" si="1"/>
        <v>33</v>
      </c>
      <c r="U52" s="205">
        <v>430</v>
      </c>
      <c r="V52" s="214">
        <f t="shared" si="2"/>
        <v>2838</v>
      </c>
      <c r="W52" s="205">
        <v>6</v>
      </c>
      <c r="X52" s="55" t="s">
        <v>46</v>
      </c>
      <c r="Y52" s="55" t="s">
        <v>84</v>
      </c>
      <c r="Z52" s="205" t="s">
        <v>90</v>
      </c>
      <c r="AA52" s="55" t="s">
        <v>78</v>
      </c>
      <c r="AB52" s="213" t="s">
        <v>334</v>
      </c>
    </row>
    <row r="53" spans="1:28" x14ac:dyDescent="0.15">
      <c r="A53" s="55" t="s">
        <v>56</v>
      </c>
      <c r="B53" s="55" t="s">
        <v>370</v>
      </c>
      <c r="C53" s="213">
        <v>2018</v>
      </c>
      <c r="D53" s="86" t="s">
        <v>371</v>
      </c>
      <c r="E53" s="213" t="s">
        <v>388</v>
      </c>
      <c r="F53" s="213" t="s">
        <v>383</v>
      </c>
      <c r="G53" s="55" t="s">
        <v>42</v>
      </c>
      <c r="H53" s="213" t="s">
        <v>166</v>
      </c>
      <c r="I53" s="55" t="s">
        <v>153</v>
      </c>
      <c r="J53" s="213" t="s">
        <v>38</v>
      </c>
      <c r="K53" s="213" t="s">
        <v>154</v>
      </c>
      <c r="L53" s="205">
        <v>1</v>
      </c>
      <c r="N53" s="205">
        <v>5</v>
      </c>
      <c r="O53" s="205">
        <v>0.55000000000000004</v>
      </c>
      <c r="P53" s="205">
        <v>0.6</v>
      </c>
      <c r="Q53" s="214">
        <f t="shared" si="0"/>
        <v>0.57499999999999996</v>
      </c>
      <c r="R53" s="205">
        <v>14.2</v>
      </c>
      <c r="S53" s="205">
        <v>116</v>
      </c>
      <c r="T53" s="214">
        <f t="shared" si="1"/>
        <v>30</v>
      </c>
      <c r="U53" s="205">
        <v>646</v>
      </c>
      <c r="V53" s="214">
        <f t="shared" si="2"/>
        <v>3875.9999999999995</v>
      </c>
      <c r="W53" s="205">
        <v>4</v>
      </c>
      <c r="X53" s="55" t="s">
        <v>46</v>
      </c>
      <c r="Y53" s="55" t="s">
        <v>84</v>
      </c>
      <c r="Z53" s="205" t="s">
        <v>90</v>
      </c>
      <c r="AA53" s="55" t="s">
        <v>78</v>
      </c>
      <c r="AB53" s="213" t="s">
        <v>334</v>
      </c>
    </row>
    <row r="54" spans="1:28" x14ac:dyDescent="0.15">
      <c r="A54" s="55" t="s">
        <v>56</v>
      </c>
      <c r="B54" s="55" t="s">
        <v>370</v>
      </c>
      <c r="C54" s="213">
        <v>2018</v>
      </c>
      <c r="D54" s="86" t="s">
        <v>371</v>
      </c>
      <c r="E54" s="213" t="s">
        <v>388</v>
      </c>
      <c r="F54" s="213" t="s">
        <v>383</v>
      </c>
      <c r="G54" s="55" t="s">
        <v>42</v>
      </c>
      <c r="H54" s="213" t="s">
        <v>166</v>
      </c>
      <c r="I54" s="55" t="s">
        <v>153</v>
      </c>
      <c r="J54" s="213" t="s">
        <v>38</v>
      </c>
      <c r="K54" s="213" t="s">
        <v>154</v>
      </c>
      <c r="L54" s="205">
        <v>2</v>
      </c>
      <c r="N54" s="205">
        <v>5</v>
      </c>
      <c r="O54" s="205">
        <v>0.65</v>
      </c>
      <c r="P54" s="205">
        <v>0.65</v>
      </c>
      <c r="Q54" s="214">
        <f t="shared" si="0"/>
        <v>0.65</v>
      </c>
      <c r="R54" s="205">
        <v>14.8</v>
      </c>
      <c r="S54" s="205">
        <v>123</v>
      </c>
      <c r="T54" s="214">
        <f t="shared" si="1"/>
        <v>27</v>
      </c>
      <c r="U54" s="205">
        <v>646</v>
      </c>
      <c r="V54" s="214">
        <f t="shared" si="2"/>
        <v>3488.3999999999996</v>
      </c>
      <c r="W54" s="205">
        <v>4</v>
      </c>
      <c r="X54" s="55" t="s">
        <v>46</v>
      </c>
      <c r="Y54" s="55" t="s">
        <v>84</v>
      </c>
      <c r="Z54" s="205" t="s">
        <v>90</v>
      </c>
      <c r="AA54" s="55" t="s">
        <v>78</v>
      </c>
      <c r="AB54" s="213" t="s">
        <v>334</v>
      </c>
    </row>
    <row r="55" spans="1:28" x14ac:dyDescent="0.15">
      <c r="A55" s="55" t="s">
        <v>56</v>
      </c>
      <c r="B55" s="55" t="s">
        <v>370</v>
      </c>
      <c r="C55" s="213">
        <v>2018</v>
      </c>
      <c r="D55" s="86" t="s">
        <v>371</v>
      </c>
      <c r="E55" s="213" t="s">
        <v>388</v>
      </c>
      <c r="F55" s="213" t="s">
        <v>383</v>
      </c>
      <c r="G55" s="55" t="s">
        <v>42</v>
      </c>
      <c r="H55" s="213" t="s">
        <v>166</v>
      </c>
      <c r="I55" s="55" t="s">
        <v>153</v>
      </c>
      <c r="J55" s="213" t="s">
        <v>38</v>
      </c>
      <c r="K55" s="213" t="s">
        <v>154</v>
      </c>
      <c r="L55" s="205">
        <v>3</v>
      </c>
      <c r="N55" s="205">
        <v>5</v>
      </c>
      <c r="O55" s="205">
        <v>0.6</v>
      </c>
      <c r="P55" s="205">
        <v>0.6</v>
      </c>
      <c r="Q55" s="214">
        <f t="shared" si="0"/>
        <v>0.6</v>
      </c>
      <c r="R55" s="205">
        <v>15.3</v>
      </c>
      <c r="S55" s="205">
        <v>129</v>
      </c>
      <c r="T55" s="214">
        <f t="shared" si="1"/>
        <v>25</v>
      </c>
      <c r="U55" s="205">
        <v>646</v>
      </c>
      <c r="V55" s="214">
        <f t="shared" si="2"/>
        <v>3229.9999999999995</v>
      </c>
      <c r="W55" s="205">
        <v>4</v>
      </c>
      <c r="X55" s="55" t="s">
        <v>46</v>
      </c>
      <c r="Y55" s="55" t="s">
        <v>84</v>
      </c>
      <c r="Z55" s="205" t="s">
        <v>90</v>
      </c>
      <c r="AA55" s="55" t="s">
        <v>78</v>
      </c>
      <c r="AB55" s="213" t="s">
        <v>334</v>
      </c>
    </row>
    <row r="56" spans="1:28" x14ac:dyDescent="0.15">
      <c r="A56" s="55"/>
      <c r="B56" s="55"/>
      <c r="C56" s="213"/>
      <c r="D56" s="86"/>
      <c r="E56" s="213"/>
      <c r="F56" s="213"/>
      <c r="G56" s="55"/>
      <c r="H56" s="213"/>
      <c r="I56" s="55"/>
      <c r="J56" s="213"/>
      <c r="K56" s="213"/>
      <c r="X56" s="55"/>
      <c r="Y56" s="55"/>
      <c r="AA56" s="55"/>
    </row>
    <row r="57" spans="1:28" x14ac:dyDescent="0.15">
      <c r="A57" s="55"/>
      <c r="B57" s="55"/>
      <c r="C57" s="213"/>
      <c r="D57" s="86"/>
      <c r="E57" s="213"/>
      <c r="F57" s="213"/>
      <c r="G57" s="55"/>
      <c r="H57" s="213"/>
      <c r="I57" s="55"/>
      <c r="J57" s="213"/>
      <c r="K57" s="213"/>
      <c r="X57" s="55"/>
      <c r="Y57" s="55"/>
      <c r="AA57" s="55"/>
    </row>
    <row r="58" spans="1:28" x14ac:dyDescent="0.15">
      <c r="A58" s="55"/>
      <c r="B58" s="55"/>
      <c r="C58" s="213"/>
      <c r="D58" s="86"/>
      <c r="E58" s="213"/>
      <c r="F58" s="213"/>
      <c r="G58" s="55"/>
      <c r="H58" s="213"/>
      <c r="I58" s="55"/>
      <c r="J58" s="213"/>
      <c r="K58" s="213"/>
      <c r="X58" s="55"/>
      <c r="Y58" s="55"/>
      <c r="AA58" s="55"/>
    </row>
    <row r="59" spans="1:28" x14ac:dyDescent="0.15">
      <c r="A59" s="55"/>
      <c r="B59" s="55"/>
      <c r="C59" s="213"/>
      <c r="D59" s="86"/>
      <c r="E59" s="213"/>
      <c r="F59" s="213"/>
      <c r="G59" s="55"/>
      <c r="H59" s="213"/>
      <c r="I59" s="55"/>
      <c r="J59" s="213"/>
      <c r="K59" s="213"/>
      <c r="X59" s="55"/>
      <c r="Y59" s="55"/>
      <c r="AA59" s="55"/>
    </row>
    <row r="60" spans="1:28" x14ac:dyDescent="0.15">
      <c r="A60" s="55"/>
      <c r="B60" s="55"/>
      <c r="C60" s="213"/>
      <c r="D60" s="86"/>
      <c r="E60" s="213"/>
      <c r="F60" s="213"/>
      <c r="G60" s="55"/>
      <c r="H60" s="213"/>
      <c r="I60" s="55"/>
      <c r="J60" s="213"/>
      <c r="K60" s="213"/>
      <c r="X60" s="55"/>
      <c r="Y60" s="55"/>
      <c r="AA60" s="55"/>
    </row>
    <row r="61" spans="1:28" x14ac:dyDescent="0.15">
      <c r="A61" s="55"/>
      <c r="B61" s="55"/>
      <c r="C61" s="213"/>
      <c r="D61" s="86"/>
      <c r="E61" s="213"/>
      <c r="F61" s="213"/>
      <c r="G61" s="55"/>
      <c r="H61" s="213"/>
      <c r="I61" s="55"/>
      <c r="J61" s="213"/>
      <c r="K61" s="213"/>
      <c r="X61" s="55"/>
      <c r="Y61" s="55"/>
      <c r="AA61" s="55"/>
    </row>
    <row r="62" spans="1:28" x14ac:dyDescent="0.15">
      <c r="A62" s="55"/>
      <c r="B62" s="55"/>
      <c r="C62" s="213"/>
      <c r="D62" s="86"/>
      <c r="E62" s="213"/>
      <c r="F62" s="213"/>
      <c r="G62" s="55"/>
      <c r="H62" s="213"/>
      <c r="I62" s="55"/>
      <c r="J62" s="213"/>
      <c r="K62" s="213"/>
      <c r="X62" s="55"/>
      <c r="Y62" s="55"/>
      <c r="AA62" s="55"/>
    </row>
    <row r="63" spans="1:28" x14ac:dyDescent="0.15">
      <c r="A63" s="55"/>
      <c r="B63" s="55"/>
      <c r="C63" s="213"/>
      <c r="D63" s="86"/>
      <c r="E63" s="213"/>
      <c r="F63" s="213"/>
      <c r="G63" s="55"/>
      <c r="H63" s="213"/>
      <c r="I63" s="55"/>
      <c r="J63" s="213"/>
      <c r="K63" s="213"/>
      <c r="X63" s="55"/>
      <c r="Y63" s="55"/>
      <c r="AA63" s="55"/>
    </row>
    <row r="64" spans="1:28" x14ac:dyDescent="0.15">
      <c r="A64" s="55"/>
      <c r="B64" s="55"/>
      <c r="C64" s="213"/>
      <c r="D64" s="86"/>
      <c r="E64" s="213"/>
      <c r="F64" s="213"/>
      <c r="G64" s="55"/>
      <c r="H64" s="213"/>
      <c r="I64" s="55"/>
      <c r="J64" s="213"/>
      <c r="K64" s="213"/>
      <c r="X64" s="55"/>
      <c r="Y64" s="55"/>
      <c r="AA64" s="55"/>
    </row>
    <row r="65" spans="1:27" x14ac:dyDescent="0.15">
      <c r="A65" s="55"/>
      <c r="B65" s="55"/>
      <c r="C65" s="213"/>
      <c r="D65" s="86"/>
      <c r="E65" s="213"/>
      <c r="F65" s="213"/>
      <c r="G65" s="55"/>
      <c r="H65" s="213"/>
      <c r="I65" s="55"/>
      <c r="J65" s="213"/>
      <c r="K65" s="213"/>
      <c r="X65" s="55"/>
      <c r="Y65" s="55"/>
      <c r="AA65" s="55"/>
    </row>
    <row r="66" spans="1:27" x14ac:dyDescent="0.15">
      <c r="A66" s="55"/>
      <c r="B66" s="55"/>
      <c r="C66" s="213"/>
      <c r="D66" s="86"/>
      <c r="E66" s="213"/>
      <c r="F66" s="213"/>
      <c r="G66" s="55"/>
      <c r="H66" s="213"/>
      <c r="I66" s="55"/>
      <c r="J66" s="213"/>
      <c r="K66" s="213"/>
      <c r="X66" s="55"/>
      <c r="Y66" s="55"/>
      <c r="AA66" s="55"/>
    </row>
    <row r="67" spans="1:27" x14ac:dyDescent="0.15">
      <c r="A67" s="55"/>
      <c r="B67" s="55"/>
      <c r="C67" s="213"/>
      <c r="D67" s="86"/>
      <c r="E67" s="213"/>
      <c r="F67" s="213"/>
      <c r="G67" s="55"/>
      <c r="H67" s="213"/>
      <c r="I67" s="55"/>
      <c r="J67" s="213"/>
      <c r="K67" s="213"/>
      <c r="X67" s="55"/>
      <c r="Y67" s="55"/>
      <c r="AA67" s="55"/>
    </row>
    <row r="68" spans="1:27" x14ac:dyDescent="0.15">
      <c r="A68" s="55"/>
      <c r="B68" s="55"/>
      <c r="C68" s="213"/>
      <c r="D68" s="86"/>
      <c r="E68" s="213"/>
      <c r="F68" s="213"/>
      <c r="G68" s="55"/>
      <c r="H68" s="213"/>
      <c r="I68" s="55"/>
      <c r="J68" s="213"/>
      <c r="K68" s="213"/>
      <c r="X68" s="55"/>
      <c r="Y68" s="55"/>
      <c r="AA68" s="55"/>
    </row>
    <row r="69" spans="1:27" x14ac:dyDescent="0.15">
      <c r="A69" s="55"/>
      <c r="B69" s="55"/>
      <c r="C69" s="213"/>
      <c r="D69" s="86"/>
      <c r="E69" s="213"/>
      <c r="F69" s="213"/>
      <c r="G69" s="55"/>
      <c r="H69" s="213"/>
      <c r="I69" s="55"/>
      <c r="J69" s="213"/>
      <c r="K69" s="213"/>
      <c r="X69" s="55"/>
      <c r="Y69" s="55"/>
      <c r="AA69" s="55"/>
    </row>
    <row r="70" spans="1:27" x14ac:dyDescent="0.15">
      <c r="A70" s="55"/>
      <c r="B70" s="55"/>
      <c r="C70" s="213"/>
      <c r="D70" s="86"/>
      <c r="E70" s="213"/>
      <c r="F70" s="213"/>
      <c r="G70" s="55"/>
      <c r="H70" s="213"/>
      <c r="I70" s="55"/>
      <c r="J70" s="213"/>
      <c r="K70" s="213"/>
      <c r="X70" s="55"/>
      <c r="Y70" s="55"/>
      <c r="AA70" s="55"/>
    </row>
    <row r="71" spans="1:27" x14ac:dyDescent="0.15">
      <c r="A71" s="55"/>
      <c r="B71" s="55"/>
      <c r="C71" s="213"/>
      <c r="D71" s="86"/>
      <c r="E71" s="213"/>
      <c r="F71" s="213"/>
      <c r="G71" s="55"/>
      <c r="H71" s="213"/>
      <c r="I71" s="55"/>
      <c r="J71" s="213"/>
      <c r="K71" s="213"/>
      <c r="X71" s="55"/>
      <c r="Y71" s="55"/>
      <c r="AA71" s="55"/>
    </row>
    <row r="72" spans="1:27" x14ac:dyDescent="0.15">
      <c r="A72" s="55"/>
      <c r="B72" s="55"/>
      <c r="C72" s="213"/>
      <c r="D72" s="86"/>
      <c r="E72" s="213"/>
      <c r="F72" s="213"/>
      <c r="G72" s="55"/>
      <c r="H72" s="213"/>
      <c r="I72" s="55"/>
      <c r="J72" s="213"/>
      <c r="K72" s="213"/>
      <c r="X72" s="55"/>
      <c r="Y72" s="55"/>
      <c r="AA72" s="55"/>
    </row>
    <row r="73" spans="1:27" x14ac:dyDescent="0.15">
      <c r="A73" s="55"/>
      <c r="B73" s="55"/>
      <c r="C73" s="213"/>
      <c r="D73" s="86"/>
      <c r="E73" s="213"/>
      <c r="F73" s="213"/>
      <c r="G73" s="55"/>
      <c r="H73" s="213"/>
      <c r="I73" s="55"/>
      <c r="J73" s="213"/>
      <c r="K73" s="213"/>
      <c r="X73" s="55"/>
      <c r="Y73" s="55"/>
      <c r="AA73" s="55"/>
    </row>
    <row r="74" spans="1:27" x14ac:dyDescent="0.15">
      <c r="A74" s="55"/>
      <c r="B74" s="55"/>
      <c r="C74" s="213"/>
      <c r="D74" s="86"/>
      <c r="E74" s="213"/>
      <c r="F74" s="213"/>
      <c r="G74" s="55"/>
      <c r="H74" s="213"/>
      <c r="I74" s="55"/>
      <c r="J74" s="213"/>
      <c r="K74" s="213"/>
      <c r="X74" s="55"/>
      <c r="Y74" s="55"/>
      <c r="AA74" s="55"/>
    </row>
    <row r="75" spans="1:27" x14ac:dyDescent="0.15">
      <c r="A75" s="55"/>
      <c r="B75" s="55"/>
      <c r="C75" s="213"/>
      <c r="D75" s="86"/>
      <c r="E75" s="213"/>
      <c r="F75" s="213"/>
      <c r="G75" s="55"/>
      <c r="H75" s="213"/>
      <c r="I75" s="55"/>
      <c r="J75" s="213"/>
      <c r="K75" s="213"/>
      <c r="X75" s="55"/>
      <c r="Y75" s="55"/>
      <c r="AA75" s="55"/>
    </row>
    <row r="76" spans="1:27" x14ac:dyDescent="0.15">
      <c r="A76" s="55"/>
      <c r="B76" s="55"/>
      <c r="C76" s="213"/>
      <c r="D76" s="86"/>
      <c r="E76" s="213"/>
      <c r="F76" s="213"/>
      <c r="G76" s="55"/>
      <c r="H76" s="213"/>
      <c r="I76" s="55"/>
      <c r="J76" s="213"/>
      <c r="K76" s="213"/>
      <c r="X76" s="55"/>
      <c r="Y76" s="55"/>
      <c r="AA76" s="55"/>
    </row>
    <row r="77" spans="1:27" x14ac:dyDescent="0.15">
      <c r="A77" s="55"/>
      <c r="B77" s="55"/>
      <c r="C77" s="213"/>
      <c r="D77" s="86"/>
      <c r="E77" s="213"/>
      <c r="F77" s="213"/>
      <c r="G77" s="55"/>
      <c r="H77" s="213"/>
      <c r="I77" s="55"/>
      <c r="J77" s="213"/>
      <c r="K77" s="213"/>
      <c r="X77" s="55"/>
      <c r="Y77" s="55"/>
      <c r="AA77" s="55"/>
    </row>
    <row r="78" spans="1:27" x14ac:dyDescent="0.15">
      <c r="A78" s="55"/>
      <c r="B78" s="55"/>
      <c r="C78" s="213"/>
      <c r="D78" s="86"/>
      <c r="E78" s="213"/>
      <c r="F78" s="213"/>
      <c r="G78" s="55"/>
      <c r="H78" s="213"/>
      <c r="I78" s="55"/>
      <c r="J78" s="213"/>
      <c r="K78" s="213"/>
      <c r="X78" s="55"/>
      <c r="Y78" s="55"/>
      <c r="AA78" s="55"/>
    </row>
    <row r="79" spans="1:27" x14ac:dyDescent="0.15">
      <c r="A79" s="55"/>
      <c r="B79" s="55"/>
      <c r="C79" s="213"/>
      <c r="D79" s="86"/>
      <c r="E79" s="213"/>
      <c r="F79" s="213"/>
      <c r="G79" s="55"/>
      <c r="H79" s="213"/>
      <c r="I79" s="55"/>
      <c r="J79" s="213"/>
      <c r="K79" s="213"/>
      <c r="X79" s="55"/>
      <c r="Y79" s="55"/>
      <c r="AA79" s="55"/>
    </row>
    <row r="80" spans="1:27" x14ac:dyDescent="0.15">
      <c r="A80" s="55"/>
      <c r="B80" s="55"/>
      <c r="C80" s="213"/>
      <c r="D80" s="86"/>
      <c r="E80" s="213"/>
      <c r="F80" s="213"/>
      <c r="G80" s="55"/>
      <c r="H80" s="213"/>
      <c r="I80" s="55"/>
      <c r="J80" s="213"/>
      <c r="K80" s="213"/>
      <c r="X80" s="55"/>
      <c r="Y80" s="55"/>
      <c r="AA80" s="55"/>
    </row>
    <row r="81" spans="1:27" x14ac:dyDescent="0.15">
      <c r="A81" s="55"/>
      <c r="B81" s="55"/>
      <c r="C81" s="213"/>
      <c r="D81" s="86"/>
      <c r="E81" s="213"/>
      <c r="F81" s="213"/>
      <c r="G81" s="55"/>
      <c r="H81" s="213"/>
      <c r="I81" s="55"/>
      <c r="J81" s="213"/>
      <c r="K81" s="213"/>
      <c r="X81" s="55"/>
      <c r="Y81" s="55"/>
      <c r="AA81" s="55"/>
    </row>
    <row r="82" spans="1:27" x14ac:dyDescent="0.15">
      <c r="A82" s="55"/>
      <c r="B82" s="55"/>
      <c r="C82" s="213"/>
      <c r="D82" s="86"/>
      <c r="E82" s="213"/>
      <c r="F82" s="213"/>
      <c r="G82" s="55"/>
      <c r="H82" s="213"/>
      <c r="I82" s="55"/>
      <c r="J82" s="213"/>
      <c r="K82" s="213"/>
      <c r="X82" s="55"/>
      <c r="Y82" s="55"/>
      <c r="AA82" s="55"/>
    </row>
    <row r="83" spans="1:27" x14ac:dyDescent="0.15">
      <c r="E83" s="213"/>
      <c r="F83" s="213"/>
      <c r="G83" s="55"/>
      <c r="H83" s="213"/>
      <c r="I83" s="55"/>
      <c r="J83" s="213"/>
      <c r="K83" s="213"/>
      <c r="X83" s="55"/>
      <c r="Y83" s="55"/>
      <c r="AA83" s="55"/>
    </row>
    <row r="84" spans="1:27" x14ac:dyDescent="0.15">
      <c r="E84" s="213"/>
      <c r="F84" s="213"/>
      <c r="G84" s="55"/>
      <c r="H84" s="213"/>
      <c r="I84" s="55"/>
      <c r="J84" s="213"/>
      <c r="K84" s="213"/>
      <c r="X84" s="55"/>
      <c r="Y84" s="55"/>
      <c r="AA84" s="55"/>
    </row>
    <row r="85" spans="1:27" x14ac:dyDescent="0.15">
      <c r="E85" s="213"/>
      <c r="F85" s="213"/>
      <c r="G85" s="55"/>
      <c r="H85" s="213"/>
      <c r="I85" s="55"/>
      <c r="J85" s="213"/>
      <c r="K85" s="213"/>
      <c r="X85" s="55"/>
      <c r="Y85" s="55"/>
      <c r="AA85" s="55"/>
    </row>
    <row r="86" spans="1:27" x14ac:dyDescent="0.15">
      <c r="J86" s="213"/>
      <c r="K86" s="213"/>
    </row>
    <row r="87" spans="1:27" x14ac:dyDescent="0.15">
      <c r="J87" s="213"/>
      <c r="K87" s="213"/>
    </row>
    <row r="88" spans="1:27" x14ac:dyDescent="0.15">
      <c r="J88" s="213"/>
      <c r="K88" s="213"/>
    </row>
    <row r="89" spans="1:27" x14ac:dyDescent="0.15">
      <c r="J89" s="213"/>
      <c r="K89" s="213"/>
    </row>
    <row r="90" spans="1:27" x14ac:dyDescent="0.15">
      <c r="J90" s="213"/>
      <c r="K90" s="213"/>
    </row>
    <row r="91" spans="1:27" x14ac:dyDescent="0.15">
      <c r="J91" s="213"/>
      <c r="K91" s="213"/>
    </row>
    <row r="92" spans="1:27" x14ac:dyDescent="0.15">
      <c r="J92" s="213"/>
      <c r="K92" s="213"/>
    </row>
    <row r="93" spans="1:27" x14ac:dyDescent="0.15">
      <c r="J93" s="213"/>
      <c r="K93" s="213"/>
    </row>
    <row r="94" spans="1:27" x14ac:dyDescent="0.15">
      <c r="J94" s="213"/>
      <c r="K94" s="213"/>
    </row>
    <row r="95" spans="1:27" x14ac:dyDescent="0.15">
      <c r="J95" s="213"/>
      <c r="K95" s="213"/>
    </row>
    <row r="96" spans="1:27" x14ac:dyDescent="0.15">
      <c r="J96" s="213"/>
      <c r="K96" s="213"/>
    </row>
    <row r="97" spans="10:11" x14ac:dyDescent="0.15">
      <c r="J97" s="213"/>
      <c r="K97" s="213"/>
    </row>
    <row r="98" spans="10:11" x14ac:dyDescent="0.15">
      <c r="J98" s="213"/>
      <c r="K98" s="213"/>
    </row>
    <row r="99" spans="10:11" x14ac:dyDescent="0.15">
      <c r="J99" s="213"/>
      <c r="K99" s="213"/>
    </row>
    <row r="100" spans="10:11" x14ac:dyDescent="0.15">
      <c r="J100" s="213"/>
      <c r="K100" s="213"/>
    </row>
    <row r="101" spans="10:11" x14ac:dyDescent="0.15">
      <c r="K101" s="213"/>
    </row>
    <row r="102" spans="10:11" x14ac:dyDescent="0.15">
      <c r="K102" s="213"/>
    </row>
    <row r="103" spans="10:11" x14ac:dyDescent="0.15">
      <c r="K103" s="213"/>
    </row>
    <row r="104" spans="10:11" x14ac:dyDescent="0.15">
      <c r="K104" s="213"/>
    </row>
    <row r="105" spans="10:11" x14ac:dyDescent="0.15">
      <c r="K105" s="213"/>
    </row>
    <row r="106" spans="10:11" x14ac:dyDescent="0.15">
      <c r="K106" s="213"/>
    </row>
    <row r="107" spans="10:11" x14ac:dyDescent="0.15">
      <c r="K107" s="213"/>
    </row>
    <row r="108" spans="10:11" x14ac:dyDescent="0.15">
      <c r="K108" s="213"/>
    </row>
    <row r="109" spans="10:11" x14ac:dyDescent="0.15">
      <c r="K109" s="213"/>
    </row>
    <row r="110" spans="10:11" x14ac:dyDescent="0.15">
      <c r="K110" s="213"/>
    </row>
    <row r="111" spans="10:11" x14ac:dyDescent="0.15">
      <c r="K111" s="213"/>
    </row>
    <row r="112" spans="10:11" x14ac:dyDescent="0.15">
      <c r="K112" s="213"/>
    </row>
    <row r="113" spans="11:11" x14ac:dyDescent="0.15">
      <c r="K113" s="213"/>
    </row>
    <row r="114" spans="11:11" x14ac:dyDescent="0.15">
      <c r="K114" s="213"/>
    </row>
    <row r="115" spans="11:11" x14ac:dyDescent="0.15">
      <c r="K115" s="213"/>
    </row>
    <row r="116" spans="11:11" x14ac:dyDescent="0.15">
      <c r="K116" s="213"/>
    </row>
    <row r="117" spans="11:11" x14ac:dyDescent="0.15">
      <c r="K117" s="213"/>
    </row>
    <row r="118" spans="11:11" x14ac:dyDescent="0.15">
      <c r="K118" s="213"/>
    </row>
    <row r="119" spans="11:11" x14ac:dyDescent="0.15">
      <c r="K119" s="213"/>
    </row>
    <row r="120" spans="11:11" x14ac:dyDescent="0.15">
      <c r="K120" s="213"/>
    </row>
    <row r="121" spans="11:11" x14ac:dyDescent="0.15">
      <c r="K121" s="213"/>
    </row>
    <row r="122" spans="11:11" x14ac:dyDescent="0.15">
      <c r="K122" s="213"/>
    </row>
    <row r="123" spans="11:11" x14ac:dyDescent="0.15">
      <c r="K123" s="213"/>
    </row>
    <row r="124" spans="11:11" x14ac:dyDescent="0.15">
      <c r="K124" s="213"/>
    </row>
    <row r="125" spans="11:11" x14ac:dyDescent="0.15">
      <c r="K125" s="213"/>
    </row>
    <row r="126" spans="11:11" x14ac:dyDescent="0.15">
      <c r="K126" s="213"/>
    </row>
    <row r="127" spans="11:11" x14ac:dyDescent="0.15">
      <c r="K127" s="213"/>
    </row>
    <row r="128" spans="11:11" x14ac:dyDescent="0.15">
      <c r="K128" s="213"/>
    </row>
    <row r="129" spans="11:11" x14ac:dyDescent="0.15">
      <c r="K129" s="213"/>
    </row>
    <row r="130" spans="11:11" x14ac:dyDescent="0.15">
      <c r="K130" s="213"/>
    </row>
    <row r="131" spans="11:11" x14ac:dyDescent="0.15">
      <c r="K131" s="213"/>
    </row>
    <row r="132" spans="11:11" x14ac:dyDescent="0.15">
      <c r="K132" s="213"/>
    </row>
    <row r="133" spans="11:11" x14ac:dyDescent="0.15">
      <c r="K133" s="213"/>
    </row>
    <row r="134" spans="11:11" x14ac:dyDescent="0.15">
      <c r="K134" s="213"/>
    </row>
    <row r="135" spans="11:11" x14ac:dyDescent="0.15">
      <c r="K135" s="213"/>
    </row>
    <row r="136" spans="11:11" x14ac:dyDescent="0.15">
      <c r="K136" s="213"/>
    </row>
    <row r="137" spans="11:11" x14ac:dyDescent="0.15">
      <c r="K137" s="213"/>
    </row>
    <row r="138" spans="11:11" x14ac:dyDescent="0.15">
      <c r="K138" s="213"/>
    </row>
    <row r="139" spans="11:11" x14ac:dyDescent="0.15">
      <c r="K139" s="213"/>
    </row>
    <row r="140" spans="11:11" x14ac:dyDescent="0.15">
      <c r="K140" s="213"/>
    </row>
    <row r="141" spans="11:11" x14ac:dyDescent="0.15">
      <c r="K141" s="213"/>
    </row>
    <row r="142" spans="11:11" x14ac:dyDescent="0.15">
      <c r="K142" s="213"/>
    </row>
    <row r="143" spans="11:11" x14ac:dyDescent="0.15">
      <c r="K143" s="213"/>
    </row>
    <row r="144" spans="11:11" x14ac:dyDescent="0.15">
      <c r="K144" s="213"/>
    </row>
    <row r="145" spans="11:11" x14ac:dyDescent="0.15">
      <c r="K145" s="213"/>
    </row>
    <row r="146" spans="11:11" x14ac:dyDescent="0.15">
      <c r="K146" s="213"/>
    </row>
    <row r="147" spans="11:11" x14ac:dyDescent="0.15">
      <c r="K147" s="213"/>
    </row>
    <row r="148" spans="11:11" x14ac:dyDescent="0.15">
      <c r="K148" s="213"/>
    </row>
    <row r="149" spans="11:11" x14ac:dyDescent="0.15">
      <c r="K149" s="213"/>
    </row>
    <row r="150" spans="11:11" x14ac:dyDescent="0.15">
      <c r="K150" s="213"/>
    </row>
    <row r="151" spans="11:11" x14ac:dyDescent="0.15">
      <c r="K151" s="213"/>
    </row>
    <row r="152" spans="11:11" x14ac:dyDescent="0.15">
      <c r="K152" s="213"/>
    </row>
    <row r="153" spans="11:11" x14ac:dyDescent="0.15">
      <c r="K153" s="213"/>
    </row>
    <row r="154" spans="11:11" x14ac:dyDescent="0.15">
      <c r="K154" s="213"/>
    </row>
    <row r="155" spans="11:11" x14ac:dyDescent="0.15">
      <c r="K155" s="213"/>
    </row>
    <row r="156" spans="11:11" x14ac:dyDescent="0.15">
      <c r="K156" s="213"/>
    </row>
    <row r="157" spans="11:11" x14ac:dyDescent="0.15">
      <c r="K157" s="213"/>
    </row>
    <row r="158" spans="11:11" x14ac:dyDescent="0.15">
      <c r="K158" s="213"/>
    </row>
    <row r="159" spans="11:11" x14ac:dyDescent="0.15">
      <c r="K159" s="213"/>
    </row>
    <row r="160" spans="11:11" x14ac:dyDescent="0.15">
      <c r="K160" s="213"/>
    </row>
    <row r="161" spans="11:11" x14ac:dyDescent="0.15">
      <c r="K161" s="213"/>
    </row>
    <row r="162" spans="11:11" x14ac:dyDescent="0.15">
      <c r="K162" s="213"/>
    </row>
    <row r="163" spans="11:11" x14ac:dyDescent="0.15">
      <c r="K163" s="213"/>
    </row>
    <row r="164" spans="11:11" x14ac:dyDescent="0.15">
      <c r="K164" s="213"/>
    </row>
    <row r="165" spans="11:11" x14ac:dyDescent="0.15">
      <c r="K165" s="213"/>
    </row>
    <row r="166" spans="11:11" x14ac:dyDescent="0.15">
      <c r="K166" s="213"/>
    </row>
    <row r="167" spans="11:11" x14ac:dyDescent="0.15">
      <c r="K167" s="213"/>
    </row>
    <row r="168" spans="11:11" x14ac:dyDescent="0.15">
      <c r="K168" s="213"/>
    </row>
    <row r="169" spans="11:11" x14ac:dyDescent="0.15">
      <c r="K169" s="213"/>
    </row>
    <row r="170" spans="11:11" x14ac:dyDescent="0.15">
      <c r="K170" s="213"/>
    </row>
    <row r="171" spans="11:11" x14ac:dyDescent="0.15">
      <c r="K171" s="213"/>
    </row>
    <row r="172" spans="11:11" x14ac:dyDescent="0.15">
      <c r="K172" s="213"/>
    </row>
    <row r="173" spans="11:11" x14ac:dyDescent="0.15">
      <c r="K173" s="213"/>
    </row>
    <row r="174" spans="11:11" x14ac:dyDescent="0.15">
      <c r="K174" s="213"/>
    </row>
    <row r="175" spans="11:11" x14ac:dyDescent="0.15">
      <c r="K175" s="213"/>
    </row>
    <row r="176" spans="11:11" x14ac:dyDescent="0.15">
      <c r="K176" s="213"/>
    </row>
    <row r="177" spans="11:11" x14ac:dyDescent="0.15">
      <c r="K177" s="213"/>
    </row>
    <row r="178" spans="11:11" x14ac:dyDescent="0.15">
      <c r="K178" s="213"/>
    </row>
    <row r="179" spans="11:11" x14ac:dyDescent="0.15">
      <c r="K179" s="213"/>
    </row>
    <row r="180" spans="11:11" x14ac:dyDescent="0.15">
      <c r="K180" s="213"/>
    </row>
    <row r="181" spans="11:11" x14ac:dyDescent="0.15">
      <c r="K181" s="213"/>
    </row>
    <row r="182" spans="11:11" x14ac:dyDescent="0.15">
      <c r="K182" s="213"/>
    </row>
    <row r="183" spans="11:11" x14ac:dyDescent="0.15">
      <c r="K183" s="213"/>
    </row>
    <row r="184" spans="11:11" x14ac:dyDescent="0.15">
      <c r="K184" s="213"/>
    </row>
    <row r="185" spans="11:11" x14ac:dyDescent="0.15">
      <c r="K185" s="213"/>
    </row>
    <row r="186" spans="11:11" x14ac:dyDescent="0.15">
      <c r="K186" s="213"/>
    </row>
    <row r="187" spans="11:11" x14ac:dyDescent="0.15">
      <c r="K187" s="213"/>
    </row>
    <row r="188" spans="11:11" x14ac:dyDescent="0.15">
      <c r="K188" s="213"/>
    </row>
    <row r="189" spans="11:11" x14ac:dyDescent="0.15">
      <c r="K189" s="213"/>
    </row>
    <row r="190" spans="11:11" x14ac:dyDescent="0.15">
      <c r="K190" s="213"/>
    </row>
    <row r="191" spans="11:11" x14ac:dyDescent="0.15">
      <c r="K191" s="213"/>
    </row>
    <row r="192" spans="11:11" x14ac:dyDescent="0.15">
      <c r="K192" s="213"/>
    </row>
    <row r="193" spans="11:11" x14ac:dyDescent="0.15">
      <c r="K193" s="213"/>
    </row>
    <row r="194" spans="11:11" x14ac:dyDescent="0.15">
      <c r="K194" s="213"/>
    </row>
    <row r="195" spans="11:11" x14ac:dyDescent="0.15">
      <c r="K195" s="213"/>
    </row>
    <row r="196" spans="11:11" x14ac:dyDescent="0.15">
      <c r="K196" s="213"/>
    </row>
    <row r="197" spans="11:11" x14ac:dyDescent="0.15">
      <c r="K197" s="213"/>
    </row>
    <row r="198" spans="11:11" x14ac:dyDescent="0.15">
      <c r="K198" s="213"/>
    </row>
    <row r="199" spans="11:11" x14ac:dyDescent="0.15">
      <c r="K199" s="213"/>
    </row>
    <row r="200" spans="11:11" x14ac:dyDescent="0.15">
      <c r="K200" s="213"/>
    </row>
    <row r="201" spans="11:11" x14ac:dyDescent="0.15">
      <c r="K201" s="213"/>
    </row>
    <row r="202" spans="11:11" x14ac:dyDescent="0.15">
      <c r="K202" s="213"/>
    </row>
    <row r="203" spans="11:11" x14ac:dyDescent="0.15">
      <c r="K203" s="213"/>
    </row>
    <row r="204" spans="11:11" x14ac:dyDescent="0.15">
      <c r="K204" s="213"/>
    </row>
    <row r="205" spans="11:11" x14ac:dyDescent="0.15">
      <c r="K205" s="213"/>
    </row>
    <row r="206" spans="11:11" x14ac:dyDescent="0.15">
      <c r="K206" s="213"/>
    </row>
    <row r="207" spans="11:11" x14ac:dyDescent="0.15">
      <c r="K207" s="213"/>
    </row>
    <row r="208" spans="11:11" x14ac:dyDescent="0.15">
      <c r="K208" s="213"/>
    </row>
    <row r="209" spans="11:11" x14ac:dyDescent="0.15">
      <c r="K209" s="213"/>
    </row>
    <row r="210" spans="11:11" x14ac:dyDescent="0.15">
      <c r="K210" s="213"/>
    </row>
    <row r="211" spans="11:11" x14ac:dyDescent="0.15">
      <c r="K211" s="213"/>
    </row>
    <row r="212" spans="11:11" x14ac:dyDescent="0.15">
      <c r="K212" s="213"/>
    </row>
    <row r="213" spans="11:11" x14ac:dyDescent="0.15">
      <c r="K213" s="213"/>
    </row>
    <row r="214" spans="11:11" x14ac:dyDescent="0.15">
      <c r="K214" s="213"/>
    </row>
    <row r="215" spans="11:11" x14ac:dyDescent="0.15">
      <c r="K215" s="213"/>
    </row>
    <row r="216" spans="11:11" x14ac:dyDescent="0.15">
      <c r="K216" s="213"/>
    </row>
    <row r="217" spans="11:11" x14ac:dyDescent="0.15">
      <c r="K217" s="213"/>
    </row>
    <row r="218" spans="11:11" x14ac:dyDescent="0.15">
      <c r="K218" s="213"/>
    </row>
    <row r="219" spans="11:11" x14ac:dyDescent="0.15">
      <c r="K219" s="213"/>
    </row>
    <row r="220" spans="11:11" x14ac:dyDescent="0.15">
      <c r="K220" s="213"/>
    </row>
    <row r="221" spans="11:11" x14ac:dyDescent="0.15">
      <c r="K221" s="213"/>
    </row>
    <row r="222" spans="11:11" x14ac:dyDescent="0.15">
      <c r="K222" s="213"/>
    </row>
    <row r="223" spans="11:11" x14ac:dyDescent="0.15">
      <c r="K223" s="213"/>
    </row>
    <row r="224" spans="11:11" x14ac:dyDescent="0.15">
      <c r="K224" s="213"/>
    </row>
    <row r="225" spans="11:11" x14ac:dyDescent="0.15">
      <c r="K225" s="213"/>
    </row>
    <row r="226" spans="11:11" x14ac:dyDescent="0.15">
      <c r="K226" s="213"/>
    </row>
    <row r="227" spans="11:11" x14ac:dyDescent="0.15">
      <c r="K227" s="213"/>
    </row>
    <row r="228" spans="11:11" x14ac:dyDescent="0.15">
      <c r="K228" s="213"/>
    </row>
    <row r="229" spans="11:11" x14ac:dyDescent="0.15">
      <c r="K229" s="213"/>
    </row>
    <row r="230" spans="11:11" x14ac:dyDescent="0.15">
      <c r="K230" s="213"/>
    </row>
    <row r="231" spans="11:11" x14ac:dyDescent="0.15">
      <c r="K231" s="213"/>
    </row>
    <row r="232" spans="11:11" x14ac:dyDescent="0.15">
      <c r="K232" s="213"/>
    </row>
    <row r="233" spans="11:11" x14ac:dyDescent="0.15">
      <c r="K233" s="213"/>
    </row>
    <row r="234" spans="11:11" x14ac:dyDescent="0.15">
      <c r="K234" s="213"/>
    </row>
    <row r="235" spans="11:11" x14ac:dyDescent="0.15">
      <c r="K235" s="213"/>
    </row>
    <row r="236" spans="11:11" x14ac:dyDescent="0.15">
      <c r="K236" s="213"/>
    </row>
    <row r="237" spans="11:11" x14ac:dyDescent="0.15">
      <c r="K237" s="213"/>
    </row>
    <row r="238" spans="11:11" x14ac:dyDescent="0.15">
      <c r="K238" s="213"/>
    </row>
    <row r="239" spans="11:11" x14ac:dyDescent="0.15">
      <c r="K239" s="213"/>
    </row>
    <row r="240" spans="11:11" x14ac:dyDescent="0.15">
      <c r="K240" s="213"/>
    </row>
    <row r="241" spans="11:11" x14ac:dyDescent="0.15">
      <c r="K241" s="213"/>
    </row>
    <row r="242" spans="11:11" x14ac:dyDescent="0.15">
      <c r="K242" s="213"/>
    </row>
    <row r="243" spans="11:11" x14ac:dyDescent="0.15">
      <c r="K243" s="213"/>
    </row>
    <row r="244" spans="11:11" x14ac:dyDescent="0.15">
      <c r="K244" s="213"/>
    </row>
    <row r="245" spans="11:11" x14ac:dyDescent="0.15">
      <c r="K245" s="213"/>
    </row>
    <row r="246" spans="11:11" x14ac:dyDescent="0.15">
      <c r="K246" s="213"/>
    </row>
    <row r="247" spans="11:11" x14ac:dyDescent="0.15">
      <c r="K247" s="213"/>
    </row>
    <row r="248" spans="11:11" x14ac:dyDescent="0.15">
      <c r="K248" s="213"/>
    </row>
    <row r="249" spans="11:11" x14ac:dyDescent="0.15">
      <c r="K249" s="213"/>
    </row>
    <row r="250" spans="11:11" x14ac:dyDescent="0.15">
      <c r="K250" s="213"/>
    </row>
    <row r="251" spans="11:11" x14ac:dyDescent="0.15">
      <c r="K251" s="213"/>
    </row>
    <row r="252" spans="11:11" x14ac:dyDescent="0.15">
      <c r="K252" s="213"/>
    </row>
    <row r="253" spans="11:11" x14ac:dyDescent="0.15">
      <c r="K253" s="213"/>
    </row>
    <row r="254" spans="11:11" x14ac:dyDescent="0.15">
      <c r="K254" s="213"/>
    </row>
    <row r="255" spans="11:11" x14ac:dyDescent="0.15">
      <c r="K255" s="213"/>
    </row>
    <row r="256" spans="11:11" x14ac:dyDescent="0.15">
      <c r="K256" s="213"/>
    </row>
    <row r="257" spans="11:11" x14ac:dyDescent="0.15">
      <c r="K257" s="213"/>
    </row>
    <row r="258" spans="11:11" x14ac:dyDescent="0.15">
      <c r="K258" s="213"/>
    </row>
    <row r="259" spans="11:11" x14ac:dyDescent="0.15">
      <c r="K259" s="213"/>
    </row>
    <row r="260" spans="11:11" x14ac:dyDescent="0.15">
      <c r="K260" s="213"/>
    </row>
    <row r="261" spans="11:11" x14ac:dyDescent="0.15">
      <c r="K261" s="213"/>
    </row>
    <row r="262" spans="11:11" x14ac:dyDescent="0.15">
      <c r="K262" s="213"/>
    </row>
    <row r="263" spans="11:11" x14ac:dyDescent="0.15">
      <c r="K263" s="213"/>
    </row>
    <row r="264" spans="11:11" x14ac:dyDescent="0.15">
      <c r="K264" s="213"/>
    </row>
    <row r="265" spans="11:11" x14ac:dyDescent="0.15">
      <c r="K265" s="213"/>
    </row>
    <row r="266" spans="11:11" x14ac:dyDescent="0.15">
      <c r="K266" s="213"/>
    </row>
    <row r="267" spans="11:11" x14ac:dyDescent="0.15">
      <c r="K267" s="213"/>
    </row>
    <row r="268" spans="11:11" x14ac:dyDescent="0.15">
      <c r="K268" s="213"/>
    </row>
    <row r="269" spans="11:11" x14ac:dyDescent="0.15">
      <c r="K269" s="213"/>
    </row>
    <row r="270" spans="11:11" x14ac:dyDescent="0.15">
      <c r="K270" s="213"/>
    </row>
    <row r="271" spans="11:11" x14ac:dyDescent="0.15">
      <c r="K271" s="213"/>
    </row>
    <row r="272" spans="11:11" x14ac:dyDescent="0.15">
      <c r="K272" s="213"/>
    </row>
    <row r="273" spans="11:11" x14ac:dyDescent="0.15">
      <c r="K273" s="213"/>
    </row>
    <row r="274" spans="11:11" x14ac:dyDescent="0.15">
      <c r="K274" s="213"/>
    </row>
    <row r="275" spans="11:11" x14ac:dyDescent="0.15">
      <c r="K275" s="213"/>
    </row>
    <row r="276" spans="11:11" x14ac:dyDescent="0.15">
      <c r="K276" s="213"/>
    </row>
    <row r="277" spans="11:11" x14ac:dyDescent="0.15">
      <c r="K277" s="213"/>
    </row>
    <row r="278" spans="11:11" x14ac:dyDescent="0.15">
      <c r="K278" s="213"/>
    </row>
    <row r="279" spans="11:11" x14ac:dyDescent="0.15">
      <c r="K279" s="213"/>
    </row>
    <row r="280" spans="11:11" x14ac:dyDescent="0.15">
      <c r="K280" s="213"/>
    </row>
    <row r="281" spans="11:11" x14ac:dyDescent="0.15">
      <c r="K281" s="213"/>
    </row>
    <row r="282" spans="11:11" x14ac:dyDescent="0.15">
      <c r="K282" s="213"/>
    </row>
    <row r="283" spans="11:11" x14ac:dyDescent="0.15">
      <c r="K283" s="213"/>
    </row>
    <row r="284" spans="11:11" x14ac:dyDescent="0.15">
      <c r="K284" s="213"/>
    </row>
    <row r="285" spans="11:11" x14ac:dyDescent="0.15">
      <c r="K285" s="213"/>
    </row>
    <row r="286" spans="11:11" x14ac:dyDescent="0.15">
      <c r="K286" s="213"/>
    </row>
    <row r="287" spans="11:11" x14ac:dyDescent="0.15">
      <c r="K287" s="213"/>
    </row>
    <row r="288" spans="11:11" x14ac:dyDescent="0.15">
      <c r="K288" s="213"/>
    </row>
    <row r="289" spans="11:11" x14ac:dyDescent="0.15">
      <c r="K289" s="213"/>
    </row>
    <row r="290" spans="11:11" x14ac:dyDescent="0.15">
      <c r="K290" s="213"/>
    </row>
    <row r="291" spans="11:11" x14ac:dyDescent="0.15">
      <c r="K291" s="213"/>
    </row>
    <row r="292" spans="11:11" x14ac:dyDescent="0.15">
      <c r="K292" s="213"/>
    </row>
    <row r="293" spans="11:11" x14ac:dyDescent="0.15">
      <c r="K293" s="213"/>
    </row>
    <row r="294" spans="11:11" x14ac:dyDescent="0.15">
      <c r="K294" s="213"/>
    </row>
    <row r="295" spans="11:11" x14ac:dyDescent="0.15">
      <c r="K295" s="213"/>
    </row>
    <row r="296" spans="11:11" x14ac:dyDescent="0.15">
      <c r="K296" s="213"/>
    </row>
    <row r="297" spans="11:11" x14ac:dyDescent="0.15">
      <c r="K297" s="213"/>
    </row>
    <row r="298" spans="11:11" x14ac:dyDescent="0.15">
      <c r="K298" s="213"/>
    </row>
    <row r="299" spans="11:11" x14ac:dyDescent="0.15">
      <c r="K299" s="213"/>
    </row>
    <row r="300" spans="11:11" x14ac:dyDescent="0.15">
      <c r="K300" s="213"/>
    </row>
    <row r="301" spans="11:11" x14ac:dyDescent="0.15">
      <c r="K301" s="213"/>
    </row>
    <row r="302" spans="11:11" x14ac:dyDescent="0.15">
      <c r="K302" s="213"/>
    </row>
    <row r="303" spans="11:11" x14ac:dyDescent="0.15">
      <c r="K303" s="213"/>
    </row>
    <row r="304" spans="11:11" x14ac:dyDescent="0.15">
      <c r="K304" s="213"/>
    </row>
    <row r="305" spans="11:11" x14ac:dyDescent="0.15">
      <c r="K305" s="213"/>
    </row>
    <row r="306" spans="11:11" x14ac:dyDescent="0.15">
      <c r="K306" s="213"/>
    </row>
    <row r="307" spans="11:11" x14ac:dyDescent="0.15">
      <c r="K307" s="213"/>
    </row>
    <row r="308" spans="11:11" x14ac:dyDescent="0.15">
      <c r="K308" s="213"/>
    </row>
    <row r="309" spans="11:11" x14ac:dyDescent="0.15">
      <c r="K309" s="213"/>
    </row>
    <row r="310" spans="11:11" x14ac:dyDescent="0.15">
      <c r="K310" s="213"/>
    </row>
    <row r="311" spans="11:11" x14ac:dyDescent="0.15">
      <c r="K311" s="213"/>
    </row>
    <row r="312" spans="11:11" x14ac:dyDescent="0.15">
      <c r="K312" s="213"/>
    </row>
    <row r="313" spans="11:11" x14ac:dyDescent="0.15">
      <c r="K313" s="213"/>
    </row>
    <row r="314" spans="11:11" x14ac:dyDescent="0.15">
      <c r="K314" s="213"/>
    </row>
    <row r="315" spans="11:11" x14ac:dyDescent="0.15">
      <c r="K315" s="213"/>
    </row>
    <row r="316" spans="11:11" x14ac:dyDescent="0.15">
      <c r="K316" s="213"/>
    </row>
    <row r="317" spans="11:11" x14ac:dyDescent="0.15">
      <c r="K317" s="213"/>
    </row>
    <row r="318" spans="11:11" x14ac:dyDescent="0.15">
      <c r="K318" s="213"/>
    </row>
    <row r="319" spans="11:11" x14ac:dyDescent="0.15">
      <c r="K319" s="213"/>
    </row>
    <row r="320" spans="11:11" x14ac:dyDescent="0.15">
      <c r="K320" s="213"/>
    </row>
    <row r="321" spans="11:11" x14ac:dyDescent="0.15">
      <c r="K321" s="213"/>
    </row>
    <row r="322" spans="11:11" x14ac:dyDescent="0.15">
      <c r="K322" s="213"/>
    </row>
    <row r="323" spans="11:11" x14ac:dyDescent="0.15">
      <c r="K323" s="213"/>
    </row>
    <row r="324" spans="11:11" x14ac:dyDescent="0.15">
      <c r="K324" s="213"/>
    </row>
    <row r="325" spans="11:11" x14ac:dyDescent="0.15">
      <c r="K325" s="213"/>
    </row>
    <row r="326" spans="11:11" x14ac:dyDescent="0.15">
      <c r="K326" s="213"/>
    </row>
    <row r="327" spans="11:11" x14ac:dyDescent="0.15">
      <c r="K327" s="213"/>
    </row>
    <row r="328" spans="11:11" x14ac:dyDescent="0.15">
      <c r="K328" s="213"/>
    </row>
    <row r="329" spans="11:11" x14ac:dyDescent="0.15">
      <c r="K329" s="213"/>
    </row>
    <row r="330" spans="11:11" x14ac:dyDescent="0.15">
      <c r="K330" s="213"/>
    </row>
    <row r="331" spans="11:11" x14ac:dyDescent="0.15">
      <c r="K331" s="213"/>
    </row>
    <row r="332" spans="11:11" x14ac:dyDescent="0.15">
      <c r="K332" s="213"/>
    </row>
    <row r="333" spans="11:11" x14ac:dyDescent="0.15">
      <c r="K333" s="213"/>
    </row>
    <row r="334" spans="11:11" x14ac:dyDescent="0.15">
      <c r="K334" s="213"/>
    </row>
    <row r="335" spans="11:11" x14ac:dyDescent="0.15">
      <c r="K335" s="213"/>
    </row>
    <row r="336" spans="11:11" x14ac:dyDescent="0.15">
      <c r="K336" s="213"/>
    </row>
    <row r="337" spans="11:11" x14ac:dyDescent="0.15">
      <c r="K337" s="213"/>
    </row>
    <row r="338" spans="11:11" x14ac:dyDescent="0.15">
      <c r="K338" s="213"/>
    </row>
    <row r="339" spans="11:11" x14ac:dyDescent="0.15">
      <c r="K339" s="213"/>
    </row>
    <row r="340" spans="11:11" x14ac:dyDescent="0.15">
      <c r="K340" s="213"/>
    </row>
    <row r="341" spans="11:11" x14ac:dyDescent="0.15">
      <c r="K341" s="213"/>
    </row>
    <row r="342" spans="11:11" x14ac:dyDescent="0.15">
      <c r="K342" s="213"/>
    </row>
    <row r="343" spans="11:11" x14ac:dyDescent="0.15">
      <c r="K343" s="213"/>
    </row>
    <row r="344" spans="11:11" x14ac:dyDescent="0.15">
      <c r="K344" s="213"/>
    </row>
    <row r="345" spans="11:11" x14ac:dyDescent="0.15">
      <c r="K345" s="213"/>
    </row>
    <row r="346" spans="11:11" x14ac:dyDescent="0.15">
      <c r="K346" s="213"/>
    </row>
    <row r="347" spans="11:11" x14ac:dyDescent="0.15">
      <c r="K347" s="213"/>
    </row>
    <row r="348" spans="11:11" x14ac:dyDescent="0.15">
      <c r="K348" s="213"/>
    </row>
    <row r="349" spans="11:11" x14ac:dyDescent="0.15">
      <c r="K349" s="213"/>
    </row>
    <row r="350" spans="11:11" x14ac:dyDescent="0.15">
      <c r="K350" s="213"/>
    </row>
    <row r="351" spans="11:11" x14ac:dyDescent="0.15">
      <c r="K351" s="213"/>
    </row>
    <row r="352" spans="11:11" x14ac:dyDescent="0.15">
      <c r="K352" s="213"/>
    </row>
    <row r="353" spans="11:11" x14ac:dyDescent="0.15">
      <c r="K353" s="213"/>
    </row>
    <row r="354" spans="11:11" x14ac:dyDescent="0.15">
      <c r="K354" s="213"/>
    </row>
    <row r="355" spans="11:11" x14ac:dyDescent="0.15">
      <c r="K355" s="213"/>
    </row>
    <row r="356" spans="11:11" x14ac:dyDescent="0.15">
      <c r="K356" s="213"/>
    </row>
    <row r="357" spans="11:11" x14ac:dyDescent="0.15">
      <c r="K357" s="213"/>
    </row>
    <row r="358" spans="11:11" x14ac:dyDescent="0.15">
      <c r="K358" s="213"/>
    </row>
    <row r="359" spans="11:11" x14ac:dyDescent="0.15">
      <c r="K359" s="213"/>
    </row>
    <row r="360" spans="11:11" x14ac:dyDescent="0.15">
      <c r="K360" s="213"/>
    </row>
    <row r="361" spans="11:11" x14ac:dyDescent="0.15">
      <c r="K361" s="213"/>
    </row>
    <row r="362" spans="11:11" x14ac:dyDescent="0.15">
      <c r="K362" s="213"/>
    </row>
    <row r="363" spans="11:11" x14ac:dyDescent="0.15">
      <c r="K363" s="213"/>
    </row>
    <row r="364" spans="11:11" x14ac:dyDescent="0.15">
      <c r="K364" s="213"/>
    </row>
    <row r="365" spans="11:11" x14ac:dyDescent="0.15">
      <c r="K365" s="213"/>
    </row>
    <row r="366" spans="11:11" x14ac:dyDescent="0.15">
      <c r="K366" s="213"/>
    </row>
    <row r="367" spans="11:11" x14ac:dyDescent="0.15">
      <c r="K367" s="213"/>
    </row>
    <row r="368" spans="11:11" x14ac:dyDescent="0.15">
      <c r="K368" s="213"/>
    </row>
    <row r="369" spans="11:11" x14ac:dyDescent="0.15">
      <c r="K369" s="213"/>
    </row>
    <row r="370" spans="11:11" x14ac:dyDescent="0.15">
      <c r="K370" s="213"/>
    </row>
    <row r="371" spans="11:11" x14ac:dyDescent="0.15">
      <c r="K371" s="213"/>
    </row>
    <row r="372" spans="11:11" x14ac:dyDescent="0.15">
      <c r="K372" s="213"/>
    </row>
    <row r="373" spans="11:11" x14ac:dyDescent="0.15">
      <c r="K373" s="213"/>
    </row>
    <row r="374" spans="11:11" x14ac:dyDescent="0.15">
      <c r="K374" s="213"/>
    </row>
    <row r="375" spans="11:11" x14ac:dyDescent="0.15">
      <c r="K375" s="213"/>
    </row>
    <row r="376" spans="11:11" x14ac:dyDescent="0.15">
      <c r="K376" s="213"/>
    </row>
    <row r="377" spans="11:11" x14ac:dyDescent="0.15">
      <c r="K377" s="213"/>
    </row>
    <row r="378" spans="11:11" x14ac:dyDescent="0.15">
      <c r="K378" s="213"/>
    </row>
    <row r="379" spans="11:11" x14ac:dyDescent="0.15">
      <c r="K379" s="213"/>
    </row>
    <row r="380" spans="11:11" x14ac:dyDescent="0.15">
      <c r="K380" s="213"/>
    </row>
    <row r="381" spans="11:11" x14ac:dyDescent="0.15">
      <c r="K381" s="213"/>
    </row>
    <row r="382" spans="11:11" x14ac:dyDescent="0.15">
      <c r="K382" s="213"/>
    </row>
    <row r="383" spans="11:11" x14ac:dyDescent="0.15">
      <c r="K383" s="213"/>
    </row>
    <row r="384" spans="11:11" x14ac:dyDescent="0.15">
      <c r="K384" s="213"/>
    </row>
    <row r="385" spans="11:11" x14ac:dyDescent="0.15">
      <c r="K385" s="213"/>
    </row>
    <row r="386" spans="11:11" x14ac:dyDescent="0.15">
      <c r="K386" s="213"/>
    </row>
    <row r="387" spans="11:11" x14ac:dyDescent="0.15">
      <c r="K387" s="213"/>
    </row>
    <row r="388" spans="11:11" x14ac:dyDescent="0.15">
      <c r="K388" s="213"/>
    </row>
    <row r="389" spans="11:11" x14ac:dyDescent="0.15">
      <c r="K389" s="213"/>
    </row>
    <row r="390" spans="11:11" x14ac:dyDescent="0.15">
      <c r="K390" s="213"/>
    </row>
    <row r="391" spans="11:11" x14ac:dyDescent="0.15">
      <c r="K391" s="213"/>
    </row>
    <row r="392" spans="11:11" x14ac:dyDescent="0.15">
      <c r="K392" s="213"/>
    </row>
    <row r="393" spans="11:11" x14ac:dyDescent="0.15">
      <c r="K393" s="213"/>
    </row>
    <row r="394" spans="11:11" x14ac:dyDescent="0.15">
      <c r="K394" s="213"/>
    </row>
    <row r="395" spans="11:11" x14ac:dyDescent="0.15">
      <c r="K395" s="213"/>
    </row>
    <row r="396" spans="11:11" x14ac:dyDescent="0.15">
      <c r="K396" s="213"/>
    </row>
    <row r="397" spans="11:11" x14ac:dyDescent="0.15">
      <c r="K397" s="213"/>
    </row>
    <row r="398" spans="11:11" x14ac:dyDescent="0.15">
      <c r="K398" s="213"/>
    </row>
    <row r="399" spans="11:11" x14ac:dyDescent="0.15">
      <c r="K399" s="213"/>
    </row>
    <row r="400" spans="11:11" x14ac:dyDescent="0.15">
      <c r="K400" s="213"/>
    </row>
    <row r="401" spans="11:11" x14ac:dyDescent="0.15">
      <c r="K401" s="213"/>
    </row>
    <row r="402" spans="11:11" x14ac:dyDescent="0.15">
      <c r="K402" s="213"/>
    </row>
    <row r="403" spans="11:11" x14ac:dyDescent="0.15">
      <c r="K403" s="213"/>
    </row>
    <row r="404" spans="11:11" x14ac:dyDescent="0.15">
      <c r="K404" s="213"/>
    </row>
    <row r="405" spans="11:11" x14ac:dyDescent="0.15">
      <c r="K405" s="213"/>
    </row>
    <row r="406" spans="11:11" x14ac:dyDescent="0.15">
      <c r="K406" s="213"/>
    </row>
    <row r="407" spans="11:11" x14ac:dyDescent="0.15">
      <c r="K407" s="213"/>
    </row>
    <row r="408" spans="11:11" x14ac:dyDescent="0.15">
      <c r="K408" s="213"/>
    </row>
    <row r="409" spans="11:11" x14ac:dyDescent="0.15">
      <c r="K409" s="213"/>
    </row>
    <row r="410" spans="11:11" x14ac:dyDescent="0.15">
      <c r="K410" s="213"/>
    </row>
    <row r="411" spans="11:11" x14ac:dyDescent="0.15">
      <c r="K411" s="213"/>
    </row>
    <row r="412" spans="11:11" x14ac:dyDescent="0.15">
      <c r="K412" s="213"/>
    </row>
    <row r="413" spans="11:11" x14ac:dyDescent="0.15">
      <c r="K413" s="213"/>
    </row>
    <row r="414" spans="11:11" x14ac:dyDescent="0.15">
      <c r="K414" s="213"/>
    </row>
    <row r="415" spans="11:11" x14ac:dyDescent="0.15">
      <c r="K415" s="213"/>
    </row>
    <row r="416" spans="11:11" x14ac:dyDescent="0.15">
      <c r="K416" s="213"/>
    </row>
    <row r="417" spans="11:11" x14ac:dyDescent="0.15">
      <c r="K417" s="213"/>
    </row>
    <row r="418" spans="11:11" x14ac:dyDescent="0.15">
      <c r="K418" s="213"/>
    </row>
    <row r="419" spans="11:11" x14ac:dyDescent="0.15">
      <c r="K419" s="213"/>
    </row>
    <row r="420" spans="11:11" x14ac:dyDescent="0.15">
      <c r="K420" s="213"/>
    </row>
    <row r="421" spans="11:11" x14ac:dyDescent="0.15">
      <c r="K421" s="213"/>
    </row>
    <row r="422" spans="11:11" x14ac:dyDescent="0.15">
      <c r="K422" s="213"/>
    </row>
    <row r="423" spans="11:11" x14ac:dyDescent="0.15">
      <c r="K423" s="213"/>
    </row>
    <row r="424" spans="11:11" x14ac:dyDescent="0.15">
      <c r="K424" s="213"/>
    </row>
    <row r="425" spans="11:11" x14ac:dyDescent="0.15">
      <c r="K425" s="213"/>
    </row>
    <row r="426" spans="11:11" x14ac:dyDescent="0.15">
      <c r="K426" s="213"/>
    </row>
    <row r="427" spans="11:11" x14ac:dyDescent="0.15">
      <c r="K427" s="213"/>
    </row>
    <row r="428" spans="11:11" x14ac:dyDescent="0.15">
      <c r="K428" s="213"/>
    </row>
    <row r="429" spans="11:11" x14ac:dyDescent="0.15">
      <c r="K429" s="213"/>
    </row>
    <row r="430" spans="11:11" x14ac:dyDescent="0.15">
      <c r="K430" s="213"/>
    </row>
    <row r="431" spans="11:11" x14ac:dyDescent="0.15">
      <c r="K431" s="213"/>
    </row>
    <row r="432" spans="11:11" x14ac:dyDescent="0.15">
      <c r="K432" s="213"/>
    </row>
    <row r="433" spans="11:11" x14ac:dyDescent="0.15">
      <c r="K433" s="213"/>
    </row>
    <row r="434" spans="11:11" x14ac:dyDescent="0.15">
      <c r="K434" s="213"/>
    </row>
    <row r="435" spans="11:11" x14ac:dyDescent="0.15">
      <c r="K435" s="213"/>
    </row>
    <row r="436" spans="11:11" x14ac:dyDescent="0.15">
      <c r="K436" s="213"/>
    </row>
    <row r="437" spans="11:11" x14ac:dyDescent="0.15">
      <c r="K437" s="213"/>
    </row>
    <row r="438" spans="11:11" x14ac:dyDescent="0.15">
      <c r="K438" s="213"/>
    </row>
    <row r="439" spans="11:11" x14ac:dyDescent="0.15">
      <c r="K439" s="213"/>
    </row>
    <row r="440" spans="11:11" x14ac:dyDescent="0.15">
      <c r="K440" s="213"/>
    </row>
    <row r="441" spans="11:11" x14ac:dyDescent="0.15">
      <c r="K441" s="213"/>
    </row>
    <row r="442" spans="11:11" x14ac:dyDescent="0.15">
      <c r="K442" s="213"/>
    </row>
    <row r="443" spans="11:11" x14ac:dyDescent="0.15">
      <c r="K443" s="213"/>
    </row>
    <row r="444" spans="11:11" x14ac:dyDescent="0.15">
      <c r="K444" s="213"/>
    </row>
    <row r="445" spans="11:11" x14ac:dyDescent="0.15">
      <c r="K445" s="213"/>
    </row>
    <row r="446" spans="11:11" x14ac:dyDescent="0.15">
      <c r="K446" s="213"/>
    </row>
    <row r="447" spans="11:11" x14ac:dyDescent="0.15">
      <c r="K447" s="213"/>
    </row>
    <row r="448" spans="11:11" x14ac:dyDescent="0.15">
      <c r="K448" s="213"/>
    </row>
    <row r="449" spans="11:11" x14ac:dyDescent="0.15">
      <c r="K449" s="213"/>
    </row>
    <row r="450" spans="11:11" x14ac:dyDescent="0.15">
      <c r="K450" s="213"/>
    </row>
  </sheetData>
  <autoFilter ref="A1:BA52"/>
  <phoneticPr fontId="3"/>
  <dataValidations count="18">
    <dataValidation type="list" allowBlank="1" showInputMessage="1" showErrorMessage="1" sqref="K2:K450">
      <formula1>$AR$2:$AR$26</formula1>
    </dataValidation>
    <dataValidation type="list" allowBlank="1" showInputMessage="1" showErrorMessage="1" sqref="WWF1:WWF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X1:X1048576">
      <formula1>$AT$2:$AT$3</formula1>
    </dataValidation>
    <dataValidation type="list" allowBlank="1" showInputMessage="1" showErrorMessage="1" sqref="WVQ1:WVQ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I1:I1048576">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formula1>$AJ$2:$AJ$4</formula1>
    </dataValidation>
    <dataValidation type="list" allowBlank="1" showInputMessage="1" showErrorMessage="1" sqref="IU11:IU21 SQ11:SQ21 ACM11:ACM21 AMI11:AMI21 AWE11:AWE21 BGA11:BGA21 BPW11:BPW21 BZS11:BZS21 CJO11:CJO21 CTK11:CTK21 DDG11:DDG21 DNC11:DNC21 DWY11:DWY21 EGU11:EGU21 EQQ11:EQQ21 FAM11:FAM21 FKI11:FKI21 FUE11:FUE21 GEA11:GEA21 GNW11:GNW21 GXS11:GXS21 HHO11:HHO21 HRK11:HRK21 IBG11:IBG21 ILC11:ILC21 IUY11:IUY21 JEU11:JEU21 JOQ11:JOQ21 JYM11:JYM21 KII11:KII21 KSE11:KSE21 LCA11:LCA21 LLW11:LLW21 LVS11:LVS21 MFO11:MFO21 MPK11:MPK21 MZG11:MZG21 NJC11:NJC21 NSY11:NSY21 OCU11:OCU21 OMQ11:OMQ21 OWM11:OWM21 PGI11:PGI21 PQE11:PQE21 QAA11:QAA21 QJW11:QJW21 QTS11:QTS21 RDO11:RDO21 RNK11:RNK21 RXG11:RXG21 SHC11:SHC21 SQY11:SQY21 TAU11:TAU21 TKQ11:TKQ21 TUM11:TUM21 UEI11:UEI21 UOE11:UOE21 UYA11:UYA21 VHW11:VHW21 VRS11:VRS21 WBO11:WBO21 WLK11:WLK21 WVG11:WVG21 XFC11:XFC21 IU65547:IU65557 SQ65547:SQ65557 ACM65547:ACM65557 AMI65547:AMI65557 AWE65547:AWE65557 BGA65547:BGA65557 BPW65547:BPW65557 BZS65547:BZS65557 CJO65547:CJO65557 CTK65547:CTK65557 DDG65547:DDG65557 DNC65547:DNC65557 DWY65547:DWY65557 EGU65547:EGU65557 EQQ65547:EQQ65557 FAM65547:FAM65557 FKI65547:FKI65557 FUE65547:FUE65557 GEA65547:GEA65557 GNW65547:GNW65557 GXS65547:GXS65557 HHO65547:HHO65557 HRK65547:HRK65557 IBG65547:IBG65557 ILC65547:ILC65557 IUY65547:IUY65557 JEU65547:JEU65557 JOQ65547:JOQ65557 JYM65547:JYM65557 KII65547:KII65557 KSE65547:KSE65557 LCA65547:LCA65557 LLW65547:LLW65557 LVS65547:LVS65557 MFO65547:MFO65557 MPK65547:MPK65557 MZG65547:MZG65557 NJC65547:NJC65557 NSY65547:NSY65557 OCU65547:OCU65557 OMQ65547:OMQ65557 OWM65547:OWM65557 PGI65547:PGI65557 PQE65547:PQE65557 QAA65547:QAA65557 QJW65547:QJW65557 QTS65547:QTS65557 RDO65547:RDO65557 RNK65547:RNK65557 RXG65547:RXG65557 SHC65547:SHC65557 SQY65547:SQY65557 TAU65547:TAU65557 TKQ65547:TKQ65557 TUM65547:TUM65557 UEI65547:UEI65557 UOE65547:UOE65557 UYA65547:UYA65557 VHW65547:VHW65557 VRS65547:VRS65557 WBO65547:WBO65557 WLK65547:WLK65557 WVG65547:WVG65557 XFC65547:XFC65557 IU131083:IU131093 SQ131083:SQ131093 ACM131083:ACM131093 AMI131083:AMI131093 AWE131083:AWE131093 BGA131083:BGA131093 BPW131083:BPW131093 BZS131083:BZS131093 CJO131083:CJO131093 CTK131083:CTK131093 DDG131083:DDG131093 DNC131083:DNC131093 DWY131083:DWY131093 EGU131083:EGU131093 EQQ131083:EQQ131093 FAM131083:FAM131093 FKI131083:FKI131093 FUE131083:FUE131093 GEA131083:GEA131093 GNW131083:GNW131093 GXS131083:GXS131093 HHO131083:HHO131093 HRK131083:HRK131093 IBG131083:IBG131093 ILC131083:ILC131093 IUY131083:IUY131093 JEU131083:JEU131093 JOQ131083:JOQ131093 JYM131083:JYM131093 KII131083:KII131093 KSE131083:KSE131093 LCA131083:LCA131093 LLW131083:LLW131093 LVS131083:LVS131093 MFO131083:MFO131093 MPK131083:MPK131093 MZG131083:MZG131093 NJC131083:NJC131093 NSY131083:NSY131093 OCU131083:OCU131093 OMQ131083:OMQ131093 OWM131083:OWM131093 PGI131083:PGI131093 PQE131083:PQE131093 QAA131083:QAA131093 QJW131083:QJW131093 QTS131083:QTS131093 RDO131083:RDO131093 RNK131083:RNK131093 RXG131083:RXG131093 SHC131083:SHC131093 SQY131083:SQY131093 TAU131083:TAU131093 TKQ131083:TKQ131093 TUM131083:TUM131093 UEI131083:UEI131093 UOE131083:UOE131093 UYA131083:UYA131093 VHW131083:VHW131093 VRS131083:VRS131093 WBO131083:WBO131093 WLK131083:WLK131093 WVG131083:WVG131093 XFC131083:XFC131093 IU196619:IU196629 SQ196619:SQ196629 ACM196619:ACM196629 AMI196619:AMI196629 AWE196619:AWE196629 BGA196619:BGA196629 BPW196619:BPW196629 BZS196619:BZS196629 CJO196619:CJO196629 CTK196619:CTK196629 DDG196619:DDG196629 DNC196619:DNC196629 DWY196619:DWY196629 EGU196619:EGU196629 EQQ196619:EQQ196629 FAM196619:FAM196629 FKI196619:FKI196629 FUE196619:FUE196629 GEA196619:GEA196629 GNW196619:GNW196629 GXS196619:GXS196629 HHO196619:HHO196629 HRK196619:HRK196629 IBG196619:IBG196629 ILC196619:ILC196629 IUY196619:IUY196629 JEU196619:JEU196629 JOQ196619:JOQ196629 JYM196619:JYM196629 KII196619:KII196629 KSE196619:KSE196629 LCA196619:LCA196629 LLW196619:LLW196629 LVS196619:LVS196629 MFO196619:MFO196629 MPK196619:MPK196629 MZG196619:MZG196629 NJC196619:NJC196629 NSY196619:NSY196629 OCU196619:OCU196629 OMQ196619:OMQ196629 OWM196619:OWM196629 PGI196619:PGI196629 PQE196619:PQE196629 QAA196619:QAA196629 QJW196619:QJW196629 QTS196619:QTS196629 RDO196619:RDO196629 RNK196619:RNK196629 RXG196619:RXG196629 SHC196619:SHC196629 SQY196619:SQY196629 TAU196619:TAU196629 TKQ196619:TKQ196629 TUM196619:TUM196629 UEI196619:UEI196629 UOE196619:UOE196629 UYA196619:UYA196629 VHW196619:VHW196629 VRS196619:VRS196629 WBO196619:WBO196629 WLK196619:WLK196629 WVG196619:WVG196629 XFC196619:XFC196629 IU262155:IU262165 SQ262155:SQ262165 ACM262155:ACM262165 AMI262155:AMI262165 AWE262155:AWE262165 BGA262155:BGA262165 BPW262155:BPW262165 BZS262155:BZS262165 CJO262155:CJO262165 CTK262155:CTK262165 DDG262155:DDG262165 DNC262155:DNC262165 DWY262155:DWY262165 EGU262155:EGU262165 EQQ262155:EQQ262165 FAM262155:FAM262165 FKI262155:FKI262165 FUE262155:FUE262165 GEA262155:GEA262165 GNW262155:GNW262165 GXS262155:GXS262165 HHO262155:HHO262165 HRK262155:HRK262165 IBG262155:IBG262165 ILC262155:ILC262165 IUY262155:IUY262165 JEU262155:JEU262165 JOQ262155:JOQ262165 JYM262155:JYM262165 KII262155:KII262165 KSE262155:KSE262165 LCA262155:LCA262165 LLW262155:LLW262165 LVS262155:LVS262165 MFO262155:MFO262165 MPK262155:MPK262165 MZG262155:MZG262165 NJC262155:NJC262165 NSY262155:NSY262165 OCU262155:OCU262165 OMQ262155:OMQ262165 OWM262155:OWM262165 PGI262155:PGI262165 PQE262155:PQE262165 QAA262155:QAA262165 QJW262155:QJW262165 QTS262155:QTS262165 RDO262155:RDO262165 RNK262155:RNK262165 RXG262155:RXG262165 SHC262155:SHC262165 SQY262155:SQY262165 TAU262155:TAU262165 TKQ262155:TKQ262165 TUM262155:TUM262165 UEI262155:UEI262165 UOE262155:UOE262165 UYA262155:UYA262165 VHW262155:VHW262165 VRS262155:VRS262165 WBO262155:WBO262165 WLK262155:WLK262165 WVG262155:WVG262165 XFC262155:XFC262165 IU327691:IU327701 SQ327691:SQ327701 ACM327691:ACM327701 AMI327691:AMI327701 AWE327691:AWE327701 BGA327691:BGA327701 BPW327691:BPW327701 BZS327691:BZS327701 CJO327691:CJO327701 CTK327691:CTK327701 DDG327691:DDG327701 DNC327691:DNC327701 DWY327691:DWY327701 EGU327691:EGU327701 EQQ327691:EQQ327701 FAM327691:FAM327701 FKI327691:FKI327701 FUE327691:FUE327701 GEA327691:GEA327701 GNW327691:GNW327701 GXS327691:GXS327701 HHO327691:HHO327701 HRK327691:HRK327701 IBG327691:IBG327701 ILC327691:ILC327701 IUY327691:IUY327701 JEU327691:JEU327701 JOQ327691:JOQ327701 JYM327691:JYM327701 KII327691:KII327701 KSE327691:KSE327701 LCA327691:LCA327701 LLW327691:LLW327701 LVS327691:LVS327701 MFO327691:MFO327701 MPK327691:MPK327701 MZG327691:MZG327701 NJC327691:NJC327701 NSY327691:NSY327701 OCU327691:OCU327701 OMQ327691:OMQ327701 OWM327691:OWM327701 PGI327691:PGI327701 PQE327691:PQE327701 QAA327691:QAA327701 QJW327691:QJW327701 QTS327691:QTS327701 RDO327691:RDO327701 RNK327691:RNK327701 RXG327691:RXG327701 SHC327691:SHC327701 SQY327691:SQY327701 TAU327691:TAU327701 TKQ327691:TKQ327701 TUM327691:TUM327701 UEI327691:UEI327701 UOE327691:UOE327701 UYA327691:UYA327701 VHW327691:VHW327701 VRS327691:VRS327701 WBO327691:WBO327701 WLK327691:WLK327701 WVG327691:WVG327701 XFC327691:XFC327701 IU393227:IU393237 SQ393227:SQ393237 ACM393227:ACM393237 AMI393227:AMI393237 AWE393227:AWE393237 BGA393227:BGA393237 BPW393227:BPW393237 BZS393227:BZS393237 CJO393227:CJO393237 CTK393227:CTK393237 DDG393227:DDG393237 DNC393227:DNC393237 DWY393227:DWY393237 EGU393227:EGU393237 EQQ393227:EQQ393237 FAM393227:FAM393237 FKI393227:FKI393237 FUE393227:FUE393237 GEA393227:GEA393237 GNW393227:GNW393237 GXS393227:GXS393237 HHO393227:HHO393237 HRK393227:HRK393237 IBG393227:IBG393237 ILC393227:ILC393237 IUY393227:IUY393237 JEU393227:JEU393237 JOQ393227:JOQ393237 JYM393227:JYM393237 KII393227:KII393237 KSE393227:KSE393237 LCA393227:LCA393237 LLW393227:LLW393237 LVS393227:LVS393237 MFO393227:MFO393237 MPK393227:MPK393237 MZG393227:MZG393237 NJC393227:NJC393237 NSY393227:NSY393237 OCU393227:OCU393237 OMQ393227:OMQ393237 OWM393227:OWM393237 PGI393227:PGI393237 PQE393227:PQE393237 QAA393227:QAA393237 QJW393227:QJW393237 QTS393227:QTS393237 RDO393227:RDO393237 RNK393227:RNK393237 RXG393227:RXG393237 SHC393227:SHC393237 SQY393227:SQY393237 TAU393227:TAU393237 TKQ393227:TKQ393237 TUM393227:TUM393237 UEI393227:UEI393237 UOE393227:UOE393237 UYA393227:UYA393237 VHW393227:VHW393237 VRS393227:VRS393237 WBO393227:WBO393237 WLK393227:WLK393237 WVG393227:WVG393237 XFC393227:XFC393237 IU458763:IU458773 SQ458763:SQ458773 ACM458763:ACM458773 AMI458763:AMI458773 AWE458763:AWE458773 BGA458763:BGA458773 BPW458763:BPW458773 BZS458763:BZS458773 CJO458763:CJO458773 CTK458763:CTK458773 DDG458763:DDG458773 DNC458763:DNC458773 DWY458763:DWY458773 EGU458763:EGU458773 EQQ458763:EQQ458773 FAM458763:FAM458773 FKI458763:FKI458773 FUE458763:FUE458773 GEA458763:GEA458773 GNW458763:GNW458773 GXS458763:GXS458773 HHO458763:HHO458773 HRK458763:HRK458773 IBG458763:IBG458773 ILC458763:ILC458773 IUY458763:IUY458773 JEU458763:JEU458773 JOQ458763:JOQ458773 JYM458763:JYM458773 KII458763:KII458773 KSE458763:KSE458773 LCA458763:LCA458773 LLW458763:LLW458773 LVS458763:LVS458773 MFO458763:MFO458773 MPK458763:MPK458773 MZG458763:MZG458773 NJC458763:NJC458773 NSY458763:NSY458773 OCU458763:OCU458773 OMQ458763:OMQ458773 OWM458763:OWM458773 PGI458763:PGI458773 PQE458763:PQE458773 QAA458763:QAA458773 QJW458763:QJW458773 QTS458763:QTS458773 RDO458763:RDO458773 RNK458763:RNK458773 RXG458763:RXG458773 SHC458763:SHC458773 SQY458763:SQY458773 TAU458763:TAU458773 TKQ458763:TKQ458773 TUM458763:TUM458773 UEI458763:UEI458773 UOE458763:UOE458773 UYA458763:UYA458773 VHW458763:VHW458773 VRS458763:VRS458773 WBO458763:WBO458773 WLK458763:WLK458773 WVG458763:WVG458773 XFC458763:XFC458773 IU524299:IU524309 SQ524299:SQ524309 ACM524299:ACM524309 AMI524299:AMI524309 AWE524299:AWE524309 BGA524299:BGA524309 BPW524299:BPW524309 BZS524299:BZS524309 CJO524299:CJO524309 CTK524299:CTK524309 DDG524299:DDG524309 DNC524299:DNC524309 DWY524299:DWY524309 EGU524299:EGU524309 EQQ524299:EQQ524309 FAM524299:FAM524309 FKI524299:FKI524309 FUE524299:FUE524309 GEA524299:GEA524309 GNW524299:GNW524309 GXS524299:GXS524309 HHO524299:HHO524309 HRK524299:HRK524309 IBG524299:IBG524309 ILC524299:ILC524309 IUY524299:IUY524309 JEU524299:JEU524309 JOQ524299:JOQ524309 JYM524299:JYM524309 KII524299:KII524309 KSE524299:KSE524309 LCA524299:LCA524309 LLW524299:LLW524309 LVS524299:LVS524309 MFO524299:MFO524309 MPK524299:MPK524309 MZG524299:MZG524309 NJC524299:NJC524309 NSY524299:NSY524309 OCU524299:OCU524309 OMQ524299:OMQ524309 OWM524299:OWM524309 PGI524299:PGI524309 PQE524299:PQE524309 QAA524299:QAA524309 QJW524299:QJW524309 QTS524299:QTS524309 RDO524299:RDO524309 RNK524299:RNK524309 RXG524299:RXG524309 SHC524299:SHC524309 SQY524299:SQY524309 TAU524299:TAU524309 TKQ524299:TKQ524309 TUM524299:TUM524309 UEI524299:UEI524309 UOE524299:UOE524309 UYA524299:UYA524309 VHW524299:VHW524309 VRS524299:VRS524309 WBO524299:WBO524309 WLK524299:WLK524309 WVG524299:WVG524309 XFC524299:XFC524309 IU589835:IU589845 SQ589835:SQ589845 ACM589835:ACM589845 AMI589835:AMI589845 AWE589835:AWE589845 BGA589835:BGA589845 BPW589835:BPW589845 BZS589835:BZS589845 CJO589835:CJO589845 CTK589835:CTK589845 DDG589835:DDG589845 DNC589835:DNC589845 DWY589835:DWY589845 EGU589835:EGU589845 EQQ589835:EQQ589845 FAM589835:FAM589845 FKI589835:FKI589845 FUE589835:FUE589845 GEA589835:GEA589845 GNW589835:GNW589845 GXS589835:GXS589845 HHO589835:HHO589845 HRK589835:HRK589845 IBG589835:IBG589845 ILC589835:ILC589845 IUY589835:IUY589845 JEU589835:JEU589845 JOQ589835:JOQ589845 JYM589835:JYM589845 KII589835:KII589845 KSE589835:KSE589845 LCA589835:LCA589845 LLW589835:LLW589845 LVS589835:LVS589845 MFO589835:MFO589845 MPK589835:MPK589845 MZG589835:MZG589845 NJC589835:NJC589845 NSY589835:NSY589845 OCU589835:OCU589845 OMQ589835:OMQ589845 OWM589835:OWM589845 PGI589835:PGI589845 PQE589835:PQE589845 QAA589835:QAA589845 QJW589835:QJW589845 QTS589835:QTS589845 RDO589835:RDO589845 RNK589835:RNK589845 RXG589835:RXG589845 SHC589835:SHC589845 SQY589835:SQY589845 TAU589835:TAU589845 TKQ589835:TKQ589845 TUM589835:TUM589845 UEI589835:UEI589845 UOE589835:UOE589845 UYA589835:UYA589845 VHW589835:VHW589845 VRS589835:VRS589845 WBO589835:WBO589845 WLK589835:WLK589845 WVG589835:WVG589845 XFC589835:XFC589845 IU655371:IU655381 SQ655371:SQ655381 ACM655371:ACM655381 AMI655371:AMI655381 AWE655371:AWE655381 BGA655371:BGA655381 BPW655371:BPW655381 BZS655371:BZS655381 CJO655371:CJO655381 CTK655371:CTK655381 DDG655371:DDG655381 DNC655371:DNC655381 DWY655371:DWY655381 EGU655371:EGU655381 EQQ655371:EQQ655381 FAM655371:FAM655381 FKI655371:FKI655381 FUE655371:FUE655381 GEA655371:GEA655381 GNW655371:GNW655381 GXS655371:GXS655381 HHO655371:HHO655381 HRK655371:HRK655381 IBG655371:IBG655381 ILC655371:ILC655381 IUY655371:IUY655381 JEU655371:JEU655381 JOQ655371:JOQ655381 JYM655371:JYM655381 KII655371:KII655381 KSE655371:KSE655381 LCA655371:LCA655381 LLW655371:LLW655381 LVS655371:LVS655381 MFO655371:MFO655381 MPK655371:MPK655381 MZG655371:MZG655381 NJC655371:NJC655381 NSY655371:NSY655381 OCU655371:OCU655381 OMQ655371:OMQ655381 OWM655371:OWM655381 PGI655371:PGI655381 PQE655371:PQE655381 QAA655371:QAA655381 QJW655371:QJW655381 QTS655371:QTS655381 RDO655371:RDO655381 RNK655371:RNK655381 RXG655371:RXG655381 SHC655371:SHC655381 SQY655371:SQY655381 TAU655371:TAU655381 TKQ655371:TKQ655381 TUM655371:TUM655381 UEI655371:UEI655381 UOE655371:UOE655381 UYA655371:UYA655381 VHW655371:VHW655381 VRS655371:VRS655381 WBO655371:WBO655381 WLK655371:WLK655381 WVG655371:WVG655381 XFC655371:XFC655381 IU720907:IU720917 SQ720907:SQ720917 ACM720907:ACM720917 AMI720907:AMI720917 AWE720907:AWE720917 BGA720907:BGA720917 BPW720907:BPW720917 BZS720907:BZS720917 CJO720907:CJO720917 CTK720907:CTK720917 DDG720907:DDG720917 DNC720907:DNC720917 DWY720907:DWY720917 EGU720907:EGU720917 EQQ720907:EQQ720917 FAM720907:FAM720917 FKI720907:FKI720917 FUE720907:FUE720917 GEA720907:GEA720917 GNW720907:GNW720917 GXS720907:GXS720917 HHO720907:HHO720917 HRK720907:HRK720917 IBG720907:IBG720917 ILC720907:ILC720917 IUY720907:IUY720917 JEU720907:JEU720917 JOQ720907:JOQ720917 JYM720907:JYM720917 KII720907:KII720917 KSE720907:KSE720917 LCA720907:LCA720917 LLW720907:LLW720917 LVS720907:LVS720917 MFO720907:MFO720917 MPK720907:MPK720917 MZG720907:MZG720917 NJC720907:NJC720917 NSY720907:NSY720917 OCU720907:OCU720917 OMQ720907:OMQ720917 OWM720907:OWM720917 PGI720907:PGI720917 PQE720907:PQE720917 QAA720907:QAA720917 QJW720907:QJW720917 QTS720907:QTS720917 RDO720907:RDO720917 RNK720907:RNK720917 RXG720907:RXG720917 SHC720907:SHC720917 SQY720907:SQY720917 TAU720907:TAU720917 TKQ720907:TKQ720917 TUM720907:TUM720917 UEI720907:UEI720917 UOE720907:UOE720917 UYA720907:UYA720917 VHW720907:VHW720917 VRS720907:VRS720917 WBO720907:WBO720917 WLK720907:WLK720917 WVG720907:WVG720917 XFC720907:XFC720917 IU786443:IU786453 SQ786443:SQ786453 ACM786443:ACM786453 AMI786443:AMI786453 AWE786443:AWE786453 BGA786443:BGA786453 BPW786443:BPW786453 BZS786443:BZS786453 CJO786443:CJO786453 CTK786443:CTK786453 DDG786443:DDG786453 DNC786443:DNC786453 DWY786443:DWY786453 EGU786443:EGU786453 EQQ786443:EQQ786453 FAM786443:FAM786453 FKI786443:FKI786453 FUE786443:FUE786453 GEA786443:GEA786453 GNW786443:GNW786453 GXS786443:GXS786453 HHO786443:HHO786453 HRK786443:HRK786453 IBG786443:IBG786453 ILC786443:ILC786453 IUY786443:IUY786453 JEU786443:JEU786453 JOQ786443:JOQ786453 JYM786443:JYM786453 KII786443:KII786453 KSE786443:KSE786453 LCA786443:LCA786453 LLW786443:LLW786453 LVS786443:LVS786453 MFO786443:MFO786453 MPK786443:MPK786453 MZG786443:MZG786453 NJC786443:NJC786453 NSY786443:NSY786453 OCU786443:OCU786453 OMQ786443:OMQ786453 OWM786443:OWM786453 PGI786443:PGI786453 PQE786443:PQE786453 QAA786443:QAA786453 QJW786443:QJW786453 QTS786443:QTS786453 RDO786443:RDO786453 RNK786443:RNK786453 RXG786443:RXG786453 SHC786443:SHC786453 SQY786443:SQY786453 TAU786443:TAU786453 TKQ786443:TKQ786453 TUM786443:TUM786453 UEI786443:UEI786453 UOE786443:UOE786453 UYA786443:UYA786453 VHW786443:VHW786453 VRS786443:VRS786453 WBO786443:WBO786453 WLK786443:WLK786453 WVG786443:WVG786453 XFC786443:XFC786453 IU851979:IU851989 SQ851979:SQ851989 ACM851979:ACM851989 AMI851979:AMI851989 AWE851979:AWE851989 BGA851979:BGA851989 BPW851979:BPW851989 BZS851979:BZS851989 CJO851979:CJO851989 CTK851979:CTK851989 DDG851979:DDG851989 DNC851979:DNC851989 DWY851979:DWY851989 EGU851979:EGU851989 EQQ851979:EQQ851989 FAM851979:FAM851989 FKI851979:FKI851989 FUE851979:FUE851989 GEA851979:GEA851989 GNW851979:GNW851989 GXS851979:GXS851989 HHO851979:HHO851989 HRK851979:HRK851989 IBG851979:IBG851989 ILC851979:ILC851989 IUY851979:IUY851989 JEU851979:JEU851989 JOQ851979:JOQ851989 JYM851979:JYM851989 KII851979:KII851989 KSE851979:KSE851989 LCA851979:LCA851989 LLW851979:LLW851989 LVS851979:LVS851989 MFO851979:MFO851989 MPK851979:MPK851989 MZG851979:MZG851989 NJC851979:NJC851989 NSY851979:NSY851989 OCU851979:OCU851989 OMQ851979:OMQ851989 OWM851979:OWM851989 PGI851979:PGI851989 PQE851979:PQE851989 QAA851979:QAA851989 QJW851979:QJW851989 QTS851979:QTS851989 RDO851979:RDO851989 RNK851979:RNK851989 RXG851979:RXG851989 SHC851979:SHC851989 SQY851979:SQY851989 TAU851979:TAU851989 TKQ851979:TKQ851989 TUM851979:TUM851989 UEI851979:UEI851989 UOE851979:UOE851989 UYA851979:UYA851989 VHW851979:VHW851989 VRS851979:VRS851989 WBO851979:WBO851989 WLK851979:WLK851989 WVG851979:WVG851989 XFC851979:XFC851989 IU917515:IU917525 SQ917515:SQ917525 ACM917515:ACM917525 AMI917515:AMI917525 AWE917515:AWE917525 BGA917515:BGA917525 BPW917515:BPW917525 BZS917515:BZS917525 CJO917515:CJO917525 CTK917515:CTK917525 DDG917515:DDG917525 DNC917515:DNC917525 DWY917515:DWY917525 EGU917515:EGU917525 EQQ917515:EQQ917525 FAM917515:FAM917525 FKI917515:FKI917525 FUE917515:FUE917525 GEA917515:GEA917525 GNW917515:GNW917525 GXS917515:GXS917525 HHO917515:HHO917525 HRK917515:HRK917525 IBG917515:IBG917525 ILC917515:ILC917525 IUY917515:IUY917525 JEU917515:JEU917525 JOQ917515:JOQ917525 JYM917515:JYM917525 KII917515:KII917525 KSE917515:KSE917525 LCA917515:LCA917525 LLW917515:LLW917525 LVS917515:LVS917525 MFO917515:MFO917525 MPK917515:MPK917525 MZG917515:MZG917525 NJC917515:NJC917525 NSY917515:NSY917525 OCU917515:OCU917525 OMQ917515:OMQ917525 OWM917515:OWM917525 PGI917515:PGI917525 PQE917515:PQE917525 QAA917515:QAA917525 QJW917515:QJW917525 QTS917515:QTS917525 RDO917515:RDO917525 RNK917515:RNK917525 RXG917515:RXG917525 SHC917515:SHC917525 SQY917515:SQY917525 TAU917515:TAU917525 TKQ917515:TKQ917525 TUM917515:TUM917525 UEI917515:UEI917525 UOE917515:UOE917525 UYA917515:UYA917525 VHW917515:VHW917525 VRS917515:VRS917525 WBO917515:WBO917525 WLK917515:WLK917525 WVG917515:WVG917525 XFC917515:XFC917525 IU983051:IU983061 SQ983051:SQ983061 ACM983051:ACM983061 AMI983051:AMI983061 AWE983051:AWE983061 BGA983051:BGA983061 BPW983051:BPW983061 BZS983051:BZS983061 CJO983051:CJO983061 CTK983051:CTK983061 DDG983051:DDG983061 DNC983051:DNC983061 DWY983051:DWY983061 EGU983051:EGU983061 EQQ983051:EQQ983061 FAM983051:FAM983061 FKI983051:FKI983061 FUE983051:FUE983061 GEA983051:GEA983061 GNW983051:GNW983061 GXS983051:GXS983061 HHO983051:HHO983061 HRK983051:HRK983061 IBG983051:IBG983061 ILC983051:ILC983061 IUY983051:IUY983061 JEU983051:JEU983061 JOQ983051:JOQ983061 JYM983051:JYM983061 KII983051:KII983061 KSE983051:KSE983061 LCA983051:LCA983061 LLW983051:LLW983061 LVS983051:LVS983061 MFO983051:MFO983061 MPK983051:MPK983061 MZG983051:MZG983061 NJC983051:NJC983061 NSY983051:NSY983061 OCU983051:OCU983061 OMQ983051:OMQ983061 OWM983051:OWM983061 PGI983051:PGI983061 PQE983051:PQE983061 QAA983051:QAA983061 QJW983051:QJW983061 QTS983051:QTS983061 RDO983051:RDO983061 RNK983051:RNK983061 RXG983051:RXG983061 SHC983051:SHC983061 SQY983051:SQY983061 TAU983051:TAU983061 TKQ983051:TKQ983061 TUM983051:TUM983061 UEI983051:UEI983061 UOE983051:UOE983061 UYA983051:UYA983061 VHW983051:VHW983061 VRS983051:VRS983061 WBO983051:WBO983061 WLK983051:WLK983061 WVG983051:WVG983061 XFC983051:XFC983061 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IW501:IW65537 SS501:SS65537 ACO501:ACO65537 AMK501:AMK65537 AWG501:AWG65537 BGC501:BGC65537 BPY501:BPY65537 BZU501:BZU65537 CJQ501:CJQ65537 CTM501:CTM65537 DDI501:DDI65537 DNE501:DNE65537 DXA501:DXA65537 EGW501:EGW65537 EQS501:EQS65537 FAO501:FAO65537 FKK501:FKK65537 FUG501:FUG65537 GEC501:GEC65537 GNY501:GNY65537 GXU501:GXU65537 HHQ501:HHQ65537 HRM501:HRM65537 IBI501:IBI65537 ILE501:ILE65537 IVA501:IVA65537 JEW501:JEW65537 JOS501:JOS65537 JYO501:JYO65537 KIK501:KIK65537 KSG501:KSG65537 LCC501:LCC65537 LLY501:LLY65537 LVU501:LVU65537 MFQ501:MFQ65537 MPM501:MPM65537 MZI501:MZI65537 NJE501:NJE65537 NTA501:NTA65537 OCW501:OCW65537 OMS501:OMS65537 OWO501:OWO65537 PGK501:PGK65537 PQG501:PQG65537 QAC501:QAC65537 QJY501:QJY65537 QTU501:QTU65537 RDQ501:RDQ65537 RNM501:RNM65537 RXI501:RXI65537 SHE501:SHE65537 SRA501:SRA65537 TAW501:TAW65537 TKS501:TKS65537 TUO501:TUO65537 UEK501:UEK65537 UOG501:UOG65537 UYC501:UYC65537 VHY501:VHY65537 VRU501:VRU65537 WBQ501:WBQ65537 WLM501:WLM65537 WVI501:WVI65537 A66037:A131073 IW66037:IW131073 SS66037:SS131073 ACO66037:ACO131073 AMK66037:AMK131073 AWG66037:AWG131073 BGC66037:BGC131073 BPY66037:BPY131073 BZU66037:BZU131073 CJQ66037:CJQ131073 CTM66037:CTM131073 DDI66037:DDI131073 DNE66037:DNE131073 DXA66037:DXA131073 EGW66037:EGW131073 EQS66037:EQS131073 FAO66037:FAO131073 FKK66037:FKK131073 FUG66037:FUG131073 GEC66037:GEC131073 GNY66037:GNY131073 GXU66037:GXU131073 HHQ66037:HHQ131073 HRM66037:HRM131073 IBI66037:IBI131073 ILE66037:ILE131073 IVA66037:IVA131073 JEW66037:JEW131073 JOS66037:JOS131073 JYO66037:JYO131073 KIK66037:KIK131073 KSG66037:KSG131073 LCC66037:LCC131073 LLY66037:LLY131073 LVU66037:LVU131073 MFQ66037:MFQ131073 MPM66037:MPM131073 MZI66037:MZI131073 NJE66037:NJE131073 NTA66037:NTA131073 OCW66037:OCW131073 OMS66037:OMS131073 OWO66037:OWO131073 PGK66037:PGK131073 PQG66037:PQG131073 QAC66037:QAC131073 QJY66037:QJY131073 QTU66037:QTU131073 RDQ66037:RDQ131073 RNM66037:RNM131073 RXI66037:RXI131073 SHE66037:SHE131073 SRA66037:SRA131073 TAW66037:TAW131073 TKS66037:TKS131073 TUO66037:TUO131073 UEK66037:UEK131073 UOG66037:UOG131073 UYC66037:UYC131073 VHY66037:VHY131073 VRU66037:VRU131073 WBQ66037:WBQ131073 WLM66037:WLM131073 WVI66037:WVI131073 A131573:A196609 IW131573:IW196609 SS131573:SS196609 ACO131573:ACO196609 AMK131573:AMK196609 AWG131573:AWG196609 BGC131573:BGC196609 BPY131573:BPY196609 BZU131573:BZU196609 CJQ131573:CJQ196609 CTM131573:CTM196609 DDI131573:DDI196609 DNE131573:DNE196609 DXA131573:DXA196609 EGW131573:EGW196609 EQS131573:EQS196609 FAO131573:FAO196609 FKK131573:FKK196609 FUG131573:FUG196609 GEC131573:GEC196609 GNY131573:GNY196609 GXU131573:GXU196609 HHQ131573:HHQ196609 HRM131573:HRM196609 IBI131573:IBI196609 ILE131573:ILE196609 IVA131573:IVA196609 JEW131573:JEW196609 JOS131573:JOS196609 JYO131573:JYO196609 KIK131573:KIK196609 KSG131573:KSG196609 LCC131573:LCC196609 LLY131573:LLY196609 LVU131573:LVU196609 MFQ131573:MFQ196609 MPM131573:MPM196609 MZI131573:MZI196609 NJE131573:NJE196609 NTA131573:NTA196609 OCW131573:OCW196609 OMS131573:OMS196609 OWO131573:OWO196609 PGK131573:PGK196609 PQG131573:PQG196609 QAC131573:QAC196609 QJY131573:QJY196609 QTU131573:QTU196609 RDQ131573:RDQ196609 RNM131573:RNM196609 RXI131573:RXI196609 SHE131573:SHE196609 SRA131573:SRA196609 TAW131573:TAW196609 TKS131573:TKS196609 TUO131573:TUO196609 UEK131573:UEK196609 UOG131573:UOG196609 UYC131573:UYC196609 VHY131573:VHY196609 VRU131573:VRU196609 WBQ131573:WBQ196609 WLM131573:WLM196609 WVI131573:WVI196609 A197109:A262145 IW197109:IW262145 SS197109:SS262145 ACO197109:ACO262145 AMK197109:AMK262145 AWG197109:AWG262145 BGC197109:BGC262145 BPY197109:BPY262145 BZU197109:BZU262145 CJQ197109:CJQ262145 CTM197109:CTM262145 DDI197109:DDI262145 DNE197109:DNE262145 DXA197109:DXA262145 EGW197109:EGW262145 EQS197109:EQS262145 FAO197109:FAO262145 FKK197109:FKK262145 FUG197109:FUG262145 GEC197109:GEC262145 GNY197109:GNY262145 GXU197109:GXU262145 HHQ197109:HHQ262145 HRM197109:HRM262145 IBI197109:IBI262145 ILE197109:ILE262145 IVA197109:IVA262145 JEW197109:JEW262145 JOS197109:JOS262145 JYO197109:JYO262145 KIK197109:KIK262145 KSG197109:KSG262145 LCC197109:LCC262145 LLY197109:LLY262145 LVU197109:LVU262145 MFQ197109:MFQ262145 MPM197109:MPM262145 MZI197109:MZI262145 NJE197109:NJE262145 NTA197109:NTA262145 OCW197109:OCW262145 OMS197109:OMS262145 OWO197109:OWO262145 PGK197109:PGK262145 PQG197109:PQG262145 QAC197109:QAC262145 QJY197109:QJY262145 QTU197109:QTU262145 RDQ197109:RDQ262145 RNM197109:RNM262145 RXI197109:RXI262145 SHE197109:SHE262145 SRA197109:SRA262145 TAW197109:TAW262145 TKS197109:TKS262145 TUO197109:TUO262145 UEK197109:UEK262145 UOG197109:UOG262145 UYC197109:UYC262145 VHY197109:VHY262145 VRU197109:VRU262145 WBQ197109:WBQ262145 WLM197109:WLM262145 WVI197109:WVI262145 A262645:A327681 IW262645:IW327681 SS262645:SS327681 ACO262645:ACO327681 AMK262645:AMK327681 AWG262645:AWG327681 BGC262645:BGC327681 BPY262645:BPY327681 BZU262645:BZU327681 CJQ262645:CJQ327681 CTM262645:CTM327681 DDI262645:DDI327681 DNE262645:DNE327681 DXA262645:DXA327681 EGW262645:EGW327681 EQS262645:EQS327681 FAO262645:FAO327681 FKK262645:FKK327681 FUG262645:FUG327681 GEC262645:GEC327681 GNY262645:GNY327681 GXU262645:GXU327681 HHQ262645:HHQ327681 HRM262645:HRM327681 IBI262645:IBI327681 ILE262645:ILE327681 IVA262645:IVA327681 JEW262645:JEW327681 JOS262645:JOS327681 JYO262645:JYO327681 KIK262645:KIK327681 KSG262645:KSG327681 LCC262645:LCC327681 LLY262645:LLY327681 LVU262645:LVU327681 MFQ262645:MFQ327681 MPM262645:MPM327681 MZI262645:MZI327681 NJE262645:NJE327681 NTA262645:NTA327681 OCW262645:OCW327681 OMS262645:OMS327681 OWO262645:OWO327681 PGK262645:PGK327681 PQG262645:PQG327681 QAC262645:QAC327681 QJY262645:QJY327681 QTU262645:QTU327681 RDQ262645:RDQ327681 RNM262645:RNM327681 RXI262645:RXI327681 SHE262645:SHE327681 SRA262645:SRA327681 TAW262645:TAW327681 TKS262645:TKS327681 TUO262645:TUO327681 UEK262645:UEK327681 UOG262645:UOG327681 UYC262645:UYC327681 VHY262645:VHY327681 VRU262645:VRU327681 WBQ262645:WBQ327681 WLM262645:WLM327681 WVI262645:WVI327681 A328181:A393217 IW328181:IW393217 SS328181:SS393217 ACO328181:ACO393217 AMK328181:AMK393217 AWG328181:AWG393217 BGC328181:BGC393217 BPY328181:BPY393217 BZU328181:BZU393217 CJQ328181:CJQ393217 CTM328181:CTM393217 DDI328181:DDI393217 DNE328181:DNE393217 DXA328181:DXA393217 EGW328181:EGW393217 EQS328181:EQS393217 FAO328181:FAO393217 FKK328181:FKK393217 FUG328181:FUG393217 GEC328181:GEC393217 GNY328181:GNY393217 GXU328181:GXU393217 HHQ328181:HHQ393217 HRM328181:HRM393217 IBI328181:IBI393217 ILE328181:ILE393217 IVA328181:IVA393217 JEW328181:JEW393217 JOS328181:JOS393217 JYO328181:JYO393217 KIK328181:KIK393217 KSG328181:KSG393217 LCC328181:LCC393217 LLY328181:LLY393217 LVU328181:LVU393217 MFQ328181:MFQ393217 MPM328181:MPM393217 MZI328181:MZI393217 NJE328181:NJE393217 NTA328181:NTA393217 OCW328181:OCW393217 OMS328181:OMS393217 OWO328181:OWO393217 PGK328181:PGK393217 PQG328181:PQG393217 QAC328181:QAC393217 QJY328181:QJY393217 QTU328181:QTU393217 RDQ328181:RDQ393217 RNM328181:RNM393217 RXI328181:RXI393217 SHE328181:SHE393217 SRA328181:SRA393217 TAW328181:TAW393217 TKS328181:TKS393217 TUO328181:TUO393217 UEK328181:UEK393217 UOG328181:UOG393217 UYC328181:UYC393217 VHY328181:VHY393217 VRU328181:VRU393217 WBQ328181:WBQ393217 WLM328181:WLM393217 WVI328181:WVI393217 A393717:A458753 IW393717:IW458753 SS393717:SS458753 ACO393717:ACO458753 AMK393717:AMK458753 AWG393717:AWG458753 BGC393717:BGC458753 BPY393717:BPY458753 BZU393717:BZU458753 CJQ393717:CJQ458753 CTM393717:CTM458753 DDI393717:DDI458753 DNE393717:DNE458753 DXA393717:DXA458753 EGW393717:EGW458753 EQS393717:EQS458753 FAO393717:FAO458753 FKK393717:FKK458753 FUG393717:FUG458753 GEC393717:GEC458753 GNY393717:GNY458753 GXU393717:GXU458753 HHQ393717:HHQ458753 HRM393717:HRM458753 IBI393717:IBI458753 ILE393717:ILE458753 IVA393717:IVA458753 JEW393717:JEW458753 JOS393717:JOS458753 JYO393717:JYO458753 KIK393717:KIK458753 KSG393717:KSG458753 LCC393717:LCC458753 LLY393717:LLY458753 LVU393717:LVU458753 MFQ393717:MFQ458753 MPM393717:MPM458753 MZI393717:MZI458753 NJE393717:NJE458753 NTA393717:NTA458753 OCW393717:OCW458753 OMS393717:OMS458753 OWO393717:OWO458753 PGK393717:PGK458753 PQG393717:PQG458753 QAC393717:QAC458753 QJY393717:QJY458753 QTU393717:QTU458753 RDQ393717:RDQ458753 RNM393717:RNM458753 RXI393717:RXI458753 SHE393717:SHE458753 SRA393717:SRA458753 TAW393717:TAW458753 TKS393717:TKS458753 TUO393717:TUO458753 UEK393717:UEK458753 UOG393717:UOG458753 UYC393717:UYC458753 VHY393717:VHY458753 VRU393717:VRU458753 WBQ393717:WBQ458753 WLM393717:WLM458753 WVI393717:WVI458753 A459253:A524289 IW459253:IW524289 SS459253:SS524289 ACO459253:ACO524289 AMK459253:AMK524289 AWG459253:AWG524289 BGC459253:BGC524289 BPY459253:BPY524289 BZU459253:BZU524289 CJQ459253:CJQ524289 CTM459253:CTM524289 DDI459253:DDI524289 DNE459253:DNE524289 DXA459253:DXA524289 EGW459253:EGW524289 EQS459253:EQS524289 FAO459253:FAO524289 FKK459253:FKK524289 FUG459253:FUG524289 GEC459253:GEC524289 GNY459253:GNY524289 GXU459253:GXU524289 HHQ459253:HHQ524289 HRM459253:HRM524289 IBI459253:IBI524289 ILE459253:ILE524289 IVA459253:IVA524289 JEW459253:JEW524289 JOS459253:JOS524289 JYO459253:JYO524289 KIK459253:KIK524289 KSG459253:KSG524289 LCC459253:LCC524289 LLY459253:LLY524289 LVU459253:LVU524289 MFQ459253:MFQ524289 MPM459253:MPM524289 MZI459253:MZI524289 NJE459253:NJE524289 NTA459253:NTA524289 OCW459253:OCW524289 OMS459253:OMS524289 OWO459253:OWO524289 PGK459253:PGK524289 PQG459253:PQG524289 QAC459253:QAC524289 QJY459253:QJY524289 QTU459253:QTU524289 RDQ459253:RDQ524289 RNM459253:RNM524289 RXI459253:RXI524289 SHE459253:SHE524289 SRA459253:SRA524289 TAW459253:TAW524289 TKS459253:TKS524289 TUO459253:TUO524289 UEK459253:UEK524289 UOG459253:UOG524289 UYC459253:UYC524289 VHY459253:VHY524289 VRU459253:VRU524289 WBQ459253:WBQ524289 WLM459253:WLM524289 WVI459253:WVI524289 A524789:A589825 IW524789:IW589825 SS524789:SS589825 ACO524789:ACO589825 AMK524789:AMK589825 AWG524789:AWG589825 BGC524789:BGC589825 BPY524789:BPY589825 BZU524789:BZU589825 CJQ524789:CJQ589825 CTM524789:CTM589825 DDI524789:DDI589825 DNE524789:DNE589825 DXA524789:DXA589825 EGW524789:EGW589825 EQS524789:EQS589825 FAO524789:FAO589825 FKK524789:FKK589825 FUG524789:FUG589825 GEC524789:GEC589825 GNY524789:GNY589825 GXU524789:GXU589825 HHQ524789:HHQ589825 HRM524789:HRM589825 IBI524789:IBI589825 ILE524789:ILE589825 IVA524789:IVA589825 JEW524789:JEW589825 JOS524789:JOS589825 JYO524789:JYO589825 KIK524789:KIK589825 KSG524789:KSG589825 LCC524789:LCC589825 LLY524789:LLY589825 LVU524789:LVU589825 MFQ524789:MFQ589825 MPM524789:MPM589825 MZI524789:MZI589825 NJE524789:NJE589825 NTA524789:NTA589825 OCW524789:OCW589825 OMS524789:OMS589825 OWO524789:OWO589825 PGK524789:PGK589825 PQG524789:PQG589825 QAC524789:QAC589825 QJY524789:QJY589825 QTU524789:QTU589825 RDQ524789:RDQ589825 RNM524789:RNM589825 RXI524789:RXI589825 SHE524789:SHE589825 SRA524789:SRA589825 TAW524789:TAW589825 TKS524789:TKS589825 TUO524789:TUO589825 UEK524789:UEK589825 UOG524789:UOG589825 UYC524789:UYC589825 VHY524789:VHY589825 VRU524789:VRU589825 WBQ524789:WBQ589825 WLM524789:WLM589825 WVI524789:WVI589825 A590325:A655361 IW590325:IW655361 SS590325:SS655361 ACO590325:ACO655361 AMK590325:AMK655361 AWG590325:AWG655361 BGC590325:BGC655361 BPY590325:BPY655361 BZU590325:BZU655361 CJQ590325:CJQ655361 CTM590325:CTM655361 DDI590325:DDI655361 DNE590325:DNE655361 DXA590325:DXA655361 EGW590325:EGW655361 EQS590325:EQS655361 FAO590325:FAO655361 FKK590325:FKK655361 FUG590325:FUG655361 GEC590325:GEC655361 GNY590325:GNY655361 GXU590325:GXU655361 HHQ590325:HHQ655361 HRM590325:HRM655361 IBI590325:IBI655361 ILE590325:ILE655361 IVA590325:IVA655361 JEW590325:JEW655361 JOS590325:JOS655361 JYO590325:JYO655361 KIK590325:KIK655361 KSG590325:KSG655361 LCC590325:LCC655361 LLY590325:LLY655361 LVU590325:LVU655361 MFQ590325:MFQ655361 MPM590325:MPM655361 MZI590325:MZI655361 NJE590325:NJE655361 NTA590325:NTA655361 OCW590325:OCW655361 OMS590325:OMS655361 OWO590325:OWO655361 PGK590325:PGK655361 PQG590325:PQG655361 QAC590325:QAC655361 QJY590325:QJY655361 QTU590325:QTU655361 RDQ590325:RDQ655361 RNM590325:RNM655361 RXI590325:RXI655361 SHE590325:SHE655361 SRA590325:SRA655361 TAW590325:TAW655361 TKS590325:TKS655361 TUO590325:TUO655361 UEK590325:UEK655361 UOG590325:UOG655361 UYC590325:UYC655361 VHY590325:VHY655361 VRU590325:VRU655361 WBQ590325:WBQ655361 WLM590325:WLM655361 WVI590325:WVI655361 A655861:A720897 IW655861:IW720897 SS655861:SS720897 ACO655861:ACO720897 AMK655861:AMK720897 AWG655861:AWG720897 BGC655861:BGC720897 BPY655861:BPY720897 BZU655861:BZU720897 CJQ655861:CJQ720897 CTM655861:CTM720897 DDI655861:DDI720897 DNE655861:DNE720897 DXA655861:DXA720897 EGW655861:EGW720897 EQS655861:EQS720897 FAO655861:FAO720897 FKK655861:FKK720897 FUG655861:FUG720897 GEC655861:GEC720897 GNY655861:GNY720897 GXU655861:GXU720897 HHQ655861:HHQ720897 HRM655861:HRM720897 IBI655861:IBI720897 ILE655861:ILE720897 IVA655861:IVA720897 JEW655861:JEW720897 JOS655861:JOS720897 JYO655861:JYO720897 KIK655861:KIK720897 KSG655861:KSG720897 LCC655861:LCC720897 LLY655861:LLY720897 LVU655861:LVU720897 MFQ655861:MFQ720897 MPM655861:MPM720897 MZI655861:MZI720897 NJE655861:NJE720897 NTA655861:NTA720897 OCW655861:OCW720897 OMS655861:OMS720897 OWO655861:OWO720897 PGK655861:PGK720897 PQG655861:PQG720897 QAC655861:QAC720897 QJY655861:QJY720897 QTU655861:QTU720897 RDQ655861:RDQ720897 RNM655861:RNM720897 RXI655861:RXI720897 SHE655861:SHE720897 SRA655861:SRA720897 TAW655861:TAW720897 TKS655861:TKS720897 TUO655861:TUO720897 UEK655861:UEK720897 UOG655861:UOG720897 UYC655861:UYC720897 VHY655861:VHY720897 VRU655861:VRU720897 WBQ655861:WBQ720897 WLM655861:WLM720897 WVI655861:WVI720897 A721397:A786433 IW721397:IW786433 SS721397:SS786433 ACO721397:ACO786433 AMK721397:AMK786433 AWG721397:AWG786433 BGC721397:BGC786433 BPY721397:BPY786433 BZU721397:BZU786433 CJQ721397:CJQ786433 CTM721397:CTM786433 DDI721397:DDI786433 DNE721397:DNE786433 DXA721397:DXA786433 EGW721397:EGW786433 EQS721397:EQS786433 FAO721397:FAO786433 FKK721397:FKK786433 FUG721397:FUG786433 GEC721397:GEC786433 GNY721397:GNY786433 GXU721397:GXU786433 HHQ721397:HHQ786433 HRM721397:HRM786433 IBI721397:IBI786433 ILE721397:ILE786433 IVA721397:IVA786433 JEW721397:JEW786433 JOS721397:JOS786433 JYO721397:JYO786433 KIK721397:KIK786433 KSG721397:KSG786433 LCC721397:LCC786433 LLY721397:LLY786433 LVU721397:LVU786433 MFQ721397:MFQ786433 MPM721397:MPM786433 MZI721397:MZI786433 NJE721397:NJE786433 NTA721397:NTA786433 OCW721397:OCW786433 OMS721397:OMS786433 OWO721397:OWO786433 PGK721397:PGK786433 PQG721397:PQG786433 QAC721397:QAC786433 QJY721397:QJY786433 QTU721397:QTU786433 RDQ721397:RDQ786433 RNM721397:RNM786433 RXI721397:RXI786433 SHE721397:SHE786433 SRA721397:SRA786433 TAW721397:TAW786433 TKS721397:TKS786433 TUO721397:TUO786433 UEK721397:UEK786433 UOG721397:UOG786433 UYC721397:UYC786433 VHY721397:VHY786433 VRU721397:VRU786433 WBQ721397:WBQ786433 WLM721397:WLM786433 WVI721397:WVI786433 A786933:A851969 IW786933:IW851969 SS786933:SS851969 ACO786933:ACO851969 AMK786933:AMK851969 AWG786933:AWG851969 BGC786933:BGC851969 BPY786933:BPY851969 BZU786933:BZU851969 CJQ786933:CJQ851969 CTM786933:CTM851969 DDI786933:DDI851969 DNE786933:DNE851969 DXA786933:DXA851969 EGW786933:EGW851969 EQS786933:EQS851969 FAO786933:FAO851969 FKK786933:FKK851969 FUG786933:FUG851969 GEC786933:GEC851969 GNY786933:GNY851969 GXU786933:GXU851969 HHQ786933:HHQ851969 HRM786933:HRM851969 IBI786933:IBI851969 ILE786933:ILE851969 IVA786933:IVA851969 JEW786933:JEW851969 JOS786933:JOS851969 JYO786933:JYO851969 KIK786933:KIK851969 KSG786933:KSG851969 LCC786933:LCC851969 LLY786933:LLY851969 LVU786933:LVU851969 MFQ786933:MFQ851969 MPM786933:MPM851969 MZI786933:MZI851969 NJE786933:NJE851969 NTA786933:NTA851969 OCW786933:OCW851969 OMS786933:OMS851969 OWO786933:OWO851969 PGK786933:PGK851969 PQG786933:PQG851969 QAC786933:QAC851969 QJY786933:QJY851969 QTU786933:QTU851969 RDQ786933:RDQ851969 RNM786933:RNM851969 RXI786933:RXI851969 SHE786933:SHE851969 SRA786933:SRA851969 TAW786933:TAW851969 TKS786933:TKS851969 TUO786933:TUO851969 UEK786933:UEK851969 UOG786933:UOG851969 UYC786933:UYC851969 VHY786933:VHY851969 VRU786933:VRU851969 WBQ786933:WBQ851969 WLM786933:WLM851969 WVI786933:WVI851969 A852469:A917505 IW852469:IW917505 SS852469:SS917505 ACO852469:ACO917505 AMK852469:AMK917505 AWG852469:AWG917505 BGC852469:BGC917505 BPY852469:BPY917505 BZU852469:BZU917505 CJQ852469:CJQ917505 CTM852469:CTM917505 DDI852469:DDI917505 DNE852469:DNE917505 DXA852469:DXA917505 EGW852469:EGW917505 EQS852469:EQS917505 FAO852469:FAO917505 FKK852469:FKK917505 FUG852469:FUG917505 GEC852469:GEC917505 GNY852469:GNY917505 GXU852469:GXU917505 HHQ852469:HHQ917505 HRM852469:HRM917505 IBI852469:IBI917505 ILE852469:ILE917505 IVA852469:IVA917505 JEW852469:JEW917505 JOS852469:JOS917505 JYO852469:JYO917505 KIK852469:KIK917505 KSG852469:KSG917505 LCC852469:LCC917505 LLY852469:LLY917505 LVU852469:LVU917505 MFQ852469:MFQ917505 MPM852469:MPM917505 MZI852469:MZI917505 NJE852469:NJE917505 NTA852469:NTA917505 OCW852469:OCW917505 OMS852469:OMS917505 OWO852469:OWO917505 PGK852469:PGK917505 PQG852469:PQG917505 QAC852469:QAC917505 QJY852469:QJY917505 QTU852469:QTU917505 RDQ852469:RDQ917505 RNM852469:RNM917505 RXI852469:RXI917505 SHE852469:SHE917505 SRA852469:SRA917505 TAW852469:TAW917505 TKS852469:TKS917505 TUO852469:TUO917505 UEK852469:UEK917505 UOG852469:UOG917505 UYC852469:UYC917505 VHY852469:VHY917505 VRU852469:VRU917505 WBQ852469:WBQ917505 WLM852469:WLM917505 WVI852469:WVI917505 A918005:A983041 IW918005:IW983041 SS918005:SS983041 ACO918005:ACO983041 AMK918005:AMK983041 AWG918005:AWG983041 BGC918005:BGC983041 BPY918005:BPY983041 BZU918005:BZU983041 CJQ918005:CJQ983041 CTM918005:CTM983041 DDI918005:DDI983041 DNE918005:DNE983041 DXA918005:DXA983041 EGW918005:EGW983041 EQS918005:EQS983041 FAO918005:FAO983041 FKK918005:FKK983041 FUG918005:FUG983041 GEC918005:GEC983041 GNY918005:GNY983041 GXU918005:GXU983041 HHQ918005:HHQ983041 HRM918005:HRM983041 IBI918005:IBI983041 ILE918005:ILE983041 IVA918005:IVA983041 JEW918005:JEW983041 JOS918005:JOS983041 JYO918005:JYO983041 KIK918005:KIK983041 KSG918005:KSG983041 LCC918005:LCC983041 LLY918005:LLY983041 LVU918005:LVU983041 MFQ918005:MFQ983041 MPM918005:MPM983041 MZI918005:MZI983041 NJE918005:NJE983041 NTA918005:NTA983041 OCW918005:OCW983041 OMS918005:OMS983041 OWO918005:OWO983041 PGK918005:PGK983041 PQG918005:PQG983041 QAC918005:QAC983041 QJY918005:QJY983041 QTU918005:QTU983041 RDQ918005:RDQ983041 RNM918005:RNM983041 RXI918005:RXI983041 SHE918005:SHE983041 SRA918005:SRA983041 TAW918005:TAW983041 TKS918005:TKS983041 TUO918005:TUO983041 UEK918005:UEK983041 UOG918005:UOG983041 UYC918005:UYC983041 VHY918005:VHY983041 VRU918005:VRU983041 WBQ918005:WBQ983041 WLM918005:WLM983041 WVI918005:WVI983041 A983541:A1048576 IW983541:IW1048576 SS983541:SS1048576 ACO983541:ACO1048576 AMK983541:AMK1048576 AWG983541:AWG1048576 BGC983541:BGC1048576 BPY983541:BPY1048576 BZU983541:BZU1048576 CJQ983541:CJQ1048576 CTM983541:CTM1048576 DDI983541:DDI1048576 DNE983541:DNE1048576 DXA983541:DXA1048576 EGW983541:EGW1048576 EQS983541:EQS1048576 FAO983541:FAO1048576 FKK983541:FKK1048576 FUG983541:FUG1048576 GEC983541:GEC1048576 GNY983541:GNY1048576 GXU983541:GXU1048576 HHQ983541:HHQ1048576 HRM983541:HRM1048576 IBI983541:IBI1048576 ILE983541:ILE1048576 IVA983541:IVA1048576 JEW983541:JEW1048576 JOS983541:JOS1048576 JYO983541:JYO1048576 KIK983541:KIK1048576 KSG983541:KSG1048576 LCC983541:LCC1048576 LLY983541:LLY1048576 LVU983541:LVU1048576 MFQ983541:MFQ1048576 MPM983541:MPM1048576 MZI983541:MZI1048576 NJE983541:NJE1048576 NTA983541:NTA1048576 OCW983541:OCW1048576 OMS983541:OMS1048576 OWO983541:OWO1048576 PGK983541:PGK1048576 PQG983541:PQG1048576 QAC983541:QAC1048576 QJY983541:QJY1048576 QTU983541:QTU1048576 RDQ983541:RDQ1048576 RNM983541:RNM1048576 RXI983541:RXI1048576 SHE983541:SHE1048576 SRA983541:SRA1048576 TAW983541:TAW1048576 TKS983541:TKS1048576 TUO983541:TUO1048576 UEK983541:UEK1048576 UOG983541:UOG1048576 UYC983541:UYC1048576 VHY983541:VHY1048576 VRU983541:VRU1048576 WBQ983541:WBQ1048576 WLM983541:WLM1048576 WVI983541:WVI1048576">
      <formula1>$AE$2:$AE$16</formula1>
    </dataValidation>
    <dataValidation operator="equal" allowBlank="1" showInputMessage="1" showErrorMessage="1" sqref="B64423:B64476 IX64423:IX64476 ST64423:ST64476 ACP64423:ACP64476 AML64423:AML64476 AWH64423:AWH64476 BGD64423:BGD64476 BPZ64423:BPZ64476 BZV64423:BZV64476 CJR64423:CJR64476 CTN64423:CTN64476 DDJ64423:DDJ64476 DNF64423:DNF64476 DXB64423:DXB64476 EGX64423:EGX64476 EQT64423:EQT64476 FAP64423:FAP64476 FKL64423:FKL64476 FUH64423:FUH64476 GED64423:GED64476 GNZ64423:GNZ64476 GXV64423:GXV64476 HHR64423:HHR64476 HRN64423:HRN64476 IBJ64423:IBJ64476 ILF64423:ILF64476 IVB64423:IVB64476 JEX64423:JEX64476 JOT64423:JOT64476 JYP64423:JYP64476 KIL64423:KIL64476 KSH64423:KSH64476 LCD64423:LCD64476 LLZ64423:LLZ64476 LVV64423:LVV64476 MFR64423:MFR64476 MPN64423:MPN64476 MZJ64423:MZJ64476 NJF64423:NJF64476 NTB64423:NTB64476 OCX64423:OCX64476 OMT64423:OMT64476 OWP64423:OWP64476 PGL64423:PGL64476 PQH64423:PQH64476 QAD64423:QAD64476 QJZ64423:QJZ64476 QTV64423:QTV64476 RDR64423:RDR64476 RNN64423:RNN64476 RXJ64423:RXJ64476 SHF64423:SHF64476 SRB64423:SRB64476 TAX64423:TAX64476 TKT64423:TKT64476 TUP64423:TUP64476 UEL64423:UEL64476 UOH64423:UOH64476 UYD64423:UYD64476 VHZ64423:VHZ64476 VRV64423:VRV64476 WBR64423:WBR64476 WLN64423:WLN64476 WVJ64423:WVJ64476 B129959:B130012 IX129959:IX130012 ST129959:ST130012 ACP129959:ACP130012 AML129959:AML130012 AWH129959:AWH130012 BGD129959:BGD130012 BPZ129959:BPZ130012 BZV129959:BZV130012 CJR129959:CJR130012 CTN129959:CTN130012 DDJ129959:DDJ130012 DNF129959:DNF130012 DXB129959:DXB130012 EGX129959:EGX130012 EQT129959:EQT130012 FAP129959:FAP130012 FKL129959:FKL130012 FUH129959:FUH130012 GED129959:GED130012 GNZ129959:GNZ130012 GXV129959:GXV130012 HHR129959:HHR130012 HRN129959:HRN130012 IBJ129959:IBJ130012 ILF129959:ILF130012 IVB129959:IVB130012 JEX129959:JEX130012 JOT129959:JOT130012 JYP129959:JYP130012 KIL129959:KIL130012 KSH129959:KSH130012 LCD129959:LCD130012 LLZ129959:LLZ130012 LVV129959:LVV130012 MFR129959:MFR130012 MPN129959:MPN130012 MZJ129959:MZJ130012 NJF129959:NJF130012 NTB129959:NTB130012 OCX129959:OCX130012 OMT129959:OMT130012 OWP129959:OWP130012 PGL129959:PGL130012 PQH129959:PQH130012 QAD129959:QAD130012 QJZ129959:QJZ130012 QTV129959:QTV130012 RDR129959:RDR130012 RNN129959:RNN130012 RXJ129959:RXJ130012 SHF129959:SHF130012 SRB129959:SRB130012 TAX129959:TAX130012 TKT129959:TKT130012 TUP129959:TUP130012 UEL129959:UEL130012 UOH129959:UOH130012 UYD129959:UYD130012 VHZ129959:VHZ130012 VRV129959:VRV130012 WBR129959:WBR130012 WLN129959:WLN130012 WVJ129959:WVJ130012 B195495:B195548 IX195495:IX195548 ST195495:ST195548 ACP195495:ACP195548 AML195495:AML195548 AWH195495:AWH195548 BGD195495:BGD195548 BPZ195495:BPZ195548 BZV195495:BZV195548 CJR195495:CJR195548 CTN195495:CTN195548 DDJ195495:DDJ195548 DNF195495:DNF195548 DXB195495:DXB195548 EGX195495:EGX195548 EQT195495:EQT195548 FAP195495:FAP195548 FKL195495:FKL195548 FUH195495:FUH195548 GED195495:GED195548 GNZ195495:GNZ195548 GXV195495:GXV195548 HHR195495:HHR195548 HRN195495:HRN195548 IBJ195495:IBJ195548 ILF195495:ILF195548 IVB195495:IVB195548 JEX195495:JEX195548 JOT195495:JOT195548 JYP195495:JYP195548 KIL195495:KIL195548 KSH195495:KSH195548 LCD195495:LCD195548 LLZ195495:LLZ195548 LVV195495:LVV195548 MFR195495:MFR195548 MPN195495:MPN195548 MZJ195495:MZJ195548 NJF195495:NJF195548 NTB195495:NTB195548 OCX195495:OCX195548 OMT195495:OMT195548 OWP195495:OWP195548 PGL195495:PGL195548 PQH195495:PQH195548 QAD195495:QAD195548 QJZ195495:QJZ195548 QTV195495:QTV195548 RDR195495:RDR195548 RNN195495:RNN195548 RXJ195495:RXJ195548 SHF195495:SHF195548 SRB195495:SRB195548 TAX195495:TAX195548 TKT195495:TKT195548 TUP195495:TUP195548 UEL195495:UEL195548 UOH195495:UOH195548 UYD195495:UYD195548 VHZ195495:VHZ195548 VRV195495:VRV195548 WBR195495:WBR195548 WLN195495:WLN195548 WVJ195495:WVJ195548 B261031:B261084 IX261031:IX261084 ST261031:ST261084 ACP261031:ACP261084 AML261031:AML261084 AWH261031:AWH261084 BGD261031:BGD261084 BPZ261031:BPZ261084 BZV261031:BZV261084 CJR261031:CJR261084 CTN261031:CTN261084 DDJ261031:DDJ261084 DNF261031:DNF261084 DXB261031:DXB261084 EGX261031:EGX261084 EQT261031:EQT261084 FAP261031:FAP261084 FKL261031:FKL261084 FUH261031:FUH261084 GED261031:GED261084 GNZ261031:GNZ261084 GXV261031:GXV261084 HHR261031:HHR261084 HRN261031:HRN261084 IBJ261031:IBJ261084 ILF261031:ILF261084 IVB261031:IVB261084 JEX261031:JEX261084 JOT261031:JOT261084 JYP261031:JYP261084 KIL261031:KIL261084 KSH261031:KSH261084 LCD261031:LCD261084 LLZ261031:LLZ261084 LVV261031:LVV261084 MFR261031:MFR261084 MPN261031:MPN261084 MZJ261031:MZJ261084 NJF261031:NJF261084 NTB261031:NTB261084 OCX261031:OCX261084 OMT261031:OMT261084 OWP261031:OWP261084 PGL261031:PGL261084 PQH261031:PQH261084 QAD261031:QAD261084 QJZ261031:QJZ261084 QTV261031:QTV261084 RDR261031:RDR261084 RNN261031:RNN261084 RXJ261031:RXJ261084 SHF261031:SHF261084 SRB261031:SRB261084 TAX261031:TAX261084 TKT261031:TKT261084 TUP261031:TUP261084 UEL261031:UEL261084 UOH261031:UOH261084 UYD261031:UYD261084 VHZ261031:VHZ261084 VRV261031:VRV261084 WBR261031:WBR261084 WLN261031:WLN261084 WVJ261031:WVJ261084 B326567:B326620 IX326567:IX326620 ST326567:ST326620 ACP326567:ACP326620 AML326567:AML326620 AWH326567:AWH326620 BGD326567:BGD326620 BPZ326567:BPZ326620 BZV326567:BZV326620 CJR326567:CJR326620 CTN326567:CTN326620 DDJ326567:DDJ326620 DNF326567:DNF326620 DXB326567:DXB326620 EGX326567:EGX326620 EQT326567:EQT326620 FAP326567:FAP326620 FKL326567:FKL326620 FUH326567:FUH326620 GED326567:GED326620 GNZ326567:GNZ326620 GXV326567:GXV326620 HHR326567:HHR326620 HRN326567:HRN326620 IBJ326567:IBJ326620 ILF326567:ILF326620 IVB326567:IVB326620 JEX326567:JEX326620 JOT326567:JOT326620 JYP326567:JYP326620 KIL326567:KIL326620 KSH326567:KSH326620 LCD326567:LCD326620 LLZ326567:LLZ326620 LVV326567:LVV326620 MFR326567:MFR326620 MPN326567:MPN326620 MZJ326567:MZJ326620 NJF326567:NJF326620 NTB326567:NTB326620 OCX326567:OCX326620 OMT326567:OMT326620 OWP326567:OWP326620 PGL326567:PGL326620 PQH326567:PQH326620 QAD326567:QAD326620 QJZ326567:QJZ326620 QTV326567:QTV326620 RDR326567:RDR326620 RNN326567:RNN326620 RXJ326567:RXJ326620 SHF326567:SHF326620 SRB326567:SRB326620 TAX326567:TAX326620 TKT326567:TKT326620 TUP326567:TUP326620 UEL326567:UEL326620 UOH326567:UOH326620 UYD326567:UYD326620 VHZ326567:VHZ326620 VRV326567:VRV326620 WBR326567:WBR326620 WLN326567:WLN326620 WVJ326567:WVJ326620 B392103:B392156 IX392103:IX392156 ST392103:ST392156 ACP392103:ACP392156 AML392103:AML392156 AWH392103:AWH392156 BGD392103:BGD392156 BPZ392103:BPZ392156 BZV392103:BZV392156 CJR392103:CJR392156 CTN392103:CTN392156 DDJ392103:DDJ392156 DNF392103:DNF392156 DXB392103:DXB392156 EGX392103:EGX392156 EQT392103:EQT392156 FAP392103:FAP392156 FKL392103:FKL392156 FUH392103:FUH392156 GED392103:GED392156 GNZ392103:GNZ392156 GXV392103:GXV392156 HHR392103:HHR392156 HRN392103:HRN392156 IBJ392103:IBJ392156 ILF392103:ILF392156 IVB392103:IVB392156 JEX392103:JEX392156 JOT392103:JOT392156 JYP392103:JYP392156 KIL392103:KIL392156 KSH392103:KSH392156 LCD392103:LCD392156 LLZ392103:LLZ392156 LVV392103:LVV392156 MFR392103:MFR392156 MPN392103:MPN392156 MZJ392103:MZJ392156 NJF392103:NJF392156 NTB392103:NTB392156 OCX392103:OCX392156 OMT392103:OMT392156 OWP392103:OWP392156 PGL392103:PGL392156 PQH392103:PQH392156 QAD392103:QAD392156 QJZ392103:QJZ392156 QTV392103:QTV392156 RDR392103:RDR392156 RNN392103:RNN392156 RXJ392103:RXJ392156 SHF392103:SHF392156 SRB392103:SRB392156 TAX392103:TAX392156 TKT392103:TKT392156 TUP392103:TUP392156 UEL392103:UEL392156 UOH392103:UOH392156 UYD392103:UYD392156 VHZ392103:VHZ392156 VRV392103:VRV392156 WBR392103:WBR392156 WLN392103:WLN392156 WVJ392103:WVJ392156 B457639:B457692 IX457639:IX457692 ST457639:ST457692 ACP457639:ACP457692 AML457639:AML457692 AWH457639:AWH457692 BGD457639:BGD457692 BPZ457639:BPZ457692 BZV457639:BZV457692 CJR457639:CJR457692 CTN457639:CTN457692 DDJ457639:DDJ457692 DNF457639:DNF457692 DXB457639:DXB457692 EGX457639:EGX457692 EQT457639:EQT457692 FAP457639:FAP457692 FKL457639:FKL457692 FUH457639:FUH457692 GED457639:GED457692 GNZ457639:GNZ457692 GXV457639:GXV457692 HHR457639:HHR457692 HRN457639:HRN457692 IBJ457639:IBJ457692 ILF457639:ILF457692 IVB457639:IVB457692 JEX457639:JEX457692 JOT457639:JOT457692 JYP457639:JYP457692 KIL457639:KIL457692 KSH457639:KSH457692 LCD457639:LCD457692 LLZ457639:LLZ457692 LVV457639:LVV457692 MFR457639:MFR457692 MPN457639:MPN457692 MZJ457639:MZJ457692 NJF457639:NJF457692 NTB457639:NTB457692 OCX457639:OCX457692 OMT457639:OMT457692 OWP457639:OWP457692 PGL457639:PGL457692 PQH457639:PQH457692 QAD457639:QAD457692 QJZ457639:QJZ457692 QTV457639:QTV457692 RDR457639:RDR457692 RNN457639:RNN457692 RXJ457639:RXJ457692 SHF457639:SHF457692 SRB457639:SRB457692 TAX457639:TAX457692 TKT457639:TKT457692 TUP457639:TUP457692 UEL457639:UEL457692 UOH457639:UOH457692 UYD457639:UYD457692 VHZ457639:VHZ457692 VRV457639:VRV457692 WBR457639:WBR457692 WLN457639:WLN457692 WVJ457639:WVJ457692 B523175:B523228 IX523175:IX523228 ST523175:ST523228 ACP523175:ACP523228 AML523175:AML523228 AWH523175:AWH523228 BGD523175:BGD523228 BPZ523175:BPZ523228 BZV523175:BZV523228 CJR523175:CJR523228 CTN523175:CTN523228 DDJ523175:DDJ523228 DNF523175:DNF523228 DXB523175:DXB523228 EGX523175:EGX523228 EQT523175:EQT523228 FAP523175:FAP523228 FKL523175:FKL523228 FUH523175:FUH523228 GED523175:GED523228 GNZ523175:GNZ523228 GXV523175:GXV523228 HHR523175:HHR523228 HRN523175:HRN523228 IBJ523175:IBJ523228 ILF523175:ILF523228 IVB523175:IVB523228 JEX523175:JEX523228 JOT523175:JOT523228 JYP523175:JYP523228 KIL523175:KIL523228 KSH523175:KSH523228 LCD523175:LCD523228 LLZ523175:LLZ523228 LVV523175:LVV523228 MFR523175:MFR523228 MPN523175:MPN523228 MZJ523175:MZJ523228 NJF523175:NJF523228 NTB523175:NTB523228 OCX523175:OCX523228 OMT523175:OMT523228 OWP523175:OWP523228 PGL523175:PGL523228 PQH523175:PQH523228 QAD523175:QAD523228 QJZ523175:QJZ523228 QTV523175:QTV523228 RDR523175:RDR523228 RNN523175:RNN523228 RXJ523175:RXJ523228 SHF523175:SHF523228 SRB523175:SRB523228 TAX523175:TAX523228 TKT523175:TKT523228 TUP523175:TUP523228 UEL523175:UEL523228 UOH523175:UOH523228 UYD523175:UYD523228 VHZ523175:VHZ523228 VRV523175:VRV523228 WBR523175:WBR523228 WLN523175:WLN523228 WVJ523175:WVJ523228 B588711:B588764 IX588711:IX588764 ST588711:ST588764 ACP588711:ACP588764 AML588711:AML588764 AWH588711:AWH588764 BGD588711:BGD588764 BPZ588711:BPZ588764 BZV588711:BZV588764 CJR588711:CJR588764 CTN588711:CTN588764 DDJ588711:DDJ588764 DNF588711:DNF588764 DXB588711:DXB588764 EGX588711:EGX588764 EQT588711:EQT588764 FAP588711:FAP588764 FKL588711:FKL588764 FUH588711:FUH588764 GED588711:GED588764 GNZ588711:GNZ588764 GXV588711:GXV588764 HHR588711:HHR588764 HRN588711:HRN588764 IBJ588711:IBJ588764 ILF588711:ILF588764 IVB588711:IVB588764 JEX588711:JEX588764 JOT588711:JOT588764 JYP588711:JYP588764 KIL588711:KIL588764 KSH588711:KSH588764 LCD588711:LCD588764 LLZ588711:LLZ588764 LVV588711:LVV588764 MFR588711:MFR588764 MPN588711:MPN588764 MZJ588711:MZJ588764 NJF588711:NJF588764 NTB588711:NTB588764 OCX588711:OCX588764 OMT588711:OMT588764 OWP588711:OWP588764 PGL588711:PGL588764 PQH588711:PQH588764 QAD588711:QAD588764 QJZ588711:QJZ588764 QTV588711:QTV588764 RDR588711:RDR588764 RNN588711:RNN588764 RXJ588711:RXJ588764 SHF588711:SHF588764 SRB588711:SRB588764 TAX588711:TAX588764 TKT588711:TKT588764 TUP588711:TUP588764 UEL588711:UEL588764 UOH588711:UOH588764 UYD588711:UYD588764 VHZ588711:VHZ588764 VRV588711:VRV588764 WBR588711:WBR588764 WLN588711:WLN588764 WVJ588711:WVJ588764 B654247:B654300 IX654247:IX654300 ST654247:ST654300 ACP654247:ACP654300 AML654247:AML654300 AWH654247:AWH654300 BGD654247:BGD654300 BPZ654247:BPZ654300 BZV654247:BZV654300 CJR654247:CJR654300 CTN654247:CTN654300 DDJ654247:DDJ654300 DNF654247:DNF654300 DXB654247:DXB654300 EGX654247:EGX654300 EQT654247:EQT654300 FAP654247:FAP654300 FKL654247:FKL654300 FUH654247:FUH654300 GED654247:GED654300 GNZ654247:GNZ654300 GXV654247:GXV654300 HHR654247:HHR654300 HRN654247:HRN654300 IBJ654247:IBJ654300 ILF654247:ILF654300 IVB654247:IVB654300 JEX654247:JEX654300 JOT654247:JOT654300 JYP654247:JYP654300 KIL654247:KIL654300 KSH654247:KSH654300 LCD654247:LCD654300 LLZ654247:LLZ654300 LVV654247:LVV654300 MFR654247:MFR654300 MPN654247:MPN654300 MZJ654247:MZJ654300 NJF654247:NJF654300 NTB654247:NTB654300 OCX654247:OCX654300 OMT654247:OMT654300 OWP654247:OWP654300 PGL654247:PGL654300 PQH654247:PQH654300 QAD654247:QAD654300 QJZ654247:QJZ654300 QTV654247:QTV654300 RDR654247:RDR654300 RNN654247:RNN654300 RXJ654247:RXJ654300 SHF654247:SHF654300 SRB654247:SRB654300 TAX654247:TAX654300 TKT654247:TKT654300 TUP654247:TUP654300 UEL654247:UEL654300 UOH654247:UOH654300 UYD654247:UYD654300 VHZ654247:VHZ654300 VRV654247:VRV654300 WBR654247:WBR654300 WLN654247:WLN654300 WVJ654247:WVJ654300 B719783:B719836 IX719783:IX719836 ST719783:ST719836 ACP719783:ACP719836 AML719783:AML719836 AWH719783:AWH719836 BGD719783:BGD719836 BPZ719783:BPZ719836 BZV719783:BZV719836 CJR719783:CJR719836 CTN719783:CTN719836 DDJ719783:DDJ719836 DNF719783:DNF719836 DXB719783:DXB719836 EGX719783:EGX719836 EQT719783:EQT719836 FAP719783:FAP719836 FKL719783:FKL719836 FUH719783:FUH719836 GED719783:GED719836 GNZ719783:GNZ719836 GXV719783:GXV719836 HHR719783:HHR719836 HRN719783:HRN719836 IBJ719783:IBJ719836 ILF719783:ILF719836 IVB719783:IVB719836 JEX719783:JEX719836 JOT719783:JOT719836 JYP719783:JYP719836 KIL719783:KIL719836 KSH719783:KSH719836 LCD719783:LCD719836 LLZ719783:LLZ719836 LVV719783:LVV719836 MFR719783:MFR719836 MPN719783:MPN719836 MZJ719783:MZJ719836 NJF719783:NJF719836 NTB719783:NTB719836 OCX719783:OCX719836 OMT719783:OMT719836 OWP719783:OWP719836 PGL719783:PGL719836 PQH719783:PQH719836 QAD719783:QAD719836 QJZ719783:QJZ719836 QTV719783:QTV719836 RDR719783:RDR719836 RNN719783:RNN719836 RXJ719783:RXJ719836 SHF719783:SHF719836 SRB719783:SRB719836 TAX719783:TAX719836 TKT719783:TKT719836 TUP719783:TUP719836 UEL719783:UEL719836 UOH719783:UOH719836 UYD719783:UYD719836 VHZ719783:VHZ719836 VRV719783:VRV719836 WBR719783:WBR719836 WLN719783:WLN719836 WVJ719783:WVJ719836 B785319:B785372 IX785319:IX785372 ST785319:ST785372 ACP785319:ACP785372 AML785319:AML785372 AWH785319:AWH785372 BGD785319:BGD785372 BPZ785319:BPZ785372 BZV785319:BZV785372 CJR785319:CJR785372 CTN785319:CTN785372 DDJ785319:DDJ785372 DNF785319:DNF785372 DXB785319:DXB785372 EGX785319:EGX785372 EQT785319:EQT785372 FAP785319:FAP785372 FKL785319:FKL785372 FUH785319:FUH785372 GED785319:GED785372 GNZ785319:GNZ785372 GXV785319:GXV785372 HHR785319:HHR785372 HRN785319:HRN785372 IBJ785319:IBJ785372 ILF785319:ILF785372 IVB785319:IVB785372 JEX785319:JEX785372 JOT785319:JOT785372 JYP785319:JYP785372 KIL785319:KIL785372 KSH785319:KSH785372 LCD785319:LCD785372 LLZ785319:LLZ785372 LVV785319:LVV785372 MFR785319:MFR785372 MPN785319:MPN785372 MZJ785319:MZJ785372 NJF785319:NJF785372 NTB785319:NTB785372 OCX785319:OCX785372 OMT785319:OMT785372 OWP785319:OWP785372 PGL785319:PGL785372 PQH785319:PQH785372 QAD785319:QAD785372 QJZ785319:QJZ785372 QTV785319:QTV785372 RDR785319:RDR785372 RNN785319:RNN785372 RXJ785319:RXJ785372 SHF785319:SHF785372 SRB785319:SRB785372 TAX785319:TAX785372 TKT785319:TKT785372 TUP785319:TUP785372 UEL785319:UEL785372 UOH785319:UOH785372 UYD785319:UYD785372 VHZ785319:VHZ785372 VRV785319:VRV785372 WBR785319:WBR785372 WLN785319:WLN785372 WVJ785319:WVJ785372 B850855:B850908 IX850855:IX850908 ST850855:ST850908 ACP850855:ACP850908 AML850855:AML850908 AWH850855:AWH850908 BGD850855:BGD850908 BPZ850855:BPZ850908 BZV850855:BZV850908 CJR850855:CJR850908 CTN850855:CTN850908 DDJ850855:DDJ850908 DNF850855:DNF850908 DXB850855:DXB850908 EGX850855:EGX850908 EQT850855:EQT850908 FAP850855:FAP850908 FKL850855:FKL850908 FUH850855:FUH850908 GED850855:GED850908 GNZ850855:GNZ850908 GXV850855:GXV850908 HHR850855:HHR850908 HRN850855:HRN850908 IBJ850855:IBJ850908 ILF850855:ILF850908 IVB850855:IVB850908 JEX850855:JEX850908 JOT850855:JOT850908 JYP850855:JYP850908 KIL850855:KIL850908 KSH850855:KSH850908 LCD850855:LCD850908 LLZ850855:LLZ850908 LVV850855:LVV850908 MFR850855:MFR850908 MPN850855:MPN850908 MZJ850855:MZJ850908 NJF850855:NJF850908 NTB850855:NTB850908 OCX850855:OCX850908 OMT850855:OMT850908 OWP850855:OWP850908 PGL850855:PGL850908 PQH850855:PQH850908 QAD850855:QAD850908 QJZ850855:QJZ850908 QTV850855:QTV850908 RDR850855:RDR850908 RNN850855:RNN850908 RXJ850855:RXJ850908 SHF850855:SHF850908 SRB850855:SRB850908 TAX850855:TAX850908 TKT850855:TKT850908 TUP850855:TUP850908 UEL850855:UEL850908 UOH850855:UOH850908 UYD850855:UYD850908 VHZ850855:VHZ850908 VRV850855:VRV850908 WBR850855:WBR850908 WLN850855:WLN850908 WVJ850855:WVJ850908 B916391:B916444 IX916391:IX916444 ST916391:ST916444 ACP916391:ACP916444 AML916391:AML916444 AWH916391:AWH916444 BGD916391:BGD916444 BPZ916391:BPZ916444 BZV916391:BZV916444 CJR916391:CJR916444 CTN916391:CTN916444 DDJ916391:DDJ916444 DNF916391:DNF916444 DXB916391:DXB916444 EGX916391:EGX916444 EQT916391:EQT916444 FAP916391:FAP916444 FKL916391:FKL916444 FUH916391:FUH916444 GED916391:GED916444 GNZ916391:GNZ916444 GXV916391:GXV916444 HHR916391:HHR916444 HRN916391:HRN916444 IBJ916391:IBJ916444 ILF916391:ILF916444 IVB916391:IVB916444 JEX916391:JEX916444 JOT916391:JOT916444 JYP916391:JYP916444 KIL916391:KIL916444 KSH916391:KSH916444 LCD916391:LCD916444 LLZ916391:LLZ916444 LVV916391:LVV916444 MFR916391:MFR916444 MPN916391:MPN916444 MZJ916391:MZJ916444 NJF916391:NJF916444 NTB916391:NTB916444 OCX916391:OCX916444 OMT916391:OMT916444 OWP916391:OWP916444 PGL916391:PGL916444 PQH916391:PQH916444 QAD916391:QAD916444 QJZ916391:QJZ916444 QTV916391:QTV916444 RDR916391:RDR916444 RNN916391:RNN916444 RXJ916391:RXJ916444 SHF916391:SHF916444 SRB916391:SRB916444 TAX916391:TAX916444 TKT916391:TKT916444 TUP916391:TUP916444 UEL916391:UEL916444 UOH916391:UOH916444 UYD916391:UYD916444 VHZ916391:VHZ916444 VRV916391:VRV916444 WBR916391:WBR916444 WLN916391:WLN916444 WVJ916391:WVJ916444 B981927:B981980 IX981927:IX981980 ST981927:ST981980 ACP981927:ACP981980 AML981927:AML981980 AWH981927:AWH981980 BGD981927:BGD981980 BPZ981927:BPZ981980 BZV981927:BZV981980 CJR981927:CJR981980 CTN981927:CTN981980 DDJ981927:DDJ981980 DNF981927:DNF981980 DXB981927:DXB981980 EGX981927:EGX981980 EQT981927:EQT981980 FAP981927:FAP981980 FKL981927:FKL981980 FUH981927:FUH981980 GED981927:GED981980 GNZ981927:GNZ981980 GXV981927:GXV981980 HHR981927:HHR981980 HRN981927:HRN981980 IBJ981927:IBJ981980 ILF981927:ILF981980 IVB981927:IVB981980 JEX981927:JEX981980 JOT981927:JOT981980 JYP981927:JYP981980 KIL981927:KIL981980 KSH981927:KSH981980 LCD981927:LCD981980 LLZ981927:LLZ981980 LVV981927:LVV981980 MFR981927:MFR981980 MPN981927:MPN981980 MZJ981927:MZJ981980 NJF981927:NJF981980 NTB981927:NTB981980 OCX981927:OCX981980 OMT981927:OMT981980 OWP981927:OWP981980 PGL981927:PGL981980 PQH981927:PQH981980 QAD981927:QAD981980 QJZ981927:QJZ981980 QTV981927:QTV981980 RDR981927:RDR981980 RNN981927:RNN981980 RXJ981927:RXJ981980 SHF981927:SHF981980 SRB981927:SRB981980 TAX981927:TAX981980 TKT981927:TKT981980 TUP981927:TUP981980 UEL981927:UEL981980 UOH981927:UOH981980 UYD981927:UYD981980 VHZ981927:VHZ981980 VRV981927:VRV981980 WBR981927:WBR981980 WLN981927:WLN981980 WVJ981927:WVJ981980 B1047463:B1047516 IX1047463:IX1047516 ST1047463:ST1047516 ACP1047463:ACP1047516 AML1047463:AML1047516 AWH1047463:AWH1047516 BGD1047463:BGD1047516 BPZ1047463:BPZ1047516 BZV1047463:BZV1047516 CJR1047463:CJR1047516 CTN1047463:CTN1047516 DDJ1047463:DDJ1047516 DNF1047463:DNF1047516 DXB1047463:DXB1047516 EGX1047463:EGX1047516 EQT1047463:EQT1047516 FAP1047463:FAP1047516 FKL1047463:FKL1047516 FUH1047463:FUH1047516 GED1047463:GED1047516 GNZ1047463:GNZ1047516 GXV1047463:GXV1047516 HHR1047463:HHR1047516 HRN1047463:HRN1047516 IBJ1047463:IBJ1047516 ILF1047463:ILF1047516 IVB1047463:IVB1047516 JEX1047463:JEX1047516 JOT1047463:JOT1047516 JYP1047463:JYP1047516 KIL1047463:KIL1047516 KSH1047463:KSH1047516 LCD1047463:LCD1047516 LLZ1047463:LLZ1047516 LVV1047463:LVV1047516 MFR1047463:MFR1047516 MPN1047463:MPN1047516 MZJ1047463:MZJ1047516 NJF1047463:NJF1047516 NTB1047463:NTB1047516 OCX1047463:OCX1047516 OMT1047463:OMT1047516 OWP1047463:OWP1047516 PGL1047463:PGL1047516 PQH1047463:PQH1047516 QAD1047463:QAD1047516 QJZ1047463:QJZ1047516 QTV1047463:QTV1047516 RDR1047463:RDR1047516 RNN1047463:RNN1047516 RXJ1047463:RXJ1047516 SHF1047463:SHF1047516 SRB1047463:SRB1047516 TAX1047463:TAX1047516 TKT1047463:TKT1047516 TUP1047463:TUP1047516 UEL1047463:UEL1047516 UOH1047463:UOH1047516 UYD1047463:UYD1047516 VHZ1047463:VHZ1047516 VRV1047463:VRV1047516 WBR1047463:WBR1047516 WLN1047463:WLN1047516 WVJ1047463:WVJ1047516"/>
    <dataValidation type="list" allowBlank="1" showInputMessage="1" showErrorMessage="1" sqref="H64423:H64476 JD64423:JD64476 SZ64423:SZ64476 ACV64423:ACV64476 AMR64423:AMR64476 AWN64423:AWN64476 BGJ64423:BGJ64476 BQF64423:BQF64476 CAB64423:CAB64476 CJX64423:CJX64476 CTT64423:CTT64476 DDP64423:DDP64476 DNL64423:DNL64476 DXH64423:DXH64476 EHD64423:EHD64476 EQZ64423:EQZ64476 FAV64423:FAV64476 FKR64423:FKR64476 FUN64423:FUN64476 GEJ64423:GEJ64476 GOF64423:GOF64476 GYB64423:GYB64476 HHX64423:HHX64476 HRT64423:HRT64476 IBP64423:IBP64476 ILL64423:ILL64476 IVH64423:IVH64476 JFD64423:JFD64476 JOZ64423:JOZ64476 JYV64423:JYV64476 KIR64423:KIR64476 KSN64423:KSN64476 LCJ64423:LCJ64476 LMF64423:LMF64476 LWB64423:LWB64476 MFX64423:MFX64476 MPT64423:MPT64476 MZP64423:MZP64476 NJL64423:NJL64476 NTH64423:NTH64476 ODD64423:ODD64476 OMZ64423:OMZ64476 OWV64423:OWV64476 PGR64423:PGR64476 PQN64423:PQN64476 QAJ64423:QAJ64476 QKF64423:QKF64476 QUB64423:QUB64476 RDX64423:RDX64476 RNT64423:RNT64476 RXP64423:RXP64476 SHL64423:SHL64476 SRH64423:SRH64476 TBD64423:TBD64476 TKZ64423:TKZ64476 TUV64423:TUV64476 UER64423:UER64476 UON64423:UON64476 UYJ64423:UYJ64476 VIF64423:VIF64476 VSB64423:VSB64476 WBX64423:WBX64476 WLT64423:WLT64476 WVP64423:WVP64476 H129959:H130012 JD129959:JD130012 SZ129959:SZ130012 ACV129959:ACV130012 AMR129959:AMR130012 AWN129959:AWN130012 BGJ129959:BGJ130012 BQF129959:BQF130012 CAB129959:CAB130012 CJX129959:CJX130012 CTT129959:CTT130012 DDP129959:DDP130012 DNL129959:DNL130012 DXH129959:DXH130012 EHD129959:EHD130012 EQZ129959:EQZ130012 FAV129959:FAV130012 FKR129959:FKR130012 FUN129959:FUN130012 GEJ129959:GEJ130012 GOF129959:GOF130012 GYB129959:GYB130012 HHX129959:HHX130012 HRT129959:HRT130012 IBP129959:IBP130012 ILL129959:ILL130012 IVH129959:IVH130012 JFD129959:JFD130012 JOZ129959:JOZ130012 JYV129959:JYV130012 KIR129959:KIR130012 KSN129959:KSN130012 LCJ129959:LCJ130012 LMF129959:LMF130012 LWB129959:LWB130012 MFX129959:MFX130012 MPT129959:MPT130012 MZP129959:MZP130012 NJL129959:NJL130012 NTH129959:NTH130012 ODD129959:ODD130012 OMZ129959:OMZ130012 OWV129959:OWV130012 PGR129959:PGR130012 PQN129959:PQN130012 QAJ129959:QAJ130012 QKF129959:QKF130012 QUB129959:QUB130012 RDX129959:RDX130012 RNT129959:RNT130012 RXP129959:RXP130012 SHL129959:SHL130012 SRH129959:SRH130012 TBD129959:TBD130012 TKZ129959:TKZ130012 TUV129959:TUV130012 UER129959:UER130012 UON129959:UON130012 UYJ129959:UYJ130012 VIF129959:VIF130012 VSB129959:VSB130012 WBX129959:WBX130012 WLT129959:WLT130012 WVP129959:WVP130012 H195495:H195548 JD195495:JD195548 SZ195495:SZ195548 ACV195495:ACV195548 AMR195495:AMR195548 AWN195495:AWN195548 BGJ195495:BGJ195548 BQF195495:BQF195548 CAB195495:CAB195548 CJX195495:CJX195548 CTT195495:CTT195548 DDP195495:DDP195548 DNL195495:DNL195548 DXH195495:DXH195548 EHD195495:EHD195548 EQZ195495:EQZ195548 FAV195495:FAV195548 FKR195495:FKR195548 FUN195495:FUN195548 GEJ195495:GEJ195548 GOF195495:GOF195548 GYB195495:GYB195548 HHX195495:HHX195548 HRT195495:HRT195548 IBP195495:IBP195548 ILL195495:ILL195548 IVH195495:IVH195548 JFD195495:JFD195548 JOZ195495:JOZ195548 JYV195495:JYV195548 KIR195495:KIR195548 KSN195495:KSN195548 LCJ195495:LCJ195548 LMF195495:LMF195548 LWB195495:LWB195548 MFX195495:MFX195548 MPT195495:MPT195548 MZP195495:MZP195548 NJL195495:NJL195548 NTH195495:NTH195548 ODD195495:ODD195548 OMZ195495:OMZ195548 OWV195495:OWV195548 PGR195495:PGR195548 PQN195495:PQN195548 QAJ195495:QAJ195548 QKF195495:QKF195548 QUB195495:QUB195548 RDX195495:RDX195548 RNT195495:RNT195548 RXP195495:RXP195548 SHL195495:SHL195548 SRH195495:SRH195548 TBD195495:TBD195548 TKZ195495:TKZ195548 TUV195495:TUV195548 UER195495:UER195548 UON195495:UON195548 UYJ195495:UYJ195548 VIF195495:VIF195548 VSB195495:VSB195548 WBX195495:WBX195548 WLT195495:WLT195548 WVP195495:WVP195548 H261031:H261084 JD261031:JD261084 SZ261031:SZ261084 ACV261031:ACV261084 AMR261031:AMR261084 AWN261031:AWN261084 BGJ261031:BGJ261084 BQF261031:BQF261084 CAB261031:CAB261084 CJX261031:CJX261084 CTT261031:CTT261084 DDP261031:DDP261084 DNL261031:DNL261084 DXH261031:DXH261084 EHD261031:EHD261084 EQZ261031:EQZ261084 FAV261031:FAV261084 FKR261031:FKR261084 FUN261031:FUN261084 GEJ261031:GEJ261084 GOF261031:GOF261084 GYB261031:GYB261084 HHX261031:HHX261084 HRT261031:HRT261084 IBP261031:IBP261084 ILL261031:ILL261084 IVH261031:IVH261084 JFD261031:JFD261084 JOZ261031:JOZ261084 JYV261031:JYV261084 KIR261031:KIR261084 KSN261031:KSN261084 LCJ261031:LCJ261084 LMF261031:LMF261084 LWB261031:LWB261084 MFX261031:MFX261084 MPT261031:MPT261084 MZP261031:MZP261084 NJL261031:NJL261084 NTH261031:NTH261084 ODD261031:ODD261084 OMZ261031:OMZ261084 OWV261031:OWV261084 PGR261031:PGR261084 PQN261031:PQN261084 QAJ261031:QAJ261084 QKF261031:QKF261084 QUB261031:QUB261084 RDX261031:RDX261084 RNT261031:RNT261084 RXP261031:RXP261084 SHL261031:SHL261084 SRH261031:SRH261084 TBD261031:TBD261084 TKZ261031:TKZ261084 TUV261031:TUV261084 UER261031:UER261084 UON261031:UON261084 UYJ261031:UYJ261084 VIF261031:VIF261084 VSB261031:VSB261084 WBX261031:WBX261084 WLT261031:WLT261084 WVP261031:WVP261084 H326567:H326620 JD326567:JD326620 SZ326567:SZ326620 ACV326567:ACV326620 AMR326567:AMR326620 AWN326567:AWN326620 BGJ326567:BGJ326620 BQF326567:BQF326620 CAB326567:CAB326620 CJX326567:CJX326620 CTT326567:CTT326620 DDP326567:DDP326620 DNL326567:DNL326620 DXH326567:DXH326620 EHD326567:EHD326620 EQZ326567:EQZ326620 FAV326567:FAV326620 FKR326567:FKR326620 FUN326567:FUN326620 GEJ326567:GEJ326620 GOF326567:GOF326620 GYB326567:GYB326620 HHX326567:HHX326620 HRT326567:HRT326620 IBP326567:IBP326620 ILL326567:ILL326620 IVH326567:IVH326620 JFD326567:JFD326620 JOZ326567:JOZ326620 JYV326567:JYV326620 KIR326567:KIR326620 KSN326567:KSN326620 LCJ326567:LCJ326620 LMF326567:LMF326620 LWB326567:LWB326620 MFX326567:MFX326620 MPT326567:MPT326620 MZP326567:MZP326620 NJL326567:NJL326620 NTH326567:NTH326620 ODD326567:ODD326620 OMZ326567:OMZ326620 OWV326567:OWV326620 PGR326567:PGR326620 PQN326567:PQN326620 QAJ326567:QAJ326620 QKF326567:QKF326620 QUB326567:QUB326620 RDX326567:RDX326620 RNT326567:RNT326620 RXP326567:RXP326620 SHL326567:SHL326620 SRH326567:SRH326620 TBD326567:TBD326620 TKZ326567:TKZ326620 TUV326567:TUV326620 UER326567:UER326620 UON326567:UON326620 UYJ326567:UYJ326620 VIF326567:VIF326620 VSB326567:VSB326620 WBX326567:WBX326620 WLT326567:WLT326620 WVP326567:WVP326620 H392103:H392156 JD392103:JD392156 SZ392103:SZ392156 ACV392103:ACV392156 AMR392103:AMR392156 AWN392103:AWN392156 BGJ392103:BGJ392156 BQF392103:BQF392156 CAB392103:CAB392156 CJX392103:CJX392156 CTT392103:CTT392156 DDP392103:DDP392156 DNL392103:DNL392156 DXH392103:DXH392156 EHD392103:EHD392156 EQZ392103:EQZ392156 FAV392103:FAV392156 FKR392103:FKR392156 FUN392103:FUN392156 GEJ392103:GEJ392156 GOF392103:GOF392156 GYB392103:GYB392156 HHX392103:HHX392156 HRT392103:HRT392156 IBP392103:IBP392156 ILL392103:ILL392156 IVH392103:IVH392156 JFD392103:JFD392156 JOZ392103:JOZ392156 JYV392103:JYV392156 KIR392103:KIR392156 KSN392103:KSN392156 LCJ392103:LCJ392156 LMF392103:LMF392156 LWB392103:LWB392156 MFX392103:MFX392156 MPT392103:MPT392156 MZP392103:MZP392156 NJL392103:NJL392156 NTH392103:NTH392156 ODD392103:ODD392156 OMZ392103:OMZ392156 OWV392103:OWV392156 PGR392103:PGR392156 PQN392103:PQN392156 QAJ392103:QAJ392156 QKF392103:QKF392156 QUB392103:QUB392156 RDX392103:RDX392156 RNT392103:RNT392156 RXP392103:RXP392156 SHL392103:SHL392156 SRH392103:SRH392156 TBD392103:TBD392156 TKZ392103:TKZ392156 TUV392103:TUV392156 UER392103:UER392156 UON392103:UON392156 UYJ392103:UYJ392156 VIF392103:VIF392156 VSB392103:VSB392156 WBX392103:WBX392156 WLT392103:WLT392156 WVP392103:WVP392156 H457639:H457692 JD457639:JD457692 SZ457639:SZ457692 ACV457639:ACV457692 AMR457639:AMR457692 AWN457639:AWN457692 BGJ457639:BGJ457692 BQF457639:BQF457692 CAB457639:CAB457692 CJX457639:CJX457692 CTT457639:CTT457692 DDP457639:DDP457692 DNL457639:DNL457692 DXH457639:DXH457692 EHD457639:EHD457692 EQZ457639:EQZ457692 FAV457639:FAV457692 FKR457639:FKR457692 FUN457639:FUN457692 GEJ457639:GEJ457692 GOF457639:GOF457692 GYB457639:GYB457692 HHX457639:HHX457692 HRT457639:HRT457692 IBP457639:IBP457692 ILL457639:ILL457692 IVH457639:IVH457692 JFD457639:JFD457692 JOZ457639:JOZ457692 JYV457639:JYV457692 KIR457639:KIR457692 KSN457639:KSN457692 LCJ457639:LCJ457692 LMF457639:LMF457692 LWB457639:LWB457692 MFX457639:MFX457692 MPT457639:MPT457692 MZP457639:MZP457692 NJL457639:NJL457692 NTH457639:NTH457692 ODD457639:ODD457692 OMZ457639:OMZ457692 OWV457639:OWV457692 PGR457639:PGR457692 PQN457639:PQN457692 QAJ457639:QAJ457692 QKF457639:QKF457692 QUB457639:QUB457692 RDX457639:RDX457692 RNT457639:RNT457692 RXP457639:RXP457692 SHL457639:SHL457692 SRH457639:SRH457692 TBD457639:TBD457692 TKZ457639:TKZ457692 TUV457639:TUV457692 UER457639:UER457692 UON457639:UON457692 UYJ457639:UYJ457692 VIF457639:VIF457692 VSB457639:VSB457692 WBX457639:WBX457692 WLT457639:WLT457692 WVP457639:WVP457692 H523175:H523228 JD523175:JD523228 SZ523175:SZ523228 ACV523175:ACV523228 AMR523175:AMR523228 AWN523175:AWN523228 BGJ523175:BGJ523228 BQF523175:BQF523228 CAB523175:CAB523228 CJX523175:CJX523228 CTT523175:CTT523228 DDP523175:DDP523228 DNL523175:DNL523228 DXH523175:DXH523228 EHD523175:EHD523228 EQZ523175:EQZ523228 FAV523175:FAV523228 FKR523175:FKR523228 FUN523175:FUN523228 GEJ523175:GEJ523228 GOF523175:GOF523228 GYB523175:GYB523228 HHX523175:HHX523228 HRT523175:HRT523228 IBP523175:IBP523228 ILL523175:ILL523228 IVH523175:IVH523228 JFD523175:JFD523228 JOZ523175:JOZ523228 JYV523175:JYV523228 KIR523175:KIR523228 KSN523175:KSN523228 LCJ523175:LCJ523228 LMF523175:LMF523228 LWB523175:LWB523228 MFX523175:MFX523228 MPT523175:MPT523228 MZP523175:MZP523228 NJL523175:NJL523228 NTH523175:NTH523228 ODD523175:ODD523228 OMZ523175:OMZ523228 OWV523175:OWV523228 PGR523175:PGR523228 PQN523175:PQN523228 QAJ523175:QAJ523228 QKF523175:QKF523228 QUB523175:QUB523228 RDX523175:RDX523228 RNT523175:RNT523228 RXP523175:RXP523228 SHL523175:SHL523228 SRH523175:SRH523228 TBD523175:TBD523228 TKZ523175:TKZ523228 TUV523175:TUV523228 UER523175:UER523228 UON523175:UON523228 UYJ523175:UYJ523228 VIF523175:VIF523228 VSB523175:VSB523228 WBX523175:WBX523228 WLT523175:WLT523228 WVP523175:WVP523228 H588711:H588764 JD588711:JD588764 SZ588711:SZ588764 ACV588711:ACV588764 AMR588711:AMR588764 AWN588711:AWN588764 BGJ588711:BGJ588764 BQF588711:BQF588764 CAB588711:CAB588764 CJX588711:CJX588764 CTT588711:CTT588764 DDP588711:DDP588764 DNL588711:DNL588764 DXH588711:DXH588764 EHD588711:EHD588764 EQZ588711:EQZ588764 FAV588711:FAV588764 FKR588711:FKR588764 FUN588711:FUN588764 GEJ588711:GEJ588764 GOF588711:GOF588764 GYB588711:GYB588764 HHX588711:HHX588764 HRT588711:HRT588764 IBP588711:IBP588764 ILL588711:ILL588764 IVH588711:IVH588764 JFD588711:JFD588764 JOZ588711:JOZ588764 JYV588711:JYV588764 KIR588711:KIR588764 KSN588711:KSN588764 LCJ588711:LCJ588764 LMF588711:LMF588764 LWB588711:LWB588764 MFX588711:MFX588764 MPT588711:MPT588764 MZP588711:MZP588764 NJL588711:NJL588764 NTH588711:NTH588764 ODD588711:ODD588764 OMZ588711:OMZ588764 OWV588711:OWV588764 PGR588711:PGR588764 PQN588711:PQN588764 QAJ588711:QAJ588764 QKF588711:QKF588764 QUB588711:QUB588764 RDX588711:RDX588764 RNT588711:RNT588764 RXP588711:RXP588764 SHL588711:SHL588764 SRH588711:SRH588764 TBD588711:TBD588764 TKZ588711:TKZ588764 TUV588711:TUV588764 UER588711:UER588764 UON588711:UON588764 UYJ588711:UYJ588764 VIF588711:VIF588764 VSB588711:VSB588764 WBX588711:WBX588764 WLT588711:WLT588764 WVP588711:WVP588764 H654247:H654300 JD654247:JD654300 SZ654247:SZ654300 ACV654247:ACV654300 AMR654247:AMR654300 AWN654247:AWN654300 BGJ654247:BGJ654300 BQF654247:BQF654300 CAB654247:CAB654300 CJX654247:CJX654300 CTT654247:CTT654300 DDP654247:DDP654300 DNL654247:DNL654300 DXH654247:DXH654300 EHD654247:EHD654300 EQZ654247:EQZ654300 FAV654247:FAV654300 FKR654247:FKR654300 FUN654247:FUN654300 GEJ654247:GEJ654300 GOF654247:GOF654300 GYB654247:GYB654300 HHX654247:HHX654300 HRT654247:HRT654300 IBP654247:IBP654300 ILL654247:ILL654300 IVH654247:IVH654300 JFD654247:JFD654300 JOZ654247:JOZ654300 JYV654247:JYV654300 KIR654247:KIR654300 KSN654247:KSN654300 LCJ654247:LCJ654300 LMF654247:LMF654300 LWB654247:LWB654300 MFX654247:MFX654300 MPT654247:MPT654300 MZP654247:MZP654300 NJL654247:NJL654300 NTH654247:NTH654300 ODD654247:ODD654300 OMZ654247:OMZ654300 OWV654247:OWV654300 PGR654247:PGR654300 PQN654247:PQN654300 QAJ654247:QAJ654300 QKF654247:QKF654300 QUB654247:QUB654300 RDX654247:RDX654300 RNT654247:RNT654300 RXP654247:RXP654300 SHL654247:SHL654300 SRH654247:SRH654300 TBD654247:TBD654300 TKZ654247:TKZ654300 TUV654247:TUV654300 UER654247:UER654300 UON654247:UON654300 UYJ654247:UYJ654300 VIF654247:VIF654300 VSB654247:VSB654300 WBX654247:WBX654300 WLT654247:WLT654300 WVP654247:WVP654300 H719783:H719836 JD719783:JD719836 SZ719783:SZ719836 ACV719783:ACV719836 AMR719783:AMR719836 AWN719783:AWN719836 BGJ719783:BGJ719836 BQF719783:BQF719836 CAB719783:CAB719836 CJX719783:CJX719836 CTT719783:CTT719836 DDP719783:DDP719836 DNL719783:DNL719836 DXH719783:DXH719836 EHD719783:EHD719836 EQZ719783:EQZ719836 FAV719783:FAV719836 FKR719783:FKR719836 FUN719783:FUN719836 GEJ719783:GEJ719836 GOF719783:GOF719836 GYB719783:GYB719836 HHX719783:HHX719836 HRT719783:HRT719836 IBP719783:IBP719836 ILL719783:ILL719836 IVH719783:IVH719836 JFD719783:JFD719836 JOZ719783:JOZ719836 JYV719783:JYV719836 KIR719783:KIR719836 KSN719783:KSN719836 LCJ719783:LCJ719836 LMF719783:LMF719836 LWB719783:LWB719836 MFX719783:MFX719836 MPT719783:MPT719836 MZP719783:MZP719836 NJL719783:NJL719836 NTH719783:NTH719836 ODD719783:ODD719836 OMZ719783:OMZ719836 OWV719783:OWV719836 PGR719783:PGR719836 PQN719783:PQN719836 QAJ719783:QAJ719836 QKF719783:QKF719836 QUB719783:QUB719836 RDX719783:RDX719836 RNT719783:RNT719836 RXP719783:RXP719836 SHL719783:SHL719836 SRH719783:SRH719836 TBD719783:TBD719836 TKZ719783:TKZ719836 TUV719783:TUV719836 UER719783:UER719836 UON719783:UON719836 UYJ719783:UYJ719836 VIF719783:VIF719836 VSB719783:VSB719836 WBX719783:WBX719836 WLT719783:WLT719836 WVP719783:WVP719836 H785319:H785372 JD785319:JD785372 SZ785319:SZ785372 ACV785319:ACV785372 AMR785319:AMR785372 AWN785319:AWN785372 BGJ785319:BGJ785372 BQF785319:BQF785372 CAB785319:CAB785372 CJX785319:CJX785372 CTT785319:CTT785372 DDP785319:DDP785372 DNL785319:DNL785372 DXH785319:DXH785372 EHD785319:EHD785372 EQZ785319:EQZ785372 FAV785319:FAV785372 FKR785319:FKR785372 FUN785319:FUN785372 GEJ785319:GEJ785372 GOF785319:GOF785372 GYB785319:GYB785372 HHX785319:HHX785372 HRT785319:HRT785372 IBP785319:IBP785372 ILL785319:ILL785372 IVH785319:IVH785372 JFD785319:JFD785372 JOZ785319:JOZ785372 JYV785319:JYV785372 KIR785319:KIR785372 KSN785319:KSN785372 LCJ785319:LCJ785372 LMF785319:LMF785372 LWB785319:LWB785372 MFX785319:MFX785372 MPT785319:MPT785372 MZP785319:MZP785372 NJL785319:NJL785372 NTH785319:NTH785372 ODD785319:ODD785372 OMZ785319:OMZ785372 OWV785319:OWV785372 PGR785319:PGR785372 PQN785319:PQN785372 QAJ785319:QAJ785372 QKF785319:QKF785372 QUB785319:QUB785372 RDX785319:RDX785372 RNT785319:RNT785372 RXP785319:RXP785372 SHL785319:SHL785372 SRH785319:SRH785372 TBD785319:TBD785372 TKZ785319:TKZ785372 TUV785319:TUV785372 UER785319:UER785372 UON785319:UON785372 UYJ785319:UYJ785372 VIF785319:VIF785372 VSB785319:VSB785372 WBX785319:WBX785372 WLT785319:WLT785372 WVP785319:WVP785372 H850855:H850908 JD850855:JD850908 SZ850855:SZ850908 ACV850855:ACV850908 AMR850855:AMR850908 AWN850855:AWN850908 BGJ850855:BGJ850908 BQF850855:BQF850908 CAB850855:CAB850908 CJX850855:CJX850908 CTT850855:CTT850908 DDP850855:DDP850908 DNL850855:DNL850908 DXH850855:DXH850908 EHD850855:EHD850908 EQZ850855:EQZ850908 FAV850855:FAV850908 FKR850855:FKR850908 FUN850855:FUN850908 GEJ850855:GEJ850908 GOF850855:GOF850908 GYB850855:GYB850908 HHX850855:HHX850908 HRT850855:HRT850908 IBP850855:IBP850908 ILL850855:ILL850908 IVH850855:IVH850908 JFD850855:JFD850908 JOZ850855:JOZ850908 JYV850855:JYV850908 KIR850855:KIR850908 KSN850855:KSN850908 LCJ850855:LCJ850908 LMF850855:LMF850908 LWB850855:LWB850908 MFX850855:MFX850908 MPT850855:MPT850908 MZP850855:MZP850908 NJL850855:NJL850908 NTH850855:NTH850908 ODD850855:ODD850908 OMZ850855:OMZ850908 OWV850855:OWV850908 PGR850855:PGR850908 PQN850855:PQN850908 QAJ850855:QAJ850908 QKF850855:QKF850908 QUB850855:QUB850908 RDX850855:RDX850908 RNT850855:RNT850908 RXP850855:RXP850908 SHL850855:SHL850908 SRH850855:SRH850908 TBD850855:TBD850908 TKZ850855:TKZ850908 TUV850855:TUV850908 UER850855:UER850908 UON850855:UON850908 UYJ850855:UYJ850908 VIF850855:VIF850908 VSB850855:VSB850908 WBX850855:WBX850908 WLT850855:WLT850908 WVP850855:WVP850908 H916391:H916444 JD916391:JD916444 SZ916391:SZ916444 ACV916391:ACV916444 AMR916391:AMR916444 AWN916391:AWN916444 BGJ916391:BGJ916444 BQF916391:BQF916444 CAB916391:CAB916444 CJX916391:CJX916444 CTT916391:CTT916444 DDP916391:DDP916444 DNL916391:DNL916444 DXH916391:DXH916444 EHD916391:EHD916444 EQZ916391:EQZ916444 FAV916391:FAV916444 FKR916391:FKR916444 FUN916391:FUN916444 GEJ916391:GEJ916444 GOF916391:GOF916444 GYB916391:GYB916444 HHX916391:HHX916444 HRT916391:HRT916444 IBP916391:IBP916444 ILL916391:ILL916444 IVH916391:IVH916444 JFD916391:JFD916444 JOZ916391:JOZ916444 JYV916391:JYV916444 KIR916391:KIR916444 KSN916391:KSN916444 LCJ916391:LCJ916444 LMF916391:LMF916444 LWB916391:LWB916444 MFX916391:MFX916444 MPT916391:MPT916444 MZP916391:MZP916444 NJL916391:NJL916444 NTH916391:NTH916444 ODD916391:ODD916444 OMZ916391:OMZ916444 OWV916391:OWV916444 PGR916391:PGR916444 PQN916391:PQN916444 QAJ916391:QAJ916444 QKF916391:QKF916444 QUB916391:QUB916444 RDX916391:RDX916444 RNT916391:RNT916444 RXP916391:RXP916444 SHL916391:SHL916444 SRH916391:SRH916444 TBD916391:TBD916444 TKZ916391:TKZ916444 TUV916391:TUV916444 UER916391:UER916444 UON916391:UON916444 UYJ916391:UYJ916444 VIF916391:VIF916444 VSB916391:VSB916444 WBX916391:WBX916444 WLT916391:WLT916444 WVP916391:WVP916444 H981927:H981980 JD981927:JD981980 SZ981927:SZ981980 ACV981927:ACV981980 AMR981927:AMR981980 AWN981927:AWN981980 BGJ981927:BGJ981980 BQF981927:BQF981980 CAB981927:CAB981980 CJX981927:CJX981980 CTT981927:CTT981980 DDP981927:DDP981980 DNL981927:DNL981980 DXH981927:DXH981980 EHD981927:EHD981980 EQZ981927:EQZ981980 FAV981927:FAV981980 FKR981927:FKR981980 FUN981927:FUN981980 GEJ981927:GEJ981980 GOF981927:GOF981980 GYB981927:GYB981980 HHX981927:HHX981980 HRT981927:HRT981980 IBP981927:IBP981980 ILL981927:ILL981980 IVH981927:IVH981980 JFD981927:JFD981980 JOZ981927:JOZ981980 JYV981927:JYV981980 KIR981927:KIR981980 KSN981927:KSN981980 LCJ981927:LCJ981980 LMF981927:LMF981980 LWB981927:LWB981980 MFX981927:MFX981980 MPT981927:MPT981980 MZP981927:MZP981980 NJL981927:NJL981980 NTH981927:NTH981980 ODD981927:ODD981980 OMZ981927:OMZ981980 OWV981927:OWV981980 PGR981927:PGR981980 PQN981927:PQN981980 QAJ981927:QAJ981980 QKF981927:QKF981980 QUB981927:QUB981980 RDX981927:RDX981980 RNT981927:RNT981980 RXP981927:RXP981980 SHL981927:SHL981980 SRH981927:SRH981980 TBD981927:TBD981980 TKZ981927:TKZ981980 TUV981927:TUV981980 UER981927:UER981980 UON981927:UON981980 UYJ981927:UYJ981980 VIF981927:VIF981980 VSB981927:VSB981980 WBX981927:WBX981980 WLT981927:WLT981980 WVP981927:WVP981980 H1047463:H1047516 JD1047463:JD1047516 SZ1047463:SZ1047516 ACV1047463:ACV1047516 AMR1047463:AMR1047516 AWN1047463:AWN1047516 BGJ1047463:BGJ1047516 BQF1047463:BQF1047516 CAB1047463:CAB1047516 CJX1047463:CJX1047516 CTT1047463:CTT1047516 DDP1047463:DDP1047516 DNL1047463:DNL1047516 DXH1047463:DXH1047516 EHD1047463:EHD1047516 EQZ1047463:EQZ1047516 FAV1047463:FAV1047516 FKR1047463:FKR1047516 FUN1047463:FUN1047516 GEJ1047463:GEJ1047516 GOF1047463:GOF1047516 GYB1047463:GYB1047516 HHX1047463:HHX1047516 HRT1047463:HRT1047516 IBP1047463:IBP1047516 ILL1047463:ILL1047516 IVH1047463:IVH1047516 JFD1047463:JFD1047516 JOZ1047463:JOZ1047516 JYV1047463:JYV1047516 KIR1047463:KIR1047516 KSN1047463:KSN1047516 LCJ1047463:LCJ1047516 LMF1047463:LMF1047516 LWB1047463:LWB1047516 MFX1047463:MFX1047516 MPT1047463:MPT1047516 MZP1047463:MZP1047516 NJL1047463:NJL1047516 NTH1047463:NTH1047516 ODD1047463:ODD1047516 OMZ1047463:OMZ1047516 OWV1047463:OWV1047516 PGR1047463:PGR1047516 PQN1047463:PQN1047516 QAJ1047463:QAJ1047516 QKF1047463:QKF1047516 QUB1047463:QUB1047516 RDX1047463:RDX1047516 RNT1047463:RNT1047516 RXP1047463:RXP1047516 SHL1047463:SHL1047516 SRH1047463:SRH1047516 TBD1047463:TBD1047516 TKZ1047463:TKZ1047516 TUV1047463:TUV1047516 UER1047463:UER1047516 UON1047463:UON1047516 UYJ1047463:UYJ1047516 VIF1047463:VIF1047516 VSB1047463:VSB1047516 WBX1047463:WBX1047516 WLT1047463:WLT1047516 WVP1047463:WVP1047516">
      <formula1>$AL$5:$AL$12</formula1>
    </dataValidation>
    <dataValidation type="list" allowBlank="1" showInputMessage="1" showErrorMessage="1" sqref="WVS983042:WVS983140 JG2:JG100 TC2:TC100 ACY2:ACY100 AMU2:AMU100 AWQ2:AWQ100 BGM2:BGM100 BQI2:BQI100 CAE2:CAE100 CKA2:CKA100 CTW2:CTW100 DDS2:DDS100 DNO2:DNO100 DXK2:DXK100 EHG2:EHG100 ERC2:ERC100 FAY2:FAY100 FKU2:FKU100 FUQ2:FUQ100 GEM2:GEM100 GOI2:GOI100 GYE2:GYE100 HIA2:HIA100 HRW2:HRW100 IBS2:IBS100 ILO2:ILO100 IVK2:IVK100 JFG2:JFG100 JPC2:JPC100 JYY2:JYY100 KIU2:KIU100 KSQ2:KSQ100 LCM2:LCM100 LMI2:LMI100 LWE2:LWE100 MGA2:MGA100 MPW2:MPW100 MZS2:MZS100 NJO2:NJO100 NTK2:NTK100 ODG2:ODG100 ONC2:ONC100 OWY2:OWY100 PGU2:PGU100 PQQ2:PQQ100 QAM2:QAM100 QKI2:QKI100 QUE2:QUE100 REA2:REA100 RNW2:RNW100 RXS2:RXS100 SHO2:SHO100 SRK2:SRK100 TBG2:TBG100 TLC2:TLC100 TUY2:TUY100 UEU2:UEU100 UOQ2:UOQ100 UYM2:UYM100 VII2:VII100 VSE2:VSE100 WCA2:WCA100 WLW2:WLW100 WVS2:WVS100 K65538:K65636 JG65538:JG65636 TC65538:TC65636 ACY65538:ACY65636 AMU65538:AMU65636 AWQ65538:AWQ65636 BGM65538:BGM65636 BQI65538:BQI65636 CAE65538:CAE65636 CKA65538:CKA65636 CTW65538:CTW65636 DDS65538:DDS65636 DNO65538:DNO65636 DXK65538:DXK65636 EHG65538:EHG65636 ERC65538:ERC65636 FAY65538:FAY65636 FKU65538:FKU65636 FUQ65538:FUQ65636 GEM65538:GEM65636 GOI65538:GOI65636 GYE65538:GYE65636 HIA65538:HIA65636 HRW65538:HRW65636 IBS65538:IBS65636 ILO65538:ILO65636 IVK65538:IVK65636 JFG65538:JFG65636 JPC65538:JPC65636 JYY65538:JYY65636 KIU65538:KIU65636 KSQ65538:KSQ65636 LCM65538:LCM65636 LMI65538:LMI65636 LWE65538:LWE65636 MGA65538:MGA65636 MPW65538:MPW65636 MZS65538:MZS65636 NJO65538:NJO65636 NTK65538:NTK65636 ODG65538:ODG65636 ONC65538:ONC65636 OWY65538:OWY65636 PGU65538:PGU65636 PQQ65538:PQQ65636 QAM65538:QAM65636 QKI65538:QKI65636 QUE65538:QUE65636 REA65538:REA65636 RNW65538:RNW65636 RXS65538:RXS65636 SHO65538:SHO65636 SRK65538:SRK65636 TBG65538:TBG65636 TLC65538:TLC65636 TUY65538:TUY65636 UEU65538:UEU65636 UOQ65538:UOQ65636 UYM65538:UYM65636 VII65538:VII65636 VSE65538:VSE65636 WCA65538:WCA65636 WLW65538:WLW65636 WVS65538:WVS65636 K131074:K131172 JG131074:JG131172 TC131074:TC131172 ACY131074:ACY131172 AMU131074:AMU131172 AWQ131074:AWQ131172 BGM131074:BGM131172 BQI131074:BQI131172 CAE131074:CAE131172 CKA131074:CKA131172 CTW131074:CTW131172 DDS131074:DDS131172 DNO131074:DNO131172 DXK131074:DXK131172 EHG131074:EHG131172 ERC131074:ERC131172 FAY131074:FAY131172 FKU131074:FKU131172 FUQ131074:FUQ131172 GEM131074:GEM131172 GOI131074:GOI131172 GYE131074:GYE131172 HIA131074:HIA131172 HRW131074:HRW131172 IBS131074:IBS131172 ILO131074:ILO131172 IVK131074:IVK131172 JFG131074:JFG131172 JPC131074:JPC131172 JYY131074:JYY131172 KIU131074:KIU131172 KSQ131074:KSQ131172 LCM131074:LCM131172 LMI131074:LMI131172 LWE131074:LWE131172 MGA131074:MGA131172 MPW131074:MPW131172 MZS131074:MZS131172 NJO131074:NJO131172 NTK131074:NTK131172 ODG131074:ODG131172 ONC131074:ONC131172 OWY131074:OWY131172 PGU131074:PGU131172 PQQ131074:PQQ131172 QAM131074:QAM131172 QKI131074:QKI131172 QUE131074:QUE131172 REA131074:REA131172 RNW131074:RNW131172 RXS131074:RXS131172 SHO131074:SHO131172 SRK131074:SRK131172 TBG131074:TBG131172 TLC131074:TLC131172 TUY131074:TUY131172 UEU131074:UEU131172 UOQ131074:UOQ131172 UYM131074:UYM131172 VII131074:VII131172 VSE131074:VSE131172 WCA131074:WCA131172 WLW131074:WLW131172 WVS131074:WVS131172 K196610:K196708 JG196610:JG196708 TC196610:TC196708 ACY196610:ACY196708 AMU196610:AMU196708 AWQ196610:AWQ196708 BGM196610:BGM196708 BQI196610:BQI196708 CAE196610:CAE196708 CKA196610:CKA196708 CTW196610:CTW196708 DDS196610:DDS196708 DNO196610:DNO196708 DXK196610:DXK196708 EHG196610:EHG196708 ERC196610:ERC196708 FAY196610:FAY196708 FKU196610:FKU196708 FUQ196610:FUQ196708 GEM196610:GEM196708 GOI196610:GOI196708 GYE196610:GYE196708 HIA196610:HIA196708 HRW196610:HRW196708 IBS196610:IBS196708 ILO196610:ILO196708 IVK196610:IVK196708 JFG196610:JFG196708 JPC196610:JPC196708 JYY196610:JYY196708 KIU196610:KIU196708 KSQ196610:KSQ196708 LCM196610:LCM196708 LMI196610:LMI196708 LWE196610:LWE196708 MGA196610:MGA196708 MPW196610:MPW196708 MZS196610:MZS196708 NJO196610:NJO196708 NTK196610:NTK196708 ODG196610:ODG196708 ONC196610:ONC196708 OWY196610:OWY196708 PGU196610:PGU196708 PQQ196610:PQQ196708 QAM196610:QAM196708 QKI196610:QKI196708 QUE196610:QUE196708 REA196610:REA196708 RNW196610:RNW196708 RXS196610:RXS196708 SHO196610:SHO196708 SRK196610:SRK196708 TBG196610:TBG196708 TLC196610:TLC196708 TUY196610:TUY196708 UEU196610:UEU196708 UOQ196610:UOQ196708 UYM196610:UYM196708 VII196610:VII196708 VSE196610:VSE196708 WCA196610:WCA196708 WLW196610:WLW196708 WVS196610:WVS196708 K262146:K262244 JG262146:JG262244 TC262146:TC262244 ACY262146:ACY262244 AMU262146:AMU262244 AWQ262146:AWQ262244 BGM262146:BGM262244 BQI262146:BQI262244 CAE262146:CAE262244 CKA262146:CKA262244 CTW262146:CTW262244 DDS262146:DDS262244 DNO262146:DNO262244 DXK262146:DXK262244 EHG262146:EHG262244 ERC262146:ERC262244 FAY262146:FAY262244 FKU262146:FKU262244 FUQ262146:FUQ262244 GEM262146:GEM262244 GOI262146:GOI262244 GYE262146:GYE262244 HIA262146:HIA262244 HRW262146:HRW262244 IBS262146:IBS262244 ILO262146:ILO262244 IVK262146:IVK262244 JFG262146:JFG262244 JPC262146:JPC262244 JYY262146:JYY262244 KIU262146:KIU262244 KSQ262146:KSQ262244 LCM262146:LCM262244 LMI262146:LMI262244 LWE262146:LWE262244 MGA262146:MGA262244 MPW262146:MPW262244 MZS262146:MZS262244 NJO262146:NJO262244 NTK262146:NTK262244 ODG262146:ODG262244 ONC262146:ONC262244 OWY262146:OWY262244 PGU262146:PGU262244 PQQ262146:PQQ262244 QAM262146:QAM262244 QKI262146:QKI262244 QUE262146:QUE262244 REA262146:REA262244 RNW262146:RNW262244 RXS262146:RXS262244 SHO262146:SHO262244 SRK262146:SRK262244 TBG262146:TBG262244 TLC262146:TLC262244 TUY262146:TUY262244 UEU262146:UEU262244 UOQ262146:UOQ262244 UYM262146:UYM262244 VII262146:VII262244 VSE262146:VSE262244 WCA262146:WCA262244 WLW262146:WLW262244 WVS262146:WVS262244 K327682:K327780 JG327682:JG327780 TC327682:TC327780 ACY327682:ACY327780 AMU327682:AMU327780 AWQ327682:AWQ327780 BGM327682:BGM327780 BQI327682:BQI327780 CAE327682:CAE327780 CKA327682:CKA327780 CTW327682:CTW327780 DDS327682:DDS327780 DNO327682:DNO327780 DXK327682:DXK327780 EHG327682:EHG327780 ERC327682:ERC327780 FAY327682:FAY327780 FKU327682:FKU327780 FUQ327682:FUQ327780 GEM327682:GEM327780 GOI327682:GOI327780 GYE327682:GYE327780 HIA327682:HIA327780 HRW327682:HRW327780 IBS327682:IBS327780 ILO327682:ILO327780 IVK327682:IVK327780 JFG327682:JFG327780 JPC327682:JPC327780 JYY327682:JYY327780 KIU327682:KIU327780 KSQ327682:KSQ327780 LCM327682:LCM327780 LMI327682:LMI327780 LWE327682:LWE327780 MGA327682:MGA327780 MPW327682:MPW327780 MZS327682:MZS327780 NJO327682:NJO327780 NTK327682:NTK327780 ODG327682:ODG327780 ONC327682:ONC327780 OWY327682:OWY327780 PGU327682:PGU327780 PQQ327682:PQQ327780 QAM327682:QAM327780 QKI327682:QKI327780 QUE327682:QUE327780 REA327682:REA327780 RNW327682:RNW327780 RXS327682:RXS327780 SHO327682:SHO327780 SRK327682:SRK327780 TBG327682:TBG327780 TLC327682:TLC327780 TUY327682:TUY327780 UEU327682:UEU327780 UOQ327682:UOQ327780 UYM327682:UYM327780 VII327682:VII327780 VSE327682:VSE327780 WCA327682:WCA327780 WLW327682:WLW327780 WVS327682:WVS327780 K393218:K393316 JG393218:JG393316 TC393218:TC393316 ACY393218:ACY393316 AMU393218:AMU393316 AWQ393218:AWQ393316 BGM393218:BGM393316 BQI393218:BQI393316 CAE393218:CAE393316 CKA393218:CKA393316 CTW393218:CTW393316 DDS393218:DDS393316 DNO393218:DNO393316 DXK393218:DXK393316 EHG393218:EHG393316 ERC393218:ERC393316 FAY393218:FAY393316 FKU393218:FKU393316 FUQ393218:FUQ393316 GEM393218:GEM393316 GOI393218:GOI393316 GYE393218:GYE393316 HIA393218:HIA393316 HRW393218:HRW393316 IBS393218:IBS393316 ILO393218:ILO393316 IVK393218:IVK393316 JFG393218:JFG393316 JPC393218:JPC393316 JYY393218:JYY393316 KIU393218:KIU393316 KSQ393218:KSQ393316 LCM393218:LCM393316 LMI393218:LMI393316 LWE393218:LWE393316 MGA393218:MGA393316 MPW393218:MPW393316 MZS393218:MZS393316 NJO393218:NJO393316 NTK393218:NTK393316 ODG393218:ODG393316 ONC393218:ONC393316 OWY393218:OWY393316 PGU393218:PGU393316 PQQ393218:PQQ393316 QAM393218:QAM393316 QKI393218:QKI393316 QUE393218:QUE393316 REA393218:REA393316 RNW393218:RNW393316 RXS393218:RXS393316 SHO393218:SHO393316 SRK393218:SRK393316 TBG393218:TBG393316 TLC393218:TLC393316 TUY393218:TUY393316 UEU393218:UEU393316 UOQ393218:UOQ393316 UYM393218:UYM393316 VII393218:VII393316 VSE393218:VSE393316 WCA393218:WCA393316 WLW393218:WLW393316 WVS393218:WVS393316 K458754:K458852 JG458754:JG458852 TC458754:TC458852 ACY458754:ACY458852 AMU458754:AMU458852 AWQ458754:AWQ458852 BGM458754:BGM458852 BQI458754:BQI458852 CAE458754:CAE458852 CKA458754:CKA458852 CTW458754:CTW458852 DDS458754:DDS458852 DNO458754:DNO458852 DXK458754:DXK458852 EHG458754:EHG458852 ERC458754:ERC458852 FAY458754:FAY458852 FKU458754:FKU458852 FUQ458754:FUQ458852 GEM458754:GEM458852 GOI458754:GOI458852 GYE458754:GYE458852 HIA458754:HIA458852 HRW458754:HRW458852 IBS458754:IBS458852 ILO458754:ILO458852 IVK458754:IVK458852 JFG458754:JFG458852 JPC458754:JPC458852 JYY458754:JYY458852 KIU458754:KIU458852 KSQ458754:KSQ458852 LCM458754:LCM458852 LMI458754:LMI458852 LWE458754:LWE458852 MGA458754:MGA458852 MPW458754:MPW458852 MZS458754:MZS458852 NJO458754:NJO458852 NTK458754:NTK458852 ODG458754:ODG458852 ONC458754:ONC458852 OWY458754:OWY458852 PGU458754:PGU458852 PQQ458754:PQQ458852 QAM458754:QAM458852 QKI458754:QKI458852 QUE458754:QUE458852 REA458754:REA458852 RNW458754:RNW458852 RXS458754:RXS458852 SHO458754:SHO458852 SRK458754:SRK458852 TBG458754:TBG458852 TLC458754:TLC458852 TUY458754:TUY458852 UEU458754:UEU458852 UOQ458754:UOQ458852 UYM458754:UYM458852 VII458754:VII458852 VSE458754:VSE458852 WCA458754:WCA458852 WLW458754:WLW458852 WVS458754:WVS458852 K524290:K524388 JG524290:JG524388 TC524290:TC524388 ACY524290:ACY524388 AMU524290:AMU524388 AWQ524290:AWQ524388 BGM524290:BGM524388 BQI524290:BQI524388 CAE524290:CAE524388 CKA524290:CKA524388 CTW524290:CTW524388 DDS524290:DDS524388 DNO524290:DNO524388 DXK524290:DXK524388 EHG524290:EHG524388 ERC524290:ERC524388 FAY524290:FAY524388 FKU524290:FKU524388 FUQ524290:FUQ524388 GEM524290:GEM524388 GOI524290:GOI524388 GYE524290:GYE524388 HIA524290:HIA524388 HRW524290:HRW524388 IBS524290:IBS524388 ILO524290:ILO524388 IVK524290:IVK524388 JFG524290:JFG524388 JPC524290:JPC524388 JYY524290:JYY524388 KIU524290:KIU524388 KSQ524290:KSQ524388 LCM524290:LCM524388 LMI524290:LMI524388 LWE524290:LWE524388 MGA524290:MGA524388 MPW524290:MPW524388 MZS524290:MZS524388 NJO524290:NJO524388 NTK524290:NTK524388 ODG524290:ODG524388 ONC524290:ONC524388 OWY524290:OWY524388 PGU524290:PGU524388 PQQ524290:PQQ524388 QAM524290:QAM524388 QKI524290:QKI524388 QUE524290:QUE524388 REA524290:REA524388 RNW524290:RNW524388 RXS524290:RXS524388 SHO524290:SHO524388 SRK524290:SRK524388 TBG524290:TBG524388 TLC524290:TLC524388 TUY524290:TUY524388 UEU524290:UEU524388 UOQ524290:UOQ524388 UYM524290:UYM524388 VII524290:VII524388 VSE524290:VSE524388 WCA524290:WCA524388 WLW524290:WLW524388 WVS524290:WVS524388 K589826:K589924 JG589826:JG589924 TC589826:TC589924 ACY589826:ACY589924 AMU589826:AMU589924 AWQ589826:AWQ589924 BGM589826:BGM589924 BQI589826:BQI589924 CAE589826:CAE589924 CKA589826:CKA589924 CTW589826:CTW589924 DDS589826:DDS589924 DNO589826:DNO589924 DXK589826:DXK589924 EHG589826:EHG589924 ERC589826:ERC589924 FAY589826:FAY589924 FKU589826:FKU589924 FUQ589826:FUQ589924 GEM589826:GEM589924 GOI589826:GOI589924 GYE589826:GYE589924 HIA589826:HIA589924 HRW589826:HRW589924 IBS589826:IBS589924 ILO589826:ILO589924 IVK589826:IVK589924 JFG589826:JFG589924 JPC589826:JPC589924 JYY589826:JYY589924 KIU589826:KIU589924 KSQ589826:KSQ589924 LCM589826:LCM589924 LMI589826:LMI589924 LWE589826:LWE589924 MGA589826:MGA589924 MPW589826:MPW589924 MZS589826:MZS589924 NJO589826:NJO589924 NTK589826:NTK589924 ODG589826:ODG589924 ONC589826:ONC589924 OWY589826:OWY589924 PGU589826:PGU589924 PQQ589826:PQQ589924 QAM589826:QAM589924 QKI589826:QKI589924 QUE589826:QUE589924 REA589826:REA589924 RNW589826:RNW589924 RXS589826:RXS589924 SHO589826:SHO589924 SRK589826:SRK589924 TBG589826:TBG589924 TLC589826:TLC589924 TUY589826:TUY589924 UEU589826:UEU589924 UOQ589826:UOQ589924 UYM589826:UYM589924 VII589826:VII589924 VSE589826:VSE589924 WCA589826:WCA589924 WLW589826:WLW589924 WVS589826:WVS589924 K655362:K655460 JG655362:JG655460 TC655362:TC655460 ACY655362:ACY655460 AMU655362:AMU655460 AWQ655362:AWQ655460 BGM655362:BGM655460 BQI655362:BQI655460 CAE655362:CAE655460 CKA655362:CKA655460 CTW655362:CTW655460 DDS655362:DDS655460 DNO655362:DNO655460 DXK655362:DXK655460 EHG655362:EHG655460 ERC655362:ERC655460 FAY655362:FAY655460 FKU655362:FKU655460 FUQ655362:FUQ655460 GEM655362:GEM655460 GOI655362:GOI655460 GYE655362:GYE655460 HIA655362:HIA655460 HRW655362:HRW655460 IBS655362:IBS655460 ILO655362:ILO655460 IVK655362:IVK655460 JFG655362:JFG655460 JPC655362:JPC655460 JYY655362:JYY655460 KIU655362:KIU655460 KSQ655362:KSQ655460 LCM655362:LCM655460 LMI655362:LMI655460 LWE655362:LWE655460 MGA655362:MGA655460 MPW655362:MPW655460 MZS655362:MZS655460 NJO655362:NJO655460 NTK655362:NTK655460 ODG655362:ODG655460 ONC655362:ONC655460 OWY655362:OWY655460 PGU655362:PGU655460 PQQ655362:PQQ655460 QAM655362:QAM655460 QKI655362:QKI655460 QUE655362:QUE655460 REA655362:REA655460 RNW655362:RNW655460 RXS655362:RXS655460 SHO655362:SHO655460 SRK655362:SRK655460 TBG655362:TBG655460 TLC655362:TLC655460 TUY655362:TUY655460 UEU655362:UEU655460 UOQ655362:UOQ655460 UYM655362:UYM655460 VII655362:VII655460 VSE655362:VSE655460 WCA655362:WCA655460 WLW655362:WLW655460 WVS655362:WVS655460 K720898:K720996 JG720898:JG720996 TC720898:TC720996 ACY720898:ACY720996 AMU720898:AMU720996 AWQ720898:AWQ720996 BGM720898:BGM720996 BQI720898:BQI720996 CAE720898:CAE720996 CKA720898:CKA720996 CTW720898:CTW720996 DDS720898:DDS720996 DNO720898:DNO720996 DXK720898:DXK720996 EHG720898:EHG720996 ERC720898:ERC720996 FAY720898:FAY720996 FKU720898:FKU720996 FUQ720898:FUQ720996 GEM720898:GEM720996 GOI720898:GOI720996 GYE720898:GYE720996 HIA720898:HIA720996 HRW720898:HRW720996 IBS720898:IBS720996 ILO720898:ILO720996 IVK720898:IVK720996 JFG720898:JFG720996 JPC720898:JPC720996 JYY720898:JYY720996 KIU720898:KIU720996 KSQ720898:KSQ720996 LCM720898:LCM720996 LMI720898:LMI720996 LWE720898:LWE720996 MGA720898:MGA720996 MPW720898:MPW720996 MZS720898:MZS720996 NJO720898:NJO720996 NTK720898:NTK720996 ODG720898:ODG720996 ONC720898:ONC720996 OWY720898:OWY720996 PGU720898:PGU720996 PQQ720898:PQQ720996 QAM720898:QAM720996 QKI720898:QKI720996 QUE720898:QUE720996 REA720898:REA720996 RNW720898:RNW720996 RXS720898:RXS720996 SHO720898:SHO720996 SRK720898:SRK720996 TBG720898:TBG720996 TLC720898:TLC720996 TUY720898:TUY720996 UEU720898:UEU720996 UOQ720898:UOQ720996 UYM720898:UYM720996 VII720898:VII720996 VSE720898:VSE720996 WCA720898:WCA720996 WLW720898:WLW720996 WVS720898:WVS720996 K786434:K786532 JG786434:JG786532 TC786434:TC786532 ACY786434:ACY786532 AMU786434:AMU786532 AWQ786434:AWQ786532 BGM786434:BGM786532 BQI786434:BQI786532 CAE786434:CAE786532 CKA786434:CKA786532 CTW786434:CTW786532 DDS786434:DDS786532 DNO786434:DNO786532 DXK786434:DXK786532 EHG786434:EHG786532 ERC786434:ERC786532 FAY786434:FAY786532 FKU786434:FKU786532 FUQ786434:FUQ786532 GEM786434:GEM786532 GOI786434:GOI786532 GYE786434:GYE786532 HIA786434:HIA786532 HRW786434:HRW786532 IBS786434:IBS786532 ILO786434:ILO786532 IVK786434:IVK786532 JFG786434:JFG786532 JPC786434:JPC786532 JYY786434:JYY786532 KIU786434:KIU786532 KSQ786434:KSQ786532 LCM786434:LCM786532 LMI786434:LMI786532 LWE786434:LWE786532 MGA786434:MGA786532 MPW786434:MPW786532 MZS786434:MZS786532 NJO786434:NJO786532 NTK786434:NTK786532 ODG786434:ODG786532 ONC786434:ONC786532 OWY786434:OWY786532 PGU786434:PGU786532 PQQ786434:PQQ786532 QAM786434:QAM786532 QKI786434:QKI786532 QUE786434:QUE786532 REA786434:REA786532 RNW786434:RNW786532 RXS786434:RXS786532 SHO786434:SHO786532 SRK786434:SRK786532 TBG786434:TBG786532 TLC786434:TLC786532 TUY786434:TUY786532 UEU786434:UEU786532 UOQ786434:UOQ786532 UYM786434:UYM786532 VII786434:VII786532 VSE786434:VSE786532 WCA786434:WCA786532 WLW786434:WLW786532 WVS786434:WVS786532 K851970:K852068 JG851970:JG852068 TC851970:TC852068 ACY851970:ACY852068 AMU851970:AMU852068 AWQ851970:AWQ852068 BGM851970:BGM852068 BQI851970:BQI852068 CAE851970:CAE852068 CKA851970:CKA852068 CTW851970:CTW852068 DDS851970:DDS852068 DNO851970:DNO852068 DXK851970:DXK852068 EHG851970:EHG852068 ERC851970:ERC852068 FAY851970:FAY852068 FKU851970:FKU852068 FUQ851970:FUQ852068 GEM851970:GEM852068 GOI851970:GOI852068 GYE851970:GYE852068 HIA851970:HIA852068 HRW851970:HRW852068 IBS851970:IBS852068 ILO851970:ILO852068 IVK851970:IVK852068 JFG851970:JFG852068 JPC851970:JPC852068 JYY851970:JYY852068 KIU851970:KIU852068 KSQ851970:KSQ852068 LCM851970:LCM852068 LMI851970:LMI852068 LWE851970:LWE852068 MGA851970:MGA852068 MPW851970:MPW852068 MZS851970:MZS852068 NJO851970:NJO852068 NTK851970:NTK852068 ODG851970:ODG852068 ONC851970:ONC852068 OWY851970:OWY852068 PGU851970:PGU852068 PQQ851970:PQQ852068 QAM851970:QAM852068 QKI851970:QKI852068 QUE851970:QUE852068 REA851970:REA852068 RNW851970:RNW852068 RXS851970:RXS852068 SHO851970:SHO852068 SRK851970:SRK852068 TBG851970:TBG852068 TLC851970:TLC852068 TUY851970:TUY852068 UEU851970:UEU852068 UOQ851970:UOQ852068 UYM851970:UYM852068 VII851970:VII852068 VSE851970:VSE852068 WCA851970:WCA852068 WLW851970:WLW852068 WVS851970:WVS852068 K917506:K917604 JG917506:JG917604 TC917506:TC917604 ACY917506:ACY917604 AMU917506:AMU917604 AWQ917506:AWQ917604 BGM917506:BGM917604 BQI917506:BQI917604 CAE917506:CAE917604 CKA917506:CKA917604 CTW917506:CTW917604 DDS917506:DDS917604 DNO917506:DNO917604 DXK917506:DXK917604 EHG917506:EHG917604 ERC917506:ERC917604 FAY917506:FAY917604 FKU917506:FKU917604 FUQ917506:FUQ917604 GEM917506:GEM917604 GOI917506:GOI917604 GYE917506:GYE917604 HIA917506:HIA917604 HRW917506:HRW917604 IBS917506:IBS917604 ILO917506:ILO917604 IVK917506:IVK917604 JFG917506:JFG917604 JPC917506:JPC917604 JYY917506:JYY917604 KIU917506:KIU917604 KSQ917506:KSQ917604 LCM917506:LCM917604 LMI917506:LMI917604 LWE917506:LWE917604 MGA917506:MGA917604 MPW917506:MPW917604 MZS917506:MZS917604 NJO917506:NJO917604 NTK917506:NTK917604 ODG917506:ODG917604 ONC917506:ONC917604 OWY917506:OWY917604 PGU917506:PGU917604 PQQ917506:PQQ917604 QAM917506:QAM917604 QKI917506:QKI917604 QUE917506:QUE917604 REA917506:REA917604 RNW917506:RNW917604 RXS917506:RXS917604 SHO917506:SHO917604 SRK917506:SRK917604 TBG917506:TBG917604 TLC917506:TLC917604 TUY917506:TUY917604 UEU917506:UEU917604 UOQ917506:UOQ917604 UYM917506:UYM917604 VII917506:VII917604 VSE917506:VSE917604 WCA917506:WCA917604 WLW917506:WLW917604 WVS917506:WVS917604 K983042:K983140 JG983042:JG983140 TC983042:TC983140 ACY983042:ACY983140 AMU983042:AMU983140 AWQ983042:AWQ983140 BGM983042:BGM983140 BQI983042:BQI983140 CAE983042:CAE983140 CKA983042:CKA983140 CTW983042:CTW983140 DDS983042:DDS983140 DNO983042:DNO983140 DXK983042:DXK983140 EHG983042:EHG983140 ERC983042:ERC983140 FAY983042:FAY983140 FKU983042:FKU983140 FUQ983042:FUQ983140 GEM983042:GEM983140 GOI983042:GOI983140 GYE983042:GYE983140 HIA983042:HIA983140 HRW983042:HRW983140 IBS983042:IBS983140 ILO983042:ILO983140 IVK983042:IVK983140 JFG983042:JFG983140 JPC983042:JPC983140 JYY983042:JYY983140 KIU983042:KIU983140 KSQ983042:KSQ983140 LCM983042:LCM983140 LMI983042:LMI983140 LWE983042:LWE983140 MGA983042:MGA983140 MPW983042:MPW983140 MZS983042:MZS983140 NJO983042:NJO983140 NTK983042:NTK983140 ODG983042:ODG983140 ONC983042:ONC983140 OWY983042:OWY983140 PGU983042:PGU983140 PQQ983042:PQQ983140 QAM983042:QAM983140 QKI983042:QKI983140 QUE983042:QUE983140 REA983042:REA983140 RNW983042:RNW983140 RXS983042:RXS983140 SHO983042:SHO983140 SRK983042:SRK983140 TBG983042:TBG983140 TLC983042:TLC983140 TUY983042:TUY983140 UEU983042:UEU983140 UOQ983042:UOQ983140 UYM983042:UYM983140 VII983042:VII983140 VSE983042:VSE983140 WCA983042:WCA983140 WLW983042:WLW983140">
      <formula1>$AR$2:$AR$25</formula1>
    </dataValidation>
    <dataValidation type="list" allowBlank="1" showInputMessage="1" showErrorMessage="1" sqref="WVR983042:WVR983140 JF2:JF100 TB2:TB100 ACX2:ACX100 AMT2:AMT100 AWP2:AWP100 BGL2:BGL100 BQH2:BQH100 CAD2:CAD100 CJZ2:CJZ100 CTV2:CTV100 DDR2:DDR100 DNN2:DNN100 DXJ2:DXJ100 EHF2:EHF100 ERB2:ERB100 FAX2:FAX100 FKT2:FKT100 FUP2:FUP100 GEL2:GEL100 GOH2:GOH100 GYD2:GYD100 HHZ2:HHZ100 HRV2:HRV100 IBR2:IBR100 ILN2:ILN100 IVJ2:IVJ100 JFF2:JFF100 JPB2:JPB100 JYX2:JYX100 KIT2:KIT100 KSP2:KSP100 LCL2:LCL100 LMH2:LMH100 LWD2:LWD100 MFZ2:MFZ100 MPV2:MPV100 MZR2:MZR100 NJN2:NJN100 NTJ2:NTJ100 ODF2:ODF100 ONB2:ONB100 OWX2:OWX100 PGT2:PGT100 PQP2:PQP100 QAL2:QAL100 QKH2:QKH100 QUD2:QUD100 RDZ2:RDZ100 RNV2:RNV100 RXR2:RXR100 SHN2:SHN100 SRJ2:SRJ100 TBF2:TBF100 TLB2:TLB100 TUX2:TUX100 UET2:UET100 UOP2:UOP100 UYL2:UYL100 VIH2:VIH100 VSD2:VSD100 WBZ2:WBZ100 WLV2:WLV100 WVR2:WVR100 J65538:J65636 JF65538:JF65636 TB65538:TB65636 ACX65538:ACX65636 AMT65538:AMT65636 AWP65538:AWP65636 BGL65538:BGL65636 BQH65538:BQH65636 CAD65538:CAD65636 CJZ65538:CJZ65636 CTV65538:CTV65636 DDR65538:DDR65636 DNN65538:DNN65636 DXJ65538:DXJ65636 EHF65538:EHF65636 ERB65538:ERB65636 FAX65538:FAX65636 FKT65538:FKT65636 FUP65538:FUP65636 GEL65538:GEL65636 GOH65538:GOH65636 GYD65538:GYD65636 HHZ65538:HHZ65636 HRV65538:HRV65636 IBR65538:IBR65636 ILN65538:ILN65636 IVJ65538:IVJ65636 JFF65538:JFF65636 JPB65538:JPB65636 JYX65538:JYX65636 KIT65538:KIT65636 KSP65538:KSP65636 LCL65538:LCL65636 LMH65538:LMH65636 LWD65538:LWD65636 MFZ65538:MFZ65636 MPV65538:MPV65636 MZR65538:MZR65636 NJN65538:NJN65636 NTJ65538:NTJ65636 ODF65538:ODF65636 ONB65538:ONB65636 OWX65538:OWX65636 PGT65538:PGT65636 PQP65538:PQP65636 QAL65538:QAL65636 QKH65538:QKH65636 QUD65538:QUD65636 RDZ65538:RDZ65636 RNV65538:RNV65636 RXR65538:RXR65636 SHN65538:SHN65636 SRJ65538:SRJ65636 TBF65538:TBF65636 TLB65538:TLB65636 TUX65538:TUX65636 UET65538:UET65636 UOP65538:UOP65636 UYL65538:UYL65636 VIH65538:VIH65636 VSD65538:VSD65636 WBZ65538:WBZ65636 WLV65538:WLV65636 WVR65538:WVR65636 J131074:J131172 JF131074:JF131172 TB131074:TB131172 ACX131074:ACX131172 AMT131074:AMT131172 AWP131074:AWP131172 BGL131074:BGL131172 BQH131074:BQH131172 CAD131074:CAD131172 CJZ131074:CJZ131172 CTV131074:CTV131172 DDR131074:DDR131172 DNN131074:DNN131172 DXJ131074:DXJ131172 EHF131074:EHF131172 ERB131074:ERB131172 FAX131074:FAX131172 FKT131074:FKT131172 FUP131074:FUP131172 GEL131074:GEL131172 GOH131074:GOH131172 GYD131074:GYD131172 HHZ131074:HHZ131172 HRV131074:HRV131172 IBR131074:IBR131172 ILN131074:ILN131172 IVJ131074:IVJ131172 JFF131074:JFF131172 JPB131074:JPB131172 JYX131074:JYX131172 KIT131074:KIT131172 KSP131074:KSP131172 LCL131074:LCL131172 LMH131074:LMH131172 LWD131074:LWD131172 MFZ131074:MFZ131172 MPV131074:MPV131172 MZR131074:MZR131172 NJN131074:NJN131172 NTJ131074:NTJ131172 ODF131074:ODF131172 ONB131074:ONB131172 OWX131074:OWX131172 PGT131074:PGT131172 PQP131074:PQP131172 QAL131074:QAL131172 QKH131074:QKH131172 QUD131074:QUD131172 RDZ131074:RDZ131172 RNV131074:RNV131172 RXR131074:RXR131172 SHN131074:SHN131172 SRJ131074:SRJ131172 TBF131074:TBF131172 TLB131074:TLB131172 TUX131074:TUX131172 UET131074:UET131172 UOP131074:UOP131172 UYL131074:UYL131172 VIH131074:VIH131172 VSD131074:VSD131172 WBZ131074:WBZ131172 WLV131074:WLV131172 WVR131074:WVR131172 J196610:J196708 JF196610:JF196708 TB196610:TB196708 ACX196610:ACX196708 AMT196610:AMT196708 AWP196610:AWP196708 BGL196610:BGL196708 BQH196610:BQH196708 CAD196610:CAD196708 CJZ196610:CJZ196708 CTV196610:CTV196708 DDR196610:DDR196708 DNN196610:DNN196708 DXJ196610:DXJ196708 EHF196610:EHF196708 ERB196610:ERB196708 FAX196610:FAX196708 FKT196610:FKT196708 FUP196610:FUP196708 GEL196610:GEL196708 GOH196610:GOH196708 GYD196610:GYD196708 HHZ196610:HHZ196708 HRV196610:HRV196708 IBR196610:IBR196708 ILN196610:ILN196708 IVJ196610:IVJ196708 JFF196610:JFF196708 JPB196610:JPB196708 JYX196610:JYX196708 KIT196610:KIT196708 KSP196610:KSP196708 LCL196610:LCL196708 LMH196610:LMH196708 LWD196610:LWD196708 MFZ196610:MFZ196708 MPV196610:MPV196708 MZR196610:MZR196708 NJN196610:NJN196708 NTJ196610:NTJ196708 ODF196610:ODF196708 ONB196610:ONB196708 OWX196610:OWX196708 PGT196610:PGT196708 PQP196610:PQP196708 QAL196610:QAL196708 QKH196610:QKH196708 QUD196610:QUD196708 RDZ196610:RDZ196708 RNV196610:RNV196708 RXR196610:RXR196708 SHN196610:SHN196708 SRJ196610:SRJ196708 TBF196610:TBF196708 TLB196610:TLB196708 TUX196610:TUX196708 UET196610:UET196708 UOP196610:UOP196708 UYL196610:UYL196708 VIH196610:VIH196708 VSD196610:VSD196708 WBZ196610:WBZ196708 WLV196610:WLV196708 WVR196610:WVR196708 J262146:J262244 JF262146:JF262244 TB262146:TB262244 ACX262146:ACX262244 AMT262146:AMT262244 AWP262146:AWP262244 BGL262146:BGL262244 BQH262146:BQH262244 CAD262146:CAD262244 CJZ262146:CJZ262244 CTV262146:CTV262244 DDR262146:DDR262244 DNN262146:DNN262244 DXJ262146:DXJ262244 EHF262146:EHF262244 ERB262146:ERB262244 FAX262146:FAX262244 FKT262146:FKT262244 FUP262146:FUP262244 GEL262146:GEL262244 GOH262146:GOH262244 GYD262146:GYD262244 HHZ262146:HHZ262244 HRV262146:HRV262244 IBR262146:IBR262244 ILN262146:ILN262244 IVJ262146:IVJ262244 JFF262146:JFF262244 JPB262146:JPB262244 JYX262146:JYX262244 KIT262146:KIT262244 KSP262146:KSP262244 LCL262146:LCL262244 LMH262146:LMH262244 LWD262146:LWD262244 MFZ262146:MFZ262244 MPV262146:MPV262244 MZR262146:MZR262244 NJN262146:NJN262244 NTJ262146:NTJ262244 ODF262146:ODF262244 ONB262146:ONB262244 OWX262146:OWX262244 PGT262146:PGT262244 PQP262146:PQP262244 QAL262146:QAL262244 QKH262146:QKH262244 QUD262146:QUD262244 RDZ262146:RDZ262244 RNV262146:RNV262244 RXR262146:RXR262244 SHN262146:SHN262244 SRJ262146:SRJ262244 TBF262146:TBF262244 TLB262146:TLB262244 TUX262146:TUX262244 UET262146:UET262244 UOP262146:UOP262244 UYL262146:UYL262244 VIH262146:VIH262244 VSD262146:VSD262244 WBZ262146:WBZ262244 WLV262146:WLV262244 WVR262146:WVR262244 J327682:J327780 JF327682:JF327780 TB327682:TB327780 ACX327682:ACX327780 AMT327682:AMT327780 AWP327682:AWP327780 BGL327682:BGL327780 BQH327682:BQH327780 CAD327682:CAD327780 CJZ327682:CJZ327780 CTV327682:CTV327780 DDR327682:DDR327780 DNN327682:DNN327780 DXJ327682:DXJ327780 EHF327682:EHF327780 ERB327682:ERB327780 FAX327682:FAX327780 FKT327682:FKT327780 FUP327682:FUP327780 GEL327682:GEL327780 GOH327682:GOH327780 GYD327682:GYD327780 HHZ327682:HHZ327780 HRV327682:HRV327780 IBR327682:IBR327780 ILN327682:ILN327780 IVJ327682:IVJ327780 JFF327682:JFF327780 JPB327682:JPB327780 JYX327682:JYX327780 KIT327682:KIT327780 KSP327682:KSP327780 LCL327682:LCL327780 LMH327682:LMH327780 LWD327682:LWD327780 MFZ327682:MFZ327780 MPV327682:MPV327780 MZR327682:MZR327780 NJN327682:NJN327780 NTJ327682:NTJ327780 ODF327682:ODF327780 ONB327682:ONB327780 OWX327682:OWX327780 PGT327682:PGT327780 PQP327682:PQP327780 QAL327682:QAL327780 QKH327682:QKH327780 QUD327682:QUD327780 RDZ327682:RDZ327780 RNV327682:RNV327780 RXR327682:RXR327780 SHN327682:SHN327780 SRJ327682:SRJ327780 TBF327682:TBF327780 TLB327682:TLB327780 TUX327682:TUX327780 UET327682:UET327780 UOP327682:UOP327780 UYL327682:UYL327780 VIH327682:VIH327780 VSD327682:VSD327780 WBZ327682:WBZ327780 WLV327682:WLV327780 WVR327682:WVR327780 J393218:J393316 JF393218:JF393316 TB393218:TB393316 ACX393218:ACX393316 AMT393218:AMT393316 AWP393218:AWP393316 BGL393218:BGL393316 BQH393218:BQH393316 CAD393218:CAD393316 CJZ393218:CJZ393316 CTV393218:CTV393316 DDR393218:DDR393316 DNN393218:DNN393316 DXJ393218:DXJ393316 EHF393218:EHF393316 ERB393218:ERB393316 FAX393218:FAX393316 FKT393218:FKT393316 FUP393218:FUP393316 GEL393218:GEL393316 GOH393218:GOH393316 GYD393218:GYD393316 HHZ393218:HHZ393316 HRV393218:HRV393316 IBR393218:IBR393316 ILN393218:ILN393316 IVJ393218:IVJ393316 JFF393218:JFF393316 JPB393218:JPB393316 JYX393218:JYX393316 KIT393218:KIT393316 KSP393218:KSP393316 LCL393218:LCL393316 LMH393218:LMH393316 LWD393218:LWD393316 MFZ393218:MFZ393316 MPV393218:MPV393316 MZR393218:MZR393316 NJN393218:NJN393316 NTJ393218:NTJ393316 ODF393218:ODF393316 ONB393218:ONB393316 OWX393218:OWX393316 PGT393218:PGT393316 PQP393218:PQP393316 QAL393218:QAL393316 QKH393218:QKH393316 QUD393218:QUD393316 RDZ393218:RDZ393316 RNV393218:RNV393316 RXR393218:RXR393316 SHN393218:SHN393316 SRJ393218:SRJ393316 TBF393218:TBF393316 TLB393218:TLB393316 TUX393218:TUX393316 UET393218:UET393316 UOP393218:UOP393316 UYL393218:UYL393316 VIH393218:VIH393316 VSD393218:VSD393316 WBZ393218:WBZ393316 WLV393218:WLV393316 WVR393218:WVR393316 J458754:J458852 JF458754:JF458852 TB458754:TB458852 ACX458754:ACX458852 AMT458754:AMT458852 AWP458754:AWP458852 BGL458754:BGL458852 BQH458754:BQH458852 CAD458754:CAD458852 CJZ458754:CJZ458852 CTV458754:CTV458852 DDR458754:DDR458852 DNN458754:DNN458852 DXJ458754:DXJ458852 EHF458754:EHF458852 ERB458754:ERB458852 FAX458754:FAX458852 FKT458754:FKT458852 FUP458754:FUP458852 GEL458754:GEL458852 GOH458754:GOH458852 GYD458754:GYD458852 HHZ458754:HHZ458852 HRV458754:HRV458852 IBR458754:IBR458852 ILN458754:ILN458852 IVJ458754:IVJ458852 JFF458754:JFF458852 JPB458754:JPB458852 JYX458754:JYX458852 KIT458754:KIT458852 KSP458754:KSP458852 LCL458754:LCL458852 LMH458754:LMH458852 LWD458754:LWD458852 MFZ458754:MFZ458852 MPV458754:MPV458852 MZR458754:MZR458852 NJN458754:NJN458852 NTJ458754:NTJ458852 ODF458754:ODF458852 ONB458754:ONB458852 OWX458754:OWX458852 PGT458754:PGT458852 PQP458754:PQP458852 QAL458754:QAL458852 QKH458754:QKH458852 QUD458754:QUD458852 RDZ458754:RDZ458852 RNV458754:RNV458852 RXR458754:RXR458852 SHN458754:SHN458852 SRJ458754:SRJ458852 TBF458754:TBF458852 TLB458754:TLB458852 TUX458754:TUX458852 UET458754:UET458852 UOP458754:UOP458852 UYL458754:UYL458852 VIH458754:VIH458852 VSD458754:VSD458852 WBZ458754:WBZ458852 WLV458754:WLV458852 WVR458754:WVR458852 J524290:J524388 JF524290:JF524388 TB524290:TB524388 ACX524290:ACX524388 AMT524290:AMT524388 AWP524290:AWP524388 BGL524290:BGL524388 BQH524290:BQH524388 CAD524290:CAD524388 CJZ524290:CJZ524388 CTV524290:CTV524388 DDR524290:DDR524388 DNN524290:DNN524388 DXJ524290:DXJ524388 EHF524290:EHF524388 ERB524290:ERB524388 FAX524290:FAX524388 FKT524290:FKT524388 FUP524290:FUP524388 GEL524290:GEL524388 GOH524290:GOH524388 GYD524290:GYD524388 HHZ524290:HHZ524388 HRV524290:HRV524388 IBR524290:IBR524388 ILN524290:ILN524388 IVJ524290:IVJ524388 JFF524290:JFF524388 JPB524290:JPB524388 JYX524290:JYX524388 KIT524290:KIT524388 KSP524290:KSP524388 LCL524290:LCL524388 LMH524290:LMH524388 LWD524290:LWD524388 MFZ524290:MFZ524388 MPV524290:MPV524388 MZR524290:MZR524388 NJN524290:NJN524388 NTJ524290:NTJ524388 ODF524290:ODF524388 ONB524290:ONB524388 OWX524290:OWX524388 PGT524290:PGT524388 PQP524290:PQP524388 QAL524290:QAL524388 QKH524290:QKH524388 QUD524290:QUD524388 RDZ524290:RDZ524388 RNV524290:RNV524388 RXR524290:RXR524388 SHN524290:SHN524388 SRJ524290:SRJ524388 TBF524290:TBF524388 TLB524290:TLB524388 TUX524290:TUX524388 UET524290:UET524388 UOP524290:UOP524388 UYL524290:UYL524388 VIH524290:VIH524388 VSD524290:VSD524388 WBZ524290:WBZ524388 WLV524290:WLV524388 WVR524290:WVR524388 J589826:J589924 JF589826:JF589924 TB589826:TB589924 ACX589826:ACX589924 AMT589826:AMT589924 AWP589826:AWP589924 BGL589826:BGL589924 BQH589826:BQH589924 CAD589826:CAD589924 CJZ589826:CJZ589924 CTV589826:CTV589924 DDR589826:DDR589924 DNN589826:DNN589924 DXJ589826:DXJ589924 EHF589826:EHF589924 ERB589826:ERB589924 FAX589826:FAX589924 FKT589826:FKT589924 FUP589826:FUP589924 GEL589826:GEL589924 GOH589826:GOH589924 GYD589826:GYD589924 HHZ589826:HHZ589924 HRV589826:HRV589924 IBR589826:IBR589924 ILN589826:ILN589924 IVJ589826:IVJ589924 JFF589826:JFF589924 JPB589826:JPB589924 JYX589826:JYX589924 KIT589826:KIT589924 KSP589826:KSP589924 LCL589826:LCL589924 LMH589826:LMH589924 LWD589826:LWD589924 MFZ589826:MFZ589924 MPV589826:MPV589924 MZR589826:MZR589924 NJN589826:NJN589924 NTJ589826:NTJ589924 ODF589826:ODF589924 ONB589826:ONB589924 OWX589826:OWX589924 PGT589826:PGT589924 PQP589826:PQP589924 QAL589826:QAL589924 QKH589826:QKH589924 QUD589826:QUD589924 RDZ589826:RDZ589924 RNV589826:RNV589924 RXR589826:RXR589924 SHN589826:SHN589924 SRJ589826:SRJ589924 TBF589826:TBF589924 TLB589826:TLB589924 TUX589826:TUX589924 UET589826:UET589924 UOP589826:UOP589924 UYL589826:UYL589924 VIH589826:VIH589924 VSD589826:VSD589924 WBZ589826:WBZ589924 WLV589826:WLV589924 WVR589826:WVR589924 J655362:J655460 JF655362:JF655460 TB655362:TB655460 ACX655362:ACX655460 AMT655362:AMT655460 AWP655362:AWP655460 BGL655362:BGL655460 BQH655362:BQH655460 CAD655362:CAD655460 CJZ655362:CJZ655460 CTV655362:CTV655460 DDR655362:DDR655460 DNN655362:DNN655460 DXJ655362:DXJ655460 EHF655362:EHF655460 ERB655362:ERB655460 FAX655362:FAX655460 FKT655362:FKT655460 FUP655362:FUP655460 GEL655362:GEL655460 GOH655362:GOH655460 GYD655362:GYD655460 HHZ655362:HHZ655460 HRV655362:HRV655460 IBR655362:IBR655460 ILN655362:ILN655460 IVJ655362:IVJ655460 JFF655362:JFF655460 JPB655362:JPB655460 JYX655362:JYX655460 KIT655362:KIT655460 KSP655362:KSP655460 LCL655362:LCL655460 LMH655362:LMH655460 LWD655362:LWD655460 MFZ655362:MFZ655460 MPV655362:MPV655460 MZR655362:MZR655460 NJN655362:NJN655460 NTJ655362:NTJ655460 ODF655362:ODF655460 ONB655362:ONB655460 OWX655362:OWX655460 PGT655362:PGT655460 PQP655362:PQP655460 QAL655362:QAL655460 QKH655362:QKH655460 QUD655362:QUD655460 RDZ655362:RDZ655460 RNV655362:RNV655460 RXR655362:RXR655460 SHN655362:SHN655460 SRJ655362:SRJ655460 TBF655362:TBF655460 TLB655362:TLB655460 TUX655362:TUX655460 UET655362:UET655460 UOP655362:UOP655460 UYL655362:UYL655460 VIH655362:VIH655460 VSD655362:VSD655460 WBZ655362:WBZ655460 WLV655362:WLV655460 WVR655362:WVR655460 J720898:J720996 JF720898:JF720996 TB720898:TB720996 ACX720898:ACX720996 AMT720898:AMT720996 AWP720898:AWP720996 BGL720898:BGL720996 BQH720898:BQH720996 CAD720898:CAD720996 CJZ720898:CJZ720996 CTV720898:CTV720996 DDR720898:DDR720996 DNN720898:DNN720996 DXJ720898:DXJ720996 EHF720898:EHF720996 ERB720898:ERB720996 FAX720898:FAX720996 FKT720898:FKT720996 FUP720898:FUP720996 GEL720898:GEL720996 GOH720898:GOH720996 GYD720898:GYD720996 HHZ720898:HHZ720996 HRV720898:HRV720996 IBR720898:IBR720996 ILN720898:ILN720996 IVJ720898:IVJ720996 JFF720898:JFF720996 JPB720898:JPB720996 JYX720898:JYX720996 KIT720898:KIT720996 KSP720898:KSP720996 LCL720898:LCL720996 LMH720898:LMH720996 LWD720898:LWD720996 MFZ720898:MFZ720996 MPV720898:MPV720996 MZR720898:MZR720996 NJN720898:NJN720996 NTJ720898:NTJ720996 ODF720898:ODF720996 ONB720898:ONB720996 OWX720898:OWX720996 PGT720898:PGT720996 PQP720898:PQP720996 QAL720898:QAL720996 QKH720898:QKH720996 QUD720898:QUD720996 RDZ720898:RDZ720996 RNV720898:RNV720996 RXR720898:RXR720996 SHN720898:SHN720996 SRJ720898:SRJ720996 TBF720898:TBF720996 TLB720898:TLB720996 TUX720898:TUX720996 UET720898:UET720996 UOP720898:UOP720996 UYL720898:UYL720996 VIH720898:VIH720996 VSD720898:VSD720996 WBZ720898:WBZ720996 WLV720898:WLV720996 WVR720898:WVR720996 J786434:J786532 JF786434:JF786532 TB786434:TB786532 ACX786434:ACX786532 AMT786434:AMT786532 AWP786434:AWP786532 BGL786434:BGL786532 BQH786434:BQH786532 CAD786434:CAD786532 CJZ786434:CJZ786532 CTV786434:CTV786532 DDR786434:DDR786532 DNN786434:DNN786532 DXJ786434:DXJ786532 EHF786434:EHF786532 ERB786434:ERB786532 FAX786434:FAX786532 FKT786434:FKT786532 FUP786434:FUP786532 GEL786434:GEL786532 GOH786434:GOH786532 GYD786434:GYD786532 HHZ786434:HHZ786532 HRV786434:HRV786532 IBR786434:IBR786532 ILN786434:ILN786532 IVJ786434:IVJ786532 JFF786434:JFF786532 JPB786434:JPB786532 JYX786434:JYX786532 KIT786434:KIT786532 KSP786434:KSP786532 LCL786434:LCL786532 LMH786434:LMH786532 LWD786434:LWD786532 MFZ786434:MFZ786532 MPV786434:MPV786532 MZR786434:MZR786532 NJN786434:NJN786532 NTJ786434:NTJ786532 ODF786434:ODF786532 ONB786434:ONB786532 OWX786434:OWX786532 PGT786434:PGT786532 PQP786434:PQP786532 QAL786434:QAL786532 QKH786434:QKH786532 QUD786434:QUD786532 RDZ786434:RDZ786532 RNV786434:RNV786532 RXR786434:RXR786532 SHN786434:SHN786532 SRJ786434:SRJ786532 TBF786434:TBF786532 TLB786434:TLB786532 TUX786434:TUX786532 UET786434:UET786532 UOP786434:UOP786532 UYL786434:UYL786532 VIH786434:VIH786532 VSD786434:VSD786532 WBZ786434:WBZ786532 WLV786434:WLV786532 WVR786434:WVR786532 J851970:J852068 JF851970:JF852068 TB851970:TB852068 ACX851970:ACX852068 AMT851970:AMT852068 AWP851970:AWP852068 BGL851970:BGL852068 BQH851970:BQH852068 CAD851970:CAD852068 CJZ851970:CJZ852068 CTV851970:CTV852068 DDR851970:DDR852068 DNN851970:DNN852068 DXJ851970:DXJ852068 EHF851970:EHF852068 ERB851970:ERB852068 FAX851970:FAX852068 FKT851970:FKT852068 FUP851970:FUP852068 GEL851970:GEL852068 GOH851970:GOH852068 GYD851970:GYD852068 HHZ851970:HHZ852068 HRV851970:HRV852068 IBR851970:IBR852068 ILN851970:ILN852068 IVJ851970:IVJ852068 JFF851970:JFF852068 JPB851970:JPB852068 JYX851970:JYX852068 KIT851970:KIT852068 KSP851970:KSP852068 LCL851970:LCL852068 LMH851970:LMH852068 LWD851970:LWD852068 MFZ851970:MFZ852068 MPV851970:MPV852068 MZR851970:MZR852068 NJN851970:NJN852068 NTJ851970:NTJ852068 ODF851970:ODF852068 ONB851970:ONB852068 OWX851970:OWX852068 PGT851970:PGT852068 PQP851970:PQP852068 QAL851970:QAL852068 QKH851970:QKH852068 QUD851970:QUD852068 RDZ851970:RDZ852068 RNV851970:RNV852068 RXR851970:RXR852068 SHN851970:SHN852068 SRJ851970:SRJ852068 TBF851970:TBF852068 TLB851970:TLB852068 TUX851970:TUX852068 UET851970:UET852068 UOP851970:UOP852068 UYL851970:UYL852068 VIH851970:VIH852068 VSD851970:VSD852068 WBZ851970:WBZ852068 WLV851970:WLV852068 WVR851970:WVR852068 J917506:J917604 JF917506:JF917604 TB917506:TB917604 ACX917506:ACX917604 AMT917506:AMT917604 AWP917506:AWP917604 BGL917506:BGL917604 BQH917506:BQH917604 CAD917506:CAD917604 CJZ917506:CJZ917604 CTV917506:CTV917604 DDR917506:DDR917604 DNN917506:DNN917604 DXJ917506:DXJ917604 EHF917506:EHF917604 ERB917506:ERB917604 FAX917506:FAX917604 FKT917506:FKT917604 FUP917506:FUP917604 GEL917506:GEL917604 GOH917506:GOH917604 GYD917506:GYD917604 HHZ917506:HHZ917604 HRV917506:HRV917604 IBR917506:IBR917604 ILN917506:ILN917604 IVJ917506:IVJ917604 JFF917506:JFF917604 JPB917506:JPB917604 JYX917506:JYX917604 KIT917506:KIT917604 KSP917506:KSP917604 LCL917506:LCL917604 LMH917506:LMH917604 LWD917506:LWD917604 MFZ917506:MFZ917604 MPV917506:MPV917604 MZR917506:MZR917604 NJN917506:NJN917604 NTJ917506:NTJ917604 ODF917506:ODF917604 ONB917506:ONB917604 OWX917506:OWX917604 PGT917506:PGT917604 PQP917506:PQP917604 QAL917506:QAL917604 QKH917506:QKH917604 QUD917506:QUD917604 RDZ917506:RDZ917604 RNV917506:RNV917604 RXR917506:RXR917604 SHN917506:SHN917604 SRJ917506:SRJ917604 TBF917506:TBF917604 TLB917506:TLB917604 TUX917506:TUX917604 UET917506:UET917604 UOP917506:UOP917604 UYL917506:UYL917604 VIH917506:VIH917604 VSD917506:VSD917604 WBZ917506:WBZ917604 WLV917506:WLV917604 WVR917506:WVR917604 J983042:J983140 JF983042:JF983140 TB983042:TB983140 ACX983042:ACX983140 AMT983042:AMT983140 AWP983042:AWP983140 BGL983042:BGL983140 BQH983042:BQH983140 CAD983042:CAD983140 CJZ983042:CJZ983140 CTV983042:CTV983140 DDR983042:DDR983140 DNN983042:DNN983140 DXJ983042:DXJ983140 EHF983042:EHF983140 ERB983042:ERB983140 FAX983042:FAX983140 FKT983042:FKT983140 FUP983042:FUP983140 GEL983042:GEL983140 GOH983042:GOH983140 GYD983042:GYD983140 HHZ983042:HHZ983140 HRV983042:HRV983140 IBR983042:IBR983140 ILN983042:ILN983140 IVJ983042:IVJ983140 JFF983042:JFF983140 JPB983042:JPB983140 JYX983042:JYX983140 KIT983042:KIT983140 KSP983042:KSP983140 LCL983042:LCL983140 LMH983042:LMH983140 LWD983042:LWD983140 MFZ983042:MFZ983140 MPV983042:MPV983140 MZR983042:MZR983140 NJN983042:NJN983140 NTJ983042:NTJ983140 ODF983042:ODF983140 ONB983042:ONB983140 OWX983042:OWX983140 PGT983042:PGT983140 PQP983042:PQP983140 QAL983042:QAL983140 QKH983042:QKH983140 QUD983042:QUD983140 RDZ983042:RDZ983140 RNV983042:RNV983140 RXR983042:RXR983140 SHN983042:SHN983140 SRJ983042:SRJ983140 TBF983042:TBF983140 TLB983042:TLB983140 TUX983042:TUX983140 UET983042:UET983140 UOP983042:UOP983140 UYL983042:UYL983140 VIH983042:VIH983140 VSD983042:VSD983140 WBZ983042:WBZ983140 WLV983042:WLV983140 J2:J100">
      <formula1>$AP$2:$AP$27</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JU501:JW65537 TQ501:TS65537 ADM501:ADO65537 ANI501:ANK65537 AXE501:AXG65537 BHA501:BHC65537 BQW501:BQY65537 CAS501:CAU65537 CKO501:CKQ65537 CUK501:CUM65537 DEG501:DEI65537 DOC501:DOE65537 DXY501:DYA65537 EHU501:EHW65537 ERQ501:ERS65537 FBM501:FBO65537 FLI501:FLK65537 FVE501:FVG65537 GFA501:GFC65537 GOW501:GOY65537 GYS501:GYU65537 HIO501:HIQ65537 HSK501:HSM65537 ICG501:ICI65537 IMC501:IME65537 IVY501:IWA65537 JFU501:JFW65537 JPQ501:JPS65537 JZM501:JZO65537 KJI501:KJK65537 KTE501:KTG65537 LDA501:LDC65537 LMW501:LMY65537 LWS501:LWU65537 MGO501:MGQ65537 MQK501:MQM65537 NAG501:NAI65537 NKC501:NKE65537 NTY501:NUA65537 ODU501:ODW65537 ONQ501:ONS65537 OXM501:OXO65537 PHI501:PHK65537 PRE501:PRG65537 QBA501:QBC65537 QKW501:QKY65537 QUS501:QUU65537 REO501:REQ65537 ROK501:ROM65537 RYG501:RYI65537 SIC501:SIE65537 SRY501:SSA65537 TBU501:TBW65537 TLQ501:TLS65537 TVM501:TVO65537 UFI501:UFK65537 UPE501:UPG65537 UZA501:UZC65537 VIW501:VIY65537 VSS501:VSU65537 WCO501:WCQ65537 WMK501:WMM65537 WWG501:WWI65537 Y66037:AA131073 JU66037:JW131073 TQ66037:TS131073 ADM66037:ADO131073 ANI66037:ANK131073 AXE66037:AXG131073 BHA66037:BHC131073 BQW66037:BQY131073 CAS66037:CAU131073 CKO66037:CKQ131073 CUK66037:CUM131073 DEG66037:DEI131073 DOC66037:DOE131073 DXY66037:DYA131073 EHU66037:EHW131073 ERQ66037:ERS131073 FBM66037:FBO131073 FLI66037:FLK131073 FVE66037:FVG131073 GFA66037:GFC131073 GOW66037:GOY131073 GYS66037:GYU131073 HIO66037:HIQ131073 HSK66037:HSM131073 ICG66037:ICI131073 IMC66037:IME131073 IVY66037:IWA131073 JFU66037:JFW131073 JPQ66037:JPS131073 JZM66037:JZO131073 KJI66037:KJK131073 KTE66037:KTG131073 LDA66037:LDC131073 LMW66037:LMY131073 LWS66037:LWU131073 MGO66037:MGQ131073 MQK66037:MQM131073 NAG66037:NAI131073 NKC66037:NKE131073 NTY66037:NUA131073 ODU66037:ODW131073 ONQ66037:ONS131073 OXM66037:OXO131073 PHI66037:PHK131073 PRE66037:PRG131073 QBA66037:QBC131073 QKW66037:QKY131073 QUS66037:QUU131073 REO66037:REQ131073 ROK66037:ROM131073 RYG66037:RYI131073 SIC66037:SIE131073 SRY66037:SSA131073 TBU66037:TBW131073 TLQ66037:TLS131073 TVM66037:TVO131073 UFI66037:UFK131073 UPE66037:UPG131073 UZA66037:UZC131073 VIW66037:VIY131073 VSS66037:VSU131073 WCO66037:WCQ131073 WMK66037:WMM131073 WWG66037:WWI131073 Y131573:AA196609 JU131573:JW196609 TQ131573:TS196609 ADM131573:ADO196609 ANI131573:ANK196609 AXE131573:AXG196609 BHA131573:BHC196609 BQW131573:BQY196609 CAS131573:CAU196609 CKO131573:CKQ196609 CUK131573:CUM196609 DEG131573:DEI196609 DOC131573:DOE196609 DXY131573:DYA196609 EHU131573:EHW196609 ERQ131573:ERS196609 FBM131573:FBO196609 FLI131573:FLK196609 FVE131573:FVG196609 GFA131573:GFC196609 GOW131573:GOY196609 GYS131573:GYU196609 HIO131573:HIQ196609 HSK131573:HSM196609 ICG131573:ICI196609 IMC131573:IME196609 IVY131573:IWA196609 JFU131573:JFW196609 JPQ131573:JPS196609 JZM131573:JZO196609 KJI131573:KJK196609 KTE131573:KTG196609 LDA131573:LDC196609 LMW131573:LMY196609 LWS131573:LWU196609 MGO131573:MGQ196609 MQK131573:MQM196609 NAG131573:NAI196609 NKC131573:NKE196609 NTY131573:NUA196609 ODU131573:ODW196609 ONQ131573:ONS196609 OXM131573:OXO196609 PHI131573:PHK196609 PRE131573:PRG196609 QBA131573:QBC196609 QKW131573:QKY196609 QUS131573:QUU196609 REO131573:REQ196609 ROK131573:ROM196609 RYG131573:RYI196609 SIC131573:SIE196609 SRY131573:SSA196609 TBU131573:TBW196609 TLQ131573:TLS196609 TVM131573:TVO196609 UFI131573:UFK196609 UPE131573:UPG196609 UZA131573:UZC196609 VIW131573:VIY196609 VSS131573:VSU196609 WCO131573:WCQ196609 WMK131573:WMM196609 WWG131573:WWI196609 Y197109:AA262145 JU197109:JW262145 TQ197109:TS262145 ADM197109:ADO262145 ANI197109:ANK262145 AXE197109:AXG262145 BHA197109:BHC262145 BQW197109:BQY262145 CAS197109:CAU262145 CKO197109:CKQ262145 CUK197109:CUM262145 DEG197109:DEI262145 DOC197109:DOE262145 DXY197109:DYA262145 EHU197109:EHW262145 ERQ197109:ERS262145 FBM197109:FBO262145 FLI197109:FLK262145 FVE197109:FVG262145 GFA197109:GFC262145 GOW197109:GOY262145 GYS197109:GYU262145 HIO197109:HIQ262145 HSK197109:HSM262145 ICG197109:ICI262145 IMC197109:IME262145 IVY197109:IWA262145 JFU197109:JFW262145 JPQ197109:JPS262145 JZM197109:JZO262145 KJI197109:KJK262145 KTE197109:KTG262145 LDA197109:LDC262145 LMW197109:LMY262145 LWS197109:LWU262145 MGO197109:MGQ262145 MQK197109:MQM262145 NAG197109:NAI262145 NKC197109:NKE262145 NTY197109:NUA262145 ODU197109:ODW262145 ONQ197109:ONS262145 OXM197109:OXO262145 PHI197109:PHK262145 PRE197109:PRG262145 QBA197109:QBC262145 QKW197109:QKY262145 QUS197109:QUU262145 REO197109:REQ262145 ROK197109:ROM262145 RYG197109:RYI262145 SIC197109:SIE262145 SRY197109:SSA262145 TBU197109:TBW262145 TLQ197109:TLS262145 TVM197109:TVO262145 UFI197109:UFK262145 UPE197109:UPG262145 UZA197109:UZC262145 VIW197109:VIY262145 VSS197109:VSU262145 WCO197109:WCQ262145 WMK197109:WMM262145 WWG197109:WWI262145 Y262645:AA327681 JU262645:JW327681 TQ262645:TS327681 ADM262645:ADO327681 ANI262645:ANK327681 AXE262645:AXG327681 BHA262645:BHC327681 BQW262645:BQY327681 CAS262645:CAU327681 CKO262645:CKQ327681 CUK262645:CUM327681 DEG262645:DEI327681 DOC262645:DOE327681 DXY262645:DYA327681 EHU262645:EHW327681 ERQ262645:ERS327681 FBM262645:FBO327681 FLI262645:FLK327681 FVE262645:FVG327681 GFA262645:GFC327681 GOW262645:GOY327681 GYS262645:GYU327681 HIO262645:HIQ327681 HSK262645:HSM327681 ICG262645:ICI327681 IMC262645:IME327681 IVY262645:IWA327681 JFU262645:JFW327681 JPQ262645:JPS327681 JZM262645:JZO327681 KJI262645:KJK327681 KTE262645:KTG327681 LDA262645:LDC327681 LMW262645:LMY327681 LWS262645:LWU327681 MGO262645:MGQ327681 MQK262645:MQM327681 NAG262645:NAI327681 NKC262645:NKE327681 NTY262645:NUA327681 ODU262645:ODW327681 ONQ262645:ONS327681 OXM262645:OXO327681 PHI262645:PHK327681 PRE262645:PRG327681 QBA262645:QBC327681 QKW262645:QKY327681 QUS262645:QUU327681 REO262645:REQ327681 ROK262645:ROM327681 RYG262645:RYI327681 SIC262645:SIE327681 SRY262645:SSA327681 TBU262645:TBW327681 TLQ262645:TLS327681 TVM262645:TVO327681 UFI262645:UFK327681 UPE262645:UPG327681 UZA262645:UZC327681 VIW262645:VIY327681 VSS262645:VSU327681 WCO262645:WCQ327681 WMK262645:WMM327681 WWG262645:WWI327681 Y328181:AA393217 JU328181:JW393217 TQ328181:TS393217 ADM328181:ADO393217 ANI328181:ANK393217 AXE328181:AXG393217 BHA328181:BHC393217 BQW328181:BQY393217 CAS328181:CAU393217 CKO328181:CKQ393217 CUK328181:CUM393217 DEG328181:DEI393217 DOC328181:DOE393217 DXY328181:DYA393217 EHU328181:EHW393217 ERQ328181:ERS393217 FBM328181:FBO393217 FLI328181:FLK393217 FVE328181:FVG393217 GFA328181:GFC393217 GOW328181:GOY393217 GYS328181:GYU393217 HIO328181:HIQ393217 HSK328181:HSM393217 ICG328181:ICI393217 IMC328181:IME393217 IVY328181:IWA393217 JFU328181:JFW393217 JPQ328181:JPS393217 JZM328181:JZO393217 KJI328181:KJK393217 KTE328181:KTG393217 LDA328181:LDC393217 LMW328181:LMY393217 LWS328181:LWU393217 MGO328181:MGQ393217 MQK328181:MQM393217 NAG328181:NAI393217 NKC328181:NKE393217 NTY328181:NUA393217 ODU328181:ODW393217 ONQ328181:ONS393217 OXM328181:OXO393217 PHI328181:PHK393217 PRE328181:PRG393217 QBA328181:QBC393217 QKW328181:QKY393217 QUS328181:QUU393217 REO328181:REQ393217 ROK328181:ROM393217 RYG328181:RYI393217 SIC328181:SIE393217 SRY328181:SSA393217 TBU328181:TBW393217 TLQ328181:TLS393217 TVM328181:TVO393217 UFI328181:UFK393217 UPE328181:UPG393217 UZA328181:UZC393217 VIW328181:VIY393217 VSS328181:VSU393217 WCO328181:WCQ393217 WMK328181:WMM393217 WWG328181:WWI393217 Y393717:AA458753 JU393717:JW458753 TQ393717:TS458753 ADM393717:ADO458753 ANI393717:ANK458753 AXE393717:AXG458753 BHA393717:BHC458753 BQW393717:BQY458753 CAS393717:CAU458753 CKO393717:CKQ458753 CUK393717:CUM458753 DEG393717:DEI458753 DOC393717:DOE458753 DXY393717:DYA458753 EHU393717:EHW458753 ERQ393717:ERS458753 FBM393717:FBO458753 FLI393717:FLK458753 FVE393717:FVG458753 GFA393717:GFC458753 GOW393717:GOY458753 GYS393717:GYU458753 HIO393717:HIQ458753 HSK393717:HSM458753 ICG393717:ICI458753 IMC393717:IME458753 IVY393717:IWA458753 JFU393717:JFW458753 JPQ393717:JPS458753 JZM393717:JZO458753 KJI393717:KJK458753 KTE393717:KTG458753 LDA393717:LDC458753 LMW393717:LMY458753 LWS393717:LWU458753 MGO393717:MGQ458753 MQK393717:MQM458753 NAG393717:NAI458753 NKC393717:NKE458753 NTY393717:NUA458753 ODU393717:ODW458753 ONQ393717:ONS458753 OXM393717:OXO458753 PHI393717:PHK458753 PRE393717:PRG458753 QBA393717:QBC458753 QKW393717:QKY458753 QUS393717:QUU458753 REO393717:REQ458753 ROK393717:ROM458753 RYG393717:RYI458753 SIC393717:SIE458753 SRY393717:SSA458753 TBU393717:TBW458753 TLQ393717:TLS458753 TVM393717:TVO458753 UFI393717:UFK458753 UPE393717:UPG458753 UZA393717:UZC458753 VIW393717:VIY458753 VSS393717:VSU458753 WCO393717:WCQ458753 WMK393717:WMM458753 WWG393717:WWI458753 Y459253:AA524289 JU459253:JW524289 TQ459253:TS524289 ADM459253:ADO524289 ANI459253:ANK524289 AXE459253:AXG524289 BHA459253:BHC524289 BQW459253:BQY524289 CAS459253:CAU524289 CKO459253:CKQ524289 CUK459253:CUM524289 DEG459253:DEI524289 DOC459253:DOE524289 DXY459253:DYA524289 EHU459253:EHW524289 ERQ459253:ERS524289 FBM459253:FBO524289 FLI459253:FLK524289 FVE459253:FVG524289 GFA459253:GFC524289 GOW459253:GOY524289 GYS459253:GYU524289 HIO459253:HIQ524289 HSK459253:HSM524289 ICG459253:ICI524289 IMC459253:IME524289 IVY459253:IWA524289 JFU459253:JFW524289 JPQ459253:JPS524289 JZM459253:JZO524289 KJI459253:KJK524289 KTE459253:KTG524289 LDA459253:LDC524289 LMW459253:LMY524289 LWS459253:LWU524289 MGO459253:MGQ524289 MQK459253:MQM524289 NAG459253:NAI524289 NKC459253:NKE524289 NTY459253:NUA524289 ODU459253:ODW524289 ONQ459253:ONS524289 OXM459253:OXO524289 PHI459253:PHK524289 PRE459253:PRG524289 QBA459253:QBC524289 QKW459253:QKY524289 QUS459253:QUU524289 REO459253:REQ524289 ROK459253:ROM524289 RYG459253:RYI524289 SIC459253:SIE524289 SRY459253:SSA524289 TBU459253:TBW524289 TLQ459253:TLS524289 TVM459253:TVO524289 UFI459253:UFK524289 UPE459253:UPG524289 UZA459253:UZC524289 VIW459253:VIY524289 VSS459253:VSU524289 WCO459253:WCQ524289 WMK459253:WMM524289 WWG459253:WWI524289 Y524789:AA589825 JU524789:JW589825 TQ524789:TS589825 ADM524789:ADO589825 ANI524789:ANK589825 AXE524789:AXG589825 BHA524789:BHC589825 BQW524789:BQY589825 CAS524789:CAU589825 CKO524789:CKQ589825 CUK524789:CUM589825 DEG524789:DEI589825 DOC524789:DOE589825 DXY524789:DYA589825 EHU524789:EHW589825 ERQ524789:ERS589825 FBM524789:FBO589825 FLI524789:FLK589825 FVE524789:FVG589825 GFA524789:GFC589825 GOW524789:GOY589825 GYS524789:GYU589825 HIO524789:HIQ589825 HSK524789:HSM589825 ICG524789:ICI589825 IMC524789:IME589825 IVY524789:IWA589825 JFU524789:JFW589825 JPQ524789:JPS589825 JZM524789:JZO589825 KJI524789:KJK589825 KTE524789:KTG589825 LDA524789:LDC589825 LMW524789:LMY589825 LWS524789:LWU589825 MGO524789:MGQ589825 MQK524789:MQM589825 NAG524789:NAI589825 NKC524789:NKE589825 NTY524789:NUA589825 ODU524789:ODW589825 ONQ524789:ONS589825 OXM524789:OXO589825 PHI524789:PHK589825 PRE524789:PRG589825 QBA524789:QBC589825 QKW524789:QKY589825 QUS524789:QUU589825 REO524789:REQ589825 ROK524789:ROM589825 RYG524789:RYI589825 SIC524789:SIE589825 SRY524789:SSA589825 TBU524789:TBW589825 TLQ524789:TLS589825 TVM524789:TVO589825 UFI524789:UFK589825 UPE524789:UPG589825 UZA524789:UZC589825 VIW524789:VIY589825 VSS524789:VSU589825 WCO524789:WCQ589825 WMK524789:WMM589825 WWG524789:WWI589825 Y590325:AA655361 JU590325:JW655361 TQ590325:TS655361 ADM590325:ADO655361 ANI590325:ANK655361 AXE590325:AXG655361 BHA590325:BHC655361 BQW590325:BQY655361 CAS590325:CAU655361 CKO590325:CKQ655361 CUK590325:CUM655361 DEG590325:DEI655361 DOC590325:DOE655361 DXY590325:DYA655361 EHU590325:EHW655361 ERQ590325:ERS655361 FBM590325:FBO655361 FLI590325:FLK655361 FVE590325:FVG655361 GFA590325:GFC655361 GOW590325:GOY655361 GYS590325:GYU655361 HIO590325:HIQ655361 HSK590325:HSM655361 ICG590325:ICI655361 IMC590325:IME655361 IVY590325:IWA655361 JFU590325:JFW655361 JPQ590325:JPS655361 JZM590325:JZO655361 KJI590325:KJK655361 KTE590325:KTG655361 LDA590325:LDC655361 LMW590325:LMY655361 LWS590325:LWU655361 MGO590325:MGQ655361 MQK590325:MQM655361 NAG590325:NAI655361 NKC590325:NKE655361 NTY590325:NUA655361 ODU590325:ODW655361 ONQ590325:ONS655361 OXM590325:OXO655361 PHI590325:PHK655361 PRE590325:PRG655361 QBA590325:QBC655361 QKW590325:QKY655361 QUS590325:QUU655361 REO590325:REQ655361 ROK590325:ROM655361 RYG590325:RYI655361 SIC590325:SIE655361 SRY590325:SSA655361 TBU590325:TBW655361 TLQ590325:TLS655361 TVM590325:TVO655361 UFI590325:UFK655361 UPE590325:UPG655361 UZA590325:UZC655361 VIW590325:VIY655361 VSS590325:VSU655361 WCO590325:WCQ655361 WMK590325:WMM655361 WWG590325:WWI655361 Y655861:AA720897 JU655861:JW720897 TQ655861:TS720897 ADM655861:ADO720897 ANI655861:ANK720897 AXE655861:AXG720897 BHA655861:BHC720897 BQW655861:BQY720897 CAS655861:CAU720897 CKO655861:CKQ720897 CUK655861:CUM720897 DEG655861:DEI720897 DOC655861:DOE720897 DXY655861:DYA720897 EHU655861:EHW720897 ERQ655861:ERS720897 FBM655861:FBO720897 FLI655861:FLK720897 FVE655861:FVG720897 GFA655861:GFC720897 GOW655861:GOY720897 GYS655861:GYU720897 HIO655861:HIQ720897 HSK655861:HSM720897 ICG655861:ICI720897 IMC655861:IME720897 IVY655861:IWA720897 JFU655861:JFW720897 JPQ655861:JPS720897 JZM655861:JZO720897 KJI655861:KJK720897 KTE655861:KTG720897 LDA655861:LDC720897 LMW655861:LMY720897 LWS655861:LWU720897 MGO655861:MGQ720897 MQK655861:MQM720897 NAG655861:NAI720897 NKC655861:NKE720897 NTY655861:NUA720897 ODU655861:ODW720897 ONQ655861:ONS720897 OXM655861:OXO720897 PHI655861:PHK720897 PRE655861:PRG720897 QBA655861:QBC720897 QKW655861:QKY720897 QUS655861:QUU720897 REO655861:REQ720897 ROK655861:ROM720897 RYG655861:RYI720897 SIC655861:SIE720897 SRY655861:SSA720897 TBU655861:TBW720897 TLQ655861:TLS720897 TVM655861:TVO720897 UFI655861:UFK720897 UPE655861:UPG720897 UZA655861:UZC720897 VIW655861:VIY720897 VSS655861:VSU720897 WCO655861:WCQ720897 WMK655861:WMM720897 WWG655861:WWI720897 Y721397:AA786433 JU721397:JW786433 TQ721397:TS786433 ADM721397:ADO786433 ANI721397:ANK786433 AXE721397:AXG786433 BHA721397:BHC786433 BQW721397:BQY786433 CAS721397:CAU786433 CKO721397:CKQ786433 CUK721397:CUM786433 DEG721397:DEI786433 DOC721397:DOE786433 DXY721397:DYA786433 EHU721397:EHW786433 ERQ721397:ERS786433 FBM721397:FBO786433 FLI721397:FLK786433 FVE721397:FVG786433 GFA721397:GFC786433 GOW721397:GOY786433 GYS721397:GYU786433 HIO721397:HIQ786433 HSK721397:HSM786433 ICG721397:ICI786433 IMC721397:IME786433 IVY721397:IWA786433 JFU721397:JFW786433 JPQ721397:JPS786433 JZM721397:JZO786433 KJI721397:KJK786433 KTE721397:KTG786433 LDA721397:LDC786433 LMW721397:LMY786433 LWS721397:LWU786433 MGO721397:MGQ786433 MQK721397:MQM786433 NAG721397:NAI786433 NKC721397:NKE786433 NTY721397:NUA786433 ODU721397:ODW786433 ONQ721397:ONS786433 OXM721397:OXO786433 PHI721397:PHK786433 PRE721397:PRG786433 QBA721397:QBC786433 QKW721397:QKY786433 QUS721397:QUU786433 REO721397:REQ786433 ROK721397:ROM786433 RYG721397:RYI786433 SIC721397:SIE786433 SRY721397:SSA786433 TBU721397:TBW786433 TLQ721397:TLS786433 TVM721397:TVO786433 UFI721397:UFK786433 UPE721397:UPG786433 UZA721397:UZC786433 VIW721397:VIY786433 VSS721397:VSU786433 WCO721397:WCQ786433 WMK721397:WMM786433 WWG721397:WWI786433 Y786933:AA851969 JU786933:JW851969 TQ786933:TS851969 ADM786933:ADO851969 ANI786933:ANK851969 AXE786933:AXG851969 BHA786933:BHC851969 BQW786933:BQY851969 CAS786933:CAU851969 CKO786933:CKQ851969 CUK786933:CUM851969 DEG786933:DEI851969 DOC786933:DOE851969 DXY786933:DYA851969 EHU786933:EHW851969 ERQ786933:ERS851969 FBM786933:FBO851969 FLI786933:FLK851969 FVE786933:FVG851969 GFA786933:GFC851969 GOW786933:GOY851969 GYS786933:GYU851969 HIO786933:HIQ851969 HSK786933:HSM851969 ICG786933:ICI851969 IMC786933:IME851969 IVY786933:IWA851969 JFU786933:JFW851969 JPQ786933:JPS851969 JZM786933:JZO851969 KJI786933:KJK851969 KTE786933:KTG851969 LDA786933:LDC851969 LMW786933:LMY851969 LWS786933:LWU851969 MGO786933:MGQ851969 MQK786933:MQM851969 NAG786933:NAI851969 NKC786933:NKE851969 NTY786933:NUA851969 ODU786933:ODW851969 ONQ786933:ONS851969 OXM786933:OXO851969 PHI786933:PHK851969 PRE786933:PRG851969 QBA786933:QBC851969 QKW786933:QKY851969 QUS786933:QUU851969 REO786933:REQ851969 ROK786933:ROM851969 RYG786933:RYI851969 SIC786933:SIE851969 SRY786933:SSA851969 TBU786933:TBW851969 TLQ786933:TLS851969 TVM786933:TVO851969 UFI786933:UFK851969 UPE786933:UPG851969 UZA786933:UZC851969 VIW786933:VIY851969 VSS786933:VSU851969 WCO786933:WCQ851969 WMK786933:WMM851969 WWG786933:WWI851969 Y852469:AA917505 JU852469:JW917505 TQ852469:TS917505 ADM852469:ADO917505 ANI852469:ANK917505 AXE852469:AXG917505 BHA852469:BHC917505 BQW852469:BQY917505 CAS852469:CAU917505 CKO852469:CKQ917505 CUK852469:CUM917505 DEG852469:DEI917505 DOC852469:DOE917505 DXY852469:DYA917505 EHU852469:EHW917505 ERQ852469:ERS917505 FBM852469:FBO917505 FLI852469:FLK917505 FVE852469:FVG917505 GFA852469:GFC917505 GOW852469:GOY917505 GYS852469:GYU917505 HIO852469:HIQ917505 HSK852469:HSM917505 ICG852469:ICI917505 IMC852469:IME917505 IVY852469:IWA917505 JFU852469:JFW917505 JPQ852469:JPS917505 JZM852469:JZO917505 KJI852469:KJK917505 KTE852469:KTG917505 LDA852469:LDC917505 LMW852469:LMY917505 LWS852469:LWU917505 MGO852469:MGQ917505 MQK852469:MQM917505 NAG852469:NAI917505 NKC852469:NKE917505 NTY852469:NUA917505 ODU852469:ODW917505 ONQ852469:ONS917505 OXM852469:OXO917505 PHI852469:PHK917505 PRE852469:PRG917505 QBA852469:QBC917505 QKW852469:QKY917505 QUS852469:QUU917505 REO852469:REQ917505 ROK852469:ROM917505 RYG852469:RYI917505 SIC852469:SIE917505 SRY852469:SSA917505 TBU852469:TBW917505 TLQ852469:TLS917505 TVM852469:TVO917505 UFI852469:UFK917505 UPE852469:UPG917505 UZA852469:UZC917505 VIW852469:VIY917505 VSS852469:VSU917505 WCO852469:WCQ917505 WMK852469:WMM917505 WWG852469:WWI917505 Y918005:AA983041 JU918005:JW983041 TQ918005:TS983041 ADM918005:ADO983041 ANI918005:ANK983041 AXE918005:AXG983041 BHA918005:BHC983041 BQW918005:BQY983041 CAS918005:CAU983041 CKO918005:CKQ983041 CUK918005:CUM983041 DEG918005:DEI983041 DOC918005:DOE983041 DXY918005:DYA983041 EHU918005:EHW983041 ERQ918005:ERS983041 FBM918005:FBO983041 FLI918005:FLK983041 FVE918005:FVG983041 GFA918005:GFC983041 GOW918005:GOY983041 GYS918005:GYU983041 HIO918005:HIQ983041 HSK918005:HSM983041 ICG918005:ICI983041 IMC918005:IME983041 IVY918005:IWA983041 JFU918005:JFW983041 JPQ918005:JPS983041 JZM918005:JZO983041 KJI918005:KJK983041 KTE918005:KTG983041 LDA918005:LDC983041 LMW918005:LMY983041 LWS918005:LWU983041 MGO918005:MGQ983041 MQK918005:MQM983041 NAG918005:NAI983041 NKC918005:NKE983041 NTY918005:NUA983041 ODU918005:ODW983041 ONQ918005:ONS983041 OXM918005:OXO983041 PHI918005:PHK983041 PRE918005:PRG983041 QBA918005:QBC983041 QKW918005:QKY983041 QUS918005:QUU983041 REO918005:REQ983041 ROK918005:ROM983041 RYG918005:RYI983041 SIC918005:SIE983041 SRY918005:SSA983041 TBU918005:TBW983041 TLQ918005:TLS983041 TVM918005:TVO983041 UFI918005:UFK983041 UPE918005:UPG983041 UZA918005:UZC983041 VIW918005:VIY983041 VSS918005:VSU983041 WCO918005:WCQ983041 WMK918005:WMM983041 WWG918005:WWI983041 Y983541:AA1048576 JU983541:JW1048576 TQ983541:TS1048576 ADM983541:ADO1048576 ANI983541:ANK1048576 AXE983541:AXG1048576 BHA983541:BHC1048576 BQW983541:BQY1048576 CAS983541:CAU1048576 CKO983541:CKQ1048576 CUK983541:CUM1048576 DEG983541:DEI1048576 DOC983541:DOE1048576 DXY983541:DYA1048576 EHU983541:EHW1048576 ERQ983541:ERS1048576 FBM983541:FBO1048576 FLI983541:FLK1048576 FVE983541:FVG1048576 GFA983541:GFC1048576 GOW983541:GOY1048576 GYS983541:GYU1048576 HIO983541:HIQ1048576 HSK983541:HSM1048576 ICG983541:ICI1048576 IMC983541:IME1048576 IVY983541:IWA1048576 JFU983541:JFW1048576 JPQ983541:JPS1048576 JZM983541:JZO1048576 KJI983541:KJK1048576 KTE983541:KTG1048576 LDA983541:LDC1048576 LMW983541:LMY1048576 LWS983541:LWU1048576 MGO983541:MGQ1048576 MQK983541:MQM1048576 NAG983541:NAI1048576 NKC983541:NKE1048576 NTY983541:NUA1048576 ODU983541:ODW1048576 ONQ983541:ONS1048576 OXM983541:OXO1048576 PHI983541:PHK1048576 PRE983541:PRG1048576 QBA983541:QBC1048576 QKW983541:QKY1048576 QUS983541:QUU1048576 REO983541:REQ1048576 ROK983541:ROM1048576 RYG983541:RYI1048576 SIC983541:SIE1048576 SRY983541:SSA1048576 TBU983541:TBW1048576 TLQ983541:TLS1048576 TVM983541:TVO1048576 UFI983541:UFK1048576 UPE983541:UPG1048576 UZA983541:UZC1048576 VIW983541:VIY1048576 VSS983541:VSU1048576 WCO983541:WCQ1048576 WMK983541:WMM1048576 WWG983541:WWI1048576">
      <formula1>$AV$2:$AV$10</formula1>
    </dataValidation>
    <dataValidation type="list" allowBlank="1" showInputMessage="1" showErrorMessage="1" sqref="K64423:K64476 JG64423:JG64476 TC64423:TC64476 ACY64423:ACY64476 AMU64423:AMU64476 AWQ64423:AWQ64476 BGM64423:BGM64476 BQI64423:BQI64476 CAE64423:CAE64476 CKA64423:CKA64476 CTW64423:CTW64476 DDS64423:DDS64476 DNO64423:DNO64476 DXK64423:DXK64476 EHG64423:EHG64476 ERC64423:ERC64476 FAY64423:FAY64476 FKU64423:FKU64476 FUQ64423:FUQ64476 GEM64423:GEM64476 GOI64423:GOI64476 GYE64423:GYE64476 HIA64423:HIA64476 HRW64423:HRW64476 IBS64423:IBS64476 ILO64423:ILO64476 IVK64423:IVK64476 JFG64423:JFG64476 JPC64423:JPC64476 JYY64423:JYY64476 KIU64423:KIU64476 KSQ64423:KSQ64476 LCM64423:LCM64476 LMI64423:LMI64476 LWE64423:LWE64476 MGA64423:MGA64476 MPW64423:MPW64476 MZS64423:MZS64476 NJO64423:NJO64476 NTK64423:NTK64476 ODG64423:ODG64476 ONC64423:ONC64476 OWY64423:OWY64476 PGU64423:PGU64476 PQQ64423:PQQ64476 QAM64423:QAM64476 QKI64423:QKI64476 QUE64423:QUE64476 REA64423:REA64476 RNW64423:RNW64476 RXS64423:RXS64476 SHO64423:SHO64476 SRK64423:SRK64476 TBG64423:TBG64476 TLC64423:TLC64476 TUY64423:TUY64476 UEU64423:UEU64476 UOQ64423:UOQ64476 UYM64423:UYM64476 VII64423:VII64476 VSE64423:VSE64476 WCA64423:WCA64476 WLW64423:WLW64476 WVS64423:WVS64476 K129959:K130012 JG129959:JG130012 TC129959:TC130012 ACY129959:ACY130012 AMU129959:AMU130012 AWQ129959:AWQ130012 BGM129959:BGM130012 BQI129959:BQI130012 CAE129959:CAE130012 CKA129959:CKA130012 CTW129959:CTW130012 DDS129959:DDS130012 DNO129959:DNO130012 DXK129959:DXK130012 EHG129959:EHG130012 ERC129959:ERC130012 FAY129959:FAY130012 FKU129959:FKU130012 FUQ129959:FUQ130012 GEM129959:GEM130012 GOI129959:GOI130012 GYE129959:GYE130012 HIA129959:HIA130012 HRW129959:HRW130012 IBS129959:IBS130012 ILO129959:ILO130012 IVK129959:IVK130012 JFG129959:JFG130012 JPC129959:JPC130012 JYY129959:JYY130012 KIU129959:KIU130012 KSQ129959:KSQ130012 LCM129959:LCM130012 LMI129959:LMI130012 LWE129959:LWE130012 MGA129959:MGA130012 MPW129959:MPW130012 MZS129959:MZS130012 NJO129959:NJO130012 NTK129959:NTK130012 ODG129959:ODG130012 ONC129959:ONC130012 OWY129959:OWY130012 PGU129959:PGU130012 PQQ129959:PQQ130012 QAM129959:QAM130012 QKI129959:QKI130012 QUE129959:QUE130012 REA129959:REA130012 RNW129959:RNW130012 RXS129959:RXS130012 SHO129959:SHO130012 SRK129959:SRK130012 TBG129959:TBG130012 TLC129959:TLC130012 TUY129959:TUY130012 UEU129959:UEU130012 UOQ129959:UOQ130012 UYM129959:UYM130012 VII129959:VII130012 VSE129959:VSE130012 WCA129959:WCA130012 WLW129959:WLW130012 WVS129959:WVS130012 K195495:K195548 JG195495:JG195548 TC195495:TC195548 ACY195495:ACY195548 AMU195495:AMU195548 AWQ195495:AWQ195548 BGM195495:BGM195548 BQI195495:BQI195548 CAE195495:CAE195548 CKA195495:CKA195548 CTW195495:CTW195548 DDS195495:DDS195548 DNO195495:DNO195548 DXK195495:DXK195548 EHG195495:EHG195548 ERC195495:ERC195548 FAY195495:FAY195548 FKU195495:FKU195548 FUQ195495:FUQ195548 GEM195495:GEM195548 GOI195495:GOI195548 GYE195495:GYE195548 HIA195495:HIA195548 HRW195495:HRW195548 IBS195495:IBS195548 ILO195495:ILO195548 IVK195495:IVK195548 JFG195495:JFG195548 JPC195495:JPC195548 JYY195495:JYY195548 KIU195495:KIU195548 KSQ195495:KSQ195548 LCM195495:LCM195548 LMI195495:LMI195548 LWE195495:LWE195548 MGA195495:MGA195548 MPW195495:MPW195548 MZS195495:MZS195548 NJO195495:NJO195548 NTK195495:NTK195548 ODG195495:ODG195548 ONC195495:ONC195548 OWY195495:OWY195548 PGU195495:PGU195548 PQQ195495:PQQ195548 QAM195495:QAM195548 QKI195495:QKI195548 QUE195495:QUE195548 REA195495:REA195548 RNW195495:RNW195548 RXS195495:RXS195548 SHO195495:SHO195548 SRK195495:SRK195548 TBG195495:TBG195548 TLC195495:TLC195548 TUY195495:TUY195548 UEU195495:UEU195548 UOQ195495:UOQ195548 UYM195495:UYM195548 VII195495:VII195548 VSE195495:VSE195548 WCA195495:WCA195548 WLW195495:WLW195548 WVS195495:WVS195548 K261031:K261084 JG261031:JG261084 TC261031:TC261084 ACY261031:ACY261084 AMU261031:AMU261084 AWQ261031:AWQ261084 BGM261031:BGM261084 BQI261031:BQI261084 CAE261031:CAE261084 CKA261031:CKA261084 CTW261031:CTW261084 DDS261031:DDS261084 DNO261031:DNO261084 DXK261031:DXK261084 EHG261031:EHG261084 ERC261031:ERC261084 FAY261031:FAY261084 FKU261031:FKU261084 FUQ261031:FUQ261084 GEM261031:GEM261084 GOI261031:GOI261084 GYE261031:GYE261084 HIA261031:HIA261084 HRW261031:HRW261084 IBS261031:IBS261084 ILO261031:ILO261084 IVK261031:IVK261084 JFG261031:JFG261084 JPC261031:JPC261084 JYY261031:JYY261084 KIU261031:KIU261084 KSQ261031:KSQ261084 LCM261031:LCM261084 LMI261031:LMI261084 LWE261031:LWE261084 MGA261031:MGA261084 MPW261031:MPW261084 MZS261031:MZS261084 NJO261031:NJO261084 NTK261031:NTK261084 ODG261031:ODG261084 ONC261031:ONC261084 OWY261031:OWY261084 PGU261031:PGU261084 PQQ261031:PQQ261084 QAM261031:QAM261084 QKI261031:QKI261084 QUE261031:QUE261084 REA261031:REA261084 RNW261031:RNW261084 RXS261031:RXS261084 SHO261031:SHO261084 SRK261031:SRK261084 TBG261031:TBG261084 TLC261031:TLC261084 TUY261031:TUY261084 UEU261031:UEU261084 UOQ261031:UOQ261084 UYM261031:UYM261084 VII261031:VII261084 VSE261031:VSE261084 WCA261031:WCA261084 WLW261031:WLW261084 WVS261031:WVS261084 K326567:K326620 JG326567:JG326620 TC326567:TC326620 ACY326567:ACY326620 AMU326567:AMU326620 AWQ326567:AWQ326620 BGM326567:BGM326620 BQI326567:BQI326620 CAE326567:CAE326620 CKA326567:CKA326620 CTW326567:CTW326620 DDS326567:DDS326620 DNO326567:DNO326620 DXK326567:DXK326620 EHG326567:EHG326620 ERC326567:ERC326620 FAY326567:FAY326620 FKU326567:FKU326620 FUQ326567:FUQ326620 GEM326567:GEM326620 GOI326567:GOI326620 GYE326567:GYE326620 HIA326567:HIA326620 HRW326567:HRW326620 IBS326567:IBS326620 ILO326567:ILO326620 IVK326567:IVK326620 JFG326567:JFG326620 JPC326567:JPC326620 JYY326567:JYY326620 KIU326567:KIU326620 KSQ326567:KSQ326620 LCM326567:LCM326620 LMI326567:LMI326620 LWE326567:LWE326620 MGA326567:MGA326620 MPW326567:MPW326620 MZS326567:MZS326620 NJO326567:NJO326620 NTK326567:NTK326620 ODG326567:ODG326620 ONC326567:ONC326620 OWY326567:OWY326620 PGU326567:PGU326620 PQQ326567:PQQ326620 QAM326567:QAM326620 QKI326567:QKI326620 QUE326567:QUE326620 REA326567:REA326620 RNW326567:RNW326620 RXS326567:RXS326620 SHO326567:SHO326620 SRK326567:SRK326620 TBG326567:TBG326620 TLC326567:TLC326620 TUY326567:TUY326620 UEU326567:UEU326620 UOQ326567:UOQ326620 UYM326567:UYM326620 VII326567:VII326620 VSE326567:VSE326620 WCA326567:WCA326620 WLW326567:WLW326620 WVS326567:WVS326620 K392103:K392156 JG392103:JG392156 TC392103:TC392156 ACY392103:ACY392156 AMU392103:AMU392156 AWQ392103:AWQ392156 BGM392103:BGM392156 BQI392103:BQI392156 CAE392103:CAE392156 CKA392103:CKA392156 CTW392103:CTW392156 DDS392103:DDS392156 DNO392103:DNO392156 DXK392103:DXK392156 EHG392103:EHG392156 ERC392103:ERC392156 FAY392103:FAY392156 FKU392103:FKU392156 FUQ392103:FUQ392156 GEM392103:GEM392156 GOI392103:GOI392156 GYE392103:GYE392156 HIA392103:HIA392156 HRW392103:HRW392156 IBS392103:IBS392156 ILO392103:ILO392156 IVK392103:IVK392156 JFG392103:JFG392156 JPC392103:JPC392156 JYY392103:JYY392156 KIU392103:KIU392156 KSQ392103:KSQ392156 LCM392103:LCM392156 LMI392103:LMI392156 LWE392103:LWE392156 MGA392103:MGA392156 MPW392103:MPW392156 MZS392103:MZS392156 NJO392103:NJO392156 NTK392103:NTK392156 ODG392103:ODG392156 ONC392103:ONC392156 OWY392103:OWY392156 PGU392103:PGU392156 PQQ392103:PQQ392156 QAM392103:QAM392156 QKI392103:QKI392156 QUE392103:QUE392156 REA392103:REA392156 RNW392103:RNW392156 RXS392103:RXS392156 SHO392103:SHO392156 SRK392103:SRK392156 TBG392103:TBG392156 TLC392103:TLC392156 TUY392103:TUY392156 UEU392103:UEU392156 UOQ392103:UOQ392156 UYM392103:UYM392156 VII392103:VII392156 VSE392103:VSE392156 WCA392103:WCA392156 WLW392103:WLW392156 WVS392103:WVS392156 K457639:K457692 JG457639:JG457692 TC457639:TC457692 ACY457639:ACY457692 AMU457639:AMU457692 AWQ457639:AWQ457692 BGM457639:BGM457692 BQI457639:BQI457692 CAE457639:CAE457692 CKA457639:CKA457692 CTW457639:CTW457692 DDS457639:DDS457692 DNO457639:DNO457692 DXK457639:DXK457692 EHG457639:EHG457692 ERC457639:ERC457692 FAY457639:FAY457692 FKU457639:FKU457692 FUQ457639:FUQ457692 GEM457639:GEM457692 GOI457639:GOI457692 GYE457639:GYE457692 HIA457639:HIA457692 HRW457639:HRW457692 IBS457639:IBS457692 ILO457639:ILO457692 IVK457639:IVK457692 JFG457639:JFG457692 JPC457639:JPC457692 JYY457639:JYY457692 KIU457639:KIU457692 KSQ457639:KSQ457692 LCM457639:LCM457692 LMI457639:LMI457692 LWE457639:LWE457692 MGA457639:MGA457692 MPW457639:MPW457692 MZS457639:MZS457692 NJO457639:NJO457692 NTK457639:NTK457692 ODG457639:ODG457692 ONC457639:ONC457692 OWY457639:OWY457692 PGU457639:PGU457692 PQQ457639:PQQ457692 QAM457639:QAM457692 QKI457639:QKI457692 QUE457639:QUE457692 REA457639:REA457692 RNW457639:RNW457692 RXS457639:RXS457692 SHO457639:SHO457692 SRK457639:SRK457692 TBG457639:TBG457692 TLC457639:TLC457692 TUY457639:TUY457692 UEU457639:UEU457692 UOQ457639:UOQ457692 UYM457639:UYM457692 VII457639:VII457692 VSE457639:VSE457692 WCA457639:WCA457692 WLW457639:WLW457692 WVS457639:WVS457692 K523175:K523228 JG523175:JG523228 TC523175:TC523228 ACY523175:ACY523228 AMU523175:AMU523228 AWQ523175:AWQ523228 BGM523175:BGM523228 BQI523175:BQI523228 CAE523175:CAE523228 CKA523175:CKA523228 CTW523175:CTW523228 DDS523175:DDS523228 DNO523175:DNO523228 DXK523175:DXK523228 EHG523175:EHG523228 ERC523175:ERC523228 FAY523175:FAY523228 FKU523175:FKU523228 FUQ523175:FUQ523228 GEM523175:GEM523228 GOI523175:GOI523228 GYE523175:GYE523228 HIA523175:HIA523228 HRW523175:HRW523228 IBS523175:IBS523228 ILO523175:ILO523228 IVK523175:IVK523228 JFG523175:JFG523228 JPC523175:JPC523228 JYY523175:JYY523228 KIU523175:KIU523228 KSQ523175:KSQ523228 LCM523175:LCM523228 LMI523175:LMI523228 LWE523175:LWE523228 MGA523175:MGA523228 MPW523175:MPW523228 MZS523175:MZS523228 NJO523175:NJO523228 NTK523175:NTK523228 ODG523175:ODG523228 ONC523175:ONC523228 OWY523175:OWY523228 PGU523175:PGU523228 PQQ523175:PQQ523228 QAM523175:QAM523228 QKI523175:QKI523228 QUE523175:QUE523228 REA523175:REA523228 RNW523175:RNW523228 RXS523175:RXS523228 SHO523175:SHO523228 SRK523175:SRK523228 TBG523175:TBG523228 TLC523175:TLC523228 TUY523175:TUY523228 UEU523175:UEU523228 UOQ523175:UOQ523228 UYM523175:UYM523228 VII523175:VII523228 VSE523175:VSE523228 WCA523175:WCA523228 WLW523175:WLW523228 WVS523175:WVS523228 K588711:K588764 JG588711:JG588764 TC588711:TC588764 ACY588711:ACY588764 AMU588711:AMU588764 AWQ588711:AWQ588764 BGM588711:BGM588764 BQI588711:BQI588764 CAE588711:CAE588764 CKA588711:CKA588764 CTW588711:CTW588764 DDS588711:DDS588764 DNO588711:DNO588764 DXK588711:DXK588764 EHG588711:EHG588764 ERC588711:ERC588764 FAY588711:FAY588764 FKU588711:FKU588764 FUQ588711:FUQ588764 GEM588711:GEM588764 GOI588711:GOI588764 GYE588711:GYE588764 HIA588711:HIA588764 HRW588711:HRW588764 IBS588711:IBS588764 ILO588711:ILO588764 IVK588711:IVK588764 JFG588711:JFG588764 JPC588711:JPC588764 JYY588711:JYY588764 KIU588711:KIU588764 KSQ588711:KSQ588764 LCM588711:LCM588764 LMI588711:LMI588764 LWE588711:LWE588764 MGA588711:MGA588764 MPW588711:MPW588764 MZS588711:MZS588764 NJO588711:NJO588764 NTK588711:NTK588764 ODG588711:ODG588764 ONC588711:ONC588764 OWY588711:OWY588764 PGU588711:PGU588764 PQQ588711:PQQ588764 QAM588711:QAM588764 QKI588711:QKI588764 QUE588711:QUE588764 REA588711:REA588764 RNW588711:RNW588764 RXS588711:RXS588764 SHO588711:SHO588764 SRK588711:SRK588764 TBG588711:TBG588764 TLC588711:TLC588764 TUY588711:TUY588764 UEU588711:UEU588764 UOQ588711:UOQ588764 UYM588711:UYM588764 VII588711:VII588764 VSE588711:VSE588764 WCA588711:WCA588764 WLW588711:WLW588764 WVS588711:WVS588764 K654247:K654300 JG654247:JG654300 TC654247:TC654300 ACY654247:ACY654300 AMU654247:AMU654300 AWQ654247:AWQ654300 BGM654247:BGM654300 BQI654247:BQI654300 CAE654247:CAE654300 CKA654247:CKA654300 CTW654247:CTW654300 DDS654247:DDS654300 DNO654247:DNO654300 DXK654247:DXK654300 EHG654247:EHG654300 ERC654247:ERC654300 FAY654247:FAY654300 FKU654247:FKU654300 FUQ654247:FUQ654300 GEM654247:GEM654300 GOI654247:GOI654300 GYE654247:GYE654300 HIA654247:HIA654300 HRW654247:HRW654300 IBS654247:IBS654300 ILO654247:ILO654300 IVK654247:IVK654300 JFG654247:JFG654300 JPC654247:JPC654300 JYY654247:JYY654300 KIU654247:KIU654300 KSQ654247:KSQ654300 LCM654247:LCM654300 LMI654247:LMI654300 LWE654247:LWE654300 MGA654247:MGA654300 MPW654247:MPW654300 MZS654247:MZS654300 NJO654247:NJO654300 NTK654247:NTK654300 ODG654247:ODG654300 ONC654247:ONC654300 OWY654247:OWY654300 PGU654247:PGU654300 PQQ654247:PQQ654300 QAM654247:QAM654300 QKI654247:QKI654300 QUE654247:QUE654300 REA654247:REA654300 RNW654247:RNW654300 RXS654247:RXS654300 SHO654247:SHO654300 SRK654247:SRK654300 TBG654247:TBG654300 TLC654247:TLC654300 TUY654247:TUY654300 UEU654247:UEU654300 UOQ654247:UOQ654300 UYM654247:UYM654300 VII654247:VII654300 VSE654247:VSE654300 WCA654247:WCA654300 WLW654247:WLW654300 WVS654247:WVS654300 K719783:K719836 JG719783:JG719836 TC719783:TC719836 ACY719783:ACY719836 AMU719783:AMU719836 AWQ719783:AWQ719836 BGM719783:BGM719836 BQI719783:BQI719836 CAE719783:CAE719836 CKA719783:CKA719836 CTW719783:CTW719836 DDS719783:DDS719836 DNO719783:DNO719836 DXK719783:DXK719836 EHG719783:EHG719836 ERC719783:ERC719836 FAY719783:FAY719836 FKU719783:FKU719836 FUQ719783:FUQ719836 GEM719783:GEM719836 GOI719783:GOI719836 GYE719783:GYE719836 HIA719783:HIA719836 HRW719783:HRW719836 IBS719783:IBS719836 ILO719783:ILO719836 IVK719783:IVK719836 JFG719783:JFG719836 JPC719783:JPC719836 JYY719783:JYY719836 KIU719783:KIU719836 KSQ719783:KSQ719836 LCM719783:LCM719836 LMI719783:LMI719836 LWE719783:LWE719836 MGA719783:MGA719836 MPW719783:MPW719836 MZS719783:MZS719836 NJO719783:NJO719836 NTK719783:NTK719836 ODG719783:ODG719836 ONC719783:ONC719836 OWY719783:OWY719836 PGU719783:PGU719836 PQQ719783:PQQ719836 QAM719783:QAM719836 QKI719783:QKI719836 QUE719783:QUE719836 REA719783:REA719836 RNW719783:RNW719836 RXS719783:RXS719836 SHO719783:SHO719836 SRK719783:SRK719836 TBG719783:TBG719836 TLC719783:TLC719836 TUY719783:TUY719836 UEU719783:UEU719836 UOQ719783:UOQ719836 UYM719783:UYM719836 VII719783:VII719836 VSE719783:VSE719836 WCA719783:WCA719836 WLW719783:WLW719836 WVS719783:WVS719836 K785319:K785372 JG785319:JG785372 TC785319:TC785372 ACY785319:ACY785372 AMU785319:AMU785372 AWQ785319:AWQ785372 BGM785319:BGM785372 BQI785319:BQI785372 CAE785319:CAE785372 CKA785319:CKA785372 CTW785319:CTW785372 DDS785319:DDS785372 DNO785319:DNO785372 DXK785319:DXK785372 EHG785319:EHG785372 ERC785319:ERC785372 FAY785319:FAY785372 FKU785319:FKU785372 FUQ785319:FUQ785372 GEM785319:GEM785372 GOI785319:GOI785372 GYE785319:GYE785372 HIA785319:HIA785372 HRW785319:HRW785372 IBS785319:IBS785372 ILO785319:ILO785372 IVK785319:IVK785372 JFG785319:JFG785372 JPC785319:JPC785372 JYY785319:JYY785372 KIU785319:KIU785372 KSQ785319:KSQ785372 LCM785319:LCM785372 LMI785319:LMI785372 LWE785319:LWE785372 MGA785319:MGA785372 MPW785319:MPW785372 MZS785319:MZS785372 NJO785319:NJO785372 NTK785319:NTK785372 ODG785319:ODG785372 ONC785319:ONC785372 OWY785319:OWY785372 PGU785319:PGU785372 PQQ785319:PQQ785372 QAM785319:QAM785372 QKI785319:QKI785372 QUE785319:QUE785372 REA785319:REA785372 RNW785319:RNW785372 RXS785319:RXS785372 SHO785319:SHO785372 SRK785319:SRK785372 TBG785319:TBG785372 TLC785319:TLC785372 TUY785319:TUY785372 UEU785319:UEU785372 UOQ785319:UOQ785372 UYM785319:UYM785372 VII785319:VII785372 VSE785319:VSE785372 WCA785319:WCA785372 WLW785319:WLW785372 WVS785319:WVS785372 K850855:K850908 JG850855:JG850908 TC850855:TC850908 ACY850855:ACY850908 AMU850855:AMU850908 AWQ850855:AWQ850908 BGM850855:BGM850908 BQI850855:BQI850908 CAE850855:CAE850908 CKA850855:CKA850908 CTW850855:CTW850908 DDS850855:DDS850908 DNO850855:DNO850908 DXK850855:DXK850908 EHG850855:EHG850908 ERC850855:ERC850908 FAY850855:FAY850908 FKU850855:FKU850908 FUQ850855:FUQ850908 GEM850855:GEM850908 GOI850855:GOI850908 GYE850855:GYE850908 HIA850855:HIA850908 HRW850855:HRW850908 IBS850855:IBS850908 ILO850855:ILO850908 IVK850855:IVK850908 JFG850855:JFG850908 JPC850855:JPC850908 JYY850855:JYY850908 KIU850855:KIU850908 KSQ850855:KSQ850908 LCM850855:LCM850908 LMI850855:LMI850908 LWE850855:LWE850908 MGA850855:MGA850908 MPW850855:MPW850908 MZS850855:MZS850908 NJO850855:NJO850908 NTK850855:NTK850908 ODG850855:ODG850908 ONC850855:ONC850908 OWY850855:OWY850908 PGU850855:PGU850908 PQQ850855:PQQ850908 QAM850855:QAM850908 QKI850855:QKI850908 QUE850855:QUE850908 REA850855:REA850908 RNW850855:RNW850908 RXS850855:RXS850908 SHO850855:SHO850908 SRK850855:SRK850908 TBG850855:TBG850908 TLC850855:TLC850908 TUY850855:TUY850908 UEU850855:UEU850908 UOQ850855:UOQ850908 UYM850855:UYM850908 VII850855:VII850908 VSE850855:VSE850908 WCA850855:WCA850908 WLW850855:WLW850908 WVS850855:WVS850908 K916391:K916444 JG916391:JG916444 TC916391:TC916444 ACY916391:ACY916444 AMU916391:AMU916444 AWQ916391:AWQ916444 BGM916391:BGM916444 BQI916391:BQI916444 CAE916391:CAE916444 CKA916391:CKA916444 CTW916391:CTW916444 DDS916391:DDS916444 DNO916391:DNO916444 DXK916391:DXK916444 EHG916391:EHG916444 ERC916391:ERC916444 FAY916391:FAY916444 FKU916391:FKU916444 FUQ916391:FUQ916444 GEM916391:GEM916444 GOI916391:GOI916444 GYE916391:GYE916444 HIA916391:HIA916444 HRW916391:HRW916444 IBS916391:IBS916444 ILO916391:ILO916444 IVK916391:IVK916444 JFG916391:JFG916444 JPC916391:JPC916444 JYY916391:JYY916444 KIU916391:KIU916444 KSQ916391:KSQ916444 LCM916391:LCM916444 LMI916391:LMI916444 LWE916391:LWE916444 MGA916391:MGA916444 MPW916391:MPW916444 MZS916391:MZS916444 NJO916391:NJO916444 NTK916391:NTK916444 ODG916391:ODG916444 ONC916391:ONC916444 OWY916391:OWY916444 PGU916391:PGU916444 PQQ916391:PQQ916444 QAM916391:QAM916444 QKI916391:QKI916444 QUE916391:QUE916444 REA916391:REA916444 RNW916391:RNW916444 RXS916391:RXS916444 SHO916391:SHO916444 SRK916391:SRK916444 TBG916391:TBG916444 TLC916391:TLC916444 TUY916391:TUY916444 UEU916391:UEU916444 UOQ916391:UOQ916444 UYM916391:UYM916444 VII916391:VII916444 VSE916391:VSE916444 WCA916391:WCA916444 WLW916391:WLW916444 WVS916391:WVS916444 K981927:K981980 JG981927:JG981980 TC981927:TC981980 ACY981927:ACY981980 AMU981927:AMU981980 AWQ981927:AWQ981980 BGM981927:BGM981980 BQI981927:BQI981980 CAE981927:CAE981980 CKA981927:CKA981980 CTW981927:CTW981980 DDS981927:DDS981980 DNO981927:DNO981980 DXK981927:DXK981980 EHG981927:EHG981980 ERC981927:ERC981980 FAY981927:FAY981980 FKU981927:FKU981980 FUQ981927:FUQ981980 GEM981927:GEM981980 GOI981927:GOI981980 GYE981927:GYE981980 HIA981927:HIA981980 HRW981927:HRW981980 IBS981927:IBS981980 ILO981927:ILO981980 IVK981927:IVK981980 JFG981927:JFG981980 JPC981927:JPC981980 JYY981927:JYY981980 KIU981927:KIU981980 KSQ981927:KSQ981980 LCM981927:LCM981980 LMI981927:LMI981980 LWE981927:LWE981980 MGA981927:MGA981980 MPW981927:MPW981980 MZS981927:MZS981980 NJO981927:NJO981980 NTK981927:NTK981980 ODG981927:ODG981980 ONC981927:ONC981980 OWY981927:OWY981980 PGU981927:PGU981980 PQQ981927:PQQ981980 QAM981927:QAM981980 QKI981927:QKI981980 QUE981927:QUE981980 REA981927:REA981980 RNW981927:RNW981980 RXS981927:RXS981980 SHO981927:SHO981980 SRK981927:SRK981980 TBG981927:TBG981980 TLC981927:TLC981980 TUY981927:TUY981980 UEU981927:UEU981980 UOQ981927:UOQ981980 UYM981927:UYM981980 VII981927:VII981980 VSE981927:VSE981980 WCA981927:WCA981980 WLW981927:WLW981980 WVS981927:WVS981980 K1047463:K1047516 JG1047463:JG1047516 TC1047463:TC1047516 ACY1047463:ACY1047516 AMU1047463:AMU1047516 AWQ1047463:AWQ1047516 BGM1047463:BGM1047516 BQI1047463:BQI1047516 CAE1047463:CAE1047516 CKA1047463:CKA1047516 CTW1047463:CTW1047516 DDS1047463:DDS1047516 DNO1047463:DNO1047516 DXK1047463:DXK1047516 EHG1047463:EHG1047516 ERC1047463:ERC1047516 FAY1047463:FAY1047516 FKU1047463:FKU1047516 FUQ1047463:FUQ1047516 GEM1047463:GEM1047516 GOI1047463:GOI1047516 GYE1047463:GYE1047516 HIA1047463:HIA1047516 HRW1047463:HRW1047516 IBS1047463:IBS1047516 ILO1047463:ILO1047516 IVK1047463:IVK1047516 JFG1047463:JFG1047516 JPC1047463:JPC1047516 JYY1047463:JYY1047516 KIU1047463:KIU1047516 KSQ1047463:KSQ1047516 LCM1047463:LCM1047516 LMI1047463:LMI1047516 LWE1047463:LWE1047516 MGA1047463:MGA1047516 MPW1047463:MPW1047516 MZS1047463:MZS1047516 NJO1047463:NJO1047516 NTK1047463:NTK1047516 ODG1047463:ODG1047516 ONC1047463:ONC1047516 OWY1047463:OWY1047516 PGU1047463:PGU1047516 PQQ1047463:PQQ1047516 QAM1047463:QAM1047516 QKI1047463:QKI1047516 QUE1047463:QUE1047516 REA1047463:REA1047516 RNW1047463:RNW1047516 RXS1047463:RXS1047516 SHO1047463:SHO1047516 SRK1047463:SRK1047516 TBG1047463:TBG1047516 TLC1047463:TLC1047516 TUY1047463:TUY1047516 UEU1047463:UEU1047516 UOQ1047463:UOQ1047516 UYM1047463:UYM1047516 VII1047463:VII1047516 VSE1047463:VSE1047516 WCA1047463:WCA1047516 WLW1047463:WLW1047516 WVS1047463:WVS1047516">
      <formula1>$AR$2:$AR$21</formula1>
    </dataValidation>
    <dataValidation type="list" allowBlank="1" showInputMessage="1" showErrorMessage="1" sqref="J64423:J64476 JF64423:JF64476 TB64423:TB64476 ACX64423:ACX64476 AMT64423:AMT64476 AWP64423:AWP64476 BGL64423:BGL64476 BQH64423:BQH64476 CAD64423:CAD64476 CJZ64423:CJZ64476 CTV64423:CTV64476 DDR64423:DDR64476 DNN64423:DNN64476 DXJ64423:DXJ64476 EHF64423:EHF64476 ERB64423:ERB64476 FAX64423:FAX64476 FKT64423:FKT64476 FUP64423:FUP64476 GEL64423:GEL64476 GOH64423:GOH64476 GYD64423:GYD64476 HHZ64423:HHZ64476 HRV64423:HRV64476 IBR64423:IBR64476 ILN64423:ILN64476 IVJ64423:IVJ64476 JFF64423:JFF64476 JPB64423:JPB64476 JYX64423:JYX64476 KIT64423:KIT64476 KSP64423:KSP64476 LCL64423:LCL64476 LMH64423:LMH64476 LWD64423:LWD64476 MFZ64423:MFZ64476 MPV64423:MPV64476 MZR64423:MZR64476 NJN64423:NJN64476 NTJ64423:NTJ64476 ODF64423:ODF64476 ONB64423:ONB64476 OWX64423:OWX64476 PGT64423:PGT64476 PQP64423:PQP64476 QAL64423:QAL64476 QKH64423:QKH64476 QUD64423:QUD64476 RDZ64423:RDZ64476 RNV64423:RNV64476 RXR64423:RXR64476 SHN64423:SHN64476 SRJ64423:SRJ64476 TBF64423:TBF64476 TLB64423:TLB64476 TUX64423:TUX64476 UET64423:UET64476 UOP64423:UOP64476 UYL64423:UYL64476 VIH64423:VIH64476 VSD64423:VSD64476 WBZ64423:WBZ64476 WLV64423:WLV64476 WVR64423:WVR64476 J129959:J130012 JF129959:JF130012 TB129959:TB130012 ACX129959:ACX130012 AMT129959:AMT130012 AWP129959:AWP130012 BGL129959:BGL130012 BQH129959:BQH130012 CAD129959:CAD130012 CJZ129959:CJZ130012 CTV129959:CTV130012 DDR129959:DDR130012 DNN129959:DNN130012 DXJ129959:DXJ130012 EHF129959:EHF130012 ERB129959:ERB130012 FAX129959:FAX130012 FKT129959:FKT130012 FUP129959:FUP130012 GEL129959:GEL130012 GOH129959:GOH130012 GYD129959:GYD130012 HHZ129959:HHZ130012 HRV129959:HRV130012 IBR129959:IBR130012 ILN129959:ILN130012 IVJ129959:IVJ130012 JFF129959:JFF130012 JPB129959:JPB130012 JYX129959:JYX130012 KIT129959:KIT130012 KSP129959:KSP130012 LCL129959:LCL130012 LMH129959:LMH130012 LWD129959:LWD130012 MFZ129959:MFZ130012 MPV129959:MPV130012 MZR129959:MZR130012 NJN129959:NJN130012 NTJ129959:NTJ130012 ODF129959:ODF130012 ONB129959:ONB130012 OWX129959:OWX130012 PGT129959:PGT130012 PQP129959:PQP130012 QAL129959:QAL130012 QKH129959:QKH130012 QUD129959:QUD130012 RDZ129959:RDZ130012 RNV129959:RNV130012 RXR129959:RXR130012 SHN129959:SHN130012 SRJ129959:SRJ130012 TBF129959:TBF130012 TLB129959:TLB130012 TUX129959:TUX130012 UET129959:UET130012 UOP129959:UOP130012 UYL129959:UYL130012 VIH129959:VIH130012 VSD129959:VSD130012 WBZ129959:WBZ130012 WLV129959:WLV130012 WVR129959:WVR130012 J195495:J195548 JF195495:JF195548 TB195495:TB195548 ACX195495:ACX195548 AMT195495:AMT195548 AWP195495:AWP195548 BGL195495:BGL195548 BQH195495:BQH195548 CAD195495:CAD195548 CJZ195495:CJZ195548 CTV195495:CTV195548 DDR195495:DDR195548 DNN195495:DNN195548 DXJ195495:DXJ195548 EHF195495:EHF195548 ERB195495:ERB195548 FAX195495:FAX195548 FKT195495:FKT195548 FUP195495:FUP195548 GEL195495:GEL195548 GOH195495:GOH195548 GYD195495:GYD195548 HHZ195495:HHZ195548 HRV195495:HRV195548 IBR195495:IBR195548 ILN195495:ILN195548 IVJ195495:IVJ195548 JFF195495:JFF195548 JPB195495:JPB195548 JYX195495:JYX195548 KIT195495:KIT195548 KSP195495:KSP195548 LCL195495:LCL195548 LMH195495:LMH195548 LWD195495:LWD195548 MFZ195495:MFZ195548 MPV195495:MPV195548 MZR195495:MZR195548 NJN195495:NJN195548 NTJ195495:NTJ195548 ODF195495:ODF195548 ONB195495:ONB195548 OWX195495:OWX195548 PGT195495:PGT195548 PQP195495:PQP195548 QAL195495:QAL195548 QKH195495:QKH195548 QUD195495:QUD195548 RDZ195495:RDZ195548 RNV195495:RNV195548 RXR195495:RXR195548 SHN195495:SHN195548 SRJ195495:SRJ195548 TBF195495:TBF195548 TLB195495:TLB195548 TUX195495:TUX195548 UET195495:UET195548 UOP195495:UOP195548 UYL195495:UYL195548 VIH195495:VIH195548 VSD195495:VSD195548 WBZ195495:WBZ195548 WLV195495:WLV195548 WVR195495:WVR195548 J261031:J261084 JF261031:JF261084 TB261031:TB261084 ACX261031:ACX261084 AMT261031:AMT261084 AWP261031:AWP261084 BGL261031:BGL261084 BQH261031:BQH261084 CAD261031:CAD261084 CJZ261031:CJZ261084 CTV261031:CTV261084 DDR261031:DDR261084 DNN261031:DNN261084 DXJ261031:DXJ261084 EHF261031:EHF261084 ERB261031:ERB261084 FAX261031:FAX261084 FKT261031:FKT261084 FUP261031:FUP261084 GEL261031:GEL261084 GOH261031:GOH261084 GYD261031:GYD261084 HHZ261031:HHZ261084 HRV261031:HRV261084 IBR261031:IBR261084 ILN261031:ILN261084 IVJ261031:IVJ261084 JFF261031:JFF261084 JPB261031:JPB261084 JYX261031:JYX261084 KIT261031:KIT261084 KSP261031:KSP261084 LCL261031:LCL261084 LMH261031:LMH261084 LWD261031:LWD261084 MFZ261031:MFZ261084 MPV261031:MPV261084 MZR261031:MZR261084 NJN261031:NJN261084 NTJ261031:NTJ261084 ODF261031:ODF261084 ONB261031:ONB261084 OWX261031:OWX261084 PGT261031:PGT261084 PQP261031:PQP261084 QAL261031:QAL261084 QKH261031:QKH261084 QUD261031:QUD261084 RDZ261031:RDZ261084 RNV261031:RNV261084 RXR261031:RXR261084 SHN261031:SHN261084 SRJ261031:SRJ261084 TBF261031:TBF261084 TLB261031:TLB261084 TUX261031:TUX261084 UET261031:UET261084 UOP261031:UOP261084 UYL261031:UYL261084 VIH261031:VIH261084 VSD261031:VSD261084 WBZ261031:WBZ261084 WLV261031:WLV261084 WVR261031:WVR261084 J326567:J326620 JF326567:JF326620 TB326567:TB326620 ACX326567:ACX326620 AMT326567:AMT326620 AWP326567:AWP326620 BGL326567:BGL326620 BQH326567:BQH326620 CAD326567:CAD326620 CJZ326567:CJZ326620 CTV326567:CTV326620 DDR326567:DDR326620 DNN326567:DNN326620 DXJ326567:DXJ326620 EHF326567:EHF326620 ERB326567:ERB326620 FAX326567:FAX326620 FKT326567:FKT326620 FUP326567:FUP326620 GEL326567:GEL326620 GOH326567:GOH326620 GYD326567:GYD326620 HHZ326567:HHZ326620 HRV326567:HRV326620 IBR326567:IBR326620 ILN326567:ILN326620 IVJ326567:IVJ326620 JFF326567:JFF326620 JPB326567:JPB326620 JYX326567:JYX326620 KIT326567:KIT326620 KSP326567:KSP326620 LCL326567:LCL326620 LMH326567:LMH326620 LWD326567:LWD326620 MFZ326567:MFZ326620 MPV326567:MPV326620 MZR326567:MZR326620 NJN326567:NJN326620 NTJ326567:NTJ326620 ODF326567:ODF326620 ONB326567:ONB326620 OWX326567:OWX326620 PGT326567:PGT326620 PQP326567:PQP326620 QAL326567:QAL326620 QKH326567:QKH326620 QUD326567:QUD326620 RDZ326567:RDZ326620 RNV326567:RNV326620 RXR326567:RXR326620 SHN326567:SHN326620 SRJ326567:SRJ326620 TBF326567:TBF326620 TLB326567:TLB326620 TUX326567:TUX326620 UET326567:UET326620 UOP326567:UOP326620 UYL326567:UYL326620 VIH326567:VIH326620 VSD326567:VSD326620 WBZ326567:WBZ326620 WLV326567:WLV326620 WVR326567:WVR326620 J392103:J392156 JF392103:JF392156 TB392103:TB392156 ACX392103:ACX392156 AMT392103:AMT392156 AWP392103:AWP392156 BGL392103:BGL392156 BQH392103:BQH392156 CAD392103:CAD392156 CJZ392103:CJZ392156 CTV392103:CTV392156 DDR392103:DDR392156 DNN392103:DNN392156 DXJ392103:DXJ392156 EHF392103:EHF392156 ERB392103:ERB392156 FAX392103:FAX392156 FKT392103:FKT392156 FUP392103:FUP392156 GEL392103:GEL392156 GOH392103:GOH392156 GYD392103:GYD392156 HHZ392103:HHZ392156 HRV392103:HRV392156 IBR392103:IBR392156 ILN392103:ILN392156 IVJ392103:IVJ392156 JFF392103:JFF392156 JPB392103:JPB392156 JYX392103:JYX392156 KIT392103:KIT392156 KSP392103:KSP392156 LCL392103:LCL392156 LMH392103:LMH392156 LWD392103:LWD392156 MFZ392103:MFZ392156 MPV392103:MPV392156 MZR392103:MZR392156 NJN392103:NJN392156 NTJ392103:NTJ392156 ODF392103:ODF392156 ONB392103:ONB392156 OWX392103:OWX392156 PGT392103:PGT392156 PQP392103:PQP392156 QAL392103:QAL392156 QKH392103:QKH392156 QUD392103:QUD392156 RDZ392103:RDZ392156 RNV392103:RNV392156 RXR392103:RXR392156 SHN392103:SHN392156 SRJ392103:SRJ392156 TBF392103:TBF392156 TLB392103:TLB392156 TUX392103:TUX392156 UET392103:UET392156 UOP392103:UOP392156 UYL392103:UYL392156 VIH392103:VIH392156 VSD392103:VSD392156 WBZ392103:WBZ392156 WLV392103:WLV392156 WVR392103:WVR392156 J457639:J457692 JF457639:JF457692 TB457639:TB457692 ACX457639:ACX457692 AMT457639:AMT457692 AWP457639:AWP457692 BGL457639:BGL457692 BQH457639:BQH457692 CAD457639:CAD457692 CJZ457639:CJZ457692 CTV457639:CTV457692 DDR457639:DDR457692 DNN457639:DNN457692 DXJ457639:DXJ457692 EHF457639:EHF457692 ERB457639:ERB457692 FAX457639:FAX457692 FKT457639:FKT457692 FUP457639:FUP457692 GEL457639:GEL457692 GOH457639:GOH457692 GYD457639:GYD457692 HHZ457639:HHZ457692 HRV457639:HRV457692 IBR457639:IBR457692 ILN457639:ILN457692 IVJ457639:IVJ457692 JFF457639:JFF457692 JPB457639:JPB457692 JYX457639:JYX457692 KIT457639:KIT457692 KSP457639:KSP457692 LCL457639:LCL457692 LMH457639:LMH457692 LWD457639:LWD457692 MFZ457639:MFZ457692 MPV457639:MPV457692 MZR457639:MZR457692 NJN457639:NJN457692 NTJ457639:NTJ457692 ODF457639:ODF457692 ONB457639:ONB457692 OWX457639:OWX457692 PGT457639:PGT457692 PQP457639:PQP457692 QAL457639:QAL457692 QKH457639:QKH457692 QUD457639:QUD457692 RDZ457639:RDZ457692 RNV457639:RNV457692 RXR457639:RXR457692 SHN457639:SHN457692 SRJ457639:SRJ457692 TBF457639:TBF457692 TLB457639:TLB457692 TUX457639:TUX457692 UET457639:UET457692 UOP457639:UOP457692 UYL457639:UYL457692 VIH457639:VIH457692 VSD457639:VSD457692 WBZ457639:WBZ457692 WLV457639:WLV457692 WVR457639:WVR457692 J523175:J523228 JF523175:JF523228 TB523175:TB523228 ACX523175:ACX523228 AMT523175:AMT523228 AWP523175:AWP523228 BGL523175:BGL523228 BQH523175:BQH523228 CAD523175:CAD523228 CJZ523175:CJZ523228 CTV523175:CTV523228 DDR523175:DDR523228 DNN523175:DNN523228 DXJ523175:DXJ523228 EHF523175:EHF523228 ERB523175:ERB523228 FAX523175:FAX523228 FKT523175:FKT523228 FUP523175:FUP523228 GEL523175:GEL523228 GOH523175:GOH523228 GYD523175:GYD523228 HHZ523175:HHZ523228 HRV523175:HRV523228 IBR523175:IBR523228 ILN523175:ILN523228 IVJ523175:IVJ523228 JFF523175:JFF523228 JPB523175:JPB523228 JYX523175:JYX523228 KIT523175:KIT523228 KSP523175:KSP523228 LCL523175:LCL523228 LMH523175:LMH523228 LWD523175:LWD523228 MFZ523175:MFZ523228 MPV523175:MPV523228 MZR523175:MZR523228 NJN523175:NJN523228 NTJ523175:NTJ523228 ODF523175:ODF523228 ONB523175:ONB523228 OWX523175:OWX523228 PGT523175:PGT523228 PQP523175:PQP523228 QAL523175:QAL523228 QKH523175:QKH523228 QUD523175:QUD523228 RDZ523175:RDZ523228 RNV523175:RNV523228 RXR523175:RXR523228 SHN523175:SHN523228 SRJ523175:SRJ523228 TBF523175:TBF523228 TLB523175:TLB523228 TUX523175:TUX523228 UET523175:UET523228 UOP523175:UOP523228 UYL523175:UYL523228 VIH523175:VIH523228 VSD523175:VSD523228 WBZ523175:WBZ523228 WLV523175:WLV523228 WVR523175:WVR523228 J588711:J588764 JF588711:JF588764 TB588711:TB588764 ACX588711:ACX588764 AMT588711:AMT588764 AWP588711:AWP588764 BGL588711:BGL588764 BQH588711:BQH588764 CAD588711:CAD588764 CJZ588711:CJZ588764 CTV588711:CTV588764 DDR588711:DDR588764 DNN588711:DNN588764 DXJ588711:DXJ588764 EHF588711:EHF588764 ERB588711:ERB588764 FAX588711:FAX588764 FKT588711:FKT588764 FUP588711:FUP588764 GEL588711:GEL588764 GOH588711:GOH588764 GYD588711:GYD588764 HHZ588711:HHZ588764 HRV588711:HRV588764 IBR588711:IBR588764 ILN588711:ILN588764 IVJ588711:IVJ588764 JFF588711:JFF588764 JPB588711:JPB588764 JYX588711:JYX588764 KIT588711:KIT588764 KSP588711:KSP588764 LCL588711:LCL588764 LMH588711:LMH588764 LWD588711:LWD588764 MFZ588711:MFZ588764 MPV588711:MPV588764 MZR588711:MZR588764 NJN588711:NJN588764 NTJ588711:NTJ588764 ODF588711:ODF588764 ONB588711:ONB588764 OWX588711:OWX588764 PGT588711:PGT588764 PQP588711:PQP588764 QAL588711:QAL588764 QKH588711:QKH588764 QUD588711:QUD588764 RDZ588711:RDZ588764 RNV588711:RNV588764 RXR588711:RXR588764 SHN588711:SHN588764 SRJ588711:SRJ588764 TBF588711:TBF588764 TLB588711:TLB588764 TUX588711:TUX588764 UET588711:UET588764 UOP588711:UOP588764 UYL588711:UYL588764 VIH588711:VIH588764 VSD588711:VSD588764 WBZ588711:WBZ588764 WLV588711:WLV588764 WVR588711:WVR588764 J654247:J654300 JF654247:JF654300 TB654247:TB654300 ACX654247:ACX654300 AMT654247:AMT654300 AWP654247:AWP654300 BGL654247:BGL654300 BQH654247:BQH654300 CAD654247:CAD654300 CJZ654247:CJZ654300 CTV654247:CTV654300 DDR654247:DDR654300 DNN654247:DNN654300 DXJ654247:DXJ654300 EHF654247:EHF654300 ERB654247:ERB654300 FAX654247:FAX654300 FKT654247:FKT654300 FUP654247:FUP654300 GEL654247:GEL654300 GOH654247:GOH654300 GYD654247:GYD654300 HHZ654247:HHZ654300 HRV654247:HRV654300 IBR654247:IBR654300 ILN654247:ILN654300 IVJ654247:IVJ654300 JFF654247:JFF654300 JPB654247:JPB654300 JYX654247:JYX654300 KIT654247:KIT654300 KSP654247:KSP654300 LCL654247:LCL654300 LMH654247:LMH654300 LWD654247:LWD654300 MFZ654247:MFZ654300 MPV654247:MPV654300 MZR654247:MZR654300 NJN654247:NJN654300 NTJ654247:NTJ654300 ODF654247:ODF654300 ONB654247:ONB654300 OWX654247:OWX654300 PGT654247:PGT654300 PQP654247:PQP654300 QAL654247:QAL654300 QKH654247:QKH654300 QUD654247:QUD654300 RDZ654247:RDZ654300 RNV654247:RNV654300 RXR654247:RXR654300 SHN654247:SHN654300 SRJ654247:SRJ654300 TBF654247:TBF654300 TLB654247:TLB654300 TUX654247:TUX654300 UET654247:UET654300 UOP654247:UOP654300 UYL654247:UYL654300 VIH654247:VIH654300 VSD654247:VSD654300 WBZ654247:WBZ654300 WLV654247:WLV654300 WVR654247:WVR654300 J719783:J719836 JF719783:JF719836 TB719783:TB719836 ACX719783:ACX719836 AMT719783:AMT719836 AWP719783:AWP719836 BGL719783:BGL719836 BQH719783:BQH719836 CAD719783:CAD719836 CJZ719783:CJZ719836 CTV719783:CTV719836 DDR719783:DDR719836 DNN719783:DNN719836 DXJ719783:DXJ719836 EHF719783:EHF719836 ERB719783:ERB719836 FAX719783:FAX719836 FKT719783:FKT719836 FUP719783:FUP719836 GEL719783:GEL719836 GOH719783:GOH719836 GYD719783:GYD719836 HHZ719783:HHZ719836 HRV719783:HRV719836 IBR719783:IBR719836 ILN719783:ILN719836 IVJ719783:IVJ719836 JFF719783:JFF719836 JPB719783:JPB719836 JYX719783:JYX719836 KIT719783:KIT719836 KSP719783:KSP719836 LCL719783:LCL719836 LMH719783:LMH719836 LWD719783:LWD719836 MFZ719783:MFZ719836 MPV719783:MPV719836 MZR719783:MZR719836 NJN719783:NJN719836 NTJ719783:NTJ719836 ODF719783:ODF719836 ONB719783:ONB719836 OWX719783:OWX719836 PGT719783:PGT719836 PQP719783:PQP719836 QAL719783:QAL719836 QKH719783:QKH719836 QUD719783:QUD719836 RDZ719783:RDZ719836 RNV719783:RNV719836 RXR719783:RXR719836 SHN719783:SHN719836 SRJ719783:SRJ719836 TBF719783:TBF719836 TLB719783:TLB719836 TUX719783:TUX719836 UET719783:UET719836 UOP719783:UOP719836 UYL719783:UYL719836 VIH719783:VIH719836 VSD719783:VSD719836 WBZ719783:WBZ719836 WLV719783:WLV719836 WVR719783:WVR719836 J785319:J785372 JF785319:JF785372 TB785319:TB785372 ACX785319:ACX785372 AMT785319:AMT785372 AWP785319:AWP785372 BGL785319:BGL785372 BQH785319:BQH785372 CAD785319:CAD785372 CJZ785319:CJZ785372 CTV785319:CTV785372 DDR785319:DDR785372 DNN785319:DNN785372 DXJ785319:DXJ785372 EHF785319:EHF785372 ERB785319:ERB785372 FAX785319:FAX785372 FKT785319:FKT785372 FUP785319:FUP785372 GEL785319:GEL785372 GOH785319:GOH785372 GYD785319:GYD785372 HHZ785319:HHZ785372 HRV785319:HRV785372 IBR785319:IBR785372 ILN785319:ILN785372 IVJ785319:IVJ785372 JFF785319:JFF785372 JPB785319:JPB785372 JYX785319:JYX785372 KIT785319:KIT785372 KSP785319:KSP785372 LCL785319:LCL785372 LMH785319:LMH785372 LWD785319:LWD785372 MFZ785319:MFZ785372 MPV785319:MPV785372 MZR785319:MZR785372 NJN785319:NJN785372 NTJ785319:NTJ785372 ODF785319:ODF785372 ONB785319:ONB785372 OWX785319:OWX785372 PGT785319:PGT785372 PQP785319:PQP785372 QAL785319:QAL785372 QKH785319:QKH785372 QUD785319:QUD785372 RDZ785319:RDZ785372 RNV785319:RNV785372 RXR785319:RXR785372 SHN785319:SHN785372 SRJ785319:SRJ785372 TBF785319:TBF785372 TLB785319:TLB785372 TUX785319:TUX785372 UET785319:UET785372 UOP785319:UOP785372 UYL785319:UYL785372 VIH785319:VIH785372 VSD785319:VSD785372 WBZ785319:WBZ785372 WLV785319:WLV785372 WVR785319:WVR785372 J850855:J850908 JF850855:JF850908 TB850855:TB850908 ACX850855:ACX850908 AMT850855:AMT850908 AWP850855:AWP850908 BGL850855:BGL850908 BQH850855:BQH850908 CAD850855:CAD850908 CJZ850855:CJZ850908 CTV850855:CTV850908 DDR850855:DDR850908 DNN850855:DNN850908 DXJ850855:DXJ850908 EHF850855:EHF850908 ERB850855:ERB850908 FAX850855:FAX850908 FKT850855:FKT850908 FUP850855:FUP850908 GEL850855:GEL850908 GOH850855:GOH850908 GYD850855:GYD850908 HHZ850855:HHZ850908 HRV850855:HRV850908 IBR850855:IBR850908 ILN850855:ILN850908 IVJ850855:IVJ850908 JFF850855:JFF850908 JPB850855:JPB850908 JYX850855:JYX850908 KIT850855:KIT850908 KSP850855:KSP850908 LCL850855:LCL850908 LMH850855:LMH850908 LWD850855:LWD850908 MFZ850855:MFZ850908 MPV850855:MPV850908 MZR850855:MZR850908 NJN850855:NJN850908 NTJ850855:NTJ850908 ODF850855:ODF850908 ONB850855:ONB850908 OWX850855:OWX850908 PGT850855:PGT850908 PQP850855:PQP850908 QAL850855:QAL850908 QKH850855:QKH850908 QUD850855:QUD850908 RDZ850855:RDZ850908 RNV850855:RNV850908 RXR850855:RXR850908 SHN850855:SHN850908 SRJ850855:SRJ850908 TBF850855:TBF850908 TLB850855:TLB850908 TUX850855:TUX850908 UET850855:UET850908 UOP850855:UOP850908 UYL850855:UYL850908 VIH850855:VIH850908 VSD850855:VSD850908 WBZ850855:WBZ850908 WLV850855:WLV850908 WVR850855:WVR850908 J916391:J916444 JF916391:JF916444 TB916391:TB916444 ACX916391:ACX916444 AMT916391:AMT916444 AWP916391:AWP916444 BGL916391:BGL916444 BQH916391:BQH916444 CAD916391:CAD916444 CJZ916391:CJZ916444 CTV916391:CTV916444 DDR916391:DDR916444 DNN916391:DNN916444 DXJ916391:DXJ916444 EHF916391:EHF916444 ERB916391:ERB916444 FAX916391:FAX916444 FKT916391:FKT916444 FUP916391:FUP916444 GEL916391:GEL916444 GOH916391:GOH916444 GYD916391:GYD916444 HHZ916391:HHZ916444 HRV916391:HRV916444 IBR916391:IBR916444 ILN916391:ILN916444 IVJ916391:IVJ916444 JFF916391:JFF916444 JPB916391:JPB916444 JYX916391:JYX916444 KIT916391:KIT916444 KSP916391:KSP916444 LCL916391:LCL916444 LMH916391:LMH916444 LWD916391:LWD916444 MFZ916391:MFZ916444 MPV916391:MPV916444 MZR916391:MZR916444 NJN916391:NJN916444 NTJ916391:NTJ916444 ODF916391:ODF916444 ONB916391:ONB916444 OWX916391:OWX916444 PGT916391:PGT916444 PQP916391:PQP916444 QAL916391:QAL916444 QKH916391:QKH916444 QUD916391:QUD916444 RDZ916391:RDZ916444 RNV916391:RNV916444 RXR916391:RXR916444 SHN916391:SHN916444 SRJ916391:SRJ916444 TBF916391:TBF916444 TLB916391:TLB916444 TUX916391:TUX916444 UET916391:UET916444 UOP916391:UOP916444 UYL916391:UYL916444 VIH916391:VIH916444 VSD916391:VSD916444 WBZ916391:WBZ916444 WLV916391:WLV916444 WVR916391:WVR916444 J981927:J981980 JF981927:JF981980 TB981927:TB981980 ACX981927:ACX981980 AMT981927:AMT981980 AWP981927:AWP981980 BGL981927:BGL981980 BQH981927:BQH981980 CAD981927:CAD981980 CJZ981927:CJZ981980 CTV981927:CTV981980 DDR981927:DDR981980 DNN981927:DNN981980 DXJ981927:DXJ981980 EHF981927:EHF981980 ERB981927:ERB981980 FAX981927:FAX981980 FKT981927:FKT981980 FUP981927:FUP981980 GEL981927:GEL981980 GOH981927:GOH981980 GYD981927:GYD981980 HHZ981927:HHZ981980 HRV981927:HRV981980 IBR981927:IBR981980 ILN981927:ILN981980 IVJ981927:IVJ981980 JFF981927:JFF981980 JPB981927:JPB981980 JYX981927:JYX981980 KIT981927:KIT981980 KSP981927:KSP981980 LCL981927:LCL981980 LMH981927:LMH981980 LWD981927:LWD981980 MFZ981927:MFZ981980 MPV981927:MPV981980 MZR981927:MZR981980 NJN981927:NJN981980 NTJ981927:NTJ981980 ODF981927:ODF981980 ONB981927:ONB981980 OWX981927:OWX981980 PGT981927:PGT981980 PQP981927:PQP981980 QAL981927:QAL981980 QKH981927:QKH981980 QUD981927:QUD981980 RDZ981927:RDZ981980 RNV981927:RNV981980 RXR981927:RXR981980 SHN981927:SHN981980 SRJ981927:SRJ981980 TBF981927:TBF981980 TLB981927:TLB981980 TUX981927:TUX981980 UET981927:UET981980 UOP981927:UOP981980 UYL981927:UYL981980 VIH981927:VIH981980 VSD981927:VSD981980 WBZ981927:WBZ981980 WLV981927:WLV981980 WVR981927:WVR981980 J1047463:J1047516 JF1047463:JF1047516 TB1047463:TB1047516 ACX1047463:ACX1047516 AMT1047463:AMT1047516 AWP1047463:AWP1047516 BGL1047463:BGL1047516 BQH1047463:BQH1047516 CAD1047463:CAD1047516 CJZ1047463:CJZ1047516 CTV1047463:CTV1047516 DDR1047463:DDR1047516 DNN1047463:DNN1047516 DXJ1047463:DXJ1047516 EHF1047463:EHF1047516 ERB1047463:ERB1047516 FAX1047463:FAX1047516 FKT1047463:FKT1047516 FUP1047463:FUP1047516 GEL1047463:GEL1047516 GOH1047463:GOH1047516 GYD1047463:GYD1047516 HHZ1047463:HHZ1047516 HRV1047463:HRV1047516 IBR1047463:IBR1047516 ILN1047463:ILN1047516 IVJ1047463:IVJ1047516 JFF1047463:JFF1047516 JPB1047463:JPB1047516 JYX1047463:JYX1047516 KIT1047463:KIT1047516 KSP1047463:KSP1047516 LCL1047463:LCL1047516 LMH1047463:LMH1047516 LWD1047463:LWD1047516 MFZ1047463:MFZ1047516 MPV1047463:MPV1047516 MZR1047463:MZR1047516 NJN1047463:NJN1047516 NTJ1047463:NTJ1047516 ODF1047463:ODF1047516 ONB1047463:ONB1047516 OWX1047463:OWX1047516 PGT1047463:PGT1047516 PQP1047463:PQP1047516 QAL1047463:QAL1047516 QKH1047463:QKH1047516 QUD1047463:QUD1047516 RDZ1047463:RDZ1047516 RNV1047463:RNV1047516 RXR1047463:RXR1047516 SHN1047463:SHN1047516 SRJ1047463:SRJ1047516 TBF1047463:TBF1047516 TLB1047463:TLB1047516 TUX1047463:TUX1047516 UET1047463:UET1047516 UOP1047463:UOP1047516 UYL1047463:UYL1047516 VIH1047463:VIH1047516 VSD1047463:VSD1047516 WBZ1047463:WBZ1047516 WLV1047463:WLV1047516 WVR1047463:WVR1047516">
      <formula1>$AP$2:$AP$12</formula1>
    </dataValidation>
    <dataValidation type="list" allowBlank="1" showInputMessage="1" showErrorMessage="1" sqref="WVI983042:WVI983540 IW2:IW500 SS2:SS500 ACO2:ACO500 AMK2:AMK500 AWG2:AWG500 BGC2:BGC500 BPY2:BPY500 BZU2:BZU500 CJQ2:CJQ500 CTM2:CTM500 DDI2:DDI500 DNE2:DNE500 DXA2:DXA500 EGW2:EGW500 EQS2:EQS500 FAO2:FAO500 FKK2:FKK500 FUG2:FUG500 GEC2:GEC500 GNY2:GNY500 GXU2:GXU500 HHQ2:HHQ500 HRM2:HRM500 IBI2:IBI500 ILE2:ILE500 IVA2:IVA500 JEW2:JEW500 JOS2:JOS500 JYO2:JYO500 KIK2:KIK500 KSG2:KSG500 LCC2:LCC500 LLY2:LLY500 LVU2:LVU500 MFQ2:MFQ500 MPM2:MPM500 MZI2:MZI500 NJE2:NJE500 NTA2:NTA500 OCW2:OCW500 OMS2:OMS500 OWO2:OWO500 PGK2:PGK500 PQG2:PQG500 QAC2:QAC500 QJY2:QJY500 QTU2:QTU500 RDQ2:RDQ500 RNM2:RNM500 RXI2:RXI500 SHE2:SHE500 SRA2:SRA500 TAW2:TAW500 TKS2:TKS500 TUO2:TUO500 UEK2:UEK500 UOG2:UOG500 UYC2:UYC500 VHY2:VHY500 VRU2:VRU500 WBQ2:WBQ500 WLM2:WLM500 WVI2:WVI500 A65538:A66036 IW65538:IW66036 SS65538:SS66036 ACO65538:ACO66036 AMK65538:AMK66036 AWG65538:AWG66036 BGC65538:BGC66036 BPY65538:BPY66036 BZU65538:BZU66036 CJQ65538:CJQ66036 CTM65538:CTM66036 DDI65538:DDI66036 DNE65538:DNE66036 DXA65538:DXA66036 EGW65538:EGW66036 EQS65538:EQS66036 FAO65538:FAO66036 FKK65538:FKK66036 FUG65538:FUG66036 GEC65538:GEC66036 GNY65538:GNY66036 GXU65538:GXU66036 HHQ65538:HHQ66036 HRM65538:HRM66036 IBI65538:IBI66036 ILE65538:ILE66036 IVA65538:IVA66036 JEW65538:JEW66036 JOS65538:JOS66036 JYO65538:JYO66036 KIK65538:KIK66036 KSG65538:KSG66036 LCC65538:LCC66036 LLY65538:LLY66036 LVU65538:LVU66036 MFQ65538:MFQ66036 MPM65538:MPM66036 MZI65538:MZI66036 NJE65538:NJE66036 NTA65538:NTA66036 OCW65538:OCW66036 OMS65538:OMS66036 OWO65538:OWO66036 PGK65538:PGK66036 PQG65538:PQG66036 QAC65538:QAC66036 QJY65538:QJY66036 QTU65538:QTU66036 RDQ65538:RDQ66036 RNM65538:RNM66036 RXI65538:RXI66036 SHE65538:SHE66036 SRA65538:SRA66036 TAW65538:TAW66036 TKS65538:TKS66036 TUO65538:TUO66036 UEK65538:UEK66036 UOG65538:UOG66036 UYC65538:UYC66036 VHY65538:VHY66036 VRU65538:VRU66036 WBQ65538:WBQ66036 WLM65538:WLM66036 WVI65538:WVI66036 A131074:A131572 IW131074:IW131572 SS131074:SS131572 ACO131074:ACO131572 AMK131074:AMK131572 AWG131074:AWG131572 BGC131074:BGC131572 BPY131074:BPY131572 BZU131074:BZU131572 CJQ131074:CJQ131572 CTM131074:CTM131572 DDI131074:DDI131572 DNE131074:DNE131572 DXA131074:DXA131572 EGW131074:EGW131572 EQS131074:EQS131572 FAO131074:FAO131572 FKK131074:FKK131572 FUG131074:FUG131572 GEC131074:GEC131572 GNY131074:GNY131572 GXU131074:GXU131572 HHQ131074:HHQ131572 HRM131074:HRM131572 IBI131074:IBI131572 ILE131074:ILE131572 IVA131074:IVA131572 JEW131074:JEW131572 JOS131074:JOS131572 JYO131074:JYO131572 KIK131074:KIK131572 KSG131074:KSG131572 LCC131074:LCC131572 LLY131074:LLY131572 LVU131074:LVU131572 MFQ131074:MFQ131572 MPM131074:MPM131572 MZI131074:MZI131572 NJE131074:NJE131572 NTA131074:NTA131572 OCW131074:OCW131572 OMS131074:OMS131572 OWO131074:OWO131572 PGK131074:PGK131572 PQG131074:PQG131572 QAC131074:QAC131572 QJY131074:QJY131572 QTU131074:QTU131572 RDQ131074:RDQ131572 RNM131074:RNM131572 RXI131074:RXI131572 SHE131074:SHE131572 SRA131074:SRA131572 TAW131074:TAW131572 TKS131074:TKS131572 TUO131074:TUO131572 UEK131074:UEK131572 UOG131074:UOG131572 UYC131074:UYC131572 VHY131074:VHY131572 VRU131074:VRU131572 WBQ131074:WBQ131572 WLM131074:WLM131572 WVI131074:WVI131572 A196610:A197108 IW196610:IW197108 SS196610:SS197108 ACO196610:ACO197108 AMK196610:AMK197108 AWG196610:AWG197108 BGC196610:BGC197108 BPY196610:BPY197108 BZU196610:BZU197108 CJQ196610:CJQ197108 CTM196610:CTM197108 DDI196610:DDI197108 DNE196610:DNE197108 DXA196610:DXA197108 EGW196610:EGW197108 EQS196610:EQS197108 FAO196610:FAO197108 FKK196610:FKK197108 FUG196610:FUG197108 GEC196610:GEC197108 GNY196610:GNY197108 GXU196610:GXU197108 HHQ196610:HHQ197108 HRM196610:HRM197108 IBI196610:IBI197108 ILE196610:ILE197108 IVA196610:IVA197108 JEW196610:JEW197108 JOS196610:JOS197108 JYO196610:JYO197108 KIK196610:KIK197108 KSG196610:KSG197108 LCC196610:LCC197108 LLY196610:LLY197108 LVU196610:LVU197108 MFQ196610:MFQ197108 MPM196610:MPM197108 MZI196610:MZI197108 NJE196610:NJE197108 NTA196610:NTA197108 OCW196610:OCW197108 OMS196610:OMS197108 OWO196610:OWO197108 PGK196610:PGK197108 PQG196610:PQG197108 QAC196610:QAC197108 QJY196610:QJY197108 QTU196610:QTU197108 RDQ196610:RDQ197108 RNM196610:RNM197108 RXI196610:RXI197108 SHE196610:SHE197108 SRA196610:SRA197108 TAW196610:TAW197108 TKS196610:TKS197108 TUO196610:TUO197108 UEK196610:UEK197108 UOG196610:UOG197108 UYC196610:UYC197108 VHY196610:VHY197108 VRU196610:VRU197108 WBQ196610:WBQ197108 WLM196610:WLM197108 WVI196610:WVI197108 A262146:A262644 IW262146:IW262644 SS262146:SS262644 ACO262146:ACO262644 AMK262146:AMK262644 AWG262146:AWG262644 BGC262146:BGC262644 BPY262146:BPY262644 BZU262146:BZU262644 CJQ262146:CJQ262644 CTM262146:CTM262644 DDI262146:DDI262644 DNE262146:DNE262644 DXA262146:DXA262644 EGW262146:EGW262644 EQS262146:EQS262644 FAO262146:FAO262644 FKK262146:FKK262644 FUG262146:FUG262644 GEC262146:GEC262644 GNY262146:GNY262644 GXU262146:GXU262644 HHQ262146:HHQ262644 HRM262146:HRM262644 IBI262146:IBI262644 ILE262146:ILE262644 IVA262146:IVA262644 JEW262146:JEW262644 JOS262146:JOS262644 JYO262146:JYO262644 KIK262146:KIK262644 KSG262146:KSG262644 LCC262146:LCC262644 LLY262146:LLY262644 LVU262146:LVU262644 MFQ262146:MFQ262644 MPM262146:MPM262644 MZI262146:MZI262644 NJE262146:NJE262644 NTA262146:NTA262644 OCW262146:OCW262644 OMS262146:OMS262644 OWO262146:OWO262644 PGK262146:PGK262644 PQG262146:PQG262644 QAC262146:QAC262644 QJY262146:QJY262644 QTU262146:QTU262644 RDQ262146:RDQ262644 RNM262146:RNM262644 RXI262146:RXI262644 SHE262146:SHE262644 SRA262146:SRA262644 TAW262146:TAW262644 TKS262146:TKS262644 TUO262146:TUO262644 UEK262146:UEK262644 UOG262146:UOG262644 UYC262146:UYC262644 VHY262146:VHY262644 VRU262146:VRU262644 WBQ262146:WBQ262644 WLM262146:WLM262644 WVI262146:WVI262644 A327682:A328180 IW327682:IW328180 SS327682:SS328180 ACO327682:ACO328180 AMK327682:AMK328180 AWG327682:AWG328180 BGC327682:BGC328180 BPY327682:BPY328180 BZU327682:BZU328180 CJQ327682:CJQ328180 CTM327682:CTM328180 DDI327682:DDI328180 DNE327682:DNE328180 DXA327682:DXA328180 EGW327682:EGW328180 EQS327682:EQS328180 FAO327682:FAO328180 FKK327682:FKK328180 FUG327682:FUG328180 GEC327682:GEC328180 GNY327682:GNY328180 GXU327682:GXU328180 HHQ327682:HHQ328180 HRM327682:HRM328180 IBI327682:IBI328180 ILE327682:ILE328180 IVA327682:IVA328180 JEW327682:JEW328180 JOS327682:JOS328180 JYO327682:JYO328180 KIK327682:KIK328180 KSG327682:KSG328180 LCC327682:LCC328180 LLY327682:LLY328180 LVU327682:LVU328180 MFQ327682:MFQ328180 MPM327682:MPM328180 MZI327682:MZI328180 NJE327682:NJE328180 NTA327682:NTA328180 OCW327682:OCW328180 OMS327682:OMS328180 OWO327682:OWO328180 PGK327682:PGK328180 PQG327682:PQG328180 QAC327682:QAC328180 QJY327682:QJY328180 QTU327682:QTU328180 RDQ327682:RDQ328180 RNM327682:RNM328180 RXI327682:RXI328180 SHE327682:SHE328180 SRA327682:SRA328180 TAW327682:TAW328180 TKS327682:TKS328180 TUO327682:TUO328180 UEK327682:UEK328180 UOG327682:UOG328180 UYC327682:UYC328180 VHY327682:VHY328180 VRU327682:VRU328180 WBQ327682:WBQ328180 WLM327682:WLM328180 WVI327682:WVI328180 A393218:A393716 IW393218:IW393716 SS393218:SS393716 ACO393218:ACO393716 AMK393218:AMK393716 AWG393218:AWG393716 BGC393218:BGC393716 BPY393218:BPY393716 BZU393218:BZU393716 CJQ393218:CJQ393716 CTM393218:CTM393716 DDI393218:DDI393716 DNE393218:DNE393716 DXA393218:DXA393716 EGW393218:EGW393716 EQS393218:EQS393716 FAO393218:FAO393716 FKK393218:FKK393716 FUG393218:FUG393716 GEC393218:GEC393716 GNY393218:GNY393716 GXU393218:GXU393716 HHQ393218:HHQ393716 HRM393218:HRM393716 IBI393218:IBI393716 ILE393218:ILE393716 IVA393218:IVA393716 JEW393218:JEW393716 JOS393218:JOS393716 JYO393218:JYO393716 KIK393218:KIK393716 KSG393218:KSG393716 LCC393218:LCC393716 LLY393218:LLY393716 LVU393218:LVU393716 MFQ393218:MFQ393716 MPM393218:MPM393716 MZI393218:MZI393716 NJE393218:NJE393716 NTA393218:NTA393716 OCW393218:OCW393716 OMS393218:OMS393716 OWO393218:OWO393716 PGK393218:PGK393716 PQG393218:PQG393716 QAC393218:QAC393716 QJY393218:QJY393716 QTU393218:QTU393716 RDQ393218:RDQ393716 RNM393218:RNM393716 RXI393218:RXI393716 SHE393218:SHE393716 SRA393218:SRA393716 TAW393218:TAW393716 TKS393218:TKS393716 TUO393218:TUO393716 UEK393218:UEK393716 UOG393218:UOG393716 UYC393218:UYC393716 VHY393218:VHY393716 VRU393218:VRU393716 WBQ393218:WBQ393716 WLM393218:WLM393716 WVI393218:WVI393716 A458754:A459252 IW458754:IW459252 SS458754:SS459252 ACO458754:ACO459252 AMK458754:AMK459252 AWG458754:AWG459252 BGC458754:BGC459252 BPY458754:BPY459252 BZU458754:BZU459252 CJQ458754:CJQ459252 CTM458754:CTM459252 DDI458754:DDI459252 DNE458754:DNE459252 DXA458754:DXA459252 EGW458754:EGW459252 EQS458754:EQS459252 FAO458754:FAO459252 FKK458754:FKK459252 FUG458754:FUG459252 GEC458754:GEC459252 GNY458754:GNY459252 GXU458754:GXU459252 HHQ458754:HHQ459252 HRM458754:HRM459252 IBI458754:IBI459252 ILE458754:ILE459252 IVA458754:IVA459252 JEW458754:JEW459252 JOS458754:JOS459252 JYO458754:JYO459252 KIK458754:KIK459252 KSG458754:KSG459252 LCC458754:LCC459252 LLY458754:LLY459252 LVU458754:LVU459252 MFQ458754:MFQ459252 MPM458754:MPM459252 MZI458754:MZI459252 NJE458754:NJE459252 NTA458754:NTA459252 OCW458754:OCW459252 OMS458754:OMS459252 OWO458754:OWO459252 PGK458754:PGK459252 PQG458754:PQG459252 QAC458754:QAC459252 QJY458754:QJY459252 QTU458754:QTU459252 RDQ458754:RDQ459252 RNM458754:RNM459252 RXI458754:RXI459252 SHE458754:SHE459252 SRA458754:SRA459252 TAW458754:TAW459252 TKS458754:TKS459252 TUO458754:TUO459252 UEK458754:UEK459252 UOG458754:UOG459252 UYC458754:UYC459252 VHY458754:VHY459252 VRU458754:VRU459252 WBQ458754:WBQ459252 WLM458754:WLM459252 WVI458754:WVI459252 A524290:A524788 IW524290:IW524788 SS524290:SS524788 ACO524290:ACO524788 AMK524290:AMK524788 AWG524290:AWG524788 BGC524290:BGC524788 BPY524290:BPY524788 BZU524290:BZU524788 CJQ524290:CJQ524788 CTM524290:CTM524788 DDI524290:DDI524788 DNE524290:DNE524788 DXA524290:DXA524788 EGW524290:EGW524788 EQS524290:EQS524788 FAO524290:FAO524788 FKK524290:FKK524788 FUG524290:FUG524788 GEC524290:GEC524788 GNY524290:GNY524788 GXU524290:GXU524788 HHQ524290:HHQ524788 HRM524290:HRM524788 IBI524290:IBI524788 ILE524290:ILE524788 IVA524290:IVA524788 JEW524290:JEW524788 JOS524290:JOS524788 JYO524290:JYO524788 KIK524290:KIK524788 KSG524290:KSG524788 LCC524290:LCC524788 LLY524290:LLY524788 LVU524290:LVU524788 MFQ524290:MFQ524788 MPM524290:MPM524788 MZI524290:MZI524788 NJE524290:NJE524788 NTA524290:NTA524788 OCW524290:OCW524788 OMS524290:OMS524788 OWO524290:OWO524788 PGK524290:PGK524788 PQG524290:PQG524788 QAC524290:QAC524788 QJY524290:QJY524788 QTU524290:QTU524788 RDQ524290:RDQ524788 RNM524290:RNM524788 RXI524290:RXI524788 SHE524290:SHE524788 SRA524290:SRA524788 TAW524290:TAW524788 TKS524290:TKS524788 TUO524290:TUO524788 UEK524290:UEK524788 UOG524290:UOG524788 UYC524290:UYC524788 VHY524290:VHY524788 VRU524290:VRU524788 WBQ524290:WBQ524788 WLM524290:WLM524788 WVI524290:WVI524788 A589826:A590324 IW589826:IW590324 SS589826:SS590324 ACO589826:ACO590324 AMK589826:AMK590324 AWG589826:AWG590324 BGC589826:BGC590324 BPY589826:BPY590324 BZU589826:BZU590324 CJQ589826:CJQ590324 CTM589826:CTM590324 DDI589826:DDI590324 DNE589826:DNE590324 DXA589826:DXA590324 EGW589826:EGW590324 EQS589826:EQS590324 FAO589826:FAO590324 FKK589826:FKK590324 FUG589826:FUG590324 GEC589826:GEC590324 GNY589826:GNY590324 GXU589826:GXU590324 HHQ589826:HHQ590324 HRM589826:HRM590324 IBI589826:IBI590324 ILE589826:ILE590324 IVA589826:IVA590324 JEW589826:JEW590324 JOS589826:JOS590324 JYO589826:JYO590324 KIK589826:KIK590324 KSG589826:KSG590324 LCC589826:LCC590324 LLY589826:LLY590324 LVU589826:LVU590324 MFQ589826:MFQ590324 MPM589826:MPM590324 MZI589826:MZI590324 NJE589826:NJE590324 NTA589826:NTA590324 OCW589826:OCW590324 OMS589826:OMS590324 OWO589826:OWO590324 PGK589826:PGK590324 PQG589826:PQG590324 QAC589826:QAC590324 QJY589826:QJY590324 QTU589826:QTU590324 RDQ589826:RDQ590324 RNM589826:RNM590324 RXI589826:RXI590324 SHE589826:SHE590324 SRA589826:SRA590324 TAW589826:TAW590324 TKS589826:TKS590324 TUO589826:TUO590324 UEK589826:UEK590324 UOG589826:UOG590324 UYC589826:UYC590324 VHY589826:VHY590324 VRU589826:VRU590324 WBQ589826:WBQ590324 WLM589826:WLM590324 WVI589826:WVI590324 A655362:A655860 IW655362:IW655860 SS655362:SS655860 ACO655362:ACO655860 AMK655362:AMK655860 AWG655362:AWG655860 BGC655362:BGC655860 BPY655362:BPY655860 BZU655362:BZU655860 CJQ655362:CJQ655860 CTM655362:CTM655860 DDI655362:DDI655860 DNE655362:DNE655860 DXA655362:DXA655860 EGW655362:EGW655860 EQS655362:EQS655860 FAO655362:FAO655860 FKK655362:FKK655860 FUG655362:FUG655860 GEC655362:GEC655860 GNY655362:GNY655860 GXU655362:GXU655860 HHQ655362:HHQ655860 HRM655362:HRM655860 IBI655362:IBI655860 ILE655362:ILE655860 IVA655362:IVA655860 JEW655362:JEW655860 JOS655362:JOS655860 JYO655362:JYO655860 KIK655362:KIK655860 KSG655362:KSG655860 LCC655362:LCC655860 LLY655362:LLY655860 LVU655362:LVU655860 MFQ655362:MFQ655860 MPM655362:MPM655860 MZI655362:MZI655860 NJE655362:NJE655860 NTA655362:NTA655860 OCW655362:OCW655860 OMS655362:OMS655860 OWO655362:OWO655860 PGK655362:PGK655860 PQG655362:PQG655860 QAC655362:QAC655860 QJY655362:QJY655860 QTU655362:QTU655860 RDQ655362:RDQ655860 RNM655362:RNM655860 RXI655362:RXI655860 SHE655362:SHE655860 SRA655362:SRA655860 TAW655362:TAW655860 TKS655362:TKS655860 TUO655362:TUO655860 UEK655362:UEK655860 UOG655362:UOG655860 UYC655362:UYC655860 VHY655362:VHY655860 VRU655362:VRU655860 WBQ655362:WBQ655860 WLM655362:WLM655860 WVI655362:WVI655860 A720898:A721396 IW720898:IW721396 SS720898:SS721396 ACO720898:ACO721396 AMK720898:AMK721396 AWG720898:AWG721396 BGC720898:BGC721396 BPY720898:BPY721396 BZU720898:BZU721396 CJQ720898:CJQ721396 CTM720898:CTM721396 DDI720898:DDI721396 DNE720898:DNE721396 DXA720898:DXA721396 EGW720898:EGW721396 EQS720898:EQS721396 FAO720898:FAO721396 FKK720898:FKK721396 FUG720898:FUG721396 GEC720898:GEC721396 GNY720898:GNY721396 GXU720898:GXU721396 HHQ720898:HHQ721396 HRM720898:HRM721396 IBI720898:IBI721396 ILE720898:ILE721396 IVA720898:IVA721396 JEW720898:JEW721396 JOS720898:JOS721396 JYO720898:JYO721396 KIK720898:KIK721396 KSG720898:KSG721396 LCC720898:LCC721396 LLY720898:LLY721396 LVU720898:LVU721396 MFQ720898:MFQ721396 MPM720898:MPM721396 MZI720898:MZI721396 NJE720898:NJE721396 NTA720898:NTA721396 OCW720898:OCW721396 OMS720898:OMS721396 OWO720898:OWO721396 PGK720898:PGK721396 PQG720898:PQG721396 QAC720898:QAC721396 QJY720898:QJY721396 QTU720898:QTU721396 RDQ720898:RDQ721396 RNM720898:RNM721396 RXI720898:RXI721396 SHE720898:SHE721396 SRA720898:SRA721396 TAW720898:TAW721396 TKS720898:TKS721396 TUO720898:TUO721396 UEK720898:UEK721396 UOG720898:UOG721396 UYC720898:UYC721396 VHY720898:VHY721396 VRU720898:VRU721396 WBQ720898:WBQ721396 WLM720898:WLM721396 WVI720898:WVI721396 A786434:A786932 IW786434:IW786932 SS786434:SS786932 ACO786434:ACO786932 AMK786434:AMK786932 AWG786434:AWG786932 BGC786434:BGC786932 BPY786434:BPY786932 BZU786434:BZU786932 CJQ786434:CJQ786932 CTM786434:CTM786932 DDI786434:DDI786932 DNE786434:DNE786932 DXA786434:DXA786932 EGW786434:EGW786932 EQS786434:EQS786932 FAO786434:FAO786932 FKK786434:FKK786932 FUG786434:FUG786932 GEC786434:GEC786932 GNY786434:GNY786932 GXU786434:GXU786932 HHQ786434:HHQ786932 HRM786434:HRM786932 IBI786434:IBI786932 ILE786434:ILE786932 IVA786434:IVA786932 JEW786434:JEW786932 JOS786434:JOS786932 JYO786434:JYO786932 KIK786434:KIK786932 KSG786434:KSG786932 LCC786434:LCC786932 LLY786434:LLY786932 LVU786434:LVU786932 MFQ786434:MFQ786932 MPM786434:MPM786932 MZI786434:MZI786932 NJE786434:NJE786932 NTA786434:NTA786932 OCW786434:OCW786932 OMS786434:OMS786932 OWO786434:OWO786932 PGK786434:PGK786932 PQG786434:PQG786932 QAC786434:QAC786932 QJY786434:QJY786932 QTU786434:QTU786932 RDQ786434:RDQ786932 RNM786434:RNM786932 RXI786434:RXI786932 SHE786434:SHE786932 SRA786434:SRA786932 TAW786434:TAW786932 TKS786434:TKS786932 TUO786434:TUO786932 UEK786434:UEK786932 UOG786434:UOG786932 UYC786434:UYC786932 VHY786434:VHY786932 VRU786434:VRU786932 WBQ786434:WBQ786932 WLM786434:WLM786932 WVI786434:WVI786932 A851970:A852468 IW851970:IW852468 SS851970:SS852468 ACO851970:ACO852468 AMK851970:AMK852468 AWG851970:AWG852468 BGC851970:BGC852468 BPY851970:BPY852468 BZU851970:BZU852468 CJQ851970:CJQ852468 CTM851970:CTM852468 DDI851970:DDI852468 DNE851970:DNE852468 DXA851970:DXA852468 EGW851970:EGW852468 EQS851970:EQS852468 FAO851970:FAO852468 FKK851970:FKK852468 FUG851970:FUG852468 GEC851970:GEC852468 GNY851970:GNY852468 GXU851970:GXU852468 HHQ851970:HHQ852468 HRM851970:HRM852468 IBI851970:IBI852468 ILE851970:ILE852468 IVA851970:IVA852468 JEW851970:JEW852468 JOS851970:JOS852468 JYO851970:JYO852468 KIK851970:KIK852468 KSG851970:KSG852468 LCC851970:LCC852468 LLY851970:LLY852468 LVU851970:LVU852468 MFQ851970:MFQ852468 MPM851970:MPM852468 MZI851970:MZI852468 NJE851970:NJE852468 NTA851970:NTA852468 OCW851970:OCW852468 OMS851970:OMS852468 OWO851970:OWO852468 PGK851970:PGK852468 PQG851970:PQG852468 QAC851970:QAC852468 QJY851970:QJY852468 QTU851970:QTU852468 RDQ851970:RDQ852468 RNM851970:RNM852468 RXI851970:RXI852468 SHE851970:SHE852468 SRA851970:SRA852468 TAW851970:TAW852468 TKS851970:TKS852468 TUO851970:TUO852468 UEK851970:UEK852468 UOG851970:UOG852468 UYC851970:UYC852468 VHY851970:VHY852468 VRU851970:VRU852468 WBQ851970:WBQ852468 WLM851970:WLM852468 WVI851970:WVI852468 A917506:A918004 IW917506:IW918004 SS917506:SS918004 ACO917506:ACO918004 AMK917506:AMK918004 AWG917506:AWG918004 BGC917506:BGC918004 BPY917506:BPY918004 BZU917506:BZU918004 CJQ917506:CJQ918004 CTM917506:CTM918004 DDI917506:DDI918004 DNE917506:DNE918004 DXA917506:DXA918004 EGW917506:EGW918004 EQS917506:EQS918004 FAO917506:FAO918004 FKK917506:FKK918004 FUG917506:FUG918004 GEC917506:GEC918004 GNY917506:GNY918004 GXU917506:GXU918004 HHQ917506:HHQ918004 HRM917506:HRM918004 IBI917506:IBI918004 ILE917506:ILE918004 IVA917506:IVA918004 JEW917506:JEW918004 JOS917506:JOS918004 JYO917506:JYO918004 KIK917506:KIK918004 KSG917506:KSG918004 LCC917506:LCC918004 LLY917506:LLY918004 LVU917506:LVU918004 MFQ917506:MFQ918004 MPM917506:MPM918004 MZI917506:MZI918004 NJE917506:NJE918004 NTA917506:NTA918004 OCW917506:OCW918004 OMS917506:OMS918004 OWO917506:OWO918004 PGK917506:PGK918004 PQG917506:PQG918004 QAC917506:QAC918004 QJY917506:QJY918004 QTU917506:QTU918004 RDQ917506:RDQ918004 RNM917506:RNM918004 RXI917506:RXI918004 SHE917506:SHE918004 SRA917506:SRA918004 TAW917506:TAW918004 TKS917506:TKS918004 TUO917506:TUO918004 UEK917506:UEK918004 UOG917506:UOG918004 UYC917506:UYC918004 VHY917506:VHY918004 VRU917506:VRU918004 WBQ917506:WBQ918004 WLM917506:WLM918004 WVI917506:WVI918004 A983042:A983540 IW983042:IW983540 SS983042:SS983540 ACO983042:ACO983540 AMK983042:AMK983540 AWG983042:AWG983540 BGC983042:BGC983540 BPY983042:BPY983540 BZU983042:BZU983540 CJQ983042:CJQ983540 CTM983042:CTM983540 DDI983042:DDI983540 DNE983042:DNE983540 DXA983042:DXA983540 EGW983042:EGW983540 EQS983042:EQS983540 FAO983042:FAO983540 FKK983042:FKK983540 FUG983042:FUG983540 GEC983042:GEC983540 GNY983042:GNY983540 GXU983042:GXU983540 HHQ983042:HHQ983540 HRM983042:HRM983540 IBI983042:IBI983540 ILE983042:ILE983540 IVA983042:IVA983540 JEW983042:JEW983540 JOS983042:JOS983540 JYO983042:JYO983540 KIK983042:KIK983540 KSG983042:KSG983540 LCC983042:LCC983540 LLY983042:LLY983540 LVU983042:LVU983540 MFQ983042:MFQ983540 MPM983042:MPM983540 MZI983042:MZI983540 NJE983042:NJE983540 NTA983042:NTA983540 OCW983042:OCW983540 OMS983042:OMS983540 OWO983042:OWO983540 PGK983042:PGK983540 PQG983042:PQG983540 QAC983042:QAC983540 QJY983042:QJY983540 QTU983042:QTU983540 RDQ983042:RDQ983540 RNM983042:RNM983540 RXI983042:RXI983540 SHE983042:SHE983540 SRA983042:SRA983540 TAW983042:TAW983540 TKS983042:TKS983540 TUO983042:TUO983540 UEK983042:UEK983540 UOG983042:UOG983540 UYC983042:UYC983540 VHY983042:VHY983540 VRU983042:VRU983540 WBQ983042:WBQ983540 WLM983042:WLM983540 A2:A500">
      <formula1>$AE$2:$AE$19</formula1>
    </dataValidation>
    <dataValidation type="list" allowBlank="1" showInputMessage="1" showErrorMessage="1" sqref="WVP983042:WVP983540 JD2:JD500 SZ2:SZ500 ACV2:ACV500 AMR2:AMR500 AWN2:AWN500 BGJ2:BGJ500 BQF2:BQF500 CAB2:CAB500 CJX2:CJX500 CTT2:CTT500 DDP2:DDP500 DNL2:DNL500 DXH2:DXH500 EHD2:EHD500 EQZ2:EQZ500 FAV2:FAV500 FKR2:FKR500 FUN2:FUN500 GEJ2:GEJ500 GOF2:GOF500 GYB2:GYB500 HHX2:HHX500 HRT2:HRT500 IBP2:IBP500 ILL2:ILL500 IVH2:IVH500 JFD2:JFD500 JOZ2:JOZ500 JYV2:JYV500 KIR2:KIR500 KSN2:KSN500 LCJ2:LCJ500 LMF2:LMF500 LWB2:LWB500 MFX2:MFX500 MPT2:MPT500 MZP2:MZP500 NJL2:NJL500 NTH2:NTH500 ODD2:ODD500 OMZ2:OMZ500 OWV2:OWV500 PGR2:PGR500 PQN2:PQN500 QAJ2:QAJ500 QKF2:QKF500 QUB2:QUB500 RDX2:RDX500 RNT2:RNT500 RXP2:RXP500 SHL2:SHL500 SRH2:SRH500 TBD2:TBD500 TKZ2:TKZ500 TUV2:TUV500 UER2:UER500 UON2:UON500 UYJ2:UYJ500 VIF2:VIF500 VSB2:VSB500 WBX2:WBX500 WLT2:WLT500 WVP2:WVP500 H65538:H66036 JD65538:JD66036 SZ65538:SZ66036 ACV65538:ACV66036 AMR65538:AMR66036 AWN65538:AWN66036 BGJ65538:BGJ66036 BQF65538:BQF66036 CAB65538:CAB66036 CJX65538:CJX66036 CTT65538:CTT66036 DDP65538:DDP66036 DNL65538:DNL66036 DXH65538:DXH66036 EHD65538:EHD66036 EQZ65538:EQZ66036 FAV65538:FAV66036 FKR65538:FKR66036 FUN65538:FUN66036 GEJ65538:GEJ66036 GOF65538:GOF66036 GYB65538:GYB66036 HHX65538:HHX66036 HRT65538:HRT66036 IBP65538:IBP66036 ILL65538:ILL66036 IVH65538:IVH66036 JFD65538:JFD66036 JOZ65538:JOZ66036 JYV65538:JYV66036 KIR65538:KIR66036 KSN65538:KSN66036 LCJ65538:LCJ66036 LMF65538:LMF66036 LWB65538:LWB66036 MFX65538:MFX66036 MPT65538:MPT66036 MZP65538:MZP66036 NJL65538:NJL66036 NTH65538:NTH66036 ODD65538:ODD66036 OMZ65538:OMZ66036 OWV65538:OWV66036 PGR65538:PGR66036 PQN65538:PQN66036 QAJ65538:QAJ66036 QKF65538:QKF66036 QUB65538:QUB66036 RDX65538:RDX66036 RNT65538:RNT66036 RXP65538:RXP66036 SHL65538:SHL66036 SRH65538:SRH66036 TBD65538:TBD66036 TKZ65538:TKZ66036 TUV65538:TUV66036 UER65538:UER66036 UON65538:UON66036 UYJ65538:UYJ66036 VIF65538:VIF66036 VSB65538:VSB66036 WBX65538:WBX66036 WLT65538:WLT66036 WVP65538:WVP66036 H131074:H131572 JD131074:JD131572 SZ131074:SZ131572 ACV131074:ACV131572 AMR131074:AMR131572 AWN131074:AWN131572 BGJ131074:BGJ131572 BQF131074:BQF131572 CAB131074:CAB131572 CJX131074:CJX131572 CTT131074:CTT131572 DDP131074:DDP131572 DNL131074:DNL131572 DXH131074:DXH131572 EHD131074:EHD131572 EQZ131074:EQZ131572 FAV131074:FAV131572 FKR131074:FKR131572 FUN131074:FUN131572 GEJ131074:GEJ131572 GOF131074:GOF131572 GYB131074:GYB131572 HHX131074:HHX131572 HRT131074:HRT131572 IBP131074:IBP131572 ILL131074:ILL131572 IVH131074:IVH131572 JFD131074:JFD131572 JOZ131074:JOZ131572 JYV131074:JYV131572 KIR131074:KIR131572 KSN131074:KSN131572 LCJ131074:LCJ131572 LMF131074:LMF131572 LWB131074:LWB131572 MFX131074:MFX131572 MPT131074:MPT131572 MZP131074:MZP131572 NJL131074:NJL131572 NTH131074:NTH131572 ODD131074:ODD131572 OMZ131074:OMZ131572 OWV131074:OWV131572 PGR131074:PGR131572 PQN131074:PQN131572 QAJ131074:QAJ131572 QKF131074:QKF131572 QUB131074:QUB131572 RDX131074:RDX131572 RNT131074:RNT131572 RXP131074:RXP131572 SHL131074:SHL131572 SRH131074:SRH131572 TBD131074:TBD131572 TKZ131074:TKZ131572 TUV131074:TUV131572 UER131074:UER131572 UON131074:UON131572 UYJ131074:UYJ131572 VIF131074:VIF131572 VSB131074:VSB131572 WBX131074:WBX131572 WLT131074:WLT131572 WVP131074:WVP131572 H196610:H197108 JD196610:JD197108 SZ196610:SZ197108 ACV196610:ACV197108 AMR196610:AMR197108 AWN196610:AWN197108 BGJ196610:BGJ197108 BQF196610:BQF197108 CAB196610:CAB197108 CJX196610:CJX197108 CTT196610:CTT197108 DDP196610:DDP197108 DNL196610:DNL197108 DXH196610:DXH197108 EHD196610:EHD197108 EQZ196610:EQZ197108 FAV196610:FAV197108 FKR196610:FKR197108 FUN196610:FUN197108 GEJ196610:GEJ197108 GOF196610:GOF197108 GYB196610:GYB197108 HHX196610:HHX197108 HRT196610:HRT197108 IBP196610:IBP197108 ILL196610:ILL197108 IVH196610:IVH197108 JFD196610:JFD197108 JOZ196610:JOZ197108 JYV196610:JYV197108 KIR196610:KIR197108 KSN196610:KSN197108 LCJ196610:LCJ197108 LMF196610:LMF197108 LWB196610:LWB197108 MFX196610:MFX197108 MPT196610:MPT197108 MZP196610:MZP197108 NJL196610:NJL197108 NTH196610:NTH197108 ODD196610:ODD197108 OMZ196610:OMZ197108 OWV196610:OWV197108 PGR196610:PGR197108 PQN196610:PQN197108 QAJ196610:QAJ197108 QKF196610:QKF197108 QUB196610:QUB197108 RDX196610:RDX197108 RNT196610:RNT197108 RXP196610:RXP197108 SHL196610:SHL197108 SRH196610:SRH197108 TBD196610:TBD197108 TKZ196610:TKZ197108 TUV196610:TUV197108 UER196610:UER197108 UON196610:UON197108 UYJ196610:UYJ197108 VIF196610:VIF197108 VSB196610:VSB197108 WBX196610:WBX197108 WLT196610:WLT197108 WVP196610:WVP197108 H262146:H262644 JD262146:JD262644 SZ262146:SZ262644 ACV262146:ACV262644 AMR262146:AMR262644 AWN262146:AWN262644 BGJ262146:BGJ262644 BQF262146:BQF262644 CAB262146:CAB262644 CJX262146:CJX262644 CTT262146:CTT262644 DDP262146:DDP262644 DNL262146:DNL262644 DXH262146:DXH262644 EHD262146:EHD262644 EQZ262146:EQZ262644 FAV262146:FAV262644 FKR262146:FKR262644 FUN262146:FUN262644 GEJ262146:GEJ262644 GOF262146:GOF262644 GYB262146:GYB262644 HHX262146:HHX262644 HRT262146:HRT262644 IBP262146:IBP262644 ILL262146:ILL262644 IVH262146:IVH262644 JFD262146:JFD262644 JOZ262146:JOZ262644 JYV262146:JYV262644 KIR262146:KIR262644 KSN262146:KSN262644 LCJ262146:LCJ262644 LMF262146:LMF262644 LWB262146:LWB262644 MFX262146:MFX262644 MPT262146:MPT262644 MZP262146:MZP262644 NJL262146:NJL262644 NTH262146:NTH262644 ODD262146:ODD262644 OMZ262146:OMZ262644 OWV262146:OWV262644 PGR262146:PGR262644 PQN262146:PQN262644 QAJ262146:QAJ262644 QKF262146:QKF262644 QUB262146:QUB262644 RDX262146:RDX262644 RNT262146:RNT262644 RXP262146:RXP262644 SHL262146:SHL262644 SRH262146:SRH262644 TBD262146:TBD262644 TKZ262146:TKZ262644 TUV262146:TUV262644 UER262146:UER262644 UON262146:UON262644 UYJ262146:UYJ262644 VIF262146:VIF262644 VSB262146:VSB262644 WBX262146:WBX262644 WLT262146:WLT262644 WVP262146:WVP262644 H327682:H328180 JD327682:JD328180 SZ327682:SZ328180 ACV327682:ACV328180 AMR327682:AMR328180 AWN327682:AWN328180 BGJ327682:BGJ328180 BQF327682:BQF328180 CAB327682:CAB328180 CJX327682:CJX328180 CTT327682:CTT328180 DDP327682:DDP328180 DNL327682:DNL328180 DXH327682:DXH328180 EHD327682:EHD328180 EQZ327682:EQZ328180 FAV327682:FAV328180 FKR327682:FKR328180 FUN327682:FUN328180 GEJ327682:GEJ328180 GOF327682:GOF328180 GYB327682:GYB328180 HHX327682:HHX328180 HRT327682:HRT328180 IBP327682:IBP328180 ILL327682:ILL328180 IVH327682:IVH328180 JFD327682:JFD328180 JOZ327682:JOZ328180 JYV327682:JYV328180 KIR327682:KIR328180 KSN327682:KSN328180 LCJ327682:LCJ328180 LMF327682:LMF328180 LWB327682:LWB328180 MFX327682:MFX328180 MPT327682:MPT328180 MZP327682:MZP328180 NJL327682:NJL328180 NTH327682:NTH328180 ODD327682:ODD328180 OMZ327682:OMZ328180 OWV327682:OWV328180 PGR327682:PGR328180 PQN327682:PQN328180 QAJ327682:QAJ328180 QKF327682:QKF328180 QUB327682:QUB328180 RDX327682:RDX328180 RNT327682:RNT328180 RXP327682:RXP328180 SHL327682:SHL328180 SRH327682:SRH328180 TBD327682:TBD328180 TKZ327682:TKZ328180 TUV327682:TUV328180 UER327682:UER328180 UON327682:UON328180 UYJ327682:UYJ328180 VIF327682:VIF328180 VSB327682:VSB328180 WBX327682:WBX328180 WLT327682:WLT328180 WVP327682:WVP328180 H393218:H393716 JD393218:JD393716 SZ393218:SZ393716 ACV393218:ACV393716 AMR393218:AMR393716 AWN393218:AWN393716 BGJ393218:BGJ393716 BQF393218:BQF393716 CAB393218:CAB393716 CJX393218:CJX393716 CTT393218:CTT393716 DDP393218:DDP393716 DNL393218:DNL393716 DXH393218:DXH393716 EHD393218:EHD393716 EQZ393218:EQZ393716 FAV393218:FAV393716 FKR393218:FKR393716 FUN393218:FUN393716 GEJ393218:GEJ393716 GOF393218:GOF393716 GYB393218:GYB393716 HHX393218:HHX393716 HRT393218:HRT393716 IBP393218:IBP393716 ILL393218:ILL393716 IVH393218:IVH393716 JFD393218:JFD393716 JOZ393218:JOZ393716 JYV393218:JYV393716 KIR393218:KIR393716 KSN393218:KSN393716 LCJ393218:LCJ393716 LMF393218:LMF393716 LWB393218:LWB393716 MFX393218:MFX393716 MPT393218:MPT393716 MZP393218:MZP393716 NJL393218:NJL393716 NTH393218:NTH393716 ODD393218:ODD393716 OMZ393218:OMZ393716 OWV393218:OWV393716 PGR393218:PGR393716 PQN393218:PQN393716 QAJ393218:QAJ393716 QKF393218:QKF393716 QUB393218:QUB393716 RDX393218:RDX393716 RNT393218:RNT393716 RXP393218:RXP393716 SHL393218:SHL393716 SRH393218:SRH393716 TBD393218:TBD393716 TKZ393218:TKZ393716 TUV393218:TUV393716 UER393218:UER393716 UON393218:UON393716 UYJ393218:UYJ393716 VIF393218:VIF393716 VSB393218:VSB393716 WBX393218:WBX393716 WLT393218:WLT393716 WVP393218:WVP393716 H458754:H459252 JD458754:JD459252 SZ458754:SZ459252 ACV458754:ACV459252 AMR458754:AMR459252 AWN458754:AWN459252 BGJ458754:BGJ459252 BQF458754:BQF459252 CAB458754:CAB459252 CJX458754:CJX459252 CTT458754:CTT459252 DDP458754:DDP459252 DNL458754:DNL459252 DXH458754:DXH459252 EHD458754:EHD459252 EQZ458754:EQZ459252 FAV458754:FAV459252 FKR458754:FKR459252 FUN458754:FUN459252 GEJ458754:GEJ459252 GOF458754:GOF459252 GYB458754:GYB459252 HHX458754:HHX459252 HRT458754:HRT459252 IBP458754:IBP459252 ILL458754:ILL459252 IVH458754:IVH459252 JFD458754:JFD459252 JOZ458754:JOZ459252 JYV458754:JYV459252 KIR458754:KIR459252 KSN458754:KSN459252 LCJ458754:LCJ459252 LMF458754:LMF459252 LWB458754:LWB459252 MFX458754:MFX459252 MPT458754:MPT459252 MZP458754:MZP459252 NJL458754:NJL459252 NTH458754:NTH459252 ODD458754:ODD459252 OMZ458754:OMZ459252 OWV458754:OWV459252 PGR458754:PGR459252 PQN458754:PQN459252 QAJ458754:QAJ459252 QKF458754:QKF459252 QUB458754:QUB459252 RDX458754:RDX459252 RNT458754:RNT459252 RXP458754:RXP459252 SHL458754:SHL459252 SRH458754:SRH459252 TBD458754:TBD459252 TKZ458754:TKZ459252 TUV458754:TUV459252 UER458754:UER459252 UON458754:UON459252 UYJ458754:UYJ459252 VIF458754:VIF459252 VSB458754:VSB459252 WBX458754:WBX459252 WLT458754:WLT459252 WVP458754:WVP459252 H524290:H524788 JD524290:JD524788 SZ524290:SZ524788 ACV524290:ACV524788 AMR524290:AMR524788 AWN524290:AWN524788 BGJ524290:BGJ524788 BQF524290:BQF524788 CAB524290:CAB524788 CJX524290:CJX524788 CTT524290:CTT524788 DDP524290:DDP524788 DNL524290:DNL524788 DXH524290:DXH524788 EHD524290:EHD524788 EQZ524290:EQZ524788 FAV524290:FAV524788 FKR524290:FKR524788 FUN524290:FUN524788 GEJ524290:GEJ524788 GOF524290:GOF524788 GYB524290:GYB524788 HHX524290:HHX524788 HRT524290:HRT524788 IBP524290:IBP524788 ILL524290:ILL524788 IVH524290:IVH524788 JFD524290:JFD524788 JOZ524290:JOZ524788 JYV524290:JYV524788 KIR524290:KIR524788 KSN524290:KSN524788 LCJ524290:LCJ524788 LMF524290:LMF524788 LWB524290:LWB524788 MFX524290:MFX524788 MPT524290:MPT524788 MZP524290:MZP524788 NJL524290:NJL524788 NTH524290:NTH524788 ODD524290:ODD524788 OMZ524290:OMZ524788 OWV524290:OWV524788 PGR524290:PGR524788 PQN524290:PQN524788 QAJ524290:QAJ524788 QKF524290:QKF524788 QUB524290:QUB524788 RDX524290:RDX524788 RNT524290:RNT524788 RXP524290:RXP524788 SHL524290:SHL524788 SRH524290:SRH524788 TBD524290:TBD524788 TKZ524290:TKZ524788 TUV524290:TUV524788 UER524290:UER524788 UON524290:UON524788 UYJ524290:UYJ524788 VIF524290:VIF524788 VSB524290:VSB524788 WBX524290:WBX524788 WLT524290:WLT524788 WVP524290:WVP524788 H589826:H590324 JD589826:JD590324 SZ589826:SZ590324 ACV589826:ACV590324 AMR589826:AMR590324 AWN589826:AWN590324 BGJ589826:BGJ590324 BQF589826:BQF590324 CAB589826:CAB590324 CJX589826:CJX590324 CTT589826:CTT590324 DDP589826:DDP590324 DNL589826:DNL590324 DXH589826:DXH590324 EHD589826:EHD590324 EQZ589826:EQZ590324 FAV589826:FAV590324 FKR589826:FKR590324 FUN589826:FUN590324 GEJ589826:GEJ590324 GOF589826:GOF590324 GYB589826:GYB590324 HHX589826:HHX590324 HRT589826:HRT590324 IBP589826:IBP590324 ILL589826:ILL590324 IVH589826:IVH590324 JFD589826:JFD590324 JOZ589826:JOZ590324 JYV589826:JYV590324 KIR589826:KIR590324 KSN589826:KSN590324 LCJ589826:LCJ590324 LMF589826:LMF590324 LWB589826:LWB590324 MFX589826:MFX590324 MPT589826:MPT590324 MZP589826:MZP590324 NJL589826:NJL590324 NTH589826:NTH590324 ODD589826:ODD590324 OMZ589826:OMZ590324 OWV589826:OWV590324 PGR589826:PGR590324 PQN589826:PQN590324 QAJ589826:QAJ590324 QKF589826:QKF590324 QUB589826:QUB590324 RDX589826:RDX590324 RNT589826:RNT590324 RXP589826:RXP590324 SHL589826:SHL590324 SRH589826:SRH590324 TBD589826:TBD590324 TKZ589826:TKZ590324 TUV589826:TUV590324 UER589826:UER590324 UON589826:UON590324 UYJ589826:UYJ590324 VIF589826:VIF590324 VSB589826:VSB590324 WBX589826:WBX590324 WLT589826:WLT590324 WVP589826:WVP590324 H655362:H655860 JD655362:JD655860 SZ655362:SZ655860 ACV655362:ACV655860 AMR655362:AMR655860 AWN655362:AWN655860 BGJ655362:BGJ655860 BQF655362:BQF655860 CAB655362:CAB655860 CJX655362:CJX655860 CTT655362:CTT655860 DDP655362:DDP655860 DNL655362:DNL655860 DXH655362:DXH655860 EHD655362:EHD655860 EQZ655362:EQZ655860 FAV655362:FAV655860 FKR655362:FKR655860 FUN655362:FUN655860 GEJ655362:GEJ655860 GOF655362:GOF655860 GYB655362:GYB655860 HHX655362:HHX655860 HRT655362:HRT655860 IBP655362:IBP655860 ILL655362:ILL655860 IVH655362:IVH655860 JFD655362:JFD655860 JOZ655362:JOZ655860 JYV655362:JYV655860 KIR655362:KIR655860 KSN655362:KSN655860 LCJ655362:LCJ655860 LMF655362:LMF655860 LWB655362:LWB655860 MFX655362:MFX655860 MPT655362:MPT655860 MZP655362:MZP655860 NJL655362:NJL655860 NTH655362:NTH655860 ODD655362:ODD655860 OMZ655362:OMZ655860 OWV655362:OWV655860 PGR655362:PGR655860 PQN655362:PQN655860 QAJ655362:QAJ655860 QKF655362:QKF655860 QUB655362:QUB655860 RDX655362:RDX655860 RNT655362:RNT655860 RXP655362:RXP655860 SHL655362:SHL655860 SRH655362:SRH655860 TBD655362:TBD655860 TKZ655362:TKZ655860 TUV655362:TUV655860 UER655362:UER655860 UON655362:UON655860 UYJ655362:UYJ655860 VIF655362:VIF655860 VSB655362:VSB655860 WBX655362:WBX655860 WLT655362:WLT655860 WVP655362:WVP655860 H720898:H721396 JD720898:JD721396 SZ720898:SZ721396 ACV720898:ACV721396 AMR720898:AMR721396 AWN720898:AWN721396 BGJ720898:BGJ721396 BQF720898:BQF721396 CAB720898:CAB721396 CJX720898:CJX721396 CTT720898:CTT721396 DDP720898:DDP721396 DNL720898:DNL721396 DXH720898:DXH721396 EHD720898:EHD721396 EQZ720898:EQZ721396 FAV720898:FAV721396 FKR720898:FKR721396 FUN720898:FUN721396 GEJ720898:GEJ721396 GOF720898:GOF721396 GYB720898:GYB721396 HHX720898:HHX721396 HRT720898:HRT721396 IBP720898:IBP721396 ILL720898:ILL721396 IVH720898:IVH721396 JFD720898:JFD721396 JOZ720898:JOZ721396 JYV720898:JYV721396 KIR720898:KIR721396 KSN720898:KSN721396 LCJ720898:LCJ721396 LMF720898:LMF721396 LWB720898:LWB721396 MFX720898:MFX721396 MPT720898:MPT721396 MZP720898:MZP721396 NJL720898:NJL721396 NTH720898:NTH721396 ODD720898:ODD721396 OMZ720898:OMZ721396 OWV720898:OWV721396 PGR720898:PGR721396 PQN720898:PQN721396 QAJ720898:QAJ721396 QKF720898:QKF721396 QUB720898:QUB721396 RDX720898:RDX721396 RNT720898:RNT721396 RXP720898:RXP721396 SHL720898:SHL721396 SRH720898:SRH721396 TBD720898:TBD721396 TKZ720898:TKZ721396 TUV720898:TUV721396 UER720898:UER721396 UON720898:UON721396 UYJ720898:UYJ721396 VIF720898:VIF721396 VSB720898:VSB721396 WBX720898:WBX721396 WLT720898:WLT721396 WVP720898:WVP721396 H786434:H786932 JD786434:JD786932 SZ786434:SZ786932 ACV786434:ACV786932 AMR786434:AMR786932 AWN786434:AWN786932 BGJ786434:BGJ786932 BQF786434:BQF786932 CAB786434:CAB786932 CJX786434:CJX786932 CTT786434:CTT786932 DDP786434:DDP786932 DNL786434:DNL786932 DXH786434:DXH786932 EHD786434:EHD786932 EQZ786434:EQZ786932 FAV786434:FAV786932 FKR786434:FKR786932 FUN786434:FUN786932 GEJ786434:GEJ786932 GOF786434:GOF786932 GYB786434:GYB786932 HHX786434:HHX786932 HRT786434:HRT786932 IBP786434:IBP786932 ILL786434:ILL786932 IVH786434:IVH786932 JFD786434:JFD786932 JOZ786434:JOZ786932 JYV786434:JYV786932 KIR786434:KIR786932 KSN786434:KSN786932 LCJ786434:LCJ786932 LMF786434:LMF786932 LWB786434:LWB786932 MFX786434:MFX786932 MPT786434:MPT786932 MZP786434:MZP786932 NJL786434:NJL786932 NTH786434:NTH786932 ODD786434:ODD786932 OMZ786434:OMZ786932 OWV786434:OWV786932 PGR786434:PGR786932 PQN786434:PQN786932 QAJ786434:QAJ786932 QKF786434:QKF786932 QUB786434:QUB786932 RDX786434:RDX786932 RNT786434:RNT786932 RXP786434:RXP786932 SHL786434:SHL786932 SRH786434:SRH786932 TBD786434:TBD786932 TKZ786434:TKZ786932 TUV786434:TUV786932 UER786434:UER786932 UON786434:UON786932 UYJ786434:UYJ786932 VIF786434:VIF786932 VSB786434:VSB786932 WBX786434:WBX786932 WLT786434:WLT786932 WVP786434:WVP786932 H851970:H852468 JD851970:JD852468 SZ851970:SZ852468 ACV851970:ACV852468 AMR851970:AMR852468 AWN851970:AWN852468 BGJ851970:BGJ852468 BQF851970:BQF852468 CAB851970:CAB852468 CJX851970:CJX852468 CTT851970:CTT852468 DDP851970:DDP852468 DNL851970:DNL852468 DXH851970:DXH852468 EHD851970:EHD852468 EQZ851970:EQZ852468 FAV851970:FAV852468 FKR851970:FKR852468 FUN851970:FUN852468 GEJ851970:GEJ852468 GOF851970:GOF852468 GYB851970:GYB852468 HHX851970:HHX852468 HRT851970:HRT852468 IBP851970:IBP852468 ILL851970:ILL852468 IVH851970:IVH852468 JFD851970:JFD852468 JOZ851970:JOZ852468 JYV851970:JYV852468 KIR851970:KIR852468 KSN851970:KSN852468 LCJ851970:LCJ852468 LMF851970:LMF852468 LWB851970:LWB852468 MFX851970:MFX852468 MPT851970:MPT852468 MZP851970:MZP852468 NJL851970:NJL852468 NTH851970:NTH852468 ODD851970:ODD852468 OMZ851970:OMZ852468 OWV851970:OWV852468 PGR851970:PGR852468 PQN851970:PQN852468 QAJ851970:QAJ852468 QKF851970:QKF852468 QUB851970:QUB852468 RDX851970:RDX852468 RNT851970:RNT852468 RXP851970:RXP852468 SHL851970:SHL852468 SRH851970:SRH852468 TBD851970:TBD852468 TKZ851970:TKZ852468 TUV851970:TUV852468 UER851970:UER852468 UON851970:UON852468 UYJ851970:UYJ852468 VIF851970:VIF852468 VSB851970:VSB852468 WBX851970:WBX852468 WLT851970:WLT852468 WVP851970:WVP852468 H917506:H918004 JD917506:JD918004 SZ917506:SZ918004 ACV917506:ACV918004 AMR917506:AMR918004 AWN917506:AWN918004 BGJ917506:BGJ918004 BQF917506:BQF918004 CAB917506:CAB918004 CJX917506:CJX918004 CTT917506:CTT918004 DDP917506:DDP918004 DNL917506:DNL918004 DXH917506:DXH918004 EHD917506:EHD918004 EQZ917506:EQZ918004 FAV917506:FAV918004 FKR917506:FKR918004 FUN917506:FUN918004 GEJ917506:GEJ918004 GOF917506:GOF918004 GYB917506:GYB918004 HHX917506:HHX918004 HRT917506:HRT918004 IBP917506:IBP918004 ILL917506:ILL918004 IVH917506:IVH918004 JFD917506:JFD918004 JOZ917506:JOZ918004 JYV917506:JYV918004 KIR917506:KIR918004 KSN917506:KSN918004 LCJ917506:LCJ918004 LMF917506:LMF918004 LWB917506:LWB918004 MFX917506:MFX918004 MPT917506:MPT918004 MZP917506:MZP918004 NJL917506:NJL918004 NTH917506:NTH918004 ODD917506:ODD918004 OMZ917506:OMZ918004 OWV917506:OWV918004 PGR917506:PGR918004 PQN917506:PQN918004 QAJ917506:QAJ918004 QKF917506:QKF918004 QUB917506:QUB918004 RDX917506:RDX918004 RNT917506:RNT918004 RXP917506:RXP918004 SHL917506:SHL918004 SRH917506:SRH918004 TBD917506:TBD918004 TKZ917506:TKZ918004 TUV917506:TUV918004 UER917506:UER918004 UON917506:UON918004 UYJ917506:UYJ918004 VIF917506:VIF918004 VSB917506:VSB918004 WBX917506:WBX918004 WLT917506:WLT918004 WVP917506:WVP918004 H983042:H983540 JD983042:JD983540 SZ983042:SZ983540 ACV983042:ACV983540 AMR983042:AMR983540 AWN983042:AWN983540 BGJ983042:BGJ983540 BQF983042:BQF983540 CAB983042:CAB983540 CJX983042:CJX983540 CTT983042:CTT983540 DDP983042:DDP983540 DNL983042:DNL983540 DXH983042:DXH983540 EHD983042:EHD983540 EQZ983042:EQZ983540 FAV983042:FAV983540 FKR983042:FKR983540 FUN983042:FUN983540 GEJ983042:GEJ983540 GOF983042:GOF983540 GYB983042:GYB983540 HHX983042:HHX983540 HRT983042:HRT983540 IBP983042:IBP983540 ILL983042:ILL983540 IVH983042:IVH983540 JFD983042:JFD983540 JOZ983042:JOZ983540 JYV983042:JYV983540 KIR983042:KIR983540 KSN983042:KSN983540 LCJ983042:LCJ983540 LMF983042:LMF983540 LWB983042:LWB983540 MFX983042:MFX983540 MPT983042:MPT983540 MZP983042:MZP983540 NJL983042:NJL983540 NTH983042:NTH983540 ODD983042:ODD983540 OMZ983042:OMZ983540 OWV983042:OWV983540 PGR983042:PGR983540 PQN983042:PQN983540 QAJ983042:QAJ983540 QKF983042:QKF983540 QUB983042:QUB983540 RDX983042:RDX983540 RNT983042:RNT983540 RXP983042:RXP983540 SHL983042:SHL983540 SRH983042:SRH983540 TBD983042:TBD983540 TKZ983042:TKZ983540 TUV983042:TUV983540 UER983042:UER983540 UON983042:UON983540 UYJ983042:UYJ983540 VIF983042:VIF983540 VSB983042:VSB983540 WBX983042:WBX983540 WLT983042:WLT983540 H2:H500">
      <formula1>$AL$2:$AL$8</formula1>
    </dataValidation>
    <dataValidation type="list" allowBlank="1" showInputMessage="1" showErrorMessage="1" sqref="WWG983042:WWI983540 JU2:JW500 TQ2:TS500 ADM2:ADO500 ANI2:ANK500 AXE2:AXG500 BHA2:BHC500 BQW2:BQY500 CAS2:CAU500 CKO2:CKQ500 CUK2:CUM500 DEG2:DEI500 DOC2:DOE500 DXY2:DYA500 EHU2:EHW500 ERQ2:ERS500 FBM2:FBO500 FLI2:FLK500 FVE2:FVG500 GFA2:GFC500 GOW2:GOY500 GYS2:GYU500 HIO2:HIQ500 HSK2:HSM500 ICG2:ICI500 IMC2:IME500 IVY2:IWA500 JFU2:JFW500 JPQ2:JPS500 JZM2:JZO500 KJI2:KJK500 KTE2:KTG500 LDA2:LDC500 LMW2:LMY500 LWS2:LWU500 MGO2:MGQ500 MQK2:MQM500 NAG2:NAI500 NKC2:NKE500 NTY2:NUA500 ODU2:ODW500 ONQ2:ONS500 OXM2:OXO500 PHI2:PHK500 PRE2:PRG500 QBA2:QBC500 QKW2:QKY500 QUS2:QUU500 REO2:REQ500 ROK2:ROM500 RYG2:RYI500 SIC2:SIE500 SRY2:SSA500 TBU2:TBW500 TLQ2:TLS500 TVM2:TVO500 UFI2:UFK500 UPE2:UPG500 UZA2:UZC500 VIW2:VIY500 VSS2:VSU500 WCO2:WCQ500 WMK2:WMM500 WWG2:WWI500 Y65538:AA66036 JU65538:JW66036 TQ65538:TS66036 ADM65538:ADO66036 ANI65538:ANK66036 AXE65538:AXG66036 BHA65538:BHC66036 BQW65538:BQY66036 CAS65538:CAU66036 CKO65538:CKQ66036 CUK65538:CUM66036 DEG65538:DEI66036 DOC65538:DOE66036 DXY65538:DYA66036 EHU65538:EHW66036 ERQ65538:ERS66036 FBM65538:FBO66036 FLI65538:FLK66036 FVE65538:FVG66036 GFA65538:GFC66036 GOW65538:GOY66036 GYS65538:GYU66036 HIO65538:HIQ66036 HSK65538:HSM66036 ICG65538:ICI66036 IMC65538:IME66036 IVY65538:IWA66036 JFU65538:JFW66036 JPQ65538:JPS66036 JZM65538:JZO66036 KJI65538:KJK66036 KTE65538:KTG66036 LDA65538:LDC66036 LMW65538:LMY66036 LWS65538:LWU66036 MGO65538:MGQ66036 MQK65538:MQM66036 NAG65538:NAI66036 NKC65538:NKE66036 NTY65538:NUA66036 ODU65538:ODW66036 ONQ65538:ONS66036 OXM65538:OXO66036 PHI65538:PHK66036 PRE65538:PRG66036 QBA65538:QBC66036 QKW65538:QKY66036 QUS65538:QUU66036 REO65538:REQ66036 ROK65538:ROM66036 RYG65538:RYI66036 SIC65538:SIE66036 SRY65538:SSA66036 TBU65538:TBW66036 TLQ65538:TLS66036 TVM65538:TVO66036 UFI65538:UFK66036 UPE65538:UPG66036 UZA65538:UZC66036 VIW65538:VIY66036 VSS65538:VSU66036 WCO65538:WCQ66036 WMK65538:WMM66036 WWG65538:WWI66036 Y131074:AA131572 JU131074:JW131572 TQ131074:TS131572 ADM131074:ADO131572 ANI131074:ANK131572 AXE131074:AXG131572 BHA131074:BHC131572 BQW131074:BQY131572 CAS131074:CAU131572 CKO131074:CKQ131572 CUK131074:CUM131572 DEG131074:DEI131572 DOC131074:DOE131572 DXY131074:DYA131572 EHU131074:EHW131572 ERQ131074:ERS131572 FBM131074:FBO131572 FLI131074:FLK131572 FVE131074:FVG131572 GFA131074:GFC131572 GOW131074:GOY131572 GYS131074:GYU131572 HIO131074:HIQ131572 HSK131074:HSM131572 ICG131074:ICI131572 IMC131074:IME131572 IVY131074:IWA131572 JFU131074:JFW131572 JPQ131074:JPS131572 JZM131074:JZO131572 KJI131074:KJK131572 KTE131074:KTG131572 LDA131074:LDC131572 LMW131074:LMY131572 LWS131074:LWU131572 MGO131074:MGQ131572 MQK131074:MQM131572 NAG131074:NAI131572 NKC131074:NKE131572 NTY131074:NUA131572 ODU131074:ODW131572 ONQ131074:ONS131572 OXM131074:OXO131572 PHI131074:PHK131572 PRE131074:PRG131572 QBA131074:QBC131572 QKW131074:QKY131572 QUS131074:QUU131572 REO131074:REQ131572 ROK131074:ROM131572 RYG131074:RYI131572 SIC131074:SIE131572 SRY131074:SSA131572 TBU131074:TBW131572 TLQ131074:TLS131572 TVM131074:TVO131572 UFI131074:UFK131572 UPE131074:UPG131572 UZA131074:UZC131572 VIW131074:VIY131572 VSS131074:VSU131572 WCO131074:WCQ131572 WMK131074:WMM131572 WWG131074:WWI131572 Y196610:AA197108 JU196610:JW197108 TQ196610:TS197108 ADM196610:ADO197108 ANI196610:ANK197108 AXE196610:AXG197108 BHA196610:BHC197108 BQW196610:BQY197108 CAS196610:CAU197108 CKO196610:CKQ197108 CUK196610:CUM197108 DEG196610:DEI197108 DOC196610:DOE197108 DXY196610:DYA197108 EHU196610:EHW197108 ERQ196610:ERS197108 FBM196610:FBO197108 FLI196610:FLK197108 FVE196610:FVG197108 GFA196610:GFC197108 GOW196610:GOY197108 GYS196610:GYU197108 HIO196610:HIQ197108 HSK196610:HSM197108 ICG196610:ICI197108 IMC196610:IME197108 IVY196610:IWA197108 JFU196610:JFW197108 JPQ196610:JPS197108 JZM196610:JZO197108 KJI196610:KJK197108 KTE196610:KTG197108 LDA196610:LDC197108 LMW196610:LMY197108 LWS196610:LWU197108 MGO196610:MGQ197108 MQK196610:MQM197108 NAG196610:NAI197108 NKC196610:NKE197108 NTY196610:NUA197108 ODU196610:ODW197108 ONQ196610:ONS197108 OXM196610:OXO197108 PHI196610:PHK197108 PRE196610:PRG197108 QBA196610:QBC197108 QKW196610:QKY197108 QUS196610:QUU197108 REO196610:REQ197108 ROK196610:ROM197108 RYG196610:RYI197108 SIC196610:SIE197108 SRY196610:SSA197108 TBU196610:TBW197108 TLQ196610:TLS197108 TVM196610:TVO197108 UFI196610:UFK197108 UPE196610:UPG197108 UZA196610:UZC197108 VIW196610:VIY197108 VSS196610:VSU197108 WCO196610:WCQ197108 WMK196610:WMM197108 WWG196610:WWI197108 Y262146:AA262644 JU262146:JW262644 TQ262146:TS262644 ADM262146:ADO262644 ANI262146:ANK262644 AXE262146:AXG262644 BHA262146:BHC262644 BQW262146:BQY262644 CAS262146:CAU262644 CKO262146:CKQ262644 CUK262146:CUM262644 DEG262146:DEI262644 DOC262146:DOE262644 DXY262146:DYA262644 EHU262146:EHW262644 ERQ262146:ERS262644 FBM262146:FBO262644 FLI262146:FLK262644 FVE262146:FVG262644 GFA262146:GFC262644 GOW262146:GOY262644 GYS262146:GYU262644 HIO262146:HIQ262644 HSK262146:HSM262644 ICG262146:ICI262644 IMC262146:IME262644 IVY262146:IWA262644 JFU262146:JFW262644 JPQ262146:JPS262644 JZM262146:JZO262644 KJI262146:KJK262644 KTE262146:KTG262644 LDA262146:LDC262644 LMW262146:LMY262644 LWS262146:LWU262644 MGO262146:MGQ262644 MQK262146:MQM262644 NAG262146:NAI262644 NKC262146:NKE262644 NTY262146:NUA262644 ODU262146:ODW262644 ONQ262146:ONS262644 OXM262146:OXO262644 PHI262146:PHK262644 PRE262146:PRG262644 QBA262146:QBC262644 QKW262146:QKY262644 QUS262146:QUU262644 REO262146:REQ262644 ROK262146:ROM262644 RYG262146:RYI262644 SIC262146:SIE262644 SRY262146:SSA262644 TBU262146:TBW262644 TLQ262146:TLS262644 TVM262146:TVO262644 UFI262146:UFK262644 UPE262146:UPG262644 UZA262146:UZC262644 VIW262146:VIY262644 VSS262146:VSU262644 WCO262146:WCQ262644 WMK262146:WMM262644 WWG262146:WWI262644 Y327682:AA328180 JU327682:JW328180 TQ327682:TS328180 ADM327682:ADO328180 ANI327682:ANK328180 AXE327682:AXG328180 BHA327682:BHC328180 BQW327682:BQY328180 CAS327682:CAU328180 CKO327682:CKQ328180 CUK327682:CUM328180 DEG327682:DEI328180 DOC327682:DOE328180 DXY327682:DYA328180 EHU327682:EHW328180 ERQ327682:ERS328180 FBM327682:FBO328180 FLI327682:FLK328180 FVE327682:FVG328180 GFA327682:GFC328180 GOW327682:GOY328180 GYS327682:GYU328180 HIO327682:HIQ328180 HSK327682:HSM328180 ICG327682:ICI328180 IMC327682:IME328180 IVY327682:IWA328180 JFU327682:JFW328180 JPQ327682:JPS328180 JZM327682:JZO328180 KJI327682:KJK328180 KTE327682:KTG328180 LDA327682:LDC328180 LMW327682:LMY328180 LWS327682:LWU328180 MGO327682:MGQ328180 MQK327682:MQM328180 NAG327682:NAI328180 NKC327682:NKE328180 NTY327682:NUA328180 ODU327682:ODW328180 ONQ327682:ONS328180 OXM327682:OXO328180 PHI327682:PHK328180 PRE327682:PRG328180 QBA327682:QBC328180 QKW327682:QKY328180 QUS327682:QUU328180 REO327682:REQ328180 ROK327682:ROM328180 RYG327682:RYI328180 SIC327682:SIE328180 SRY327682:SSA328180 TBU327682:TBW328180 TLQ327682:TLS328180 TVM327682:TVO328180 UFI327682:UFK328180 UPE327682:UPG328180 UZA327682:UZC328180 VIW327682:VIY328180 VSS327682:VSU328180 WCO327682:WCQ328180 WMK327682:WMM328180 WWG327682:WWI328180 Y393218:AA393716 JU393218:JW393716 TQ393218:TS393716 ADM393218:ADO393716 ANI393218:ANK393716 AXE393218:AXG393716 BHA393218:BHC393716 BQW393218:BQY393716 CAS393218:CAU393716 CKO393218:CKQ393716 CUK393218:CUM393716 DEG393218:DEI393716 DOC393218:DOE393716 DXY393218:DYA393716 EHU393218:EHW393716 ERQ393218:ERS393716 FBM393218:FBO393716 FLI393218:FLK393716 FVE393218:FVG393716 GFA393218:GFC393716 GOW393218:GOY393716 GYS393218:GYU393716 HIO393218:HIQ393716 HSK393218:HSM393716 ICG393218:ICI393716 IMC393218:IME393716 IVY393218:IWA393716 JFU393218:JFW393716 JPQ393218:JPS393716 JZM393218:JZO393716 KJI393218:KJK393716 KTE393218:KTG393716 LDA393218:LDC393716 LMW393218:LMY393716 LWS393218:LWU393716 MGO393218:MGQ393716 MQK393218:MQM393716 NAG393218:NAI393716 NKC393218:NKE393716 NTY393218:NUA393716 ODU393218:ODW393716 ONQ393218:ONS393716 OXM393218:OXO393716 PHI393218:PHK393716 PRE393218:PRG393716 QBA393218:QBC393716 QKW393218:QKY393716 QUS393218:QUU393716 REO393218:REQ393716 ROK393218:ROM393716 RYG393218:RYI393716 SIC393218:SIE393716 SRY393218:SSA393716 TBU393218:TBW393716 TLQ393218:TLS393716 TVM393218:TVO393716 UFI393218:UFK393716 UPE393218:UPG393716 UZA393218:UZC393716 VIW393218:VIY393716 VSS393218:VSU393716 WCO393218:WCQ393716 WMK393218:WMM393716 WWG393218:WWI393716 Y458754:AA459252 JU458754:JW459252 TQ458754:TS459252 ADM458754:ADO459252 ANI458754:ANK459252 AXE458754:AXG459252 BHA458754:BHC459252 BQW458754:BQY459252 CAS458754:CAU459252 CKO458754:CKQ459252 CUK458754:CUM459252 DEG458754:DEI459252 DOC458754:DOE459252 DXY458754:DYA459252 EHU458754:EHW459252 ERQ458754:ERS459252 FBM458754:FBO459252 FLI458754:FLK459252 FVE458754:FVG459252 GFA458754:GFC459252 GOW458754:GOY459252 GYS458754:GYU459252 HIO458754:HIQ459252 HSK458754:HSM459252 ICG458754:ICI459252 IMC458754:IME459252 IVY458754:IWA459252 JFU458754:JFW459252 JPQ458754:JPS459252 JZM458754:JZO459252 KJI458754:KJK459252 KTE458754:KTG459252 LDA458754:LDC459252 LMW458754:LMY459252 LWS458754:LWU459252 MGO458754:MGQ459252 MQK458754:MQM459252 NAG458754:NAI459252 NKC458754:NKE459252 NTY458754:NUA459252 ODU458754:ODW459252 ONQ458754:ONS459252 OXM458754:OXO459252 PHI458754:PHK459252 PRE458754:PRG459252 QBA458754:QBC459252 QKW458754:QKY459252 QUS458754:QUU459252 REO458754:REQ459252 ROK458754:ROM459252 RYG458754:RYI459252 SIC458754:SIE459252 SRY458754:SSA459252 TBU458754:TBW459252 TLQ458754:TLS459252 TVM458754:TVO459252 UFI458754:UFK459252 UPE458754:UPG459252 UZA458754:UZC459252 VIW458754:VIY459252 VSS458754:VSU459252 WCO458754:WCQ459252 WMK458754:WMM459252 WWG458754:WWI459252 Y524290:AA524788 JU524290:JW524788 TQ524290:TS524788 ADM524290:ADO524788 ANI524290:ANK524788 AXE524290:AXG524788 BHA524290:BHC524788 BQW524290:BQY524788 CAS524290:CAU524788 CKO524290:CKQ524788 CUK524290:CUM524788 DEG524290:DEI524788 DOC524290:DOE524788 DXY524290:DYA524788 EHU524290:EHW524788 ERQ524290:ERS524788 FBM524290:FBO524788 FLI524290:FLK524788 FVE524290:FVG524788 GFA524290:GFC524788 GOW524290:GOY524788 GYS524290:GYU524788 HIO524290:HIQ524788 HSK524290:HSM524788 ICG524290:ICI524788 IMC524290:IME524788 IVY524290:IWA524788 JFU524290:JFW524788 JPQ524290:JPS524788 JZM524290:JZO524788 KJI524290:KJK524788 KTE524290:KTG524788 LDA524290:LDC524788 LMW524290:LMY524788 LWS524290:LWU524788 MGO524290:MGQ524788 MQK524290:MQM524788 NAG524290:NAI524788 NKC524290:NKE524788 NTY524290:NUA524788 ODU524290:ODW524788 ONQ524290:ONS524788 OXM524290:OXO524788 PHI524290:PHK524788 PRE524290:PRG524788 QBA524290:QBC524788 QKW524290:QKY524788 QUS524290:QUU524788 REO524290:REQ524788 ROK524290:ROM524788 RYG524290:RYI524788 SIC524290:SIE524788 SRY524290:SSA524788 TBU524290:TBW524788 TLQ524290:TLS524788 TVM524290:TVO524788 UFI524290:UFK524788 UPE524290:UPG524788 UZA524290:UZC524788 VIW524290:VIY524788 VSS524290:VSU524788 WCO524290:WCQ524788 WMK524290:WMM524788 WWG524290:WWI524788 Y589826:AA590324 JU589826:JW590324 TQ589826:TS590324 ADM589826:ADO590324 ANI589826:ANK590324 AXE589826:AXG590324 BHA589826:BHC590324 BQW589826:BQY590324 CAS589826:CAU590324 CKO589826:CKQ590324 CUK589826:CUM590324 DEG589826:DEI590324 DOC589826:DOE590324 DXY589826:DYA590324 EHU589826:EHW590324 ERQ589826:ERS590324 FBM589826:FBO590324 FLI589826:FLK590324 FVE589826:FVG590324 GFA589826:GFC590324 GOW589826:GOY590324 GYS589826:GYU590324 HIO589826:HIQ590324 HSK589826:HSM590324 ICG589826:ICI590324 IMC589826:IME590324 IVY589826:IWA590324 JFU589826:JFW590324 JPQ589826:JPS590324 JZM589826:JZO590324 KJI589826:KJK590324 KTE589826:KTG590324 LDA589826:LDC590324 LMW589826:LMY590324 LWS589826:LWU590324 MGO589826:MGQ590324 MQK589826:MQM590324 NAG589826:NAI590324 NKC589826:NKE590324 NTY589826:NUA590324 ODU589826:ODW590324 ONQ589826:ONS590324 OXM589826:OXO590324 PHI589826:PHK590324 PRE589826:PRG590324 QBA589826:QBC590324 QKW589826:QKY590324 QUS589826:QUU590324 REO589826:REQ590324 ROK589826:ROM590324 RYG589826:RYI590324 SIC589826:SIE590324 SRY589826:SSA590324 TBU589826:TBW590324 TLQ589826:TLS590324 TVM589826:TVO590324 UFI589826:UFK590324 UPE589826:UPG590324 UZA589826:UZC590324 VIW589826:VIY590324 VSS589826:VSU590324 WCO589826:WCQ590324 WMK589826:WMM590324 WWG589826:WWI590324 Y655362:AA655860 JU655362:JW655860 TQ655362:TS655860 ADM655362:ADO655860 ANI655362:ANK655860 AXE655362:AXG655860 BHA655362:BHC655860 BQW655362:BQY655860 CAS655362:CAU655860 CKO655362:CKQ655860 CUK655362:CUM655860 DEG655362:DEI655860 DOC655362:DOE655860 DXY655362:DYA655860 EHU655362:EHW655860 ERQ655362:ERS655860 FBM655362:FBO655860 FLI655362:FLK655860 FVE655362:FVG655860 GFA655362:GFC655860 GOW655362:GOY655860 GYS655362:GYU655860 HIO655362:HIQ655860 HSK655362:HSM655860 ICG655362:ICI655860 IMC655362:IME655860 IVY655362:IWA655860 JFU655362:JFW655860 JPQ655362:JPS655860 JZM655362:JZO655860 KJI655362:KJK655860 KTE655362:KTG655860 LDA655362:LDC655860 LMW655362:LMY655860 LWS655362:LWU655860 MGO655362:MGQ655860 MQK655362:MQM655860 NAG655362:NAI655860 NKC655362:NKE655860 NTY655362:NUA655860 ODU655362:ODW655860 ONQ655362:ONS655860 OXM655362:OXO655860 PHI655362:PHK655860 PRE655362:PRG655860 QBA655362:QBC655860 QKW655362:QKY655860 QUS655362:QUU655860 REO655362:REQ655860 ROK655362:ROM655860 RYG655362:RYI655860 SIC655362:SIE655860 SRY655362:SSA655860 TBU655362:TBW655860 TLQ655362:TLS655860 TVM655362:TVO655860 UFI655362:UFK655860 UPE655362:UPG655860 UZA655362:UZC655860 VIW655362:VIY655860 VSS655362:VSU655860 WCO655362:WCQ655860 WMK655362:WMM655860 WWG655362:WWI655860 Y720898:AA721396 JU720898:JW721396 TQ720898:TS721396 ADM720898:ADO721396 ANI720898:ANK721396 AXE720898:AXG721396 BHA720898:BHC721396 BQW720898:BQY721396 CAS720898:CAU721396 CKO720898:CKQ721396 CUK720898:CUM721396 DEG720898:DEI721396 DOC720898:DOE721396 DXY720898:DYA721396 EHU720898:EHW721396 ERQ720898:ERS721396 FBM720898:FBO721396 FLI720898:FLK721396 FVE720898:FVG721396 GFA720898:GFC721396 GOW720898:GOY721396 GYS720898:GYU721396 HIO720898:HIQ721396 HSK720898:HSM721396 ICG720898:ICI721396 IMC720898:IME721396 IVY720898:IWA721396 JFU720898:JFW721396 JPQ720898:JPS721396 JZM720898:JZO721396 KJI720898:KJK721396 KTE720898:KTG721396 LDA720898:LDC721396 LMW720898:LMY721396 LWS720898:LWU721396 MGO720898:MGQ721396 MQK720898:MQM721396 NAG720898:NAI721396 NKC720898:NKE721396 NTY720898:NUA721396 ODU720898:ODW721396 ONQ720898:ONS721396 OXM720898:OXO721396 PHI720898:PHK721396 PRE720898:PRG721396 QBA720898:QBC721396 QKW720898:QKY721396 QUS720898:QUU721396 REO720898:REQ721396 ROK720898:ROM721396 RYG720898:RYI721396 SIC720898:SIE721396 SRY720898:SSA721396 TBU720898:TBW721396 TLQ720898:TLS721396 TVM720898:TVO721396 UFI720898:UFK721396 UPE720898:UPG721396 UZA720898:UZC721396 VIW720898:VIY721396 VSS720898:VSU721396 WCO720898:WCQ721396 WMK720898:WMM721396 WWG720898:WWI721396 Y786434:AA786932 JU786434:JW786932 TQ786434:TS786932 ADM786434:ADO786932 ANI786434:ANK786932 AXE786434:AXG786932 BHA786434:BHC786932 BQW786434:BQY786932 CAS786434:CAU786932 CKO786434:CKQ786932 CUK786434:CUM786932 DEG786434:DEI786932 DOC786434:DOE786932 DXY786434:DYA786932 EHU786434:EHW786932 ERQ786434:ERS786932 FBM786434:FBO786932 FLI786434:FLK786932 FVE786434:FVG786932 GFA786434:GFC786932 GOW786434:GOY786932 GYS786434:GYU786932 HIO786434:HIQ786932 HSK786434:HSM786932 ICG786434:ICI786932 IMC786434:IME786932 IVY786434:IWA786932 JFU786434:JFW786932 JPQ786434:JPS786932 JZM786434:JZO786932 KJI786434:KJK786932 KTE786434:KTG786932 LDA786434:LDC786932 LMW786434:LMY786932 LWS786434:LWU786932 MGO786434:MGQ786932 MQK786434:MQM786932 NAG786434:NAI786932 NKC786434:NKE786932 NTY786434:NUA786932 ODU786434:ODW786932 ONQ786434:ONS786932 OXM786434:OXO786932 PHI786434:PHK786932 PRE786434:PRG786932 QBA786434:QBC786932 QKW786434:QKY786932 QUS786434:QUU786932 REO786434:REQ786932 ROK786434:ROM786932 RYG786434:RYI786932 SIC786434:SIE786932 SRY786434:SSA786932 TBU786434:TBW786932 TLQ786434:TLS786932 TVM786434:TVO786932 UFI786434:UFK786932 UPE786434:UPG786932 UZA786434:UZC786932 VIW786434:VIY786932 VSS786434:VSU786932 WCO786434:WCQ786932 WMK786434:WMM786932 WWG786434:WWI786932 Y851970:AA852468 JU851970:JW852468 TQ851970:TS852468 ADM851970:ADO852468 ANI851970:ANK852468 AXE851970:AXG852468 BHA851970:BHC852468 BQW851970:BQY852468 CAS851970:CAU852468 CKO851970:CKQ852468 CUK851970:CUM852468 DEG851970:DEI852468 DOC851970:DOE852468 DXY851970:DYA852468 EHU851970:EHW852468 ERQ851970:ERS852468 FBM851970:FBO852468 FLI851970:FLK852468 FVE851970:FVG852468 GFA851970:GFC852468 GOW851970:GOY852468 GYS851970:GYU852468 HIO851970:HIQ852468 HSK851970:HSM852468 ICG851970:ICI852468 IMC851970:IME852468 IVY851970:IWA852468 JFU851970:JFW852468 JPQ851970:JPS852468 JZM851970:JZO852468 KJI851970:KJK852468 KTE851970:KTG852468 LDA851970:LDC852468 LMW851970:LMY852468 LWS851970:LWU852468 MGO851970:MGQ852468 MQK851970:MQM852468 NAG851970:NAI852468 NKC851970:NKE852468 NTY851970:NUA852468 ODU851970:ODW852468 ONQ851970:ONS852468 OXM851970:OXO852468 PHI851970:PHK852468 PRE851970:PRG852468 QBA851970:QBC852468 QKW851970:QKY852468 QUS851970:QUU852468 REO851970:REQ852468 ROK851970:ROM852468 RYG851970:RYI852468 SIC851970:SIE852468 SRY851970:SSA852468 TBU851970:TBW852468 TLQ851970:TLS852468 TVM851970:TVO852468 UFI851970:UFK852468 UPE851970:UPG852468 UZA851970:UZC852468 VIW851970:VIY852468 VSS851970:VSU852468 WCO851970:WCQ852468 WMK851970:WMM852468 WWG851970:WWI852468 Y917506:AA918004 JU917506:JW918004 TQ917506:TS918004 ADM917506:ADO918004 ANI917506:ANK918004 AXE917506:AXG918004 BHA917506:BHC918004 BQW917506:BQY918004 CAS917506:CAU918004 CKO917506:CKQ918004 CUK917506:CUM918004 DEG917506:DEI918004 DOC917506:DOE918004 DXY917506:DYA918004 EHU917506:EHW918004 ERQ917506:ERS918004 FBM917506:FBO918004 FLI917506:FLK918004 FVE917506:FVG918004 GFA917506:GFC918004 GOW917506:GOY918004 GYS917506:GYU918004 HIO917506:HIQ918004 HSK917506:HSM918004 ICG917506:ICI918004 IMC917506:IME918004 IVY917506:IWA918004 JFU917506:JFW918004 JPQ917506:JPS918004 JZM917506:JZO918004 KJI917506:KJK918004 KTE917506:KTG918004 LDA917506:LDC918004 LMW917506:LMY918004 LWS917506:LWU918004 MGO917506:MGQ918004 MQK917506:MQM918004 NAG917506:NAI918004 NKC917506:NKE918004 NTY917506:NUA918004 ODU917506:ODW918004 ONQ917506:ONS918004 OXM917506:OXO918004 PHI917506:PHK918004 PRE917506:PRG918004 QBA917506:QBC918004 QKW917506:QKY918004 QUS917506:QUU918004 REO917506:REQ918004 ROK917506:ROM918004 RYG917506:RYI918004 SIC917506:SIE918004 SRY917506:SSA918004 TBU917506:TBW918004 TLQ917506:TLS918004 TVM917506:TVO918004 UFI917506:UFK918004 UPE917506:UPG918004 UZA917506:UZC918004 VIW917506:VIY918004 VSS917506:VSU918004 WCO917506:WCQ918004 WMK917506:WMM918004 WWG917506:WWI918004 Y983042:AA983540 JU983042:JW983540 TQ983042:TS983540 ADM983042:ADO983540 ANI983042:ANK983540 AXE983042:AXG983540 BHA983042:BHC983540 BQW983042:BQY983540 CAS983042:CAU983540 CKO983042:CKQ983540 CUK983042:CUM983540 DEG983042:DEI983540 DOC983042:DOE983540 DXY983042:DYA983540 EHU983042:EHW983540 ERQ983042:ERS983540 FBM983042:FBO983540 FLI983042:FLK983540 FVE983042:FVG983540 GFA983042:GFC983540 GOW983042:GOY983540 GYS983042:GYU983540 HIO983042:HIQ983540 HSK983042:HSM983540 ICG983042:ICI983540 IMC983042:IME983540 IVY983042:IWA983540 JFU983042:JFW983540 JPQ983042:JPS983540 JZM983042:JZO983540 KJI983042:KJK983540 KTE983042:KTG983540 LDA983042:LDC983540 LMW983042:LMY983540 LWS983042:LWU983540 MGO983042:MGQ983540 MQK983042:MQM983540 NAG983042:NAI983540 NKC983042:NKE983540 NTY983042:NUA983540 ODU983042:ODW983540 ONQ983042:ONS983540 OXM983042:OXO983540 PHI983042:PHK983540 PRE983042:PRG983540 QBA983042:QBC983540 QKW983042:QKY983540 QUS983042:QUU983540 REO983042:REQ983540 ROK983042:ROM983540 RYG983042:RYI983540 SIC983042:SIE983540 SRY983042:SSA983540 TBU983042:TBW983540 TLQ983042:TLS983540 TVM983042:TVO983540 UFI983042:UFK983540 UPE983042:UPG983540 UZA983042:UZC983540 VIW983042:VIY983540 VSS983042:VSU983540 WCO983042:WCQ983540 WMK983042:WMM983540 Y2:AA500">
      <formula1>$AV$2:$AV$21</formula1>
    </dataValidation>
    <dataValidation type="decimal" allowBlank="1" showInputMessage="1" showErrorMessage="1" error="硬度を正しく入力して下さい。" sqref="WVW983042:WVX98354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O2:P500">
      <formula1>0</formula1>
      <formula2>7</formula2>
    </dataValidation>
    <dataValidation type="list" allowBlank="1" showInputMessage="1" showErrorMessage="1" sqref="WVM983042:WVM1048576 JA2:JA65536 SW2:SW65536 ACS2:ACS65536 AMO2:AMO65536 AWK2:AWK65536 BGG2:BGG65536 BQC2:BQC65536 BZY2:BZY65536 CJU2:CJU65536 CTQ2:CTQ65536 DDM2:DDM65536 DNI2:DNI65536 DXE2:DXE65536 EHA2:EHA65536 EQW2:EQW65536 FAS2:FAS65536 FKO2:FKO65536 FUK2:FUK65536 GEG2:GEG65536 GOC2:GOC65536 GXY2:GXY65536 HHU2:HHU65536 HRQ2:HRQ65536 IBM2:IBM65536 ILI2:ILI65536 IVE2:IVE65536 JFA2:JFA65536 JOW2:JOW65536 JYS2:JYS65536 KIO2:KIO65536 KSK2:KSK65536 LCG2:LCG65536 LMC2:LMC65536 LVY2:LVY65536 MFU2:MFU65536 MPQ2:MPQ65536 MZM2:MZM65536 NJI2:NJI65536 NTE2:NTE65536 ODA2:ODA65536 OMW2:OMW65536 OWS2:OWS65536 PGO2:PGO65536 PQK2:PQK65536 QAG2:QAG65536 QKC2:QKC65536 QTY2:QTY65536 RDU2:RDU65536 RNQ2:RNQ65536 RXM2:RXM65536 SHI2:SHI65536 SRE2:SRE65536 TBA2:TBA65536 TKW2:TKW65536 TUS2:TUS65536 UEO2:UEO65536 UOK2:UOK65536 UYG2:UYG65536 VIC2:VIC65536 VRY2:VRY65536 WBU2:WBU65536 WLQ2:WLQ65536 WVM2:WVM65536 E65538:E131072 JA65538:JA131072 SW65538:SW131072 ACS65538:ACS131072 AMO65538:AMO131072 AWK65538:AWK131072 BGG65538:BGG131072 BQC65538:BQC131072 BZY65538:BZY131072 CJU65538:CJU131072 CTQ65538:CTQ131072 DDM65538:DDM131072 DNI65538:DNI131072 DXE65538:DXE131072 EHA65538:EHA131072 EQW65538:EQW131072 FAS65538:FAS131072 FKO65538:FKO131072 FUK65538:FUK131072 GEG65538:GEG131072 GOC65538:GOC131072 GXY65538:GXY131072 HHU65538:HHU131072 HRQ65538:HRQ131072 IBM65538:IBM131072 ILI65538:ILI131072 IVE65538:IVE131072 JFA65538:JFA131072 JOW65538:JOW131072 JYS65538:JYS131072 KIO65538:KIO131072 KSK65538:KSK131072 LCG65538:LCG131072 LMC65538:LMC131072 LVY65538:LVY131072 MFU65538:MFU131072 MPQ65538:MPQ131072 MZM65538:MZM131072 NJI65538:NJI131072 NTE65538:NTE131072 ODA65538:ODA131072 OMW65538:OMW131072 OWS65538:OWS131072 PGO65538:PGO131072 PQK65538:PQK131072 QAG65538:QAG131072 QKC65538:QKC131072 QTY65538:QTY131072 RDU65538:RDU131072 RNQ65538:RNQ131072 RXM65538:RXM131072 SHI65538:SHI131072 SRE65538:SRE131072 TBA65538:TBA131072 TKW65538:TKW131072 TUS65538:TUS131072 UEO65538:UEO131072 UOK65538:UOK131072 UYG65538:UYG131072 VIC65538:VIC131072 VRY65538:VRY131072 WBU65538:WBU131072 WLQ65538:WLQ131072 WVM65538:WVM131072 E131074:E196608 JA131074:JA196608 SW131074:SW196608 ACS131074:ACS196608 AMO131074:AMO196608 AWK131074:AWK196608 BGG131074:BGG196608 BQC131074:BQC196608 BZY131074:BZY196608 CJU131074:CJU196608 CTQ131074:CTQ196608 DDM131074:DDM196608 DNI131074:DNI196608 DXE131074:DXE196608 EHA131074:EHA196608 EQW131074:EQW196608 FAS131074:FAS196608 FKO131074:FKO196608 FUK131074:FUK196608 GEG131074:GEG196608 GOC131074:GOC196608 GXY131074:GXY196608 HHU131074:HHU196608 HRQ131074:HRQ196608 IBM131074:IBM196608 ILI131074:ILI196608 IVE131074:IVE196608 JFA131074:JFA196608 JOW131074:JOW196608 JYS131074:JYS196608 KIO131074:KIO196608 KSK131074:KSK196608 LCG131074:LCG196608 LMC131074:LMC196608 LVY131074:LVY196608 MFU131074:MFU196608 MPQ131074:MPQ196608 MZM131074:MZM196608 NJI131074:NJI196608 NTE131074:NTE196608 ODA131074:ODA196608 OMW131074:OMW196608 OWS131074:OWS196608 PGO131074:PGO196608 PQK131074:PQK196608 QAG131074:QAG196608 QKC131074:QKC196608 QTY131074:QTY196608 RDU131074:RDU196608 RNQ131074:RNQ196608 RXM131074:RXM196608 SHI131074:SHI196608 SRE131074:SRE196608 TBA131074:TBA196608 TKW131074:TKW196608 TUS131074:TUS196608 UEO131074:UEO196608 UOK131074:UOK196608 UYG131074:UYG196608 VIC131074:VIC196608 VRY131074:VRY196608 WBU131074:WBU196608 WLQ131074:WLQ196608 WVM131074:WVM196608 E196610:E262144 JA196610:JA262144 SW196610:SW262144 ACS196610:ACS262144 AMO196610:AMO262144 AWK196610:AWK262144 BGG196610:BGG262144 BQC196610:BQC262144 BZY196610:BZY262144 CJU196610:CJU262144 CTQ196610:CTQ262144 DDM196610:DDM262144 DNI196610:DNI262144 DXE196610:DXE262144 EHA196610:EHA262144 EQW196610:EQW262144 FAS196610:FAS262144 FKO196610:FKO262144 FUK196610:FUK262144 GEG196610:GEG262144 GOC196610:GOC262144 GXY196610:GXY262144 HHU196610:HHU262144 HRQ196610:HRQ262144 IBM196610:IBM262144 ILI196610:ILI262144 IVE196610:IVE262144 JFA196610:JFA262144 JOW196610:JOW262144 JYS196610:JYS262144 KIO196610:KIO262144 KSK196610:KSK262144 LCG196610:LCG262144 LMC196610:LMC262144 LVY196610:LVY262144 MFU196610:MFU262144 MPQ196610:MPQ262144 MZM196610:MZM262144 NJI196610:NJI262144 NTE196610:NTE262144 ODA196610:ODA262144 OMW196610:OMW262144 OWS196610:OWS262144 PGO196610:PGO262144 PQK196610:PQK262144 QAG196610:QAG262144 QKC196610:QKC262144 QTY196610:QTY262144 RDU196610:RDU262144 RNQ196610:RNQ262144 RXM196610:RXM262144 SHI196610:SHI262144 SRE196610:SRE262144 TBA196610:TBA262144 TKW196610:TKW262144 TUS196610:TUS262144 UEO196610:UEO262144 UOK196610:UOK262144 UYG196610:UYG262144 VIC196610:VIC262144 VRY196610:VRY262144 WBU196610:WBU262144 WLQ196610:WLQ262144 WVM196610:WVM262144 E262146:E327680 JA262146:JA327680 SW262146:SW327680 ACS262146:ACS327680 AMO262146:AMO327680 AWK262146:AWK327680 BGG262146:BGG327680 BQC262146:BQC327680 BZY262146:BZY327680 CJU262146:CJU327680 CTQ262146:CTQ327680 DDM262146:DDM327680 DNI262146:DNI327680 DXE262146:DXE327680 EHA262146:EHA327680 EQW262146:EQW327680 FAS262146:FAS327680 FKO262146:FKO327680 FUK262146:FUK327680 GEG262146:GEG327680 GOC262146:GOC327680 GXY262146:GXY327680 HHU262146:HHU327680 HRQ262146:HRQ327680 IBM262146:IBM327680 ILI262146:ILI327680 IVE262146:IVE327680 JFA262146:JFA327680 JOW262146:JOW327680 JYS262146:JYS327680 KIO262146:KIO327680 KSK262146:KSK327680 LCG262146:LCG327680 LMC262146:LMC327680 LVY262146:LVY327680 MFU262146:MFU327680 MPQ262146:MPQ327680 MZM262146:MZM327680 NJI262146:NJI327680 NTE262146:NTE327680 ODA262146:ODA327680 OMW262146:OMW327680 OWS262146:OWS327680 PGO262146:PGO327680 PQK262146:PQK327680 QAG262146:QAG327680 QKC262146:QKC327680 QTY262146:QTY327680 RDU262146:RDU327680 RNQ262146:RNQ327680 RXM262146:RXM327680 SHI262146:SHI327680 SRE262146:SRE327680 TBA262146:TBA327680 TKW262146:TKW327680 TUS262146:TUS327680 UEO262146:UEO327680 UOK262146:UOK327680 UYG262146:UYG327680 VIC262146:VIC327680 VRY262146:VRY327680 WBU262146:WBU327680 WLQ262146:WLQ327680 WVM262146:WVM327680 E327682:E393216 JA327682:JA393216 SW327682:SW393216 ACS327682:ACS393216 AMO327682:AMO393216 AWK327682:AWK393216 BGG327682:BGG393216 BQC327682:BQC393216 BZY327682:BZY393216 CJU327682:CJU393216 CTQ327682:CTQ393216 DDM327682:DDM393216 DNI327682:DNI393216 DXE327682:DXE393216 EHA327682:EHA393216 EQW327682:EQW393216 FAS327682:FAS393216 FKO327682:FKO393216 FUK327682:FUK393216 GEG327682:GEG393216 GOC327682:GOC393216 GXY327682:GXY393216 HHU327682:HHU393216 HRQ327682:HRQ393216 IBM327682:IBM393216 ILI327682:ILI393216 IVE327682:IVE393216 JFA327682:JFA393216 JOW327682:JOW393216 JYS327682:JYS393216 KIO327682:KIO393216 KSK327682:KSK393216 LCG327682:LCG393216 LMC327682:LMC393216 LVY327682:LVY393216 MFU327682:MFU393216 MPQ327682:MPQ393216 MZM327682:MZM393216 NJI327682:NJI393216 NTE327682:NTE393216 ODA327682:ODA393216 OMW327682:OMW393216 OWS327682:OWS393216 PGO327682:PGO393216 PQK327682:PQK393216 QAG327682:QAG393216 QKC327682:QKC393216 QTY327682:QTY393216 RDU327682:RDU393216 RNQ327682:RNQ393216 RXM327682:RXM393216 SHI327682:SHI393216 SRE327682:SRE393216 TBA327682:TBA393216 TKW327682:TKW393216 TUS327682:TUS393216 UEO327682:UEO393216 UOK327682:UOK393216 UYG327682:UYG393216 VIC327682:VIC393216 VRY327682:VRY393216 WBU327682:WBU393216 WLQ327682:WLQ393216 WVM327682:WVM393216 E393218:E458752 JA393218:JA458752 SW393218:SW458752 ACS393218:ACS458752 AMO393218:AMO458752 AWK393218:AWK458752 BGG393218:BGG458752 BQC393218:BQC458752 BZY393218:BZY458752 CJU393218:CJU458752 CTQ393218:CTQ458752 DDM393218:DDM458752 DNI393218:DNI458752 DXE393218:DXE458752 EHA393218:EHA458752 EQW393218:EQW458752 FAS393218:FAS458752 FKO393218:FKO458752 FUK393218:FUK458752 GEG393218:GEG458752 GOC393218:GOC458752 GXY393218:GXY458752 HHU393218:HHU458752 HRQ393218:HRQ458752 IBM393218:IBM458752 ILI393218:ILI458752 IVE393218:IVE458752 JFA393218:JFA458752 JOW393218:JOW458752 JYS393218:JYS458752 KIO393218:KIO458752 KSK393218:KSK458752 LCG393218:LCG458752 LMC393218:LMC458752 LVY393218:LVY458752 MFU393218:MFU458752 MPQ393218:MPQ458752 MZM393218:MZM458752 NJI393218:NJI458752 NTE393218:NTE458752 ODA393218:ODA458752 OMW393218:OMW458752 OWS393218:OWS458752 PGO393218:PGO458752 PQK393218:PQK458752 QAG393218:QAG458752 QKC393218:QKC458752 QTY393218:QTY458752 RDU393218:RDU458752 RNQ393218:RNQ458752 RXM393218:RXM458752 SHI393218:SHI458752 SRE393218:SRE458752 TBA393218:TBA458752 TKW393218:TKW458752 TUS393218:TUS458752 UEO393218:UEO458752 UOK393218:UOK458752 UYG393218:UYG458752 VIC393218:VIC458752 VRY393218:VRY458752 WBU393218:WBU458752 WLQ393218:WLQ458752 WVM393218:WVM458752 E458754:E524288 JA458754:JA524288 SW458754:SW524288 ACS458754:ACS524288 AMO458754:AMO524288 AWK458754:AWK524288 BGG458754:BGG524288 BQC458754:BQC524288 BZY458754:BZY524288 CJU458754:CJU524288 CTQ458754:CTQ524288 DDM458754:DDM524288 DNI458754:DNI524288 DXE458754:DXE524288 EHA458754:EHA524288 EQW458754:EQW524288 FAS458754:FAS524288 FKO458754:FKO524288 FUK458754:FUK524288 GEG458754:GEG524288 GOC458754:GOC524288 GXY458754:GXY524288 HHU458754:HHU524288 HRQ458754:HRQ524288 IBM458754:IBM524288 ILI458754:ILI524288 IVE458754:IVE524288 JFA458754:JFA524288 JOW458754:JOW524288 JYS458754:JYS524288 KIO458754:KIO524288 KSK458754:KSK524288 LCG458754:LCG524288 LMC458754:LMC524288 LVY458754:LVY524288 MFU458754:MFU524288 MPQ458754:MPQ524288 MZM458754:MZM524288 NJI458754:NJI524288 NTE458754:NTE524288 ODA458754:ODA524288 OMW458754:OMW524288 OWS458754:OWS524288 PGO458754:PGO524288 PQK458754:PQK524288 QAG458754:QAG524288 QKC458754:QKC524288 QTY458754:QTY524288 RDU458754:RDU524288 RNQ458754:RNQ524288 RXM458754:RXM524288 SHI458754:SHI524288 SRE458754:SRE524288 TBA458754:TBA524288 TKW458754:TKW524288 TUS458754:TUS524288 UEO458754:UEO524288 UOK458754:UOK524288 UYG458754:UYG524288 VIC458754:VIC524288 VRY458754:VRY524288 WBU458754:WBU524288 WLQ458754:WLQ524288 WVM458754:WVM524288 E524290:E589824 JA524290:JA589824 SW524290:SW589824 ACS524290:ACS589824 AMO524290:AMO589824 AWK524290:AWK589824 BGG524290:BGG589824 BQC524290:BQC589824 BZY524290:BZY589824 CJU524290:CJU589824 CTQ524290:CTQ589824 DDM524290:DDM589824 DNI524290:DNI589824 DXE524290:DXE589824 EHA524290:EHA589824 EQW524290:EQW589824 FAS524290:FAS589824 FKO524290:FKO589824 FUK524290:FUK589824 GEG524290:GEG589824 GOC524290:GOC589824 GXY524290:GXY589824 HHU524290:HHU589824 HRQ524290:HRQ589824 IBM524290:IBM589824 ILI524290:ILI589824 IVE524290:IVE589824 JFA524290:JFA589824 JOW524290:JOW589824 JYS524290:JYS589824 KIO524290:KIO589824 KSK524290:KSK589824 LCG524290:LCG589824 LMC524290:LMC589824 LVY524290:LVY589824 MFU524290:MFU589824 MPQ524290:MPQ589824 MZM524290:MZM589824 NJI524290:NJI589824 NTE524290:NTE589824 ODA524290:ODA589824 OMW524290:OMW589824 OWS524290:OWS589824 PGO524290:PGO589824 PQK524290:PQK589824 QAG524290:QAG589824 QKC524290:QKC589824 QTY524290:QTY589824 RDU524290:RDU589824 RNQ524290:RNQ589824 RXM524290:RXM589824 SHI524290:SHI589824 SRE524290:SRE589824 TBA524290:TBA589824 TKW524290:TKW589824 TUS524290:TUS589824 UEO524290:UEO589824 UOK524290:UOK589824 UYG524290:UYG589824 VIC524290:VIC589824 VRY524290:VRY589824 WBU524290:WBU589824 WLQ524290:WLQ589824 WVM524290:WVM589824 E589826:E655360 JA589826:JA655360 SW589826:SW655360 ACS589826:ACS655360 AMO589826:AMO655360 AWK589826:AWK655360 BGG589826:BGG655360 BQC589826:BQC655360 BZY589826:BZY655360 CJU589826:CJU655360 CTQ589826:CTQ655360 DDM589826:DDM655360 DNI589826:DNI655360 DXE589826:DXE655360 EHA589826:EHA655360 EQW589826:EQW655360 FAS589826:FAS655360 FKO589826:FKO655360 FUK589826:FUK655360 GEG589826:GEG655360 GOC589826:GOC655360 GXY589826:GXY655360 HHU589826:HHU655360 HRQ589826:HRQ655360 IBM589826:IBM655360 ILI589826:ILI655360 IVE589826:IVE655360 JFA589826:JFA655360 JOW589826:JOW655360 JYS589826:JYS655360 KIO589826:KIO655360 KSK589826:KSK655360 LCG589826:LCG655360 LMC589826:LMC655360 LVY589826:LVY655360 MFU589826:MFU655360 MPQ589826:MPQ655360 MZM589826:MZM655360 NJI589826:NJI655360 NTE589826:NTE655360 ODA589826:ODA655360 OMW589826:OMW655360 OWS589826:OWS655360 PGO589826:PGO655360 PQK589826:PQK655360 QAG589826:QAG655360 QKC589826:QKC655360 QTY589826:QTY655360 RDU589826:RDU655360 RNQ589826:RNQ655360 RXM589826:RXM655360 SHI589826:SHI655360 SRE589826:SRE655360 TBA589826:TBA655360 TKW589826:TKW655360 TUS589826:TUS655360 UEO589826:UEO655360 UOK589826:UOK655360 UYG589826:UYG655360 VIC589826:VIC655360 VRY589826:VRY655360 WBU589826:WBU655360 WLQ589826:WLQ655360 WVM589826:WVM655360 E655362:E720896 JA655362:JA720896 SW655362:SW720896 ACS655362:ACS720896 AMO655362:AMO720896 AWK655362:AWK720896 BGG655362:BGG720896 BQC655362:BQC720896 BZY655362:BZY720896 CJU655362:CJU720896 CTQ655362:CTQ720896 DDM655362:DDM720896 DNI655362:DNI720896 DXE655362:DXE720896 EHA655362:EHA720896 EQW655362:EQW720896 FAS655362:FAS720896 FKO655362:FKO720896 FUK655362:FUK720896 GEG655362:GEG720896 GOC655362:GOC720896 GXY655362:GXY720896 HHU655362:HHU720896 HRQ655362:HRQ720896 IBM655362:IBM720896 ILI655362:ILI720896 IVE655362:IVE720896 JFA655362:JFA720896 JOW655362:JOW720896 JYS655362:JYS720896 KIO655362:KIO720896 KSK655362:KSK720896 LCG655362:LCG720896 LMC655362:LMC720896 LVY655362:LVY720896 MFU655362:MFU720896 MPQ655362:MPQ720896 MZM655362:MZM720896 NJI655362:NJI720896 NTE655362:NTE720896 ODA655362:ODA720896 OMW655362:OMW720896 OWS655362:OWS720896 PGO655362:PGO720896 PQK655362:PQK720896 QAG655362:QAG720896 QKC655362:QKC720896 QTY655362:QTY720896 RDU655362:RDU720896 RNQ655362:RNQ720896 RXM655362:RXM720896 SHI655362:SHI720896 SRE655362:SRE720896 TBA655362:TBA720896 TKW655362:TKW720896 TUS655362:TUS720896 UEO655362:UEO720896 UOK655362:UOK720896 UYG655362:UYG720896 VIC655362:VIC720896 VRY655362:VRY720896 WBU655362:WBU720896 WLQ655362:WLQ720896 WVM655362:WVM720896 E720898:E786432 JA720898:JA786432 SW720898:SW786432 ACS720898:ACS786432 AMO720898:AMO786432 AWK720898:AWK786432 BGG720898:BGG786432 BQC720898:BQC786432 BZY720898:BZY786432 CJU720898:CJU786432 CTQ720898:CTQ786432 DDM720898:DDM786432 DNI720898:DNI786432 DXE720898:DXE786432 EHA720898:EHA786432 EQW720898:EQW786432 FAS720898:FAS786432 FKO720898:FKO786432 FUK720898:FUK786432 GEG720898:GEG786432 GOC720898:GOC786432 GXY720898:GXY786432 HHU720898:HHU786432 HRQ720898:HRQ786432 IBM720898:IBM786432 ILI720898:ILI786432 IVE720898:IVE786432 JFA720898:JFA786432 JOW720898:JOW786432 JYS720898:JYS786432 KIO720898:KIO786432 KSK720898:KSK786432 LCG720898:LCG786432 LMC720898:LMC786432 LVY720898:LVY786432 MFU720898:MFU786432 MPQ720898:MPQ786432 MZM720898:MZM786432 NJI720898:NJI786432 NTE720898:NTE786432 ODA720898:ODA786432 OMW720898:OMW786432 OWS720898:OWS786432 PGO720898:PGO786432 PQK720898:PQK786432 QAG720898:QAG786432 QKC720898:QKC786432 QTY720898:QTY786432 RDU720898:RDU786432 RNQ720898:RNQ786432 RXM720898:RXM786432 SHI720898:SHI786432 SRE720898:SRE786432 TBA720898:TBA786432 TKW720898:TKW786432 TUS720898:TUS786432 UEO720898:UEO786432 UOK720898:UOK786432 UYG720898:UYG786432 VIC720898:VIC786432 VRY720898:VRY786432 WBU720898:WBU786432 WLQ720898:WLQ786432 WVM720898:WVM786432 E786434:E851968 JA786434:JA851968 SW786434:SW851968 ACS786434:ACS851968 AMO786434:AMO851968 AWK786434:AWK851968 BGG786434:BGG851968 BQC786434:BQC851968 BZY786434:BZY851968 CJU786434:CJU851968 CTQ786434:CTQ851968 DDM786434:DDM851968 DNI786434:DNI851968 DXE786434:DXE851968 EHA786434:EHA851968 EQW786434:EQW851968 FAS786434:FAS851968 FKO786434:FKO851968 FUK786434:FUK851968 GEG786434:GEG851968 GOC786434:GOC851968 GXY786434:GXY851968 HHU786434:HHU851968 HRQ786434:HRQ851968 IBM786434:IBM851968 ILI786434:ILI851968 IVE786434:IVE851968 JFA786434:JFA851968 JOW786434:JOW851968 JYS786434:JYS851968 KIO786434:KIO851968 KSK786434:KSK851968 LCG786434:LCG851968 LMC786434:LMC851968 LVY786434:LVY851968 MFU786434:MFU851968 MPQ786434:MPQ851968 MZM786434:MZM851968 NJI786434:NJI851968 NTE786434:NTE851968 ODA786434:ODA851968 OMW786434:OMW851968 OWS786434:OWS851968 PGO786434:PGO851968 PQK786434:PQK851968 QAG786434:QAG851968 QKC786434:QKC851968 QTY786434:QTY851968 RDU786434:RDU851968 RNQ786434:RNQ851968 RXM786434:RXM851968 SHI786434:SHI851968 SRE786434:SRE851968 TBA786434:TBA851968 TKW786434:TKW851968 TUS786434:TUS851968 UEO786434:UEO851968 UOK786434:UOK851968 UYG786434:UYG851968 VIC786434:VIC851968 VRY786434:VRY851968 WBU786434:WBU851968 WLQ786434:WLQ851968 WVM786434:WVM851968 E851970:E917504 JA851970:JA917504 SW851970:SW917504 ACS851970:ACS917504 AMO851970:AMO917504 AWK851970:AWK917504 BGG851970:BGG917504 BQC851970:BQC917504 BZY851970:BZY917504 CJU851970:CJU917504 CTQ851970:CTQ917504 DDM851970:DDM917504 DNI851970:DNI917504 DXE851970:DXE917504 EHA851970:EHA917504 EQW851970:EQW917504 FAS851970:FAS917504 FKO851970:FKO917504 FUK851970:FUK917504 GEG851970:GEG917504 GOC851970:GOC917504 GXY851970:GXY917504 HHU851970:HHU917504 HRQ851970:HRQ917504 IBM851970:IBM917504 ILI851970:ILI917504 IVE851970:IVE917504 JFA851970:JFA917504 JOW851970:JOW917504 JYS851970:JYS917504 KIO851970:KIO917504 KSK851970:KSK917504 LCG851970:LCG917504 LMC851970:LMC917504 LVY851970:LVY917504 MFU851970:MFU917504 MPQ851970:MPQ917504 MZM851970:MZM917504 NJI851970:NJI917504 NTE851970:NTE917504 ODA851970:ODA917504 OMW851970:OMW917504 OWS851970:OWS917504 PGO851970:PGO917504 PQK851970:PQK917504 QAG851970:QAG917504 QKC851970:QKC917504 QTY851970:QTY917504 RDU851970:RDU917504 RNQ851970:RNQ917504 RXM851970:RXM917504 SHI851970:SHI917504 SRE851970:SRE917504 TBA851970:TBA917504 TKW851970:TKW917504 TUS851970:TUS917504 UEO851970:UEO917504 UOK851970:UOK917504 UYG851970:UYG917504 VIC851970:VIC917504 VRY851970:VRY917504 WBU851970:WBU917504 WLQ851970:WLQ917504 WVM851970:WVM917504 E917506:E983040 JA917506:JA983040 SW917506:SW983040 ACS917506:ACS983040 AMO917506:AMO983040 AWK917506:AWK983040 BGG917506:BGG983040 BQC917506:BQC983040 BZY917506:BZY983040 CJU917506:CJU983040 CTQ917506:CTQ983040 DDM917506:DDM983040 DNI917506:DNI983040 DXE917506:DXE983040 EHA917506:EHA983040 EQW917506:EQW983040 FAS917506:FAS983040 FKO917506:FKO983040 FUK917506:FUK983040 GEG917506:GEG983040 GOC917506:GOC983040 GXY917506:GXY983040 HHU917506:HHU983040 HRQ917506:HRQ983040 IBM917506:IBM983040 ILI917506:ILI983040 IVE917506:IVE983040 JFA917506:JFA983040 JOW917506:JOW983040 JYS917506:JYS983040 KIO917506:KIO983040 KSK917506:KSK983040 LCG917506:LCG983040 LMC917506:LMC983040 LVY917506:LVY983040 MFU917506:MFU983040 MPQ917506:MPQ983040 MZM917506:MZM983040 NJI917506:NJI983040 NTE917506:NTE983040 ODA917506:ODA983040 OMW917506:OMW983040 OWS917506:OWS983040 PGO917506:PGO983040 PQK917506:PQK983040 QAG917506:QAG983040 QKC917506:QKC983040 QTY917506:QTY983040 RDU917506:RDU983040 RNQ917506:RNQ983040 RXM917506:RXM983040 SHI917506:SHI983040 SRE917506:SRE983040 TBA917506:TBA983040 TKW917506:TKW983040 TUS917506:TUS983040 UEO917506:UEO983040 UOK917506:UOK983040 UYG917506:UYG983040 VIC917506:VIC983040 VRY917506:VRY983040 WBU917506:WBU983040 WLQ917506:WLQ983040 WVM917506:WVM983040 E983042:E1048576 JA983042:JA1048576 SW983042:SW1048576 ACS983042:ACS1048576 AMO983042:AMO1048576 AWK983042:AWK1048576 BGG983042:BGG1048576 BQC983042:BQC1048576 BZY983042:BZY1048576 CJU983042:CJU1048576 CTQ983042:CTQ1048576 DDM983042:DDM1048576 DNI983042:DNI1048576 DXE983042:DXE1048576 EHA983042:EHA1048576 EQW983042:EQW1048576 FAS983042:FAS1048576 FKO983042:FKO1048576 FUK983042:FUK1048576 GEG983042:GEG1048576 GOC983042:GOC1048576 GXY983042:GXY1048576 HHU983042:HHU1048576 HRQ983042:HRQ1048576 IBM983042:IBM1048576 ILI983042:ILI1048576 IVE983042:IVE1048576 JFA983042:JFA1048576 JOW983042:JOW1048576 JYS983042:JYS1048576 KIO983042:KIO1048576 KSK983042:KSK1048576 LCG983042:LCG1048576 LMC983042:LMC1048576 LVY983042:LVY1048576 MFU983042:MFU1048576 MPQ983042:MPQ1048576 MZM983042:MZM1048576 NJI983042:NJI1048576 NTE983042:NTE1048576 ODA983042:ODA1048576 OMW983042:OMW1048576 OWS983042:OWS1048576 PGO983042:PGO1048576 PQK983042:PQK1048576 QAG983042:QAG1048576 QKC983042:QKC1048576 QTY983042:QTY1048576 RDU983042:RDU1048576 RNQ983042:RNQ1048576 RXM983042:RXM1048576 SHI983042:SHI1048576 SRE983042:SRE1048576 TBA983042:TBA1048576 TKW983042:TKW1048576 TUS983042:TUS1048576 UEO983042:UEO1048576 UOK983042:UOK1048576 UYG983042:UYG1048576 VIC983042:VIC1048576 VRY983042:VRY1048576 WBU983042:WBU1048576 WLQ983042:WLQ1048576 E2:E65536">
      <formula1>$AG$2:$AG$12</formula1>
    </dataValidation>
    <dataValidation type="list" allowBlank="1" showInputMessage="1" showErrorMessage="1" sqref="WVN983042:WVN104857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F2:F65536">
      <formula1>$AH$2:$AH$12</formula1>
    </dataValidation>
  </dataValidations>
  <pageMargins left="0.70866141732283472" right="0.70866141732283472" top="0.74803149606299213" bottom="0.74803149606299213" header="0.31496062992125984" footer="0.31496062992125984"/>
  <pageSetup paperSize="9" scale="5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714"/>
  <sheetViews>
    <sheetView zoomScale="85" zoomScaleNormal="85" workbookViewId="0">
      <selection activeCell="Z46" sqref="Z45:Z46"/>
    </sheetView>
  </sheetViews>
  <sheetFormatPr defaultColWidth="9" defaultRowHeight="13.5" x14ac:dyDescent="0.15"/>
  <cols>
    <col min="1" max="3" width="9" style="98"/>
    <col min="4" max="4" width="10.5" style="98" customWidth="1"/>
    <col min="5" max="16" width="9" style="98"/>
    <col min="17" max="17" width="9" style="129"/>
    <col min="18" max="18" width="9" style="98"/>
    <col min="19" max="19" width="9.5" style="98" customWidth="1"/>
    <col min="20" max="20" width="9" style="129"/>
    <col min="21" max="21" width="9" style="98"/>
    <col min="22" max="22" width="9" style="129"/>
    <col min="23" max="23" width="10.5" style="98" customWidth="1"/>
    <col min="24" max="32" width="9" style="98"/>
    <col min="33" max="33" width="19.625" style="98" customWidth="1"/>
    <col min="34" max="34" width="9.375" style="98" customWidth="1"/>
    <col min="35" max="259" width="9" style="98"/>
    <col min="260" max="260" width="10.5" style="98" customWidth="1"/>
    <col min="261" max="274" width="9" style="98"/>
    <col min="275" max="275" width="9.5" style="98" customWidth="1"/>
    <col min="276" max="278" width="9" style="98"/>
    <col min="279" max="279" width="10.5" style="98" customWidth="1"/>
    <col min="280" max="515" width="9" style="98"/>
    <col min="516" max="516" width="10.5" style="98" customWidth="1"/>
    <col min="517" max="530" width="9" style="98"/>
    <col min="531" max="531" width="9.5" style="98" customWidth="1"/>
    <col min="532" max="534" width="9" style="98"/>
    <col min="535" max="535" width="10.5" style="98" customWidth="1"/>
    <col min="536" max="771" width="9" style="98"/>
    <col min="772" max="772" width="10.5" style="98" customWidth="1"/>
    <col min="773" max="786" width="9" style="98"/>
    <col min="787" max="787" width="9.5" style="98" customWidth="1"/>
    <col min="788" max="790" width="9" style="98"/>
    <col min="791" max="791" width="10.5" style="98" customWidth="1"/>
    <col min="792" max="1027" width="9" style="98"/>
    <col min="1028" max="1028" width="10.5" style="98" customWidth="1"/>
    <col min="1029" max="1042" width="9" style="98"/>
    <col min="1043" max="1043" width="9.5" style="98" customWidth="1"/>
    <col min="1044" max="1046" width="9" style="98"/>
    <col min="1047" max="1047" width="10.5" style="98" customWidth="1"/>
    <col min="1048" max="1283" width="9" style="98"/>
    <col min="1284" max="1284" width="10.5" style="98" customWidth="1"/>
    <col min="1285" max="1298" width="9" style="98"/>
    <col min="1299" max="1299" width="9.5" style="98" customWidth="1"/>
    <col min="1300" max="1302" width="9" style="98"/>
    <col min="1303" max="1303" width="10.5" style="98" customWidth="1"/>
    <col min="1304" max="1539" width="9" style="98"/>
    <col min="1540" max="1540" width="10.5" style="98" customWidth="1"/>
    <col min="1541" max="1554" width="9" style="98"/>
    <col min="1555" max="1555" width="9.5" style="98" customWidth="1"/>
    <col min="1556" max="1558" width="9" style="98"/>
    <col min="1559" max="1559" width="10.5" style="98" customWidth="1"/>
    <col min="1560" max="1795" width="9" style="98"/>
    <col min="1796" max="1796" width="10.5" style="98" customWidth="1"/>
    <col min="1797" max="1810" width="9" style="98"/>
    <col min="1811" max="1811" width="9.5" style="98" customWidth="1"/>
    <col min="1812" max="1814" width="9" style="98"/>
    <col min="1815" max="1815" width="10.5" style="98" customWidth="1"/>
    <col min="1816" max="2051" width="9" style="98"/>
    <col min="2052" max="2052" width="10.5" style="98" customWidth="1"/>
    <col min="2053" max="2066" width="9" style="98"/>
    <col min="2067" max="2067" width="9.5" style="98" customWidth="1"/>
    <col min="2068" max="2070" width="9" style="98"/>
    <col min="2071" max="2071" width="10.5" style="98" customWidth="1"/>
    <col min="2072" max="2307" width="9" style="98"/>
    <col min="2308" max="2308" width="10.5" style="98" customWidth="1"/>
    <col min="2309" max="2322" width="9" style="98"/>
    <col min="2323" max="2323" width="9.5" style="98" customWidth="1"/>
    <col min="2324" max="2326" width="9" style="98"/>
    <col min="2327" max="2327" width="10.5" style="98" customWidth="1"/>
    <col min="2328" max="2563" width="9" style="98"/>
    <col min="2564" max="2564" width="10.5" style="98" customWidth="1"/>
    <col min="2565" max="2578" width="9" style="98"/>
    <col min="2579" max="2579" width="9.5" style="98" customWidth="1"/>
    <col min="2580" max="2582" width="9" style="98"/>
    <col min="2583" max="2583" width="10.5" style="98" customWidth="1"/>
    <col min="2584" max="2819" width="9" style="98"/>
    <col min="2820" max="2820" width="10.5" style="98" customWidth="1"/>
    <col min="2821" max="2834" width="9" style="98"/>
    <col min="2835" max="2835" width="9.5" style="98" customWidth="1"/>
    <col min="2836" max="2838" width="9" style="98"/>
    <col min="2839" max="2839" width="10.5" style="98" customWidth="1"/>
    <col min="2840" max="3075" width="9" style="98"/>
    <col min="3076" max="3076" width="10.5" style="98" customWidth="1"/>
    <col min="3077" max="3090" width="9" style="98"/>
    <col min="3091" max="3091" width="9.5" style="98" customWidth="1"/>
    <col min="3092" max="3094" width="9" style="98"/>
    <col min="3095" max="3095" width="10.5" style="98" customWidth="1"/>
    <col min="3096" max="3331" width="9" style="98"/>
    <col min="3332" max="3332" width="10.5" style="98" customWidth="1"/>
    <col min="3333" max="3346" width="9" style="98"/>
    <col min="3347" max="3347" width="9.5" style="98" customWidth="1"/>
    <col min="3348" max="3350" width="9" style="98"/>
    <col min="3351" max="3351" width="10.5" style="98" customWidth="1"/>
    <col min="3352" max="3587" width="9" style="98"/>
    <col min="3588" max="3588" width="10.5" style="98" customWidth="1"/>
    <col min="3589" max="3602" width="9" style="98"/>
    <col min="3603" max="3603" width="9.5" style="98" customWidth="1"/>
    <col min="3604" max="3606" width="9" style="98"/>
    <col min="3607" max="3607" width="10.5" style="98" customWidth="1"/>
    <col min="3608" max="3843" width="9" style="98"/>
    <col min="3844" max="3844" width="10.5" style="98" customWidth="1"/>
    <col min="3845" max="3858" width="9" style="98"/>
    <col min="3859" max="3859" width="9.5" style="98" customWidth="1"/>
    <col min="3860" max="3862" width="9" style="98"/>
    <col min="3863" max="3863" width="10.5" style="98" customWidth="1"/>
    <col min="3864" max="4099" width="9" style="98"/>
    <col min="4100" max="4100" width="10.5" style="98" customWidth="1"/>
    <col min="4101" max="4114" width="9" style="98"/>
    <col min="4115" max="4115" width="9.5" style="98" customWidth="1"/>
    <col min="4116" max="4118" width="9" style="98"/>
    <col min="4119" max="4119" width="10.5" style="98" customWidth="1"/>
    <col min="4120" max="4355" width="9" style="98"/>
    <col min="4356" max="4356" width="10.5" style="98" customWidth="1"/>
    <col min="4357" max="4370" width="9" style="98"/>
    <col min="4371" max="4371" width="9.5" style="98" customWidth="1"/>
    <col min="4372" max="4374" width="9" style="98"/>
    <col min="4375" max="4375" width="10.5" style="98" customWidth="1"/>
    <col min="4376" max="4611" width="9" style="98"/>
    <col min="4612" max="4612" width="10.5" style="98" customWidth="1"/>
    <col min="4613" max="4626" width="9" style="98"/>
    <col min="4627" max="4627" width="9.5" style="98" customWidth="1"/>
    <col min="4628" max="4630" width="9" style="98"/>
    <col min="4631" max="4631" width="10.5" style="98" customWidth="1"/>
    <col min="4632" max="4867" width="9" style="98"/>
    <col min="4868" max="4868" width="10.5" style="98" customWidth="1"/>
    <col min="4869" max="4882" width="9" style="98"/>
    <col min="4883" max="4883" width="9.5" style="98" customWidth="1"/>
    <col min="4884" max="4886" width="9" style="98"/>
    <col min="4887" max="4887" width="10.5" style="98" customWidth="1"/>
    <col min="4888" max="5123" width="9" style="98"/>
    <col min="5124" max="5124" width="10.5" style="98" customWidth="1"/>
    <col min="5125" max="5138" width="9" style="98"/>
    <col min="5139" max="5139" width="9.5" style="98" customWidth="1"/>
    <col min="5140" max="5142" width="9" style="98"/>
    <col min="5143" max="5143" width="10.5" style="98" customWidth="1"/>
    <col min="5144" max="5379" width="9" style="98"/>
    <col min="5380" max="5380" width="10.5" style="98" customWidth="1"/>
    <col min="5381" max="5394" width="9" style="98"/>
    <col min="5395" max="5395" width="9.5" style="98" customWidth="1"/>
    <col min="5396" max="5398" width="9" style="98"/>
    <col min="5399" max="5399" width="10.5" style="98" customWidth="1"/>
    <col min="5400" max="5635" width="9" style="98"/>
    <col min="5636" max="5636" width="10.5" style="98" customWidth="1"/>
    <col min="5637" max="5650" width="9" style="98"/>
    <col min="5651" max="5651" width="9.5" style="98" customWidth="1"/>
    <col min="5652" max="5654" width="9" style="98"/>
    <col min="5655" max="5655" width="10.5" style="98" customWidth="1"/>
    <col min="5656" max="5891" width="9" style="98"/>
    <col min="5892" max="5892" width="10.5" style="98" customWidth="1"/>
    <col min="5893" max="5906" width="9" style="98"/>
    <col min="5907" max="5907" width="9.5" style="98" customWidth="1"/>
    <col min="5908" max="5910" width="9" style="98"/>
    <col min="5911" max="5911" width="10.5" style="98" customWidth="1"/>
    <col min="5912" max="6147" width="9" style="98"/>
    <col min="6148" max="6148" width="10.5" style="98" customWidth="1"/>
    <col min="6149" max="6162" width="9" style="98"/>
    <col min="6163" max="6163" width="9.5" style="98" customWidth="1"/>
    <col min="6164" max="6166" width="9" style="98"/>
    <col min="6167" max="6167" width="10.5" style="98" customWidth="1"/>
    <col min="6168" max="6403" width="9" style="98"/>
    <col min="6404" max="6404" width="10.5" style="98" customWidth="1"/>
    <col min="6405" max="6418" width="9" style="98"/>
    <col min="6419" max="6419" width="9.5" style="98" customWidth="1"/>
    <col min="6420" max="6422" width="9" style="98"/>
    <col min="6423" max="6423" width="10.5" style="98" customWidth="1"/>
    <col min="6424" max="6659" width="9" style="98"/>
    <col min="6660" max="6660" width="10.5" style="98" customWidth="1"/>
    <col min="6661" max="6674" width="9" style="98"/>
    <col min="6675" max="6675" width="9.5" style="98" customWidth="1"/>
    <col min="6676" max="6678" width="9" style="98"/>
    <col min="6679" max="6679" width="10.5" style="98" customWidth="1"/>
    <col min="6680" max="6915" width="9" style="98"/>
    <col min="6916" max="6916" width="10.5" style="98" customWidth="1"/>
    <col min="6917" max="6930" width="9" style="98"/>
    <col min="6931" max="6931" width="9.5" style="98" customWidth="1"/>
    <col min="6932" max="6934" width="9" style="98"/>
    <col min="6935" max="6935" width="10.5" style="98" customWidth="1"/>
    <col min="6936" max="7171" width="9" style="98"/>
    <col min="7172" max="7172" width="10.5" style="98" customWidth="1"/>
    <col min="7173" max="7186" width="9" style="98"/>
    <col min="7187" max="7187" width="9.5" style="98" customWidth="1"/>
    <col min="7188" max="7190" width="9" style="98"/>
    <col min="7191" max="7191" width="10.5" style="98" customWidth="1"/>
    <col min="7192" max="7427" width="9" style="98"/>
    <col min="7428" max="7428" width="10.5" style="98" customWidth="1"/>
    <col min="7429" max="7442" width="9" style="98"/>
    <col min="7443" max="7443" width="9.5" style="98" customWidth="1"/>
    <col min="7444" max="7446" width="9" style="98"/>
    <col min="7447" max="7447" width="10.5" style="98" customWidth="1"/>
    <col min="7448" max="7683" width="9" style="98"/>
    <col min="7684" max="7684" width="10.5" style="98" customWidth="1"/>
    <col min="7685" max="7698" width="9" style="98"/>
    <col min="7699" max="7699" width="9.5" style="98" customWidth="1"/>
    <col min="7700" max="7702" width="9" style="98"/>
    <col min="7703" max="7703" width="10.5" style="98" customWidth="1"/>
    <col min="7704" max="7939" width="9" style="98"/>
    <col min="7940" max="7940" width="10.5" style="98" customWidth="1"/>
    <col min="7941" max="7954" width="9" style="98"/>
    <col min="7955" max="7955" width="9.5" style="98" customWidth="1"/>
    <col min="7956" max="7958" width="9" style="98"/>
    <col min="7959" max="7959" width="10.5" style="98" customWidth="1"/>
    <col min="7960" max="8195" width="9" style="98"/>
    <col min="8196" max="8196" width="10.5" style="98" customWidth="1"/>
    <col min="8197" max="8210" width="9" style="98"/>
    <col min="8211" max="8211" width="9.5" style="98" customWidth="1"/>
    <col min="8212" max="8214" width="9" style="98"/>
    <col min="8215" max="8215" width="10.5" style="98" customWidth="1"/>
    <col min="8216" max="8451" width="9" style="98"/>
    <col min="8452" max="8452" width="10.5" style="98" customWidth="1"/>
    <col min="8453" max="8466" width="9" style="98"/>
    <col min="8467" max="8467" width="9.5" style="98" customWidth="1"/>
    <col min="8468" max="8470" width="9" style="98"/>
    <col min="8471" max="8471" width="10.5" style="98" customWidth="1"/>
    <col min="8472" max="8707" width="9" style="98"/>
    <col min="8708" max="8708" width="10.5" style="98" customWidth="1"/>
    <col min="8709" max="8722" width="9" style="98"/>
    <col min="8723" max="8723" width="9.5" style="98" customWidth="1"/>
    <col min="8724" max="8726" width="9" style="98"/>
    <col min="8727" max="8727" width="10.5" style="98" customWidth="1"/>
    <col min="8728" max="8963" width="9" style="98"/>
    <col min="8964" max="8964" width="10.5" style="98" customWidth="1"/>
    <col min="8965" max="8978" width="9" style="98"/>
    <col min="8979" max="8979" width="9.5" style="98" customWidth="1"/>
    <col min="8980" max="8982" width="9" style="98"/>
    <col min="8983" max="8983" width="10.5" style="98" customWidth="1"/>
    <col min="8984" max="9219" width="9" style="98"/>
    <col min="9220" max="9220" width="10.5" style="98" customWidth="1"/>
    <col min="9221" max="9234" width="9" style="98"/>
    <col min="9235" max="9235" width="9.5" style="98" customWidth="1"/>
    <col min="9236" max="9238" width="9" style="98"/>
    <col min="9239" max="9239" width="10.5" style="98" customWidth="1"/>
    <col min="9240" max="9475" width="9" style="98"/>
    <col min="9476" max="9476" width="10.5" style="98" customWidth="1"/>
    <col min="9477" max="9490" width="9" style="98"/>
    <col min="9491" max="9491" width="9.5" style="98" customWidth="1"/>
    <col min="9492" max="9494" width="9" style="98"/>
    <col min="9495" max="9495" width="10.5" style="98" customWidth="1"/>
    <col min="9496" max="9731" width="9" style="98"/>
    <col min="9732" max="9732" width="10.5" style="98" customWidth="1"/>
    <col min="9733" max="9746" width="9" style="98"/>
    <col min="9747" max="9747" width="9.5" style="98" customWidth="1"/>
    <col min="9748" max="9750" width="9" style="98"/>
    <col min="9751" max="9751" width="10.5" style="98" customWidth="1"/>
    <col min="9752" max="9987" width="9" style="98"/>
    <col min="9988" max="9988" width="10.5" style="98" customWidth="1"/>
    <col min="9989" max="10002" width="9" style="98"/>
    <col min="10003" max="10003" width="9.5" style="98" customWidth="1"/>
    <col min="10004" max="10006" width="9" style="98"/>
    <col min="10007" max="10007" width="10.5" style="98" customWidth="1"/>
    <col min="10008" max="10243" width="9" style="98"/>
    <col min="10244" max="10244" width="10.5" style="98" customWidth="1"/>
    <col min="10245" max="10258" width="9" style="98"/>
    <col min="10259" max="10259" width="9.5" style="98" customWidth="1"/>
    <col min="10260" max="10262" width="9" style="98"/>
    <col min="10263" max="10263" width="10.5" style="98" customWidth="1"/>
    <col min="10264" max="10499" width="9" style="98"/>
    <col min="10500" max="10500" width="10.5" style="98" customWidth="1"/>
    <col min="10501" max="10514" width="9" style="98"/>
    <col min="10515" max="10515" width="9.5" style="98" customWidth="1"/>
    <col min="10516" max="10518" width="9" style="98"/>
    <col min="10519" max="10519" width="10.5" style="98" customWidth="1"/>
    <col min="10520" max="10755" width="9" style="98"/>
    <col min="10756" max="10756" width="10.5" style="98" customWidth="1"/>
    <col min="10757" max="10770" width="9" style="98"/>
    <col min="10771" max="10771" width="9.5" style="98" customWidth="1"/>
    <col min="10772" max="10774" width="9" style="98"/>
    <col min="10775" max="10775" width="10.5" style="98" customWidth="1"/>
    <col min="10776" max="11011" width="9" style="98"/>
    <col min="11012" max="11012" width="10.5" style="98" customWidth="1"/>
    <col min="11013" max="11026" width="9" style="98"/>
    <col min="11027" max="11027" width="9.5" style="98" customWidth="1"/>
    <col min="11028" max="11030" width="9" style="98"/>
    <col min="11031" max="11031" width="10.5" style="98" customWidth="1"/>
    <col min="11032" max="11267" width="9" style="98"/>
    <col min="11268" max="11268" width="10.5" style="98" customWidth="1"/>
    <col min="11269" max="11282" width="9" style="98"/>
    <col min="11283" max="11283" width="9.5" style="98" customWidth="1"/>
    <col min="11284" max="11286" width="9" style="98"/>
    <col min="11287" max="11287" width="10.5" style="98" customWidth="1"/>
    <col min="11288" max="11523" width="9" style="98"/>
    <col min="11524" max="11524" width="10.5" style="98" customWidth="1"/>
    <col min="11525" max="11538" width="9" style="98"/>
    <col min="11539" max="11539" width="9.5" style="98" customWidth="1"/>
    <col min="11540" max="11542" width="9" style="98"/>
    <col min="11543" max="11543" width="10.5" style="98" customWidth="1"/>
    <col min="11544" max="11779" width="9" style="98"/>
    <col min="11780" max="11780" width="10.5" style="98" customWidth="1"/>
    <col min="11781" max="11794" width="9" style="98"/>
    <col min="11795" max="11795" width="9.5" style="98" customWidth="1"/>
    <col min="11796" max="11798" width="9" style="98"/>
    <col min="11799" max="11799" width="10.5" style="98" customWidth="1"/>
    <col min="11800" max="12035" width="9" style="98"/>
    <col min="12036" max="12036" width="10.5" style="98" customWidth="1"/>
    <col min="12037" max="12050" width="9" style="98"/>
    <col min="12051" max="12051" width="9.5" style="98" customWidth="1"/>
    <col min="12052" max="12054" width="9" style="98"/>
    <col min="12055" max="12055" width="10.5" style="98" customWidth="1"/>
    <col min="12056" max="12291" width="9" style="98"/>
    <col min="12292" max="12292" width="10.5" style="98" customWidth="1"/>
    <col min="12293" max="12306" width="9" style="98"/>
    <col min="12307" max="12307" width="9.5" style="98" customWidth="1"/>
    <col min="12308" max="12310" width="9" style="98"/>
    <col min="12311" max="12311" width="10.5" style="98" customWidth="1"/>
    <col min="12312" max="12547" width="9" style="98"/>
    <col min="12548" max="12548" width="10.5" style="98" customWidth="1"/>
    <col min="12549" max="12562" width="9" style="98"/>
    <col min="12563" max="12563" width="9.5" style="98" customWidth="1"/>
    <col min="12564" max="12566" width="9" style="98"/>
    <col min="12567" max="12567" width="10.5" style="98" customWidth="1"/>
    <col min="12568" max="12803" width="9" style="98"/>
    <col min="12804" max="12804" width="10.5" style="98" customWidth="1"/>
    <col min="12805" max="12818" width="9" style="98"/>
    <col min="12819" max="12819" width="9.5" style="98" customWidth="1"/>
    <col min="12820" max="12822" width="9" style="98"/>
    <col min="12823" max="12823" width="10.5" style="98" customWidth="1"/>
    <col min="12824" max="13059" width="9" style="98"/>
    <col min="13060" max="13060" width="10.5" style="98" customWidth="1"/>
    <col min="13061" max="13074" width="9" style="98"/>
    <col min="13075" max="13075" width="9.5" style="98" customWidth="1"/>
    <col min="13076" max="13078" width="9" style="98"/>
    <col min="13079" max="13079" width="10.5" style="98" customWidth="1"/>
    <col min="13080" max="13315" width="9" style="98"/>
    <col min="13316" max="13316" width="10.5" style="98" customWidth="1"/>
    <col min="13317" max="13330" width="9" style="98"/>
    <col min="13331" max="13331" width="9.5" style="98" customWidth="1"/>
    <col min="13332" max="13334" width="9" style="98"/>
    <col min="13335" max="13335" width="10.5" style="98" customWidth="1"/>
    <col min="13336" max="13571" width="9" style="98"/>
    <col min="13572" max="13572" width="10.5" style="98" customWidth="1"/>
    <col min="13573" max="13586" width="9" style="98"/>
    <col min="13587" max="13587" width="9.5" style="98" customWidth="1"/>
    <col min="13588" max="13590" width="9" style="98"/>
    <col min="13591" max="13591" width="10.5" style="98" customWidth="1"/>
    <col min="13592" max="13827" width="9" style="98"/>
    <col min="13828" max="13828" width="10.5" style="98" customWidth="1"/>
    <col min="13829" max="13842" width="9" style="98"/>
    <col min="13843" max="13843" width="9.5" style="98" customWidth="1"/>
    <col min="13844" max="13846" width="9" style="98"/>
    <col min="13847" max="13847" width="10.5" style="98" customWidth="1"/>
    <col min="13848" max="14083" width="9" style="98"/>
    <col min="14084" max="14084" width="10.5" style="98" customWidth="1"/>
    <col min="14085" max="14098" width="9" style="98"/>
    <col min="14099" max="14099" width="9.5" style="98" customWidth="1"/>
    <col min="14100" max="14102" width="9" style="98"/>
    <col min="14103" max="14103" width="10.5" style="98" customWidth="1"/>
    <col min="14104" max="14339" width="9" style="98"/>
    <col min="14340" max="14340" width="10.5" style="98" customWidth="1"/>
    <col min="14341" max="14354" width="9" style="98"/>
    <col min="14355" max="14355" width="9.5" style="98" customWidth="1"/>
    <col min="14356" max="14358" width="9" style="98"/>
    <col min="14359" max="14359" width="10.5" style="98" customWidth="1"/>
    <col min="14360" max="14595" width="9" style="98"/>
    <col min="14596" max="14596" width="10.5" style="98" customWidth="1"/>
    <col min="14597" max="14610" width="9" style="98"/>
    <col min="14611" max="14611" width="9.5" style="98" customWidth="1"/>
    <col min="14612" max="14614" width="9" style="98"/>
    <col min="14615" max="14615" width="10.5" style="98" customWidth="1"/>
    <col min="14616" max="14851" width="9" style="98"/>
    <col min="14852" max="14852" width="10.5" style="98" customWidth="1"/>
    <col min="14853" max="14866" width="9" style="98"/>
    <col min="14867" max="14867" width="9.5" style="98" customWidth="1"/>
    <col min="14868" max="14870" width="9" style="98"/>
    <col min="14871" max="14871" width="10.5" style="98" customWidth="1"/>
    <col min="14872" max="15107" width="9" style="98"/>
    <col min="15108" max="15108" width="10.5" style="98" customWidth="1"/>
    <col min="15109" max="15122" width="9" style="98"/>
    <col min="15123" max="15123" width="9.5" style="98" customWidth="1"/>
    <col min="15124" max="15126" width="9" style="98"/>
    <col min="15127" max="15127" width="10.5" style="98" customWidth="1"/>
    <col min="15128" max="15363" width="9" style="98"/>
    <col min="15364" max="15364" width="10.5" style="98" customWidth="1"/>
    <col min="15365" max="15378" width="9" style="98"/>
    <col min="15379" max="15379" width="9.5" style="98" customWidth="1"/>
    <col min="15380" max="15382" width="9" style="98"/>
    <col min="15383" max="15383" width="10.5" style="98" customWidth="1"/>
    <col min="15384" max="15619" width="9" style="98"/>
    <col min="15620" max="15620" width="10.5" style="98" customWidth="1"/>
    <col min="15621" max="15634" width="9" style="98"/>
    <col min="15635" max="15635" width="9.5" style="98" customWidth="1"/>
    <col min="15636" max="15638" width="9" style="98"/>
    <col min="15639" max="15639" width="10.5" style="98" customWidth="1"/>
    <col min="15640" max="15875" width="9" style="98"/>
    <col min="15876" max="15876" width="10.5" style="98" customWidth="1"/>
    <col min="15877" max="15890" width="9" style="98"/>
    <col min="15891" max="15891" width="9.5" style="98" customWidth="1"/>
    <col min="15892" max="15894" width="9" style="98"/>
    <col min="15895" max="15895" width="10.5" style="98" customWidth="1"/>
    <col min="15896" max="16131" width="9" style="98"/>
    <col min="16132" max="16132" width="10.5" style="98" customWidth="1"/>
    <col min="16133" max="16146" width="9" style="98"/>
    <col min="16147" max="16147" width="9.5" style="98" customWidth="1"/>
    <col min="16148" max="16150" width="9" style="98"/>
    <col min="16151" max="16151" width="10.5" style="98" customWidth="1"/>
    <col min="16152" max="16384" width="9" style="98"/>
  </cols>
  <sheetData>
    <row r="1" spans="1:53" ht="45" x14ac:dyDescent="0.15">
      <c r="A1" s="89" t="s">
        <v>0</v>
      </c>
      <c r="B1" s="90" t="s">
        <v>186</v>
      </c>
      <c r="C1" s="90" t="s">
        <v>187</v>
      </c>
      <c r="D1" s="91" t="s">
        <v>3</v>
      </c>
      <c r="E1" s="92" t="s">
        <v>4</v>
      </c>
      <c r="F1" s="92" t="s">
        <v>5</v>
      </c>
      <c r="G1" s="92" t="s">
        <v>6</v>
      </c>
      <c r="H1" s="92" t="s">
        <v>7</v>
      </c>
      <c r="I1" s="92" t="s">
        <v>8</v>
      </c>
      <c r="J1" s="92" t="s">
        <v>9</v>
      </c>
      <c r="K1" s="92" t="s">
        <v>10</v>
      </c>
      <c r="L1" s="91" t="s">
        <v>188</v>
      </c>
      <c r="M1" s="91" t="s">
        <v>189</v>
      </c>
      <c r="N1" s="91" t="s">
        <v>13</v>
      </c>
      <c r="O1" s="91" t="s">
        <v>190</v>
      </c>
      <c r="P1" s="91" t="s">
        <v>191</v>
      </c>
      <c r="Q1" s="93" t="s">
        <v>192</v>
      </c>
      <c r="R1" s="91" t="s">
        <v>193</v>
      </c>
      <c r="S1" s="91" t="s">
        <v>194</v>
      </c>
      <c r="T1" s="93" t="s">
        <v>19</v>
      </c>
      <c r="U1" s="94" t="s">
        <v>108</v>
      </c>
      <c r="V1" s="95" t="s">
        <v>20</v>
      </c>
      <c r="W1" s="91" t="s">
        <v>195</v>
      </c>
      <c r="X1" s="92" t="s">
        <v>22</v>
      </c>
      <c r="Y1" s="92" t="s">
        <v>23</v>
      </c>
      <c r="Z1" s="92" t="s">
        <v>24</v>
      </c>
      <c r="AA1" s="96" t="s">
        <v>25</v>
      </c>
      <c r="AB1" s="97" t="s">
        <v>196</v>
      </c>
      <c r="AE1" s="99" t="s">
        <v>0</v>
      </c>
      <c r="AF1" s="100"/>
      <c r="AG1" s="99" t="s">
        <v>4</v>
      </c>
      <c r="AH1" s="99" t="s">
        <v>5</v>
      </c>
      <c r="AI1" s="100"/>
      <c r="AJ1" s="99" t="s">
        <v>6</v>
      </c>
      <c r="AK1" s="100"/>
      <c r="AL1" s="101" t="s">
        <v>7</v>
      </c>
      <c r="AM1" s="100"/>
      <c r="AN1" s="101" t="s">
        <v>8</v>
      </c>
      <c r="AO1" s="100"/>
      <c r="AP1" s="101" t="s">
        <v>27</v>
      </c>
      <c r="AQ1" s="100"/>
      <c r="AR1" s="101" t="s">
        <v>10</v>
      </c>
      <c r="AS1" s="100"/>
      <c r="AT1" s="102" t="s">
        <v>197</v>
      </c>
      <c r="AU1" s="100"/>
      <c r="AV1" s="101" t="s">
        <v>29</v>
      </c>
      <c r="AX1" s="103" t="s">
        <v>198</v>
      </c>
      <c r="AY1" s="104" t="s">
        <v>199</v>
      </c>
      <c r="AZ1" s="104" t="s">
        <v>200</v>
      </c>
      <c r="BA1" s="105" t="s">
        <v>201</v>
      </c>
    </row>
    <row r="2" spans="1:53" s="243" customFormat="1" x14ac:dyDescent="0.15">
      <c r="A2" s="243" t="s">
        <v>51</v>
      </c>
      <c r="B2" s="243" t="s">
        <v>332</v>
      </c>
      <c r="C2" s="243">
        <v>2018</v>
      </c>
      <c r="D2" s="106" t="s">
        <v>389</v>
      </c>
      <c r="E2" s="243" t="s">
        <v>202</v>
      </c>
      <c r="F2" s="243" t="s">
        <v>203</v>
      </c>
      <c r="G2" s="243" t="s">
        <v>42</v>
      </c>
      <c r="H2" s="243" t="s">
        <v>155</v>
      </c>
      <c r="I2" s="243" t="s">
        <v>153</v>
      </c>
      <c r="J2" s="243" t="s">
        <v>38</v>
      </c>
      <c r="K2" s="243" t="s">
        <v>154</v>
      </c>
      <c r="L2" s="243">
        <v>1</v>
      </c>
      <c r="N2" s="243">
        <v>1</v>
      </c>
      <c r="O2" s="243">
        <v>0.75</v>
      </c>
      <c r="P2" s="243">
        <v>0.8</v>
      </c>
      <c r="Q2" s="107">
        <f t="shared" ref="Q2:Q65" si="0">IF(OR(O2="",P2=""),"",AVERAGE(O2,P2))</f>
        <v>0.77500000000000002</v>
      </c>
      <c r="R2" s="243">
        <v>16.2</v>
      </c>
      <c r="S2" s="243">
        <v>126</v>
      </c>
      <c r="T2" s="108">
        <f t="shared" ref="T2:T65" si="1">IF(H2="","",IF(OR(H2="GREEN",H2="GK"),IF(S2&gt;=$AX$2,VLOOKUP(S2,$AX$2:$AY$10,2,1),""),IF(S2&gt;=$AZ$2,VLOOKUP(S2,$AZ$2:$BA$10,2,1),"")))</f>
        <v>27</v>
      </c>
      <c r="U2" s="243">
        <v>98</v>
      </c>
      <c r="V2" s="109">
        <f t="shared" ref="V2:V65" si="2">IF(OR(N2="",U2="",T2=""),"",U2/N2*T2)</f>
        <v>2646</v>
      </c>
      <c r="W2" s="243">
        <v>4</v>
      </c>
      <c r="X2" s="243" t="s">
        <v>39</v>
      </c>
      <c r="Y2" s="243" t="s">
        <v>84</v>
      </c>
      <c r="Z2" s="243" t="s">
        <v>90</v>
      </c>
      <c r="AA2" s="243" t="s">
        <v>50</v>
      </c>
      <c r="AB2" s="243" t="s">
        <v>334</v>
      </c>
      <c r="AE2" s="110" t="s">
        <v>35</v>
      </c>
      <c r="AG2" s="111" t="s">
        <v>173</v>
      </c>
      <c r="AH2" s="111" t="s">
        <v>204</v>
      </c>
      <c r="AJ2" s="111" t="s">
        <v>36</v>
      </c>
      <c r="AL2" s="111" t="s">
        <v>205</v>
      </c>
      <c r="AN2" s="111" t="s">
        <v>37</v>
      </c>
      <c r="AP2" s="111" t="s">
        <v>38</v>
      </c>
      <c r="AR2" s="111" t="s">
        <v>154</v>
      </c>
      <c r="AT2" s="111" t="s">
        <v>39</v>
      </c>
      <c r="AV2" s="111" t="s">
        <v>40</v>
      </c>
      <c r="AX2" s="112">
        <v>1</v>
      </c>
      <c r="AY2" s="113">
        <v>50</v>
      </c>
      <c r="AZ2" s="113">
        <v>1</v>
      </c>
      <c r="BA2" s="114">
        <v>50</v>
      </c>
    </row>
    <row r="3" spans="1:53" s="115" customFormat="1" x14ac:dyDescent="0.15">
      <c r="A3" s="243" t="s">
        <v>51</v>
      </c>
      <c r="B3" s="243" t="s">
        <v>332</v>
      </c>
      <c r="C3" s="243">
        <v>2018</v>
      </c>
      <c r="D3" s="106" t="s">
        <v>389</v>
      </c>
      <c r="E3" s="243" t="s">
        <v>202</v>
      </c>
      <c r="F3" s="243" t="s">
        <v>203</v>
      </c>
      <c r="G3" s="243" t="s">
        <v>42</v>
      </c>
      <c r="H3" s="243" t="s">
        <v>155</v>
      </c>
      <c r="I3" s="243" t="s">
        <v>153</v>
      </c>
      <c r="J3" s="243" t="s">
        <v>38</v>
      </c>
      <c r="K3" s="243" t="s">
        <v>154</v>
      </c>
      <c r="L3" s="243">
        <v>2</v>
      </c>
      <c r="M3" s="243"/>
      <c r="N3" s="243">
        <v>1</v>
      </c>
      <c r="O3" s="243">
        <v>0.8</v>
      </c>
      <c r="P3" s="243">
        <v>0.85</v>
      </c>
      <c r="Q3" s="107">
        <f t="shared" si="0"/>
        <v>0.82499999999999996</v>
      </c>
      <c r="R3" s="243">
        <v>16.5</v>
      </c>
      <c r="S3" s="243">
        <v>132</v>
      </c>
      <c r="T3" s="108">
        <f t="shared" si="1"/>
        <v>25</v>
      </c>
      <c r="U3" s="243">
        <v>98</v>
      </c>
      <c r="V3" s="109">
        <f t="shared" si="2"/>
        <v>2450</v>
      </c>
      <c r="W3" s="243">
        <v>4</v>
      </c>
      <c r="X3" s="243" t="s">
        <v>39</v>
      </c>
      <c r="Y3" s="243" t="s">
        <v>84</v>
      </c>
      <c r="Z3" s="243" t="s">
        <v>90</v>
      </c>
      <c r="AA3" s="243" t="s">
        <v>50</v>
      </c>
      <c r="AB3" s="243" t="s">
        <v>334</v>
      </c>
      <c r="AE3" s="116" t="s">
        <v>41</v>
      </c>
      <c r="AG3" s="111" t="s">
        <v>206</v>
      </c>
      <c r="AH3" s="111" t="s">
        <v>207</v>
      </c>
      <c r="AJ3" s="117" t="s">
        <v>42</v>
      </c>
      <c r="AL3" s="117" t="s">
        <v>208</v>
      </c>
      <c r="AN3" s="117" t="s">
        <v>43</v>
      </c>
      <c r="AP3" s="117" t="s">
        <v>44</v>
      </c>
      <c r="AR3" s="118" t="s">
        <v>45</v>
      </c>
      <c r="AT3" s="117" t="s">
        <v>46</v>
      </c>
      <c r="AV3" s="117" t="s">
        <v>47</v>
      </c>
      <c r="AX3" s="119">
        <v>72</v>
      </c>
      <c r="AY3" s="120">
        <v>46</v>
      </c>
      <c r="AZ3" s="120">
        <v>71</v>
      </c>
      <c r="BA3" s="121">
        <v>42</v>
      </c>
    </row>
    <row r="4" spans="1:53" s="115" customFormat="1" x14ac:dyDescent="0.15">
      <c r="A4" s="243" t="s">
        <v>51</v>
      </c>
      <c r="B4" s="243" t="s">
        <v>332</v>
      </c>
      <c r="C4" s="243">
        <v>2018</v>
      </c>
      <c r="D4" s="106" t="s">
        <v>389</v>
      </c>
      <c r="E4" s="243" t="s">
        <v>202</v>
      </c>
      <c r="F4" s="243" t="s">
        <v>203</v>
      </c>
      <c r="G4" s="243" t="s">
        <v>42</v>
      </c>
      <c r="H4" s="243" t="s">
        <v>155</v>
      </c>
      <c r="I4" s="243" t="s">
        <v>153</v>
      </c>
      <c r="J4" s="243" t="s">
        <v>38</v>
      </c>
      <c r="K4" s="243" t="s">
        <v>154</v>
      </c>
      <c r="L4" s="243">
        <v>3</v>
      </c>
      <c r="M4" s="243"/>
      <c r="N4" s="243">
        <v>1</v>
      </c>
      <c r="O4" s="243">
        <v>0.9</v>
      </c>
      <c r="P4" s="243">
        <v>0.85</v>
      </c>
      <c r="Q4" s="107">
        <f t="shared" si="0"/>
        <v>0.875</v>
      </c>
      <c r="R4" s="243">
        <v>16.8</v>
      </c>
      <c r="S4" s="243">
        <v>134</v>
      </c>
      <c r="T4" s="108">
        <f t="shared" si="1"/>
        <v>25</v>
      </c>
      <c r="U4" s="243">
        <v>98</v>
      </c>
      <c r="V4" s="109">
        <f t="shared" si="2"/>
        <v>2450</v>
      </c>
      <c r="W4" s="243">
        <v>4</v>
      </c>
      <c r="X4" s="243" t="s">
        <v>39</v>
      </c>
      <c r="Y4" s="243" t="s">
        <v>84</v>
      </c>
      <c r="Z4" s="243" t="s">
        <v>90</v>
      </c>
      <c r="AA4" s="243" t="s">
        <v>50</v>
      </c>
      <c r="AB4" s="243" t="s">
        <v>334</v>
      </c>
      <c r="AE4" s="116" t="s">
        <v>34</v>
      </c>
      <c r="AG4" s="111" t="s">
        <v>209</v>
      </c>
      <c r="AH4" s="111" t="s">
        <v>210</v>
      </c>
      <c r="AJ4" s="122" t="s">
        <v>48</v>
      </c>
      <c r="AL4" s="122" t="s">
        <v>211</v>
      </c>
      <c r="AN4" s="123" t="s">
        <v>212</v>
      </c>
      <c r="AP4" s="117" t="s">
        <v>213</v>
      </c>
      <c r="AR4" s="118" t="s">
        <v>214</v>
      </c>
      <c r="AT4" s="123"/>
      <c r="AV4" s="117" t="s">
        <v>50</v>
      </c>
      <c r="AX4" s="119">
        <v>75</v>
      </c>
      <c r="AY4" s="120">
        <v>42</v>
      </c>
      <c r="AZ4" s="120">
        <v>76</v>
      </c>
      <c r="BA4" s="121">
        <v>39</v>
      </c>
    </row>
    <row r="5" spans="1:53" s="115" customFormat="1" x14ac:dyDescent="0.15">
      <c r="A5" s="243" t="s">
        <v>51</v>
      </c>
      <c r="B5" s="243" t="s">
        <v>332</v>
      </c>
      <c r="C5" s="243">
        <v>2018</v>
      </c>
      <c r="D5" s="106" t="s">
        <v>389</v>
      </c>
      <c r="E5" s="243" t="s">
        <v>202</v>
      </c>
      <c r="F5" s="243" t="s">
        <v>203</v>
      </c>
      <c r="G5" s="243" t="s">
        <v>42</v>
      </c>
      <c r="H5" s="243" t="s">
        <v>208</v>
      </c>
      <c r="I5" s="243" t="s">
        <v>153</v>
      </c>
      <c r="J5" s="243" t="s">
        <v>58</v>
      </c>
      <c r="K5" s="243" t="s">
        <v>59</v>
      </c>
      <c r="L5" s="243">
        <v>1</v>
      </c>
      <c r="M5" s="243"/>
      <c r="N5" s="243">
        <v>1</v>
      </c>
      <c r="O5" s="243">
        <v>0.8</v>
      </c>
      <c r="P5" s="243">
        <v>0.75</v>
      </c>
      <c r="Q5" s="107">
        <f t="shared" si="0"/>
        <v>0.77500000000000002</v>
      </c>
      <c r="R5" s="243">
        <v>15.7</v>
      </c>
      <c r="S5" s="243">
        <v>138</v>
      </c>
      <c r="T5" s="108">
        <f t="shared" si="1"/>
        <v>22</v>
      </c>
      <c r="U5" s="243">
        <v>158</v>
      </c>
      <c r="V5" s="109">
        <f t="shared" si="2"/>
        <v>3476</v>
      </c>
      <c r="W5" s="243">
        <v>4</v>
      </c>
      <c r="X5" s="243" t="s">
        <v>39</v>
      </c>
      <c r="Y5" s="243" t="s">
        <v>84</v>
      </c>
      <c r="Z5" s="243" t="s">
        <v>90</v>
      </c>
      <c r="AA5" s="243" t="s">
        <v>50</v>
      </c>
      <c r="AB5" s="243" t="s">
        <v>334</v>
      </c>
      <c r="AE5" s="116"/>
      <c r="AG5" s="111"/>
      <c r="AH5" s="111"/>
      <c r="AJ5" s="122"/>
      <c r="AL5" s="257"/>
      <c r="AN5" s="257"/>
      <c r="AP5" s="117"/>
      <c r="AR5" s="118"/>
      <c r="AV5" s="117"/>
      <c r="AX5" s="119"/>
      <c r="AY5" s="120"/>
      <c r="AZ5" s="120"/>
      <c r="BA5" s="121"/>
    </row>
    <row r="6" spans="1:53" s="115" customFormat="1" x14ac:dyDescent="0.15">
      <c r="A6" s="243" t="s">
        <v>51</v>
      </c>
      <c r="B6" s="243" t="s">
        <v>332</v>
      </c>
      <c r="C6" s="243">
        <v>2018</v>
      </c>
      <c r="D6" s="106" t="s">
        <v>389</v>
      </c>
      <c r="E6" s="243" t="s">
        <v>202</v>
      </c>
      <c r="F6" s="243" t="s">
        <v>203</v>
      </c>
      <c r="G6" s="243" t="s">
        <v>42</v>
      </c>
      <c r="H6" s="243" t="s">
        <v>208</v>
      </c>
      <c r="I6" s="243" t="s">
        <v>153</v>
      </c>
      <c r="J6" s="243" t="s">
        <v>58</v>
      </c>
      <c r="K6" s="243" t="s">
        <v>59</v>
      </c>
      <c r="L6" s="243">
        <v>2</v>
      </c>
      <c r="M6" s="243"/>
      <c r="N6" s="243">
        <v>1</v>
      </c>
      <c r="O6" s="243">
        <v>0.85</v>
      </c>
      <c r="P6" s="243">
        <v>0.9</v>
      </c>
      <c r="Q6" s="107">
        <f t="shared" si="0"/>
        <v>0.875</v>
      </c>
      <c r="R6" s="243">
        <v>16.100000000000001</v>
      </c>
      <c r="S6" s="243">
        <v>142</v>
      </c>
      <c r="T6" s="108">
        <f t="shared" si="1"/>
        <v>22</v>
      </c>
      <c r="U6" s="243">
        <v>158</v>
      </c>
      <c r="V6" s="109">
        <f t="shared" si="2"/>
        <v>3476</v>
      </c>
      <c r="W6" s="243">
        <v>4</v>
      </c>
      <c r="X6" s="243" t="s">
        <v>39</v>
      </c>
      <c r="Y6" s="243" t="s">
        <v>84</v>
      </c>
      <c r="Z6" s="243" t="s">
        <v>90</v>
      </c>
      <c r="AA6" s="243" t="s">
        <v>50</v>
      </c>
      <c r="AB6" s="243" t="s">
        <v>334</v>
      </c>
      <c r="AE6" s="116"/>
      <c r="AG6" s="111"/>
      <c r="AH6" s="111"/>
      <c r="AJ6" s="122"/>
      <c r="AL6" s="257"/>
      <c r="AN6" s="257"/>
      <c r="AP6" s="117"/>
      <c r="AR6" s="118"/>
      <c r="AV6" s="117"/>
      <c r="AX6" s="119"/>
      <c r="AY6" s="120"/>
      <c r="AZ6" s="120"/>
      <c r="BA6" s="121"/>
    </row>
    <row r="7" spans="1:53" s="115" customFormat="1" x14ac:dyDescent="0.15">
      <c r="A7" s="243" t="s">
        <v>51</v>
      </c>
      <c r="B7" s="243" t="s">
        <v>332</v>
      </c>
      <c r="C7" s="243">
        <v>2018</v>
      </c>
      <c r="D7" s="106" t="s">
        <v>389</v>
      </c>
      <c r="E7" s="243" t="s">
        <v>202</v>
      </c>
      <c r="F7" s="243" t="s">
        <v>203</v>
      </c>
      <c r="G7" s="243" t="s">
        <v>42</v>
      </c>
      <c r="H7" s="243" t="s">
        <v>208</v>
      </c>
      <c r="I7" s="243" t="s">
        <v>153</v>
      </c>
      <c r="J7" s="243" t="s">
        <v>58</v>
      </c>
      <c r="K7" s="243" t="s">
        <v>59</v>
      </c>
      <c r="L7" s="243">
        <v>3</v>
      </c>
      <c r="M7" s="243"/>
      <c r="N7" s="243">
        <v>1</v>
      </c>
      <c r="O7" s="243">
        <v>0.55000000000000004</v>
      </c>
      <c r="P7" s="243">
        <v>0.7</v>
      </c>
      <c r="Q7" s="107">
        <f t="shared" si="0"/>
        <v>0.625</v>
      </c>
      <c r="R7" s="243">
        <v>14.9</v>
      </c>
      <c r="S7" s="243">
        <v>126</v>
      </c>
      <c r="T7" s="108">
        <f t="shared" si="1"/>
        <v>27</v>
      </c>
      <c r="U7" s="243">
        <v>158</v>
      </c>
      <c r="V7" s="109">
        <f t="shared" si="2"/>
        <v>4266</v>
      </c>
      <c r="W7" s="243">
        <v>4</v>
      </c>
      <c r="X7" s="243" t="s">
        <v>39</v>
      </c>
      <c r="Y7" s="243" t="s">
        <v>84</v>
      </c>
      <c r="Z7" s="243" t="s">
        <v>90</v>
      </c>
      <c r="AA7" s="243" t="s">
        <v>50</v>
      </c>
      <c r="AB7" s="243" t="s">
        <v>334</v>
      </c>
      <c r="AE7" s="116"/>
      <c r="AG7" s="111"/>
      <c r="AH7" s="111"/>
      <c r="AJ7" s="122"/>
      <c r="AL7" s="257"/>
      <c r="AN7" s="257"/>
      <c r="AP7" s="117"/>
      <c r="AR7" s="118"/>
      <c r="AV7" s="117"/>
      <c r="AX7" s="119"/>
      <c r="AY7" s="120"/>
      <c r="AZ7" s="120"/>
      <c r="BA7" s="121"/>
    </row>
    <row r="8" spans="1:53" s="115" customFormat="1" x14ac:dyDescent="0.15">
      <c r="A8" s="243" t="s">
        <v>51</v>
      </c>
      <c r="B8" s="243" t="s">
        <v>332</v>
      </c>
      <c r="C8" s="243">
        <v>2018</v>
      </c>
      <c r="D8" s="106" t="s">
        <v>389</v>
      </c>
      <c r="E8" s="243" t="s">
        <v>206</v>
      </c>
      <c r="F8" s="243" t="s">
        <v>207</v>
      </c>
      <c r="G8" s="243" t="s">
        <v>36</v>
      </c>
      <c r="H8" s="243" t="s">
        <v>155</v>
      </c>
      <c r="I8" s="243" t="s">
        <v>153</v>
      </c>
      <c r="J8" s="243" t="s">
        <v>38</v>
      </c>
      <c r="K8" s="243" t="s">
        <v>154</v>
      </c>
      <c r="L8" s="243">
        <v>1</v>
      </c>
      <c r="M8" s="243"/>
      <c r="N8" s="243">
        <v>1</v>
      </c>
      <c r="O8" s="243">
        <v>0.8</v>
      </c>
      <c r="P8" s="243">
        <v>0.75</v>
      </c>
      <c r="Q8" s="107">
        <f t="shared" si="0"/>
        <v>0.77500000000000002</v>
      </c>
      <c r="R8" s="243">
        <v>14.9</v>
      </c>
      <c r="S8" s="243">
        <v>138</v>
      </c>
      <c r="T8" s="108">
        <f t="shared" si="1"/>
        <v>22</v>
      </c>
      <c r="U8" s="243">
        <v>138</v>
      </c>
      <c r="V8" s="109">
        <f t="shared" si="2"/>
        <v>3036</v>
      </c>
      <c r="W8" s="243">
        <v>4</v>
      </c>
      <c r="X8" s="243" t="s">
        <v>46</v>
      </c>
      <c r="Y8" s="243" t="s">
        <v>84</v>
      </c>
      <c r="Z8" s="243" t="s">
        <v>50</v>
      </c>
      <c r="AA8" s="243" t="s">
        <v>69</v>
      </c>
      <c r="AB8" s="243" t="s">
        <v>334</v>
      </c>
      <c r="AE8" s="116" t="s">
        <v>59</v>
      </c>
      <c r="AG8" s="111" t="s">
        <v>219</v>
      </c>
      <c r="AH8" s="111" t="s">
        <v>220</v>
      </c>
      <c r="AL8" s="115" t="s">
        <v>166</v>
      </c>
      <c r="AP8" s="117" t="s">
        <v>62</v>
      </c>
      <c r="AR8" s="118" t="s">
        <v>81</v>
      </c>
      <c r="AV8" s="117" t="s">
        <v>97</v>
      </c>
      <c r="AX8" s="119">
        <v>119</v>
      </c>
      <c r="AY8" s="120">
        <v>30</v>
      </c>
      <c r="AZ8" s="120">
        <v>121</v>
      </c>
      <c r="BA8" s="121">
        <v>27</v>
      </c>
    </row>
    <row r="9" spans="1:53" s="115" customFormat="1" x14ac:dyDescent="0.15">
      <c r="A9" s="243" t="s">
        <v>51</v>
      </c>
      <c r="B9" s="243" t="s">
        <v>332</v>
      </c>
      <c r="C9" s="243">
        <v>2018</v>
      </c>
      <c r="D9" s="106" t="s">
        <v>389</v>
      </c>
      <c r="E9" s="243" t="s">
        <v>206</v>
      </c>
      <c r="F9" s="243" t="s">
        <v>207</v>
      </c>
      <c r="G9" s="243" t="s">
        <v>36</v>
      </c>
      <c r="H9" s="243" t="s">
        <v>155</v>
      </c>
      <c r="I9" s="243" t="s">
        <v>153</v>
      </c>
      <c r="J9" s="243" t="s">
        <v>38</v>
      </c>
      <c r="K9" s="243" t="s">
        <v>154</v>
      </c>
      <c r="L9" s="243">
        <v>2</v>
      </c>
      <c r="M9" s="243"/>
      <c r="N9" s="243">
        <v>1</v>
      </c>
      <c r="O9" s="243">
        <v>0.75</v>
      </c>
      <c r="P9" s="243">
        <v>0.85</v>
      </c>
      <c r="Q9" s="107">
        <f t="shared" si="0"/>
        <v>0.8</v>
      </c>
      <c r="R9" s="243">
        <v>15.3</v>
      </c>
      <c r="S9" s="243">
        <v>138</v>
      </c>
      <c r="T9" s="108">
        <f t="shared" si="1"/>
        <v>22</v>
      </c>
      <c r="U9" s="243">
        <v>138</v>
      </c>
      <c r="V9" s="109">
        <f t="shared" si="2"/>
        <v>3036</v>
      </c>
      <c r="W9" s="243">
        <v>4</v>
      </c>
      <c r="X9" s="243" t="s">
        <v>46</v>
      </c>
      <c r="Y9" s="243" t="s">
        <v>84</v>
      </c>
      <c r="Z9" s="243" t="s">
        <v>50</v>
      </c>
      <c r="AA9" s="243" t="s">
        <v>69</v>
      </c>
      <c r="AB9" s="243" t="s">
        <v>334</v>
      </c>
      <c r="AE9" s="116" t="s">
        <v>221</v>
      </c>
      <c r="AG9" s="111" t="s">
        <v>222</v>
      </c>
      <c r="AH9" s="111" t="s">
        <v>203</v>
      </c>
      <c r="AL9" s="124"/>
      <c r="AP9" s="117" t="s">
        <v>95</v>
      </c>
      <c r="AR9" s="118" t="s">
        <v>223</v>
      </c>
      <c r="AV9" s="117" t="s">
        <v>102</v>
      </c>
      <c r="AX9" s="119">
        <v>128</v>
      </c>
      <c r="AY9" s="120">
        <v>27</v>
      </c>
      <c r="AZ9" s="120">
        <v>129</v>
      </c>
      <c r="BA9" s="121">
        <v>25</v>
      </c>
    </row>
    <row r="10" spans="1:53" s="115" customFormat="1" x14ac:dyDescent="0.15">
      <c r="A10" s="243" t="s">
        <v>51</v>
      </c>
      <c r="B10" s="243" t="s">
        <v>332</v>
      </c>
      <c r="C10" s="243">
        <v>2018</v>
      </c>
      <c r="D10" s="106" t="s">
        <v>389</v>
      </c>
      <c r="E10" s="243" t="s">
        <v>206</v>
      </c>
      <c r="F10" s="243" t="s">
        <v>207</v>
      </c>
      <c r="G10" s="243" t="s">
        <v>36</v>
      </c>
      <c r="H10" s="243" t="s">
        <v>155</v>
      </c>
      <c r="I10" s="243" t="s">
        <v>153</v>
      </c>
      <c r="J10" s="243" t="s">
        <v>38</v>
      </c>
      <c r="K10" s="243" t="s">
        <v>154</v>
      </c>
      <c r="L10" s="243">
        <v>3</v>
      </c>
      <c r="M10" s="243"/>
      <c r="N10" s="243">
        <v>1</v>
      </c>
      <c r="O10" s="243">
        <v>0.8</v>
      </c>
      <c r="P10" s="243">
        <v>0.25</v>
      </c>
      <c r="Q10" s="107">
        <f t="shared" si="0"/>
        <v>0.52500000000000002</v>
      </c>
      <c r="R10" s="243">
        <v>14.7</v>
      </c>
      <c r="S10" s="243">
        <v>136</v>
      </c>
      <c r="T10" s="108">
        <f t="shared" si="1"/>
        <v>25</v>
      </c>
      <c r="U10" s="243">
        <v>138</v>
      </c>
      <c r="V10" s="109">
        <f t="shared" si="2"/>
        <v>3450</v>
      </c>
      <c r="W10" s="243">
        <v>4</v>
      </c>
      <c r="X10" s="243" t="s">
        <v>46</v>
      </c>
      <c r="Y10" s="243" t="s">
        <v>84</v>
      </c>
      <c r="Z10" s="243" t="s">
        <v>50</v>
      </c>
      <c r="AA10" s="243" t="s">
        <v>69</v>
      </c>
      <c r="AB10" s="243" t="s">
        <v>334</v>
      </c>
      <c r="AE10" s="116" t="s">
        <v>224</v>
      </c>
      <c r="AG10" s="111" t="s">
        <v>202</v>
      </c>
      <c r="AH10" s="117" t="s">
        <v>203</v>
      </c>
      <c r="AP10" s="117" t="s">
        <v>100</v>
      </c>
      <c r="AR10" s="118" t="s">
        <v>225</v>
      </c>
      <c r="AV10" s="117" t="s">
        <v>106</v>
      </c>
      <c r="AX10" s="119">
        <v>138</v>
      </c>
      <c r="AY10" s="120">
        <v>25</v>
      </c>
      <c r="AZ10" s="120">
        <v>138</v>
      </c>
      <c r="BA10" s="121">
        <v>22</v>
      </c>
    </row>
    <row r="11" spans="1:53" s="115" customFormat="1" x14ac:dyDescent="0.15">
      <c r="A11" s="243" t="s">
        <v>51</v>
      </c>
      <c r="B11" s="243" t="s">
        <v>332</v>
      </c>
      <c r="C11" s="243">
        <v>2018</v>
      </c>
      <c r="D11" s="106" t="s">
        <v>389</v>
      </c>
      <c r="E11" s="243" t="s">
        <v>139</v>
      </c>
      <c r="F11" s="243" t="s">
        <v>390</v>
      </c>
      <c r="G11" s="243" t="s">
        <v>42</v>
      </c>
      <c r="H11" s="243" t="s">
        <v>155</v>
      </c>
      <c r="I11" s="243" t="s">
        <v>153</v>
      </c>
      <c r="J11" s="243" t="s">
        <v>38</v>
      </c>
      <c r="K11" s="243" t="s">
        <v>154</v>
      </c>
      <c r="L11" s="243">
        <v>1</v>
      </c>
      <c r="M11" s="243"/>
      <c r="N11" s="243">
        <v>1</v>
      </c>
      <c r="O11" s="243">
        <v>1.1000000000000001</v>
      </c>
      <c r="P11" s="243">
        <v>0.9</v>
      </c>
      <c r="Q11" s="107">
        <f t="shared" si="0"/>
        <v>1</v>
      </c>
      <c r="R11" s="243">
        <v>16</v>
      </c>
      <c r="S11" s="243">
        <v>136</v>
      </c>
      <c r="T11" s="108">
        <f t="shared" si="1"/>
        <v>25</v>
      </c>
      <c r="U11" s="243">
        <v>98</v>
      </c>
      <c r="V11" s="109">
        <f t="shared" si="2"/>
        <v>2450</v>
      </c>
      <c r="W11" s="243">
        <v>8</v>
      </c>
      <c r="X11" s="243" t="s">
        <v>46</v>
      </c>
      <c r="Y11" s="243" t="s">
        <v>84</v>
      </c>
      <c r="Z11" s="243" t="s">
        <v>50</v>
      </c>
      <c r="AA11" s="243" t="s">
        <v>69</v>
      </c>
      <c r="AB11" s="243" t="s">
        <v>334</v>
      </c>
      <c r="AE11" s="116" t="s">
        <v>96</v>
      </c>
      <c r="AG11" s="117"/>
      <c r="AH11" s="117"/>
      <c r="AP11" s="117" t="s">
        <v>74</v>
      </c>
      <c r="AR11" s="118" t="s">
        <v>227</v>
      </c>
      <c r="AV11" s="117" t="s">
        <v>78</v>
      </c>
    </row>
    <row r="12" spans="1:53" s="115" customFormat="1" x14ac:dyDescent="0.15">
      <c r="A12" s="243" t="s">
        <v>51</v>
      </c>
      <c r="B12" s="243" t="s">
        <v>332</v>
      </c>
      <c r="C12" s="243">
        <v>2018</v>
      </c>
      <c r="D12" s="106" t="s">
        <v>389</v>
      </c>
      <c r="E12" s="243" t="s">
        <v>139</v>
      </c>
      <c r="F12" s="243" t="s">
        <v>390</v>
      </c>
      <c r="G12" s="243" t="s">
        <v>42</v>
      </c>
      <c r="H12" s="243" t="s">
        <v>155</v>
      </c>
      <c r="I12" s="243" t="s">
        <v>153</v>
      </c>
      <c r="J12" s="243" t="s">
        <v>38</v>
      </c>
      <c r="K12" s="243" t="s">
        <v>154</v>
      </c>
      <c r="L12" s="243">
        <v>2</v>
      </c>
      <c r="M12" s="243"/>
      <c r="N12" s="243">
        <v>1</v>
      </c>
      <c r="O12" s="243">
        <v>1</v>
      </c>
      <c r="P12" s="243">
        <v>1.05</v>
      </c>
      <c r="Q12" s="107">
        <f t="shared" si="0"/>
        <v>1.0249999999999999</v>
      </c>
      <c r="R12" s="243">
        <v>15.8</v>
      </c>
      <c r="S12" s="243">
        <v>136</v>
      </c>
      <c r="T12" s="108">
        <f t="shared" si="1"/>
        <v>25</v>
      </c>
      <c r="U12" s="243">
        <v>98</v>
      </c>
      <c r="V12" s="109">
        <f t="shared" si="2"/>
        <v>2450</v>
      </c>
      <c r="W12" s="243">
        <v>8</v>
      </c>
      <c r="X12" s="243" t="s">
        <v>46</v>
      </c>
      <c r="Y12" s="243" t="s">
        <v>84</v>
      </c>
      <c r="Z12" s="243" t="s">
        <v>50</v>
      </c>
      <c r="AA12" s="243" t="s">
        <v>69</v>
      </c>
      <c r="AB12" s="243" t="s">
        <v>334</v>
      </c>
      <c r="AE12" s="116" t="s">
        <v>228</v>
      </c>
      <c r="AG12" s="117"/>
      <c r="AH12" s="117"/>
      <c r="AP12" s="117" t="s">
        <v>77</v>
      </c>
      <c r="AR12" s="118" t="s">
        <v>80</v>
      </c>
      <c r="AV12" s="117" t="s">
        <v>107</v>
      </c>
    </row>
    <row r="13" spans="1:53" s="115" customFormat="1" x14ac:dyDescent="0.15">
      <c r="A13" s="243" t="s">
        <v>51</v>
      </c>
      <c r="B13" s="243" t="s">
        <v>332</v>
      </c>
      <c r="C13" s="243">
        <v>2018</v>
      </c>
      <c r="D13" s="106" t="s">
        <v>389</v>
      </c>
      <c r="E13" s="243" t="s">
        <v>139</v>
      </c>
      <c r="F13" s="243" t="s">
        <v>390</v>
      </c>
      <c r="G13" s="243" t="s">
        <v>42</v>
      </c>
      <c r="H13" s="243" t="s">
        <v>155</v>
      </c>
      <c r="I13" s="243" t="s">
        <v>153</v>
      </c>
      <c r="J13" s="243" t="s">
        <v>38</v>
      </c>
      <c r="K13" s="243" t="s">
        <v>154</v>
      </c>
      <c r="L13" s="243">
        <v>3</v>
      </c>
      <c r="M13" s="243"/>
      <c r="N13" s="243">
        <v>1</v>
      </c>
      <c r="O13" s="243">
        <v>0.95</v>
      </c>
      <c r="P13" s="243">
        <v>1</v>
      </c>
      <c r="Q13" s="107">
        <f t="shared" si="0"/>
        <v>0.97499999999999998</v>
      </c>
      <c r="R13" s="243">
        <v>15.5</v>
      </c>
      <c r="S13" s="243">
        <v>132</v>
      </c>
      <c r="T13" s="108">
        <f t="shared" si="1"/>
        <v>25</v>
      </c>
      <c r="U13" s="243">
        <v>98</v>
      </c>
      <c r="V13" s="109">
        <f t="shared" si="2"/>
        <v>2450</v>
      </c>
      <c r="W13" s="243">
        <v>8</v>
      </c>
      <c r="X13" s="243" t="s">
        <v>46</v>
      </c>
      <c r="Y13" s="243" t="s">
        <v>84</v>
      </c>
      <c r="Z13" s="243" t="s">
        <v>50</v>
      </c>
      <c r="AA13" s="243" t="s">
        <v>69</v>
      </c>
      <c r="AB13" s="243" t="s">
        <v>334</v>
      </c>
      <c r="AE13" s="116" t="s">
        <v>229</v>
      </c>
      <c r="AG13" s="123"/>
      <c r="AH13" s="123"/>
      <c r="AP13" s="117" t="s">
        <v>80</v>
      </c>
      <c r="AR13" s="118" t="s">
        <v>63</v>
      </c>
      <c r="AV13" s="117" t="s">
        <v>84</v>
      </c>
    </row>
    <row r="14" spans="1:53" s="115" customFormat="1" x14ac:dyDescent="0.15">
      <c r="A14" s="243" t="s">
        <v>51</v>
      </c>
      <c r="B14" s="243" t="s">
        <v>332</v>
      </c>
      <c r="C14" s="243">
        <v>2018</v>
      </c>
      <c r="D14" s="106" t="s">
        <v>389</v>
      </c>
      <c r="E14" s="243" t="s">
        <v>139</v>
      </c>
      <c r="F14" s="243" t="s">
        <v>390</v>
      </c>
      <c r="G14" s="243" t="s">
        <v>42</v>
      </c>
      <c r="H14" s="243" t="s">
        <v>166</v>
      </c>
      <c r="I14" s="243" t="s">
        <v>153</v>
      </c>
      <c r="J14" s="243" t="s">
        <v>38</v>
      </c>
      <c r="K14" s="243" t="s">
        <v>154</v>
      </c>
      <c r="L14" s="243">
        <v>1</v>
      </c>
      <c r="M14" s="243"/>
      <c r="N14" s="243">
        <v>1</v>
      </c>
      <c r="O14" s="243">
        <v>0.65</v>
      </c>
      <c r="P14" s="243">
        <v>0.75</v>
      </c>
      <c r="Q14" s="107">
        <f t="shared" si="0"/>
        <v>0.7</v>
      </c>
      <c r="R14" s="243">
        <v>15.3</v>
      </c>
      <c r="S14" s="243">
        <v>138</v>
      </c>
      <c r="T14" s="108">
        <f t="shared" si="1"/>
        <v>22</v>
      </c>
      <c r="U14" s="243">
        <v>100</v>
      </c>
      <c r="V14" s="109">
        <f t="shared" si="2"/>
        <v>2200</v>
      </c>
      <c r="W14" s="243">
        <v>8</v>
      </c>
      <c r="X14" s="243" t="s">
        <v>46</v>
      </c>
      <c r="Y14" s="243" t="s">
        <v>84</v>
      </c>
      <c r="Z14" s="243" t="s">
        <v>50</v>
      </c>
      <c r="AA14" s="243" t="s">
        <v>69</v>
      </c>
      <c r="AB14" s="243" t="s">
        <v>334</v>
      </c>
      <c r="AE14" s="116" t="s">
        <v>230</v>
      </c>
      <c r="AP14" s="125" t="s">
        <v>231</v>
      </c>
      <c r="AR14" s="118" t="s">
        <v>96</v>
      </c>
      <c r="AV14" s="117" t="s">
        <v>86</v>
      </c>
    </row>
    <row r="15" spans="1:53" s="115" customFormat="1" x14ac:dyDescent="0.15">
      <c r="A15" s="243" t="s">
        <v>51</v>
      </c>
      <c r="B15" s="243" t="s">
        <v>332</v>
      </c>
      <c r="C15" s="243">
        <v>2018</v>
      </c>
      <c r="D15" s="106" t="s">
        <v>389</v>
      </c>
      <c r="E15" s="243" t="s">
        <v>139</v>
      </c>
      <c r="F15" s="243" t="s">
        <v>390</v>
      </c>
      <c r="G15" s="243" t="s">
        <v>42</v>
      </c>
      <c r="H15" s="243" t="s">
        <v>166</v>
      </c>
      <c r="I15" s="243" t="s">
        <v>153</v>
      </c>
      <c r="J15" s="243" t="s">
        <v>38</v>
      </c>
      <c r="K15" s="243" t="s">
        <v>154</v>
      </c>
      <c r="L15" s="243">
        <v>2</v>
      </c>
      <c r="M15" s="243"/>
      <c r="N15" s="243">
        <v>1</v>
      </c>
      <c r="O15" s="243">
        <v>0.7</v>
      </c>
      <c r="P15" s="243">
        <v>0.7</v>
      </c>
      <c r="Q15" s="107">
        <f t="shared" si="0"/>
        <v>0.7</v>
      </c>
      <c r="R15" s="243">
        <v>15.7</v>
      </c>
      <c r="S15" s="243">
        <v>142</v>
      </c>
      <c r="T15" s="108">
        <f t="shared" si="1"/>
        <v>22</v>
      </c>
      <c r="U15" s="243">
        <v>100</v>
      </c>
      <c r="V15" s="109">
        <f t="shared" si="2"/>
        <v>2200</v>
      </c>
      <c r="W15" s="243">
        <v>8</v>
      </c>
      <c r="X15" s="243" t="s">
        <v>46</v>
      </c>
      <c r="Y15" s="243" t="s">
        <v>84</v>
      </c>
      <c r="Z15" s="243" t="s">
        <v>50</v>
      </c>
      <c r="AA15" s="243" t="s">
        <v>69</v>
      </c>
      <c r="AB15" s="243" t="s">
        <v>334</v>
      </c>
      <c r="AE15" s="116" t="s">
        <v>226</v>
      </c>
      <c r="AP15" s="125" t="s">
        <v>232</v>
      </c>
      <c r="AR15" s="118" t="s">
        <v>101</v>
      </c>
      <c r="AV15" s="117" t="s">
        <v>88</v>
      </c>
    </row>
    <row r="16" spans="1:53" s="115" customFormat="1" x14ac:dyDescent="0.15">
      <c r="A16" s="243" t="s">
        <v>51</v>
      </c>
      <c r="B16" s="243" t="s">
        <v>332</v>
      </c>
      <c r="C16" s="243">
        <v>2018</v>
      </c>
      <c r="D16" s="106" t="s">
        <v>389</v>
      </c>
      <c r="E16" s="243" t="s">
        <v>139</v>
      </c>
      <c r="F16" s="243" t="s">
        <v>390</v>
      </c>
      <c r="G16" s="243" t="s">
        <v>42</v>
      </c>
      <c r="H16" s="243" t="s">
        <v>166</v>
      </c>
      <c r="I16" s="243" t="s">
        <v>153</v>
      </c>
      <c r="J16" s="243" t="s">
        <v>38</v>
      </c>
      <c r="K16" s="243" t="s">
        <v>154</v>
      </c>
      <c r="L16" s="243">
        <v>3</v>
      </c>
      <c r="M16" s="243"/>
      <c r="N16" s="243">
        <v>1</v>
      </c>
      <c r="O16" s="243">
        <v>0.75</v>
      </c>
      <c r="P16" s="243">
        <v>0.8</v>
      </c>
      <c r="Q16" s="107">
        <f t="shared" si="0"/>
        <v>0.77500000000000002</v>
      </c>
      <c r="R16" s="243">
        <v>16.100000000000001</v>
      </c>
      <c r="S16" s="243">
        <v>144</v>
      </c>
      <c r="T16" s="108">
        <f t="shared" si="1"/>
        <v>22</v>
      </c>
      <c r="U16" s="243">
        <v>100</v>
      </c>
      <c r="V16" s="109">
        <f t="shared" si="2"/>
        <v>2200</v>
      </c>
      <c r="W16" s="243">
        <v>8</v>
      </c>
      <c r="X16" s="243" t="s">
        <v>46</v>
      </c>
      <c r="Y16" s="243" t="s">
        <v>84</v>
      </c>
      <c r="Z16" s="243" t="s">
        <v>50</v>
      </c>
      <c r="AA16" s="243" t="s">
        <v>69</v>
      </c>
      <c r="AB16" s="243" t="s">
        <v>334</v>
      </c>
      <c r="AE16" s="126" t="s">
        <v>223</v>
      </c>
      <c r="AP16" s="125" t="s">
        <v>233</v>
      </c>
      <c r="AR16" s="118" t="s">
        <v>234</v>
      </c>
      <c r="AV16" s="117" t="s">
        <v>90</v>
      </c>
    </row>
    <row r="17" spans="1:48" s="115" customFormat="1" x14ac:dyDescent="0.15">
      <c r="A17" s="243" t="s">
        <v>51</v>
      </c>
      <c r="B17" s="243" t="s">
        <v>332</v>
      </c>
      <c r="C17" s="243">
        <v>2018</v>
      </c>
      <c r="D17" s="106" t="s">
        <v>389</v>
      </c>
      <c r="E17" s="243" t="s">
        <v>216</v>
      </c>
      <c r="F17" s="243" t="s">
        <v>217</v>
      </c>
      <c r="G17" s="243" t="s">
        <v>36</v>
      </c>
      <c r="H17" s="243" t="s">
        <v>155</v>
      </c>
      <c r="I17" s="243" t="s">
        <v>153</v>
      </c>
      <c r="J17" s="243" t="s">
        <v>38</v>
      </c>
      <c r="K17" s="243" t="s">
        <v>154</v>
      </c>
      <c r="L17" s="243">
        <v>1</v>
      </c>
      <c r="M17" s="243"/>
      <c r="N17" s="243">
        <v>1</v>
      </c>
      <c r="O17" s="243">
        <v>0.95</v>
      </c>
      <c r="P17" s="243">
        <v>1</v>
      </c>
      <c r="Q17" s="107">
        <f t="shared" si="0"/>
        <v>0.97499999999999998</v>
      </c>
      <c r="R17" s="243">
        <v>14.4</v>
      </c>
      <c r="S17" s="243">
        <v>144</v>
      </c>
      <c r="T17" s="108">
        <f t="shared" si="1"/>
        <v>22</v>
      </c>
      <c r="U17" s="243">
        <v>98</v>
      </c>
      <c r="V17" s="109">
        <f t="shared" si="2"/>
        <v>2156</v>
      </c>
      <c r="W17" s="243">
        <v>5</v>
      </c>
      <c r="X17" s="243" t="s">
        <v>39</v>
      </c>
      <c r="Y17" s="243" t="s">
        <v>84</v>
      </c>
      <c r="Z17" s="243" t="s">
        <v>69</v>
      </c>
      <c r="AA17" s="243" t="s">
        <v>90</v>
      </c>
      <c r="AB17" s="243" t="s">
        <v>334</v>
      </c>
      <c r="AE17" s="126"/>
      <c r="AP17" s="125" t="s">
        <v>235</v>
      </c>
      <c r="AR17" s="118" t="s">
        <v>105</v>
      </c>
      <c r="AV17" s="122" t="s">
        <v>236</v>
      </c>
    </row>
    <row r="18" spans="1:48" s="115" customFormat="1" x14ac:dyDescent="0.15">
      <c r="A18" s="243" t="s">
        <v>51</v>
      </c>
      <c r="B18" s="243" t="s">
        <v>332</v>
      </c>
      <c r="C18" s="243">
        <v>2018</v>
      </c>
      <c r="D18" s="106" t="s">
        <v>389</v>
      </c>
      <c r="E18" s="243" t="s">
        <v>216</v>
      </c>
      <c r="F18" s="243" t="s">
        <v>217</v>
      </c>
      <c r="G18" s="243" t="s">
        <v>36</v>
      </c>
      <c r="H18" s="243" t="s">
        <v>155</v>
      </c>
      <c r="I18" s="243" t="s">
        <v>153</v>
      </c>
      <c r="J18" s="243" t="s">
        <v>38</v>
      </c>
      <c r="K18" s="243" t="s">
        <v>154</v>
      </c>
      <c r="L18" s="243">
        <v>2</v>
      </c>
      <c r="M18" s="243"/>
      <c r="N18" s="243">
        <v>1</v>
      </c>
      <c r="O18" s="243">
        <v>1</v>
      </c>
      <c r="P18" s="243">
        <v>1.1000000000000001</v>
      </c>
      <c r="Q18" s="107">
        <f t="shared" si="0"/>
        <v>1.05</v>
      </c>
      <c r="R18" s="243">
        <v>12.7</v>
      </c>
      <c r="S18" s="243">
        <v>142</v>
      </c>
      <c r="T18" s="108">
        <f t="shared" si="1"/>
        <v>22</v>
      </c>
      <c r="U18" s="243">
        <v>98</v>
      </c>
      <c r="V18" s="109">
        <f t="shared" si="2"/>
        <v>2156</v>
      </c>
      <c r="W18" s="243">
        <v>5</v>
      </c>
      <c r="X18" s="243" t="s">
        <v>39</v>
      </c>
      <c r="Y18" s="243" t="s">
        <v>84</v>
      </c>
      <c r="Z18" s="243" t="s">
        <v>69</v>
      </c>
      <c r="AA18" s="243" t="s">
        <v>90</v>
      </c>
      <c r="AB18" s="243" t="s">
        <v>334</v>
      </c>
      <c r="AE18" s="123"/>
      <c r="AP18" s="125" t="s">
        <v>237</v>
      </c>
      <c r="AR18" s="118" t="s">
        <v>68</v>
      </c>
      <c r="AV18" s="122" t="s">
        <v>172</v>
      </c>
    </row>
    <row r="19" spans="1:48" s="115" customFormat="1" x14ac:dyDescent="0.15">
      <c r="A19" s="243" t="s">
        <v>51</v>
      </c>
      <c r="B19" s="243" t="s">
        <v>332</v>
      </c>
      <c r="C19" s="243">
        <v>2018</v>
      </c>
      <c r="D19" s="106" t="s">
        <v>389</v>
      </c>
      <c r="E19" s="243" t="s">
        <v>216</v>
      </c>
      <c r="F19" s="243" t="s">
        <v>217</v>
      </c>
      <c r="G19" s="243" t="s">
        <v>36</v>
      </c>
      <c r="H19" s="243" t="s">
        <v>155</v>
      </c>
      <c r="I19" s="243" t="s">
        <v>153</v>
      </c>
      <c r="J19" s="243" t="s">
        <v>38</v>
      </c>
      <c r="K19" s="243" t="s">
        <v>154</v>
      </c>
      <c r="L19" s="243">
        <v>3</v>
      </c>
      <c r="M19" s="243"/>
      <c r="N19" s="243">
        <v>1</v>
      </c>
      <c r="O19" s="243">
        <v>1.1499999999999999</v>
      </c>
      <c r="P19" s="243">
        <v>1.05</v>
      </c>
      <c r="Q19" s="107">
        <f t="shared" si="0"/>
        <v>1.1000000000000001</v>
      </c>
      <c r="R19" s="243">
        <v>13.3</v>
      </c>
      <c r="S19" s="243">
        <v>142</v>
      </c>
      <c r="T19" s="108">
        <f t="shared" si="1"/>
        <v>22</v>
      </c>
      <c r="U19" s="243">
        <v>98</v>
      </c>
      <c r="V19" s="109">
        <f t="shared" si="2"/>
        <v>2156</v>
      </c>
      <c r="W19" s="243">
        <v>5</v>
      </c>
      <c r="X19" s="243" t="s">
        <v>39</v>
      </c>
      <c r="Y19" s="243" t="s">
        <v>84</v>
      </c>
      <c r="Z19" s="243" t="s">
        <v>69</v>
      </c>
      <c r="AA19" s="243" t="s">
        <v>90</v>
      </c>
      <c r="AB19" s="243" t="s">
        <v>334</v>
      </c>
      <c r="AP19" s="125" t="s">
        <v>238</v>
      </c>
      <c r="AR19" s="118" t="s">
        <v>83</v>
      </c>
      <c r="AV19" s="122"/>
    </row>
    <row r="20" spans="1:48" s="115" customFormat="1" x14ac:dyDescent="0.15">
      <c r="A20" s="243" t="s">
        <v>51</v>
      </c>
      <c r="B20" s="243" t="s">
        <v>332</v>
      </c>
      <c r="C20" s="243">
        <v>2018</v>
      </c>
      <c r="D20" s="106" t="s">
        <v>389</v>
      </c>
      <c r="E20" s="243" t="s">
        <v>173</v>
      </c>
      <c r="F20" s="243" t="s">
        <v>204</v>
      </c>
      <c r="G20" s="243" t="s">
        <v>42</v>
      </c>
      <c r="H20" s="243" t="s">
        <v>155</v>
      </c>
      <c r="I20" s="243" t="s">
        <v>153</v>
      </c>
      <c r="J20" s="243" t="s">
        <v>38</v>
      </c>
      <c r="K20" s="243" t="s">
        <v>154</v>
      </c>
      <c r="L20" s="243">
        <v>1</v>
      </c>
      <c r="M20" s="243"/>
      <c r="N20" s="243">
        <v>1</v>
      </c>
      <c r="O20" s="243">
        <v>1</v>
      </c>
      <c r="P20" s="243">
        <v>0.9</v>
      </c>
      <c r="Q20" s="107">
        <f t="shared" si="0"/>
        <v>0.95</v>
      </c>
      <c r="R20" s="243">
        <v>14.5</v>
      </c>
      <c r="S20" s="243">
        <v>144</v>
      </c>
      <c r="T20" s="108">
        <f t="shared" si="1"/>
        <v>22</v>
      </c>
      <c r="U20" s="243">
        <v>97</v>
      </c>
      <c r="V20" s="109">
        <f t="shared" si="2"/>
        <v>2134</v>
      </c>
      <c r="W20" s="243">
        <v>6</v>
      </c>
      <c r="X20" s="243" t="s">
        <v>46</v>
      </c>
      <c r="Y20" s="243" t="s">
        <v>84</v>
      </c>
      <c r="Z20" s="243" t="s">
        <v>69</v>
      </c>
      <c r="AA20" s="243" t="s">
        <v>90</v>
      </c>
      <c r="AB20" s="243" t="s">
        <v>334</v>
      </c>
      <c r="AP20" s="125" t="s">
        <v>239</v>
      </c>
      <c r="AR20" s="115" t="s">
        <v>391</v>
      </c>
    </row>
    <row r="21" spans="1:48" s="115" customFormat="1" x14ac:dyDescent="0.15">
      <c r="A21" s="243" t="s">
        <v>51</v>
      </c>
      <c r="B21" s="243" t="s">
        <v>332</v>
      </c>
      <c r="C21" s="243">
        <v>2018</v>
      </c>
      <c r="D21" s="106" t="s">
        <v>389</v>
      </c>
      <c r="E21" s="243" t="s">
        <v>173</v>
      </c>
      <c r="F21" s="243" t="s">
        <v>204</v>
      </c>
      <c r="G21" s="243" t="s">
        <v>42</v>
      </c>
      <c r="H21" s="243" t="s">
        <v>155</v>
      </c>
      <c r="I21" s="243" t="s">
        <v>153</v>
      </c>
      <c r="J21" s="243" t="s">
        <v>38</v>
      </c>
      <c r="K21" s="243" t="s">
        <v>154</v>
      </c>
      <c r="L21" s="243">
        <v>2</v>
      </c>
      <c r="M21" s="243"/>
      <c r="N21" s="243">
        <v>1</v>
      </c>
      <c r="O21" s="243">
        <v>1</v>
      </c>
      <c r="P21" s="243">
        <v>1.05</v>
      </c>
      <c r="Q21" s="107">
        <f t="shared" si="0"/>
        <v>1.0249999999999999</v>
      </c>
      <c r="R21" s="243">
        <v>14.2</v>
      </c>
      <c r="S21" s="243">
        <v>144</v>
      </c>
      <c r="T21" s="108">
        <f t="shared" si="1"/>
        <v>22</v>
      </c>
      <c r="U21" s="243">
        <v>97</v>
      </c>
      <c r="V21" s="109">
        <f t="shared" si="2"/>
        <v>2134</v>
      </c>
      <c r="W21" s="243">
        <v>6</v>
      </c>
      <c r="X21" s="243" t="s">
        <v>46</v>
      </c>
      <c r="Y21" s="243" t="s">
        <v>84</v>
      </c>
      <c r="Z21" s="243" t="s">
        <v>69</v>
      </c>
      <c r="AA21" s="243" t="s">
        <v>90</v>
      </c>
      <c r="AB21" s="243" t="s">
        <v>334</v>
      </c>
      <c r="AP21" s="125" t="s">
        <v>240</v>
      </c>
    </row>
    <row r="22" spans="1:48" s="115" customFormat="1" x14ac:dyDescent="0.15">
      <c r="A22" s="243" t="s">
        <v>51</v>
      </c>
      <c r="B22" s="243" t="s">
        <v>332</v>
      </c>
      <c r="C22" s="243">
        <v>2018</v>
      </c>
      <c r="D22" s="106" t="s">
        <v>389</v>
      </c>
      <c r="E22" s="243" t="s">
        <v>173</v>
      </c>
      <c r="F22" s="243" t="s">
        <v>204</v>
      </c>
      <c r="G22" s="243" t="s">
        <v>42</v>
      </c>
      <c r="H22" s="243" t="s">
        <v>155</v>
      </c>
      <c r="I22" s="243" t="s">
        <v>153</v>
      </c>
      <c r="J22" s="243" t="s">
        <v>38</v>
      </c>
      <c r="K22" s="243" t="s">
        <v>154</v>
      </c>
      <c r="L22" s="243">
        <v>3</v>
      </c>
      <c r="M22" s="243"/>
      <c r="N22" s="243">
        <v>1</v>
      </c>
      <c r="O22" s="243">
        <v>0.95</v>
      </c>
      <c r="P22" s="243">
        <v>1</v>
      </c>
      <c r="Q22" s="107">
        <f t="shared" si="0"/>
        <v>0.97499999999999998</v>
      </c>
      <c r="R22" s="243">
        <v>13</v>
      </c>
      <c r="S22" s="243">
        <v>140</v>
      </c>
      <c r="T22" s="108">
        <f t="shared" si="1"/>
        <v>22</v>
      </c>
      <c r="U22" s="243">
        <v>97</v>
      </c>
      <c r="V22" s="109">
        <f t="shared" si="2"/>
        <v>2134</v>
      </c>
      <c r="W22" s="243">
        <v>6</v>
      </c>
      <c r="X22" s="243" t="s">
        <v>46</v>
      </c>
      <c r="Y22" s="243" t="s">
        <v>84</v>
      </c>
      <c r="Z22" s="243" t="s">
        <v>69</v>
      </c>
      <c r="AA22" s="243" t="s">
        <v>90</v>
      </c>
      <c r="AB22" s="243" t="s">
        <v>334</v>
      </c>
    </row>
    <row r="23" spans="1:48" s="115" customFormat="1" x14ac:dyDescent="0.15">
      <c r="A23" s="243" t="s">
        <v>51</v>
      </c>
      <c r="B23" s="243" t="s">
        <v>332</v>
      </c>
      <c r="C23" s="243">
        <v>2018</v>
      </c>
      <c r="D23" s="106" t="s">
        <v>389</v>
      </c>
      <c r="E23" s="243" t="s">
        <v>218</v>
      </c>
      <c r="F23" s="243" t="s">
        <v>204</v>
      </c>
      <c r="G23" s="243" t="s">
        <v>42</v>
      </c>
      <c r="H23" s="243" t="s">
        <v>155</v>
      </c>
      <c r="I23" s="243" t="s">
        <v>153</v>
      </c>
      <c r="J23" s="243" t="s">
        <v>38</v>
      </c>
      <c r="K23" s="243" t="s">
        <v>154</v>
      </c>
      <c r="L23" s="243">
        <v>1</v>
      </c>
      <c r="M23" s="243"/>
      <c r="N23" s="243">
        <v>1</v>
      </c>
      <c r="O23" s="243">
        <v>1</v>
      </c>
      <c r="P23" s="243">
        <v>1.1000000000000001</v>
      </c>
      <c r="Q23" s="107">
        <f t="shared" si="0"/>
        <v>1.05</v>
      </c>
      <c r="R23" s="243">
        <v>15.1</v>
      </c>
      <c r="S23" s="243">
        <v>124</v>
      </c>
      <c r="T23" s="108">
        <f t="shared" si="1"/>
        <v>27</v>
      </c>
      <c r="U23" s="243">
        <v>78</v>
      </c>
      <c r="V23" s="109">
        <f t="shared" si="2"/>
        <v>2106</v>
      </c>
      <c r="W23" s="243">
        <v>10</v>
      </c>
      <c r="X23" s="243" t="s">
        <v>46</v>
      </c>
      <c r="Y23" s="243" t="s">
        <v>84</v>
      </c>
      <c r="Z23" s="243" t="s">
        <v>90</v>
      </c>
      <c r="AA23" s="243" t="s">
        <v>69</v>
      </c>
      <c r="AB23" s="243" t="s">
        <v>334</v>
      </c>
    </row>
    <row r="24" spans="1:48" s="115" customFormat="1" x14ac:dyDescent="0.15">
      <c r="A24" s="243" t="s">
        <v>51</v>
      </c>
      <c r="B24" s="243" t="s">
        <v>332</v>
      </c>
      <c r="C24" s="243">
        <v>2018</v>
      </c>
      <c r="D24" s="106" t="s">
        <v>389</v>
      </c>
      <c r="E24" s="243" t="s">
        <v>218</v>
      </c>
      <c r="F24" s="243" t="s">
        <v>204</v>
      </c>
      <c r="G24" s="243" t="s">
        <v>42</v>
      </c>
      <c r="H24" s="243" t="s">
        <v>155</v>
      </c>
      <c r="I24" s="243" t="s">
        <v>153</v>
      </c>
      <c r="J24" s="243" t="s">
        <v>38</v>
      </c>
      <c r="K24" s="243" t="s">
        <v>154</v>
      </c>
      <c r="L24" s="243">
        <v>2</v>
      </c>
      <c r="M24" s="243"/>
      <c r="N24" s="243">
        <v>1</v>
      </c>
      <c r="O24" s="243">
        <v>1.25</v>
      </c>
      <c r="P24" s="243">
        <v>1.25</v>
      </c>
      <c r="Q24" s="107">
        <f t="shared" si="0"/>
        <v>1.25</v>
      </c>
      <c r="R24" s="243">
        <v>14.7</v>
      </c>
      <c r="S24" s="243">
        <v>122</v>
      </c>
      <c r="T24" s="108">
        <f t="shared" si="1"/>
        <v>27</v>
      </c>
      <c r="U24" s="243">
        <v>78</v>
      </c>
      <c r="V24" s="109">
        <f t="shared" si="2"/>
        <v>2106</v>
      </c>
      <c r="W24" s="243">
        <v>10</v>
      </c>
      <c r="X24" s="243" t="s">
        <v>46</v>
      </c>
      <c r="Y24" s="243" t="s">
        <v>84</v>
      </c>
      <c r="Z24" s="243" t="s">
        <v>90</v>
      </c>
      <c r="AA24" s="243" t="s">
        <v>69</v>
      </c>
      <c r="AB24" s="243" t="s">
        <v>334</v>
      </c>
    </row>
    <row r="25" spans="1:48" s="115" customFormat="1" x14ac:dyDescent="0.15">
      <c r="A25" s="243" t="s">
        <v>51</v>
      </c>
      <c r="B25" s="243" t="s">
        <v>332</v>
      </c>
      <c r="C25" s="243">
        <v>2018</v>
      </c>
      <c r="D25" s="106" t="s">
        <v>389</v>
      </c>
      <c r="E25" s="243" t="s">
        <v>218</v>
      </c>
      <c r="F25" s="243" t="s">
        <v>204</v>
      </c>
      <c r="G25" s="243" t="s">
        <v>42</v>
      </c>
      <c r="H25" s="243" t="s">
        <v>155</v>
      </c>
      <c r="I25" s="243" t="s">
        <v>153</v>
      </c>
      <c r="J25" s="243" t="s">
        <v>38</v>
      </c>
      <c r="K25" s="243" t="s">
        <v>154</v>
      </c>
      <c r="L25" s="243">
        <v>3</v>
      </c>
      <c r="M25" s="243"/>
      <c r="N25" s="243">
        <v>1</v>
      </c>
      <c r="O25" s="243">
        <v>1.1000000000000001</v>
      </c>
      <c r="P25" s="243">
        <v>1.1499999999999999</v>
      </c>
      <c r="Q25" s="107">
        <f t="shared" si="0"/>
        <v>1.125</v>
      </c>
      <c r="R25" s="243">
        <v>14.9</v>
      </c>
      <c r="S25" s="243">
        <v>122</v>
      </c>
      <c r="T25" s="108">
        <f t="shared" si="1"/>
        <v>27</v>
      </c>
      <c r="U25" s="243">
        <v>78</v>
      </c>
      <c r="V25" s="109">
        <f t="shared" si="2"/>
        <v>2106</v>
      </c>
      <c r="W25" s="243">
        <v>10</v>
      </c>
      <c r="X25" s="243" t="s">
        <v>46</v>
      </c>
      <c r="Y25" s="243" t="s">
        <v>84</v>
      </c>
      <c r="Z25" s="243" t="s">
        <v>90</v>
      </c>
      <c r="AA25" s="243" t="s">
        <v>69</v>
      </c>
      <c r="AB25" s="243" t="s">
        <v>334</v>
      </c>
    </row>
    <row r="26" spans="1:48" s="115" customFormat="1" x14ac:dyDescent="0.15">
      <c r="A26" s="243" t="s">
        <v>51</v>
      </c>
      <c r="B26" s="243" t="s">
        <v>332</v>
      </c>
      <c r="C26" s="243">
        <v>2018</v>
      </c>
      <c r="D26" s="106" t="s">
        <v>389</v>
      </c>
      <c r="E26" s="243" t="s">
        <v>209</v>
      </c>
      <c r="F26" s="243" t="s">
        <v>210</v>
      </c>
      <c r="G26" s="243" t="s">
        <v>42</v>
      </c>
      <c r="H26" s="243" t="s">
        <v>155</v>
      </c>
      <c r="I26" s="243" t="s">
        <v>153</v>
      </c>
      <c r="J26" s="243" t="s">
        <v>38</v>
      </c>
      <c r="K26" s="243" t="s">
        <v>154</v>
      </c>
      <c r="L26" s="243">
        <v>1</v>
      </c>
      <c r="M26" s="243"/>
      <c r="N26" s="243">
        <v>1</v>
      </c>
      <c r="O26" s="243">
        <v>0.65</v>
      </c>
      <c r="P26" s="243">
        <v>0.75</v>
      </c>
      <c r="Q26" s="107">
        <f t="shared" si="0"/>
        <v>0.7</v>
      </c>
      <c r="R26" s="243">
        <v>13.4</v>
      </c>
      <c r="S26" s="243">
        <v>134</v>
      </c>
      <c r="T26" s="108">
        <f t="shared" si="1"/>
        <v>25</v>
      </c>
      <c r="U26" s="243">
        <v>99</v>
      </c>
      <c r="V26" s="109">
        <f t="shared" si="2"/>
        <v>2475</v>
      </c>
      <c r="W26" s="243">
        <v>3</v>
      </c>
      <c r="X26" s="243" t="s">
        <v>39</v>
      </c>
      <c r="Y26" s="243" t="s">
        <v>90</v>
      </c>
      <c r="Z26" s="243" t="s">
        <v>84</v>
      </c>
      <c r="AA26" s="243" t="s">
        <v>69</v>
      </c>
      <c r="AB26" s="243" t="s">
        <v>334</v>
      </c>
    </row>
    <row r="27" spans="1:48" s="115" customFormat="1" x14ac:dyDescent="0.15">
      <c r="A27" s="243" t="s">
        <v>51</v>
      </c>
      <c r="B27" s="243" t="s">
        <v>332</v>
      </c>
      <c r="C27" s="243">
        <v>2018</v>
      </c>
      <c r="D27" s="106" t="s">
        <v>389</v>
      </c>
      <c r="E27" s="243" t="s">
        <v>209</v>
      </c>
      <c r="F27" s="243" t="s">
        <v>210</v>
      </c>
      <c r="G27" s="243" t="s">
        <v>42</v>
      </c>
      <c r="H27" s="243" t="s">
        <v>155</v>
      </c>
      <c r="I27" s="243" t="s">
        <v>153</v>
      </c>
      <c r="J27" s="243" t="s">
        <v>38</v>
      </c>
      <c r="K27" s="243" t="s">
        <v>154</v>
      </c>
      <c r="L27" s="243">
        <v>2</v>
      </c>
      <c r="M27" s="243"/>
      <c r="N27" s="243">
        <v>1</v>
      </c>
      <c r="O27" s="243">
        <v>0.75</v>
      </c>
      <c r="P27" s="243">
        <v>0.95</v>
      </c>
      <c r="Q27" s="107">
        <f t="shared" si="0"/>
        <v>0.85</v>
      </c>
      <c r="R27" s="243">
        <v>13.6</v>
      </c>
      <c r="S27" s="243">
        <v>142</v>
      </c>
      <c r="T27" s="108">
        <f t="shared" si="1"/>
        <v>22</v>
      </c>
      <c r="U27" s="243">
        <v>99</v>
      </c>
      <c r="V27" s="109">
        <f t="shared" si="2"/>
        <v>2178</v>
      </c>
      <c r="W27" s="243">
        <v>3</v>
      </c>
      <c r="X27" s="243" t="s">
        <v>39</v>
      </c>
      <c r="Y27" s="243" t="s">
        <v>90</v>
      </c>
      <c r="Z27" s="243" t="s">
        <v>84</v>
      </c>
      <c r="AA27" s="243" t="s">
        <v>69</v>
      </c>
      <c r="AB27" s="243" t="s">
        <v>334</v>
      </c>
    </row>
    <row r="28" spans="1:48" s="115" customFormat="1" x14ac:dyDescent="0.15">
      <c r="A28" s="243" t="s">
        <v>51</v>
      </c>
      <c r="B28" s="243" t="s">
        <v>332</v>
      </c>
      <c r="C28" s="243">
        <v>2018</v>
      </c>
      <c r="D28" s="106" t="s">
        <v>389</v>
      </c>
      <c r="E28" s="243" t="s">
        <v>209</v>
      </c>
      <c r="F28" s="243" t="s">
        <v>210</v>
      </c>
      <c r="G28" s="243" t="s">
        <v>42</v>
      </c>
      <c r="H28" s="243" t="s">
        <v>155</v>
      </c>
      <c r="I28" s="243" t="s">
        <v>153</v>
      </c>
      <c r="J28" s="243" t="s">
        <v>38</v>
      </c>
      <c r="K28" s="243" t="s">
        <v>154</v>
      </c>
      <c r="L28" s="243">
        <v>3</v>
      </c>
      <c r="M28" s="243"/>
      <c r="N28" s="243">
        <v>1</v>
      </c>
      <c r="O28" s="243">
        <v>0.9</v>
      </c>
      <c r="P28" s="243">
        <v>0.8</v>
      </c>
      <c r="Q28" s="107">
        <f t="shared" si="0"/>
        <v>0.85000000000000009</v>
      </c>
      <c r="R28" s="243">
        <v>13.1</v>
      </c>
      <c r="S28" s="243">
        <v>140</v>
      </c>
      <c r="T28" s="108">
        <f t="shared" si="1"/>
        <v>22</v>
      </c>
      <c r="U28" s="243">
        <v>99</v>
      </c>
      <c r="V28" s="109">
        <f t="shared" si="2"/>
        <v>2178</v>
      </c>
      <c r="W28" s="243">
        <v>3</v>
      </c>
      <c r="X28" s="243" t="s">
        <v>39</v>
      </c>
      <c r="Y28" s="243" t="s">
        <v>90</v>
      </c>
      <c r="Z28" s="243" t="s">
        <v>84</v>
      </c>
      <c r="AA28" s="243" t="s">
        <v>69</v>
      </c>
      <c r="AB28" s="243" t="s">
        <v>334</v>
      </c>
    </row>
    <row r="29" spans="1:48" s="115" customFormat="1" x14ac:dyDescent="0.15">
      <c r="A29" s="243" t="s">
        <v>51</v>
      </c>
      <c r="B29" s="243" t="s">
        <v>332</v>
      </c>
      <c r="C29" s="243">
        <v>2018</v>
      </c>
      <c r="D29" s="106" t="s">
        <v>389</v>
      </c>
      <c r="E29" s="243" t="s">
        <v>215</v>
      </c>
      <c r="F29" s="243" t="s">
        <v>203</v>
      </c>
      <c r="G29" s="243" t="s">
        <v>36</v>
      </c>
      <c r="H29" s="243" t="s">
        <v>155</v>
      </c>
      <c r="I29" s="243" t="s">
        <v>153</v>
      </c>
      <c r="J29" s="243" t="s">
        <v>38</v>
      </c>
      <c r="K29" s="243" t="s">
        <v>154</v>
      </c>
      <c r="L29" s="243">
        <v>1</v>
      </c>
      <c r="M29" s="243"/>
      <c r="N29" s="243">
        <v>1</v>
      </c>
      <c r="O29" s="243">
        <v>0.9</v>
      </c>
      <c r="P29" s="243">
        <v>0.95</v>
      </c>
      <c r="Q29" s="107">
        <f t="shared" si="0"/>
        <v>0.92500000000000004</v>
      </c>
      <c r="R29" s="243">
        <v>16.2</v>
      </c>
      <c r="S29" s="243">
        <v>130</v>
      </c>
      <c r="T29" s="108">
        <f t="shared" si="1"/>
        <v>25</v>
      </c>
      <c r="U29" s="243">
        <v>138</v>
      </c>
      <c r="V29" s="109">
        <f t="shared" si="2"/>
        <v>3450</v>
      </c>
      <c r="W29" s="243">
        <v>4</v>
      </c>
      <c r="X29" s="243" t="s">
        <v>46</v>
      </c>
      <c r="Y29" s="243" t="s">
        <v>90</v>
      </c>
      <c r="Z29" s="243" t="s">
        <v>84</v>
      </c>
      <c r="AA29" s="243" t="s">
        <v>69</v>
      </c>
      <c r="AB29" s="243" t="s">
        <v>334</v>
      </c>
    </row>
    <row r="30" spans="1:48" s="115" customFormat="1" x14ac:dyDescent="0.15">
      <c r="A30" s="243" t="s">
        <v>51</v>
      </c>
      <c r="B30" s="243" t="s">
        <v>332</v>
      </c>
      <c r="C30" s="243">
        <v>2018</v>
      </c>
      <c r="D30" s="106" t="s">
        <v>389</v>
      </c>
      <c r="E30" s="243" t="s">
        <v>215</v>
      </c>
      <c r="F30" s="243" t="s">
        <v>203</v>
      </c>
      <c r="G30" s="243" t="s">
        <v>36</v>
      </c>
      <c r="H30" s="243" t="s">
        <v>155</v>
      </c>
      <c r="I30" s="243" t="s">
        <v>153</v>
      </c>
      <c r="J30" s="243" t="s">
        <v>38</v>
      </c>
      <c r="K30" s="243" t="s">
        <v>154</v>
      </c>
      <c r="L30" s="243">
        <v>2</v>
      </c>
      <c r="M30" s="243"/>
      <c r="N30" s="243">
        <v>1</v>
      </c>
      <c r="O30" s="243">
        <v>1.05</v>
      </c>
      <c r="P30" s="243">
        <v>1.1000000000000001</v>
      </c>
      <c r="Q30" s="107">
        <f t="shared" si="0"/>
        <v>1.0750000000000002</v>
      </c>
      <c r="R30" s="243">
        <v>15.4</v>
      </c>
      <c r="S30" s="243">
        <v>122</v>
      </c>
      <c r="T30" s="108">
        <f t="shared" si="1"/>
        <v>27</v>
      </c>
      <c r="U30" s="243">
        <v>138</v>
      </c>
      <c r="V30" s="109">
        <f t="shared" si="2"/>
        <v>3726</v>
      </c>
      <c r="W30" s="243">
        <v>4</v>
      </c>
      <c r="X30" s="243" t="s">
        <v>46</v>
      </c>
      <c r="Y30" s="243" t="s">
        <v>90</v>
      </c>
      <c r="Z30" s="243" t="s">
        <v>84</v>
      </c>
      <c r="AA30" s="243" t="s">
        <v>69</v>
      </c>
      <c r="AB30" s="243" t="s">
        <v>334</v>
      </c>
    </row>
    <row r="31" spans="1:48" s="115" customFormat="1" x14ac:dyDescent="0.15">
      <c r="A31" s="243" t="s">
        <v>51</v>
      </c>
      <c r="B31" s="243" t="s">
        <v>332</v>
      </c>
      <c r="C31" s="243">
        <v>2018</v>
      </c>
      <c r="D31" s="106" t="s">
        <v>389</v>
      </c>
      <c r="E31" s="243" t="s">
        <v>215</v>
      </c>
      <c r="F31" s="243" t="s">
        <v>203</v>
      </c>
      <c r="G31" s="243" t="s">
        <v>36</v>
      </c>
      <c r="H31" s="243" t="s">
        <v>155</v>
      </c>
      <c r="I31" s="243" t="s">
        <v>153</v>
      </c>
      <c r="J31" s="243" t="s">
        <v>38</v>
      </c>
      <c r="K31" s="243" t="s">
        <v>154</v>
      </c>
      <c r="L31" s="243">
        <v>3</v>
      </c>
      <c r="M31" s="243"/>
      <c r="N31" s="243">
        <v>1</v>
      </c>
      <c r="O31" s="243">
        <v>0.95</v>
      </c>
      <c r="P31" s="243">
        <v>1</v>
      </c>
      <c r="Q31" s="107">
        <f t="shared" si="0"/>
        <v>0.97499999999999998</v>
      </c>
      <c r="R31" s="243">
        <v>15.8</v>
      </c>
      <c r="S31" s="243">
        <v>126</v>
      </c>
      <c r="T31" s="108">
        <f t="shared" si="1"/>
        <v>27</v>
      </c>
      <c r="U31" s="243">
        <v>138</v>
      </c>
      <c r="V31" s="109">
        <f t="shared" si="2"/>
        <v>3726</v>
      </c>
      <c r="W31" s="243">
        <v>4</v>
      </c>
      <c r="X31" s="243" t="s">
        <v>46</v>
      </c>
      <c r="Y31" s="243" t="s">
        <v>90</v>
      </c>
      <c r="Z31" s="243" t="s">
        <v>84</v>
      </c>
      <c r="AA31" s="243" t="s">
        <v>69</v>
      </c>
      <c r="AB31" s="243" t="s">
        <v>334</v>
      </c>
    </row>
    <row r="32" spans="1:48" s="115" customFormat="1" x14ac:dyDescent="0.15">
      <c r="A32" s="243" t="s">
        <v>51</v>
      </c>
      <c r="B32" s="243" t="s">
        <v>332</v>
      </c>
      <c r="C32" s="243">
        <v>2018</v>
      </c>
      <c r="D32" s="106" t="s">
        <v>389</v>
      </c>
      <c r="E32" s="243" t="s">
        <v>222</v>
      </c>
      <c r="F32" s="243" t="s">
        <v>203</v>
      </c>
      <c r="G32" s="243" t="s">
        <v>42</v>
      </c>
      <c r="H32" s="243" t="s">
        <v>155</v>
      </c>
      <c r="I32" s="243" t="s">
        <v>153</v>
      </c>
      <c r="J32" s="243" t="s">
        <v>38</v>
      </c>
      <c r="K32" s="243" t="s">
        <v>154</v>
      </c>
      <c r="L32" s="243">
        <v>1</v>
      </c>
      <c r="M32" s="243"/>
      <c r="N32" s="243">
        <v>1</v>
      </c>
      <c r="O32" s="243">
        <v>0.75</v>
      </c>
      <c r="P32" s="243">
        <v>0.75</v>
      </c>
      <c r="Q32" s="107">
        <f t="shared" si="0"/>
        <v>0.75</v>
      </c>
      <c r="R32" s="243">
        <v>14.6</v>
      </c>
      <c r="S32" s="243">
        <v>124</v>
      </c>
      <c r="T32" s="108">
        <f t="shared" si="1"/>
        <v>27</v>
      </c>
      <c r="U32" s="243">
        <v>58</v>
      </c>
      <c r="V32" s="109">
        <f t="shared" si="2"/>
        <v>1566</v>
      </c>
      <c r="W32" s="243">
        <v>3</v>
      </c>
      <c r="X32" s="243" t="s">
        <v>39</v>
      </c>
      <c r="Y32" s="243" t="s">
        <v>84</v>
      </c>
      <c r="Z32" s="243" t="s">
        <v>69</v>
      </c>
      <c r="AA32" s="243" t="s">
        <v>50</v>
      </c>
      <c r="AB32" s="243" t="s">
        <v>334</v>
      </c>
    </row>
    <row r="33" spans="1:28" s="115" customFormat="1" x14ac:dyDescent="0.15">
      <c r="A33" s="243" t="s">
        <v>51</v>
      </c>
      <c r="B33" s="243" t="s">
        <v>332</v>
      </c>
      <c r="C33" s="243">
        <v>2018</v>
      </c>
      <c r="D33" s="106" t="s">
        <v>389</v>
      </c>
      <c r="E33" s="243" t="s">
        <v>222</v>
      </c>
      <c r="F33" s="243" t="s">
        <v>203</v>
      </c>
      <c r="G33" s="243" t="s">
        <v>42</v>
      </c>
      <c r="H33" s="243" t="s">
        <v>155</v>
      </c>
      <c r="I33" s="243" t="s">
        <v>153</v>
      </c>
      <c r="J33" s="243" t="s">
        <v>38</v>
      </c>
      <c r="K33" s="243" t="s">
        <v>154</v>
      </c>
      <c r="L33" s="243">
        <v>2</v>
      </c>
      <c r="M33" s="243"/>
      <c r="N33" s="243">
        <v>1</v>
      </c>
      <c r="O33" s="243">
        <v>0.8</v>
      </c>
      <c r="P33" s="243">
        <v>0.7</v>
      </c>
      <c r="Q33" s="107">
        <f t="shared" si="0"/>
        <v>0.75</v>
      </c>
      <c r="R33" s="243">
        <v>14.9</v>
      </c>
      <c r="S33" s="243">
        <v>124</v>
      </c>
      <c r="T33" s="108">
        <f t="shared" si="1"/>
        <v>27</v>
      </c>
      <c r="U33" s="243">
        <v>58</v>
      </c>
      <c r="V33" s="109">
        <f t="shared" si="2"/>
        <v>1566</v>
      </c>
      <c r="W33" s="243">
        <v>3</v>
      </c>
      <c r="X33" s="243" t="s">
        <v>39</v>
      </c>
      <c r="Y33" s="243" t="s">
        <v>84</v>
      </c>
      <c r="Z33" s="243" t="s">
        <v>69</v>
      </c>
      <c r="AA33" s="243" t="s">
        <v>50</v>
      </c>
      <c r="AB33" s="243" t="s">
        <v>334</v>
      </c>
    </row>
    <row r="34" spans="1:28" s="115" customFormat="1" x14ac:dyDescent="0.15">
      <c r="A34" s="243" t="s">
        <v>51</v>
      </c>
      <c r="B34" s="243" t="s">
        <v>332</v>
      </c>
      <c r="C34" s="243">
        <v>2018</v>
      </c>
      <c r="D34" s="106" t="s">
        <v>389</v>
      </c>
      <c r="E34" s="243" t="s">
        <v>222</v>
      </c>
      <c r="F34" s="243" t="s">
        <v>203</v>
      </c>
      <c r="G34" s="243" t="s">
        <v>42</v>
      </c>
      <c r="H34" s="243" t="s">
        <v>155</v>
      </c>
      <c r="I34" s="243" t="s">
        <v>153</v>
      </c>
      <c r="J34" s="243" t="s">
        <v>38</v>
      </c>
      <c r="K34" s="243" t="s">
        <v>154</v>
      </c>
      <c r="L34" s="243">
        <v>3</v>
      </c>
      <c r="M34" s="243"/>
      <c r="N34" s="243">
        <v>1</v>
      </c>
      <c r="O34" s="243">
        <v>0.75</v>
      </c>
      <c r="P34" s="243">
        <v>0.9</v>
      </c>
      <c r="Q34" s="107">
        <f t="shared" si="0"/>
        <v>0.82499999999999996</v>
      </c>
      <c r="R34" s="243">
        <v>14.4</v>
      </c>
      <c r="S34" s="243">
        <v>118</v>
      </c>
      <c r="T34" s="108">
        <f t="shared" si="1"/>
        <v>39</v>
      </c>
      <c r="U34" s="243">
        <v>58</v>
      </c>
      <c r="V34" s="109">
        <f t="shared" si="2"/>
        <v>2262</v>
      </c>
      <c r="W34" s="243">
        <v>3</v>
      </c>
      <c r="X34" s="243" t="s">
        <v>39</v>
      </c>
      <c r="Y34" s="243" t="s">
        <v>84</v>
      </c>
      <c r="Z34" s="243" t="s">
        <v>69</v>
      </c>
      <c r="AA34" s="243" t="s">
        <v>50</v>
      </c>
      <c r="AB34" s="243" t="s">
        <v>334</v>
      </c>
    </row>
    <row r="35" spans="1:28" s="115" customFormat="1" x14ac:dyDescent="0.15">
      <c r="A35" s="243" t="s">
        <v>51</v>
      </c>
      <c r="B35" s="243" t="s">
        <v>332</v>
      </c>
      <c r="C35" s="243">
        <v>2018</v>
      </c>
      <c r="D35" s="106" t="s">
        <v>389</v>
      </c>
      <c r="E35" s="243" t="s">
        <v>219</v>
      </c>
      <c r="F35" s="243" t="s">
        <v>220</v>
      </c>
      <c r="G35" s="243" t="s">
        <v>36</v>
      </c>
      <c r="H35" s="243" t="s">
        <v>155</v>
      </c>
      <c r="I35" s="243" t="s">
        <v>153</v>
      </c>
      <c r="J35" s="243" t="s">
        <v>38</v>
      </c>
      <c r="K35" s="243" t="s">
        <v>154</v>
      </c>
      <c r="L35" s="243">
        <v>1</v>
      </c>
      <c r="M35" s="243"/>
      <c r="N35" s="243">
        <v>1</v>
      </c>
      <c r="O35" s="243">
        <v>0.85</v>
      </c>
      <c r="P35" s="243">
        <v>0.9</v>
      </c>
      <c r="Q35" s="107">
        <f t="shared" si="0"/>
        <v>0.875</v>
      </c>
      <c r="R35" s="243">
        <v>13.7</v>
      </c>
      <c r="S35" s="243">
        <v>138</v>
      </c>
      <c r="T35" s="108">
        <f t="shared" si="1"/>
        <v>22</v>
      </c>
      <c r="U35" s="243">
        <v>89</v>
      </c>
      <c r="V35" s="109">
        <f t="shared" si="2"/>
        <v>1958</v>
      </c>
      <c r="W35" s="243">
        <v>3</v>
      </c>
      <c r="X35" s="243" t="s">
        <v>46</v>
      </c>
      <c r="Y35" s="243" t="s">
        <v>84</v>
      </c>
      <c r="Z35" s="243" t="s">
        <v>90</v>
      </c>
      <c r="AA35" s="243" t="s">
        <v>69</v>
      </c>
      <c r="AB35" s="243" t="s">
        <v>334</v>
      </c>
    </row>
    <row r="36" spans="1:28" s="115" customFormat="1" x14ac:dyDescent="0.15">
      <c r="A36" s="243" t="s">
        <v>51</v>
      </c>
      <c r="B36" s="243" t="s">
        <v>332</v>
      </c>
      <c r="C36" s="243">
        <v>2018</v>
      </c>
      <c r="D36" s="106" t="s">
        <v>389</v>
      </c>
      <c r="E36" s="243" t="s">
        <v>219</v>
      </c>
      <c r="F36" s="243" t="s">
        <v>220</v>
      </c>
      <c r="G36" s="243" t="s">
        <v>36</v>
      </c>
      <c r="H36" s="243" t="s">
        <v>155</v>
      </c>
      <c r="I36" s="243" t="s">
        <v>153</v>
      </c>
      <c r="J36" s="243" t="s">
        <v>38</v>
      </c>
      <c r="K36" s="243" t="s">
        <v>154</v>
      </c>
      <c r="L36" s="243">
        <v>2</v>
      </c>
      <c r="M36" s="243"/>
      <c r="N36" s="243">
        <v>1</v>
      </c>
      <c r="O36" s="243">
        <v>0.8</v>
      </c>
      <c r="P36" s="243">
        <v>0.8</v>
      </c>
      <c r="Q36" s="107">
        <f t="shared" si="0"/>
        <v>0.8</v>
      </c>
      <c r="R36" s="243">
        <v>14.8</v>
      </c>
      <c r="S36" s="243">
        <v>140</v>
      </c>
      <c r="T36" s="108">
        <f t="shared" si="1"/>
        <v>22</v>
      </c>
      <c r="U36" s="243">
        <v>89</v>
      </c>
      <c r="V36" s="109">
        <f t="shared" si="2"/>
        <v>1958</v>
      </c>
      <c r="W36" s="243">
        <v>3</v>
      </c>
      <c r="X36" s="243" t="s">
        <v>46</v>
      </c>
      <c r="Y36" s="243" t="s">
        <v>84</v>
      </c>
      <c r="Z36" s="243" t="s">
        <v>90</v>
      </c>
      <c r="AA36" s="243" t="s">
        <v>69</v>
      </c>
      <c r="AB36" s="243" t="s">
        <v>334</v>
      </c>
    </row>
    <row r="37" spans="1:28" s="115" customFormat="1" x14ac:dyDescent="0.15">
      <c r="A37" s="243" t="s">
        <v>51</v>
      </c>
      <c r="B37" s="243" t="s">
        <v>332</v>
      </c>
      <c r="C37" s="243">
        <v>2018</v>
      </c>
      <c r="D37" s="106" t="s">
        <v>389</v>
      </c>
      <c r="E37" s="243" t="s">
        <v>219</v>
      </c>
      <c r="F37" s="243" t="s">
        <v>220</v>
      </c>
      <c r="G37" s="243" t="s">
        <v>36</v>
      </c>
      <c r="H37" s="243" t="s">
        <v>155</v>
      </c>
      <c r="I37" s="243" t="s">
        <v>153</v>
      </c>
      <c r="J37" s="243" t="s">
        <v>38</v>
      </c>
      <c r="K37" s="243" t="s">
        <v>154</v>
      </c>
      <c r="L37" s="243">
        <v>3</v>
      </c>
      <c r="M37" s="243"/>
      <c r="N37" s="243">
        <v>1</v>
      </c>
      <c r="O37" s="243">
        <v>0.9</v>
      </c>
      <c r="P37" s="243">
        <v>0.75</v>
      </c>
      <c r="Q37" s="107">
        <f t="shared" si="0"/>
        <v>0.82499999999999996</v>
      </c>
      <c r="R37" s="243">
        <v>15.2</v>
      </c>
      <c r="S37" s="243">
        <v>142</v>
      </c>
      <c r="T37" s="108">
        <f t="shared" si="1"/>
        <v>22</v>
      </c>
      <c r="U37" s="243">
        <v>89</v>
      </c>
      <c r="V37" s="109">
        <f t="shared" si="2"/>
        <v>1958</v>
      </c>
      <c r="W37" s="243">
        <v>3</v>
      </c>
      <c r="X37" s="243" t="s">
        <v>46</v>
      </c>
      <c r="Y37" s="243" t="s">
        <v>84</v>
      </c>
      <c r="Z37" s="243" t="s">
        <v>90</v>
      </c>
      <c r="AA37" s="243" t="s">
        <v>69</v>
      </c>
      <c r="AB37" s="243" t="s">
        <v>334</v>
      </c>
    </row>
    <row r="38" spans="1:28" s="115" customFormat="1" x14ac:dyDescent="0.15">
      <c r="A38" s="243" t="s">
        <v>51</v>
      </c>
      <c r="B38" s="243" t="s">
        <v>332</v>
      </c>
      <c r="C38" s="243">
        <v>2018</v>
      </c>
      <c r="D38" s="106" t="s">
        <v>389</v>
      </c>
      <c r="E38" s="243" t="s">
        <v>219</v>
      </c>
      <c r="F38" s="243" t="s">
        <v>220</v>
      </c>
      <c r="G38" s="243" t="s">
        <v>36</v>
      </c>
      <c r="H38" s="243" t="s">
        <v>166</v>
      </c>
      <c r="I38" s="243" t="s">
        <v>153</v>
      </c>
      <c r="J38" s="243" t="s">
        <v>38</v>
      </c>
      <c r="K38" s="243" t="s">
        <v>154</v>
      </c>
      <c r="L38" s="243">
        <v>1</v>
      </c>
      <c r="M38" s="243"/>
      <c r="N38" s="243">
        <v>1</v>
      </c>
      <c r="O38" s="243">
        <v>0.7</v>
      </c>
      <c r="P38" s="243">
        <v>0.7</v>
      </c>
      <c r="Q38" s="107">
        <f t="shared" si="0"/>
        <v>0.7</v>
      </c>
      <c r="R38" s="243">
        <v>17.100000000000001</v>
      </c>
      <c r="S38" s="243">
        <v>160</v>
      </c>
      <c r="T38" s="108">
        <f t="shared" si="1"/>
        <v>22</v>
      </c>
      <c r="U38" s="243">
        <v>98</v>
      </c>
      <c r="V38" s="109">
        <f t="shared" si="2"/>
        <v>2156</v>
      </c>
      <c r="W38" s="243">
        <v>3</v>
      </c>
      <c r="X38" s="243" t="s">
        <v>46</v>
      </c>
      <c r="Y38" s="243" t="s">
        <v>84</v>
      </c>
      <c r="Z38" s="243" t="s">
        <v>90</v>
      </c>
      <c r="AA38" s="243" t="s">
        <v>69</v>
      </c>
      <c r="AB38" s="243" t="s">
        <v>334</v>
      </c>
    </row>
    <row r="39" spans="1:28" s="115" customFormat="1" x14ac:dyDescent="0.15">
      <c r="A39" s="243" t="s">
        <v>51</v>
      </c>
      <c r="B39" s="243" t="s">
        <v>332</v>
      </c>
      <c r="C39" s="243">
        <v>2018</v>
      </c>
      <c r="D39" s="106" t="s">
        <v>389</v>
      </c>
      <c r="E39" s="243" t="s">
        <v>219</v>
      </c>
      <c r="F39" s="243" t="s">
        <v>220</v>
      </c>
      <c r="G39" s="243" t="s">
        <v>36</v>
      </c>
      <c r="H39" s="243" t="s">
        <v>166</v>
      </c>
      <c r="I39" s="243" t="s">
        <v>153</v>
      </c>
      <c r="J39" s="243" t="s">
        <v>38</v>
      </c>
      <c r="K39" s="243" t="s">
        <v>154</v>
      </c>
      <c r="L39" s="243">
        <v>2</v>
      </c>
      <c r="M39" s="243"/>
      <c r="N39" s="243">
        <v>1</v>
      </c>
      <c r="O39" s="243">
        <v>0.65</v>
      </c>
      <c r="P39" s="243">
        <v>0.7</v>
      </c>
      <c r="Q39" s="107">
        <f t="shared" si="0"/>
        <v>0.67500000000000004</v>
      </c>
      <c r="R39" s="243">
        <v>16</v>
      </c>
      <c r="S39" s="243">
        <v>152</v>
      </c>
      <c r="T39" s="108">
        <f t="shared" si="1"/>
        <v>22</v>
      </c>
      <c r="U39" s="243">
        <v>98</v>
      </c>
      <c r="V39" s="109">
        <f t="shared" si="2"/>
        <v>2156</v>
      </c>
      <c r="W39" s="243">
        <v>3</v>
      </c>
      <c r="X39" s="243" t="s">
        <v>46</v>
      </c>
      <c r="Y39" s="243" t="s">
        <v>84</v>
      </c>
      <c r="Z39" s="243" t="s">
        <v>90</v>
      </c>
      <c r="AA39" s="243" t="s">
        <v>69</v>
      </c>
      <c r="AB39" s="243" t="s">
        <v>334</v>
      </c>
    </row>
    <row r="40" spans="1:28" s="115" customFormat="1" x14ac:dyDescent="0.15">
      <c r="A40" s="243" t="s">
        <v>51</v>
      </c>
      <c r="B40" s="243" t="s">
        <v>332</v>
      </c>
      <c r="C40" s="243">
        <v>2018</v>
      </c>
      <c r="D40" s="106" t="s">
        <v>389</v>
      </c>
      <c r="E40" s="243" t="s">
        <v>219</v>
      </c>
      <c r="F40" s="243" t="s">
        <v>220</v>
      </c>
      <c r="G40" s="243" t="s">
        <v>36</v>
      </c>
      <c r="H40" s="243" t="s">
        <v>166</v>
      </c>
      <c r="I40" s="243" t="s">
        <v>153</v>
      </c>
      <c r="J40" s="243" t="s">
        <v>38</v>
      </c>
      <c r="K40" s="243" t="s">
        <v>154</v>
      </c>
      <c r="L40" s="243">
        <v>3</v>
      </c>
      <c r="M40" s="243"/>
      <c r="N40" s="243">
        <v>1</v>
      </c>
      <c r="O40" s="243">
        <v>0.6</v>
      </c>
      <c r="P40" s="243">
        <v>0.6</v>
      </c>
      <c r="Q40" s="107">
        <f t="shared" si="0"/>
        <v>0.6</v>
      </c>
      <c r="R40" s="243">
        <v>16.5</v>
      </c>
      <c r="S40" s="243">
        <v>156</v>
      </c>
      <c r="T40" s="108">
        <f t="shared" si="1"/>
        <v>22</v>
      </c>
      <c r="U40" s="243">
        <v>98</v>
      </c>
      <c r="V40" s="109">
        <f t="shared" si="2"/>
        <v>2156</v>
      </c>
      <c r="W40" s="243">
        <v>3</v>
      </c>
      <c r="X40" s="243" t="s">
        <v>46</v>
      </c>
      <c r="Y40" s="243" t="s">
        <v>84</v>
      </c>
      <c r="Z40" s="243" t="s">
        <v>90</v>
      </c>
      <c r="AA40" s="243" t="s">
        <v>69</v>
      </c>
      <c r="AB40" s="243" t="s">
        <v>334</v>
      </c>
    </row>
    <row r="41" spans="1:28" s="115" customFormat="1" x14ac:dyDescent="0.15">
      <c r="A41" s="243"/>
      <c r="B41" s="243"/>
      <c r="C41" s="243"/>
      <c r="D41" s="106"/>
      <c r="E41" s="243"/>
      <c r="F41" s="243"/>
      <c r="G41" s="243"/>
      <c r="H41" s="243"/>
      <c r="I41" s="243"/>
      <c r="J41" s="243"/>
      <c r="K41" s="243"/>
      <c r="N41" s="243"/>
      <c r="Q41" s="107" t="str">
        <f t="shared" si="0"/>
        <v/>
      </c>
      <c r="T41" s="108" t="str">
        <f t="shared" si="1"/>
        <v/>
      </c>
      <c r="U41" s="243"/>
      <c r="V41" s="109" t="str">
        <f t="shared" si="2"/>
        <v/>
      </c>
      <c r="W41" s="243"/>
      <c r="X41" s="243"/>
      <c r="Y41" s="243"/>
      <c r="Z41" s="243"/>
      <c r="AA41" s="243"/>
      <c r="AB41" s="243"/>
    </row>
    <row r="42" spans="1:28" s="115" customFormat="1" x14ac:dyDescent="0.15">
      <c r="A42" s="243"/>
      <c r="B42" s="243"/>
      <c r="C42" s="243"/>
      <c r="D42" s="106"/>
      <c r="E42" s="243"/>
      <c r="F42" s="243"/>
      <c r="G42" s="243"/>
      <c r="H42" s="243"/>
      <c r="I42" s="243"/>
      <c r="J42" s="243"/>
      <c r="K42" s="243"/>
      <c r="N42" s="243"/>
      <c r="Q42" s="107" t="str">
        <f t="shared" si="0"/>
        <v/>
      </c>
      <c r="T42" s="108" t="str">
        <f t="shared" si="1"/>
        <v/>
      </c>
      <c r="U42" s="243"/>
      <c r="V42" s="109" t="str">
        <f t="shared" si="2"/>
        <v/>
      </c>
      <c r="W42" s="243"/>
      <c r="X42" s="243"/>
      <c r="Y42" s="243"/>
      <c r="Z42" s="243"/>
      <c r="AA42" s="243"/>
      <c r="AB42" s="243"/>
    </row>
    <row r="43" spans="1:28" s="115" customFormat="1" x14ac:dyDescent="0.15">
      <c r="A43" s="243"/>
      <c r="B43" s="243"/>
      <c r="C43" s="243"/>
      <c r="D43" s="106"/>
      <c r="E43" s="243"/>
      <c r="F43" s="243"/>
      <c r="G43" s="243"/>
      <c r="H43" s="243"/>
      <c r="I43" s="243"/>
      <c r="J43" s="243"/>
      <c r="K43" s="243"/>
      <c r="N43" s="243"/>
      <c r="Q43" s="107" t="str">
        <f t="shared" si="0"/>
        <v/>
      </c>
      <c r="T43" s="108" t="str">
        <f t="shared" si="1"/>
        <v/>
      </c>
      <c r="U43" s="243"/>
      <c r="V43" s="109" t="str">
        <f t="shared" si="2"/>
        <v/>
      </c>
      <c r="W43" s="243"/>
      <c r="X43" s="243"/>
      <c r="Y43" s="243"/>
      <c r="Z43" s="243"/>
      <c r="AA43" s="243"/>
      <c r="AB43" s="243"/>
    </row>
    <row r="44" spans="1:28" s="115" customFormat="1" x14ac:dyDescent="0.15">
      <c r="A44" s="243"/>
      <c r="B44" s="243"/>
      <c r="C44" s="243"/>
      <c r="D44" s="106"/>
      <c r="E44" s="243"/>
      <c r="F44" s="243"/>
      <c r="G44" s="243"/>
      <c r="H44" s="243"/>
      <c r="I44" s="243"/>
      <c r="J44" s="243"/>
      <c r="K44" s="243"/>
      <c r="N44" s="243"/>
      <c r="Q44" s="107" t="str">
        <f t="shared" si="0"/>
        <v/>
      </c>
      <c r="T44" s="108" t="str">
        <f t="shared" si="1"/>
        <v/>
      </c>
      <c r="U44" s="243"/>
      <c r="V44" s="109" t="str">
        <f t="shared" si="2"/>
        <v/>
      </c>
      <c r="W44" s="243"/>
      <c r="X44" s="243"/>
      <c r="Y44" s="243"/>
      <c r="Z44" s="243"/>
      <c r="AA44" s="243"/>
      <c r="AB44" s="243"/>
    </row>
    <row r="45" spans="1:28" s="115" customFormat="1" x14ac:dyDescent="0.15">
      <c r="A45" s="243"/>
      <c r="B45" s="243"/>
      <c r="C45" s="243"/>
      <c r="D45" s="106"/>
      <c r="E45" s="243"/>
      <c r="F45" s="243"/>
      <c r="G45" s="243"/>
      <c r="H45" s="243"/>
      <c r="I45" s="243"/>
      <c r="J45" s="243"/>
      <c r="K45" s="243"/>
      <c r="N45" s="243"/>
      <c r="Q45" s="107" t="str">
        <f t="shared" si="0"/>
        <v/>
      </c>
      <c r="T45" s="108" t="str">
        <f t="shared" si="1"/>
        <v/>
      </c>
      <c r="U45" s="243"/>
      <c r="V45" s="109" t="str">
        <f t="shared" si="2"/>
        <v/>
      </c>
      <c r="W45" s="243"/>
      <c r="X45" s="243"/>
      <c r="Y45" s="243"/>
      <c r="Z45" s="243"/>
      <c r="AA45" s="243"/>
      <c r="AB45" s="243"/>
    </row>
    <row r="46" spans="1:28" s="115" customFormat="1" x14ac:dyDescent="0.15">
      <c r="A46" s="243"/>
      <c r="B46" s="243"/>
      <c r="C46" s="243"/>
      <c r="D46" s="106"/>
      <c r="E46" s="243"/>
      <c r="F46" s="243"/>
      <c r="G46" s="243"/>
      <c r="H46" s="243"/>
      <c r="I46" s="243"/>
      <c r="J46" s="243"/>
      <c r="K46" s="243"/>
      <c r="N46" s="243"/>
      <c r="Q46" s="107" t="str">
        <f t="shared" si="0"/>
        <v/>
      </c>
      <c r="T46" s="108" t="str">
        <f t="shared" si="1"/>
        <v/>
      </c>
      <c r="U46" s="243"/>
      <c r="V46" s="109" t="str">
        <f t="shared" si="2"/>
        <v/>
      </c>
      <c r="W46" s="243"/>
      <c r="X46" s="243"/>
      <c r="Y46" s="243"/>
      <c r="Z46" s="243"/>
      <c r="AA46" s="243"/>
      <c r="AB46" s="243"/>
    </row>
    <row r="47" spans="1:28" s="115" customFormat="1" x14ac:dyDescent="0.15">
      <c r="A47" s="243"/>
      <c r="B47" s="243"/>
      <c r="C47" s="243"/>
      <c r="D47" s="106"/>
      <c r="E47" s="243"/>
      <c r="F47" s="243"/>
      <c r="G47" s="243"/>
      <c r="H47" s="243"/>
      <c r="I47" s="243"/>
      <c r="J47" s="243"/>
      <c r="K47" s="243"/>
      <c r="N47" s="243"/>
      <c r="Q47" s="108" t="str">
        <f t="shared" si="0"/>
        <v/>
      </c>
      <c r="T47" s="108" t="str">
        <f t="shared" si="1"/>
        <v/>
      </c>
      <c r="U47" s="243"/>
      <c r="V47" s="108" t="str">
        <f t="shared" si="2"/>
        <v/>
      </c>
      <c r="W47" s="243"/>
      <c r="X47" s="243"/>
      <c r="Y47" s="243"/>
      <c r="Z47" s="243"/>
      <c r="AA47" s="243"/>
      <c r="AB47" s="243"/>
    </row>
    <row r="48" spans="1:28" x14ac:dyDescent="0.15">
      <c r="A48" s="243"/>
      <c r="B48" s="243"/>
      <c r="C48" s="127"/>
      <c r="D48" s="128"/>
      <c r="E48" s="243"/>
      <c r="F48" s="243"/>
      <c r="G48" s="127"/>
      <c r="H48" s="127"/>
      <c r="I48" s="127"/>
      <c r="J48" s="127"/>
      <c r="K48" s="243"/>
      <c r="N48" s="127"/>
      <c r="Q48" s="129" t="str">
        <f t="shared" si="0"/>
        <v/>
      </c>
      <c r="T48" s="129" t="str">
        <f t="shared" si="1"/>
        <v/>
      </c>
      <c r="U48" s="127"/>
      <c r="V48" s="129" t="str">
        <f t="shared" si="2"/>
        <v/>
      </c>
      <c r="W48" s="127"/>
      <c r="X48" s="127"/>
      <c r="Y48" s="127"/>
      <c r="Z48" s="127"/>
      <c r="AA48" s="127"/>
      <c r="AB48" s="243"/>
    </row>
    <row r="49" spans="1:28" x14ac:dyDescent="0.15">
      <c r="A49" s="243"/>
      <c r="B49" s="243"/>
      <c r="C49" s="127"/>
      <c r="D49" s="128"/>
      <c r="E49" s="243"/>
      <c r="F49" s="243"/>
      <c r="G49" s="127"/>
      <c r="H49" s="127"/>
      <c r="I49" s="127"/>
      <c r="J49" s="127"/>
      <c r="K49" s="243"/>
      <c r="N49" s="127"/>
      <c r="O49" s="115"/>
      <c r="Q49" s="129" t="str">
        <f t="shared" si="0"/>
        <v/>
      </c>
      <c r="T49" s="129" t="str">
        <f t="shared" si="1"/>
        <v/>
      </c>
      <c r="U49" s="127"/>
      <c r="V49" s="129" t="str">
        <f t="shared" si="2"/>
        <v/>
      </c>
      <c r="W49" s="127"/>
      <c r="X49" s="127"/>
      <c r="Y49" s="127"/>
      <c r="Z49" s="127"/>
      <c r="AA49" s="127"/>
      <c r="AB49" s="243"/>
    </row>
    <row r="50" spans="1:28" x14ac:dyDescent="0.15">
      <c r="A50" s="243"/>
      <c r="B50" s="243"/>
      <c r="C50" s="127"/>
      <c r="D50" s="128"/>
      <c r="E50" s="243"/>
      <c r="F50" s="243"/>
      <c r="G50" s="127"/>
      <c r="H50" s="127"/>
      <c r="I50" s="127"/>
      <c r="J50" s="127"/>
      <c r="K50" s="243"/>
      <c r="N50" s="127"/>
      <c r="Q50" s="129" t="str">
        <f t="shared" si="0"/>
        <v/>
      </c>
      <c r="T50" s="129" t="str">
        <f t="shared" si="1"/>
        <v/>
      </c>
      <c r="V50" s="129" t="str">
        <f t="shared" si="2"/>
        <v/>
      </c>
      <c r="W50" s="127"/>
      <c r="X50" s="127"/>
      <c r="Y50" s="127"/>
      <c r="Z50" s="127"/>
      <c r="AA50" s="127"/>
      <c r="AB50" s="243"/>
    </row>
    <row r="51" spans="1:28" x14ac:dyDescent="0.15">
      <c r="A51" s="243"/>
      <c r="B51" s="243"/>
      <c r="C51" s="127"/>
      <c r="D51" s="128"/>
      <c r="E51" s="243"/>
      <c r="F51" s="243"/>
      <c r="G51" s="127"/>
      <c r="H51" s="127"/>
      <c r="I51" s="127"/>
      <c r="J51" s="127"/>
      <c r="K51" s="243"/>
      <c r="N51" s="127"/>
      <c r="O51" s="115"/>
      <c r="Q51" s="129" t="str">
        <f t="shared" si="0"/>
        <v/>
      </c>
      <c r="T51" s="129" t="str">
        <f t="shared" si="1"/>
        <v/>
      </c>
      <c r="V51" s="129" t="str">
        <f t="shared" si="2"/>
        <v/>
      </c>
      <c r="W51" s="127"/>
      <c r="X51" s="127"/>
      <c r="Y51" s="127"/>
      <c r="Z51" s="127"/>
      <c r="AA51" s="127"/>
      <c r="AB51" s="243"/>
    </row>
    <row r="52" spans="1:28" x14ac:dyDescent="0.15">
      <c r="A52" s="243"/>
      <c r="B52" s="243"/>
      <c r="C52" s="127"/>
      <c r="D52" s="128"/>
      <c r="E52" s="243"/>
      <c r="F52" s="243"/>
      <c r="G52" s="127"/>
      <c r="H52" s="127"/>
      <c r="I52" s="127"/>
      <c r="J52" s="127"/>
      <c r="K52" s="243"/>
      <c r="N52" s="127"/>
      <c r="Q52" s="129" t="str">
        <f t="shared" si="0"/>
        <v/>
      </c>
      <c r="T52" s="129" t="str">
        <f t="shared" si="1"/>
        <v/>
      </c>
      <c r="V52" s="129" t="str">
        <f t="shared" si="2"/>
        <v/>
      </c>
      <c r="W52" s="127"/>
      <c r="X52" s="127"/>
      <c r="Y52" s="127"/>
      <c r="Z52" s="127"/>
      <c r="AA52" s="127"/>
      <c r="AB52" s="243"/>
    </row>
    <row r="53" spans="1:28" x14ac:dyDescent="0.15">
      <c r="A53" s="243"/>
      <c r="B53" s="243"/>
      <c r="C53" s="127"/>
      <c r="D53" s="128"/>
      <c r="E53" s="243"/>
      <c r="F53" s="243"/>
      <c r="G53" s="127"/>
      <c r="H53" s="127"/>
      <c r="I53" s="127"/>
      <c r="J53" s="127"/>
      <c r="K53" s="243"/>
      <c r="N53" s="127"/>
      <c r="Q53" s="129" t="str">
        <f t="shared" si="0"/>
        <v/>
      </c>
      <c r="T53" s="129" t="str">
        <f t="shared" si="1"/>
        <v/>
      </c>
      <c r="V53" s="129" t="str">
        <f t="shared" si="2"/>
        <v/>
      </c>
      <c r="W53" s="127"/>
      <c r="X53" s="127"/>
      <c r="Y53" s="127"/>
      <c r="Z53" s="127"/>
      <c r="AA53" s="127"/>
      <c r="AB53" s="243"/>
    </row>
    <row r="54" spans="1:28" x14ac:dyDescent="0.15">
      <c r="A54" s="243"/>
      <c r="B54" s="243"/>
      <c r="C54" s="127"/>
      <c r="D54" s="128"/>
      <c r="E54" s="243"/>
      <c r="F54" s="243"/>
      <c r="G54" s="127"/>
      <c r="H54" s="127"/>
      <c r="I54" s="127"/>
      <c r="J54" s="127"/>
      <c r="K54" s="243"/>
      <c r="N54" s="127"/>
      <c r="Q54" s="129" t="str">
        <f t="shared" si="0"/>
        <v/>
      </c>
      <c r="T54" s="129" t="str">
        <f t="shared" si="1"/>
        <v/>
      </c>
      <c r="V54" s="129" t="str">
        <f t="shared" si="2"/>
        <v/>
      </c>
      <c r="W54" s="127"/>
      <c r="X54" s="127"/>
      <c r="Y54" s="127"/>
      <c r="Z54" s="127"/>
      <c r="AA54" s="127"/>
      <c r="AB54" s="243"/>
    </row>
    <row r="55" spans="1:28" x14ac:dyDescent="0.15">
      <c r="A55" s="243"/>
      <c r="B55" s="243"/>
      <c r="C55" s="127"/>
      <c r="D55" s="128"/>
      <c r="E55" s="243"/>
      <c r="F55" s="243"/>
      <c r="G55" s="127"/>
      <c r="H55" s="127"/>
      <c r="I55" s="127"/>
      <c r="J55" s="127"/>
      <c r="K55" s="243"/>
      <c r="N55" s="127"/>
      <c r="P55" s="115"/>
      <c r="Q55" s="129" t="str">
        <f t="shared" si="0"/>
        <v/>
      </c>
      <c r="T55" s="129" t="str">
        <f t="shared" si="1"/>
        <v/>
      </c>
      <c r="V55" s="129" t="str">
        <f t="shared" si="2"/>
        <v/>
      </c>
      <c r="W55" s="127"/>
      <c r="X55" s="127"/>
      <c r="Y55" s="127"/>
      <c r="Z55" s="127"/>
      <c r="AA55" s="127"/>
      <c r="AB55" s="243"/>
    </row>
    <row r="56" spans="1:28" x14ac:dyDescent="0.15">
      <c r="A56" s="243"/>
      <c r="B56" s="243"/>
      <c r="C56" s="127"/>
      <c r="D56" s="128"/>
      <c r="E56" s="243"/>
      <c r="F56" s="243"/>
      <c r="G56" s="127"/>
      <c r="H56" s="127"/>
      <c r="I56" s="127"/>
      <c r="J56" s="127"/>
      <c r="K56" s="243"/>
      <c r="N56" s="127"/>
      <c r="Q56" s="129" t="str">
        <f t="shared" si="0"/>
        <v/>
      </c>
      <c r="T56" s="129" t="str">
        <f t="shared" si="1"/>
        <v/>
      </c>
      <c r="V56" s="129" t="str">
        <f t="shared" si="2"/>
        <v/>
      </c>
      <c r="W56" s="127"/>
      <c r="X56" s="127"/>
      <c r="Y56" s="127"/>
      <c r="Z56" s="127"/>
      <c r="AA56" s="127"/>
      <c r="AB56" s="243"/>
    </row>
    <row r="57" spans="1:28" x14ac:dyDescent="0.15">
      <c r="A57" s="243"/>
      <c r="B57" s="243"/>
      <c r="C57" s="127"/>
      <c r="D57" s="128"/>
      <c r="E57" s="243"/>
      <c r="F57" s="243"/>
      <c r="G57" s="127"/>
      <c r="H57" s="127"/>
      <c r="I57" s="127"/>
      <c r="J57" s="127"/>
      <c r="K57" s="243"/>
      <c r="N57" s="127"/>
      <c r="Q57" s="129" t="str">
        <f t="shared" si="0"/>
        <v/>
      </c>
      <c r="T57" s="129" t="str">
        <f t="shared" si="1"/>
        <v/>
      </c>
      <c r="V57" s="129" t="str">
        <f t="shared" si="2"/>
        <v/>
      </c>
      <c r="W57" s="127"/>
      <c r="X57" s="127"/>
      <c r="Y57" s="127"/>
      <c r="Z57" s="127"/>
      <c r="AA57" s="127"/>
      <c r="AB57" s="243"/>
    </row>
    <row r="58" spans="1:28" x14ac:dyDescent="0.15">
      <c r="A58" s="243"/>
      <c r="B58" s="243"/>
      <c r="C58" s="127"/>
      <c r="D58" s="128"/>
      <c r="E58" s="243"/>
      <c r="F58" s="243"/>
      <c r="G58" s="127"/>
      <c r="H58" s="127"/>
      <c r="I58" s="127"/>
      <c r="J58" s="127"/>
      <c r="K58" s="243"/>
      <c r="N58" s="127"/>
      <c r="Q58" s="129" t="str">
        <f t="shared" si="0"/>
        <v/>
      </c>
      <c r="T58" s="129" t="str">
        <f t="shared" si="1"/>
        <v/>
      </c>
      <c r="V58" s="129" t="str">
        <f t="shared" si="2"/>
        <v/>
      </c>
      <c r="W58" s="127"/>
      <c r="X58" s="127"/>
      <c r="Y58" s="127"/>
      <c r="Z58" s="127"/>
      <c r="AA58" s="127"/>
      <c r="AB58" s="243"/>
    </row>
    <row r="59" spans="1:28" x14ac:dyDescent="0.15">
      <c r="A59" s="243"/>
      <c r="B59" s="243"/>
      <c r="C59" s="127"/>
      <c r="D59" s="128"/>
      <c r="E59" s="243"/>
      <c r="F59" s="243"/>
      <c r="G59" s="127"/>
      <c r="H59" s="127"/>
      <c r="I59" s="127"/>
      <c r="J59" s="127"/>
      <c r="K59" s="243"/>
      <c r="N59" s="127"/>
      <c r="Q59" s="129" t="str">
        <f t="shared" si="0"/>
        <v/>
      </c>
      <c r="T59" s="129" t="str">
        <f t="shared" si="1"/>
        <v/>
      </c>
      <c r="V59" s="129" t="str">
        <f t="shared" si="2"/>
        <v/>
      </c>
      <c r="W59" s="127"/>
      <c r="X59" s="127"/>
      <c r="Y59" s="127"/>
      <c r="Z59" s="127"/>
      <c r="AA59" s="127"/>
      <c r="AB59" s="243"/>
    </row>
    <row r="60" spans="1:28" x14ac:dyDescent="0.15">
      <c r="A60" s="243"/>
      <c r="B60" s="243"/>
      <c r="C60" s="127"/>
      <c r="D60" s="128"/>
      <c r="E60" s="243"/>
      <c r="F60" s="243"/>
      <c r="G60" s="127"/>
      <c r="H60" s="127"/>
      <c r="I60" s="127"/>
      <c r="J60" s="127"/>
      <c r="K60" s="243"/>
      <c r="N60" s="127"/>
      <c r="Q60" s="129" t="str">
        <f t="shared" si="0"/>
        <v/>
      </c>
      <c r="T60" s="129" t="str">
        <f t="shared" si="1"/>
        <v/>
      </c>
      <c r="V60" s="129" t="str">
        <f t="shared" si="2"/>
        <v/>
      </c>
      <c r="W60" s="127"/>
      <c r="X60" s="127"/>
      <c r="Y60" s="127"/>
      <c r="Z60" s="127"/>
      <c r="AA60" s="127"/>
      <c r="AB60" s="243"/>
    </row>
    <row r="61" spans="1:28" x14ac:dyDescent="0.15">
      <c r="A61" s="243"/>
      <c r="B61" s="243"/>
      <c r="C61" s="127"/>
      <c r="D61" s="128"/>
      <c r="E61" s="243"/>
      <c r="F61" s="243"/>
      <c r="G61" s="127"/>
      <c r="H61" s="127"/>
      <c r="I61" s="127"/>
      <c r="J61" s="127"/>
      <c r="K61" s="243"/>
      <c r="N61" s="127"/>
      <c r="Q61" s="129" t="str">
        <f t="shared" si="0"/>
        <v/>
      </c>
      <c r="R61" s="115"/>
      <c r="T61" s="129" t="str">
        <f t="shared" si="1"/>
        <v/>
      </c>
      <c r="V61" s="129" t="str">
        <f t="shared" si="2"/>
        <v/>
      </c>
      <c r="W61" s="127"/>
      <c r="X61" s="127"/>
      <c r="Y61" s="127"/>
      <c r="Z61" s="127"/>
      <c r="AA61" s="127"/>
      <c r="AB61" s="243"/>
    </row>
    <row r="62" spans="1:28" x14ac:dyDescent="0.15">
      <c r="A62" s="243"/>
      <c r="B62" s="243"/>
      <c r="C62" s="127"/>
      <c r="D62" s="128"/>
      <c r="E62" s="243"/>
      <c r="F62" s="243"/>
      <c r="G62" s="127"/>
      <c r="H62" s="127"/>
      <c r="I62" s="127"/>
      <c r="J62" s="127"/>
      <c r="K62" s="243"/>
      <c r="N62" s="127"/>
      <c r="Q62" s="129" t="str">
        <f t="shared" si="0"/>
        <v/>
      </c>
      <c r="T62" s="129" t="str">
        <f t="shared" si="1"/>
        <v/>
      </c>
      <c r="V62" s="129" t="str">
        <f t="shared" si="2"/>
        <v/>
      </c>
      <c r="W62" s="127"/>
      <c r="X62" s="127"/>
      <c r="Y62" s="127"/>
      <c r="Z62" s="127"/>
      <c r="AA62" s="127"/>
      <c r="AB62" s="243"/>
    </row>
    <row r="63" spans="1:28" x14ac:dyDescent="0.15">
      <c r="A63" s="243"/>
      <c r="B63" s="243"/>
      <c r="C63" s="127"/>
      <c r="D63" s="128"/>
      <c r="E63" s="243"/>
      <c r="F63" s="243"/>
      <c r="G63" s="127"/>
      <c r="H63" s="127"/>
      <c r="I63" s="127"/>
      <c r="J63" s="127"/>
      <c r="K63" s="243"/>
      <c r="N63" s="127"/>
      <c r="Q63" s="129" t="str">
        <f t="shared" si="0"/>
        <v/>
      </c>
      <c r="T63" s="129" t="str">
        <f t="shared" si="1"/>
        <v/>
      </c>
      <c r="V63" s="129" t="str">
        <f t="shared" si="2"/>
        <v/>
      </c>
      <c r="W63" s="127"/>
      <c r="X63" s="127"/>
      <c r="Y63" s="127"/>
      <c r="Z63" s="127"/>
      <c r="AA63" s="127"/>
      <c r="AB63" s="243"/>
    </row>
    <row r="64" spans="1:28" x14ac:dyDescent="0.15">
      <c r="A64" s="243"/>
      <c r="B64" s="243"/>
      <c r="C64" s="127"/>
      <c r="D64" s="128"/>
      <c r="E64" s="243"/>
      <c r="F64" s="243"/>
      <c r="G64" s="127"/>
      <c r="H64" s="127"/>
      <c r="I64" s="127"/>
      <c r="J64" s="127"/>
      <c r="K64" s="243"/>
      <c r="N64" s="127"/>
      <c r="Q64" s="129" t="str">
        <f t="shared" si="0"/>
        <v/>
      </c>
      <c r="T64" s="129" t="str">
        <f t="shared" si="1"/>
        <v/>
      </c>
      <c r="V64" s="129" t="str">
        <f t="shared" si="2"/>
        <v/>
      </c>
      <c r="W64" s="127"/>
      <c r="X64" s="127"/>
      <c r="Y64" s="127"/>
      <c r="Z64" s="127"/>
      <c r="AA64" s="127"/>
      <c r="AB64" s="243"/>
    </row>
    <row r="65" spans="1:28" x14ac:dyDescent="0.15">
      <c r="A65" s="243"/>
      <c r="B65" s="243"/>
      <c r="C65" s="127"/>
      <c r="D65" s="128"/>
      <c r="E65" s="243"/>
      <c r="F65" s="243"/>
      <c r="G65" s="127"/>
      <c r="H65" s="127"/>
      <c r="I65" s="127"/>
      <c r="J65" s="127"/>
      <c r="K65" s="243"/>
      <c r="N65" s="127"/>
      <c r="Q65" s="129" t="str">
        <f t="shared" si="0"/>
        <v/>
      </c>
      <c r="T65" s="129" t="str">
        <f t="shared" si="1"/>
        <v/>
      </c>
      <c r="V65" s="129" t="str">
        <f t="shared" si="2"/>
        <v/>
      </c>
      <c r="W65" s="127"/>
      <c r="X65" s="127"/>
      <c r="Y65" s="127"/>
      <c r="Z65" s="127"/>
      <c r="AA65" s="127"/>
      <c r="AB65" s="243"/>
    </row>
    <row r="66" spans="1:28" x14ac:dyDescent="0.15">
      <c r="A66" s="243"/>
      <c r="B66" s="243"/>
      <c r="C66" s="127"/>
      <c r="D66" s="128"/>
      <c r="E66" s="243"/>
      <c r="F66" s="243"/>
      <c r="G66" s="127"/>
      <c r="H66" s="127"/>
      <c r="I66" s="127"/>
      <c r="J66" s="127"/>
      <c r="K66" s="243"/>
      <c r="N66" s="127"/>
      <c r="Q66" s="129" t="str">
        <f t="shared" ref="Q66:Q85" si="3">IF(OR(O66="",P66=""),"",AVERAGE(O66,P66))</f>
        <v/>
      </c>
      <c r="T66" s="129" t="str">
        <f t="shared" ref="T66:T85" si="4">IF(H66="","",IF(OR(H66="GREEN",H66="GK"),IF(S66&gt;=$AX$2,VLOOKUP(S66,$AX$2:$AY$10,2,1),""),IF(S66&gt;=$AZ$2,VLOOKUP(S66,$AZ$2:$BA$10,2,1),"")))</f>
        <v/>
      </c>
      <c r="V66" s="129" t="str">
        <f t="shared" ref="V66:V85" si="5">IF(OR(N66="",U66="",T66=""),"",U66/N66*T66)</f>
        <v/>
      </c>
      <c r="W66" s="127"/>
      <c r="X66" s="127"/>
      <c r="Y66" s="127"/>
      <c r="Z66" s="127"/>
      <c r="AA66" s="127"/>
      <c r="AB66" s="243"/>
    </row>
    <row r="67" spans="1:28" x14ac:dyDescent="0.15">
      <c r="A67" s="243"/>
      <c r="B67" s="243"/>
      <c r="C67" s="127"/>
      <c r="D67" s="128"/>
      <c r="E67" s="243"/>
      <c r="F67" s="243"/>
      <c r="G67" s="127"/>
      <c r="H67" s="127"/>
      <c r="I67" s="127"/>
      <c r="J67" s="127"/>
      <c r="K67" s="243"/>
      <c r="N67" s="127"/>
      <c r="Q67" s="129" t="str">
        <f t="shared" si="3"/>
        <v/>
      </c>
      <c r="T67" s="129" t="str">
        <f t="shared" si="4"/>
        <v/>
      </c>
      <c r="V67" s="129" t="str">
        <f t="shared" si="5"/>
        <v/>
      </c>
      <c r="W67" s="127"/>
      <c r="X67" s="127"/>
      <c r="Y67" s="127"/>
      <c r="Z67" s="127"/>
      <c r="AA67" s="127"/>
      <c r="AB67" s="243"/>
    </row>
    <row r="68" spans="1:28" x14ac:dyDescent="0.15">
      <c r="A68" s="243"/>
      <c r="B68" s="243"/>
      <c r="C68" s="127"/>
      <c r="D68" s="128"/>
      <c r="E68" s="243"/>
      <c r="F68" s="243"/>
      <c r="G68" s="127"/>
      <c r="H68" s="127"/>
      <c r="I68" s="127"/>
      <c r="J68" s="127"/>
      <c r="K68" s="243"/>
      <c r="N68" s="127"/>
      <c r="W68" s="127"/>
      <c r="X68" s="127"/>
      <c r="Y68" s="127"/>
      <c r="Z68" s="127"/>
      <c r="AA68" s="127"/>
      <c r="AB68" s="243"/>
    </row>
    <row r="69" spans="1:28" x14ac:dyDescent="0.15">
      <c r="A69" s="243"/>
      <c r="B69" s="243"/>
      <c r="C69" s="127"/>
      <c r="D69" s="128"/>
      <c r="E69" s="243"/>
      <c r="F69" s="243"/>
      <c r="G69" s="127"/>
      <c r="H69" s="127"/>
      <c r="I69" s="127"/>
      <c r="J69" s="127"/>
      <c r="K69" s="243"/>
      <c r="N69" s="127"/>
      <c r="W69" s="127"/>
      <c r="X69" s="127"/>
      <c r="Y69" s="127"/>
      <c r="Z69" s="127"/>
      <c r="AA69" s="127"/>
      <c r="AB69" s="243"/>
    </row>
    <row r="70" spans="1:28" x14ac:dyDescent="0.15">
      <c r="A70" s="243"/>
      <c r="B70" s="243"/>
      <c r="C70" s="127"/>
      <c r="D70" s="128"/>
      <c r="E70" s="243"/>
      <c r="F70" s="243"/>
      <c r="G70" s="127"/>
      <c r="H70" s="127"/>
      <c r="I70" s="127"/>
      <c r="J70" s="127"/>
      <c r="K70" s="243"/>
      <c r="N70" s="127"/>
      <c r="W70" s="127"/>
      <c r="X70" s="127"/>
      <c r="Y70" s="127"/>
      <c r="Z70" s="127"/>
      <c r="AA70" s="127"/>
      <c r="AB70" s="243"/>
    </row>
    <row r="71" spans="1:28" x14ac:dyDescent="0.15">
      <c r="A71" s="243"/>
      <c r="B71" s="243"/>
      <c r="C71" s="127"/>
      <c r="D71" s="128"/>
      <c r="E71" s="243"/>
      <c r="F71" s="243"/>
      <c r="G71" s="127"/>
      <c r="H71" s="127"/>
      <c r="I71" s="127"/>
      <c r="J71" s="127"/>
      <c r="K71" s="243"/>
      <c r="N71" s="127"/>
      <c r="W71" s="127"/>
      <c r="X71" s="127"/>
      <c r="Y71" s="127"/>
      <c r="Z71" s="127"/>
      <c r="AA71" s="127"/>
      <c r="AB71" s="243"/>
    </row>
    <row r="72" spans="1:28" x14ac:dyDescent="0.15">
      <c r="A72" s="243"/>
      <c r="B72" s="243"/>
      <c r="C72" s="127"/>
      <c r="D72" s="128"/>
      <c r="E72" s="243"/>
      <c r="F72" s="243"/>
      <c r="G72" s="127"/>
      <c r="H72" s="127"/>
      <c r="I72" s="127"/>
      <c r="J72" s="127"/>
      <c r="K72" s="127"/>
      <c r="N72" s="127"/>
      <c r="W72" s="127"/>
      <c r="X72" s="127"/>
      <c r="Y72" s="127"/>
      <c r="Z72" s="127"/>
      <c r="AA72" s="127"/>
      <c r="AB72" s="243"/>
    </row>
    <row r="73" spans="1:28" x14ac:dyDescent="0.15">
      <c r="A73" s="243"/>
      <c r="B73" s="243"/>
      <c r="C73" s="127"/>
      <c r="D73" s="128"/>
      <c r="E73" s="243"/>
      <c r="F73" s="243"/>
      <c r="G73" s="127"/>
      <c r="H73" s="127"/>
      <c r="I73" s="127"/>
      <c r="J73" s="127"/>
      <c r="K73" s="127"/>
      <c r="N73" s="127"/>
      <c r="W73" s="127"/>
      <c r="X73" s="127"/>
      <c r="Y73" s="127"/>
      <c r="Z73" s="127"/>
      <c r="AA73" s="127"/>
      <c r="AB73" s="243"/>
    </row>
    <row r="74" spans="1:28" x14ac:dyDescent="0.15">
      <c r="E74" s="243"/>
      <c r="F74" s="243"/>
    </row>
    <row r="75" spans="1:28" x14ac:dyDescent="0.15">
      <c r="E75" s="243"/>
      <c r="F75" s="243"/>
    </row>
    <row r="76" spans="1:28" x14ac:dyDescent="0.15">
      <c r="E76" s="243"/>
      <c r="F76" s="243"/>
    </row>
    <row r="77" spans="1:28" x14ac:dyDescent="0.15">
      <c r="E77" s="243"/>
      <c r="F77" s="243"/>
    </row>
    <row r="78" spans="1:28" x14ac:dyDescent="0.15">
      <c r="E78" s="243"/>
      <c r="F78" s="243"/>
    </row>
    <row r="79" spans="1:28" x14ac:dyDescent="0.15">
      <c r="E79" s="243"/>
      <c r="F79" s="243"/>
    </row>
    <row r="80" spans="1:28" x14ac:dyDescent="0.15">
      <c r="E80" s="243"/>
      <c r="F80" s="243"/>
    </row>
    <row r="81" spans="5:6" x14ac:dyDescent="0.15">
      <c r="E81" s="243"/>
      <c r="F81" s="243"/>
    </row>
    <row r="82" spans="5:6" x14ac:dyDescent="0.15">
      <c r="E82" s="243"/>
      <c r="F82" s="243"/>
    </row>
    <row r="83" spans="5:6" x14ac:dyDescent="0.15">
      <c r="E83" s="243"/>
      <c r="F83" s="243"/>
    </row>
    <row r="84" spans="5:6" x14ac:dyDescent="0.15">
      <c r="E84" s="243"/>
      <c r="F84" s="243"/>
    </row>
    <row r="85" spans="5:6" x14ac:dyDescent="0.15">
      <c r="E85" s="243"/>
      <c r="F85" s="243"/>
    </row>
    <row r="86" spans="5:6" x14ac:dyDescent="0.15">
      <c r="E86" s="243"/>
      <c r="F86" s="243"/>
    </row>
    <row r="87" spans="5:6" x14ac:dyDescent="0.15">
      <c r="E87" s="243"/>
      <c r="F87" s="243"/>
    </row>
    <row r="88" spans="5:6" x14ac:dyDescent="0.15">
      <c r="E88" s="243"/>
      <c r="F88" s="243"/>
    </row>
    <row r="89" spans="5:6" x14ac:dyDescent="0.15">
      <c r="E89" s="243"/>
      <c r="F89" s="243"/>
    </row>
    <row r="90" spans="5:6" x14ac:dyDescent="0.15">
      <c r="E90" s="243"/>
      <c r="F90" s="243"/>
    </row>
    <row r="91" spans="5:6" x14ac:dyDescent="0.15">
      <c r="E91" s="243"/>
      <c r="F91" s="243"/>
    </row>
    <row r="92" spans="5:6" x14ac:dyDescent="0.15">
      <c r="E92" s="243"/>
      <c r="F92" s="243"/>
    </row>
    <row r="93" spans="5:6" x14ac:dyDescent="0.15">
      <c r="E93" s="243"/>
      <c r="F93" s="243"/>
    </row>
    <row r="94" spans="5:6" x14ac:dyDescent="0.15">
      <c r="E94" s="243"/>
      <c r="F94" s="243"/>
    </row>
    <row r="95" spans="5:6" x14ac:dyDescent="0.15">
      <c r="E95" s="243"/>
      <c r="F95" s="243"/>
    </row>
    <row r="96" spans="5:6" x14ac:dyDescent="0.15">
      <c r="E96" s="243"/>
      <c r="F96" s="243"/>
    </row>
    <row r="97" spans="5:6" x14ac:dyDescent="0.15">
      <c r="E97" s="243"/>
      <c r="F97" s="243"/>
    </row>
    <row r="98" spans="5:6" x14ac:dyDescent="0.15">
      <c r="E98" s="243"/>
      <c r="F98" s="243"/>
    </row>
    <row r="99" spans="5:6" x14ac:dyDescent="0.15">
      <c r="E99" s="243"/>
      <c r="F99" s="243"/>
    </row>
    <row r="100" spans="5:6" x14ac:dyDescent="0.15">
      <c r="E100" s="243"/>
      <c r="F100" s="243"/>
    </row>
    <row r="101" spans="5:6" x14ac:dyDescent="0.15">
      <c r="E101" s="243"/>
      <c r="F101" s="243"/>
    </row>
    <row r="102" spans="5:6" x14ac:dyDescent="0.15">
      <c r="E102" s="243"/>
      <c r="F102" s="243"/>
    </row>
    <row r="103" spans="5:6" x14ac:dyDescent="0.15">
      <c r="E103" s="243"/>
      <c r="F103" s="243"/>
    </row>
    <row r="104" spans="5:6" x14ac:dyDescent="0.15">
      <c r="E104" s="243"/>
      <c r="F104" s="243"/>
    </row>
    <row r="105" spans="5:6" x14ac:dyDescent="0.15">
      <c r="E105" s="243"/>
      <c r="F105" s="243"/>
    </row>
    <row r="106" spans="5:6" x14ac:dyDescent="0.15">
      <c r="E106" s="243"/>
      <c r="F106" s="243"/>
    </row>
    <row r="107" spans="5:6" x14ac:dyDescent="0.15">
      <c r="E107" s="243"/>
      <c r="F107" s="243"/>
    </row>
    <row r="108" spans="5:6" x14ac:dyDescent="0.15">
      <c r="E108" s="243"/>
      <c r="F108" s="243"/>
    </row>
    <row r="109" spans="5:6" x14ac:dyDescent="0.15">
      <c r="E109" s="243"/>
      <c r="F109" s="243"/>
    </row>
    <row r="110" spans="5:6" x14ac:dyDescent="0.15">
      <c r="E110" s="243"/>
      <c r="F110" s="243"/>
    </row>
    <row r="111" spans="5:6" x14ac:dyDescent="0.15">
      <c r="E111" s="243"/>
      <c r="F111" s="243"/>
    </row>
    <row r="112" spans="5:6" x14ac:dyDescent="0.15">
      <c r="E112" s="243"/>
      <c r="F112" s="243"/>
    </row>
    <row r="113" spans="5:6" x14ac:dyDescent="0.15">
      <c r="E113" s="243"/>
      <c r="F113" s="243"/>
    </row>
    <row r="114" spans="5:6" x14ac:dyDescent="0.15">
      <c r="E114" s="243"/>
      <c r="F114" s="243"/>
    </row>
    <row r="115" spans="5:6" x14ac:dyDescent="0.15">
      <c r="E115" s="243"/>
      <c r="F115" s="243"/>
    </row>
    <row r="116" spans="5:6" x14ac:dyDescent="0.15">
      <c r="E116" s="243"/>
      <c r="F116" s="243"/>
    </row>
    <row r="117" spans="5:6" x14ac:dyDescent="0.15">
      <c r="E117" s="243"/>
      <c r="F117" s="243"/>
    </row>
    <row r="118" spans="5:6" x14ac:dyDescent="0.15">
      <c r="E118" s="243"/>
      <c r="F118" s="243"/>
    </row>
    <row r="119" spans="5:6" x14ac:dyDescent="0.15">
      <c r="E119" s="243"/>
      <c r="F119" s="243"/>
    </row>
    <row r="120" spans="5:6" x14ac:dyDescent="0.15">
      <c r="E120" s="243"/>
      <c r="F120" s="243"/>
    </row>
    <row r="121" spans="5:6" x14ac:dyDescent="0.15">
      <c r="E121" s="243"/>
      <c r="F121" s="243"/>
    </row>
    <row r="122" spans="5:6" x14ac:dyDescent="0.15">
      <c r="E122" s="243"/>
      <c r="F122" s="243"/>
    </row>
    <row r="123" spans="5:6" x14ac:dyDescent="0.15">
      <c r="E123" s="243"/>
      <c r="F123" s="243"/>
    </row>
    <row r="124" spans="5:6" x14ac:dyDescent="0.15">
      <c r="E124" s="243"/>
      <c r="F124" s="243"/>
    </row>
    <row r="125" spans="5:6" x14ac:dyDescent="0.15">
      <c r="E125" s="243"/>
      <c r="F125" s="243"/>
    </row>
    <row r="126" spans="5:6" x14ac:dyDescent="0.15">
      <c r="E126" s="243"/>
      <c r="F126" s="243"/>
    </row>
    <row r="127" spans="5:6" x14ac:dyDescent="0.15">
      <c r="E127" s="243"/>
      <c r="F127" s="243"/>
    </row>
    <row r="128" spans="5:6" x14ac:dyDescent="0.15">
      <c r="E128" s="243"/>
      <c r="F128" s="243"/>
    </row>
    <row r="129" spans="5:6" x14ac:dyDescent="0.15">
      <c r="E129" s="243"/>
      <c r="F129" s="243"/>
    </row>
    <row r="130" spans="5:6" x14ac:dyDescent="0.15">
      <c r="E130" s="243"/>
      <c r="F130" s="243"/>
    </row>
    <row r="131" spans="5:6" x14ac:dyDescent="0.15">
      <c r="E131" s="243"/>
      <c r="F131" s="243"/>
    </row>
    <row r="132" spans="5:6" x14ac:dyDescent="0.15">
      <c r="E132" s="243"/>
      <c r="F132" s="243"/>
    </row>
    <row r="133" spans="5:6" x14ac:dyDescent="0.15">
      <c r="E133" s="243"/>
      <c r="F133" s="243"/>
    </row>
    <row r="134" spans="5:6" x14ac:dyDescent="0.15">
      <c r="E134" s="243"/>
      <c r="F134" s="243"/>
    </row>
    <row r="135" spans="5:6" x14ac:dyDescent="0.15">
      <c r="E135" s="243"/>
      <c r="F135" s="243"/>
    </row>
    <row r="136" spans="5:6" x14ac:dyDescent="0.15">
      <c r="E136" s="243"/>
      <c r="F136" s="243"/>
    </row>
    <row r="137" spans="5:6" x14ac:dyDescent="0.15">
      <c r="E137" s="243"/>
      <c r="F137" s="243"/>
    </row>
    <row r="138" spans="5:6" x14ac:dyDescent="0.15">
      <c r="E138" s="243"/>
      <c r="F138" s="243"/>
    </row>
    <row r="139" spans="5:6" x14ac:dyDescent="0.15">
      <c r="E139" s="243"/>
      <c r="F139" s="243"/>
    </row>
    <row r="140" spans="5:6" x14ac:dyDescent="0.15">
      <c r="E140" s="243"/>
      <c r="F140" s="243"/>
    </row>
    <row r="141" spans="5:6" x14ac:dyDescent="0.15">
      <c r="E141" s="243"/>
      <c r="F141" s="243"/>
    </row>
    <row r="142" spans="5:6" x14ac:dyDescent="0.15">
      <c r="E142" s="243"/>
      <c r="F142" s="243"/>
    </row>
    <row r="143" spans="5:6" x14ac:dyDescent="0.15">
      <c r="E143" s="243"/>
      <c r="F143" s="243"/>
    </row>
    <row r="144" spans="5:6" x14ac:dyDescent="0.15">
      <c r="E144" s="243"/>
      <c r="F144" s="243"/>
    </row>
    <row r="145" spans="5:6" x14ac:dyDescent="0.15">
      <c r="E145" s="243"/>
      <c r="F145" s="243"/>
    </row>
    <row r="146" spans="5:6" x14ac:dyDescent="0.15">
      <c r="E146" s="243"/>
      <c r="F146" s="243"/>
    </row>
    <row r="147" spans="5:6" x14ac:dyDescent="0.15">
      <c r="E147" s="243"/>
      <c r="F147" s="243"/>
    </row>
    <row r="148" spans="5:6" x14ac:dyDescent="0.15">
      <c r="E148" s="243"/>
      <c r="F148" s="243"/>
    </row>
    <row r="149" spans="5:6" x14ac:dyDescent="0.15">
      <c r="E149" s="243"/>
      <c r="F149" s="243"/>
    </row>
    <row r="150" spans="5:6" x14ac:dyDescent="0.15">
      <c r="E150" s="243"/>
      <c r="F150" s="243"/>
    </row>
    <row r="151" spans="5:6" x14ac:dyDescent="0.15">
      <c r="E151" s="243"/>
      <c r="F151" s="243"/>
    </row>
    <row r="152" spans="5:6" x14ac:dyDescent="0.15">
      <c r="E152" s="243"/>
      <c r="F152" s="243"/>
    </row>
    <row r="153" spans="5:6" x14ac:dyDescent="0.15">
      <c r="E153" s="243"/>
      <c r="F153" s="243"/>
    </row>
    <row r="154" spans="5:6" x14ac:dyDescent="0.15">
      <c r="E154" s="243"/>
      <c r="F154" s="243"/>
    </row>
    <row r="155" spans="5:6" x14ac:dyDescent="0.15">
      <c r="E155" s="243"/>
      <c r="F155" s="243"/>
    </row>
    <row r="156" spans="5:6" x14ac:dyDescent="0.15">
      <c r="E156" s="243"/>
      <c r="F156" s="243"/>
    </row>
    <row r="157" spans="5:6" x14ac:dyDescent="0.15">
      <c r="E157" s="243"/>
      <c r="F157" s="243"/>
    </row>
    <row r="158" spans="5:6" x14ac:dyDescent="0.15">
      <c r="E158" s="243"/>
      <c r="F158" s="243"/>
    </row>
    <row r="159" spans="5:6" x14ac:dyDescent="0.15">
      <c r="E159" s="243"/>
      <c r="F159" s="243"/>
    </row>
    <row r="160" spans="5:6" x14ac:dyDescent="0.15">
      <c r="E160" s="243"/>
      <c r="F160" s="243"/>
    </row>
    <row r="161" spans="5:6" x14ac:dyDescent="0.15">
      <c r="E161" s="243"/>
      <c r="F161" s="243"/>
    </row>
    <row r="162" spans="5:6" x14ac:dyDescent="0.15">
      <c r="E162" s="243"/>
      <c r="F162" s="243"/>
    </row>
    <row r="163" spans="5:6" x14ac:dyDescent="0.15">
      <c r="E163" s="243"/>
      <c r="F163" s="243"/>
    </row>
    <row r="164" spans="5:6" x14ac:dyDescent="0.15">
      <c r="E164" s="243"/>
      <c r="F164" s="243"/>
    </row>
    <row r="165" spans="5:6" x14ac:dyDescent="0.15">
      <c r="E165" s="243"/>
      <c r="F165" s="243"/>
    </row>
    <row r="166" spans="5:6" x14ac:dyDescent="0.15">
      <c r="E166" s="243"/>
      <c r="F166" s="243"/>
    </row>
    <row r="167" spans="5:6" x14ac:dyDescent="0.15">
      <c r="E167" s="243"/>
      <c r="F167" s="243"/>
    </row>
    <row r="168" spans="5:6" x14ac:dyDescent="0.15">
      <c r="E168" s="243"/>
      <c r="F168" s="243"/>
    </row>
    <row r="169" spans="5:6" x14ac:dyDescent="0.15">
      <c r="E169" s="243"/>
      <c r="F169" s="243"/>
    </row>
    <row r="170" spans="5:6" x14ac:dyDescent="0.15">
      <c r="E170" s="243"/>
      <c r="F170" s="243"/>
    </row>
    <row r="171" spans="5:6" x14ac:dyDescent="0.15">
      <c r="E171" s="243"/>
      <c r="F171" s="243"/>
    </row>
    <row r="172" spans="5:6" x14ac:dyDescent="0.15">
      <c r="E172" s="243"/>
      <c r="F172" s="243"/>
    </row>
    <row r="173" spans="5:6" x14ac:dyDescent="0.15">
      <c r="E173" s="243"/>
      <c r="F173" s="243"/>
    </row>
    <row r="174" spans="5:6" x14ac:dyDescent="0.15">
      <c r="E174" s="243"/>
      <c r="F174" s="243"/>
    </row>
    <row r="175" spans="5:6" x14ac:dyDescent="0.15">
      <c r="E175" s="243"/>
      <c r="F175" s="243"/>
    </row>
    <row r="176" spans="5:6" x14ac:dyDescent="0.15">
      <c r="E176" s="243"/>
      <c r="F176" s="243"/>
    </row>
    <row r="177" spans="5:6" x14ac:dyDescent="0.15">
      <c r="E177" s="243"/>
      <c r="F177" s="243"/>
    </row>
    <row r="178" spans="5:6" x14ac:dyDescent="0.15">
      <c r="E178" s="243"/>
      <c r="F178" s="243"/>
    </row>
    <row r="179" spans="5:6" x14ac:dyDescent="0.15">
      <c r="E179" s="243"/>
      <c r="F179" s="243"/>
    </row>
    <row r="180" spans="5:6" x14ac:dyDescent="0.15">
      <c r="E180" s="243"/>
      <c r="F180" s="243"/>
    </row>
    <row r="181" spans="5:6" x14ac:dyDescent="0.15">
      <c r="E181" s="243"/>
      <c r="F181" s="243"/>
    </row>
    <row r="182" spans="5:6" x14ac:dyDescent="0.15">
      <c r="E182" s="243"/>
      <c r="F182" s="243"/>
    </row>
    <row r="183" spans="5:6" x14ac:dyDescent="0.15">
      <c r="E183" s="243"/>
      <c r="F183" s="243"/>
    </row>
    <row r="184" spans="5:6" x14ac:dyDescent="0.15">
      <c r="E184" s="243"/>
      <c r="F184" s="243"/>
    </row>
    <row r="185" spans="5:6" x14ac:dyDescent="0.15">
      <c r="E185" s="243"/>
      <c r="F185" s="243"/>
    </row>
    <row r="186" spans="5:6" x14ac:dyDescent="0.15">
      <c r="E186" s="243"/>
      <c r="F186" s="243"/>
    </row>
    <row r="187" spans="5:6" x14ac:dyDescent="0.15">
      <c r="E187" s="243"/>
      <c r="F187" s="243"/>
    </row>
    <row r="188" spans="5:6" x14ac:dyDescent="0.15">
      <c r="E188" s="243"/>
      <c r="F188" s="243"/>
    </row>
    <row r="189" spans="5:6" x14ac:dyDescent="0.15">
      <c r="E189" s="243"/>
      <c r="F189" s="243"/>
    </row>
    <row r="190" spans="5:6" x14ac:dyDescent="0.15">
      <c r="E190" s="243"/>
      <c r="F190" s="243"/>
    </row>
    <row r="191" spans="5:6" x14ac:dyDescent="0.15">
      <c r="E191" s="243"/>
      <c r="F191" s="243"/>
    </row>
    <row r="192" spans="5:6" x14ac:dyDescent="0.15">
      <c r="E192" s="243"/>
      <c r="F192" s="243"/>
    </row>
    <row r="193" spans="5:6" x14ac:dyDescent="0.15">
      <c r="E193" s="243"/>
      <c r="F193" s="243"/>
    </row>
    <row r="194" spans="5:6" x14ac:dyDescent="0.15">
      <c r="E194" s="243"/>
      <c r="F194" s="243"/>
    </row>
    <row r="195" spans="5:6" x14ac:dyDescent="0.15">
      <c r="E195" s="243"/>
      <c r="F195" s="243"/>
    </row>
    <row r="196" spans="5:6" x14ac:dyDescent="0.15">
      <c r="E196" s="243"/>
      <c r="F196" s="243"/>
    </row>
    <row r="197" spans="5:6" x14ac:dyDescent="0.15">
      <c r="E197" s="243"/>
      <c r="F197" s="243"/>
    </row>
    <row r="198" spans="5:6" x14ac:dyDescent="0.15">
      <c r="E198" s="243"/>
      <c r="F198" s="243"/>
    </row>
    <row r="199" spans="5:6" x14ac:dyDescent="0.15">
      <c r="E199" s="243"/>
      <c r="F199" s="243"/>
    </row>
    <row r="200" spans="5:6" x14ac:dyDescent="0.15">
      <c r="E200" s="243"/>
      <c r="F200" s="243"/>
    </row>
    <row r="201" spans="5:6" x14ac:dyDescent="0.15">
      <c r="E201" s="243"/>
      <c r="F201" s="243"/>
    </row>
    <row r="202" spans="5:6" x14ac:dyDescent="0.15">
      <c r="E202" s="243"/>
      <c r="F202" s="243"/>
    </row>
    <row r="203" spans="5:6" x14ac:dyDescent="0.15">
      <c r="E203" s="243"/>
      <c r="F203" s="243"/>
    </row>
    <row r="204" spans="5:6" x14ac:dyDescent="0.15">
      <c r="E204" s="243"/>
      <c r="F204" s="243"/>
    </row>
    <row r="205" spans="5:6" x14ac:dyDescent="0.15">
      <c r="E205" s="243"/>
      <c r="F205" s="243"/>
    </row>
    <row r="206" spans="5:6" x14ac:dyDescent="0.15">
      <c r="E206" s="243"/>
      <c r="F206" s="243"/>
    </row>
    <row r="207" spans="5:6" x14ac:dyDescent="0.15">
      <c r="E207" s="243"/>
      <c r="F207" s="243"/>
    </row>
    <row r="208" spans="5:6" x14ac:dyDescent="0.15">
      <c r="E208" s="243"/>
      <c r="F208" s="243"/>
    </row>
    <row r="209" spans="5:6" x14ac:dyDescent="0.15">
      <c r="E209" s="243"/>
      <c r="F209" s="243"/>
    </row>
    <row r="210" spans="5:6" x14ac:dyDescent="0.15">
      <c r="E210" s="243"/>
      <c r="F210" s="243"/>
    </row>
    <row r="211" spans="5:6" x14ac:dyDescent="0.15">
      <c r="E211" s="243"/>
      <c r="F211" s="243"/>
    </row>
    <row r="212" spans="5:6" x14ac:dyDescent="0.15">
      <c r="E212" s="243"/>
      <c r="F212" s="243"/>
    </row>
    <row r="213" spans="5:6" x14ac:dyDescent="0.15">
      <c r="E213" s="243"/>
      <c r="F213" s="243"/>
    </row>
    <row r="214" spans="5:6" x14ac:dyDescent="0.15">
      <c r="E214" s="243"/>
      <c r="F214" s="243"/>
    </row>
    <row r="215" spans="5:6" x14ac:dyDescent="0.15">
      <c r="E215" s="243"/>
      <c r="F215" s="243"/>
    </row>
    <row r="216" spans="5:6" x14ac:dyDescent="0.15">
      <c r="E216" s="243"/>
      <c r="F216" s="243"/>
    </row>
    <row r="217" spans="5:6" x14ac:dyDescent="0.15">
      <c r="E217" s="243"/>
      <c r="F217" s="243"/>
    </row>
    <row r="218" spans="5:6" x14ac:dyDescent="0.15">
      <c r="E218" s="243"/>
      <c r="F218" s="243"/>
    </row>
    <row r="219" spans="5:6" x14ac:dyDescent="0.15">
      <c r="E219" s="243"/>
      <c r="F219" s="243"/>
    </row>
    <row r="220" spans="5:6" x14ac:dyDescent="0.15">
      <c r="E220" s="243"/>
      <c r="F220" s="243"/>
    </row>
    <row r="221" spans="5:6" x14ac:dyDescent="0.15">
      <c r="E221" s="243"/>
      <c r="F221" s="243"/>
    </row>
    <row r="222" spans="5:6" x14ac:dyDescent="0.15">
      <c r="E222" s="243"/>
      <c r="F222" s="243"/>
    </row>
    <row r="223" spans="5:6" x14ac:dyDescent="0.15">
      <c r="E223" s="243"/>
      <c r="F223" s="243"/>
    </row>
    <row r="224" spans="5:6" x14ac:dyDescent="0.15">
      <c r="E224" s="243"/>
      <c r="F224" s="243"/>
    </row>
    <row r="225" spans="5:6" x14ac:dyDescent="0.15">
      <c r="E225" s="243"/>
      <c r="F225" s="243"/>
    </row>
    <row r="226" spans="5:6" x14ac:dyDescent="0.15">
      <c r="E226" s="243"/>
      <c r="F226" s="243"/>
    </row>
    <row r="227" spans="5:6" x14ac:dyDescent="0.15">
      <c r="E227" s="243"/>
      <c r="F227" s="243"/>
    </row>
    <row r="228" spans="5:6" x14ac:dyDescent="0.15">
      <c r="E228" s="243"/>
      <c r="F228" s="243"/>
    </row>
    <row r="229" spans="5:6" x14ac:dyDescent="0.15">
      <c r="E229" s="243"/>
      <c r="F229" s="243"/>
    </row>
    <row r="230" spans="5:6" x14ac:dyDescent="0.15">
      <c r="E230" s="243"/>
      <c r="F230" s="243"/>
    </row>
    <row r="231" spans="5:6" x14ac:dyDescent="0.15">
      <c r="E231" s="243"/>
      <c r="F231" s="243"/>
    </row>
    <row r="232" spans="5:6" x14ac:dyDescent="0.15">
      <c r="E232" s="243"/>
      <c r="F232" s="243"/>
    </row>
    <row r="233" spans="5:6" x14ac:dyDescent="0.15">
      <c r="E233" s="243"/>
      <c r="F233" s="243"/>
    </row>
    <row r="234" spans="5:6" x14ac:dyDescent="0.15">
      <c r="E234" s="243"/>
      <c r="F234" s="243"/>
    </row>
    <row r="235" spans="5:6" x14ac:dyDescent="0.15">
      <c r="E235" s="243"/>
      <c r="F235" s="243"/>
    </row>
    <row r="236" spans="5:6" x14ac:dyDescent="0.15">
      <c r="E236" s="243"/>
      <c r="F236" s="243"/>
    </row>
    <row r="237" spans="5:6" x14ac:dyDescent="0.15">
      <c r="E237" s="243"/>
      <c r="F237" s="243"/>
    </row>
    <row r="238" spans="5:6" x14ac:dyDescent="0.15">
      <c r="E238" s="243"/>
      <c r="F238" s="243"/>
    </row>
    <row r="239" spans="5:6" x14ac:dyDescent="0.15">
      <c r="E239" s="243"/>
      <c r="F239" s="243"/>
    </row>
    <row r="240" spans="5:6" x14ac:dyDescent="0.15">
      <c r="E240" s="243"/>
      <c r="F240" s="243"/>
    </row>
    <row r="241" spans="5:6" x14ac:dyDescent="0.15">
      <c r="E241" s="243"/>
      <c r="F241" s="243"/>
    </row>
    <row r="242" spans="5:6" x14ac:dyDescent="0.15">
      <c r="E242" s="243"/>
      <c r="F242" s="243"/>
    </row>
    <row r="243" spans="5:6" x14ac:dyDescent="0.15">
      <c r="E243" s="243"/>
      <c r="F243" s="243"/>
    </row>
    <row r="244" spans="5:6" x14ac:dyDescent="0.15">
      <c r="E244" s="243"/>
      <c r="F244" s="243"/>
    </row>
    <row r="245" spans="5:6" x14ac:dyDescent="0.15">
      <c r="E245" s="243"/>
      <c r="F245" s="243"/>
    </row>
    <row r="246" spans="5:6" x14ac:dyDescent="0.15">
      <c r="E246" s="243"/>
      <c r="F246" s="243"/>
    </row>
    <row r="247" spans="5:6" x14ac:dyDescent="0.15">
      <c r="E247" s="243"/>
      <c r="F247" s="243"/>
    </row>
    <row r="248" spans="5:6" x14ac:dyDescent="0.15">
      <c r="E248" s="243"/>
      <c r="F248" s="243"/>
    </row>
    <row r="249" spans="5:6" x14ac:dyDescent="0.15">
      <c r="E249" s="243"/>
      <c r="F249" s="243"/>
    </row>
    <row r="250" spans="5:6" x14ac:dyDescent="0.15">
      <c r="E250" s="243"/>
      <c r="F250" s="243"/>
    </row>
    <row r="251" spans="5:6" x14ac:dyDescent="0.15">
      <c r="E251" s="243"/>
      <c r="F251" s="243"/>
    </row>
    <row r="252" spans="5:6" x14ac:dyDescent="0.15">
      <c r="E252" s="243"/>
      <c r="F252" s="243"/>
    </row>
    <row r="253" spans="5:6" x14ac:dyDescent="0.15">
      <c r="E253" s="243"/>
      <c r="F253" s="243"/>
    </row>
    <row r="254" spans="5:6" x14ac:dyDescent="0.15">
      <c r="E254" s="243"/>
      <c r="F254" s="243"/>
    </row>
    <row r="255" spans="5:6" x14ac:dyDescent="0.15">
      <c r="E255" s="243"/>
      <c r="F255" s="243"/>
    </row>
    <row r="256" spans="5:6" x14ac:dyDescent="0.15">
      <c r="E256" s="243"/>
      <c r="F256" s="243"/>
    </row>
    <row r="257" spans="5:6" x14ac:dyDescent="0.15">
      <c r="E257" s="243"/>
      <c r="F257" s="243"/>
    </row>
    <row r="258" spans="5:6" x14ac:dyDescent="0.15">
      <c r="E258" s="243"/>
      <c r="F258" s="243"/>
    </row>
    <row r="259" spans="5:6" x14ac:dyDescent="0.15">
      <c r="E259" s="243"/>
      <c r="F259" s="243"/>
    </row>
    <row r="260" spans="5:6" x14ac:dyDescent="0.15">
      <c r="E260" s="243"/>
      <c r="F260" s="243"/>
    </row>
    <row r="261" spans="5:6" x14ac:dyDescent="0.15">
      <c r="E261" s="243"/>
      <c r="F261" s="243"/>
    </row>
    <row r="262" spans="5:6" x14ac:dyDescent="0.15">
      <c r="E262" s="243"/>
      <c r="F262" s="243"/>
    </row>
    <row r="263" spans="5:6" x14ac:dyDescent="0.15">
      <c r="E263" s="243"/>
      <c r="F263" s="243"/>
    </row>
    <row r="264" spans="5:6" x14ac:dyDescent="0.15">
      <c r="E264" s="243"/>
      <c r="F264" s="243"/>
    </row>
    <row r="265" spans="5:6" x14ac:dyDescent="0.15">
      <c r="E265" s="243"/>
      <c r="F265" s="243"/>
    </row>
    <row r="266" spans="5:6" x14ac:dyDescent="0.15">
      <c r="E266" s="243"/>
      <c r="F266" s="243"/>
    </row>
    <row r="267" spans="5:6" x14ac:dyDescent="0.15">
      <c r="E267" s="243"/>
      <c r="F267" s="243"/>
    </row>
    <row r="268" spans="5:6" x14ac:dyDescent="0.15">
      <c r="E268" s="243"/>
      <c r="F268" s="243"/>
    </row>
    <row r="269" spans="5:6" x14ac:dyDescent="0.15">
      <c r="E269" s="243"/>
      <c r="F269" s="243"/>
    </row>
    <row r="270" spans="5:6" x14ac:dyDescent="0.15">
      <c r="E270" s="243"/>
      <c r="F270" s="243"/>
    </row>
    <row r="271" spans="5:6" x14ac:dyDescent="0.15">
      <c r="E271" s="243"/>
      <c r="F271" s="243"/>
    </row>
    <row r="272" spans="5:6" x14ac:dyDescent="0.15">
      <c r="E272" s="243"/>
      <c r="F272" s="243"/>
    </row>
    <row r="273" spans="5:6" x14ac:dyDescent="0.15">
      <c r="E273" s="243"/>
      <c r="F273" s="243"/>
    </row>
    <row r="274" spans="5:6" x14ac:dyDescent="0.15">
      <c r="E274" s="243"/>
      <c r="F274" s="243"/>
    </row>
    <row r="275" spans="5:6" x14ac:dyDescent="0.15">
      <c r="E275" s="243"/>
      <c r="F275" s="243"/>
    </row>
    <row r="276" spans="5:6" x14ac:dyDescent="0.15">
      <c r="E276" s="243"/>
      <c r="F276" s="243"/>
    </row>
    <row r="277" spans="5:6" x14ac:dyDescent="0.15">
      <c r="E277" s="243"/>
      <c r="F277" s="243"/>
    </row>
    <row r="278" spans="5:6" x14ac:dyDescent="0.15">
      <c r="E278" s="243"/>
      <c r="F278" s="243"/>
    </row>
    <row r="279" spans="5:6" x14ac:dyDescent="0.15">
      <c r="E279" s="243"/>
      <c r="F279" s="243"/>
    </row>
    <row r="280" spans="5:6" x14ac:dyDescent="0.15">
      <c r="E280" s="243"/>
      <c r="F280" s="243"/>
    </row>
    <row r="281" spans="5:6" x14ac:dyDescent="0.15">
      <c r="E281" s="243"/>
      <c r="F281" s="243"/>
    </row>
    <row r="282" spans="5:6" x14ac:dyDescent="0.15">
      <c r="E282" s="243"/>
      <c r="F282" s="243"/>
    </row>
    <row r="283" spans="5:6" x14ac:dyDescent="0.15">
      <c r="E283" s="243"/>
      <c r="F283" s="243"/>
    </row>
    <row r="284" spans="5:6" x14ac:dyDescent="0.15">
      <c r="E284" s="243"/>
      <c r="F284" s="243"/>
    </row>
    <row r="285" spans="5:6" x14ac:dyDescent="0.15">
      <c r="E285" s="243"/>
      <c r="F285" s="243"/>
    </row>
    <row r="286" spans="5:6" x14ac:dyDescent="0.15">
      <c r="E286" s="243"/>
      <c r="F286" s="243"/>
    </row>
    <row r="287" spans="5:6" x14ac:dyDescent="0.15">
      <c r="E287" s="243"/>
      <c r="F287" s="243"/>
    </row>
    <row r="288" spans="5:6" x14ac:dyDescent="0.15">
      <c r="E288" s="243"/>
      <c r="F288" s="243"/>
    </row>
    <row r="289" spans="5:6" x14ac:dyDescent="0.15">
      <c r="E289" s="243"/>
      <c r="F289" s="243"/>
    </row>
    <row r="290" spans="5:6" x14ac:dyDescent="0.15">
      <c r="E290" s="243"/>
      <c r="F290" s="243"/>
    </row>
    <row r="291" spans="5:6" x14ac:dyDescent="0.15">
      <c r="E291" s="243"/>
      <c r="F291" s="243"/>
    </row>
    <row r="292" spans="5:6" x14ac:dyDescent="0.15">
      <c r="E292" s="243"/>
      <c r="F292" s="243"/>
    </row>
    <row r="293" spans="5:6" x14ac:dyDescent="0.15">
      <c r="E293" s="243"/>
      <c r="F293" s="243"/>
    </row>
    <row r="294" spans="5:6" x14ac:dyDescent="0.15">
      <c r="E294" s="243"/>
      <c r="F294" s="243"/>
    </row>
    <row r="295" spans="5:6" x14ac:dyDescent="0.15">
      <c r="E295" s="243"/>
      <c r="F295" s="243"/>
    </row>
    <row r="296" spans="5:6" x14ac:dyDescent="0.15">
      <c r="E296" s="243"/>
      <c r="F296" s="243"/>
    </row>
    <row r="297" spans="5:6" x14ac:dyDescent="0.15">
      <c r="E297" s="243"/>
      <c r="F297" s="243"/>
    </row>
    <row r="298" spans="5:6" x14ac:dyDescent="0.15">
      <c r="E298" s="243"/>
      <c r="F298" s="243"/>
    </row>
    <row r="299" spans="5:6" x14ac:dyDescent="0.15">
      <c r="E299" s="243"/>
      <c r="F299" s="243"/>
    </row>
    <row r="300" spans="5:6" x14ac:dyDescent="0.15">
      <c r="E300" s="243"/>
      <c r="F300" s="243"/>
    </row>
    <row r="301" spans="5:6" x14ac:dyDescent="0.15">
      <c r="E301" s="243"/>
      <c r="F301" s="243"/>
    </row>
    <row r="302" spans="5:6" x14ac:dyDescent="0.15">
      <c r="E302" s="243"/>
      <c r="F302" s="243"/>
    </row>
    <row r="303" spans="5:6" x14ac:dyDescent="0.15">
      <c r="E303" s="243"/>
      <c r="F303" s="243"/>
    </row>
    <row r="304" spans="5:6" x14ac:dyDescent="0.15">
      <c r="E304" s="243"/>
      <c r="F304" s="243"/>
    </row>
    <row r="305" spans="5:6" x14ac:dyDescent="0.15">
      <c r="E305" s="243"/>
      <c r="F305" s="243"/>
    </row>
    <row r="306" spans="5:6" x14ac:dyDescent="0.15">
      <c r="E306" s="243"/>
      <c r="F306" s="243"/>
    </row>
    <row r="307" spans="5:6" x14ac:dyDescent="0.15">
      <c r="E307" s="243"/>
      <c r="F307" s="243"/>
    </row>
    <row r="308" spans="5:6" x14ac:dyDescent="0.15">
      <c r="E308" s="243"/>
      <c r="F308" s="243"/>
    </row>
    <row r="309" spans="5:6" x14ac:dyDescent="0.15">
      <c r="E309" s="243"/>
      <c r="F309" s="243"/>
    </row>
    <row r="310" spans="5:6" x14ac:dyDescent="0.15">
      <c r="E310" s="243"/>
      <c r="F310" s="243"/>
    </row>
    <row r="311" spans="5:6" x14ac:dyDescent="0.15">
      <c r="E311" s="243"/>
      <c r="F311" s="243"/>
    </row>
    <row r="312" spans="5:6" x14ac:dyDescent="0.15">
      <c r="E312" s="243"/>
      <c r="F312" s="243"/>
    </row>
    <row r="313" spans="5:6" x14ac:dyDescent="0.15">
      <c r="E313" s="243"/>
      <c r="F313" s="243"/>
    </row>
    <row r="314" spans="5:6" x14ac:dyDescent="0.15">
      <c r="E314" s="243"/>
      <c r="F314" s="243"/>
    </row>
    <row r="315" spans="5:6" x14ac:dyDescent="0.15">
      <c r="E315" s="243"/>
      <c r="F315" s="243"/>
    </row>
    <row r="316" spans="5:6" x14ac:dyDescent="0.15">
      <c r="E316" s="243"/>
      <c r="F316" s="243"/>
    </row>
    <row r="317" spans="5:6" x14ac:dyDescent="0.15">
      <c r="E317" s="243"/>
      <c r="F317" s="243"/>
    </row>
    <row r="318" spans="5:6" x14ac:dyDescent="0.15">
      <c r="E318" s="243"/>
      <c r="F318" s="243"/>
    </row>
    <row r="319" spans="5:6" x14ac:dyDescent="0.15">
      <c r="E319" s="243"/>
      <c r="F319" s="243"/>
    </row>
    <row r="320" spans="5:6" x14ac:dyDescent="0.15">
      <c r="E320" s="243"/>
      <c r="F320" s="243"/>
    </row>
    <row r="321" spans="5:6" x14ac:dyDescent="0.15">
      <c r="E321" s="243"/>
      <c r="F321" s="243"/>
    </row>
    <row r="322" spans="5:6" x14ac:dyDescent="0.15">
      <c r="E322" s="243"/>
      <c r="F322" s="243"/>
    </row>
    <row r="323" spans="5:6" x14ac:dyDescent="0.15">
      <c r="E323" s="243"/>
      <c r="F323" s="243"/>
    </row>
    <row r="324" spans="5:6" x14ac:dyDescent="0.15">
      <c r="E324" s="243"/>
      <c r="F324" s="243"/>
    </row>
    <row r="325" spans="5:6" x14ac:dyDescent="0.15">
      <c r="E325" s="243"/>
      <c r="F325" s="243"/>
    </row>
    <row r="326" spans="5:6" x14ac:dyDescent="0.15">
      <c r="E326" s="243"/>
      <c r="F326" s="243"/>
    </row>
    <row r="327" spans="5:6" x14ac:dyDescent="0.15">
      <c r="E327" s="243"/>
      <c r="F327" s="243"/>
    </row>
    <row r="328" spans="5:6" x14ac:dyDescent="0.15">
      <c r="E328" s="243"/>
      <c r="F328" s="243"/>
    </row>
    <row r="329" spans="5:6" x14ac:dyDescent="0.15">
      <c r="E329" s="243"/>
      <c r="F329" s="243"/>
    </row>
    <row r="330" spans="5:6" x14ac:dyDescent="0.15">
      <c r="E330" s="243"/>
      <c r="F330" s="243"/>
    </row>
    <row r="331" spans="5:6" x14ac:dyDescent="0.15">
      <c r="E331" s="243"/>
      <c r="F331" s="243"/>
    </row>
    <row r="332" spans="5:6" x14ac:dyDescent="0.15">
      <c r="E332" s="243"/>
      <c r="F332" s="243"/>
    </row>
    <row r="333" spans="5:6" x14ac:dyDescent="0.15">
      <c r="E333" s="243"/>
      <c r="F333" s="243"/>
    </row>
    <row r="334" spans="5:6" x14ac:dyDescent="0.15">
      <c r="E334" s="243"/>
      <c r="F334" s="243"/>
    </row>
    <row r="335" spans="5:6" x14ac:dyDescent="0.15">
      <c r="E335" s="243"/>
      <c r="F335" s="243"/>
    </row>
    <row r="336" spans="5:6" x14ac:dyDescent="0.15">
      <c r="E336" s="243"/>
      <c r="F336" s="243"/>
    </row>
    <row r="337" spans="5:6" x14ac:dyDescent="0.15">
      <c r="E337" s="243"/>
      <c r="F337" s="243"/>
    </row>
    <row r="338" spans="5:6" x14ac:dyDescent="0.15">
      <c r="E338" s="243"/>
      <c r="F338" s="243"/>
    </row>
    <row r="339" spans="5:6" x14ac:dyDescent="0.15">
      <c r="E339" s="243"/>
      <c r="F339" s="243"/>
    </row>
    <row r="340" spans="5:6" x14ac:dyDescent="0.15">
      <c r="E340" s="243"/>
      <c r="F340" s="243"/>
    </row>
    <row r="341" spans="5:6" x14ac:dyDescent="0.15">
      <c r="E341" s="243"/>
      <c r="F341" s="243"/>
    </row>
    <row r="342" spans="5:6" x14ac:dyDescent="0.15">
      <c r="E342" s="243"/>
      <c r="F342" s="243"/>
    </row>
    <row r="343" spans="5:6" x14ac:dyDescent="0.15">
      <c r="E343" s="243"/>
      <c r="F343" s="243"/>
    </row>
    <row r="344" spans="5:6" x14ac:dyDescent="0.15">
      <c r="E344" s="243"/>
      <c r="F344" s="243"/>
    </row>
    <row r="345" spans="5:6" x14ac:dyDescent="0.15">
      <c r="E345" s="243"/>
      <c r="F345" s="243"/>
    </row>
    <row r="346" spans="5:6" x14ac:dyDescent="0.15">
      <c r="E346" s="243"/>
      <c r="F346" s="243"/>
    </row>
    <row r="347" spans="5:6" x14ac:dyDescent="0.15">
      <c r="E347" s="243"/>
      <c r="F347" s="243"/>
    </row>
    <row r="348" spans="5:6" x14ac:dyDescent="0.15">
      <c r="E348" s="243"/>
      <c r="F348" s="243"/>
    </row>
    <row r="349" spans="5:6" x14ac:dyDescent="0.15">
      <c r="E349" s="243"/>
      <c r="F349" s="243"/>
    </row>
    <row r="350" spans="5:6" x14ac:dyDescent="0.15">
      <c r="E350" s="243"/>
      <c r="F350" s="243"/>
    </row>
    <row r="351" spans="5:6" x14ac:dyDescent="0.15">
      <c r="E351" s="243"/>
      <c r="F351" s="243"/>
    </row>
    <row r="352" spans="5:6" x14ac:dyDescent="0.15">
      <c r="E352" s="243"/>
      <c r="F352" s="243"/>
    </row>
    <row r="353" spans="5:6" x14ac:dyDescent="0.15">
      <c r="E353" s="243"/>
      <c r="F353" s="243"/>
    </row>
    <row r="354" spans="5:6" x14ac:dyDescent="0.15">
      <c r="E354" s="243"/>
      <c r="F354" s="243"/>
    </row>
    <row r="355" spans="5:6" x14ac:dyDescent="0.15">
      <c r="E355" s="243"/>
      <c r="F355" s="243"/>
    </row>
    <row r="356" spans="5:6" x14ac:dyDescent="0.15">
      <c r="E356" s="243"/>
      <c r="F356" s="243"/>
    </row>
    <row r="357" spans="5:6" x14ac:dyDescent="0.15">
      <c r="E357" s="243"/>
      <c r="F357" s="243"/>
    </row>
    <row r="358" spans="5:6" x14ac:dyDescent="0.15">
      <c r="E358" s="243"/>
      <c r="F358" s="243"/>
    </row>
    <row r="359" spans="5:6" x14ac:dyDescent="0.15">
      <c r="E359" s="243"/>
      <c r="F359" s="243"/>
    </row>
    <row r="360" spans="5:6" x14ac:dyDescent="0.15">
      <c r="E360" s="243"/>
      <c r="F360" s="243"/>
    </row>
    <row r="361" spans="5:6" x14ac:dyDescent="0.15">
      <c r="E361" s="243"/>
      <c r="F361" s="243"/>
    </row>
    <row r="362" spans="5:6" x14ac:dyDescent="0.15">
      <c r="E362" s="243"/>
      <c r="F362" s="243"/>
    </row>
    <row r="363" spans="5:6" x14ac:dyDescent="0.15">
      <c r="E363" s="243"/>
      <c r="F363" s="243"/>
    </row>
    <row r="364" spans="5:6" x14ac:dyDescent="0.15">
      <c r="E364" s="243"/>
      <c r="F364" s="243"/>
    </row>
    <row r="365" spans="5:6" x14ac:dyDescent="0.15">
      <c r="E365" s="243"/>
      <c r="F365" s="243"/>
    </row>
    <row r="366" spans="5:6" x14ac:dyDescent="0.15">
      <c r="E366" s="243"/>
      <c r="F366" s="243"/>
    </row>
    <row r="367" spans="5:6" x14ac:dyDescent="0.15">
      <c r="E367" s="243"/>
      <c r="F367" s="243"/>
    </row>
    <row r="368" spans="5:6" x14ac:dyDescent="0.15">
      <c r="E368" s="243"/>
      <c r="F368" s="243"/>
    </row>
    <row r="369" spans="5:6" x14ac:dyDescent="0.15">
      <c r="E369" s="243"/>
      <c r="F369" s="243"/>
    </row>
    <row r="370" spans="5:6" x14ac:dyDescent="0.15">
      <c r="E370" s="243"/>
      <c r="F370" s="243"/>
    </row>
    <row r="371" spans="5:6" x14ac:dyDescent="0.15">
      <c r="E371" s="243"/>
      <c r="F371" s="243"/>
    </row>
    <row r="372" spans="5:6" x14ac:dyDescent="0.15">
      <c r="E372" s="243"/>
      <c r="F372" s="243"/>
    </row>
    <row r="373" spans="5:6" x14ac:dyDescent="0.15">
      <c r="E373" s="243"/>
      <c r="F373" s="243"/>
    </row>
    <row r="374" spans="5:6" x14ac:dyDescent="0.15">
      <c r="E374" s="243"/>
      <c r="F374" s="243"/>
    </row>
    <row r="375" spans="5:6" x14ac:dyDescent="0.15">
      <c r="E375" s="243"/>
      <c r="F375" s="243"/>
    </row>
    <row r="376" spans="5:6" x14ac:dyDescent="0.15">
      <c r="E376" s="243"/>
      <c r="F376" s="243"/>
    </row>
    <row r="377" spans="5:6" x14ac:dyDescent="0.15">
      <c r="E377" s="243"/>
      <c r="F377" s="243"/>
    </row>
    <row r="378" spans="5:6" x14ac:dyDescent="0.15">
      <c r="E378" s="243"/>
      <c r="F378" s="243"/>
    </row>
    <row r="379" spans="5:6" x14ac:dyDescent="0.15">
      <c r="E379" s="243"/>
      <c r="F379" s="243"/>
    </row>
    <row r="380" spans="5:6" x14ac:dyDescent="0.15">
      <c r="E380" s="243"/>
      <c r="F380" s="243"/>
    </row>
    <row r="381" spans="5:6" x14ac:dyDescent="0.15">
      <c r="E381" s="243"/>
      <c r="F381" s="243"/>
    </row>
    <row r="382" spans="5:6" x14ac:dyDescent="0.15">
      <c r="E382" s="243"/>
      <c r="F382" s="243"/>
    </row>
    <row r="383" spans="5:6" x14ac:dyDescent="0.15">
      <c r="E383" s="243"/>
      <c r="F383" s="243"/>
    </row>
    <row r="384" spans="5:6" x14ac:dyDescent="0.15">
      <c r="E384" s="243"/>
      <c r="F384" s="243"/>
    </row>
    <row r="385" spans="5:6" x14ac:dyDescent="0.15">
      <c r="E385" s="243"/>
      <c r="F385" s="243"/>
    </row>
    <row r="386" spans="5:6" x14ac:dyDescent="0.15">
      <c r="E386" s="243"/>
      <c r="F386" s="243"/>
    </row>
    <row r="387" spans="5:6" x14ac:dyDescent="0.15">
      <c r="E387" s="243"/>
      <c r="F387" s="243"/>
    </row>
    <row r="388" spans="5:6" x14ac:dyDescent="0.15">
      <c r="E388" s="243"/>
      <c r="F388" s="243"/>
    </row>
    <row r="389" spans="5:6" x14ac:dyDescent="0.15">
      <c r="E389" s="243"/>
      <c r="F389" s="243"/>
    </row>
    <row r="390" spans="5:6" x14ac:dyDescent="0.15">
      <c r="E390" s="243"/>
      <c r="F390" s="243"/>
    </row>
    <row r="391" spans="5:6" x14ac:dyDescent="0.15">
      <c r="E391" s="243"/>
      <c r="F391" s="243"/>
    </row>
    <row r="392" spans="5:6" x14ac:dyDescent="0.15">
      <c r="E392" s="243"/>
      <c r="F392" s="243"/>
    </row>
    <row r="393" spans="5:6" x14ac:dyDescent="0.15">
      <c r="E393" s="243"/>
      <c r="F393" s="243"/>
    </row>
    <row r="394" spans="5:6" x14ac:dyDescent="0.15">
      <c r="E394" s="243"/>
      <c r="F394" s="243"/>
    </row>
    <row r="395" spans="5:6" x14ac:dyDescent="0.15">
      <c r="E395" s="243"/>
      <c r="F395" s="243"/>
    </row>
    <row r="396" spans="5:6" x14ac:dyDescent="0.15">
      <c r="E396" s="243"/>
      <c r="F396" s="243"/>
    </row>
    <row r="397" spans="5:6" x14ac:dyDescent="0.15">
      <c r="E397" s="243"/>
      <c r="F397" s="243"/>
    </row>
    <row r="398" spans="5:6" x14ac:dyDescent="0.15">
      <c r="E398" s="243"/>
      <c r="F398" s="243"/>
    </row>
    <row r="399" spans="5:6" x14ac:dyDescent="0.15">
      <c r="E399" s="243"/>
      <c r="F399" s="243"/>
    </row>
    <row r="400" spans="5:6" x14ac:dyDescent="0.15">
      <c r="E400" s="243"/>
      <c r="F400" s="243"/>
    </row>
    <row r="401" spans="5:6" x14ac:dyDescent="0.15">
      <c r="E401" s="243"/>
      <c r="F401" s="243"/>
    </row>
    <row r="402" spans="5:6" x14ac:dyDescent="0.15">
      <c r="E402" s="243"/>
      <c r="F402" s="243"/>
    </row>
    <row r="403" spans="5:6" x14ac:dyDescent="0.15">
      <c r="E403" s="243"/>
      <c r="F403" s="243"/>
    </row>
    <row r="404" spans="5:6" x14ac:dyDescent="0.15">
      <c r="E404" s="243"/>
      <c r="F404" s="243"/>
    </row>
    <row r="405" spans="5:6" x14ac:dyDescent="0.15">
      <c r="E405" s="243"/>
      <c r="F405" s="243"/>
    </row>
    <row r="406" spans="5:6" x14ac:dyDescent="0.15">
      <c r="E406" s="243"/>
      <c r="F406" s="243"/>
    </row>
    <row r="407" spans="5:6" x14ac:dyDescent="0.15">
      <c r="E407" s="243"/>
      <c r="F407" s="243"/>
    </row>
    <row r="408" spans="5:6" x14ac:dyDescent="0.15">
      <c r="E408" s="243"/>
      <c r="F408" s="243"/>
    </row>
    <row r="409" spans="5:6" x14ac:dyDescent="0.15">
      <c r="E409" s="243"/>
      <c r="F409" s="243"/>
    </row>
    <row r="410" spans="5:6" x14ac:dyDescent="0.15">
      <c r="E410" s="243"/>
      <c r="F410" s="243"/>
    </row>
    <row r="411" spans="5:6" x14ac:dyDescent="0.15">
      <c r="E411" s="243"/>
      <c r="F411" s="243"/>
    </row>
    <row r="412" spans="5:6" x14ac:dyDescent="0.15">
      <c r="E412" s="243"/>
      <c r="F412" s="243"/>
    </row>
    <row r="413" spans="5:6" x14ac:dyDescent="0.15">
      <c r="E413" s="243"/>
      <c r="F413" s="243"/>
    </row>
    <row r="414" spans="5:6" x14ac:dyDescent="0.15">
      <c r="E414" s="243"/>
      <c r="F414" s="243"/>
    </row>
    <row r="415" spans="5:6" x14ac:dyDescent="0.15">
      <c r="E415" s="243"/>
      <c r="F415" s="243"/>
    </row>
    <row r="416" spans="5:6" x14ac:dyDescent="0.15">
      <c r="E416" s="243"/>
      <c r="F416" s="243"/>
    </row>
    <row r="417" spans="5:6" x14ac:dyDescent="0.15">
      <c r="E417" s="243"/>
      <c r="F417" s="243"/>
    </row>
    <row r="418" spans="5:6" x14ac:dyDescent="0.15">
      <c r="E418" s="243"/>
      <c r="F418" s="243"/>
    </row>
    <row r="419" spans="5:6" x14ac:dyDescent="0.15">
      <c r="E419" s="243"/>
      <c r="F419" s="243"/>
    </row>
    <row r="420" spans="5:6" x14ac:dyDescent="0.15">
      <c r="E420" s="243"/>
      <c r="F420" s="243"/>
    </row>
    <row r="421" spans="5:6" x14ac:dyDescent="0.15">
      <c r="E421" s="243"/>
      <c r="F421" s="243"/>
    </row>
    <row r="422" spans="5:6" x14ac:dyDescent="0.15">
      <c r="E422" s="243"/>
      <c r="F422" s="243"/>
    </row>
    <row r="423" spans="5:6" x14ac:dyDescent="0.15">
      <c r="E423" s="243"/>
      <c r="F423" s="243"/>
    </row>
    <row r="424" spans="5:6" x14ac:dyDescent="0.15">
      <c r="E424" s="243"/>
      <c r="F424" s="243"/>
    </row>
    <row r="425" spans="5:6" x14ac:dyDescent="0.15">
      <c r="E425" s="243"/>
      <c r="F425" s="243"/>
    </row>
    <row r="426" spans="5:6" x14ac:dyDescent="0.15">
      <c r="E426" s="243"/>
      <c r="F426" s="243"/>
    </row>
    <row r="427" spans="5:6" x14ac:dyDescent="0.15">
      <c r="E427" s="243"/>
      <c r="F427" s="243"/>
    </row>
    <row r="428" spans="5:6" x14ac:dyDescent="0.15">
      <c r="E428" s="243"/>
      <c r="F428" s="243"/>
    </row>
    <row r="429" spans="5:6" x14ac:dyDescent="0.15">
      <c r="E429" s="243"/>
      <c r="F429" s="243"/>
    </row>
    <row r="430" spans="5:6" x14ac:dyDescent="0.15">
      <c r="E430" s="243"/>
      <c r="F430" s="243"/>
    </row>
    <row r="431" spans="5:6" x14ac:dyDescent="0.15">
      <c r="E431" s="243"/>
      <c r="F431" s="243"/>
    </row>
    <row r="432" spans="5:6" x14ac:dyDescent="0.15">
      <c r="E432" s="243"/>
      <c r="F432" s="243"/>
    </row>
    <row r="433" spans="5:6" x14ac:dyDescent="0.15">
      <c r="E433" s="243"/>
      <c r="F433" s="243"/>
    </row>
    <row r="434" spans="5:6" x14ac:dyDescent="0.15">
      <c r="E434" s="243"/>
      <c r="F434" s="243"/>
    </row>
    <row r="435" spans="5:6" x14ac:dyDescent="0.15">
      <c r="E435" s="243"/>
      <c r="F435" s="243"/>
    </row>
    <row r="436" spans="5:6" x14ac:dyDescent="0.15">
      <c r="E436" s="243"/>
      <c r="F436" s="243"/>
    </row>
    <row r="437" spans="5:6" x14ac:dyDescent="0.15">
      <c r="E437" s="243"/>
      <c r="F437" s="243"/>
    </row>
    <row r="438" spans="5:6" x14ac:dyDescent="0.15">
      <c r="E438" s="243"/>
      <c r="F438" s="243"/>
    </row>
    <row r="439" spans="5:6" x14ac:dyDescent="0.15">
      <c r="E439" s="243"/>
      <c r="F439" s="243"/>
    </row>
    <row r="440" spans="5:6" x14ac:dyDescent="0.15">
      <c r="E440" s="243"/>
      <c r="F440" s="243"/>
    </row>
    <row r="441" spans="5:6" x14ac:dyDescent="0.15">
      <c r="E441" s="243"/>
      <c r="F441" s="243"/>
    </row>
    <row r="442" spans="5:6" x14ac:dyDescent="0.15">
      <c r="E442" s="243"/>
      <c r="F442" s="243"/>
    </row>
    <row r="443" spans="5:6" x14ac:dyDescent="0.15">
      <c r="E443" s="243"/>
      <c r="F443" s="243"/>
    </row>
    <row r="444" spans="5:6" x14ac:dyDescent="0.15">
      <c r="E444" s="243"/>
      <c r="F444" s="243"/>
    </row>
    <row r="445" spans="5:6" x14ac:dyDescent="0.15">
      <c r="E445" s="243"/>
      <c r="F445" s="243"/>
    </row>
    <row r="446" spans="5:6" x14ac:dyDescent="0.15">
      <c r="E446" s="243"/>
      <c r="F446" s="243"/>
    </row>
    <row r="447" spans="5:6" x14ac:dyDescent="0.15">
      <c r="E447" s="243"/>
      <c r="F447" s="243"/>
    </row>
    <row r="448" spans="5:6" x14ac:dyDescent="0.15">
      <c r="E448" s="243"/>
      <c r="F448" s="243"/>
    </row>
    <row r="449" spans="5:6" x14ac:dyDescent="0.15">
      <c r="E449" s="243"/>
      <c r="F449" s="243"/>
    </row>
    <row r="450" spans="5:6" x14ac:dyDescent="0.15">
      <c r="E450" s="243"/>
      <c r="F450" s="243"/>
    </row>
    <row r="451" spans="5:6" x14ac:dyDescent="0.15">
      <c r="E451" s="243"/>
      <c r="F451" s="243"/>
    </row>
    <row r="452" spans="5:6" x14ac:dyDescent="0.15">
      <c r="E452" s="243"/>
      <c r="F452" s="243"/>
    </row>
    <row r="453" spans="5:6" x14ac:dyDescent="0.15">
      <c r="E453" s="243"/>
      <c r="F453" s="243"/>
    </row>
    <row r="454" spans="5:6" x14ac:dyDescent="0.15">
      <c r="E454" s="243"/>
      <c r="F454" s="243"/>
    </row>
    <row r="455" spans="5:6" x14ac:dyDescent="0.15">
      <c r="E455" s="243"/>
      <c r="F455" s="243"/>
    </row>
    <row r="456" spans="5:6" x14ac:dyDescent="0.15">
      <c r="E456" s="243"/>
      <c r="F456" s="243"/>
    </row>
    <row r="457" spans="5:6" x14ac:dyDescent="0.15">
      <c r="E457" s="243"/>
      <c r="F457" s="243"/>
    </row>
    <row r="458" spans="5:6" x14ac:dyDescent="0.15">
      <c r="E458" s="243"/>
      <c r="F458" s="243"/>
    </row>
    <row r="459" spans="5:6" x14ac:dyDescent="0.15">
      <c r="E459" s="243"/>
      <c r="F459" s="243"/>
    </row>
    <row r="460" spans="5:6" x14ac:dyDescent="0.15">
      <c r="E460" s="243"/>
      <c r="F460" s="243"/>
    </row>
    <row r="461" spans="5:6" x14ac:dyDescent="0.15">
      <c r="E461" s="243"/>
      <c r="F461" s="243"/>
    </row>
    <row r="462" spans="5:6" x14ac:dyDescent="0.15">
      <c r="E462" s="243"/>
      <c r="F462" s="243"/>
    </row>
    <row r="463" spans="5:6" x14ac:dyDescent="0.15">
      <c r="E463" s="243"/>
      <c r="F463" s="243"/>
    </row>
    <row r="464" spans="5:6" x14ac:dyDescent="0.15">
      <c r="E464" s="243"/>
      <c r="F464" s="243"/>
    </row>
    <row r="465" spans="5:6" x14ac:dyDescent="0.15">
      <c r="E465" s="243"/>
      <c r="F465" s="243"/>
    </row>
    <row r="466" spans="5:6" x14ac:dyDescent="0.15">
      <c r="E466" s="243"/>
      <c r="F466" s="243"/>
    </row>
    <row r="467" spans="5:6" x14ac:dyDescent="0.15">
      <c r="E467" s="243"/>
      <c r="F467" s="243"/>
    </row>
    <row r="468" spans="5:6" x14ac:dyDescent="0.15">
      <c r="E468" s="243"/>
      <c r="F468" s="243"/>
    </row>
    <row r="469" spans="5:6" x14ac:dyDescent="0.15">
      <c r="E469" s="243"/>
      <c r="F469" s="243"/>
    </row>
    <row r="470" spans="5:6" x14ac:dyDescent="0.15">
      <c r="E470" s="243"/>
      <c r="F470" s="243"/>
    </row>
    <row r="471" spans="5:6" x14ac:dyDescent="0.15">
      <c r="E471" s="243"/>
      <c r="F471" s="243"/>
    </row>
    <row r="472" spans="5:6" x14ac:dyDescent="0.15">
      <c r="E472" s="243"/>
      <c r="F472" s="243"/>
    </row>
    <row r="473" spans="5:6" x14ac:dyDescent="0.15">
      <c r="E473" s="243"/>
      <c r="F473" s="243"/>
    </row>
    <row r="474" spans="5:6" x14ac:dyDescent="0.15">
      <c r="E474" s="243"/>
      <c r="F474" s="243"/>
    </row>
    <row r="475" spans="5:6" x14ac:dyDescent="0.15">
      <c r="E475" s="243"/>
      <c r="F475" s="243"/>
    </row>
    <row r="476" spans="5:6" x14ac:dyDescent="0.15">
      <c r="E476" s="243"/>
      <c r="F476" s="243"/>
    </row>
    <row r="477" spans="5:6" x14ac:dyDescent="0.15">
      <c r="E477" s="243"/>
      <c r="F477" s="243"/>
    </row>
    <row r="478" spans="5:6" x14ac:dyDescent="0.15">
      <c r="E478" s="243"/>
      <c r="F478" s="243"/>
    </row>
    <row r="479" spans="5:6" x14ac:dyDescent="0.15">
      <c r="E479" s="243"/>
      <c r="F479" s="243"/>
    </row>
    <row r="480" spans="5:6" x14ac:dyDescent="0.15">
      <c r="E480" s="243"/>
      <c r="F480" s="243"/>
    </row>
    <row r="481" spans="5:6" x14ac:dyDescent="0.15">
      <c r="E481" s="243"/>
      <c r="F481" s="243"/>
    </row>
    <row r="482" spans="5:6" x14ac:dyDescent="0.15">
      <c r="E482" s="243"/>
      <c r="F482" s="243"/>
    </row>
    <row r="483" spans="5:6" x14ac:dyDescent="0.15">
      <c r="E483" s="243"/>
      <c r="F483" s="243"/>
    </row>
    <row r="484" spans="5:6" x14ac:dyDescent="0.15">
      <c r="E484" s="243"/>
      <c r="F484" s="243"/>
    </row>
    <row r="485" spans="5:6" x14ac:dyDescent="0.15">
      <c r="E485" s="243"/>
      <c r="F485" s="243"/>
    </row>
    <row r="486" spans="5:6" x14ac:dyDescent="0.15">
      <c r="E486" s="243"/>
      <c r="F486" s="243"/>
    </row>
    <row r="487" spans="5:6" x14ac:dyDescent="0.15">
      <c r="E487" s="243"/>
      <c r="F487" s="243"/>
    </row>
    <row r="488" spans="5:6" x14ac:dyDescent="0.15">
      <c r="E488" s="243"/>
      <c r="F488" s="243"/>
    </row>
    <row r="489" spans="5:6" x14ac:dyDescent="0.15">
      <c r="E489" s="243"/>
      <c r="F489" s="243"/>
    </row>
    <row r="490" spans="5:6" x14ac:dyDescent="0.15">
      <c r="E490" s="243"/>
      <c r="F490" s="243"/>
    </row>
    <row r="491" spans="5:6" x14ac:dyDescent="0.15">
      <c r="E491" s="243"/>
      <c r="F491" s="243"/>
    </row>
    <row r="492" spans="5:6" x14ac:dyDescent="0.15">
      <c r="E492" s="243"/>
      <c r="F492" s="243"/>
    </row>
    <row r="493" spans="5:6" x14ac:dyDescent="0.15">
      <c r="E493" s="243"/>
      <c r="F493" s="243"/>
    </row>
    <row r="494" spans="5:6" x14ac:dyDescent="0.15">
      <c r="E494" s="243"/>
      <c r="F494" s="243"/>
    </row>
    <row r="495" spans="5:6" x14ac:dyDescent="0.15">
      <c r="E495" s="243"/>
      <c r="F495" s="243"/>
    </row>
    <row r="496" spans="5:6" x14ac:dyDescent="0.15">
      <c r="E496" s="243"/>
      <c r="F496" s="243"/>
    </row>
    <row r="497" spans="5:6" x14ac:dyDescent="0.15">
      <c r="E497" s="243"/>
      <c r="F497" s="243"/>
    </row>
    <row r="498" spans="5:6" x14ac:dyDescent="0.15">
      <c r="E498" s="243"/>
      <c r="F498" s="243"/>
    </row>
    <row r="499" spans="5:6" x14ac:dyDescent="0.15">
      <c r="E499" s="243"/>
      <c r="F499" s="243"/>
    </row>
    <row r="500" spans="5:6" x14ac:dyDescent="0.15">
      <c r="E500" s="243"/>
      <c r="F500" s="243"/>
    </row>
    <row r="501" spans="5:6" x14ac:dyDescent="0.15">
      <c r="E501" s="243"/>
      <c r="F501" s="243"/>
    </row>
    <row r="502" spans="5:6" x14ac:dyDescent="0.15">
      <c r="E502" s="243"/>
      <c r="F502" s="243"/>
    </row>
    <row r="503" spans="5:6" x14ac:dyDescent="0.15">
      <c r="E503" s="243"/>
      <c r="F503" s="243"/>
    </row>
    <row r="504" spans="5:6" x14ac:dyDescent="0.15">
      <c r="E504" s="243"/>
      <c r="F504" s="243"/>
    </row>
    <row r="505" spans="5:6" x14ac:dyDescent="0.15">
      <c r="E505" s="243"/>
      <c r="F505" s="243"/>
    </row>
    <row r="506" spans="5:6" x14ac:dyDescent="0.15">
      <c r="E506" s="243"/>
      <c r="F506" s="243"/>
    </row>
    <row r="507" spans="5:6" x14ac:dyDescent="0.15">
      <c r="E507" s="243"/>
      <c r="F507" s="243"/>
    </row>
    <row r="508" spans="5:6" x14ac:dyDescent="0.15">
      <c r="E508" s="243"/>
      <c r="F508" s="243"/>
    </row>
    <row r="509" spans="5:6" x14ac:dyDescent="0.15">
      <c r="E509" s="243"/>
      <c r="F509" s="243"/>
    </row>
    <row r="510" spans="5:6" x14ac:dyDescent="0.15">
      <c r="E510" s="243"/>
      <c r="F510" s="243"/>
    </row>
    <row r="511" spans="5:6" x14ac:dyDescent="0.15">
      <c r="E511" s="243"/>
      <c r="F511" s="243"/>
    </row>
    <row r="512" spans="5:6" x14ac:dyDescent="0.15">
      <c r="E512" s="243"/>
      <c r="F512" s="243"/>
    </row>
    <row r="513" spans="5:6" x14ac:dyDescent="0.15">
      <c r="E513" s="243"/>
      <c r="F513" s="243"/>
    </row>
    <row r="514" spans="5:6" x14ac:dyDescent="0.15">
      <c r="E514" s="243"/>
      <c r="F514" s="243"/>
    </row>
    <row r="515" spans="5:6" x14ac:dyDescent="0.15">
      <c r="E515" s="243"/>
      <c r="F515" s="243"/>
    </row>
    <row r="516" spans="5:6" x14ac:dyDescent="0.15">
      <c r="E516" s="243"/>
      <c r="F516" s="243"/>
    </row>
    <row r="517" spans="5:6" x14ac:dyDescent="0.15">
      <c r="E517" s="243"/>
      <c r="F517" s="243"/>
    </row>
    <row r="518" spans="5:6" x14ac:dyDescent="0.15">
      <c r="E518" s="243"/>
      <c r="F518" s="243"/>
    </row>
    <row r="519" spans="5:6" x14ac:dyDescent="0.15">
      <c r="E519" s="243"/>
      <c r="F519" s="243"/>
    </row>
    <row r="520" spans="5:6" x14ac:dyDescent="0.15">
      <c r="E520" s="243"/>
      <c r="F520" s="243"/>
    </row>
    <row r="521" spans="5:6" x14ac:dyDescent="0.15">
      <c r="E521" s="243"/>
      <c r="F521" s="243"/>
    </row>
    <row r="522" spans="5:6" x14ac:dyDescent="0.15">
      <c r="E522" s="243"/>
      <c r="F522" s="243"/>
    </row>
    <row r="523" spans="5:6" x14ac:dyDescent="0.15">
      <c r="E523" s="243"/>
      <c r="F523" s="243"/>
    </row>
    <row r="524" spans="5:6" x14ac:dyDescent="0.15">
      <c r="E524" s="243"/>
      <c r="F524" s="243"/>
    </row>
    <row r="525" spans="5:6" x14ac:dyDescent="0.15">
      <c r="E525" s="243"/>
      <c r="F525" s="243"/>
    </row>
    <row r="526" spans="5:6" x14ac:dyDescent="0.15">
      <c r="E526" s="243"/>
      <c r="F526" s="243"/>
    </row>
    <row r="527" spans="5:6" x14ac:dyDescent="0.15">
      <c r="E527" s="243"/>
      <c r="F527" s="243"/>
    </row>
    <row r="528" spans="5:6" x14ac:dyDescent="0.15">
      <c r="E528" s="243"/>
      <c r="F528" s="243"/>
    </row>
    <row r="529" spans="5:6" x14ac:dyDescent="0.15">
      <c r="E529" s="243"/>
      <c r="F529" s="243"/>
    </row>
    <row r="530" spans="5:6" x14ac:dyDescent="0.15">
      <c r="E530" s="243"/>
      <c r="F530" s="243"/>
    </row>
    <row r="531" spans="5:6" x14ac:dyDescent="0.15">
      <c r="E531" s="243"/>
      <c r="F531" s="243"/>
    </row>
    <row r="532" spans="5:6" x14ac:dyDescent="0.15">
      <c r="E532" s="243"/>
      <c r="F532" s="243"/>
    </row>
    <row r="533" spans="5:6" x14ac:dyDescent="0.15">
      <c r="E533" s="243"/>
      <c r="F533" s="243"/>
    </row>
    <row r="534" spans="5:6" x14ac:dyDescent="0.15">
      <c r="E534" s="243"/>
      <c r="F534" s="243"/>
    </row>
    <row r="535" spans="5:6" x14ac:dyDescent="0.15">
      <c r="E535" s="243"/>
      <c r="F535" s="243"/>
    </row>
    <row r="536" spans="5:6" x14ac:dyDescent="0.15">
      <c r="E536" s="243"/>
      <c r="F536" s="243"/>
    </row>
    <row r="537" spans="5:6" x14ac:dyDescent="0.15">
      <c r="E537" s="243"/>
      <c r="F537" s="243"/>
    </row>
    <row r="538" spans="5:6" x14ac:dyDescent="0.15">
      <c r="E538" s="243"/>
      <c r="F538" s="243"/>
    </row>
    <row r="539" spans="5:6" x14ac:dyDescent="0.15">
      <c r="E539" s="243"/>
      <c r="F539" s="243"/>
    </row>
    <row r="540" spans="5:6" x14ac:dyDescent="0.15">
      <c r="E540" s="243"/>
      <c r="F540" s="243"/>
    </row>
    <row r="541" spans="5:6" x14ac:dyDescent="0.15">
      <c r="E541" s="243"/>
      <c r="F541" s="243"/>
    </row>
    <row r="542" spans="5:6" x14ac:dyDescent="0.15">
      <c r="E542" s="243"/>
      <c r="F542" s="243"/>
    </row>
    <row r="543" spans="5:6" x14ac:dyDescent="0.15">
      <c r="E543" s="243"/>
      <c r="F543" s="243"/>
    </row>
    <row r="544" spans="5:6" x14ac:dyDescent="0.15">
      <c r="E544" s="243"/>
      <c r="F544" s="243"/>
    </row>
    <row r="545" spans="5:6" x14ac:dyDescent="0.15">
      <c r="E545" s="243"/>
      <c r="F545" s="243"/>
    </row>
    <row r="546" spans="5:6" x14ac:dyDescent="0.15">
      <c r="E546" s="243"/>
      <c r="F546" s="243"/>
    </row>
    <row r="547" spans="5:6" x14ac:dyDescent="0.15">
      <c r="E547" s="243"/>
      <c r="F547" s="243"/>
    </row>
    <row r="548" spans="5:6" x14ac:dyDescent="0.15">
      <c r="E548" s="243"/>
      <c r="F548" s="243"/>
    </row>
    <row r="549" spans="5:6" x14ac:dyDescent="0.15">
      <c r="E549" s="243"/>
      <c r="F549" s="243"/>
    </row>
    <row r="550" spans="5:6" x14ac:dyDescent="0.15">
      <c r="E550" s="243"/>
      <c r="F550" s="243"/>
    </row>
    <row r="551" spans="5:6" x14ac:dyDescent="0.15">
      <c r="E551" s="243"/>
      <c r="F551" s="243"/>
    </row>
    <row r="552" spans="5:6" x14ac:dyDescent="0.15">
      <c r="E552" s="243"/>
      <c r="F552" s="243"/>
    </row>
    <row r="553" spans="5:6" x14ac:dyDescent="0.15">
      <c r="E553" s="243"/>
      <c r="F553" s="243"/>
    </row>
    <row r="554" spans="5:6" x14ac:dyDescent="0.15">
      <c r="E554" s="243"/>
      <c r="F554" s="243"/>
    </row>
    <row r="555" spans="5:6" x14ac:dyDescent="0.15">
      <c r="E555" s="243"/>
      <c r="F555" s="243"/>
    </row>
    <row r="556" spans="5:6" x14ac:dyDescent="0.15">
      <c r="E556" s="243"/>
      <c r="F556" s="243"/>
    </row>
    <row r="557" spans="5:6" x14ac:dyDescent="0.15">
      <c r="E557" s="243"/>
      <c r="F557" s="243"/>
    </row>
    <row r="558" spans="5:6" x14ac:dyDescent="0.15">
      <c r="E558" s="243"/>
      <c r="F558" s="243"/>
    </row>
    <row r="559" spans="5:6" x14ac:dyDescent="0.15">
      <c r="E559" s="243"/>
      <c r="F559" s="243"/>
    </row>
    <row r="560" spans="5:6" x14ac:dyDescent="0.15">
      <c r="E560" s="243"/>
      <c r="F560" s="243"/>
    </row>
    <row r="561" spans="5:6" x14ac:dyDescent="0.15">
      <c r="E561" s="243"/>
      <c r="F561" s="243"/>
    </row>
    <row r="562" spans="5:6" x14ac:dyDescent="0.15">
      <c r="E562" s="243"/>
      <c r="F562" s="243"/>
    </row>
    <row r="563" spans="5:6" x14ac:dyDescent="0.15">
      <c r="E563" s="243"/>
      <c r="F563" s="243"/>
    </row>
    <row r="564" spans="5:6" x14ac:dyDescent="0.15">
      <c r="E564" s="243"/>
      <c r="F564" s="243"/>
    </row>
    <row r="565" spans="5:6" x14ac:dyDescent="0.15">
      <c r="E565" s="243"/>
      <c r="F565" s="243"/>
    </row>
    <row r="566" spans="5:6" x14ac:dyDescent="0.15">
      <c r="E566" s="243"/>
      <c r="F566" s="243"/>
    </row>
    <row r="567" spans="5:6" x14ac:dyDescent="0.15">
      <c r="E567" s="243"/>
      <c r="F567" s="243"/>
    </row>
    <row r="568" spans="5:6" x14ac:dyDescent="0.15">
      <c r="E568" s="243"/>
      <c r="F568" s="243"/>
    </row>
    <row r="569" spans="5:6" x14ac:dyDescent="0.15">
      <c r="E569" s="243"/>
      <c r="F569" s="243"/>
    </row>
    <row r="570" spans="5:6" x14ac:dyDescent="0.15">
      <c r="E570" s="243"/>
      <c r="F570" s="243"/>
    </row>
    <row r="571" spans="5:6" x14ac:dyDescent="0.15">
      <c r="E571" s="243"/>
      <c r="F571" s="243"/>
    </row>
    <row r="572" spans="5:6" x14ac:dyDescent="0.15">
      <c r="E572" s="243"/>
      <c r="F572" s="243"/>
    </row>
    <row r="573" spans="5:6" x14ac:dyDescent="0.15">
      <c r="E573" s="243"/>
      <c r="F573" s="243"/>
    </row>
    <row r="574" spans="5:6" x14ac:dyDescent="0.15">
      <c r="E574" s="243"/>
      <c r="F574" s="243"/>
    </row>
    <row r="575" spans="5:6" x14ac:dyDescent="0.15">
      <c r="E575" s="243"/>
      <c r="F575" s="243"/>
    </row>
    <row r="576" spans="5:6" x14ac:dyDescent="0.15">
      <c r="E576" s="243"/>
      <c r="F576" s="243"/>
    </row>
    <row r="577" spans="5:6" x14ac:dyDescent="0.15">
      <c r="E577" s="243"/>
      <c r="F577" s="243"/>
    </row>
    <row r="578" spans="5:6" x14ac:dyDescent="0.15">
      <c r="E578" s="243"/>
      <c r="F578" s="243"/>
    </row>
    <row r="579" spans="5:6" x14ac:dyDescent="0.15">
      <c r="E579" s="243"/>
      <c r="F579" s="243"/>
    </row>
    <row r="580" spans="5:6" x14ac:dyDescent="0.15">
      <c r="E580" s="243"/>
      <c r="F580" s="243"/>
    </row>
    <row r="581" spans="5:6" x14ac:dyDescent="0.15">
      <c r="E581" s="243"/>
      <c r="F581" s="243"/>
    </row>
    <row r="582" spans="5:6" x14ac:dyDescent="0.15">
      <c r="E582" s="243"/>
      <c r="F582" s="243"/>
    </row>
    <row r="583" spans="5:6" x14ac:dyDescent="0.15">
      <c r="E583" s="243"/>
      <c r="F583" s="243"/>
    </row>
    <row r="584" spans="5:6" x14ac:dyDescent="0.15">
      <c r="E584" s="243"/>
      <c r="F584" s="243"/>
    </row>
    <row r="585" spans="5:6" x14ac:dyDescent="0.15">
      <c r="E585" s="243"/>
      <c r="F585" s="243"/>
    </row>
    <row r="586" spans="5:6" x14ac:dyDescent="0.15">
      <c r="E586" s="243"/>
      <c r="F586" s="243"/>
    </row>
    <row r="587" spans="5:6" x14ac:dyDescent="0.15">
      <c r="E587" s="243"/>
      <c r="F587" s="243"/>
    </row>
    <row r="588" spans="5:6" x14ac:dyDescent="0.15">
      <c r="E588" s="243"/>
      <c r="F588" s="243"/>
    </row>
    <row r="589" spans="5:6" x14ac:dyDescent="0.15">
      <c r="E589" s="243"/>
      <c r="F589" s="243"/>
    </row>
    <row r="590" spans="5:6" x14ac:dyDescent="0.15">
      <c r="E590" s="243"/>
      <c r="F590" s="243"/>
    </row>
    <row r="591" spans="5:6" x14ac:dyDescent="0.15">
      <c r="E591" s="243"/>
      <c r="F591" s="243"/>
    </row>
    <row r="592" spans="5:6" x14ac:dyDescent="0.15">
      <c r="E592" s="243"/>
      <c r="F592" s="243"/>
    </row>
    <row r="593" spans="5:6" x14ac:dyDescent="0.15">
      <c r="E593" s="243"/>
      <c r="F593" s="243"/>
    </row>
    <row r="594" spans="5:6" x14ac:dyDescent="0.15">
      <c r="E594" s="243"/>
      <c r="F594" s="243"/>
    </row>
    <row r="595" spans="5:6" x14ac:dyDescent="0.15">
      <c r="E595" s="243"/>
      <c r="F595" s="243"/>
    </row>
    <row r="596" spans="5:6" x14ac:dyDescent="0.15">
      <c r="E596" s="243"/>
      <c r="F596" s="243"/>
    </row>
    <row r="597" spans="5:6" x14ac:dyDescent="0.15">
      <c r="E597" s="243"/>
      <c r="F597" s="243"/>
    </row>
    <row r="598" spans="5:6" x14ac:dyDescent="0.15">
      <c r="E598" s="243"/>
      <c r="F598" s="243"/>
    </row>
    <row r="599" spans="5:6" x14ac:dyDescent="0.15">
      <c r="E599" s="243"/>
      <c r="F599" s="243"/>
    </row>
    <row r="600" spans="5:6" x14ac:dyDescent="0.15">
      <c r="E600" s="243"/>
      <c r="F600" s="243"/>
    </row>
    <row r="601" spans="5:6" x14ac:dyDescent="0.15">
      <c r="E601" s="243"/>
      <c r="F601" s="243"/>
    </row>
    <row r="602" spans="5:6" x14ac:dyDescent="0.15">
      <c r="E602" s="243"/>
      <c r="F602" s="243"/>
    </row>
    <row r="603" spans="5:6" x14ac:dyDescent="0.15">
      <c r="E603" s="243"/>
      <c r="F603" s="243"/>
    </row>
    <row r="604" spans="5:6" x14ac:dyDescent="0.15">
      <c r="E604" s="243"/>
      <c r="F604" s="243"/>
    </row>
    <row r="605" spans="5:6" x14ac:dyDescent="0.15">
      <c r="E605" s="243"/>
      <c r="F605" s="243"/>
    </row>
    <row r="606" spans="5:6" x14ac:dyDescent="0.15">
      <c r="E606" s="243"/>
      <c r="F606" s="243"/>
    </row>
    <row r="607" spans="5:6" x14ac:dyDescent="0.15">
      <c r="E607" s="243"/>
      <c r="F607" s="243"/>
    </row>
    <row r="608" spans="5:6" x14ac:dyDescent="0.15">
      <c r="E608" s="243"/>
      <c r="F608" s="243"/>
    </row>
    <row r="609" spans="5:6" x14ac:dyDescent="0.15">
      <c r="E609" s="243"/>
      <c r="F609" s="243"/>
    </row>
    <row r="610" spans="5:6" x14ac:dyDescent="0.15">
      <c r="E610" s="243"/>
      <c r="F610" s="243"/>
    </row>
    <row r="611" spans="5:6" x14ac:dyDescent="0.15">
      <c r="E611" s="243"/>
      <c r="F611" s="243"/>
    </row>
    <row r="612" spans="5:6" x14ac:dyDescent="0.15">
      <c r="E612" s="243"/>
      <c r="F612" s="243"/>
    </row>
    <row r="613" spans="5:6" x14ac:dyDescent="0.15">
      <c r="E613" s="243"/>
      <c r="F613" s="243"/>
    </row>
    <row r="614" spans="5:6" x14ac:dyDescent="0.15">
      <c r="E614" s="243"/>
      <c r="F614" s="243"/>
    </row>
    <row r="615" spans="5:6" x14ac:dyDescent="0.15">
      <c r="E615" s="243"/>
      <c r="F615" s="243"/>
    </row>
    <row r="616" spans="5:6" x14ac:dyDescent="0.15">
      <c r="E616" s="243"/>
      <c r="F616" s="243"/>
    </row>
    <row r="617" spans="5:6" x14ac:dyDescent="0.15">
      <c r="E617" s="243"/>
      <c r="F617" s="243"/>
    </row>
    <row r="618" spans="5:6" x14ac:dyDescent="0.15">
      <c r="E618" s="243"/>
      <c r="F618" s="243"/>
    </row>
    <row r="619" spans="5:6" x14ac:dyDescent="0.15">
      <c r="E619" s="243"/>
      <c r="F619" s="243"/>
    </row>
    <row r="620" spans="5:6" x14ac:dyDescent="0.15">
      <c r="E620" s="243"/>
      <c r="F620" s="243"/>
    </row>
    <row r="621" spans="5:6" x14ac:dyDescent="0.15">
      <c r="E621" s="243"/>
      <c r="F621" s="243"/>
    </row>
    <row r="622" spans="5:6" x14ac:dyDescent="0.15">
      <c r="E622" s="243"/>
      <c r="F622" s="243"/>
    </row>
    <row r="623" spans="5:6" x14ac:dyDescent="0.15">
      <c r="E623" s="243"/>
      <c r="F623" s="243"/>
    </row>
    <row r="624" spans="5:6" x14ac:dyDescent="0.15">
      <c r="E624" s="243"/>
      <c r="F624" s="243"/>
    </row>
    <row r="625" spans="5:6" x14ac:dyDescent="0.15">
      <c r="E625" s="243"/>
      <c r="F625" s="243"/>
    </row>
    <row r="626" spans="5:6" x14ac:dyDescent="0.15">
      <c r="E626" s="243"/>
      <c r="F626" s="243"/>
    </row>
    <row r="627" spans="5:6" x14ac:dyDescent="0.15">
      <c r="E627" s="243"/>
      <c r="F627" s="243"/>
    </row>
    <row r="628" spans="5:6" x14ac:dyDescent="0.15">
      <c r="E628" s="243"/>
      <c r="F628" s="243"/>
    </row>
    <row r="629" spans="5:6" x14ac:dyDescent="0.15">
      <c r="E629" s="243"/>
      <c r="F629" s="243"/>
    </row>
    <row r="630" spans="5:6" x14ac:dyDescent="0.15">
      <c r="E630" s="243"/>
      <c r="F630" s="243"/>
    </row>
    <row r="631" spans="5:6" x14ac:dyDescent="0.15">
      <c r="E631" s="243"/>
      <c r="F631" s="243"/>
    </row>
    <row r="632" spans="5:6" x14ac:dyDescent="0.15">
      <c r="E632" s="243"/>
      <c r="F632" s="243"/>
    </row>
    <row r="633" spans="5:6" x14ac:dyDescent="0.15">
      <c r="E633" s="243"/>
      <c r="F633" s="243"/>
    </row>
    <row r="634" spans="5:6" x14ac:dyDescent="0.15">
      <c r="E634" s="243"/>
      <c r="F634" s="243"/>
    </row>
    <row r="635" spans="5:6" x14ac:dyDescent="0.15">
      <c r="E635" s="243"/>
      <c r="F635" s="243"/>
    </row>
    <row r="636" spans="5:6" x14ac:dyDescent="0.15">
      <c r="E636" s="243"/>
      <c r="F636" s="243"/>
    </row>
    <row r="637" spans="5:6" x14ac:dyDescent="0.15">
      <c r="E637" s="243"/>
      <c r="F637" s="243"/>
    </row>
    <row r="638" spans="5:6" x14ac:dyDescent="0.15">
      <c r="E638" s="243"/>
      <c r="F638" s="243"/>
    </row>
    <row r="639" spans="5:6" x14ac:dyDescent="0.15">
      <c r="E639" s="243"/>
      <c r="F639" s="243"/>
    </row>
    <row r="640" spans="5:6" x14ac:dyDescent="0.15">
      <c r="E640" s="243"/>
      <c r="F640" s="243"/>
    </row>
    <row r="641" spans="5:6" x14ac:dyDescent="0.15">
      <c r="E641" s="243"/>
      <c r="F641" s="243"/>
    </row>
    <row r="642" spans="5:6" x14ac:dyDescent="0.15">
      <c r="E642" s="243"/>
      <c r="F642" s="243"/>
    </row>
    <row r="643" spans="5:6" x14ac:dyDescent="0.15">
      <c r="E643" s="243"/>
      <c r="F643" s="243"/>
    </row>
    <row r="644" spans="5:6" x14ac:dyDescent="0.15">
      <c r="E644" s="243"/>
      <c r="F644" s="243"/>
    </row>
    <row r="645" spans="5:6" x14ac:dyDescent="0.15">
      <c r="E645" s="243"/>
      <c r="F645" s="243"/>
    </row>
    <row r="646" spans="5:6" x14ac:dyDescent="0.15">
      <c r="E646" s="243"/>
      <c r="F646" s="243"/>
    </row>
    <row r="647" spans="5:6" x14ac:dyDescent="0.15">
      <c r="E647" s="243"/>
      <c r="F647" s="243"/>
    </row>
    <row r="648" spans="5:6" x14ac:dyDescent="0.15">
      <c r="E648" s="243"/>
      <c r="F648" s="243"/>
    </row>
    <row r="649" spans="5:6" x14ac:dyDescent="0.15">
      <c r="E649" s="243"/>
      <c r="F649" s="243"/>
    </row>
    <row r="650" spans="5:6" x14ac:dyDescent="0.15">
      <c r="E650" s="243"/>
      <c r="F650" s="243"/>
    </row>
    <row r="651" spans="5:6" x14ac:dyDescent="0.15">
      <c r="E651" s="243"/>
      <c r="F651" s="243"/>
    </row>
    <row r="652" spans="5:6" x14ac:dyDescent="0.15">
      <c r="E652" s="243"/>
      <c r="F652" s="243"/>
    </row>
    <row r="653" spans="5:6" x14ac:dyDescent="0.15">
      <c r="E653" s="243"/>
      <c r="F653" s="243"/>
    </row>
    <row r="654" spans="5:6" x14ac:dyDescent="0.15">
      <c r="E654" s="243"/>
      <c r="F654" s="243"/>
    </row>
    <row r="655" spans="5:6" x14ac:dyDescent="0.15">
      <c r="E655" s="243"/>
      <c r="F655" s="243"/>
    </row>
    <row r="656" spans="5:6" x14ac:dyDescent="0.15">
      <c r="E656" s="243"/>
      <c r="F656" s="243"/>
    </row>
    <row r="657" spans="5:6" x14ac:dyDescent="0.15">
      <c r="E657" s="243"/>
      <c r="F657" s="243"/>
    </row>
    <row r="658" spans="5:6" x14ac:dyDescent="0.15">
      <c r="E658" s="243"/>
      <c r="F658" s="243"/>
    </row>
    <row r="659" spans="5:6" x14ac:dyDescent="0.15">
      <c r="E659" s="243"/>
      <c r="F659" s="243"/>
    </row>
    <row r="660" spans="5:6" x14ac:dyDescent="0.15">
      <c r="E660" s="243"/>
      <c r="F660" s="243"/>
    </row>
    <row r="661" spans="5:6" x14ac:dyDescent="0.15">
      <c r="E661" s="243"/>
      <c r="F661" s="243"/>
    </row>
    <row r="662" spans="5:6" x14ac:dyDescent="0.15">
      <c r="E662" s="243"/>
      <c r="F662" s="243"/>
    </row>
    <row r="663" spans="5:6" x14ac:dyDescent="0.15">
      <c r="E663" s="243"/>
      <c r="F663" s="243"/>
    </row>
    <row r="664" spans="5:6" x14ac:dyDescent="0.15">
      <c r="E664" s="243"/>
      <c r="F664" s="243"/>
    </row>
    <row r="665" spans="5:6" x14ac:dyDescent="0.15">
      <c r="E665" s="243"/>
      <c r="F665" s="243"/>
    </row>
    <row r="666" spans="5:6" x14ac:dyDescent="0.15">
      <c r="E666" s="243"/>
      <c r="F666" s="243"/>
    </row>
    <row r="667" spans="5:6" x14ac:dyDescent="0.15">
      <c r="E667" s="243"/>
      <c r="F667" s="243"/>
    </row>
    <row r="668" spans="5:6" x14ac:dyDescent="0.15">
      <c r="E668" s="243"/>
      <c r="F668" s="243"/>
    </row>
    <row r="669" spans="5:6" x14ac:dyDescent="0.15">
      <c r="E669" s="243"/>
      <c r="F669" s="243"/>
    </row>
    <row r="670" spans="5:6" x14ac:dyDescent="0.15">
      <c r="E670" s="243"/>
      <c r="F670" s="243"/>
    </row>
    <row r="671" spans="5:6" x14ac:dyDescent="0.15">
      <c r="E671" s="243"/>
      <c r="F671" s="243"/>
    </row>
    <row r="672" spans="5:6" x14ac:dyDescent="0.15">
      <c r="E672" s="243"/>
      <c r="F672" s="243"/>
    </row>
    <row r="673" spans="5:6" x14ac:dyDescent="0.15">
      <c r="E673" s="243"/>
      <c r="F673" s="243"/>
    </row>
    <row r="674" spans="5:6" x14ac:dyDescent="0.15">
      <c r="E674" s="243"/>
      <c r="F674" s="243"/>
    </row>
    <row r="675" spans="5:6" x14ac:dyDescent="0.15">
      <c r="E675" s="243"/>
      <c r="F675" s="243"/>
    </row>
    <row r="676" spans="5:6" x14ac:dyDescent="0.15">
      <c r="E676" s="243"/>
      <c r="F676" s="243"/>
    </row>
    <row r="677" spans="5:6" x14ac:dyDescent="0.15">
      <c r="E677" s="243"/>
      <c r="F677" s="243"/>
    </row>
    <row r="678" spans="5:6" x14ac:dyDescent="0.15">
      <c r="E678" s="243"/>
      <c r="F678" s="243"/>
    </row>
    <row r="679" spans="5:6" x14ac:dyDescent="0.15">
      <c r="E679" s="243"/>
      <c r="F679" s="243"/>
    </row>
    <row r="680" spans="5:6" x14ac:dyDescent="0.15">
      <c r="E680" s="243"/>
      <c r="F680" s="243"/>
    </row>
    <row r="681" spans="5:6" x14ac:dyDescent="0.15">
      <c r="E681" s="243"/>
      <c r="F681" s="243"/>
    </row>
    <row r="682" spans="5:6" x14ac:dyDescent="0.15">
      <c r="E682" s="243"/>
      <c r="F682" s="243"/>
    </row>
    <row r="683" spans="5:6" x14ac:dyDescent="0.15">
      <c r="E683" s="243"/>
      <c r="F683" s="243"/>
    </row>
    <row r="684" spans="5:6" x14ac:dyDescent="0.15">
      <c r="E684" s="243"/>
      <c r="F684" s="243"/>
    </row>
    <row r="685" spans="5:6" x14ac:dyDescent="0.15">
      <c r="E685" s="243"/>
      <c r="F685" s="243"/>
    </row>
    <row r="686" spans="5:6" x14ac:dyDescent="0.15">
      <c r="E686" s="243"/>
      <c r="F686" s="243"/>
    </row>
    <row r="687" spans="5:6" x14ac:dyDescent="0.15">
      <c r="E687" s="243"/>
      <c r="F687" s="243"/>
    </row>
    <row r="688" spans="5:6" x14ac:dyDescent="0.15">
      <c r="E688" s="243"/>
      <c r="F688" s="243"/>
    </row>
    <row r="689" spans="5:6" x14ac:dyDescent="0.15">
      <c r="E689" s="243"/>
      <c r="F689" s="243"/>
    </row>
    <row r="690" spans="5:6" x14ac:dyDescent="0.15">
      <c r="E690" s="243"/>
      <c r="F690" s="243"/>
    </row>
    <row r="691" spans="5:6" x14ac:dyDescent="0.15">
      <c r="E691" s="243"/>
      <c r="F691" s="243"/>
    </row>
    <row r="692" spans="5:6" x14ac:dyDescent="0.15">
      <c r="E692" s="243"/>
      <c r="F692" s="243"/>
    </row>
    <row r="693" spans="5:6" x14ac:dyDescent="0.15">
      <c r="E693" s="243"/>
      <c r="F693" s="243"/>
    </row>
    <row r="694" spans="5:6" x14ac:dyDescent="0.15">
      <c r="E694" s="243"/>
      <c r="F694" s="243"/>
    </row>
    <row r="695" spans="5:6" x14ac:dyDescent="0.15">
      <c r="E695" s="243"/>
      <c r="F695" s="243"/>
    </row>
    <row r="696" spans="5:6" x14ac:dyDescent="0.15">
      <c r="E696" s="243"/>
      <c r="F696" s="243"/>
    </row>
    <row r="697" spans="5:6" x14ac:dyDescent="0.15">
      <c r="E697" s="243"/>
      <c r="F697" s="243"/>
    </row>
    <row r="698" spans="5:6" x14ac:dyDescent="0.15">
      <c r="E698" s="243"/>
      <c r="F698" s="243"/>
    </row>
    <row r="699" spans="5:6" x14ac:dyDescent="0.15">
      <c r="E699" s="243"/>
      <c r="F699" s="243"/>
    </row>
    <row r="700" spans="5:6" x14ac:dyDescent="0.15">
      <c r="E700" s="243"/>
      <c r="F700" s="243"/>
    </row>
    <row r="701" spans="5:6" x14ac:dyDescent="0.15">
      <c r="E701" s="243"/>
      <c r="F701" s="243"/>
    </row>
    <row r="702" spans="5:6" x14ac:dyDescent="0.15">
      <c r="E702" s="243"/>
      <c r="F702" s="243"/>
    </row>
    <row r="703" spans="5:6" x14ac:dyDescent="0.15">
      <c r="E703" s="243"/>
      <c r="F703" s="243"/>
    </row>
    <row r="704" spans="5:6" x14ac:dyDescent="0.15">
      <c r="E704" s="243"/>
      <c r="F704" s="243"/>
    </row>
    <row r="705" spans="5:6" x14ac:dyDescent="0.15">
      <c r="E705" s="243"/>
      <c r="F705" s="243"/>
    </row>
    <row r="706" spans="5:6" x14ac:dyDescent="0.15">
      <c r="E706" s="243"/>
      <c r="F706" s="243"/>
    </row>
    <row r="707" spans="5:6" x14ac:dyDescent="0.15">
      <c r="E707" s="243"/>
      <c r="F707" s="243"/>
    </row>
    <row r="708" spans="5:6" x14ac:dyDescent="0.15">
      <c r="E708" s="243"/>
      <c r="F708" s="243"/>
    </row>
    <row r="709" spans="5:6" x14ac:dyDescent="0.15">
      <c r="E709" s="243"/>
      <c r="F709" s="243"/>
    </row>
    <row r="710" spans="5:6" x14ac:dyDescent="0.15">
      <c r="E710" s="243"/>
      <c r="F710" s="243"/>
    </row>
    <row r="711" spans="5:6" x14ac:dyDescent="0.15">
      <c r="E711" s="243"/>
      <c r="F711" s="243"/>
    </row>
    <row r="712" spans="5:6" x14ac:dyDescent="0.15">
      <c r="E712" s="243"/>
      <c r="F712" s="243"/>
    </row>
    <row r="713" spans="5:6" x14ac:dyDescent="0.15">
      <c r="E713" s="243"/>
      <c r="F713" s="243"/>
    </row>
    <row r="714" spans="5:6" x14ac:dyDescent="0.15">
      <c r="E714" s="243"/>
    </row>
  </sheetData>
  <autoFilter ref="A1:BA67"/>
  <phoneticPr fontId="3"/>
  <dataValidations count="15">
    <dataValidation type="list" allowBlank="1" showInputMessage="1" showErrorMessage="1" sqref="JU2:JW61 ANI2:ANK61 BQW2:BQY61 CUK2:CUM61 DXY2:DYA61 FBM2:FBO61 GFA2:GFC61 HIO2:HIQ61 IMC2:IME61 JPQ2:JPS61 KTE2:KTG61 LWS2:LWU61 NAG2:NAI61 ODU2:ODW61 PHI2:PHK61 QKW2:QKY61 ROK2:ROM61 SRY2:SSA61 TVM2:TVO61 UZA2:UZC61 WCO2:WCQ61 TQ2:TS61 AXE2:AXG61 CAS2:CAU61 DEG2:DEI61 EHU2:EHW61 FLI2:FLK61 GOW2:GOY61 HSK2:HSM61 IVY2:IWA61 JZM2:JZO61 LDA2:LDC61 MGO2:MGQ61 NKC2:NKE61 ONQ2:ONS61 PRE2:PRG61 QUS2:QUU61 RYG2:RYI61 TBU2:TBW61 UFI2:UFK61 VIW2:VIY61 WMK2:WMM61 ADM2:ADO61 BHA2:BHC61 CKO2:CKQ61 DOC2:DOE61 ERQ2:ERS61 FVE2:FVG61 GYS2:GYU61 ICG2:ICI61 JFU2:JFW61 KJI2:KJK61 LMW2:LMY61 MQK2:MQM61 NTY2:NUA61 OXM2:OXO61 QBA2:QBC61 REO2:REQ61 SIC2:SIE61 TLQ2:TLS61 UPE2:UPG61 VSS2:VSU61 WWG2:WWI61 Y983024:AA983101 ADM983024:ADO983101 BHA983024:BHC983101 CKO983024:CKQ983101 DOC983024:DOE983101 ERQ983024:ERS983101 FVE983024:FVG983101 GYS983024:GYU983101 ICG983024:ICI983101 JFU983024:JFW983101 KJI983024:KJK983101 LMW983024:LMY983101 MQK983024:MQM983101 NTY983024:NUA983101 OXM983024:OXO983101 QBA983024:QBC983101 REO983024:REQ983101 SIC983024:SIE983101 TLQ983024:TLS983101 UPE983024:UPG983101 VSS983024:VSU983101 WWG983024:WWI983101 Y65520:AA65597 ADM65520:ADO65597 BHA65520:BHC65597 CKO65520:CKQ65597 DOC65520:DOE65597 ERQ65520:ERS65597 FVE65520:FVG65597 GYS65520:GYU65597 ICG65520:ICI65597 JFU65520:JFW65597 KJI65520:KJK65597 LMW65520:LMY65597 MQK65520:MQM65597 NTY65520:NUA65597 OXM65520:OXO65597 QBA65520:QBC65597 REO65520:REQ65597 SIC65520:SIE65597 TLQ65520:TLS65597 UPE65520:UPG65597 VSS65520:VSU65597 WWG65520:WWI65597 JU65520:JW65597 ANI65520:ANK65597 BQW65520:BQY65597 CUK65520:CUM65597 DXY65520:DYA65597 FBM65520:FBO65597 GFA65520:GFC65597 HIO65520:HIQ65597 IMC65520:IME65597 JPQ65520:JPS65597 KTE65520:KTG65597 LWS65520:LWU65597 NAG65520:NAI65597 ODU65520:ODW65597 PHI65520:PHK65597 QKW65520:QKY65597 ROK65520:ROM65597 SRY65520:SSA65597 TVM65520:TVO65597 UZA65520:UZC65597 WCO65520:WCQ65597 TQ65520:TS65597 AXE65520:AXG65597 CAS65520:CAU65597 DEG65520:DEI65597 EHU65520:EHW65597 FLI65520:FLK65597 GOW65520:GOY65597 HSK65520:HSM65597 IVY65520:IWA65597 JZM65520:JZO65597 LDA65520:LDC65597 MGO65520:MGQ65597 NKC65520:NKE65597 ONQ65520:ONS65597 PRE65520:PRG65597 QUS65520:QUU65597 RYG65520:RYI65597 TBU65520:TBW65597 UFI65520:UFK65597 VIW65520:VIY65597 WMK65520:WMM65597 Y131056:AA131133 ADM131056:ADO131133 BHA131056:BHC131133 CKO131056:CKQ131133 DOC131056:DOE131133 ERQ131056:ERS131133 FVE131056:FVG131133 GYS131056:GYU131133 ICG131056:ICI131133 JFU131056:JFW131133 KJI131056:KJK131133 LMW131056:LMY131133 MQK131056:MQM131133 NTY131056:NUA131133 OXM131056:OXO131133 QBA131056:QBC131133 REO131056:REQ131133 SIC131056:SIE131133 TLQ131056:TLS131133 UPE131056:UPG131133 VSS131056:VSU131133 WWG131056:WWI131133 JU131056:JW131133 ANI131056:ANK131133 BQW131056:BQY131133 CUK131056:CUM131133 DXY131056:DYA131133 FBM131056:FBO131133 GFA131056:GFC131133 HIO131056:HIQ131133 IMC131056:IME131133 JPQ131056:JPS131133 KTE131056:KTG131133 LWS131056:LWU131133 NAG131056:NAI131133 ODU131056:ODW131133 PHI131056:PHK131133 QKW131056:QKY131133 ROK131056:ROM131133 SRY131056:SSA131133 TVM131056:TVO131133 UZA131056:UZC131133 WCO131056:WCQ131133 TQ131056:TS131133 AXE131056:AXG131133 CAS131056:CAU131133 DEG131056:DEI131133 EHU131056:EHW131133 FLI131056:FLK131133 GOW131056:GOY131133 HSK131056:HSM131133 IVY131056:IWA131133 JZM131056:JZO131133 LDA131056:LDC131133 MGO131056:MGQ131133 NKC131056:NKE131133 ONQ131056:ONS131133 PRE131056:PRG131133 QUS131056:QUU131133 RYG131056:RYI131133 TBU131056:TBW131133 UFI131056:UFK131133 VIW131056:VIY131133 WMK131056:WMM131133 Y196592:AA196669 ADM196592:ADO196669 BHA196592:BHC196669 CKO196592:CKQ196669 DOC196592:DOE196669 ERQ196592:ERS196669 FVE196592:FVG196669 GYS196592:GYU196669 ICG196592:ICI196669 JFU196592:JFW196669 KJI196592:KJK196669 LMW196592:LMY196669 MQK196592:MQM196669 NTY196592:NUA196669 OXM196592:OXO196669 QBA196592:QBC196669 REO196592:REQ196669 SIC196592:SIE196669 TLQ196592:TLS196669 UPE196592:UPG196669 VSS196592:VSU196669 WWG196592:WWI196669 JU196592:JW196669 ANI196592:ANK196669 BQW196592:BQY196669 CUK196592:CUM196669 DXY196592:DYA196669 FBM196592:FBO196669 GFA196592:GFC196669 HIO196592:HIQ196669 IMC196592:IME196669 JPQ196592:JPS196669 KTE196592:KTG196669 LWS196592:LWU196669 NAG196592:NAI196669 ODU196592:ODW196669 PHI196592:PHK196669 QKW196592:QKY196669 ROK196592:ROM196669 SRY196592:SSA196669 TVM196592:TVO196669 UZA196592:UZC196669 WCO196592:WCQ196669 TQ196592:TS196669 AXE196592:AXG196669 CAS196592:CAU196669 DEG196592:DEI196669 EHU196592:EHW196669 FLI196592:FLK196669 GOW196592:GOY196669 HSK196592:HSM196669 IVY196592:IWA196669 JZM196592:JZO196669 LDA196592:LDC196669 MGO196592:MGQ196669 NKC196592:NKE196669 ONQ196592:ONS196669 PRE196592:PRG196669 QUS196592:QUU196669 RYG196592:RYI196669 TBU196592:TBW196669 UFI196592:UFK196669 VIW196592:VIY196669 WMK196592:WMM196669 Y262128:AA262205 ADM262128:ADO262205 BHA262128:BHC262205 CKO262128:CKQ262205 DOC262128:DOE262205 ERQ262128:ERS262205 FVE262128:FVG262205 GYS262128:GYU262205 ICG262128:ICI262205 JFU262128:JFW262205 KJI262128:KJK262205 LMW262128:LMY262205 MQK262128:MQM262205 NTY262128:NUA262205 OXM262128:OXO262205 QBA262128:QBC262205 REO262128:REQ262205 SIC262128:SIE262205 TLQ262128:TLS262205 UPE262128:UPG262205 VSS262128:VSU262205 WWG262128:WWI262205 JU262128:JW262205 ANI262128:ANK262205 BQW262128:BQY262205 CUK262128:CUM262205 DXY262128:DYA262205 FBM262128:FBO262205 GFA262128:GFC262205 HIO262128:HIQ262205 IMC262128:IME262205 JPQ262128:JPS262205 KTE262128:KTG262205 LWS262128:LWU262205 NAG262128:NAI262205 ODU262128:ODW262205 PHI262128:PHK262205 QKW262128:QKY262205 ROK262128:ROM262205 SRY262128:SSA262205 TVM262128:TVO262205 UZA262128:UZC262205 WCO262128:WCQ262205 TQ262128:TS262205 AXE262128:AXG262205 CAS262128:CAU262205 DEG262128:DEI262205 EHU262128:EHW262205 FLI262128:FLK262205 GOW262128:GOY262205 HSK262128:HSM262205 IVY262128:IWA262205 JZM262128:JZO262205 LDA262128:LDC262205 MGO262128:MGQ262205 NKC262128:NKE262205 ONQ262128:ONS262205 PRE262128:PRG262205 QUS262128:QUU262205 RYG262128:RYI262205 TBU262128:TBW262205 UFI262128:UFK262205 VIW262128:VIY262205 WMK262128:WMM262205 Y327664:AA327741 ADM327664:ADO327741 BHA327664:BHC327741 CKO327664:CKQ327741 DOC327664:DOE327741 ERQ327664:ERS327741 FVE327664:FVG327741 GYS327664:GYU327741 ICG327664:ICI327741 JFU327664:JFW327741 KJI327664:KJK327741 LMW327664:LMY327741 MQK327664:MQM327741 NTY327664:NUA327741 OXM327664:OXO327741 QBA327664:QBC327741 REO327664:REQ327741 SIC327664:SIE327741 TLQ327664:TLS327741 UPE327664:UPG327741 VSS327664:VSU327741 WWG327664:WWI327741 JU327664:JW327741 ANI327664:ANK327741 BQW327664:BQY327741 CUK327664:CUM327741 DXY327664:DYA327741 FBM327664:FBO327741 GFA327664:GFC327741 HIO327664:HIQ327741 IMC327664:IME327741 JPQ327664:JPS327741 KTE327664:KTG327741 LWS327664:LWU327741 NAG327664:NAI327741 ODU327664:ODW327741 PHI327664:PHK327741 QKW327664:QKY327741 ROK327664:ROM327741 SRY327664:SSA327741 TVM327664:TVO327741 UZA327664:UZC327741 WCO327664:WCQ327741 TQ327664:TS327741 AXE327664:AXG327741 CAS327664:CAU327741 DEG327664:DEI327741 EHU327664:EHW327741 FLI327664:FLK327741 GOW327664:GOY327741 HSK327664:HSM327741 IVY327664:IWA327741 JZM327664:JZO327741 LDA327664:LDC327741 MGO327664:MGQ327741 NKC327664:NKE327741 ONQ327664:ONS327741 PRE327664:PRG327741 QUS327664:QUU327741 RYG327664:RYI327741 TBU327664:TBW327741 UFI327664:UFK327741 VIW327664:VIY327741 WMK327664:WMM327741 Y393200:AA393277 ADM393200:ADO393277 BHA393200:BHC393277 CKO393200:CKQ393277 DOC393200:DOE393277 ERQ393200:ERS393277 FVE393200:FVG393277 GYS393200:GYU393277 ICG393200:ICI393277 JFU393200:JFW393277 KJI393200:KJK393277 LMW393200:LMY393277 MQK393200:MQM393277 NTY393200:NUA393277 OXM393200:OXO393277 QBA393200:QBC393277 REO393200:REQ393277 SIC393200:SIE393277 TLQ393200:TLS393277 UPE393200:UPG393277 VSS393200:VSU393277 WWG393200:WWI393277 JU393200:JW393277 ANI393200:ANK393277 BQW393200:BQY393277 CUK393200:CUM393277 DXY393200:DYA393277 FBM393200:FBO393277 GFA393200:GFC393277 HIO393200:HIQ393277 IMC393200:IME393277 JPQ393200:JPS393277 KTE393200:KTG393277 LWS393200:LWU393277 NAG393200:NAI393277 ODU393200:ODW393277 PHI393200:PHK393277 QKW393200:QKY393277 ROK393200:ROM393277 SRY393200:SSA393277 TVM393200:TVO393277 UZA393200:UZC393277 WCO393200:WCQ393277 TQ393200:TS393277 AXE393200:AXG393277 CAS393200:CAU393277 DEG393200:DEI393277 EHU393200:EHW393277 FLI393200:FLK393277 GOW393200:GOY393277 HSK393200:HSM393277 IVY393200:IWA393277 JZM393200:JZO393277 LDA393200:LDC393277 MGO393200:MGQ393277 NKC393200:NKE393277 ONQ393200:ONS393277 PRE393200:PRG393277 QUS393200:QUU393277 RYG393200:RYI393277 TBU393200:TBW393277 UFI393200:UFK393277 VIW393200:VIY393277 WMK393200:WMM393277 Y458736:AA458813 ADM458736:ADO458813 BHA458736:BHC458813 CKO458736:CKQ458813 DOC458736:DOE458813 ERQ458736:ERS458813 FVE458736:FVG458813 GYS458736:GYU458813 ICG458736:ICI458813 JFU458736:JFW458813 KJI458736:KJK458813 LMW458736:LMY458813 MQK458736:MQM458813 NTY458736:NUA458813 OXM458736:OXO458813 QBA458736:QBC458813 REO458736:REQ458813 SIC458736:SIE458813 TLQ458736:TLS458813 UPE458736:UPG458813 VSS458736:VSU458813 WWG458736:WWI458813 JU458736:JW458813 ANI458736:ANK458813 BQW458736:BQY458813 CUK458736:CUM458813 DXY458736:DYA458813 FBM458736:FBO458813 GFA458736:GFC458813 HIO458736:HIQ458813 IMC458736:IME458813 JPQ458736:JPS458813 KTE458736:KTG458813 LWS458736:LWU458813 NAG458736:NAI458813 ODU458736:ODW458813 PHI458736:PHK458813 QKW458736:QKY458813 ROK458736:ROM458813 SRY458736:SSA458813 TVM458736:TVO458813 UZA458736:UZC458813 WCO458736:WCQ458813 TQ458736:TS458813 AXE458736:AXG458813 CAS458736:CAU458813 DEG458736:DEI458813 EHU458736:EHW458813 FLI458736:FLK458813 GOW458736:GOY458813 HSK458736:HSM458813 IVY458736:IWA458813 JZM458736:JZO458813 LDA458736:LDC458813 MGO458736:MGQ458813 NKC458736:NKE458813 ONQ458736:ONS458813 PRE458736:PRG458813 QUS458736:QUU458813 RYG458736:RYI458813 TBU458736:TBW458813 UFI458736:UFK458813 VIW458736:VIY458813 WMK458736:WMM458813 Y524272:AA524349 ADM524272:ADO524349 BHA524272:BHC524349 CKO524272:CKQ524349 DOC524272:DOE524349 ERQ524272:ERS524349 FVE524272:FVG524349 GYS524272:GYU524349 ICG524272:ICI524349 JFU524272:JFW524349 KJI524272:KJK524349 LMW524272:LMY524349 MQK524272:MQM524349 NTY524272:NUA524349 OXM524272:OXO524349 QBA524272:QBC524349 REO524272:REQ524349 SIC524272:SIE524349 TLQ524272:TLS524349 UPE524272:UPG524349 VSS524272:VSU524349 WWG524272:WWI524349 JU524272:JW524349 ANI524272:ANK524349 BQW524272:BQY524349 CUK524272:CUM524349 DXY524272:DYA524349 FBM524272:FBO524349 GFA524272:GFC524349 HIO524272:HIQ524349 IMC524272:IME524349 JPQ524272:JPS524349 KTE524272:KTG524349 LWS524272:LWU524349 NAG524272:NAI524349 ODU524272:ODW524349 PHI524272:PHK524349 QKW524272:QKY524349 ROK524272:ROM524349 SRY524272:SSA524349 TVM524272:TVO524349 UZA524272:UZC524349 WCO524272:WCQ524349 TQ524272:TS524349 AXE524272:AXG524349 CAS524272:CAU524349 DEG524272:DEI524349 EHU524272:EHW524349 FLI524272:FLK524349 GOW524272:GOY524349 HSK524272:HSM524349 IVY524272:IWA524349 JZM524272:JZO524349 LDA524272:LDC524349 MGO524272:MGQ524349 NKC524272:NKE524349 ONQ524272:ONS524349 PRE524272:PRG524349 QUS524272:QUU524349 RYG524272:RYI524349 TBU524272:TBW524349 UFI524272:UFK524349 VIW524272:VIY524349 WMK524272:WMM524349 Y589808:AA589885 ADM589808:ADO589885 BHA589808:BHC589885 CKO589808:CKQ589885 DOC589808:DOE589885 ERQ589808:ERS589885 FVE589808:FVG589885 GYS589808:GYU589885 ICG589808:ICI589885 JFU589808:JFW589885 KJI589808:KJK589885 LMW589808:LMY589885 MQK589808:MQM589885 NTY589808:NUA589885 OXM589808:OXO589885 QBA589808:QBC589885 REO589808:REQ589885 SIC589808:SIE589885 TLQ589808:TLS589885 UPE589808:UPG589885 VSS589808:VSU589885 WWG589808:WWI589885 JU589808:JW589885 ANI589808:ANK589885 BQW589808:BQY589885 CUK589808:CUM589885 DXY589808:DYA589885 FBM589808:FBO589885 GFA589808:GFC589885 HIO589808:HIQ589885 IMC589808:IME589885 JPQ589808:JPS589885 KTE589808:KTG589885 LWS589808:LWU589885 NAG589808:NAI589885 ODU589808:ODW589885 PHI589808:PHK589885 QKW589808:QKY589885 ROK589808:ROM589885 SRY589808:SSA589885 TVM589808:TVO589885 UZA589808:UZC589885 WCO589808:WCQ589885 TQ589808:TS589885 AXE589808:AXG589885 CAS589808:CAU589885 DEG589808:DEI589885 EHU589808:EHW589885 FLI589808:FLK589885 GOW589808:GOY589885 HSK589808:HSM589885 IVY589808:IWA589885 JZM589808:JZO589885 LDA589808:LDC589885 MGO589808:MGQ589885 NKC589808:NKE589885 ONQ589808:ONS589885 PRE589808:PRG589885 QUS589808:QUU589885 RYG589808:RYI589885 TBU589808:TBW589885 UFI589808:UFK589885 VIW589808:VIY589885 WMK589808:WMM589885 Y655344:AA655421 ADM655344:ADO655421 BHA655344:BHC655421 CKO655344:CKQ655421 DOC655344:DOE655421 ERQ655344:ERS655421 FVE655344:FVG655421 GYS655344:GYU655421 ICG655344:ICI655421 JFU655344:JFW655421 KJI655344:KJK655421 LMW655344:LMY655421 MQK655344:MQM655421 NTY655344:NUA655421 OXM655344:OXO655421 QBA655344:QBC655421 REO655344:REQ655421 SIC655344:SIE655421 TLQ655344:TLS655421 UPE655344:UPG655421 VSS655344:VSU655421 WWG655344:WWI655421 JU655344:JW655421 ANI655344:ANK655421 BQW655344:BQY655421 CUK655344:CUM655421 DXY655344:DYA655421 FBM655344:FBO655421 GFA655344:GFC655421 HIO655344:HIQ655421 IMC655344:IME655421 JPQ655344:JPS655421 KTE655344:KTG655421 LWS655344:LWU655421 NAG655344:NAI655421 ODU655344:ODW655421 PHI655344:PHK655421 QKW655344:QKY655421 ROK655344:ROM655421 SRY655344:SSA655421 TVM655344:TVO655421 UZA655344:UZC655421 WCO655344:WCQ655421 TQ655344:TS655421 AXE655344:AXG655421 CAS655344:CAU655421 DEG655344:DEI655421 EHU655344:EHW655421 FLI655344:FLK655421 GOW655344:GOY655421 HSK655344:HSM655421 IVY655344:IWA655421 JZM655344:JZO655421 LDA655344:LDC655421 MGO655344:MGQ655421 NKC655344:NKE655421 ONQ655344:ONS655421 PRE655344:PRG655421 QUS655344:QUU655421 RYG655344:RYI655421 TBU655344:TBW655421 UFI655344:UFK655421 VIW655344:VIY655421 WMK655344:WMM655421 Y720880:AA720957 ADM720880:ADO720957 BHA720880:BHC720957 CKO720880:CKQ720957 DOC720880:DOE720957 ERQ720880:ERS720957 FVE720880:FVG720957 GYS720880:GYU720957 ICG720880:ICI720957 JFU720880:JFW720957 KJI720880:KJK720957 LMW720880:LMY720957 MQK720880:MQM720957 NTY720880:NUA720957 OXM720880:OXO720957 QBA720880:QBC720957 REO720880:REQ720957 SIC720880:SIE720957 TLQ720880:TLS720957 UPE720880:UPG720957 VSS720880:VSU720957 WWG720880:WWI720957 JU720880:JW720957 ANI720880:ANK720957 BQW720880:BQY720957 CUK720880:CUM720957 DXY720880:DYA720957 FBM720880:FBO720957 GFA720880:GFC720957 HIO720880:HIQ720957 IMC720880:IME720957 JPQ720880:JPS720957 KTE720880:KTG720957 LWS720880:LWU720957 NAG720880:NAI720957 ODU720880:ODW720957 PHI720880:PHK720957 QKW720880:QKY720957 ROK720880:ROM720957 SRY720880:SSA720957 TVM720880:TVO720957 UZA720880:UZC720957 WCO720880:WCQ720957 TQ720880:TS720957 AXE720880:AXG720957 CAS720880:CAU720957 DEG720880:DEI720957 EHU720880:EHW720957 FLI720880:FLK720957 GOW720880:GOY720957 HSK720880:HSM720957 IVY720880:IWA720957 JZM720880:JZO720957 LDA720880:LDC720957 MGO720880:MGQ720957 NKC720880:NKE720957 ONQ720880:ONS720957 PRE720880:PRG720957 QUS720880:QUU720957 RYG720880:RYI720957 TBU720880:TBW720957 UFI720880:UFK720957 VIW720880:VIY720957 WMK720880:WMM720957 Y786416:AA786493 ADM786416:ADO786493 BHA786416:BHC786493 CKO786416:CKQ786493 DOC786416:DOE786493 ERQ786416:ERS786493 FVE786416:FVG786493 GYS786416:GYU786493 ICG786416:ICI786493 JFU786416:JFW786493 KJI786416:KJK786493 LMW786416:LMY786493 MQK786416:MQM786493 NTY786416:NUA786493 OXM786416:OXO786493 QBA786416:QBC786493 REO786416:REQ786493 SIC786416:SIE786493 TLQ786416:TLS786493 UPE786416:UPG786493 VSS786416:VSU786493 WWG786416:WWI786493 JU786416:JW786493 ANI786416:ANK786493 BQW786416:BQY786493 CUK786416:CUM786493 DXY786416:DYA786493 FBM786416:FBO786493 GFA786416:GFC786493 HIO786416:HIQ786493 IMC786416:IME786493 JPQ786416:JPS786493 KTE786416:KTG786493 LWS786416:LWU786493 NAG786416:NAI786493 ODU786416:ODW786493 PHI786416:PHK786493 QKW786416:QKY786493 ROK786416:ROM786493 SRY786416:SSA786493 TVM786416:TVO786493 UZA786416:UZC786493 WCO786416:WCQ786493 TQ786416:TS786493 AXE786416:AXG786493 CAS786416:CAU786493 DEG786416:DEI786493 EHU786416:EHW786493 FLI786416:FLK786493 GOW786416:GOY786493 HSK786416:HSM786493 IVY786416:IWA786493 JZM786416:JZO786493 LDA786416:LDC786493 MGO786416:MGQ786493 NKC786416:NKE786493 ONQ786416:ONS786493 PRE786416:PRG786493 QUS786416:QUU786493 RYG786416:RYI786493 TBU786416:TBW786493 UFI786416:UFK786493 VIW786416:VIY786493 WMK786416:WMM786493 Y851952:AA852029 ADM851952:ADO852029 BHA851952:BHC852029 CKO851952:CKQ852029 DOC851952:DOE852029 ERQ851952:ERS852029 FVE851952:FVG852029 GYS851952:GYU852029 ICG851952:ICI852029 JFU851952:JFW852029 KJI851952:KJK852029 LMW851952:LMY852029 MQK851952:MQM852029 NTY851952:NUA852029 OXM851952:OXO852029 QBA851952:QBC852029 REO851952:REQ852029 SIC851952:SIE852029 TLQ851952:TLS852029 UPE851952:UPG852029 VSS851952:VSU852029 WWG851952:WWI852029 JU851952:JW852029 ANI851952:ANK852029 BQW851952:BQY852029 CUK851952:CUM852029 DXY851952:DYA852029 FBM851952:FBO852029 GFA851952:GFC852029 HIO851952:HIQ852029 IMC851952:IME852029 JPQ851952:JPS852029 KTE851952:KTG852029 LWS851952:LWU852029 NAG851952:NAI852029 ODU851952:ODW852029 PHI851952:PHK852029 QKW851952:QKY852029 ROK851952:ROM852029 SRY851952:SSA852029 TVM851952:TVO852029 UZA851952:UZC852029 WCO851952:WCQ852029 TQ851952:TS852029 AXE851952:AXG852029 CAS851952:CAU852029 DEG851952:DEI852029 EHU851952:EHW852029 FLI851952:FLK852029 GOW851952:GOY852029 HSK851952:HSM852029 IVY851952:IWA852029 JZM851952:JZO852029 LDA851952:LDC852029 MGO851952:MGQ852029 NKC851952:NKE852029 ONQ851952:ONS852029 PRE851952:PRG852029 QUS851952:QUU852029 RYG851952:RYI852029 TBU851952:TBW852029 UFI851952:UFK852029 VIW851952:VIY852029 WMK851952:WMM852029 Y917488:AA917565 ADM917488:ADO917565 BHA917488:BHC917565 CKO917488:CKQ917565 DOC917488:DOE917565 ERQ917488:ERS917565 FVE917488:FVG917565 GYS917488:GYU917565 ICG917488:ICI917565 JFU917488:JFW917565 KJI917488:KJK917565 LMW917488:LMY917565 MQK917488:MQM917565 NTY917488:NUA917565 OXM917488:OXO917565 QBA917488:QBC917565 REO917488:REQ917565 SIC917488:SIE917565 TLQ917488:TLS917565 UPE917488:UPG917565 VSS917488:VSU917565 WWG917488:WWI917565 JU917488:JW917565 ANI917488:ANK917565 BQW917488:BQY917565 CUK917488:CUM917565 DXY917488:DYA917565 FBM917488:FBO917565 GFA917488:GFC917565 HIO917488:HIQ917565 IMC917488:IME917565 JPQ917488:JPS917565 KTE917488:KTG917565 LWS917488:LWU917565 NAG917488:NAI917565 ODU917488:ODW917565 PHI917488:PHK917565 QKW917488:QKY917565 ROK917488:ROM917565 SRY917488:SSA917565 TVM917488:TVO917565 UZA917488:UZC917565 WCO917488:WCQ917565 TQ917488:TS917565 AXE917488:AXG917565 CAS917488:CAU917565 DEG917488:DEI917565 EHU917488:EHW917565 FLI917488:FLK917565 GOW917488:GOY917565 HSK917488:HSM917565 IVY917488:IWA917565 JZM917488:JZO917565 LDA917488:LDC917565 MGO917488:MGQ917565 NKC917488:NKE917565 ONQ917488:ONS917565 PRE917488:PRG917565 QUS917488:QUU917565 RYG917488:RYI917565 TBU917488:TBW917565 UFI917488:UFK917565 VIW917488:VIY917565 WMK917488:WMM917565 JU983024:JW983101 ANI983024:ANK983101 BQW983024:BQY983101 CUK983024:CUM983101 DXY983024:DYA983101 FBM983024:FBO983101 GFA983024:GFC983101 HIO983024:HIQ983101 IMC983024:IME983101 JPQ983024:JPS983101 KTE983024:KTG983101 LWS983024:LWU983101 NAG983024:NAI983101 ODU983024:ODW983101 PHI983024:PHK983101 QKW983024:QKY983101 ROK983024:ROM983101 SRY983024:SSA983101 TVM983024:TVO983101 UZA983024:UZC983101 WCO983024:WCQ983101 TQ983024:TS983101 AXE983024:AXG983101 CAS983024:CAU983101 DEG983024:DEI983101 EHU983024:EHW983101 FLI983024:FLK983101 GOW983024:GOY983101 HSK983024:HSM983101 IVY983024:IWA983101 JZM983024:JZO983101 LDA983024:LDC983101 MGO983024:MGQ983101 NKC983024:NKE983101 ONQ983024:ONS983101 PRE983024:PRG983101 QUS983024:QUU983101 RYG983024:RYI983101 TBU983024:TBW983101 UFI983024:UFK983101 VIW983024:VIY983101 WMK983024:WMM983101">
      <formula1>$AV$2:$AV$17</formula1>
    </dataValidation>
    <dataValidation type="decimal" allowBlank="1" showInputMessage="1" showErrorMessage="1" error="硬度を正しく入力して下さい。" sqref="O2:P482">
      <formula1>0</formula1>
      <formula2>7</formula2>
    </dataValidation>
    <dataValidation type="list" allowBlank="1" showInputMessage="1" showErrorMessage="1" sqref="K72:K482 K65520:K65597 K131056:K131133 K196592:K196669 K262128:K262205 K327664:K327741 K393200:K393277 K458736:K458813 K524272:K524349 K589808:K589885 K655344:K655421 K720880:K720957 K786416:K786493 K851952:K852029 K917488:K917565 K983024:K983101 JG2:JG61 JG65520:JG65597 JG131056:JG131133 JG196592:JG196669 JG262128:JG262205 JG327664:JG327741 JG393200:JG393277 JG458736:JG458813 JG524272:JG524349 JG589808:JG589885 JG655344:JG655421 JG720880:JG720957 JG786416:JG786493 JG851952:JG852029 JG917488:JG917565 JG983024:JG983101 TC2:TC61 TC65520:TC65597 TC131056:TC131133 TC196592:TC196669 TC262128:TC262205 TC327664:TC327741 TC393200:TC393277 TC458736:TC458813 TC524272:TC524349 TC589808:TC589885 TC655344:TC655421 TC720880:TC720957 TC786416:TC786493 TC851952:TC852029 TC917488:TC917565 TC983024:TC983101 ACY2:ACY61 ACY65520:ACY65597 ACY131056:ACY131133 ACY196592:ACY196669 ACY262128:ACY262205 ACY327664:ACY327741 ACY393200:ACY393277 ACY458736:ACY458813 ACY524272:ACY524349 ACY589808:ACY589885 ACY655344:ACY655421 ACY720880:ACY720957 ACY786416:ACY786493 ACY851952:ACY852029 ACY917488:ACY917565 ACY983024:ACY983101 AMU2:AMU61 AMU65520:AMU65597 AMU131056:AMU131133 AMU196592:AMU196669 AMU262128:AMU262205 AMU327664:AMU327741 AMU393200:AMU393277 AMU458736:AMU458813 AMU524272:AMU524349 AMU589808:AMU589885 AMU655344:AMU655421 AMU720880:AMU720957 AMU786416:AMU786493 AMU851952:AMU852029 AMU917488:AMU917565 AMU983024:AMU983101 AWQ2:AWQ61 AWQ65520:AWQ65597 AWQ131056:AWQ131133 AWQ196592:AWQ196669 AWQ262128:AWQ262205 AWQ327664:AWQ327741 AWQ393200:AWQ393277 AWQ458736:AWQ458813 AWQ524272:AWQ524349 AWQ589808:AWQ589885 AWQ655344:AWQ655421 AWQ720880:AWQ720957 AWQ786416:AWQ786493 AWQ851952:AWQ852029 AWQ917488:AWQ917565 AWQ983024:AWQ983101 BGM2:BGM61 BGM65520:BGM65597 BGM131056:BGM131133 BGM196592:BGM196669 BGM262128:BGM262205 BGM327664:BGM327741 BGM393200:BGM393277 BGM458736:BGM458813 BGM524272:BGM524349 BGM589808:BGM589885 BGM655344:BGM655421 BGM720880:BGM720957 BGM786416:BGM786493 BGM851952:BGM852029 BGM917488:BGM917565 BGM983024:BGM983101 BQI2:BQI61 BQI65520:BQI65597 BQI131056:BQI131133 BQI196592:BQI196669 BQI262128:BQI262205 BQI327664:BQI327741 BQI393200:BQI393277 BQI458736:BQI458813 BQI524272:BQI524349 BQI589808:BQI589885 BQI655344:BQI655421 BQI720880:BQI720957 BQI786416:BQI786493 BQI851952:BQI852029 BQI917488:BQI917565 BQI983024:BQI983101 CAE2:CAE61 CAE65520:CAE65597 CAE131056:CAE131133 CAE196592:CAE196669 CAE262128:CAE262205 CAE327664:CAE327741 CAE393200:CAE393277 CAE458736:CAE458813 CAE524272:CAE524349 CAE589808:CAE589885 CAE655344:CAE655421 CAE720880:CAE720957 CAE786416:CAE786493 CAE851952:CAE852029 CAE917488:CAE917565 CAE983024:CAE983101 CKA2:CKA61 CKA65520:CKA65597 CKA131056:CKA131133 CKA196592:CKA196669 CKA262128:CKA262205 CKA327664:CKA327741 CKA393200:CKA393277 CKA458736:CKA458813 CKA524272:CKA524349 CKA589808:CKA589885 CKA655344:CKA655421 CKA720880:CKA720957 CKA786416:CKA786493 CKA851952:CKA852029 CKA917488:CKA917565 CKA983024:CKA983101 CTW2:CTW61 CTW65520:CTW65597 CTW131056:CTW131133 CTW196592:CTW196669 CTW262128:CTW262205 CTW327664:CTW327741 CTW393200:CTW393277 CTW458736:CTW458813 CTW524272:CTW524349 CTW589808:CTW589885 CTW655344:CTW655421 CTW720880:CTW720957 CTW786416:CTW786493 CTW851952:CTW852029 CTW917488:CTW917565 CTW983024:CTW983101 DDS2:DDS61 DDS65520:DDS65597 DDS131056:DDS131133 DDS196592:DDS196669 DDS262128:DDS262205 DDS327664:DDS327741 DDS393200:DDS393277 DDS458736:DDS458813 DDS524272:DDS524349 DDS589808:DDS589885 DDS655344:DDS655421 DDS720880:DDS720957 DDS786416:DDS786493 DDS851952:DDS852029 DDS917488:DDS917565 DDS983024:DDS983101 DNO2:DNO61 DNO65520:DNO65597 DNO131056:DNO131133 DNO196592:DNO196669 DNO262128:DNO262205 DNO327664:DNO327741 DNO393200:DNO393277 DNO458736:DNO458813 DNO524272:DNO524349 DNO589808:DNO589885 DNO655344:DNO655421 DNO720880:DNO720957 DNO786416:DNO786493 DNO851952:DNO852029 DNO917488:DNO917565 DNO983024:DNO983101 DXK2:DXK61 DXK65520:DXK65597 DXK131056:DXK131133 DXK196592:DXK196669 DXK262128:DXK262205 DXK327664:DXK327741 DXK393200:DXK393277 DXK458736:DXK458813 DXK524272:DXK524349 DXK589808:DXK589885 DXK655344:DXK655421 DXK720880:DXK720957 DXK786416:DXK786493 DXK851952:DXK852029 DXK917488:DXK917565 DXK983024:DXK983101 EHG2:EHG61 EHG65520:EHG65597 EHG131056:EHG131133 EHG196592:EHG196669 EHG262128:EHG262205 EHG327664:EHG327741 EHG393200:EHG393277 EHG458736:EHG458813 EHG524272:EHG524349 EHG589808:EHG589885 EHG655344:EHG655421 EHG720880:EHG720957 EHG786416:EHG786493 EHG851952:EHG852029 EHG917488:EHG917565 EHG983024:EHG983101 ERC2:ERC61 ERC65520:ERC65597 ERC131056:ERC131133 ERC196592:ERC196669 ERC262128:ERC262205 ERC327664:ERC327741 ERC393200:ERC393277 ERC458736:ERC458813 ERC524272:ERC524349 ERC589808:ERC589885 ERC655344:ERC655421 ERC720880:ERC720957 ERC786416:ERC786493 ERC851952:ERC852029 ERC917488:ERC917565 ERC983024:ERC983101 FAY2:FAY61 FAY65520:FAY65597 FAY131056:FAY131133 FAY196592:FAY196669 FAY262128:FAY262205 FAY327664:FAY327741 FAY393200:FAY393277 FAY458736:FAY458813 FAY524272:FAY524349 FAY589808:FAY589885 FAY655344:FAY655421 FAY720880:FAY720957 FAY786416:FAY786493 FAY851952:FAY852029 FAY917488:FAY917565 FAY983024:FAY983101 FKU2:FKU61 FKU65520:FKU65597 FKU131056:FKU131133 FKU196592:FKU196669 FKU262128:FKU262205 FKU327664:FKU327741 FKU393200:FKU393277 FKU458736:FKU458813 FKU524272:FKU524349 FKU589808:FKU589885 FKU655344:FKU655421 FKU720880:FKU720957 FKU786416:FKU786493 FKU851952:FKU852029 FKU917488:FKU917565 FKU983024:FKU983101 FUQ2:FUQ61 FUQ65520:FUQ65597 FUQ131056:FUQ131133 FUQ196592:FUQ196669 FUQ262128:FUQ262205 FUQ327664:FUQ327741 FUQ393200:FUQ393277 FUQ458736:FUQ458813 FUQ524272:FUQ524349 FUQ589808:FUQ589885 FUQ655344:FUQ655421 FUQ720880:FUQ720957 FUQ786416:FUQ786493 FUQ851952:FUQ852029 FUQ917488:FUQ917565 FUQ983024:FUQ983101 GEM2:GEM61 GEM65520:GEM65597 GEM131056:GEM131133 GEM196592:GEM196669 GEM262128:GEM262205 GEM327664:GEM327741 GEM393200:GEM393277 GEM458736:GEM458813 GEM524272:GEM524349 GEM589808:GEM589885 GEM655344:GEM655421 GEM720880:GEM720957 GEM786416:GEM786493 GEM851952:GEM852029 GEM917488:GEM917565 GEM983024:GEM983101 GOI2:GOI61 GOI65520:GOI65597 GOI131056:GOI131133 GOI196592:GOI196669 GOI262128:GOI262205 GOI327664:GOI327741 GOI393200:GOI393277 GOI458736:GOI458813 GOI524272:GOI524349 GOI589808:GOI589885 GOI655344:GOI655421 GOI720880:GOI720957 GOI786416:GOI786493 GOI851952:GOI852029 GOI917488:GOI917565 GOI983024:GOI983101 GYE2:GYE61 GYE65520:GYE65597 GYE131056:GYE131133 GYE196592:GYE196669 GYE262128:GYE262205 GYE327664:GYE327741 GYE393200:GYE393277 GYE458736:GYE458813 GYE524272:GYE524349 GYE589808:GYE589885 GYE655344:GYE655421 GYE720880:GYE720957 GYE786416:GYE786493 GYE851952:GYE852029 GYE917488:GYE917565 GYE983024:GYE983101 HIA2:HIA61 HIA65520:HIA65597 HIA131056:HIA131133 HIA196592:HIA196669 HIA262128:HIA262205 HIA327664:HIA327741 HIA393200:HIA393277 HIA458736:HIA458813 HIA524272:HIA524349 HIA589808:HIA589885 HIA655344:HIA655421 HIA720880:HIA720957 HIA786416:HIA786493 HIA851952:HIA852029 HIA917488:HIA917565 HIA983024:HIA983101 HRW2:HRW61 HRW65520:HRW65597 HRW131056:HRW131133 HRW196592:HRW196669 HRW262128:HRW262205 HRW327664:HRW327741 HRW393200:HRW393277 HRW458736:HRW458813 HRW524272:HRW524349 HRW589808:HRW589885 HRW655344:HRW655421 HRW720880:HRW720957 HRW786416:HRW786493 HRW851952:HRW852029 HRW917488:HRW917565 HRW983024:HRW983101 IBS2:IBS61 IBS65520:IBS65597 IBS131056:IBS131133 IBS196592:IBS196669 IBS262128:IBS262205 IBS327664:IBS327741 IBS393200:IBS393277 IBS458736:IBS458813 IBS524272:IBS524349 IBS589808:IBS589885 IBS655344:IBS655421 IBS720880:IBS720957 IBS786416:IBS786493 IBS851952:IBS852029 IBS917488:IBS917565 IBS983024:IBS983101 ILO2:ILO61 ILO65520:ILO65597 ILO131056:ILO131133 ILO196592:ILO196669 ILO262128:ILO262205 ILO327664:ILO327741 ILO393200:ILO393277 ILO458736:ILO458813 ILO524272:ILO524349 ILO589808:ILO589885 ILO655344:ILO655421 ILO720880:ILO720957 ILO786416:ILO786493 ILO851952:ILO852029 ILO917488:ILO917565 ILO983024:ILO983101 IVK2:IVK61 IVK65520:IVK65597 IVK131056:IVK131133 IVK196592:IVK196669 IVK262128:IVK262205 IVK327664:IVK327741 IVK393200:IVK393277 IVK458736:IVK458813 IVK524272:IVK524349 IVK589808:IVK589885 IVK655344:IVK655421 IVK720880:IVK720957 IVK786416:IVK786493 IVK851952:IVK852029 IVK917488:IVK917565 IVK983024:IVK983101 JFG2:JFG61 JFG65520:JFG65597 JFG131056:JFG131133 JFG196592:JFG196669 JFG262128:JFG262205 JFG327664:JFG327741 JFG393200:JFG393277 JFG458736:JFG458813 JFG524272:JFG524349 JFG589808:JFG589885 JFG655344:JFG655421 JFG720880:JFG720957 JFG786416:JFG786493 JFG851952:JFG852029 JFG917488:JFG917565 JFG983024:JFG983101 JPC2:JPC61 JPC65520:JPC65597 JPC131056:JPC131133 JPC196592:JPC196669 JPC262128:JPC262205 JPC327664:JPC327741 JPC393200:JPC393277 JPC458736:JPC458813 JPC524272:JPC524349 JPC589808:JPC589885 JPC655344:JPC655421 JPC720880:JPC720957 JPC786416:JPC786493 JPC851952:JPC852029 JPC917488:JPC917565 JPC983024:JPC983101 JYY2:JYY61 JYY65520:JYY65597 JYY131056:JYY131133 JYY196592:JYY196669 JYY262128:JYY262205 JYY327664:JYY327741 JYY393200:JYY393277 JYY458736:JYY458813 JYY524272:JYY524349 JYY589808:JYY589885 JYY655344:JYY655421 JYY720880:JYY720957 JYY786416:JYY786493 JYY851952:JYY852029 JYY917488:JYY917565 JYY983024:JYY983101 KIU2:KIU61 KIU65520:KIU65597 KIU131056:KIU131133 KIU196592:KIU196669 KIU262128:KIU262205 KIU327664:KIU327741 KIU393200:KIU393277 KIU458736:KIU458813 KIU524272:KIU524349 KIU589808:KIU589885 KIU655344:KIU655421 KIU720880:KIU720957 KIU786416:KIU786493 KIU851952:KIU852029 KIU917488:KIU917565 KIU983024:KIU983101 KSQ2:KSQ61 KSQ65520:KSQ65597 KSQ131056:KSQ131133 KSQ196592:KSQ196669 KSQ262128:KSQ262205 KSQ327664:KSQ327741 KSQ393200:KSQ393277 KSQ458736:KSQ458813 KSQ524272:KSQ524349 KSQ589808:KSQ589885 KSQ655344:KSQ655421 KSQ720880:KSQ720957 KSQ786416:KSQ786493 KSQ851952:KSQ852029 KSQ917488:KSQ917565 KSQ983024:KSQ983101 LCM2:LCM61 LCM65520:LCM65597 LCM131056:LCM131133 LCM196592:LCM196669 LCM262128:LCM262205 LCM327664:LCM327741 LCM393200:LCM393277 LCM458736:LCM458813 LCM524272:LCM524349 LCM589808:LCM589885 LCM655344:LCM655421 LCM720880:LCM720957 LCM786416:LCM786493 LCM851952:LCM852029 LCM917488:LCM917565 LCM983024:LCM983101 LMI2:LMI61 LMI65520:LMI65597 LMI131056:LMI131133 LMI196592:LMI196669 LMI262128:LMI262205 LMI327664:LMI327741 LMI393200:LMI393277 LMI458736:LMI458813 LMI524272:LMI524349 LMI589808:LMI589885 LMI655344:LMI655421 LMI720880:LMI720957 LMI786416:LMI786493 LMI851952:LMI852029 LMI917488:LMI917565 LMI983024:LMI983101 LWE2:LWE61 LWE65520:LWE65597 LWE131056:LWE131133 LWE196592:LWE196669 LWE262128:LWE262205 LWE327664:LWE327741 LWE393200:LWE393277 LWE458736:LWE458813 LWE524272:LWE524349 LWE589808:LWE589885 LWE655344:LWE655421 LWE720880:LWE720957 LWE786416:LWE786493 LWE851952:LWE852029 LWE917488:LWE917565 LWE983024:LWE983101 MGA2:MGA61 MGA65520:MGA65597 MGA131056:MGA131133 MGA196592:MGA196669 MGA262128:MGA262205 MGA327664:MGA327741 MGA393200:MGA393277 MGA458736:MGA458813 MGA524272:MGA524349 MGA589808:MGA589885 MGA655344:MGA655421 MGA720880:MGA720957 MGA786416:MGA786493 MGA851952:MGA852029 MGA917488:MGA917565 MGA983024:MGA983101 MPW2:MPW61 MPW65520:MPW65597 MPW131056:MPW131133 MPW196592:MPW196669 MPW262128:MPW262205 MPW327664:MPW327741 MPW393200:MPW393277 MPW458736:MPW458813 MPW524272:MPW524349 MPW589808:MPW589885 MPW655344:MPW655421 MPW720880:MPW720957 MPW786416:MPW786493 MPW851952:MPW852029 MPW917488:MPW917565 MPW983024:MPW983101 MZS2:MZS61 MZS65520:MZS65597 MZS131056:MZS131133 MZS196592:MZS196669 MZS262128:MZS262205 MZS327664:MZS327741 MZS393200:MZS393277 MZS458736:MZS458813 MZS524272:MZS524349 MZS589808:MZS589885 MZS655344:MZS655421 MZS720880:MZS720957 MZS786416:MZS786493 MZS851952:MZS852029 MZS917488:MZS917565 MZS983024:MZS983101 NJO2:NJO61 NJO65520:NJO65597 NJO131056:NJO131133 NJO196592:NJO196669 NJO262128:NJO262205 NJO327664:NJO327741 NJO393200:NJO393277 NJO458736:NJO458813 NJO524272:NJO524349 NJO589808:NJO589885 NJO655344:NJO655421 NJO720880:NJO720957 NJO786416:NJO786493 NJO851952:NJO852029 NJO917488:NJO917565 NJO983024:NJO983101 NTK2:NTK61 NTK65520:NTK65597 NTK131056:NTK131133 NTK196592:NTK196669 NTK262128:NTK262205 NTK327664:NTK327741 NTK393200:NTK393277 NTK458736:NTK458813 NTK524272:NTK524349 NTK589808:NTK589885 NTK655344:NTK655421 NTK720880:NTK720957 NTK786416:NTK786493 NTK851952:NTK852029 NTK917488:NTK917565 NTK983024:NTK983101 ODG2:ODG61 ODG65520:ODG65597 ODG131056:ODG131133 ODG196592:ODG196669 ODG262128:ODG262205 ODG327664:ODG327741 ODG393200:ODG393277 ODG458736:ODG458813 ODG524272:ODG524349 ODG589808:ODG589885 ODG655344:ODG655421 ODG720880:ODG720957 ODG786416:ODG786493 ODG851952:ODG852029 ODG917488:ODG917565 ODG983024:ODG983101 ONC2:ONC61 ONC65520:ONC65597 ONC131056:ONC131133 ONC196592:ONC196669 ONC262128:ONC262205 ONC327664:ONC327741 ONC393200:ONC393277 ONC458736:ONC458813 ONC524272:ONC524349 ONC589808:ONC589885 ONC655344:ONC655421 ONC720880:ONC720957 ONC786416:ONC786493 ONC851952:ONC852029 ONC917488:ONC917565 ONC983024:ONC983101 OWY2:OWY61 OWY65520:OWY65597 OWY131056:OWY131133 OWY196592:OWY196669 OWY262128:OWY262205 OWY327664:OWY327741 OWY393200:OWY393277 OWY458736:OWY458813 OWY524272:OWY524349 OWY589808:OWY589885 OWY655344:OWY655421 OWY720880:OWY720957 OWY786416:OWY786493 OWY851952:OWY852029 OWY917488:OWY917565 OWY983024:OWY983101 PGU2:PGU61 PGU65520:PGU65597 PGU131056:PGU131133 PGU196592:PGU196669 PGU262128:PGU262205 PGU327664:PGU327741 PGU393200:PGU393277 PGU458736:PGU458813 PGU524272:PGU524349 PGU589808:PGU589885 PGU655344:PGU655421 PGU720880:PGU720957 PGU786416:PGU786493 PGU851952:PGU852029 PGU917488:PGU917565 PGU983024:PGU983101 PQQ2:PQQ61 PQQ65520:PQQ65597 PQQ131056:PQQ131133 PQQ196592:PQQ196669 PQQ262128:PQQ262205 PQQ327664:PQQ327741 PQQ393200:PQQ393277 PQQ458736:PQQ458813 PQQ524272:PQQ524349 PQQ589808:PQQ589885 PQQ655344:PQQ655421 PQQ720880:PQQ720957 PQQ786416:PQQ786493 PQQ851952:PQQ852029 PQQ917488:PQQ917565 PQQ983024:PQQ983101 QAM2:QAM61 QAM65520:QAM65597 QAM131056:QAM131133 QAM196592:QAM196669 QAM262128:QAM262205 QAM327664:QAM327741 QAM393200:QAM393277 QAM458736:QAM458813 QAM524272:QAM524349 QAM589808:QAM589885 QAM655344:QAM655421 QAM720880:QAM720957 QAM786416:QAM786493 QAM851952:QAM852029 QAM917488:QAM917565 QAM983024:QAM983101 QKI2:QKI61 QKI65520:QKI65597 QKI131056:QKI131133 QKI196592:QKI196669 QKI262128:QKI262205 QKI327664:QKI327741 QKI393200:QKI393277 QKI458736:QKI458813 QKI524272:QKI524349 QKI589808:QKI589885 QKI655344:QKI655421 QKI720880:QKI720957 QKI786416:QKI786493 QKI851952:QKI852029 QKI917488:QKI917565 QKI983024:QKI983101 QUE2:QUE61 QUE65520:QUE65597 QUE131056:QUE131133 QUE196592:QUE196669 QUE262128:QUE262205 QUE327664:QUE327741 QUE393200:QUE393277 QUE458736:QUE458813 QUE524272:QUE524349 QUE589808:QUE589885 QUE655344:QUE655421 QUE720880:QUE720957 QUE786416:QUE786493 QUE851952:QUE852029 QUE917488:QUE917565 QUE983024:QUE983101 REA2:REA61 REA65520:REA65597 REA131056:REA131133 REA196592:REA196669 REA262128:REA262205 REA327664:REA327741 REA393200:REA393277 REA458736:REA458813 REA524272:REA524349 REA589808:REA589885 REA655344:REA655421 REA720880:REA720957 REA786416:REA786493 REA851952:REA852029 REA917488:REA917565 REA983024:REA983101 RNW2:RNW61 RNW65520:RNW65597 RNW131056:RNW131133 RNW196592:RNW196669 RNW262128:RNW262205 RNW327664:RNW327741 RNW393200:RNW393277 RNW458736:RNW458813 RNW524272:RNW524349 RNW589808:RNW589885 RNW655344:RNW655421 RNW720880:RNW720957 RNW786416:RNW786493 RNW851952:RNW852029 RNW917488:RNW917565 RNW983024:RNW983101 RXS2:RXS61 RXS65520:RXS65597 RXS131056:RXS131133 RXS196592:RXS196669 RXS262128:RXS262205 RXS327664:RXS327741 RXS393200:RXS393277 RXS458736:RXS458813 RXS524272:RXS524349 RXS589808:RXS589885 RXS655344:RXS655421 RXS720880:RXS720957 RXS786416:RXS786493 RXS851952:RXS852029 RXS917488:RXS917565 RXS983024:RXS983101 SHO2:SHO61 SHO65520:SHO65597 SHO131056:SHO131133 SHO196592:SHO196669 SHO262128:SHO262205 SHO327664:SHO327741 SHO393200:SHO393277 SHO458736:SHO458813 SHO524272:SHO524349 SHO589808:SHO589885 SHO655344:SHO655421 SHO720880:SHO720957 SHO786416:SHO786493 SHO851952:SHO852029 SHO917488:SHO917565 SHO983024:SHO983101 SRK2:SRK61 SRK65520:SRK65597 SRK131056:SRK131133 SRK196592:SRK196669 SRK262128:SRK262205 SRK327664:SRK327741 SRK393200:SRK393277 SRK458736:SRK458813 SRK524272:SRK524349 SRK589808:SRK589885 SRK655344:SRK655421 SRK720880:SRK720957 SRK786416:SRK786493 SRK851952:SRK852029 SRK917488:SRK917565 SRK983024:SRK983101 TBG2:TBG61 TBG65520:TBG65597 TBG131056:TBG131133 TBG196592:TBG196669 TBG262128:TBG262205 TBG327664:TBG327741 TBG393200:TBG393277 TBG458736:TBG458813 TBG524272:TBG524349 TBG589808:TBG589885 TBG655344:TBG655421 TBG720880:TBG720957 TBG786416:TBG786493 TBG851952:TBG852029 TBG917488:TBG917565 TBG983024:TBG983101 TLC2:TLC61 TLC65520:TLC65597 TLC131056:TLC131133 TLC196592:TLC196669 TLC262128:TLC262205 TLC327664:TLC327741 TLC393200:TLC393277 TLC458736:TLC458813 TLC524272:TLC524349 TLC589808:TLC589885 TLC655344:TLC655421 TLC720880:TLC720957 TLC786416:TLC786493 TLC851952:TLC852029 TLC917488:TLC917565 TLC983024:TLC983101 TUY2:TUY61 TUY65520:TUY65597 TUY131056:TUY131133 TUY196592:TUY196669 TUY262128:TUY262205 TUY327664:TUY327741 TUY393200:TUY393277 TUY458736:TUY458813 TUY524272:TUY524349 TUY589808:TUY589885 TUY655344:TUY655421 TUY720880:TUY720957 TUY786416:TUY786493 TUY851952:TUY852029 TUY917488:TUY917565 TUY983024:TUY983101 UEU2:UEU61 UEU65520:UEU65597 UEU131056:UEU131133 UEU196592:UEU196669 UEU262128:UEU262205 UEU327664:UEU327741 UEU393200:UEU393277 UEU458736:UEU458813 UEU524272:UEU524349 UEU589808:UEU589885 UEU655344:UEU655421 UEU720880:UEU720957 UEU786416:UEU786493 UEU851952:UEU852029 UEU917488:UEU917565 UEU983024:UEU983101 UOQ2:UOQ61 UOQ65520:UOQ65597 UOQ131056:UOQ131133 UOQ196592:UOQ196669 UOQ262128:UOQ262205 UOQ327664:UOQ327741 UOQ393200:UOQ393277 UOQ458736:UOQ458813 UOQ524272:UOQ524349 UOQ589808:UOQ589885 UOQ655344:UOQ655421 UOQ720880:UOQ720957 UOQ786416:UOQ786493 UOQ851952:UOQ852029 UOQ917488:UOQ917565 UOQ983024:UOQ983101 UYM2:UYM61 UYM65520:UYM65597 UYM131056:UYM131133 UYM196592:UYM196669 UYM262128:UYM262205 UYM327664:UYM327741 UYM393200:UYM393277 UYM458736:UYM458813 UYM524272:UYM524349 UYM589808:UYM589885 UYM655344:UYM655421 UYM720880:UYM720957 UYM786416:UYM786493 UYM851952:UYM852029 UYM917488:UYM917565 UYM983024:UYM983101 VII2:VII61 VII65520:VII65597 VII131056:VII131133 VII196592:VII196669 VII262128:VII262205 VII327664:VII327741 VII393200:VII393277 VII458736:VII458813 VII524272:VII524349 VII589808:VII589885 VII655344:VII655421 VII720880:VII720957 VII786416:VII786493 VII851952:VII852029 VII917488:VII917565 VII983024:VII983101 VSE2:VSE61 VSE65520:VSE65597 VSE131056:VSE131133 VSE196592:VSE196669 VSE262128:VSE262205 VSE327664:VSE327741 VSE393200:VSE393277 VSE458736:VSE458813 VSE524272:VSE524349 VSE589808:VSE589885 VSE655344:VSE655421 VSE720880:VSE720957 VSE786416:VSE786493 VSE851952:VSE852029 VSE917488:VSE917565 VSE983024:VSE983101 WCA2:WCA61 WCA65520:WCA65597 WCA131056:WCA131133 WCA196592:WCA196669 WCA262128:WCA262205 WCA327664:WCA327741 WCA393200:WCA393277 WCA458736:WCA458813 WCA524272:WCA524349 WCA589808:WCA589885 WCA655344:WCA655421 WCA720880:WCA720957 WCA786416:WCA786493 WCA851952:WCA852029 WCA917488:WCA917565 WCA983024:WCA983101 WLW2:WLW61 WLW65520:WLW65597 WLW131056:WLW131133 WLW196592:WLW196669 WLW262128:WLW262205 WLW327664:WLW327741 WLW393200:WLW393277 WLW458736:WLW458813 WLW524272:WLW524349 WLW589808:WLW589885 WLW655344:WLW655421 WLW720880:WLW720957 WLW786416:WLW786493 WLW851952:WLW852029 WLW917488:WLW917565 WLW983024:WLW983101 WVS2:WVS61 WVS65520:WVS65597 WVS131056:WVS131133 WVS196592:WVS196669 WVS262128:WVS262205 WVS327664:WVS327741 WVS393200:WVS393277 WVS458736:WVS458813 WVS524272:WVS524349 WVS589808:WVS589885 WVS655344:WVS655421 WVS720880:WVS720957 WVS786416:WVS786493 WVS851952:WVS852029 WVS917488:WVS917565 WVS983024:WVS983101">
      <formula1>$AR$2:$AR$19</formula1>
    </dataValidation>
    <dataValidation type="list" allowBlank="1" showInputMessage="1" showErrorMessage="1" sqref="H65520:H65597 H131056:H131133 H196592:H196669 H262128:H262205 H327664:H327741 H393200:H393277 H458736:H458813 H524272:H524349 H589808:H589885 H655344:H655421 H720880:H720957 H786416:H786493 H851952:H852029 H917488:H917565 H983024:H983101 JD2:JD61 JD65520:JD65597 JD131056:JD131133 JD196592:JD196669 JD262128:JD262205 JD327664:JD327741 JD393200:JD393277 JD458736:JD458813 JD524272:JD524349 JD589808:JD589885 JD655344:JD655421 JD720880:JD720957 JD786416:JD786493 JD851952:JD852029 JD917488:JD917565 JD983024:JD983101 SZ2:SZ61 SZ65520:SZ65597 SZ131056:SZ131133 SZ196592:SZ196669 SZ262128:SZ262205 SZ327664:SZ327741 SZ393200:SZ393277 SZ458736:SZ458813 SZ524272:SZ524349 SZ589808:SZ589885 SZ655344:SZ655421 SZ720880:SZ720957 SZ786416:SZ786493 SZ851952:SZ852029 SZ917488:SZ917565 SZ983024:SZ983101 ACV2:ACV61 ACV65520:ACV65597 ACV131056:ACV131133 ACV196592:ACV196669 ACV262128:ACV262205 ACV327664:ACV327741 ACV393200:ACV393277 ACV458736:ACV458813 ACV524272:ACV524349 ACV589808:ACV589885 ACV655344:ACV655421 ACV720880:ACV720957 ACV786416:ACV786493 ACV851952:ACV852029 ACV917488:ACV917565 ACV983024:ACV983101 AMR2:AMR61 AMR65520:AMR65597 AMR131056:AMR131133 AMR196592:AMR196669 AMR262128:AMR262205 AMR327664:AMR327741 AMR393200:AMR393277 AMR458736:AMR458813 AMR524272:AMR524349 AMR589808:AMR589885 AMR655344:AMR655421 AMR720880:AMR720957 AMR786416:AMR786493 AMR851952:AMR852029 AMR917488:AMR917565 AMR983024:AMR983101 AWN2:AWN61 AWN65520:AWN65597 AWN131056:AWN131133 AWN196592:AWN196669 AWN262128:AWN262205 AWN327664:AWN327741 AWN393200:AWN393277 AWN458736:AWN458813 AWN524272:AWN524349 AWN589808:AWN589885 AWN655344:AWN655421 AWN720880:AWN720957 AWN786416:AWN786493 AWN851952:AWN852029 AWN917488:AWN917565 AWN983024:AWN983101 BGJ2:BGJ61 BGJ65520:BGJ65597 BGJ131056:BGJ131133 BGJ196592:BGJ196669 BGJ262128:BGJ262205 BGJ327664:BGJ327741 BGJ393200:BGJ393277 BGJ458736:BGJ458813 BGJ524272:BGJ524349 BGJ589808:BGJ589885 BGJ655344:BGJ655421 BGJ720880:BGJ720957 BGJ786416:BGJ786493 BGJ851952:BGJ852029 BGJ917488:BGJ917565 BGJ983024:BGJ983101 BQF2:BQF61 BQF65520:BQF65597 BQF131056:BQF131133 BQF196592:BQF196669 BQF262128:BQF262205 BQF327664:BQF327741 BQF393200:BQF393277 BQF458736:BQF458813 BQF524272:BQF524349 BQF589808:BQF589885 BQF655344:BQF655421 BQF720880:BQF720957 BQF786416:BQF786493 BQF851952:BQF852029 BQF917488:BQF917565 BQF983024:BQF983101 CAB2:CAB61 CAB65520:CAB65597 CAB131056:CAB131133 CAB196592:CAB196669 CAB262128:CAB262205 CAB327664:CAB327741 CAB393200:CAB393277 CAB458736:CAB458813 CAB524272:CAB524349 CAB589808:CAB589885 CAB655344:CAB655421 CAB720880:CAB720957 CAB786416:CAB786493 CAB851952:CAB852029 CAB917488:CAB917565 CAB983024:CAB983101 CJX2:CJX61 CJX65520:CJX65597 CJX131056:CJX131133 CJX196592:CJX196669 CJX262128:CJX262205 CJX327664:CJX327741 CJX393200:CJX393277 CJX458736:CJX458813 CJX524272:CJX524349 CJX589808:CJX589885 CJX655344:CJX655421 CJX720880:CJX720957 CJX786416:CJX786493 CJX851952:CJX852029 CJX917488:CJX917565 CJX983024:CJX983101 CTT2:CTT61 CTT65520:CTT65597 CTT131056:CTT131133 CTT196592:CTT196669 CTT262128:CTT262205 CTT327664:CTT327741 CTT393200:CTT393277 CTT458736:CTT458813 CTT524272:CTT524349 CTT589808:CTT589885 CTT655344:CTT655421 CTT720880:CTT720957 CTT786416:CTT786493 CTT851952:CTT852029 CTT917488:CTT917565 CTT983024:CTT983101 DDP2:DDP61 DDP65520:DDP65597 DDP131056:DDP131133 DDP196592:DDP196669 DDP262128:DDP262205 DDP327664:DDP327741 DDP393200:DDP393277 DDP458736:DDP458813 DDP524272:DDP524349 DDP589808:DDP589885 DDP655344:DDP655421 DDP720880:DDP720957 DDP786416:DDP786493 DDP851952:DDP852029 DDP917488:DDP917565 DDP983024:DDP983101 DNL2:DNL61 DNL65520:DNL65597 DNL131056:DNL131133 DNL196592:DNL196669 DNL262128:DNL262205 DNL327664:DNL327741 DNL393200:DNL393277 DNL458736:DNL458813 DNL524272:DNL524349 DNL589808:DNL589885 DNL655344:DNL655421 DNL720880:DNL720957 DNL786416:DNL786493 DNL851952:DNL852029 DNL917488:DNL917565 DNL983024:DNL983101 DXH2:DXH61 DXH65520:DXH65597 DXH131056:DXH131133 DXH196592:DXH196669 DXH262128:DXH262205 DXH327664:DXH327741 DXH393200:DXH393277 DXH458736:DXH458813 DXH524272:DXH524349 DXH589808:DXH589885 DXH655344:DXH655421 DXH720880:DXH720957 DXH786416:DXH786493 DXH851952:DXH852029 DXH917488:DXH917565 DXH983024:DXH983101 EHD2:EHD61 EHD65520:EHD65597 EHD131056:EHD131133 EHD196592:EHD196669 EHD262128:EHD262205 EHD327664:EHD327741 EHD393200:EHD393277 EHD458736:EHD458813 EHD524272:EHD524349 EHD589808:EHD589885 EHD655344:EHD655421 EHD720880:EHD720957 EHD786416:EHD786493 EHD851952:EHD852029 EHD917488:EHD917565 EHD983024:EHD983101 EQZ2:EQZ61 EQZ65520:EQZ65597 EQZ131056:EQZ131133 EQZ196592:EQZ196669 EQZ262128:EQZ262205 EQZ327664:EQZ327741 EQZ393200:EQZ393277 EQZ458736:EQZ458813 EQZ524272:EQZ524349 EQZ589808:EQZ589885 EQZ655344:EQZ655421 EQZ720880:EQZ720957 EQZ786416:EQZ786493 EQZ851952:EQZ852029 EQZ917488:EQZ917565 EQZ983024:EQZ983101 FAV2:FAV61 FAV65520:FAV65597 FAV131056:FAV131133 FAV196592:FAV196669 FAV262128:FAV262205 FAV327664:FAV327741 FAV393200:FAV393277 FAV458736:FAV458813 FAV524272:FAV524349 FAV589808:FAV589885 FAV655344:FAV655421 FAV720880:FAV720957 FAV786416:FAV786493 FAV851952:FAV852029 FAV917488:FAV917565 FAV983024:FAV983101 FKR2:FKR61 FKR65520:FKR65597 FKR131056:FKR131133 FKR196592:FKR196669 FKR262128:FKR262205 FKR327664:FKR327741 FKR393200:FKR393277 FKR458736:FKR458813 FKR524272:FKR524349 FKR589808:FKR589885 FKR655344:FKR655421 FKR720880:FKR720957 FKR786416:FKR786493 FKR851952:FKR852029 FKR917488:FKR917565 FKR983024:FKR983101 FUN2:FUN61 FUN65520:FUN65597 FUN131056:FUN131133 FUN196592:FUN196669 FUN262128:FUN262205 FUN327664:FUN327741 FUN393200:FUN393277 FUN458736:FUN458813 FUN524272:FUN524349 FUN589808:FUN589885 FUN655344:FUN655421 FUN720880:FUN720957 FUN786416:FUN786493 FUN851952:FUN852029 FUN917488:FUN917565 FUN983024:FUN983101 GEJ2:GEJ61 GEJ65520:GEJ65597 GEJ131056:GEJ131133 GEJ196592:GEJ196669 GEJ262128:GEJ262205 GEJ327664:GEJ327741 GEJ393200:GEJ393277 GEJ458736:GEJ458813 GEJ524272:GEJ524349 GEJ589808:GEJ589885 GEJ655344:GEJ655421 GEJ720880:GEJ720957 GEJ786416:GEJ786493 GEJ851952:GEJ852029 GEJ917488:GEJ917565 GEJ983024:GEJ983101 GOF2:GOF61 GOF65520:GOF65597 GOF131056:GOF131133 GOF196592:GOF196669 GOF262128:GOF262205 GOF327664:GOF327741 GOF393200:GOF393277 GOF458736:GOF458813 GOF524272:GOF524349 GOF589808:GOF589885 GOF655344:GOF655421 GOF720880:GOF720957 GOF786416:GOF786493 GOF851952:GOF852029 GOF917488:GOF917565 GOF983024:GOF983101 GYB2:GYB61 GYB65520:GYB65597 GYB131056:GYB131133 GYB196592:GYB196669 GYB262128:GYB262205 GYB327664:GYB327741 GYB393200:GYB393277 GYB458736:GYB458813 GYB524272:GYB524349 GYB589808:GYB589885 GYB655344:GYB655421 GYB720880:GYB720957 GYB786416:GYB786493 GYB851952:GYB852029 GYB917488:GYB917565 GYB983024:GYB983101 HHX2:HHX61 HHX65520:HHX65597 HHX131056:HHX131133 HHX196592:HHX196669 HHX262128:HHX262205 HHX327664:HHX327741 HHX393200:HHX393277 HHX458736:HHX458813 HHX524272:HHX524349 HHX589808:HHX589885 HHX655344:HHX655421 HHX720880:HHX720957 HHX786416:HHX786493 HHX851952:HHX852029 HHX917488:HHX917565 HHX983024:HHX983101 HRT2:HRT61 HRT65520:HRT65597 HRT131056:HRT131133 HRT196592:HRT196669 HRT262128:HRT262205 HRT327664:HRT327741 HRT393200:HRT393277 HRT458736:HRT458813 HRT524272:HRT524349 HRT589808:HRT589885 HRT655344:HRT655421 HRT720880:HRT720957 HRT786416:HRT786493 HRT851952:HRT852029 HRT917488:HRT917565 HRT983024:HRT983101 IBP2:IBP61 IBP65520:IBP65597 IBP131056:IBP131133 IBP196592:IBP196669 IBP262128:IBP262205 IBP327664:IBP327741 IBP393200:IBP393277 IBP458736:IBP458813 IBP524272:IBP524349 IBP589808:IBP589885 IBP655344:IBP655421 IBP720880:IBP720957 IBP786416:IBP786493 IBP851952:IBP852029 IBP917488:IBP917565 IBP983024:IBP983101 ILL2:ILL61 ILL65520:ILL65597 ILL131056:ILL131133 ILL196592:ILL196669 ILL262128:ILL262205 ILL327664:ILL327741 ILL393200:ILL393277 ILL458736:ILL458813 ILL524272:ILL524349 ILL589808:ILL589885 ILL655344:ILL655421 ILL720880:ILL720957 ILL786416:ILL786493 ILL851952:ILL852029 ILL917488:ILL917565 ILL983024:ILL983101 IVH2:IVH61 IVH65520:IVH65597 IVH131056:IVH131133 IVH196592:IVH196669 IVH262128:IVH262205 IVH327664:IVH327741 IVH393200:IVH393277 IVH458736:IVH458813 IVH524272:IVH524349 IVH589808:IVH589885 IVH655344:IVH655421 IVH720880:IVH720957 IVH786416:IVH786493 IVH851952:IVH852029 IVH917488:IVH917565 IVH983024:IVH983101 JFD2:JFD61 JFD65520:JFD65597 JFD131056:JFD131133 JFD196592:JFD196669 JFD262128:JFD262205 JFD327664:JFD327741 JFD393200:JFD393277 JFD458736:JFD458813 JFD524272:JFD524349 JFD589808:JFD589885 JFD655344:JFD655421 JFD720880:JFD720957 JFD786416:JFD786493 JFD851952:JFD852029 JFD917488:JFD917565 JFD983024:JFD983101 JOZ2:JOZ61 JOZ65520:JOZ65597 JOZ131056:JOZ131133 JOZ196592:JOZ196669 JOZ262128:JOZ262205 JOZ327664:JOZ327741 JOZ393200:JOZ393277 JOZ458736:JOZ458813 JOZ524272:JOZ524349 JOZ589808:JOZ589885 JOZ655344:JOZ655421 JOZ720880:JOZ720957 JOZ786416:JOZ786493 JOZ851952:JOZ852029 JOZ917488:JOZ917565 JOZ983024:JOZ983101 JYV2:JYV61 JYV65520:JYV65597 JYV131056:JYV131133 JYV196592:JYV196669 JYV262128:JYV262205 JYV327664:JYV327741 JYV393200:JYV393277 JYV458736:JYV458813 JYV524272:JYV524349 JYV589808:JYV589885 JYV655344:JYV655421 JYV720880:JYV720957 JYV786416:JYV786493 JYV851952:JYV852029 JYV917488:JYV917565 JYV983024:JYV983101 KIR2:KIR61 KIR65520:KIR65597 KIR131056:KIR131133 KIR196592:KIR196669 KIR262128:KIR262205 KIR327664:KIR327741 KIR393200:KIR393277 KIR458736:KIR458813 KIR524272:KIR524349 KIR589808:KIR589885 KIR655344:KIR655421 KIR720880:KIR720957 KIR786416:KIR786493 KIR851952:KIR852029 KIR917488:KIR917565 KIR983024:KIR983101 KSN2:KSN61 KSN65520:KSN65597 KSN131056:KSN131133 KSN196592:KSN196669 KSN262128:KSN262205 KSN327664:KSN327741 KSN393200:KSN393277 KSN458736:KSN458813 KSN524272:KSN524349 KSN589808:KSN589885 KSN655344:KSN655421 KSN720880:KSN720957 KSN786416:KSN786493 KSN851952:KSN852029 KSN917488:KSN917565 KSN983024:KSN983101 LCJ2:LCJ61 LCJ65520:LCJ65597 LCJ131056:LCJ131133 LCJ196592:LCJ196669 LCJ262128:LCJ262205 LCJ327664:LCJ327741 LCJ393200:LCJ393277 LCJ458736:LCJ458813 LCJ524272:LCJ524349 LCJ589808:LCJ589885 LCJ655344:LCJ655421 LCJ720880:LCJ720957 LCJ786416:LCJ786493 LCJ851952:LCJ852029 LCJ917488:LCJ917565 LCJ983024:LCJ983101 LMF2:LMF61 LMF65520:LMF65597 LMF131056:LMF131133 LMF196592:LMF196669 LMF262128:LMF262205 LMF327664:LMF327741 LMF393200:LMF393277 LMF458736:LMF458813 LMF524272:LMF524349 LMF589808:LMF589885 LMF655344:LMF655421 LMF720880:LMF720957 LMF786416:LMF786493 LMF851952:LMF852029 LMF917488:LMF917565 LMF983024:LMF983101 LWB2:LWB61 LWB65520:LWB65597 LWB131056:LWB131133 LWB196592:LWB196669 LWB262128:LWB262205 LWB327664:LWB327741 LWB393200:LWB393277 LWB458736:LWB458813 LWB524272:LWB524349 LWB589808:LWB589885 LWB655344:LWB655421 LWB720880:LWB720957 LWB786416:LWB786493 LWB851952:LWB852029 LWB917488:LWB917565 LWB983024:LWB983101 MFX2:MFX61 MFX65520:MFX65597 MFX131056:MFX131133 MFX196592:MFX196669 MFX262128:MFX262205 MFX327664:MFX327741 MFX393200:MFX393277 MFX458736:MFX458813 MFX524272:MFX524349 MFX589808:MFX589885 MFX655344:MFX655421 MFX720880:MFX720957 MFX786416:MFX786493 MFX851952:MFX852029 MFX917488:MFX917565 MFX983024:MFX983101 MPT2:MPT61 MPT65520:MPT65597 MPT131056:MPT131133 MPT196592:MPT196669 MPT262128:MPT262205 MPT327664:MPT327741 MPT393200:MPT393277 MPT458736:MPT458813 MPT524272:MPT524349 MPT589808:MPT589885 MPT655344:MPT655421 MPT720880:MPT720957 MPT786416:MPT786493 MPT851952:MPT852029 MPT917488:MPT917565 MPT983024:MPT983101 MZP2:MZP61 MZP65520:MZP65597 MZP131056:MZP131133 MZP196592:MZP196669 MZP262128:MZP262205 MZP327664:MZP327741 MZP393200:MZP393277 MZP458736:MZP458813 MZP524272:MZP524349 MZP589808:MZP589885 MZP655344:MZP655421 MZP720880:MZP720957 MZP786416:MZP786493 MZP851952:MZP852029 MZP917488:MZP917565 MZP983024:MZP983101 NJL2:NJL61 NJL65520:NJL65597 NJL131056:NJL131133 NJL196592:NJL196669 NJL262128:NJL262205 NJL327664:NJL327741 NJL393200:NJL393277 NJL458736:NJL458813 NJL524272:NJL524349 NJL589808:NJL589885 NJL655344:NJL655421 NJL720880:NJL720957 NJL786416:NJL786493 NJL851952:NJL852029 NJL917488:NJL917565 NJL983024:NJL983101 NTH2:NTH61 NTH65520:NTH65597 NTH131056:NTH131133 NTH196592:NTH196669 NTH262128:NTH262205 NTH327664:NTH327741 NTH393200:NTH393277 NTH458736:NTH458813 NTH524272:NTH524349 NTH589808:NTH589885 NTH655344:NTH655421 NTH720880:NTH720957 NTH786416:NTH786493 NTH851952:NTH852029 NTH917488:NTH917565 NTH983024:NTH983101 ODD2:ODD61 ODD65520:ODD65597 ODD131056:ODD131133 ODD196592:ODD196669 ODD262128:ODD262205 ODD327664:ODD327741 ODD393200:ODD393277 ODD458736:ODD458813 ODD524272:ODD524349 ODD589808:ODD589885 ODD655344:ODD655421 ODD720880:ODD720957 ODD786416:ODD786493 ODD851952:ODD852029 ODD917488:ODD917565 ODD983024:ODD983101 OMZ2:OMZ61 OMZ65520:OMZ65597 OMZ131056:OMZ131133 OMZ196592:OMZ196669 OMZ262128:OMZ262205 OMZ327664:OMZ327741 OMZ393200:OMZ393277 OMZ458736:OMZ458813 OMZ524272:OMZ524349 OMZ589808:OMZ589885 OMZ655344:OMZ655421 OMZ720880:OMZ720957 OMZ786416:OMZ786493 OMZ851952:OMZ852029 OMZ917488:OMZ917565 OMZ983024:OMZ983101 OWV2:OWV61 OWV65520:OWV65597 OWV131056:OWV131133 OWV196592:OWV196669 OWV262128:OWV262205 OWV327664:OWV327741 OWV393200:OWV393277 OWV458736:OWV458813 OWV524272:OWV524349 OWV589808:OWV589885 OWV655344:OWV655421 OWV720880:OWV720957 OWV786416:OWV786493 OWV851952:OWV852029 OWV917488:OWV917565 OWV983024:OWV983101 PGR2:PGR61 PGR65520:PGR65597 PGR131056:PGR131133 PGR196592:PGR196669 PGR262128:PGR262205 PGR327664:PGR327741 PGR393200:PGR393277 PGR458736:PGR458813 PGR524272:PGR524349 PGR589808:PGR589885 PGR655344:PGR655421 PGR720880:PGR720957 PGR786416:PGR786493 PGR851952:PGR852029 PGR917488:PGR917565 PGR983024:PGR983101 PQN2:PQN61 PQN65520:PQN65597 PQN131056:PQN131133 PQN196592:PQN196669 PQN262128:PQN262205 PQN327664:PQN327741 PQN393200:PQN393277 PQN458736:PQN458813 PQN524272:PQN524349 PQN589808:PQN589885 PQN655344:PQN655421 PQN720880:PQN720957 PQN786416:PQN786493 PQN851952:PQN852029 PQN917488:PQN917565 PQN983024:PQN983101 QAJ2:QAJ61 QAJ65520:QAJ65597 QAJ131056:QAJ131133 QAJ196592:QAJ196669 QAJ262128:QAJ262205 QAJ327664:QAJ327741 QAJ393200:QAJ393277 QAJ458736:QAJ458813 QAJ524272:QAJ524349 QAJ589808:QAJ589885 QAJ655344:QAJ655421 QAJ720880:QAJ720957 QAJ786416:QAJ786493 QAJ851952:QAJ852029 QAJ917488:QAJ917565 QAJ983024:QAJ983101 QKF2:QKF61 QKF65520:QKF65597 QKF131056:QKF131133 QKF196592:QKF196669 QKF262128:QKF262205 QKF327664:QKF327741 QKF393200:QKF393277 QKF458736:QKF458813 QKF524272:QKF524349 QKF589808:QKF589885 QKF655344:QKF655421 QKF720880:QKF720957 QKF786416:QKF786493 QKF851952:QKF852029 QKF917488:QKF917565 QKF983024:QKF983101 QUB2:QUB61 QUB65520:QUB65597 QUB131056:QUB131133 QUB196592:QUB196669 QUB262128:QUB262205 QUB327664:QUB327741 QUB393200:QUB393277 QUB458736:QUB458813 QUB524272:QUB524349 QUB589808:QUB589885 QUB655344:QUB655421 QUB720880:QUB720957 QUB786416:QUB786493 QUB851952:QUB852029 QUB917488:QUB917565 QUB983024:QUB983101 RDX2:RDX61 RDX65520:RDX65597 RDX131056:RDX131133 RDX196592:RDX196669 RDX262128:RDX262205 RDX327664:RDX327741 RDX393200:RDX393277 RDX458736:RDX458813 RDX524272:RDX524349 RDX589808:RDX589885 RDX655344:RDX655421 RDX720880:RDX720957 RDX786416:RDX786493 RDX851952:RDX852029 RDX917488:RDX917565 RDX983024:RDX983101 RNT2:RNT61 RNT65520:RNT65597 RNT131056:RNT131133 RNT196592:RNT196669 RNT262128:RNT262205 RNT327664:RNT327741 RNT393200:RNT393277 RNT458736:RNT458813 RNT524272:RNT524349 RNT589808:RNT589885 RNT655344:RNT655421 RNT720880:RNT720957 RNT786416:RNT786493 RNT851952:RNT852029 RNT917488:RNT917565 RNT983024:RNT983101 RXP2:RXP61 RXP65520:RXP65597 RXP131056:RXP131133 RXP196592:RXP196669 RXP262128:RXP262205 RXP327664:RXP327741 RXP393200:RXP393277 RXP458736:RXP458813 RXP524272:RXP524349 RXP589808:RXP589885 RXP655344:RXP655421 RXP720880:RXP720957 RXP786416:RXP786493 RXP851952:RXP852029 RXP917488:RXP917565 RXP983024:RXP983101 SHL2:SHL61 SHL65520:SHL65597 SHL131056:SHL131133 SHL196592:SHL196669 SHL262128:SHL262205 SHL327664:SHL327741 SHL393200:SHL393277 SHL458736:SHL458813 SHL524272:SHL524349 SHL589808:SHL589885 SHL655344:SHL655421 SHL720880:SHL720957 SHL786416:SHL786493 SHL851952:SHL852029 SHL917488:SHL917565 SHL983024:SHL983101 SRH2:SRH61 SRH65520:SRH65597 SRH131056:SRH131133 SRH196592:SRH196669 SRH262128:SRH262205 SRH327664:SRH327741 SRH393200:SRH393277 SRH458736:SRH458813 SRH524272:SRH524349 SRH589808:SRH589885 SRH655344:SRH655421 SRH720880:SRH720957 SRH786416:SRH786493 SRH851952:SRH852029 SRH917488:SRH917565 SRH983024:SRH983101 TBD2:TBD61 TBD65520:TBD65597 TBD131056:TBD131133 TBD196592:TBD196669 TBD262128:TBD262205 TBD327664:TBD327741 TBD393200:TBD393277 TBD458736:TBD458813 TBD524272:TBD524349 TBD589808:TBD589885 TBD655344:TBD655421 TBD720880:TBD720957 TBD786416:TBD786493 TBD851952:TBD852029 TBD917488:TBD917565 TBD983024:TBD983101 TKZ2:TKZ61 TKZ65520:TKZ65597 TKZ131056:TKZ131133 TKZ196592:TKZ196669 TKZ262128:TKZ262205 TKZ327664:TKZ327741 TKZ393200:TKZ393277 TKZ458736:TKZ458813 TKZ524272:TKZ524349 TKZ589808:TKZ589885 TKZ655344:TKZ655421 TKZ720880:TKZ720957 TKZ786416:TKZ786493 TKZ851952:TKZ852029 TKZ917488:TKZ917565 TKZ983024:TKZ983101 TUV2:TUV61 TUV65520:TUV65597 TUV131056:TUV131133 TUV196592:TUV196669 TUV262128:TUV262205 TUV327664:TUV327741 TUV393200:TUV393277 TUV458736:TUV458813 TUV524272:TUV524349 TUV589808:TUV589885 TUV655344:TUV655421 TUV720880:TUV720957 TUV786416:TUV786493 TUV851952:TUV852029 TUV917488:TUV917565 TUV983024:TUV983101 UER2:UER61 UER65520:UER65597 UER131056:UER131133 UER196592:UER196669 UER262128:UER262205 UER327664:UER327741 UER393200:UER393277 UER458736:UER458813 UER524272:UER524349 UER589808:UER589885 UER655344:UER655421 UER720880:UER720957 UER786416:UER786493 UER851952:UER852029 UER917488:UER917565 UER983024:UER983101 UON2:UON61 UON65520:UON65597 UON131056:UON131133 UON196592:UON196669 UON262128:UON262205 UON327664:UON327741 UON393200:UON393277 UON458736:UON458813 UON524272:UON524349 UON589808:UON589885 UON655344:UON655421 UON720880:UON720957 UON786416:UON786493 UON851952:UON852029 UON917488:UON917565 UON983024:UON983101 UYJ2:UYJ61 UYJ65520:UYJ65597 UYJ131056:UYJ131133 UYJ196592:UYJ196669 UYJ262128:UYJ262205 UYJ327664:UYJ327741 UYJ393200:UYJ393277 UYJ458736:UYJ458813 UYJ524272:UYJ524349 UYJ589808:UYJ589885 UYJ655344:UYJ655421 UYJ720880:UYJ720957 UYJ786416:UYJ786493 UYJ851952:UYJ852029 UYJ917488:UYJ917565 UYJ983024:UYJ983101 VIF2:VIF61 VIF65520:VIF65597 VIF131056:VIF131133 VIF196592:VIF196669 VIF262128:VIF262205 VIF327664:VIF327741 VIF393200:VIF393277 VIF458736:VIF458813 VIF524272:VIF524349 VIF589808:VIF589885 VIF655344:VIF655421 VIF720880:VIF720957 VIF786416:VIF786493 VIF851952:VIF852029 VIF917488:VIF917565 VIF983024:VIF983101 VSB2:VSB61 VSB65520:VSB65597 VSB131056:VSB131133 VSB196592:VSB196669 VSB262128:VSB262205 VSB327664:VSB327741 VSB393200:VSB393277 VSB458736:VSB458813 VSB524272:VSB524349 VSB589808:VSB589885 VSB655344:VSB655421 VSB720880:VSB720957 VSB786416:VSB786493 VSB851952:VSB852029 VSB917488:VSB917565 VSB983024:VSB983101 WBX2:WBX61 WBX65520:WBX65597 WBX131056:WBX131133 WBX196592:WBX196669 WBX262128:WBX262205 WBX327664:WBX327741 WBX393200:WBX393277 WBX458736:WBX458813 WBX524272:WBX524349 WBX589808:WBX589885 WBX655344:WBX655421 WBX720880:WBX720957 WBX786416:WBX786493 WBX851952:WBX852029 WBX917488:WBX917565 WBX983024:WBX983101 WLT2:WLT61 WLT65520:WLT65597 WLT131056:WLT131133 WLT196592:WLT196669 WLT262128:WLT262205 WLT327664:WLT327741 WLT393200:WLT393277 WLT458736:WLT458813 WLT524272:WLT524349 WLT589808:WLT589885 WLT655344:WLT655421 WLT720880:WLT720957 WLT786416:WLT786493 WLT851952:WLT852029 WLT917488:WLT917565 WLT983024:WLT983101 WVP2:WVP61 WVP65520:WVP65597 WVP131056:WVP131133 WVP196592:WVP196669 WVP262128:WVP262205 WVP327664:WVP327741 WVP393200:WVP393277 WVP458736:WVP458813 WVP524272:WVP524349 WVP589808:WVP589885 WVP655344:WVP655421 WVP720880:WVP720957 WVP786416:WVP786493 WVP851952:WVP852029 WVP917488:WVP917565 WVP983024:WVP983101">
      <formula1>$AL$4:$AL$10</formula1>
    </dataValidation>
    <dataValidation type="list" allowBlank="1" showInputMessage="1" showErrorMessage="1" sqref="I2:I482 I65520:I65597 I131056:I131133 I196592:I196669 I262128:I262205 I327664:I327741 I393200:I393277 I458736:I458813 I524272:I524349 I589808:I589885 I655344:I655421 I720880:I720957 I786416:I786493 I851952:I852029 I917488:I917565 I983024:I983101 JE2:JE61 JE65520:JE65597 JE131056:JE131133 JE196592:JE196669 JE262128:JE262205 JE327664:JE327741 JE393200:JE393277 JE458736:JE458813 JE524272:JE524349 JE589808:JE589885 JE655344:JE655421 JE720880:JE720957 JE786416:JE786493 JE851952:JE852029 JE917488:JE917565 JE983024:JE983101 TA2:TA61 TA65520:TA65597 TA131056:TA131133 TA196592:TA196669 TA262128:TA262205 TA327664:TA327741 TA393200:TA393277 TA458736:TA458813 TA524272:TA524349 TA589808:TA589885 TA655344:TA655421 TA720880:TA720957 TA786416:TA786493 TA851952:TA852029 TA917488:TA917565 TA983024:TA983101 ACW2:ACW61 ACW65520:ACW65597 ACW131056:ACW131133 ACW196592:ACW196669 ACW262128:ACW262205 ACW327664:ACW327741 ACW393200:ACW393277 ACW458736:ACW458813 ACW524272:ACW524349 ACW589808:ACW589885 ACW655344:ACW655421 ACW720880:ACW720957 ACW786416:ACW786493 ACW851952:ACW852029 ACW917488:ACW917565 ACW983024:ACW983101 AMS2:AMS61 AMS65520:AMS65597 AMS131056:AMS131133 AMS196592:AMS196669 AMS262128:AMS262205 AMS327664:AMS327741 AMS393200:AMS393277 AMS458736:AMS458813 AMS524272:AMS524349 AMS589808:AMS589885 AMS655344:AMS655421 AMS720880:AMS720957 AMS786416:AMS786493 AMS851952:AMS852029 AMS917488:AMS917565 AMS983024:AMS983101 AWO2:AWO61 AWO65520:AWO65597 AWO131056:AWO131133 AWO196592:AWO196669 AWO262128:AWO262205 AWO327664:AWO327741 AWO393200:AWO393277 AWO458736:AWO458813 AWO524272:AWO524349 AWO589808:AWO589885 AWO655344:AWO655421 AWO720880:AWO720957 AWO786416:AWO786493 AWO851952:AWO852029 AWO917488:AWO917565 AWO983024:AWO983101 BGK2:BGK61 BGK65520:BGK65597 BGK131056:BGK131133 BGK196592:BGK196669 BGK262128:BGK262205 BGK327664:BGK327741 BGK393200:BGK393277 BGK458736:BGK458813 BGK524272:BGK524349 BGK589808:BGK589885 BGK655344:BGK655421 BGK720880:BGK720957 BGK786416:BGK786493 BGK851952:BGK852029 BGK917488:BGK917565 BGK983024:BGK983101 BQG2:BQG61 BQG65520:BQG65597 BQG131056:BQG131133 BQG196592:BQG196669 BQG262128:BQG262205 BQG327664:BQG327741 BQG393200:BQG393277 BQG458736:BQG458813 BQG524272:BQG524349 BQG589808:BQG589885 BQG655344:BQG655421 BQG720880:BQG720957 BQG786416:BQG786493 BQG851952:BQG852029 BQG917488:BQG917565 BQG983024:BQG983101 CAC2:CAC61 CAC65520:CAC65597 CAC131056:CAC131133 CAC196592:CAC196669 CAC262128:CAC262205 CAC327664:CAC327741 CAC393200:CAC393277 CAC458736:CAC458813 CAC524272:CAC524349 CAC589808:CAC589885 CAC655344:CAC655421 CAC720880:CAC720957 CAC786416:CAC786493 CAC851952:CAC852029 CAC917488:CAC917565 CAC983024:CAC983101 CJY2:CJY61 CJY65520:CJY65597 CJY131056:CJY131133 CJY196592:CJY196669 CJY262128:CJY262205 CJY327664:CJY327741 CJY393200:CJY393277 CJY458736:CJY458813 CJY524272:CJY524349 CJY589808:CJY589885 CJY655344:CJY655421 CJY720880:CJY720957 CJY786416:CJY786493 CJY851952:CJY852029 CJY917488:CJY917565 CJY983024:CJY983101 CTU2:CTU61 CTU65520:CTU65597 CTU131056:CTU131133 CTU196592:CTU196669 CTU262128:CTU262205 CTU327664:CTU327741 CTU393200:CTU393277 CTU458736:CTU458813 CTU524272:CTU524349 CTU589808:CTU589885 CTU655344:CTU655421 CTU720880:CTU720957 CTU786416:CTU786493 CTU851952:CTU852029 CTU917488:CTU917565 CTU983024:CTU983101 DDQ2:DDQ61 DDQ65520:DDQ65597 DDQ131056:DDQ131133 DDQ196592:DDQ196669 DDQ262128:DDQ262205 DDQ327664:DDQ327741 DDQ393200:DDQ393277 DDQ458736:DDQ458813 DDQ524272:DDQ524349 DDQ589808:DDQ589885 DDQ655344:DDQ655421 DDQ720880:DDQ720957 DDQ786416:DDQ786493 DDQ851952:DDQ852029 DDQ917488:DDQ917565 DDQ983024:DDQ983101 DNM2:DNM61 DNM65520:DNM65597 DNM131056:DNM131133 DNM196592:DNM196669 DNM262128:DNM262205 DNM327664:DNM327741 DNM393200:DNM393277 DNM458736:DNM458813 DNM524272:DNM524349 DNM589808:DNM589885 DNM655344:DNM655421 DNM720880:DNM720957 DNM786416:DNM786493 DNM851952:DNM852029 DNM917488:DNM917565 DNM983024:DNM983101 DXI2:DXI61 DXI65520:DXI65597 DXI131056:DXI131133 DXI196592:DXI196669 DXI262128:DXI262205 DXI327664:DXI327741 DXI393200:DXI393277 DXI458736:DXI458813 DXI524272:DXI524349 DXI589808:DXI589885 DXI655344:DXI655421 DXI720880:DXI720957 DXI786416:DXI786493 DXI851952:DXI852029 DXI917488:DXI917565 DXI983024:DXI983101 EHE2:EHE61 EHE65520:EHE65597 EHE131056:EHE131133 EHE196592:EHE196669 EHE262128:EHE262205 EHE327664:EHE327741 EHE393200:EHE393277 EHE458736:EHE458813 EHE524272:EHE524349 EHE589808:EHE589885 EHE655344:EHE655421 EHE720880:EHE720957 EHE786416:EHE786493 EHE851952:EHE852029 EHE917488:EHE917565 EHE983024:EHE983101 ERA2:ERA61 ERA65520:ERA65597 ERA131056:ERA131133 ERA196592:ERA196669 ERA262128:ERA262205 ERA327664:ERA327741 ERA393200:ERA393277 ERA458736:ERA458813 ERA524272:ERA524349 ERA589808:ERA589885 ERA655344:ERA655421 ERA720880:ERA720957 ERA786416:ERA786493 ERA851952:ERA852029 ERA917488:ERA917565 ERA983024:ERA983101 FAW2:FAW61 FAW65520:FAW65597 FAW131056:FAW131133 FAW196592:FAW196669 FAW262128:FAW262205 FAW327664:FAW327741 FAW393200:FAW393277 FAW458736:FAW458813 FAW524272:FAW524349 FAW589808:FAW589885 FAW655344:FAW655421 FAW720880:FAW720957 FAW786416:FAW786493 FAW851952:FAW852029 FAW917488:FAW917565 FAW983024:FAW983101 FKS2:FKS61 FKS65520:FKS65597 FKS131056:FKS131133 FKS196592:FKS196669 FKS262128:FKS262205 FKS327664:FKS327741 FKS393200:FKS393277 FKS458736:FKS458813 FKS524272:FKS524349 FKS589808:FKS589885 FKS655344:FKS655421 FKS720880:FKS720957 FKS786416:FKS786493 FKS851952:FKS852029 FKS917488:FKS917565 FKS983024:FKS983101 FUO2:FUO61 FUO65520:FUO65597 FUO131056:FUO131133 FUO196592:FUO196669 FUO262128:FUO262205 FUO327664:FUO327741 FUO393200:FUO393277 FUO458736:FUO458813 FUO524272:FUO524349 FUO589808:FUO589885 FUO655344:FUO655421 FUO720880:FUO720957 FUO786416:FUO786493 FUO851952:FUO852029 FUO917488:FUO917565 FUO983024:FUO983101 GEK2:GEK61 GEK65520:GEK65597 GEK131056:GEK131133 GEK196592:GEK196669 GEK262128:GEK262205 GEK327664:GEK327741 GEK393200:GEK393277 GEK458736:GEK458813 GEK524272:GEK524349 GEK589808:GEK589885 GEK655344:GEK655421 GEK720880:GEK720957 GEK786416:GEK786493 GEK851952:GEK852029 GEK917488:GEK917565 GEK983024:GEK983101 GOG2:GOG61 GOG65520:GOG65597 GOG131056:GOG131133 GOG196592:GOG196669 GOG262128:GOG262205 GOG327664:GOG327741 GOG393200:GOG393277 GOG458736:GOG458813 GOG524272:GOG524349 GOG589808:GOG589885 GOG655344:GOG655421 GOG720880:GOG720957 GOG786416:GOG786493 GOG851952:GOG852029 GOG917488:GOG917565 GOG983024:GOG983101 GYC2:GYC61 GYC65520:GYC65597 GYC131056:GYC131133 GYC196592:GYC196669 GYC262128:GYC262205 GYC327664:GYC327741 GYC393200:GYC393277 GYC458736:GYC458813 GYC524272:GYC524349 GYC589808:GYC589885 GYC655344:GYC655421 GYC720880:GYC720957 GYC786416:GYC786493 GYC851952:GYC852029 GYC917488:GYC917565 GYC983024:GYC983101 HHY2:HHY61 HHY65520:HHY65597 HHY131056:HHY131133 HHY196592:HHY196669 HHY262128:HHY262205 HHY327664:HHY327741 HHY393200:HHY393277 HHY458736:HHY458813 HHY524272:HHY524349 HHY589808:HHY589885 HHY655344:HHY655421 HHY720880:HHY720957 HHY786416:HHY786493 HHY851952:HHY852029 HHY917488:HHY917565 HHY983024:HHY983101 HRU2:HRU61 HRU65520:HRU65597 HRU131056:HRU131133 HRU196592:HRU196669 HRU262128:HRU262205 HRU327664:HRU327741 HRU393200:HRU393277 HRU458736:HRU458813 HRU524272:HRU524349 HRU589808:HRU589885 HRU655344:HRU655421 HRU720880:HRU720957 HRU786416:HRU786493 HRU851952:HRU852029 HRU917488:HRU917565 HRU983024:HRU983101 IBQ2:IBQ61 IBQ65520:IBQ65597 IBQ131056:IBQ131133 IBQ196592:IBQ196669 IBQ262128:IBQ262205 IBQ327664:IBQ327741 IBQ393200:IBQ393277 IBQ458736:IBQ458813 IBQ524272:IBQ524349 IBQ589808:IBQ589885 IBQ655344:IBQ655421 IBQ720880:IBQ720957 IBQ786416:IBQ786493 IBQ851952:IBQ852029 IBQ917488:IBQ917565 IBQ983024:IBQ983101 ILM2:ILM61 ILM65520:ILM65597 ILM131056:ILM131133 ILM196592:ILM196669 ILM262128:ILM262205 ILM327664:ILM327741 ILM393200:ILM393277 ILM458736:ILM458813 ILM524272:ILM524349 ILM589808:ILM589885 ILM655344:ILM655421 ILM720880:ILM720957 ILM786416:ILM786493 ILM851952:ILM852029 ILM917488:ILM917565 ILM983024:ILM983101 IVI2:IVI61 IVI65520:IVI65597 IVI131056:IVI131133 IVI196592:IVI196669 IVI262128:IVI262205 IVI327664:IVI327741 IVI393200:IVI393277 IVI458736:IVI458813 IVI524272:IVI524349 IVI589808:IVI589885 IVI655344:IVI655421 IVI720880:IVI720957 IVI786416:IVI786493 IVI851952:IVI852029 IVI917488:IVI917565 IVI983024:IVI983101 JFE2:JFE61 JFE65520:JFE65597 JFE131056:JFE131133 JFE196592:JFE196669 JFE262128:JFE262205 JFE327664:JFE327741 JFE393200:JFE393277 JFE458736:JFE458813 JFE524272:JFE524349 JFE589808:JFE589885 JFE655344:JFE655421 JFE720880:JFE720957 JFE786416:JFE786493 JFE851952:JFE852029 JFE917488:JFE917565 JFE983024:JFE983101 JPA2:JPA61 JPA65520:JPA65597 JPA131056:JPA131133 JPA196592:JPA196669 JPA262128:JPA262205 JPA327664:JPA327741 JPA393200:JPA393277 JPA458736:JPA458813 JPA524272:JPA524349 JPA589808:JPA589885 JPA655344:JPA655421 JPA720880:JPA720957 JPA786416:JPA786493 JPA851952:JPA852029 JPA917488:JPA917565 JPA983024:JPA983101 JYW2:JYW61 JYW65520:JYW65597 JYW131056:JYW131133 JYW196592:JYW196669 JYW262128:JYW262205 JYW327664:JYW327741 JYW393200:JYW393277 JYW458736:JYW458813 JYW524272:JYW524349 JYW589808:JYW589885 JYW655344:JYW655421 JYW720880:JYW720957 JYW786416:JYW786493 JYW851952:JYW852029 JYW917488:JYW917565 JYW983024:JYW983101 KIS2:KIS61 KIS65520:KIS65597 KIS131056:KIS131133 KIS196592:KIS196669 KIS262128:KIS262205 KIS327664:KIS327741 KIS393200:KIS393277 KIS458736:KIS458813 KIS524272:KIS524349 KIS589808:KIS589885 KIS655344:KIS655421 KIS720880:KIS720957 KIS786416:KIS786493 KIS851952:KIS852029 KIS917488:KIS917565 KIS983024:KIS983101 KSO2:KSO61 KSO65520:KSO65597 KSO131056:KSO131133 KSO196592:KSO196669 KSO262128:KSO262205 KSO327664:KSO327741 KSO393200:KSO393277 KSO458736:KSO458813 KSO524272:KSO524349 KSO589808:KSO589885 KSO655344:KSO655421 KSO720880:KSO720957 KSO786416:KSO786493 KSO851952:KSO852029 KSO917488:KSO917565 KSO983024:KSO983101 LCK2:LCK61 LCK65520:LCK65597 LCK131056:LCK131133 LCK196592:LCK196669 LCK262128:LCK262205 LCK327664:LCK327741 LCK393200:LCK393277 LCK458736:LCK458813 LCK524272:LCK524349 LCK589808:LCK589885 LCK655344:LCK655421 LCK720880:LCK720957 LCK786416:LCK786493 LCK851952:LCK852029 LCK917488:LCK917565 LCK983024:LCK983101 LMG2:LMG61 LMG65520:LMG65597 LMG131056:LMG131133 LMG196592:LMG196669 LMG262128:LMG262205 LMG327664:LMG327741 LMG393200:LMG393277 LMG458736:LMG458813 LMG524272:LMG524349 LMG589808:LMG589885 LMG655344:LMG655421 LMG720880:LMG720957 LMG786416:LMG786493 LMG851952:LMG852029 LMG917488:LMG917565 LMG983024:LMG983101 LWC2:LWC61 LWC65520:LWC65597 LWC131056:LWC131133 LWC196592:LWC196669 LWC262128:LWC262205 LWC327664:LWC327741 LWC393200:LWC393277 LWC458736:LWC458813 LWC524272:LWC524349 LWC589808:LWC589885 LWC655344:LWC655421 LWC720880:LWC720957 LWC786416:LWC786493 LWC851952:LWC852029 LWC917488:LWC917565 LWC983024:LWC983101 MFY2:MFY61 MFY65520:MFY65597 MFY131056:MFY131133 MFY196592:MFY196669 MFY262128:MFY262205 MFY327664:MFY327741 MFY393200:MFY393277 MFY458736:MFY458813 MFY524272:MFY524349 MFY589808:MFY589885 MFY655344:MFY655421 MFY720880:MFY720957 MFY786416:MFY786493 MFY851952:MFY852029 MFY917488:MFY917565 MFY983024:MFY983101 MPU2:MPU61 MPU65520:MPU65597 MPU131056:MPU131133 MPU196592:MPU196669 MPU262128:MPU262205 MPU327664:MPU327741 MPU393200:MPU393277 MPU458736:MPU458813 MPU524272:MPU524349 MPU589808:MPU589885 MPU655344:MPU655421 MPU720880:MPU720957 MPU786416:MPU786493 MPU851952:MPU852029 MPU917488:MPU917565 MPU983024:MPU983101 MZQ2:MZQ61 MZQ65520:MZQ65597 MZQ131056:MZQ131133 MZQ196592:MZQ196669 MZQ262128:MZQ262205 MZQ327664:MZQ327741 MZQ393200:MZQ393277 MZQ458736:MZQ458813 MZQ524272:MZQ524349 MZQ589808:MZQ589885 MZQ655344:MZQ655421 MZQ720880:MZQ720957 MZQ786416:MZQ786493 MZQ851952:MZQ852029 MZQ917488:MZQ917565 MZQ983024:MZQ983101 NJM2:NJM61 NJM65520:NJM65597 NJM131056:NJM131133 NJM196592:NJM196669 NJM262128:NJM262205 NJM327664:NJM327741 NJM393200:NJM393277 NJM458736:NJM458813 NJM524272:NJM524349 NJM589808:NJM589885 NJM655344:NJM655421 NJM720880:NJM720957 NJM786416:NJM786493 NJM851952:NJM852029 NJM917488:NJM917565 NJM983024:NJM983101 NTI2:NTI61 NTI65520:NTI65597 NTI131056:NTI131133 NTI196592:NTI196669 NTI262128:NTI262205 NTI327664:NTI327741 NTI393200:NTI393277 NTI458736:NTI458813 NTI524272:NTI524349 NTI589808:NTI589885 NTI655344:NTI655421 NTI720880:NTI720957 NTI786416:NTI786493 NTI851952:NTI852029 NTI917488:NTI917565 NTI983024:NTI983101 ODE2:ODE61 ODE65520:ODE65597 ODE131056:ODE131133 ODE196592:ODE196669 ODE262128:ODE262205 ODE327664:ODE327741 ODE393200:ODE393277 ODE458736:ODE458813 ODE524272:ODE524349 ODE589808:ODE589885 ODE655344:ODE655421 ODE720880:ODE720957 ODE786416:ODE786493 ODE851952:ODE852029 ODE917488:ODE917565 ODE983024:ODE983101 ONA2:ONA61 ONA65520:ONA65597 ONA131056:ONA131133 ONA196592:ONA196669 ONA262128:ONA262205 ONA327664:ONA327741 ONA393200:ONA393277 ONA458736:ONA458813 ONA524272:ONA524349 ONA589808:ONA589885 ONA655344:ONA655421 ONA720880:ONA720957 ONA786416:ONA786493 ONA851952:ONA852029 ONA917488:ONA917565 ONA983024:ONA983101 OWW2:OWW61 OWW65520:OWW65597 OWW131056:OWW131133 OWW196592:OWW196669 OWW262128:OWW262205 OWW327664:OWW327741 OWW393200:OWW393277 OWW458736:OWW458813 OWW524272:OWW524349 OWW589808:OWW589885 OWW655344:OWW655421 OWW720880:OWW720957 OWW786416:OWW786493 OWW851952:OWW852029 OWW917488:OWW917565 OWW983024:OWW983101 PGS2:PGS61 PGS65520:PGS65597 PGS131056:PGS131133 PGS196592:PGS196669 PGS262128:PGS262205 PGS327664:PGS327741 PGS393200:PGS393277 PGS458736:PGS458813 PGS524272:PGS524349 PGS589808:PGS589885 PGS655344:PGS655421 PGS720880:PGS720957 PGS786416:PGS786493 PGS851952:PGS852029 PGS917488:PGS917565 PGS983024:PGS983101 PQO2:PQO61 PQO65520:PQO65597 PQO131056:PQO131133 PQO196592:PQO196669 PQO262128:PQO262205 PQO327664:PQO327741 PQO393200:PQO393277 PQO458736:PQO458813 PQO524272:PQO524349 PQO589808:PQO589885 PQO655344:PQO655421 PQO720880:PQO720957 PQO786416:PQO786493 PQO851952:PQO852029 PQO917488:PQO917565 PQO983024:PQO983101 QAK2:QAK61 QAK65520:QAK65597 QAK131056:QAK131133 QAK196592:QAK196669 QAK262128:QAK262205 QAK327664:QAK327741 QAK393200:QAK393277 QAK458736:QAK458813 QAK524272:QAK524349 QAK589808:QAK589885 QAK655344:QAK655421 QAK720880:QAK720957 QAK786416:QAK786493 QAK851952:QAK852029 QAK917488:QAK917565 QAK983024:QAK983101 QKG2:QKG61 QKG65520:QKG65597 QKG131056:QKG131133 QKG196592:QKG196669 QKG262128:QKG262205 QKG327664:QKG327741 QKG393200:QKG393277 QKG458736:QKG458813 QKG524272:QKG524349 QKG589808:QKG589885 QKG655344:QKG655421 QKG720880:QKG720957 QKG786416:QKG786493 QKG851952:QKG852029 QKG917488:QKG917565 QKG983024:QKG983101 QUC2:QUC61 QUC65520:QUC65597 QUC131056:QUC131133 QUC196592:QUC196669 QUC262128:QUC262205 QUC327664:QUC327741 QUC393200:QUC393277 QUC458736:QUC458813 QUC524272:QUC524349 QUC589808:QUC589885 QUC655344:QUC655421 QUC720880:QUC720957 QUC786416:QUC786493 QUC851952:QUC852029 QUC917488:QUC917565 QUC983024:QUC983101 RDY2:RDY61 RDY65520:RDY65597 RDY131056:RDY131133 RDY196592:RDY196669 RDY262128:RDY262205 RDY327664:RDY327741 RDY393200:RDY393277 RDY458736:RDY458813 RDY524272:RDY524349 RDY589808:RDY589885 RDY655344:RDY655421 RDY720880:RDY720957 RDY786416:RDY786493 RDY851952:RDY852029 RDY917488:RDY917565 RDY983024:RDY983101 RNU2:RNU61 RNU65520:RNU65597 RNU131056:RNU131133 RNU196592:RNU196669 RNU262128:RNU262205 RNU327664:RNU327741 RNU393200:RNU393277 RNU458736:RNU458813 RNU524272:RNU524349 RNU589808:RNU589885 RNU655344:RNU655421 RNU720880:RNU720957 RNU786416:RNU786493 RNU851952:RNU852029 RNU917488:RNU917565 RNU983024:RNU983101 RXQ2:RXQ61 RXQ65520:RXQ65597 RXQ131056:RXQ131133 RXQ196592:RXQ196669 RXQ262128:RXQ262205 RXQ327664:RXQ327741 RXQ393200:RXQ393277 RXQ458736:RXQ458813 RXQ524272:RXQ524349 RXQ589808:RXQ589885 RXQ655344:RXQ655421 RXQ720880:RXQ720957 RXQ786416:RXQ786493 RXQ851952:RXQ852029 RXQ917488:RXQ917565 RXQ983024:RXQ983101 SHM2:SHM61 SHM65520:SHM65597 SHM131056:SHM131133 SHM196592:SHM196669 SHM262128:SHM262205 SHM327664:SHM327741 SHM393200:SHM393277 SHM458736:SHM458813 SHM524272:SHM524349 SHM589808:SHM589885 SHM655344:SHM655421 SHM720880:SHM720957 SHM786416:SHM786493 SHM851952:SHM852029 SHM917488:SHM917565 SHM983024:SHM983101 SRI2:SRI61 SRI65520:SRI65597 SRI131056:SRI131133 SRI196592:SRI196669 SRI262128:SRI262205 SRI327664:SRI327741 SRI393200:SRI393277 SRI458736:SRI458813 SRI524272:SRI524349 SRI589808:SRI589885 SRI655344:SRI655421 SRI720880:SRI720957 SRI786416:SRI786493 SRI851952:SRI852029 SRI917488:SRI917565 SRI983024:SRI983101 TBE2:TBE61 TBE65520:TBE65597 TBE131056:TBE131133 TBE196592:TBE196669 TBE262128:TBE262205 TBE327664:TBE327741 TBE393200:TBE393277 TBE458736:TBE458813 TBE524272:TBE524349 TBE589808:TBE589885 TBE655344:TBE655421 TBE720880:TBE720957 TBE786416:TBE786493 TBE851952:TBE852029 TBE917488:TBE917565 TBE983024:TBE983101 TLA2:TLA61 TLA65520:TLA65597 TLA131056:TLA131133 TLA196592:TLA196669 TLA262128:TLA262205 TLA327664:TLA327741 TLA393200:TLA393277 TLA458736:TLA458813 TLA524272:TLA524349 TLA589808:TLA589885 TLA655344:TLA655421 TLA720880:TLA720957 TLA786416:TLA786493 TLA851952:TLA852029 TLA917488:TLA917565 TLA983024:TLA983101 TUW2:TUW61 TUW65520:TUW65597 TUW131056:TUW131133 TUW196592:TUW196669 TUW262128:TUW262205 TUW327664:TUW327741 TUW393200:TUW393277 TUW458736:TUW458813 TUW524272:TUW524349 TUW589808:TUW589885 TUW655344:TUW655421 TUW720880:TUW720957 TUW786416:TUW786493 TUW851952:TUW852029 TUW917488:TUW917565 TUW983024:TUW983101 UES2:UES61 UES65520:UES65597 UES131056:UES131133 UES196592:UES196669 UES262128:UES262205 UES327664:UES327741 UES393200:UES393277 UES458736:UES458813 UES524272:UES524349 UES589808:UES589885 UES655344:UES655421 UES720880:UES720957 UES786416:UES786493 UES851952:UES852029 UES917488:UES917565 UES983024:UES983101 UOO2:UOO61 UOO65520:UOO65597 UOO131056:UOO131133 UOO196592:UOO196669 UOO262128:UOO262205 UOO327664:UOO327741 UOO393200:UOO393277 UOO458736:UOO458813 UOO524272:UOO524349 UOO589808:UOO589885 UOO655344:UOO655421 UOO720880:UOO720957 UOO786416:UOO786493 UOO851952:UOO852029 UOO917488:UOO917565 UOO983024:UOO983101 UYK2:UYK61 UYK65520:UYK65597 UYK131056:UYK131133 UYK196592:UYK196669 UYK262128:UYK262205 UYK327664:UYK327741 UYK393200:UYK393277 UYK458736:UYK458813 UYK524272:UYK524349 UYK589808:UYK589885 UYK655344:UYK655421 UYK720880:UYK720957 UYK786416:UYK786493 UYK851952:UYK852029 UYK917488:UYK917565 UYK983024:UYK983101 VIG2:VIG61 VIG65520:VIG65597 VIG131056:VIG131133 VIG196592:VIG196669 VIG262128:VIG262205 VIG327664:VIG327741 VIG393200:VIG393277 VIG458736:VIG458813 VIG524272:VIG524349 VIG589808:VIG589885 VIG655344:VIG655421 VIG720880:VIG720957 VIG786416:VIG786493 VIG851952:VIG852029 VIG917488:VIG917565 VIG983024:VIG983101 VSC2:VSC61 VSC65520:VSC65597 VSC131056:VSC131133 VSC196592:VSC196669 VSC262128:VSC262205 VSC327664:VSC327741 VSC393200:VSC393277 VSC458736:VSC458813 VSC524272:VSC524349 VSC589808:VSC589885 VSC655344:VSC655421 VSC720880:VSC720957 VSC786416:VSC786493 VSC851952:VSC852029 VSC917488:VSC917565 VSC983024:VSC983101 WBY2:WBY61 WBY65520:WBY65597 WBY131056:WBY131133 WBY196592:WBY196669 WBY262128:WBY262205 WBY327664:WBY327741 WBY393200:WBY393277 WBY458736:WBY458813 WBY524272:WBY524349 WBY589808:WBY589885 WBY655344:WBY655421 WBY720880:WBY720957 WBY786416:WBY786493 WBY851952:WBY852029 WBY917488:WBY917565 WBY983024:WBY983101 WLU2:WLU61 WLU65520:WLU65597 WLU131056:WLU131133 WLU196592:WLU196669 WLU262128:WLU262205 WLU327664:WLU327741 WLU393200:WLU393277 WLU458736:WLU458813 WLU524272:WLU524349 WLU589808:WLU589885 WLU655344:WLU655421 WLU720880:WLU720957 WLU786416:WLU786493 WLU851952:WLU852029 WLU917488:WLU917565 WLU983024:WLU983101 WVQ2:WVQ61 WVQ65520:WVQ65597 WVQ131056:WVQ131133 WVQ196592:WVQ196669 WVQ262128:WVQ262205 WVQ327664:WVQ327741 WVQ393200:WVQ393277 WVQ458736:WVQ458813 WVQ524272:WVQ524349 WVQ589808:WVQ589885 WVQ655344:WVQ655421 WVQ720880:WVQ720957 WVQ786416:WVQ786493 WVQ851952:WVQ852029 WVQ917488:WVQ917565 WVQ983024:WVQ983101">
      <formula1>#REF!</formula1>
    </dataValidation>
    <dataValidation type="list" allowBlank="1" showInputMessage="1" showErrorMessage="1" sqref="H2:H482">
      <formula1>$AL$2:$AL$8</formula1>
    </dataValidation>
    <dataValidation type="list" allowBlank="1" showInputMessage="1" showErrorMessage="1" sqref="X2:X482 X65520:X65597 X131056:X131133 X196592:X196669 X262128:X262205 X327664:X327741 X393200:X393277 X458736:X458813 X524272:X524349 X589808:X589885 X655344:X655421 X720880:X720957 X786416:X786493 X851952:X852029 X917488:X917565 X983024:X983101 JT2:JT61 JT65520:JT65597 JT131056:JT131133 JT196592:JT196669 JT262128:JT262205 JT327664:JT327741 JT393200:JT393277 JT458736:JT458813 JT524272:JT524349 JT589808:JT589885 JT655344:JT655421 JT720880:JT720957 JT786416:JT786493 JT851952:JT852029 JT917488:JT917565 JT983024:JT983101 TP2:TP61 TP65520:TP65597 TP131056:TP131133 TP196592:TP196669 TP262128:TP262205 TP327664:TP327741 TP393200:TP393277 TP458736:TP458813 TP524272:TP524349 TP589808:TP589885 TP655344:TP655421 TP720880:TP720957 TP786416:TP786493 TP851952:TP852029 TP917488:TP917565 TP983024:TP983101 ADL2:ADL61 ADL65520:ADL65597 ADL131056:ADL131133 ADL196592:ADL196669 ADL262128:ADL262205 ADL327664:ADL327741 ADL393200:ADL393277 ADL458736:ADL458813 ADL524272:ADL524349 ADL589808:ADL589885 ADL655344:ADL655421 ADL720880:ADL720957 ADL786416:ADL786493 ADL851952:ADL852029 ADL917488:ADL917565 ADL983024:ADL983101 ANH2:ANH61 ANH65520:ANH65597 ANH131056:ANH131133 ANH196592:ANH196669 ANH262128:ANH262205 ANH327664:ANH327741 ANH393200:ANH393277 ANH458736:ANH458813 ANH524272:ANH524349 ANH589808:ANH589885 ANH655344:ANH655421 ANH720880:ANH720957 ANH786416:ANH786493 ANH851952:ANH852029 ANH917488:ANH917565 ANH983024:ANH983101 AXD2:AXD61 AXD65520:AXD65597 AXD131056:AXD131133 AXD196592:AXD196669 AXD262128:AXD262205 AXD327664:AXD327741 AXD393200:AXD393277 AXD458736:AXD458813 AXD524272:AXD524349 AXD589808:AXD589885 AXD655344:AXD655421 AXD720880:AXD720957 AXD786416:AXD786493 AXD851952:AXD852029 AXD917488:AXD917565 AXD983024:AXD983101 BGZ2:BGZ61 BGZ65520:BGZ65597 BGZ131056:BGZ131133 BGZ196592:BGZ196669 BGZ262128:BGZ262205 BGZ327664:BGZ327741 BGZ393200:BGZ393277 BGZ458736:BGZ458813 BGZ524272:BGZ524349 BGZ589808:BGZ589885 BGZ655344:BGZ655421 BGZ720880:BGZ720957 BGZ786416:BGZ786493 BGZ851952:BGZ852029 BGZ917488:BGZ917565 BGZ983024:BGZ983101 BQV2:BQV61 BQV65520:BQV65597 BQV131056:BQV131133 BQV196592:BQV196669 BQV262128:BQV262205 BQV327664:BQV327741 BQV393200:BQV393277 BQV458736:BQV458813 BQV524272:BQV524349 BQV589808:BQV589885 BQV655344:BQV655421 BQV720880:BQV720957 BQV786416:BQV786493 BQV851952:BQV852029 BQV917488:BQV917565 BQV983024:BQV983101 CAR2:CAR61 CAR65520:CAR65597 CAR131056:CAR131133 CAR196592:CAR196669 CAR262128:CAR262205 CAR327664:CAR327741 CAR393200:CAR393277 CAR458736:CAR458813 CAR524272:CAR524349 CAR589808:CAR589885 CAR655344:CAR655421 CAR720880:CAR720957 CAR786416:CAR786493 CAR851952:CAR852029 CAR917488:CAR917565 CAR983024:CAR983101 CKN2:CKN61 CKN65520:CKN65597 CKN131056:CKN131133 CKN196592:CKN196669 CKN262128:CKN262205 CKN327664:CKN327741 CKN393200:CKN393277 CKN458736:CKN458813 CKN524272:CKN524349 CKN589808:CKN589885 CKN655344:CKN655421 CKN720880:CKN720957 CKN786416:CKN786493 CKN851952:CKN852029 CKN917488:CKN917565 CKN983024:CKN983101 CUJ2:CUJ61 CUJ65520:CUJ65597 CUJ131056:CUJ131133 CUJ196592:CUJ196669 CUJ262128:CUJ262205 CUJ327664:CUJ327741 CUJ393200:CUJ393277 CUJ458736:CUJ458813 CUJ524272:CUJ524349 CUJ589808:CUJ589885 CUJ655344:CUJ655421 CUJ720880:CUJ720957 CUJ786416:CUJ786493 CUJ851952:CUJ852029 CUJ917488:CUJ917565 CUJ983024:CUJ983101 DEF2:DEF61 DEF65520:DEF65597 DEF131056:DEF131133 DEF196592:DEF196669 DEF262128:DEF262205 DEF327664:DEF327741 DEF393200:DEF393277 DEF458736:DEF458813 DEF524272:DEF524349 DEF589808:DEF589885 DEF655344:DEF655421 DEF720880:DEF720957 DEF786416:DEF786493 DEF851952:DEF852029 DEF917488:DEF917565 DEF983024:DEF983101 DOB2:DOB61 DOB65520:DOB65597 DOB131056:DOB131133 DOB196592:DOB196669 DOB262128:DOB262205 DOB327664:DOB327741 DOB393200:DOB393277 DOB458736:DOB458813 DOB524272:DOB524349 DOB589808:DOB589885 DOB655344:DOB655421 DOB720880:DOB720957 DOB786416:DOB786493 DOB851952:DOB852029 DOB917488:DOB917565 DOB983024:DOB983101 DXX2:DXX61 DXX65520:DXX65597 DXX131056:DXX131133 DXX196592:DXX196669 DXX262128:DXX262205 DXX327664:DXX327741 DXX393200:DXX393277 DXX458736:DXX458813 DXX524272:DXX524349 DXX589808:DXX589885 DXX655344:DXX655421 DXX720880:DXX720957 DXX786416:DXX786493 DXX851952:DXX852029 DXX917488:DXX917565 DXX983024:DXX983101 EHT2:EHT61 EHT65520:EHT65597 EHT131056:EHT131133 EHT196592:EHT196669 EHT262128:EHT262205 EHT327664:EHT327741 EHT393200:EHT393277 EHT458736:EHT458813 EHT524272:EHT524349 EHT589808:EHT589885 EHT655344:EHT655421 EHT720880:EHT720957 EHT786416:EHT786493 EHT851952:EHT852029 EHT917488:EHT917565 EHT983024:EHT983101 ERP2:ERP61 ERP65520:ERP65597 ERP131056:ERP131133 ERP196592:ERP196669 ERP262128:ERP262205 ERP327664:ERP327741 ERP393200:ERP393277 ERP458736:ERP458813 ERP524272:ERP524349 ERP589808:ERP589885 ERP655344:ERP655421 ERP720880:ERP720957 ERP786416:ERP786493 ERP851952:ERP852029 ERP917488:ERP917565 ERP983024:ERP983101 FBL2:FBL61 FBL65520:FBL65597 FBL131056:FBL131133 FBL196592:FBL196669 FBL262128:FBL262205 FBL327664:FBL327741 FBL393200:FBL393277 FBL458736:FBL458813 FBL524272:FBL524349 FBL589808:FBL589885 FBL655344:FBL655421 FBL720880:FBL720957 FBL786416:FBL786493 FBL851952:FBL852029 FBL917488:FBL917565 FBL983024:FBL983101 FLH2:FLH61 FLH65520:FLH65597 FLH131056:FLH131133 FLH196592:FLH196669 FLH262128:FLH262205 FLH327664:FLH327741 FLH393200:FLH393277 FLH458736:FLH458813 FLH524272:FLH524349 FLH589808:FLH589885 FLH655344:FLH655421 FLH720880:FLH720957 FLH786416:FLH786493 FLH851952:FLH852029 FLH917488:FLH917565 FLH983024:FLH983101 FVD2:FVD61 FVD65520:FVD65597 FVD131056:FVD131133 FVD196592:FVD196669 FVD262128:FVD262205 FVD327664:FVD327741 FVD393200:FVD393277 FVD458736:FVD458813 FVD524272:FVD524349 FVD589808:FVD589885 FVD655344:FVD655421 FVD720880:FVD720957 FVD786416:FVD786493 FVD851952:FVD852029 FVD917488:FVD917565 FVD983024:FVD983101 GEZ2:GEZ61 GEZ65520:GEZ65597 GEZ131056:GEZ131133 GEZ196592:GEZ196669 GEZ262128:GEZ262205 GEZ327664:GEZ327741 GEZ393200:GEZ393277 GEZ458736:GEZ458813 GEZ524272:GEZ524349 GEZ589808:GEZ589885 GEZ655344:GEZ655421 GEZ720880:GEZ720957 GEZ786416:GEZ786493 GEZ851952:GEZ852029 GEZ917488:GEZ917565 GEZ983024:GEZ983101 GOV2:GOV61 GOV65520:GOV65597 GOV131056:GOV131133 GOV196592:GOV196669 GOV262128:GOV262205 GOV327664:GOV327741 GOV393200:GOV393277 GOV458736:GOV458813 GOV524272:GOV524349 GOV589808:GOV589885 GOV655344:GOV655421 GOV720880:GOV720957 GOV786416:GOV786493 GOV851952:GOV852029 GOV917488:GOV917565 GOV983024:GOV983101 GYR2:GYR61 GYR65520:GYR65597 GYR131056:GYR131133 GYR196592:GYR196669 GYR262128:GYR262205 GYR327664:GYR327741 GYR393200:GYR393277 GYR458736:GYR458813 GYR524272:GYR524349 GYR589808:GYR589885 GYR655344:GYR655421 GYR720880:GYR720957 GYR786416:GYR786493 GYR851952:GYR852029 GYR917488:GYR917565 GYR983024:GYR983101 HIN2:HIN61 HIN65520:HIN65597 HIN131056:HIN131133 HIN196592:HIN196669 HIN262128:HIN262205 HIN327664:HIN327741 HIN393200:HIN393277 HIN458736:HIN458813 HIN524272:HIN524349 HIN589808:HIN589885 HIN655344:HIN655421 HIN720880:HIN720957 HIN786416:HIN786493 HIN851952:HIN852029 HIN917488:HIN917565 HIN983024:HIN983101 HSJ2:HSJ61 HSJ65520:HSJ65597 HSJ131056:HSJ131133 HSJ196592:HSJ196669 HSJ262128:HSJ262205 HSJ327664:HSJ327741 HSJ393200:HSJ393277 HSJ458736:HSJ458813 HSJ524272:HSJ524349 HSJ589808:HSJ589885 HSJ655344:HSJ655421 HSJ720880:HSJ720957 HSJ786416:HSJ786493 HSJ851952:HSJ852029 HSJ917488:HSJ917565 HSJ983024:HSJ983101 ICF2:ICF61 ICF65520:ICF65597 ICF131056:ICF131133 ICF196592:ICF196669 ICF262128:ICF262205 ICF327664:ICF327741 ICF393200:ICF393277 ICF458736:ICF458813 ICF524272:ICF524349 ICF589808:ICF589885 ICF655344:ICF655421 ICF720880:ICF720957 ICF786416:ICF786493 ICF851952:ICF852029 ICF917488:ICF917565 ICF983024:ICF983101 IMB2:IMB61 IMB65520:IMB65597 IMB131056:IMB131133 IMB196592:IMB196669 IMB262128:IMB262205 IMB327664:IMB327741 IMB393200:IMB393277 IMB458736:IMB458813 IMB524272:IMB524349 IMB589808:IMB589885 IMB655344:IMB655421 IMB720880:IMB720957 IMB786416:IMB786493 IMB851952:IMB852029 IMB917488:IMB917565 IMB983024:IMB983101 IVX2:IVX61 IVX65520:IVX65597 IVX131056:IVX131133 IVX196592:IVX196669 IVX262128:IVX262205 IVX327664:IVX327741 IVX393200:IVX393277 IVX458736:IVX458813 IVX524272:IVX524349 IVX589808:IVX589885 IVX655344:IVX655421 IVX720880:IVX720957 IVX786416:IVX786493 IVX851952:IVX852029 IVX917488:IVX917565 IVX983024:IVX983101 JFT2:JFT61 JFT65520:JFT65597 JFT131056:JFT131133 JFT196592:JFT196669 JFT262128:JFT262205 JFT327664:JFT327741 JFT393200:JFT393277 JFT458736:JFT458813 JFT524272:JFT524349 JFT589808:JFT589885 JFT655344:JFT655421 JFT720880:JFT720957 JFT786416:JFT786493 JFT851952:JFT852029 JFT917488:JFT917565 JFT983024:JFT983101 JPP2:JPP61 JPP65520:JPP65597 JPP131056:JPP131133 JPP196592:JPP196669 JPP262128:JPP262205 JPP327664:JPP327741 JPP393200:JPP393277 JPP458736:JPP458813 JPP524272:JPP524349 JPP589808:JPP589885 JPP655344:JPP655421 JPP720880:JPP720957 JPP786416:JPP786493 JPP851952:JPP852029 JPP917488:JPP917565 JPP983024:JPP983101 JZL2:JZL61 JZL65520:JZL65597 JZL131056:JZL131133 JZL196592:JZL196669 JZL262128:JZL262205 JZL327664:JZL327741 JZL393200:JZL393277 JZL458736:JZL458813 JZL524272:JZL524349 JZL589808:JZL589885 JZL655344:JZL655421 JZL720880:JZL720957 JZL786416:JZL786493 JZL851952:JZL852029 JZL917488:JZL917565 JZL983024:JZL983101 KJH2:KJH61 KJH65520:KJH65597 KJH131056:KJH131133 KJH196592:KJH196669 KJH262128:KJH262205 KJH327664:KJH327741 KJH393200:KJH393277 KJH458736:KJH458813 KJH524272:KJH524349 KJH589808:KJH589885 KJH655344:KJH655421 KJH720880:KJH720957 KJH786416:KJH786493 KJH851952:KJH852029 KJH917488:KJH917565 KJH983024:KJH983101 KTD2:KTD61 KTD65520:KTD65597 KTD131056:KTD131133 KTD196592:KTD196669 KTD262128:KTD262205 KTD327664:KTD327741 KTD393200:KTD393277 KTD458736:KTD458813 KTD524272:KTD524349 KTD589808:KTD589885 KTD655344:KTD655421 KTD720880:KTD720957 KTD786416:KTD786493 KTD851952:KTD852029 KTD917488:KTD917565 KTD983024:KTD983101 LCZ2:LCZ61 LCZ65520:LCZ65597 LCZ131056:LCZ131133 LCZ196592:LCZ196669 LCZ262128:LCZ262205 LCZ327664:LCZ327741 LCZ393200:LCZ393277 LCZ458736:LCZ458813 LCZ524272:LCZ524349 LCZ589808:LCZ589885 LCZ655344:LCZ655421 LCZ720880:LCZ720957 LCZ786416:LCZ786493 LCZ851952:LCZ852029 LCZ917488:LCZ917565 LCZ983024:LCZ983101 LMV2:LMV61 LMV65520:LMV65597 LMV131056:LMV131133 LMV196592:LMV196669 LMV262128:LMV262205 LMV327664:LMV327741 LMV393200:LMV393277 LMV458736:LMV458813 LMV524272:LMV524349 LMV589808:LMV589885 LMV655344:LMV655421 LMV720880:LMV720957 LMV786416:LMV786493 LMV851952:LMV852029 LMV917488:LMV917565 LMV983024:LMV983101 LWR2:LWR61 LWR65520:LWR65597 LWR131056:LWR131133 LWR196592:LWR196669 LWR262128:LWR262205 LWR327664:LWR327741 LWR393200:LWR393277 LWR458736:LWR458813 LWR524272:LWR524349 LWR589808:LWR589885 LWR655344:LWR655421 LWR720880:LWR720957 LWR786416:LWR786493 LWR851952:LWR852029 LWR917488:LWR917565 LWR983024:LWR983101 MGN2:MGN61 MGN65520:MGN65597 MGN131056:MGN131133 MGN196592:MGN196669 MGN262128:MGN262205 MGN327664:MGN327741 MGN393200:MGN393277 MGN458736:MGN458813 MGN524272:MGN524349 MGN589808:MGN589885 MGN655344:MGN655421 MGN720880:MGN720957 MGN786416:MGN786493 MGN851952:MGN852029 MGN917488:MGN917565 MGN983024:MGN983101 MQJ2:MQJ61 MQJ65520:MQJ65597 MQJ131056:MQJ131133 MQJ196592:MQJ196669 MQJ262128:MQJ262205 MQJ327664:MQJ327741 MQJ393200:MQJ393277 MQJ458736:MQJ458813 MQJ524272:MQJ524349 MQJ589808:MQJ589885 MQJ655344:MQJ655421 MQJ720880:MQJ720957 MQJ786416:MQJ786493 MQJ851952:MQJ852029 MQJ917488:MQJ917565 MQJ983024:MQJ983101 NAF2:NAF61 NAF65520:NAF65597 NAF131056:NAF131133 NAF196592:NAF196669 NAF262128:NAF262205 NAF327664:NAF327741 NAF393200:NAF393277 NAF458736:NAF458813 NAF524272:NAF524349 NAF589808:NAF589885 NAF655344:NAF655421 NAF720880:NAF720957 NAF786416:NAF786493 NAF851952:NAF852029 NAF917488:NAF917565 NAF983024:NAF983101 NKB2:NKB61 NKB65520:NKB65597 NKB131056:NKB131133 NKB196592:NKB196669 NKB262128:NKB262205 NKB327664:NKB327741 NKB393200:NKB393277 NKB458736:NKB458813 NKB524272:NKB524349 NKB589808:NKB589885 NKB655344:NKB655421 NKB720880:NKB720957 NKB786416:NKB786493 NKB851952:NKB852029 NKB917488:NKB917565 NKB983024:NKB983101 NTX2:NTX61 NTX65520:NTX65597 NTX131056:NTX131133 NTX196592:NTX196669 NTX262128:NTX262205 NTX327664:NTX327741 NTX393200:NTX393277 NTX458736:NTX458813 NTX524272:NTX524349 NTX589808:NTX589885 NTX655344:NTX655421 NTX720880:NTX720957 NTX786416:NTX786493 NTX851952:NTX852029 NTX917488:NTX917565 NTX983024:NTX983101 ODT2:ODT61 ODT65520:ODT65597 ODT131056:ODT131133 ODT196592:ODT196669 ODT262128:ODT262205 ODT327664:ODT327741 ODT393200:ODT393277 ODT458736:ODT458813 ODT524272:ODT524349 ODT589808:ODT589885 ODT655344:ODT655421 ODT720880:ODT720957 ODT786416:ODT786493 ODT851952:ODT852029 ODT917488:ODT917565 ODT983024:ODT983101 ONP2:ONP61 ONP65520:ONP65597 ONP131056:ONP131133 ONP196592:ONP196669 ONP262128:ONP262205 ONP327664:ONP327741 ONP393200:ONP393277 ONP458736:ONP458813 ONP524272:ONP524349 ONP589808:ONP589885 ONP655344:ONP655421 ONP720880:ONP720957 ONP786416:ONP786493 ONP851952:ONP852029 ONP917488:ONP917565 ONP983024:ONP983101 OXL2:OXL61 OXL65520:OXL65597 OXL131056:OXL131133 OXL196592:OXL196669 OXL262128:OXL262205 OXL327664:OXL327741 OXL393200:OXL393277 OXL458736:OXL458813 OXL524272:OXL524349 OXL589808:OXL589885 OXL655344:OXL655421 OXL720880:OXL720957 OXL786416:OXL786493 OXL851952:OXL852029 OXL917488:OXL917565 OXL983024:OXL983101 PHH2:PHH61 PHH65520:PHH65597 PHH131056:PHH131133 PHH196592:PHH196669 PHH262128:PHH262205 PHH327664:PHH327741 PHH393200:PHH393277 PHH458736:PHH458813 PHH524272:PHH524349 PHH589808:PHH589885 PHH655344:PHH655421 PHH720880:PHH720957 PHH786416:PHH786493 PHH851952:PHH852029 PHH917488:PHH917565 PHH983024:PHH983101 PRD2:PRD61 PRD65520:PRD65597 PRD131056:PRD131133 PRD196592:PRD196669 PRD262128:PRD262205 PRD327664:PRD327741 PRD393200:PRD393277 PRD458736:PRD458813 PRD524272:PRD524349 PRD589808:PRD589885 PRD655344:PRD655421 PRD720880:PRD720957 PRD786416:PRD786493 PRD851952:PRD852029 PRD917488:PRD917565 PRD983024:PRD983101 QAZ2:QAZ61 QAZ65520:QAZ65597 QAZ131056:QAZ131133 QAZ196592:QAZ196669 QAZ262128:QAZ262205 QAZ327664:QAZ327741 QAZ393200:QAZ393277 QAZ458736:QAZ458813 QAZ524272:QAZ524349 QAZ589808:QAZ589885 QAZ655344:QAZ655421 QAZ720880:QAZ720957 QAZ786416:QAZ786493 QAZ851952:QAZ852029 QAZ917488:QAZ917565 QAZ983024:QAZ983101 QKV2:QKV61 QKV65520:QKV65597 QKV131056:QKV131133 QKV196592:QKV196669 QKV262128:QKV262205 QKV327664:QKV327741 QKV393200:QKV393277 QKV458736:QKV458813 QKV524272:QKV524349 QKV589808:QKV589885 QKV655344:QKV655421 QKV720880:QKV720957 QKV786416:QKV786493 QKV851952:QKV852029 QKV917488:QKV917565 QKV983024:QKV983101 QUR2:QUR61 QUR65520:QUR65597 QUR131056:QUR131133 QUR196592:QUR196669 QUR262128:QUR262205 QUR327664:QUR327741 QUR393200:QUR393277 QUR458736:QUR458813 QUR524272:QUR524349 QUR589808:QUR589885 QUR655344:QUR655421 QUR720880:QUR720957 QUR786416:QUR786493 QUR851952:QUR852029 QUR917488:QUR917565 QUR983024:QUR983101 REN2:REN61 REN65520:REN65597 REN131056:REN131133 REN196592:REN196669 REN262128:REN262205 REN327664:REN327741 REN393200:REN393277 REN458736:REN458813 REN524272:REN524349 REN589808:REN589885 REN655344:REN655421 REN720880:REN720957 REN786416:REN786493 REN851952:REN852029 REN917488:REN917565 REN983024:REN983101 ROJ2:ROJ61 ROJ65520:ROJ65597 ROJ131056:ROJ131133 ROJ196592:ROJ196669 ROJ262128:ROJ262205 ROJ327664:ROJ327741 ROJ393200:ROJ393277 ROJ458736:ROJ458813 ROJ524272:ROJ524349 ROJ589808:ROJ589885 ROJ655344:ROJ655421 ROJ720880:ROJ720957 ROJ786416:ROJ786493 ROJ851952:ROJ852029 ROJ917488:ROJ917565 ROJ983024:ROJ983101 RYF2:RYF61 RYF65520:RYF65597 RYF131056:RYF131133 RYF196592:RYF196669 RYF262128:RYF262205 RYF327664:RYF327741 RYF393200:RYF393277 RYF458736:RYF458813 RYF524272:RYF524349 RYF589808:RYF589885 RYF655344:RYF655421 RYF720880:RYF720957 RYF786416:RYF786493 RYF851952:RYF852029 RYF917488:RYF917565 RYF983024:RYF983101 SIB2:SIB61 SIB65520:SIB65597 SIB131056:SIB131133 SIB196592:SIB196669 SIB262128:SIB262205 SIB327664:SIB327741 SIB393200:SIB393277 SIB458736:SIB458813 SIB524272:SIB524349 SIB589808:SIB589885 SIB655344:SIB655421 SIB720880:SIB720957 SIB786416:SIB786493 SIB851952:SIB852029 SIB917488:SIB917565 SIB983024:SIB983101 SRX2:SRX61 SRX65520:SRX65597 SRX131056:SRX131133 SRX196592:SRX196669 SRX262128:SRX262205 SRX327664:SRX327741 SRX393200:SRX393277 SRX458736:SRX458813 SRX524272:SRX524349 SRX589808:SRX589885 SRX655344:SRX655421 SRX720880:SRX720957 SRX786416:SRX786493 SRX851952:SRX852029 SRX917488:SRX917565 SRX983024:SRX983101 TBT2:TBT61 TBT65520:TBT65597 TBT131056:TBT131133 TBT196592:TBT196669 TBT262128:TBT262205 TBT327664:TBT327741 TBT393200:TBT393277 TBT458736:TBT458813 TBT524272:TBT524349 TBT589808:TBT589885 TBT655344:TBT655421 TBT720880:TBT720957 TBT786416:TBT786493 TBT851952:TBT852029 TBT917488:TBT917565 TBT983024:TBT983101 TLP2:TLP61 TLP65520:TLP65597 TLP131056:TLP131133 TLP196592:TLP196669 TLP262128:TLP262205 TLP327664:TLP327741 TLP393200:TLP393277 TLP458736:TLP458813 TLP524272:TLP524349 TLP589808:TLP589885 TLP655344:TLP655421 TLP720880:TLP720957 TLP786416:TLP786493 TLP851952:TLP852029 TLP917488:TLP917565 TLP983024:TLP983101 TVL2:TVL61 TVL65520:TVL65597 TVL131056:TVL131133 TVL196592:TVL196669 TVL262128:TVL262205 TVL327664:TVL327741 TVL393200:TVL393277 TVL458736:TVL458813 TVL524272:TVL524349 TVL589808:TVL589885 TVL655344:TVL655421 TVL720880:TVL720957 TVL786416:TVL786493 TVL851952:TVL852029 TVL917488:TVL917565 TVL983024:TVL983101 UFH2:UFH61 UFH65520:UFH65597 UFH131056:UFH131133 UFH196592:UFH196669 UFH262128:UFH262205 UFH327664:UFH327741 UFH393200:UFH393277 UFH458736:UFH458813 UFH524272:UFH524349 UFH589808:UFH589885 UFH655344:UFH655421 UFH720880:UFH720957 UFH786416:UFH786493 UFH851952:UFH852029 UFH917488:UFH917565 UFH983024:UFH983101 UPD2:UPD61 UPD65520:UPD65597 UPD131056:UPD131133 UPD196592:UPD196669 UPD262128:UPD262205 UPD327664:UPD327741 UPD393200:UPD393277 UPD458736:UPD458813 UPD524272:UPD524349 UPD589808:UPD589885 UPD655344:UPD655421 UPD720880:UPD720957 UPD786416:UPD786493 UPD851952:UPD852029 UPD917488:UPD917565 UPD983024:UPD983101 UYZ2:UYZ61 UYZ65520:UYZ65597 UYZ131056:UYZ131133 UYZ196592:UYZ196669 UYZ262128:UYZ262205 UYZ327664:UYZ327741 UYZ393200:UYZ393277 UYZ458736:UYZ458813 UYZ524272:UYZ524349 UYZ589808:UYZ589885 UYZ655344:UYZ655421 UYZ720880:UYZ720957 UYZ786416:UYZ786493 UYZ851952:UYZ852029 UYZ917488:UYZ917565 UYZ983024:UYZ983101 VIV2:VIV61 VIV65520:VIV65597 VIV131056:VIV131133 VIV196592:VIV196669 VIV262128:VIV262205 VIV327664:VIV327741 VIV393200:VIV393277 VIV458736:VIV458813 VIV524272:VIV524349 VIV589808:VIV589885 VIV655344:VIV655421 VIV720880:VIV720957 VIV786416:VIV786493 VIV851952:VIV852029 VIV917488:VIV917565 VIV983024:VIV983101 VSR2:VSR61 VSR65520:VSR65597 VSR131056:VSR131133 VSR196592:VSR196669 VSR262128:VSR262205 VSR327664:VSR327741 VSR393200:VSR393277 VSR458736:VSR458813 VSR524272:VSR524349 VSR589808:VSR589885 VSR655344:VSR655421 VSR720880:VSR720957 VSR786416:VSR786493 VSR851952:VSR852029 VSR917488:VSR917565 VSR983024:VSR983101 WCN2:WCN61 WCN65520:WCN65597 WCN131056:WCN131133 WCN196592:WCN196669 WCN262128:WCN262205 WCN327664:WCN327741 WCN393200:WCN393277 WCN458736:WCN458813 WCN524272:WCN524349 WCN589808:WCN589885 WCN655344:WCN655421 WCN720880:WCN720957 WCN786416:WCN786493 WCN851952:WCN852029 WCN917488:WCN917565 WCN983024:WCN983101 WMJ2:WMJ61 WMJ65520:WMJ65597 WMJ131056:WMJ131133 WMJ196592:WMJ196669 WMJ262128:WMJ262205 WMJ327664:WMJ327741 WMJ393200:WMJ393277 WMJ458736:WMJ458813 WMJ524272:WMJ524349 WMJ589808:WMJ589885 WMJ655344:WMJ655421 WMJ720880:WMJ720957 WMJ786416:WMJ786493 WMJ851952:WMJ852029 WMJ917488:WMJ917565 WMJ983024:WMJ983101 WWF2:WWF61 WWF65520:WWF65597 WWF131056:WWF131133 WWF196592:WWF196669 WWF262128:WWF262205 WWF327664:WWF327741 WWF393200:WWF393277 WWF458736:WWF458813 WWF524272:WWF524349 WWF589808:WWF589885 WWF655344:WWF655421 WWF720880:WWF720957 WWF786416:WWF786493 WWF851952:WWF852029 WWF917488:WWF917565 WWF983024:WWF983101">
      <formula1>$AT$2:$AT$3</formula1>
    </dataValidation>
    <dataValidation type="list" allowBlank="1" showInputMessage="1" showErrorMessage="1" sqref="G2:G482 G65520:G65597 G131056:G131133 G196592:G196669 G262128:G262205 G327664:G327741 G393200:G393277 G458736:G458813 G524272:G524349 G589808:G589885 G655344:G655421 G720880:G720957 G786416:G786493 G851952:G852029 G917488:G917565 G983024:G983101 JC2:JC61 JC65520:JC65597 JC131056:JC131133 JC196592:JC196669 JC262128:JC262205 JC327664:JC327741 JC393200:JC393277 JC458736:JC458813 JC524272:JC524349 JC589808:JC589885 JC655344:JC655421 JC720880:JC720957 JC786416:JC786493 JC851952:JC852029 JC917488:JC917565 JC983024:JC983101 SY2:SY61 SY65520:SY65597 SY131056:SY131133 SY196592:SY196669 SY262128:SY262205 SY327664:SY327741 SY393200:SY393277 SY458736:SY458813 SY524272:SY524349 SY589808:SY589885 SY655344:SY655421 SY720880:SY720957 SY786416:SY786493 SY851952:SY852029 SY917488:SY917565 SY983024:SY983101 ACU2:ACU61 ACU65520:ACU65597 ACU131056:ACU131133 ACU196592:ACU196669 ACU262128:ACU262205 ACU327664:ACU327741 ACU393200:ACU393277 ACU458736:ACU458813 ACU524272:ACU524349 ACU589808:ACU589885 ACU655344:ACU655421 ACU720880:ACU720957 ACU786416:ACU786493 ACU851952:ACU852029 ACU917488:ACU917565 ACU983024:ACU983101 AMQ2:AMQ61 AMQ65520:AMQ65597 AMQ131056:AMQ131133 AMQ196592:AMQ196669 AMQ262128:AMQ262205 AMQ327664:AMQ327741 AMQ393200:AMQ393277 AMQ458736:AMQ458813 AMQ524272:AMQ524349 AMQ589808:AMQ589885 AMQ655344:AMQ655421 AMQ720880:AMQ720957 AMQ786416:AMQ786493 AMQ851952:AMQ852029 AMQ917488:AMQ917565 AMQ983024:AMQ983101 AWM2:AWM61 AWM65520:AWM65597 AWM131056:AWM131133 AWM196592:AWM196669 AWM262128:AWM262205 AWM327664:AWM327741 AWM393200:AWM393277 AWM458736:AWM458813 AWM524272:AWM524349 AWM589808:AWM589885 AWM655344:AWM655421 AWM720880:AWM720957 AWM786416:AWM786493 AWM851952:AWM852029 AWM917488:AWM917565 AWM983024:AWM983101 BGI2:BGI61 BGI65520:BGI65597 BGI131056:BGI131133 BGI196592:BGI196669 BGI262128:BGI262205 BGI327664:BGI327741 BGI393200:BGI393277 BGI458736:BGI458813 BGI524272:BGI524349 BGI589808:BGI589885 BGI655344:BGI655421 BGI720880:BGI720957 BGI786416:BGI786493 BGI851952:BGI852029 BGI917488:BGI917565 BGI983024:BGI983101 BQE2:BQE61 BQE65520:BQE65597 BQE131056:BQE131133 BQE196592:BQE196669 BQE262128:BQE262205 BQE327664:BQE327741 BQE393200:BQE393277 BQE458736:BQE458813 BQE524272:BQE524349 BQE589808:BQE589885 BQE655344:BQE655421 BQE720880:BQE720957 BQE786416:BQE786493 BQE851952:BQE852029 BQE917488:BQE917565 BQE983024:BQE983101 CAA2:CAA61 CAA65520:CAA65597 CAA131056:CAA131133 CAA196592:CAA196669 CAA262128:CAA262205 CAA327664:CAA327741 CAA393200:CAA393277 CAA458736:CAA458813 CAA524272:CAA524349 CAA589808:CAA589885 CAA655344:CAA655421 CAA720880:CAA720957 CAA786416:CAA786493 CAA851952:CAA852029 CAA917488:CAA917565 CAA983024:CAA983101 CJW2:CJW61 CJW65520:CJW65597 CJW131056:CJW131133 CJW196592:CJW196669 CJW262128:CJW262205 CJW327664:CJW327741 CJW393200:CJW393277 CJW458736:CJW458813 CJW524272:CJW524349 CJW589808:CJW589885 CJW655344:CJW655421 CJW720880:CJW720957 CJW786416:CJW786493 CJW851952:CJW852029 CJW917488:CJW917565 CJW983024:CJW983101 CTS2:CTS61 CTS65520:CTS65597 CTS131056:CTS131133 CTS196592:CTS196669 CTS262128:CTS262205 CTS327664:CTS327741 CTS393200:CTS393277 CTS458736:CTS458813 CTS524272:CTS524349 CTS589808:CTS589885 CTS655344:CTS655421 CTS720880:CTS720957 CTS786416:CTS786493 CTS851952:CTS852029 CTS917488:CTS917565 CTS983024:CTS983101 DDO2:DDO61 DDO65520:DDO65597 DDO131056:DDO131133 DDO196592:DDO196669 DDO262128:DDO262205 DDO327664:DDO327741 DDO393200:DDO393277 DDO458736:DDO458813 DDO524272:DDO524349 DDO589808:DDO589885 DDO655344:DDO655421 DDO720880:DDO720957 DDO786416:DDO786493 DDO851952:DDO852029 DDO917488:DDO917565 DDO983024:DDO983101 DNK2:DNK61 DNK65520:DNK65597 DNK131056:DNK131133 DNK196592:DNK196669 DNK262128:DNK262205 DNK327664:DNK327741 DNK393200:DNK393277 DNK458736:DNK458813 DNK524272:DNK524349 DNK589808:DNK589885 DNK655344:DNK655421 DNK720880:DNK720957 DNK786416:DNK786493 DNK851952:DNK852029 DNK917488:DNK917565 DNK983024:DNK983101 DXG2:DXG61 DXG65520:DXG65597 DXG131056:DXG131133 DXG196592:DXG196669 DXG262128:DXG262205 DXG327664:DXG327741 DXG393200:DXG393277 DXG458736:DXG458813 DXG524272:DXG524349 DXG589808:DXG589885 DXG655344:DXG655421 DXG720880:DXG720957 DXG786416:DXG786493 DXG851952:DXG852029 DXG917488:DXG917565 DXG983024:DXG983101 EHC2:EHC61 EHC65520:EHC65597 EHC131056:EHC131133 EHC196592:EHC196669 EHC262128:EHC262205 EHC327664:EHC327741 EHC393200:EHC393277 EHC458736:EHC458813 EHC524272:EHC524349 EHC589808:EHC589885 EHC655344:EHC655421 EHC720880:EHC720957 EHC786416:EHC786493 EHC851952:EHC852029 EHC917488:EHC917565 EHC983024:EHC983101 EQY2:EQY61 EQY65520:EQY65597 EQY131056:EQY131133 EQY196592:EQY196669 EQY262128:EQY262205 EQY327664:EQY327741 EQY393200:EQY393277 EQY458736:EQY458813 EQY524272:EQY524349 EQY589808:EQY589885 EQY655344:EQY655421 EQY720880:EQY720957 EQY786416:EQY786493 EQY851952:EQY852029 EQY917488:EQY917565 EQY983024:EQY983101 FAU2:FAU61 FAU65520:FAU65597 FAU131056:FAU131133 FAU196592:FAU196669 FAU262128:FAU262205 FAU327664:FAU327741 FAU393200:FAU393277 FAU458736:FAU458813 FAU524272:FAU524349 FAU589808:FAU589885 FAU655344:FAU655421 FAU720880:FAU720957 FAU786416:FAU786493 FAU851952:FAU852029 FAU917488:FAU917565 FAU983024:FAU983101 FKQ2:FKQ61 FKQ65520:FKQ65597 FKQ131056:FKQ131133 FKQ196592:FKQ196669 FKQ262128:FKQ262205 FKQ327664:FKQ327741 FKQ393200:FKQ393277 FKQ458736:FKQ458813 FKQ524272:FKQ524349 FKQ589808:FKQ589885 FKQ655344:FKQ655421 FKQ720880:FKQ720957 FKQ786416:FKQ786493 FKQ851952:FKQ852029 FKQ917488:FKQ917565 FKQ983024:FKQ983101 FUM2:FUM61 FUM65520:FUM65597 FUM131056:FUM131133 FUM196592:FUM196669 FUM262128:FUM262205 FUM327664:FUM327741 FUM393200:FUM393277 FUM458736:FUM458813 FUM524272:FUM524349 FUM589808:FUM589885 FUM655344:FUM655421 FUM720880:FUM720957 FUM786416:FUM786493 FUM851952:FUM852029 FUM917488:FUM917565 FUM983024:FUM983101 GEI2:GEI61 GEI65520:GEI65597 GEI131056:GEI131133 GEI196592:GEI196669 GEI262128:GEI262205 GEI327664:GEI327741 GEI393200:GEI393277 GEI458736:GEI458813 GEI524272:GEI524349 GEI589808:GEI589885 GEI655344:GEI655421 GEI720880:GEI720957 GEI786416:GEI786493 GEI851952:GEI852029 GEI917488:GEI917565 GEI983024:GEI983101 GOE2:GOE61 GOE65520:GOE65597 GOE131056:GOE131133 GOE196592:GOE196669 GOE262128:GOE262205 GOE327664:GOE327741 GOE393200:GOE393277 GOE458736:GOE458813 GOE524272:GOE524349 GOE589808:GOE589885 GOE655344:GOE655421 GOE720880:GOE720957 GOE786416:GOE786493 GOE851952:GOE852029 GOE917488:GOE917565 GOE983024:GOE983101 GYA2:GYA61 GYA65520:GYA65597 GYA131056:GYA131133 GYA196592:GYA196669 GYA262128:GYA262205 GYA327664:GYA327741 GYA393200:GYA393277 GYA458736:GYA458813 GYA524272:GYA524349 GYA589808:GYA589885 GYA655344:GYA655421 GYA720880:GYA720957 GYA786416:GYA786493 GYA851952:GYA852029 GYA917488:GYA917565 GYA983024:GYA983101 HHW2:HHW61 HHW65520:HHW65597 HHW131056:HHW131133 HHW196592:HHW196669 HHW262128:HHW262205 HHW327664:HHW327741 HHW393200:HHW393277 HHW458736:HHW458813 HHW524272:HHW524349 HHW589808:HHW589885 HHW655344:HHW655421 HHW720880:HHW720957 HHW786416:HHW786493 HHW851952:HHW852029 HHW917488:HHW917565 HHW983024:HHW983101 HRS2:HRS61 HRS65520:HRS65597 HRS131056:HRS131133 HRS196592:HRS196669 HRS262128:HRS262205 HRS327664:HRS327741 HRS393200:HRS393277 HRS458736:HRS458813 HRS524272:HRS524349 HRS589808:HRS589885 HRS655344:HRS655421 HRS720880:HRS720957 HRS786416:HRS786493 HRS851952:HRS852029 HRS917488:HRS917565 HRS983024:HRS983101 IBO2:IBO61 IBO65520:IBO65597 IBO131056:IBO131133 IBO196592:IBO196669 IBO262128:IBO262205 IBO327664:IBO327741 IBO393200:IBO393277 IBO458736:IBO458813 IBO524272:IBO524349 IBO589808:IBO589885 IBO655344:IBO655421 IBO720880:IBO720957 IBO786416:IBO786493 IBO851952:IBO852029 IBO917488:IBO917565 IBO983024:IBO983101 ILK2:ILK61 ILK65520:ILK65597 ILK131056:ILK131133 ILK196592:ILK196669 ILK262128:ILK262205 ILK327664:ILK327741 ILK393200:ILK393277 ILK458736:ILK458813 ILK524272:ILK524349 ILK589808:ILK589885 ILK655344:ILK655421 ILK720880:ILK720957 ILK786416:ILK786493 ILK851952:ILK852029 ILK917488:ILK917565 ILK983024:ILK983101 IVG2:IVG61 IVG65520:IVG65597 IVG131056:IVG131133 IVG196592:IVG196669 IVG262128:IVG262205 IVG327664:IVG327741 IVG393200:IVG393277 IVG458736:IVG458813 IVG524272:IVG524349 IVG589808:IVG589885 IVG655344:IVG655421 IVG720880:IVG720957 IVG786416:IVG786493 IVG851952:IVG852029 IVG917488:IVG917565 IVG983024:IVG983101 JFC2:JFC61 JFC65520:JFC65597 JFC131056:JFC131133 JFC196592:JFC196669 JFC262128:JFC262205 JFC327664:JFC327741 JFC393200:JFC393277 JFC458736:JFC458813 JFC524272:JFC524349 JFC589808:JFC589885 JFC655344:JFC655421 JFC720880:JFC720957 JFC786416:JFC786493 JFC851952:JFC852029 JFC917488:JFC917565 JFC983024:JFC983101 JOY2:JOY61 JOY65520:JOY65597 JOY131056:JOY131133 JOY196592:JOY196669 JOY262128:JOY262205 JOY327664:JOY327741 JOY393200:JOY393277 JOY458736:JOY458813 JOY524272:JOY524349 JOY589808:JOY589885 JOY655344:JOY655421 JOY720880:JOY720957 JOY786416:JOY786493 JOY851952:JOY852029 JOY917488:JOY917565 JOY983024:JOY983101 JYU2:JYU61 JYU65520:JYU65597 JYU131056:JYU131133 JYU196592:JYU196669 JYU262128:JYU262205 JYU327664:JYU327741 JYU393200:JYU393277 JYU458736:JYU458813 JYU524272:JYU524349 JYU589808:JYU589885 JYU655344:JYU655421 JYU720880:JYU720957 JYU786416:JYU786493 JYU851952:JYU852029 JYU917488:JYU917565 JYU983024:JYU983101 KIQ2:KIQ61 KIQ65520:KIQ65597 KIQ131056:KIQ131133 KIQ196592:KIQ196669 KIQ262128:KIQ262205 KIQ327664:KIQ327741 KIQ393200:KIQ393277 KIQ458736:KIQ458813 KIQ524272:KIQ524349 KIQ589808:KIQ589885 KIQ655344:KIQ655421 KIQ720880:KIQ720957 KIQ786416:KIQ786493 KIQ851952:KIQ852029 KIQ917488:KIQ917565 KIQ983024:KIQ983101 KSM2:KSM61 KSM65520:KSM65597 KSM131056:KSM131133 KSM196592:KSM196669 KSM262128:KSM262205 KSM327664:KSM327741 KSM393200:KSM393277 KSM458736:KSM458813 KSM524272:KSM524349 KSM589808:KSM589885 KSM655344:KSM655421 KSM720880:KSM720957 KSM786416:KSM786493 KSM851952:KSM852029 KSM917488:KSM917565 KSM983024:KSM983101 LCI2:LCI61 LCI65520:LCI65597 LCI131056:LCI131133 LCI196592:LCI196669 LCI262128:LCI262205 LCI327664:LCI327741 LCI393200:LCI393277 LCI458736:LCI458813 LCI524272:LCI524349 LCI589808:LCI589885 LCI655344:LCI655421 LCI720880:LCI720957 LCI786416:LCI786493 LCI851952:LCI852029 LCI917488:LCI917565 LCI983024:LCI983101 LME2:LME61 LME65520:LME65597 LME131056:LME131133 LME196592:LME196669 LME262128:LME262205 LME327664:LME327741 LME393200:LME393277 LME458736:LME458813 LME524272:LME524349 LME589808:LME589885 LME655344:LME655421 LME720880:LME720957 LME786416:LME786493 LME851952:LME852029 LME917488:LME917565 LME983024:LME983101 LWA2:LWA61 LWA65520:LWA65597 LWA131056:LWA131133 LWA196592:LWA196669 LWA262128:LWA262205 LWA327664:LWA327741 LWA393200:LWA393277 LWA458736:LWA458813 LWA524272:LWA524349 LWA589808:LWA589885 LWA655344:LWA655421 LWA720880:LWA720957 LWA786416:LWA786493 LWA851952:LWA852029 LWA917488:LWA917565 LWA983024:LWA983101 MFW2:MFW61 MFW65520:MFW65597 MFW131056:MFW131133 MFW196592:MFW196669 MFW262128:MFW262205 MFW327664:MFW327741 MFW393200:MFW393277 MFW458736:MFW458813 MFW524272:MFW524349 MFW589808:MFW589885 MFW655344:MFW655421 MFW720880:MFW720957 MFW786416:MFW786493 MFW851952:MFW852029 MFW917488:MFW917565 MFW983024:MFW983101 MPS2:MPS61 MPS65520:MPS65597 MPS131056:MPS131133 MPS196592:MPS196669 MPS262128:MPS262205 MPS327664:MPS327741 MPS393200:MPS393277 MPS458736:MPS458813 MPS524272:MPS524349 MPS589808:MPS589885 MPS655344:MPS655421 MPS720880:MPS720957 MPS786416:MPS786493 MPS851952:MPS852029 MPS917488:MPS917565 MPS983024:MPS983101 MZO2:MZO61 MZO65520:MZO65597 MZO131056:MZO131133 MZO196592:MZO196669 MZO262128:MZO262205 MZO327664:MZO327741 MZO393200:MZO393277 MZO458736:MZO458813 MZO524272:MZO524349 MZO589808:MZO589885 MZO655344:MZO655421 MZO720880:MZO720957 MZO786416:MZO786493 MZO851952:MZO852029 MZO917488:MZO917565 MZO983024:MZO983101 NJK2:NJK61 NJK65520:NJK65597 NJK131056:NJK131133 NJK196592:NJK196669 NJK262128:NJK262205 NJK327664:NJK327741 NJK393200:NJK393277 NJK458736:NJK458813 NJK524272:NJK524349 NJK589808:NJK589885 NJK655344:NJK655421 NJK720880:NJK720957 NJK786416:NJK786493 NJK851952:NJK852029 NJK917488:NJK917565 NJK983024:NJK983101 NTG2:NTG61 NTG65520:NTG65597 NTG131056:NTG131133 NTG196592:NTG196669 NTG262128:NTG262205 NTG327664:NTG327741 NTG393200:NTG393277 NTG458736:NTG458813 NTG524272:NTG524349 NTG589808:NTG589885 NTG655344:NTG655421 NTG720880:NTG720957 NTG786416:NTG786493 NTG851952:NTG852029 NTG917488:NTG917565 NTG983024:NTG983101 ODC2:ODC61 ODC65520:ODC65597 ODC131056:ODC131133 ODC196592:ODC196669 ODC262128:ODC262205 ODC327664:ODC327741 ODC393200:ODC393277 ODC458736:ODC458813 ODC524272:ODC524349 ODC589808:ODC589885 ODC655344:ODC655421 ODC720880:ODC720957 ODC786416:ODC786493 ODC851952:ODC852029 ODC917488:ODC917565 ODC983024:ODC983101 OMY2:OMY61 OMY65520:OMY65597 OMY131056:OMY131133 OMY196592:OMY196669 OMY262128:OMY262205 OMY327664:OMY327741 OMY393200:OMY393277 OMY458736:OMY458813 OMY524272:OMY524349 OMY589808:OMY589885 OMY655344:OMY655421 OMY720880:OMY720957 OMY786416:OMY786493 OMY851952:OMY852029 OMY917488:OMY917565 OMY983024:OMY983101 OWU2:OWU61 OWU65520:OWU65597 OWU131056:OWU131133 OWU196592:OWU196669 OWU262128:OWU262205 OWU327664:OWU327741 OWU393200:OWU393277 OWU458736:OWU458813 OWU524272:OWU524349 OWU589808:OWU589885 OWU655344:OWU655421 OWU720880:OWU720957 OWU786416:OWU786493 OWU851952:OWU852029 OWU917488:OWU917565 OWU983024:OWU983101 PGQ2:PGQ61 PGQ65520:PGQ65597 PGQ131056:PGQ131133 PGQ196592:PGQ196669 PGQ262128:PGQ262205 PGQ327664:PGQ327741 PGQ393200:PGQ393277 PGQ458736:PGQ458813 PGQ524272:PGQ524349 PGQ589808:PGQ589885 PGQ655344:PGQ655421 PGQ720880:PGQ720957 PGQ786416:PGQ786493 PGQ851952:PGQ852029 PGQ917488:PGQ917565 PGQ983024:PGQ983101 PQM2:PQM61 PQM65520:PQM65597 PQM131056:PQM131133 PQM196592:PQM196669 PQM262128:PQM262205 PQM327664:PQM327741 PQM393200:PQM393277 PQM458736:PQM458813 PQM524272:PQM524349 PQM589808:PQM589885 PQM655344:PQM655421 PQM720880:PQM720957 PQM786416:PQM786493 PQM851952:PQM852029 PQM917488:PQM917565 PQM983024:PQM983101 QAI2:QAI61 QAI65520:QAI65597 QAI131056:QAI131133 QAI196592:QAI196669 QAI262128:QAI262205 QAI327664:QAI327741 QAI393200:QAI393277 QAI458736:QAI458813 QAI524272:QAI524349 QAI589808:QAI589885 QAI655344:QAI655421 QAI720880:QAI720957 QAI786416:QAI786493 QAI851952:QAI852029 QAI917488:QAI917565 QAI983024:QAI983101 QKE2:QKE61 QKE65520:QKE65597 QKE131056:QKE131133 QKE196592:QKE196669 QKE262128:QKE262205 QKE327664:QKE327741 QKE393200:QKE393277 QKE458736:QKE458813 QKE524272:QKE524349 QKE589808:QKE589885 QKE655344:QKE655421 QKE720880:QKE720957 QKE786416:QKE786493 QKE851952:QKE852029 QKE917488:QKE917565 QKE983024:QKE983101 QUA2:QUA61 QUA65520:QUA65597 QUA131056:QUA131133 QUA196592:QUA196669 QUA262128:QUA262205 QUA327664:QUA327741 QUA393200:QUA393277 QUA458736:QUA458813 QUA524272:QUA524349 QUA589808:QUA589885 QUA655344:QUA655421 QUA720880:QUA720957 QUA786416:QUA786493 QUA851952:QUA852029 QUA917488:QUA917565 QUA983024:QUA983101 RDW2:RDW61 RDW65520:RDW65597 RDW131056:RDW131133 RDW196592:RDW196669 RDW262128:RDW262205 RDW327664:RDW327741 RDW393200:RDW393277 RDW458736:RDW458813 RDW524272:RDW524349 RDW589808:RDW589885 RDW655344:RDW655421 RDW720880:RDW720957 RDW786416:RDW786493 RDW851952:RDW852029 RDW917488:RDW917565 RDW983024:RDW983101 RNS2:RNS61 RNS65520:RNS65597 RNS131056:RNS131133 RNS196592:RNS196669 RNS262128:RNS262205 RNS327664:RNS327741 RNS393200:RNS393277 RNS458736:RNS458813 RNS524272:RNS524349 RNS589808:RNS589885 RNS655344:RNS655421 RNS720880:RNS720957 RNS786416:RNS786493 RNS851952:RNS852029 RNS917488:RNS917565 RNS983024:RNS983101 RXO2:RXO61 RXO65520:RXO65597 RXO131056:RXO131133 RXO196592:RXO196669 RXO262128:RXO262205 RXO327664:RXO327741 RXO393200:RXO393277 RXO458736:RXO458813 RXO524272:RXO524349 RXO589808:RXO589885 RXO655344:RXO655421 RXO720880:RXO720957 RXO786416:RXO786493 RXO851952:RXO852029 RXO917488:RXO917565 RXO983024:RXO983101 SHK2:SHK61 SHK65520:SHK65597 SHK131056:SHK131133 SHK196592:SHK196669 SHK262128:SHK262205 SHK327664:SHK327741 SHK393200:SHK393277 SHK458736:SHK458813 SHK524272:SHK524349 SHK589808:SHK589885 SHK655344:SHK655421 SHK720880:SHK720957 SHK786416:SHK786493 SHK851952:SHK852029 SHK917488:SHK917565 SHK983024:SHK983101 SRG2:SRG61 SRG65520:SRG65597 SRG131056:SRG131133 SRG196592:SRG196669 SRG262128:SRG262205 SRG327664:SRG327741 SRG393200:SRG393277 SRG458736:SRG458813 SRG524272:SRG524349 SRG589808:SRG589885 SRG655344:SRG655421 SRG720880:SRG720957 SRG786416:SRG786493 SRG851952:SRG852029 SRG917488:SRG917565 SRG983024:SRG983101 TBC2:TBC61 TBC65520:TBC65597 TBC131056:TBC131133 TBC196592:TBC196669 TBC262128:TBC262205 TBC327664:TBC327741 TBC393200:TBC393277 TBC458736:TBC458813 TBC524272:TBC524349 TBC589808:TBC589885 TBC655344:TBC655421 TBC720880:TBC720957 TBC786416:TBC786493 TBC851952:TBC852029 TBC917488:TBC917565 TBC983024:TBC983101 TKY2:TKY61 TKY65520:TKY65597 TKY131056:TKY131133 TKY196592:TKY196669 TKY262128:TKY262205 TKY327664:TKY327741 TKY393200:TKY393277 TKY458736:TKY458813 TKY524272:TKY524349 TKY589808:TKY589885 TKY655344:TKY655421 TKY720880:TKY720957 TKY786416:TKY786493 TKY851952:TKY852029 TKY917488:TKY917565 TKY983024:TKY983101 TUU2:TUU61 TUU65520:TUU65597 TUU131056:TUU131133 TUU196592:TUU196669 TUU262128:TUU262205 TUU327664:TUU327741 TUU393200:TUU393277 TUU458736:TUU458813 TUU524272:TUU524349 TUU589808:TUU589885 TUU655344:TUU655421 TUU720880:TUU720957 TUU786416:TUU786493 TUU851952:TUU852029 TUU917488:TUU917565 TUU983024:TUU983101 UEQ2:UEQ61 UEQ65520:UEQ65597 UEQ131056:UEQ131133 UEQ196592:UEQ196669 UEQ262128:UEQ262205 UEQ327664:UEQ327741 UEQ393200:UEQ393277 UEQ458736:UEQ458813 UEQ524272:UEQ524349 UEQ589808:UEQ589885 UEQ655344:UEQ655421 UEQ720880:UEQ720957 UEQ786416:UEQ786493 UEQ851952:UEQ852029 UEQ917488:UEQ917565 UEQ983024:UEQ983101 UOM2:UOM61 UOM65520:UOM65597 UOM131056:UOM131133 UOM196592:UOM196669 UOM262128:UOM262205 UOM327664:UOM327741 UOM393200:UOM393277 UOM458736:UOM458813 UOM524272:UOM524349 UOM589808:UOM589885 UOM655344:UOM655421 UOM720880:UOM720957 UOM786416:UOM786493 UOM851952:UOM852029 UOM917488:UOM917565 UOM983024:UOM983101 UYI2:UYI61 UYI65520:UYI65597 UYI131056:UYI131133 UYI196592:UYI196669 UYI262128:UYI262205 UYI327664:UYI327741 UYI393200:UYI393277 UYI458736:UYI458813 UYI524272:UYI524349 UYI589808:UYI589885 UYI655344:UYI655421 UYI720880:UYI720957 UYI786416:UYI786493 UYI851952:UYI852029 UYI917488:UYI917565 UYI983024:UYI983101 VIE2:VIE61 VIE65520:VIE65597 VIE131056:VIE131133 VIE196592:VIE196669 VIE262128:VIE262205 VIE327664:VIE327741 VIE393200:VIE393277 VIE458736:VIE458813 VIE524272:VIE524349 VIE589808:VIE589885 VIE655344:VIE655421 VIE720880:VIE720957 VIE786416:VIE786493 VIE851952:VIE852029 VIE917488:VIE917565 VIE983024:VIE983101 VSA2:VSA61 VSA65520:VSA65597 VSA131056:VSA131133 VSA196592:VSA196669 VSA262128:VSA262205 VSA327664:VSA327741 VSA393200:VSA393277 VSA458736:VSA458813 VSA524272:VSA524349 VSA589808:VSA589885 VSA655344:VSA655421 VSA720880:VSA720957 VSA786416:VSA786493 VSA851952:VSA852029 VSA917488:VSA917565 VSA983024:VSA983101 WBW2:WBW61 WBW65520:WBW65597 WBW131056:WBW131133 WBW196592:WBW196669 WBW262128:WBW262205 WBW327664:WBW327741 WBW393200:WBW393277 WBW458736:WBW458813 WBW524272:WBW524349 WBW589808:WBW589885 WBW655344:WBW655421 WBW720880:WBW720957 WBW786416:WBW786493 WBW851952:WBW852029 WBW917488:WBW917565 WBW983024:WBW983101 WLS2:WLS61 WLS65520:WLS65597 WLS131056:WLS131133 WLS196592:WLS196669 WLS262128:WLS262205 WLS327664:WLS327741 WLS393200:WLS393277 WLS458736:WLS458813 WLS524272:WLS524349 WLS589808:WLS589885 WLS655344:WLS655421 WLS720880:WLS720957 WLS786416:WLS786493 WLS851952:WLS852029 WLS917488:WLS917565 WLS983024:WLS983101 WVO2:WVO61 WVO65520:WVO65597 WVO131056:WVO131133 WVO196592:WVO196669 WVO262128:WVO262205 WVO327664:WVO327741 WVO393200:WVO393277 WVO458736:WVO458813 WVO524272:WVO524349 WVO589808:WVO589885 WVO655344:WVO655421 WVO720880:WVO720957 WVO786416:WVO786493 WVO851952:WVO852029 WVO917488:WVO917565 WVO983024:WVO983101">
      <formula1>$AJ$2:$AJ$4</formula1>
    </dataValidation>
    <dataValidation type="list" allowBlank="1" showInputMessage="1" showErrorMessage="1" sqref="E2:E714 E65520:E65597 E131056:E131133 E196592:E196669 E262128:E262205 E327664:E327741 E393200:E393277 E458736:E458813 E524272:E524349 E589808:E589885 E655344:E655421 E720880:E720957 E786416:E786493 E851952:E852029 E917488:E917565 E983024:E983101 JA2:JA61 JA65520:JA65597 JA131056:JA131133 JA196592:JA196669 JA262128:JA262205 JA327664:JA327741 JA393200:JA393277 JA458736:JA458813 JA524272:JA524349 JA589808:JA589885 JA655344:JA655421 JA720880:JA720957 JA786416:JA786493 JA851952:JA852029 JA917488:JA917565 JA983024:JA983101 SW2:SW61 SW65520:SW65597 SW131056:SW131133 SW196592:SW196669 SW262128:SW262205 SW327664:SW327741 SW393200:SW393277 SW458736:SW458813 SW524272:SW524349 SW589808:SW589885 SW655344:SW655421 SW720880:SW720957 SW786416:SW786493 SW851952:SW852029 SW917488:SW917565 SW983024:SW983101 ACS2:ACS61 ACS65520:ACS65597 ACS131056:ACS131133 ACS196592:ACS196669 ACS262128:ACS262205 ACS327664:ACS327741 ACS393200:ACS393277 ACS458736:ACS458813 ACS524272:ACS524349 ACS589808:ACS589885 ACS655344:ACS655421 ACS720880:ACS720957 ACS786416:ACS786493 ACS851952:ACS852029 ACS917488:ACS917565 ACS983024:ACS983101 AMO2:AMO61 AMO65520:AMO65597 AMO131056:AMO131133 AMO196592:AMO196669 AMO262128:AMO262205 AMO327664:AMO327741 AMO393200:AMO393277 AMO458736:AMO458813 AMO524272:AMO524349 AMO589808:AMO589885 AMO655344:AMO655421 AMO720880:AMO720957 AMO786416:AMO786493 AMO851952:AMO852029 AMO917488:AMO917565 AMO983024:AMO983101 AWK2:AWK61 AWK65520:AWK65597 AWK131056:AWK131133 AWK196592:AWK196669 AWK262128:AWK262205 AWK327664:AWK327741 AWK393200:AWK393277 AWK458736:AWK458813 AWK524272:AWK524349 AWK589808:AWK589885 AWK655344:AWK655421 AWK720880:AWK720957 AWK786416:AWK786493 AWK851952:AWK852029 AWK917488:AWK917565 AWK983024:AWK983101 BGG2:BGG61 BGG65520:BGG65597 BGG131056:BGG131133 BGG196592:BGG196669 BGG262128:BGG262205 BGG327664:BGG327741 BGG393200:BGG393277 BGG458736:BGG458813 BGG524272:BGG524349 BGG589808:BGG589885 BGG655344:BGG655421 BGG720880:BGG720957 BGG786416:BGG786493 BGG851952:BGG852029 BGG917488:BGG917565 BGG983024:BGG983101 BQC2:BQC61 BQC65520:BQC65597 BQC131056:BQC131133 BQC196592:BQC196669 BQC262128:BQC262205 BQC327664:BQC327741 BQC393200:BQC393277 BQC458736:BQC458813 BQC524272:BQC524349 BQC589808:BQC589885 BQC655344:BQC655421 BQC720880:BQC720957 BQC786416:BQC786493 BQC851952:BQC852029 BQC917488:BQC917565 BQC983024:BQC983101 BZY2:BZY61 BZY65520:BZY65597 BZY131056:BZY131133 BZY196592:BZY196669 BZY262128:BZY262205 BZY327664:BZY327741 BZY393200:BZY393277 BZY458736:BZY458813 BZY524272:BZY524349 BZY589808:BZY589885 BZY655344:BZY655421 BZY720880:BZY720957 BZY786416:BZY786493 BZY851952:BZY852029 BZY917488:BZY917565 BZY983024:BZY983101 CJU2:CJU61 CJU65520:CJU65597 CJU131056:CJU131133 CJU196592:CJU196669 CJU262128:CJU262205 CJU327664:CJU327741 CJU393200:CJU393277 CJU458736:CJU458813 CJU524272:CJU524349 CJU589808:CJU589885 CJU655344:CJU655421 CJU720880:CJU720957 CJU786416:CJU786493 CJU851952:CJU852029 CJU917488:CJU917565 CJU983024:CJU983101 CTQ2:CTQ61 CTQ65520:CTQ65597 CTQ131056:CTQ131133 CTQ196592:CTQ196669 CTQ262128:CTQ262205 CTQ327664:CTQ327741 CTQ393200:CTQ393277 CTQ458736:CTQ458813 CTQ524272:CTQ524349 CTQ589808:CTQ589885 CTQ655344:CTQ655421 CTQ720880:CTQ720957 CTQ786416:CTQ786493 CTQ851952:CTQ852029 CTQ917488:CTQ917565 CTQ983024:CTQ983101 DDM2:DDM61 DDM65520:DDM65597 DDM131056:DDM131133 DDM196592:DDM196669 DDM262128:DDM262205 DDM327664:DDM327741 DDM393200:DDM393277 DDM458736:DDM458813 DDM524272:DDM524349 DDM589808:DDM589885 DDM655344:DDM655421 DDM720880:DDM720957 DDM786416:DDM786493 DDM851952:DDM852029 DDM917488:DDM917565 DDM983024:DDM983101 DNI2:DNI61 DNI65520:DNI65597 DNI131056:DNI131133 DNI196592:DNI196669 DNI262128:DNI262205 DNI327664:DNI327741 DNI393200:DNI393277 DNI458736:DNI458813 DNI524272:DNI524349 DNI589808:DNI589885 DNI655344:DNI655421 DNI720880:DNI720957 DNI786416:DNI786493 DNI851952:DNI852029 DNI917488:DNI917565 DNI983024:DNI983101 DXE2:DXE61 DXE65520:DXE65597 DXE131056:DXE131133 DXE196592:DXE196669 DXE262128:DXE262205 DXE327664:DXE327741 DXE393200:DXE393277 DXE458736:DXE458813 DXE524272:DXE524349 DXE589808:DXE589885 DXE655344:DXE655421 DXE720880:DXE720957 DXE786416:DXE786493 DXE851952:DXE852029 DXE917488:DXE917565 DXE983024:DXE983101 EHA2:EHA61 EHA65520:EHA65597 EHA131056:EHA131133 EHA196592:EHA196669 EHA262128:EHA262205 EHA327664:EHA327741 EHA393200:EHA393277 EHA458736:EHA458813 EHA524272:EHA524349 EHA589808:EHA589885 EHA655344:EHA655421 EHA720880:EHA720957 EHA786416:EHA786493 EHA851952:EHA852029 EHA917488:EHA917565 EHA983024:EHA983101 EQW2:EQW61 EQW65520:EQW65597 EQW131056:EQW131133 EQW196592:EQW196669 EQW262128:EQW262205 EQW327664:EQW327741 EQW393200:EQW393277 EQW458736:EQW458813 EQW524272:EQW524349 EQW589808:EQW589885 EQW655344:EQW655421 EQW720880:EQW720957 EQW786416:EQW786493 EQW851952:EQW852029 EQW917488:EQW917565 EQW983024:EQW983101 FAS2:FAS61 FAS65520:FAS65597 FAS131056:FAS131133 FAS196592:FAS196669 FAS262128:FAS262205 FAS327664:FAS327741 FAS393200:FAS393277 FAS458736:FAS458813 FAS524272:FAS524349 FAS589808:FAS589885 FAS655344:FAS655421 FAS720880:FAS720957 FAS786416:FAS786493 FAS851952:FAS852029 FAS917488:FAS917565 FAS983024:FAS983101 FKO2:FKO61 FKO65520:FKO65597 FKO131056:FKO131133 FKO196592:FKO196669 FKO262128:FKO262205 FKO327664:FKO327741 FKO393200:FKO393277 FKO458736:FKO458813 FKO524272:FKO524349 FKO589808:FKO589885 FKO655344:FKO655421 FKO720880:FKO720957 FKO786416:FKO786493 FKO851952:FKO852029 FKO917488:FKO917565 FKO983024:FKO983101 FUK2:FUK61 FUK65520:FUK65597 FUK131056:FUK131133 FUK196592:FUK196669 FUK262128:FUK262205 FUK327664:FUK327741 FUK393200:FUK393277 FUK458736:FUK458813 FUK524272:FUK524349 FUK589808:FUK589885 FUK655344:FUK655421 FUK720880:FUK720957 FUK786416:FUK786493 FUK851952:FUK852029 FUK917488:FUK917565 FUK983024:FUK983101 GEG2:GEG61 GEG65520:GEG65597 GEG131056:GEG131133 GEG196592:GEG196669 GEG262128:GEG262205 GEG327664:GEG327741 GEG393200:GEG393277 GEG458736:GEG458813 GEG524272:GEG524349 GEG589808:GEG589885 GEG655344:GEG655421 GEG720880:GEG720957 GEG786416:GEG786493 GEG851952:GEG852029 GEG917488:GEG917565 GEG983024:GEG983101 GOC2:GOC61 GOC65520:GOC65597 GOC131056:GOC131133 GOC196592:GOC196669 GOC262128:GOC262205 GOC327664:GOC327741 GOC393200:GOC393277 GOC458736:GOC458813 GOC524272:GOC524349 GOC589808:GOC589885 GOC655344:GOC655421 GOC720880:GOC720957 GOC786416:GOC786493 GOC851952:GOC852029 GOC917488:GOC917565 GOC983024:GOC983101 GXY2:GXY61 GXY65520:GXY65597 GXY131056:GXY131133 GXY196592:GXY196669 GXY262128:GXY262205 GXY327664:GXY327741 GXY393200:GXY393277 GXY458736:GXY458813 GXY524272:GXY524349 GXY589808:GXY589885 GXY655344:GXY655421 GXY720880:GXY720957 GXY786416:GXY786493 GXY851952:GXY852029 GXY917488:GXY917565 GXY983024:GXY983101 HHU2:HHU61 HHU65520:HHU65597 HHU131056:HHU131133 HHU196592:HHU196669 HHU262128:HHU262205 HHU327664:HHU327741 HHU393200:HHU393277 HHU458736:HHU458813 HHU524272:HHU524349 HHU589808:HHU589885 HHU655344:HHU655421 HHU720880:HHU720957 HHU786416:HHU786493 HHU851952:HHU852029 HHU917488:HHU917565 HHU983024:HHU983101 HRQ2:HRQ61 HRQ65520:HRQ65597 HRQ131056:HRQ131133 HRQ196592:HRQ196669 HRQ262128:HRQ262205 HRQ327664:HRQ327741 HRQ393200:HRQ393277 HRQ458736:HRQ458813 HRQ524272:HRQ524349 HRQ589808:HRQ589885 HRQ655344:HRQ655421 HRQ720880:HRQ720957 HRQ786416:HRQ786493 HRQ851952:HRQ852029 HRQ917488:HRQ917565 HRQ983024:HRQ983101 IBM2:IBM61 IBM65520:IBM65597 IBM131056:IBM131133 IBM196592:IBM196669 IBM262128:IBM262205 IBM327664:IBM327741 IBM393200:IBM393277 IBM458736:IBM458813 IBM524272:IBM524349 IBM589808:IBM589885 IBM655344:IBM655421 IBM720880:IBM720957 IBM786416:IBM786493 IBM851952:IBM852029 IBM917488:IBM917565 IBM983024:IBM983101 ILI2:ILI61 ILI65520:ILI65597 ILI131056:ILI131133 ILI196592:ILI196669 ILI262128:ILI262205 ILI327664:ILI327741 ILI393200:ILI393277 ILI458736:ILI458813 ILI524272:ILI524349 ILI589808:ILI589885 ILI655344:ILI655421 ILI720880:ILI720957 ILI786416:ILI786493 ILI851952:ILI852029 ILI917488:ILI917565 ILI983024:ILI983101 IVE2:IVE61 IVE65520:IVE65597 IVE131056:IVE131133 IVE196592:IVE196669 IVE262128:IVE262205 IVE327664:IVE327741 IVE393200:IVE393277 IVE458736:IVE458813 IVE524272:IVE524349 IVE589808:IVE589885 IVE655344:IVE655421 IVE720880:IVE720957 IVE786416:IVE786493 IVE851952:IVE852029 IVE917488:IVE917565 IVE983024:IVE983101 JFA2:JFA61 JFA65520:JFA65597 JFA131056:JFA131133 JFA196592:JFA196669 JFA262128:JFA262205 JFA327664:JFA327741 JFA393200:JFA393277 JFA458736:JFA458813 JFA524272:JFA524349 JFA589808:JFA589885 JFA655344:JFA655421 JFA720880:JFA720957 JFA786416:JFA786493 JFA851952:JFA852029 JFA917488:JFA917565 JFA983024:JFA983101 JOW2:JOW61 JOW65520:JOW65597 JOW131056:JOW131133 JOW196592:JOW196669 JOW262128:JOW262205 JOW327664:JOW327741 JOW393200:JOW393277 JOW458736:JOW458813 JOW524272:JOW524349 JOW589808:JOW589885 JOW655344:JOW655421 JOW720880:JOW720957 JOW786416:JOW786493 JOW851952:JOW852029 JOW917488:JOW917565 JOW983024:JOW983101 JYS2:JYS61 JYS65520:JYS65597 JYS131056:JYS131133 JYS196592:JYS196669 JYS262128:JYS262205 JYS327664:JYS327741 JYS393200:JYS393277 JYS458736:JYS458813 JYS524272:JYS524349 JYS589808:JYS589885 JYS655344:JYS655421 JYS720880:JYS720957 JYS786416:JYS786493 JYS851952:JYS852029 JYS917488:JYS917565 JYS983024:JYS983101 KIO2:KIO61 KIO65520:KIO65597 KIO131056:KIO131133 KIO196592:KIO196669 KIO262128:KIO262205 KIO327664:KIO327741 KIO393200:KIO393277 KIO458736:KIO458813 KIO524272:KIO524349 KIO589808:KIO589885 KIO655344:KIO655421 KIO720880:KIO720957 KIO786416:KIO786493 KIO851952:KIO852029 KIO917488:KIO917565 KIO983024:KIO983101 KSK2:KSK61 KSK65520:KSK65597 KSK131056:KSK131133 KSK196592:KSK196669 KSK262128:KSK262205 KSK327664:KSK327741 KSK393200:KSK393277 KSK458736:KSK458813 KSK524272:KSK524349 KSK589808:KSK589885 KSK655344:KSK655421 KSK720880:KSK720957 KSK786416:KSK786493 KSK851952:KSK852029 KSK917488:KSK917565 KSK983024:KSK983101 LCG2:LCG61 LCG65520:LCG65597 LCG131056:LCG131133 LCG196592:LCG196669 LCG262128:LCG262205 LCG327664:LCG327741 LCG393200:LCG393277 LCG458736:LCG458813 LCG524272:LCG524349 LCG589808:LCG589885 LCG655344:LCG655421 LCG720880:LCG720957 LCG786416:LCG786493 LCG851952:LCG852029 LCG917488:LCG917565 LCG983024:LCG983101 LMC2:LMC61 LMC65520:LMC65597 LMC131056:LMC131133 LMC196592:LMC196669 LMC262128:LMC262205 LMC327664:LMC327741 LMC393200:LMC393277 LMC458736:LMC458813 LMC524272:LMC524349 LMC589808:LMC589885 LMC655344:LMC655421 LMC720880:LMC720957 LMC786416:LMC786493 LMC851952:LMC852029 LMC917488:LMC917565 LMC983024:LMC983101 LVY2:LVY61 LVY65520:LVY65597 LVY131056:LVY131133 LVY196592:LVY196669 LVY262128:LVY262205 LVY327664:LVY327741 LVY393200:LVY393277 LVY458736:LVY458813 LVY524272:LVY524349 LVY589808:LVY589885 LVY655344:LVY655421 LVY720880:LVY720957 LVY786416:LVY786493 LVY851952:LVY852029 LVY917488:LVY917565 LVY983024:LVY983101 MFU2:MFU61 MFU65520:MFU65597 MFU131056:MFU131133 MFU196592:MFU196669 MFU262128:MFU262205 MFU327664:MFU327741 MFU393200:MFU393277 MFU458736:MFU458813 MFU524272:MFU524349 MFU589808:MFU589885 MFU655344:MFU655421 MFU720880:MFU720957 MFU786416:MFU786493 MFU851952:MFU852029 MFU917488:MFU917565 MFU983024:MFU983101 MPQ2:MPQ61 MPQ65520:MPQ65597 MPQ131056:MPQ131133 MPQ196592:MPQ196669 MPQ262128:MPQ262205 MPQ327664:MPQ327741 MPQ393200:MPQ393277 MPQ458736:MPQ458813 MPQ524272:MPQ524349 MPQ589808:MPQ589885 MPQ655344:MPQ655421 MPQ720880:MPQ720957 MPQ786416:MPQ786493 MPQ851952:MPQ852029 MPQ917488:MPQ917565 MPQ983024:MPQ983101 MZM2:MZM61 MZM65520:MZM65597 MZM131056:MZM131133 MZM196592:MZM196669 MZM262128:MZM262205 MZM327664:MZM327741 MZM393200:MZM393277 MZM458736:MZM458813 MZM524272:MZM524349 MZM589808:MZM589885 MZM655344:MZM655421 MZM720880:MZM720957 MZM786416:MZM786493 MZM851952:MZM852029 MZM917488:MZM917565 MZM983024:MZM983101 NJI2:NJI61 NJI65520:NJI65597 NJI131056:NJI131133 NJI196592:NJI196669 NJI262128:NJI262205 NJI327664:NJI327741 NJI393200:NJI393277 NJI458736:NJI458813 NJI524272:NJI524349 NJI589808:NJI589885 NJI655344:NJI655421 NJI720880:NJI720957 NJI786416:NJI786493 NJI851952:NJI852029 NJI917488:NJI917565 NJI983024:NJI983101 NTE2:NTE61 NTE65520:NTE65597 NTE131056:NTE131133 NTE196592:NTE196669 NTE262128:NTE262205 NTE327664:NTE327741 NTE393200:NTE393277 NTE458736:NTE458813 NTE524272:NTE524349 NTE589808:NTE589885 NTE655344:NTE655421 NTE720880:NTE720957 NTE786416:NTE786493 NTE851952:NTE852029 NTE917488:NTE917565 NTE983024:NTE983101 ODA2:ODA61 ODA65520:ODA65597 ODA131056:ODA131133 ODA196592:ODA196669 ODA262128:ODA262205 ODA327664:ODA327741 ODA393200:ODA393277 ODA458736:ODA458813 ODA524272:ODA524349 ODA589808:ODA589885 ODA655344:ODA655421 ODA720880:ODA720957 ODA786416:ODA786493 ODA851952:ODA852029 ODA917488:ODA917565 ODA983024:ODA983101 OMW2:OMW61 OMW65520:OMW65597 OMW131056:OMW131133 OMW196592:OMW196669 OMW262128:OMW262205 OMW327664:OMW327741 OMW393200:OMW393277 OMW458736:OMW458813 OMW524272:OMW524349 OMW589808:OMW589885 OMW655344:OMW655421 OMW720880:OMW720957 OMW786416:OMW786493 OMW851952:OMW852029 OMW917488:OMW917565 OMW983024:OMW983101 OWS2:OWS61 OWS65520:OWS65597 OWS131056:OWS131133 OWS196592:OWS196669 OWS262128:OWS262205 OWS327664:OWS327741 OWS393200:OWS393277 OWS458736:OWS458813 OWS524272:OWS524349 OWS589808:OWS589885 OWS655344:OWS655421 OWS720880:OWS720957 OWS786416:OWS786493 OWS851952:OWS852029 OWS917488:OWS917565 OWS983024:OWS983101 PGO2:PGO61 PGO65520:PGO65597 PGO131056:PGO131133 PGO196592:PGO196669 PGO262128:PGO262205 PGO327664:PGO327741 PGO393200:PGO393277 PGO458736:PGO458813 PGO524272:PGO524349 PGO589808:PGO589885 PGO655344:PGO655421 PGO720880:PGO720957 PGO786416:PGO786493 PGO851952:PGO852029 PGO917488:PGO917565 PGO983024:PGO983101 PQK2:PQK61 PQK65520:PQK65597 PQK131056:PQK131133 PQK196592:PQK196669 PQK262128:PQK262205 PQK327664:PQK327741 PQK393200:PQK393277 PQK458736:PQK458813 PQK524272:PQK524349 PQK589808:PQK589885 PQK655344:PQK655421 PQK720880:PQK720957 PQK786416:PQK786493 PQK851952:PQK852029 PQK917488:PQK917565 PQK983024:PQK983101 QAG2:QAG61 QAG65520:QAG65597 QAG131056:QAG131133 QAG196592:QAG196669 QAG262128:QAG262205 QAG327664:QAG327741 QAG393200:QAG393277 QAG458736:QAG458813 QAG524272:QAG524349 QAG589808:QAG589885 QAG655344:QAG655421 QAG720880:QAG720957 QAG786416:QAG786493 QAG851952:QAG852029 QAG917488:QAG917565 QAG983024:QAG983101 QKC2:QKC61 QKC65520:QKC65597 QKC131056:QKC131133 QKC196592:QKC196669 QKC262128:QKC262205 QKC327664:QKC327741 QKC393200:QKC393277 QKC458736:QKC458813 QKC524272:QKC524349 QKC589808:QKC589885 QKC655344:QKC655421 QKC720880:QKC720957 QKC786416:QKC786493 QKC851952:QKC852029 QKC917488:QKC917565 QKC983024:QKC983101 QTY2:QTY61 QTY65520:QTY65597 QTY131056:QTY131133 QTY196592:QTY196669 QTY262128:QTY262205 QTY327664:QTY327741 QTY393200:QTY393277 QTY458736:QTY458813 QTY524272:QTY524349 QTY589808:QTY589885 QTY655344:QTY655421 QTY720880:QTY720957 QTY786416:QTY786493 QTY851952:QTY852029 QTY917488:QTY917565 QTY983024:QTY983101 RDU2:RDU61 RDU65520:RDU65597 RDU131056:RDU131133 RDU196592:RDU196669 RDU262128:RDU262205 RDU327664:RDU327741 RDU393200:RDU393277 RDU458736:RDU458813 RDU524272:RDU524349 RDU589808:RDU589885 RDU655344:RDU655421 RDU720880:RDU720957 RDU786416:RDU786493 RDU851952:RDU852029 RDU917488:RDU917565 RDU983024:RDU983101 RNQ2:RNQ61 RNQ65520:RNQ65597 RNQ131056:RNQ131133 RNQ196592:RNQ196669 RNQ262128:RNQ262205 RNQ327664:RNQ327741 RNQ393200:RNQ393277 RNQ458736:RNQ458813 RNQ524272:RNQ524349 RNQ589808:RNQ589885 RNQ655344:RNQ655421 RNQ720880:RNQ720957 RNQ786416:RNQ786493 RNQ851952:RNQ852029 RNQ917488:RNQ917565 RNQ983024:RNQ983101 RXM2:RXM61 RXM65520:RXM65597 RXM131056:RXM131133 RXM196592:RXM196669 RXM262128:RXM262205 RXM327664:RXM327741 RXM393200:RXM393277 RXM458736:RXM458813 RXM524272:RXM524349 RXM589808:RXM589885 RXM655344:RXM655421 RXM720880:RXM720957 RXM786416:RXM786493 RXM851952:RXM852029 RXM917488:RXM917565 RXM983024:RXM983101 SHI2:SHI61 SHI65520:SHI65597 SHI131056:SHI131133 SHI196592:SHI196669 SHI262128:SHI262205 SHI327664:SHI327741 SHI393200:SHI393277 SHI458736:SHI458813 SHI524272:SHI524349 SHI589808:SHI589885 SHI655344:SHI655421 SHI720880:SHI720957 SHI786416:SHI786493 SHI851952:SHI852029 SHI917488:SHI917565 SHI983024:SHI983101 SRE2:SRE61 SRE65520:SRE65597 SRE131056:SRE131133 SRE196592:SRE196669 SRE262128:SRE262205 SRE327664:SRE327741 SRE393200:SRE393277 SRE458736:SRE458813 SRE524272:SRE524349 SRE589808:SRE589885 SRE655344:SRE655421 SRE720880:SRE720957 SRE786416:SRE786493 SRE851952:SRE852029 SRE917488:SRE917565 SRE983024:SRE983101 TBA2:TBA61 TBA65520:TBA65597 TBA131056:TBA131133 TBA196592:TBA196669 TBA262128:TBA262205 TBA327664:TBA327741 TBA393200:TBA393277 TBA458736:TBA458813 TBA524272:TBA524349 TBA589808:TBA589885 TBA655344:TBA655421 TBA720880:TBA720957 TBA786416:TBA786493 TBA851952:TBA852029 TBA917488:TBA917565 TBA983024:TBA983101 TKW2:TKW61 TKW65520:TKW65597 TKW131056:TKW131133 TKW196592:TKW196669 TKW262128:TKW262205 TKW327664:TKW327741 TKW393200:TKW393277 TKW458736:TKW458813 TKW524272:TKW524349 TKW589808:TKW589885 TKW655344:TKW655421 TKW720880:TKW720957 TKW786416:TKW786493 TKW851952:TKW852029 TKW917488:TKW917565 TKW983024:TKW983101 TUS2:TUS61 TUS65520:TUS65597 TUS131056:TUS131133 TUS196592:TUS196669 TUS262128:TUS262205 TUS327664:TUS327741 TUS393200:TUS393277 TUS458736:TUS458813 TUS524272:TUS524349 TUS589808:TUS589885 TUS655344:TUS655421 TUS720880:TUS720957 TUS786416:TUS786493 TUS851952:TUS852029 TUS917488:TUS917565 TUS983024:TUS983101 UEO2:UEO61 UEO65520:UEO65597 UEO131056:UEO131133 UEO196592:UEO196669 UEO262128:UEO262205 UEO327664:UEO327741 UEO393200:UEO393277 UEO458736:UEO458813 UEO524272:UEO524349 UEO589808:UEO589885 UEO655344:UEO655421 UEO720880:UEO720957 UEO786416:UEO786493 UEO851952:UEO852029 UEO917488:UEO917565 UEO983024:UEO983101 UOK2:UOK61 UOK65520:UOK65597 UOK131056:UOK131133 UOK196592:UOK196669 UOK262128:UOK262205 UOK327664:UOK327741 UOK393200:UOK393277 UOK458736:UOK458813 UOK524272:UOK524349 UOK589808:UOK589885 UOK655344:UOK655421 UOK720880:UOK720957 UOK786416:UOK786493 UOK851952:UOK852029 UOK917488:UOK917565 UOK983024:UOK983101 UYG2:UYG61 UYG65520:UYG65597 UYG131056:UYG131133 UYG196592:UYG196669 UYG262128:UYG262205 UYG327664:UYG327741 UYG393200:UYG393277 UYG458736:UYG458813 UYG524272:UYG524349 UYG589808:UYG589885 UYG655344:UYG655421 UYG720880:UYG720957 UYG786416:UYG786493 UYG851952:UYG852029 UYG917488:UYG917565 UYG983024:UYG983101 VIC2:VIC61 VIC65520:VIC65597 VIC131056:VIC131133 VIC196592:VIC196669 VIC262128:VIC262205 VIC327664:VIC327741 VIC393200:VIC393277 VIC458736:VIC458813 VIC524272:VIC524349 VIC589808:VIC589885 VIC655344:VIC655421 VIC720880:VIC720957 VIC786416:VIC786493 VIC851952:VIC852029 VIC917488:VIC917565 VIC983024:VIC983101 VRY2:VRY61 VRY65520:VRY65597 VRY131056:VRY131133 VRY196592:VRY196669 VRY262128:VRY262205 VRY327664:VRY327741 VRY393200:VRY393277 VRY458736:VRY458813 VRY524272:VRY524349 VRY589808:VRY589885 VRY655344:VRY655421 VRY720880:VRY720957 VRY786416:VRY786493 VRY851952:VRY852029 VRY917488:VRY917565 VRY983024:VRY983101 WBU2:WBU61 WBU65520:WBU65597 WBU131056:WBU131133 WBU196592:WBU196669 WBU262128:WBU262205 WBU327664:WBU327741 WBU393200:WBU393277 WBU458736:WBU458813 WBU524272:WBU524349 WBU589808:WBU589885 WBU655344:WBU655421 WBU720880:WBU720957 WBU786416:WBU786493 WBU851952:WBU852029 WBU917488:WBU917565 WBU983024:WBU983101 WLQ2:WLQ61 WLQ65520:WLQ65597 WLQ131056:WLQ131133 WLQ196592:WLQ196669 WLQ262128:WLQ262205 WLQ327664:WLQ327741 WLQ393200:WLQ393277 WLQ458736:WLQ458813 WLQ524272:WLQ524349 WLQ589808:WLQ589885 WLQ655344:WLQ655421 WLQ720880:WLQ720957 WLQ786416:WLQ786493 WLQ851952:WLQ852029 WLQ917488:WLQ917565 WLQ983024:WLQ983101 WVM2:WVM61 WVM65520:WVM65597 WVM131056:WVM131133 WVM196592:WVM196669 WVM262128:WVM262205 WVM327664:WVM327741 WVM393200:WVM393277 WVM458736:WVM458813 WVM524272:WVM524349 WVM589808:WVM589885 WVM655344:WVM655421 WVM720880:WVM720957 WVM786416:WVM786493 WVM851952:WVM852029 WVM917488:WVM917565 WVM983024:WVM983101">
      <formula1>$AG$2:$AG$10</formula1>
    </dataValidation>
    <dataValidation type="list" allowBlank="1" showInputMessage="1" showErrorMessage="1" sqref="J2:J482 J65520:J65597 J131056:J131133 J196592:J196669 J262128:J262205 J327664:J327741 J393200:J393277 J458736:J458813 J524272:J524349 J589808:J589885 J655344:J655421 J720880:J720957 J786416:J786493 J851952:J852029 J917488:J917565 J983024:J983101 JF2:JF61 JF65520:JF65597 JF131056:JF131133 JF196592:JF196669 JF262128:JF262205 JF327664:JF327741 JF393200:JF393277 JF458736:JF458813 JF524272:JF524349 JF589808:JF589885 JF655344:JF655421 JF720880:JF720957 JF786416:JF786493 JF851952:JF852029 JF917488:JF917565 JF983024:JF983101 TB2:TB61 TB65520:TB65597 TB131056:TB131133 TB196592:TB196669 TB262128:TB262205 TB327664:TB327741 TB393200:TB393277 TB458736:TB458813 TB524272:TB524349 TB589808:TB589885 TB655344:TB655421 TB720880:TB720957 TB786416:TB786493 TB851952:TB852029 TB917488:TB917565 TB983024:TB983101 ACX2:ACX61 ACX65520:ACX65597 ACX131056:ACX131133 ACX196592:ACX196669 ACX262128:ACX262205 ACX327664:ACX327741 ACX393200:ACX393277 ACX458736:ACX458813 ACX524272:ACX524349 ACX589808:ACX589885 ACX655344:ACX655421 ACX720880:ACX720957 ACX786416:ACX786493 ACX851952:ACX852029 ACX917488:ACX917565 ACX983024:ACX983101 AMT2:AMT61 AMT65520:AMT65597 AMT131056:AMT131133 AMT196592:AMT196669 AMT262128:AMT262205 AMT327664:AMT327741 AMT393200:AMT393277 AMT458736:AMT458813 AMT524272:AMT524349 AMT589808:AMT589885 AMT655344:AMT655421 AMT720880:AMT720957 AMT786416:AMT786493 AMT851952:AMT852029 AMT917488:AMT917565 AMT983024:AMT983101 AWP2:AWP61 AWP65520:AWP65597 AWP131056:AWP131133 AWP196592:AWP196669 AWP262128:AWP262205 AWP327664:AWP327741 AWP393200:AWP393277 AWP458736:AWP458813 AWP524272:AWP524349 AWP589808:AWP589885 AWP655344:AWP655421 AWP720880:AWP720957 AWP786416:AWP786493 AWP851952:AWP852029 AWP917488:AWP917565 AWP983024:AWP983101 BGL2:BGL61 BGL65520:BGL65597 BGL131056:BGL131133 BGL196592:BGL196669 BGL262128:BGL262205 BGL327664:BGL327741 BGL393200:BGL393277 BGL458736:BGL458813 BGL524272:BGL524349 BGL589808:BGL589885 BGL655344:BGL655421 BGL720880:BGL720957 BGL786416:BGL786493 BGL851952:BGL852029 BGL917488:BGL917565 BGL983024:BGL983101 BQH2:BQH61 BQH65520:BQH65597 BQH131056:BQH131133 BQH196592:BQH196669 BQH262128:BQH262205 BQH327664:BQH327741 BQH393200:BQH393277 BQH458736:BQH458813 BQH524272:BQH524349 BQH589808:BQH589885 BQH655344:BQH655421 BQH720880:BQH720957 BQH786416:BQH786493 BQH851952:BQH852029 BQH917488:BQH917565 BQH983024:BQH983101 CAD2:CAD61 CAD65520:CAD65597 CAD131056:CAD131133 CAD196592:CAD196669 CAD262128:CAD262205 CAD327664:CAD327741 CAD393200:CAD393277 CAD458736:CAD458813 CAD524272:CAD524349 CAD589808:CAD589885 CAD655344:CAD655421 CAD720880:CAD720957 CAD786416:CAD786493 CAD851952:CAD852029 CAD917488:CAD917565 CAD983024:CAD983101 CJZ2:CJZ61 CJZ65520:CJZ65597 CJZ131056:CJZ131133 CJZ196592:CJZ196669 CJZ262128:CJZ262205 CJZ327664:CJZ327741 CJZ393200:CJZ393277 CJZ458736:CJZ458813 CJZ524272:CJZ524349 CJZ589808:CJZ589885 CJZ655344:CJZ655421 CJZ720880:CJZ720957 CJZ786416:CJZ786493 CJZ851952:CJZ852029 CJZ917488:CJZ917565 CJZ983024:CJZ983101 CTV2:CTV61 CTV65520:CTV65597 CTV131056:CTV131133 CTV196592:CTV196669 CTV262128:CTV262205 CTV327664:CTV327741 CTV393200:CTV393277 CTV458736:CTV458813 CTV524272:CTV524349 CTV589808:CTV589885 CTV655344:CTV655421 CTV720880:CTV720957 CTV786416:CTV786493 CTV851952:CTV852029 CTV917488:CTV917565 CTV983024:CTV983101 DDR2:DDR61 DDR65520:DDR65597 DDR131056:DDR131133 DDR196592:DDR196669 DDR262128:DDR262205 DDR327664:DDR327741 DDR393200:DDR393277 DDR458736:DDR458813 DDR524272:DDR524349 DDR589808:DDR589885 DDR655344:DDR655421 DDR720880:DDR720957 DDR786416:DDR786493 DDR851952:DDR852029 DDR917488:DDR917565 DDR983024:DDR983101 DNN2:DNN61 DNN65520:DNN65597 DNN131056:DNN131133 DNN196592:DNN196669 DNN262128:DNN262205 DNN327664:DNN327741 DNN393200:DNN393277 DNN458736:DNN458813 DNN524272:DNN524349 DNN589808:DNN589885 DNN655344:DNN655421 DNN720880:DNN720957 DNN786416:DNN786493 DNN851952:DNN852029 DNN917488:DNN917565 DNN983024:DNN983101 DXJ2:DXJ61 DXJ65520:DXJ65597 DXJ131056:DXJ131133 DXJ196592:DXJ196669 DXJ262128:DXJ262205 DXJ327664:DXJ327741 DXJ393200:DXJ393277 DXJ458736:DXJ458813 DXJ524272:DXJ524349 DXJ589808:DXJ589885 DXJ655344:DXJ655421 DXJ720880:DXJ720957 DXJ786416:DXJ786493 DXJ851952:DXJ852029 DXJ917488:DXJ917565 DXJ983024:DXJ983101 EHF2:EHF61 EHF65520:EHF65597 EHF131056:EHF131133 EHF196592:EHF196669 EHF262128:EHF262205 EHF327664:EHF327741 EHF393200:EHF393277 EHF458736:EHF458813 EHF524272:EHF524349 EHF589808:EHF589885 EHF655344:EHF655421 EHF720880:EHF720957 EHF786416:EHF786493 EHF851952:EHF852029 EHF917488:EHF917565 EHF983024:EHF983101 ERB2:ERB61 ERB65520:ERB65597 ERB131056:ERB131133 ERB196592:ERB196669 ERB262128:ERB262205 ERB327664:ERB327741 ERB393200:ERB393277 ERB458736:ERB458813 ERB524272:ERB524349 ERB589808:ERB589885 ERB655344:ERB655421 ERB720880:ERB720957 ERB786416:ERB786493 ERB851952:ERB852029 ERB917488:ERB917565 ERB983024:ERB983101 FAX2:FAX61 FAX65520:FAX65597 FAX131056:FAX131133 FAX196592:FAX196669 FAX262128:FAX262205 FAX327664:FAX327741 FAX393200:FAX393277 FAX458736:FAX458813 FAX524272:FAX524349 FAX589808:FAX589885 FAX655344:FAX655421 FAX720880:FAX720957 FAX786416:FAX786493 FAX851952:FAX852029 FAX917488:FAX917565 FAX983024:FAX983101 FKT2:FKT61 FKT65520:FKT65597 FKT131056:FKT131133 FKT196592:FKT196669 FKT262128:FKT262205 FKT327664:FKT327741 FKT393200:FKT393277 FKT458736:FKT458813 FKT524272:FKT524349 FKT589808:FKT589885 FKT655344:FKT655421 FKT720880:FKT720957 FKT786416:FKT786493 FKT851952:FKT852029 FKT917488:FKT917565 FKT983024:FKT983101 FUP2:FUP61 FUP65520:FUP65597 FUP131056:FUP131133 FUP196592:FUP196669 FUP262128:FUP262205 FUP327664:FUP327741 FUP393200:FUP393277 FUP458736:FUP458813 FUP524272:FUP524349 FUP589808:FUP589885 FUP655344:FUP655421 FUP720880:FUP720957 FUP786416:FUP786493 FUP851952:FUP852029 FUP917488:FUP917565 FUP983024:FUP983101 GEL2:GEL61 GEL65520:GEL65597 GEL131056:GEL131133 GEL196592:GEL196669 GEL262128:GEL262205 GEL327664:GEL327741 GEL393200:GEL393277 GEL458736:GEL458813 GEL524272:GEL524349 GEL589808:GEL589885 GEL655344:GEL655421 GEL720880:GEL720957 GEL786416:GEL786493 GEL851952:GEL852029 GEL917488:GEL917565 GEL983024:GEL983101 GOH2:GOH61 GOH65520:GOH65597 GOH131056:GOH131133 GOH196592:GOH196669 GOH262128:GOH262205 GOH327664:GOH327741 GOH393200:GOH393277 GOH458736:GOH458813 GOH524272:GOH524349 GOH589808:GOH589885 GOH655344:GOH655421 GOH720880:GOH720957 GOH786416:GOH786493 GOH851952:GOH852029 GOH917488:GOH917565 GOH983024:GOH983101 GYD2:GYD61 GYD65520:GYD65597 GYD131056:GYD131133 GYD196592:GYD196669 GYD262128:GYD262205 GYD327664:GYD327741 GYD393200:GYD393277 GYD458736:GYD458813 GYD524272:GYD524349 GYD589808:GYD589885 GYD655344:GYD655421 GYD720880:GYD720957 GYD786416:GYD786493 GYD851952:GYD852029 GYD917488:GYD917565 GYD983024:GYD983101 HHZ2:HHZ61 HHZ65520:HHZ65597 HHZ131056:HHZ131133 HHZ196592:HHZ196669 HHZ262128:HHZ262205 HHZ327664:HHZ327741 HHZ393200:HHZ393277 HHZ458736:HHZ458813 HHZ524272:HHZ524349 HHZ589808:HHZ589885 HHZ655344:HHZ655421 HHZ720880:HHZ720957 HHZ786416:HHZ786493 HHZ851952:HHZ852029 HHZ917488:HHZ917565 HHZ983024:HHZ983101 HRV2:HRV61 HRV65520:HRV65597 HRV131056:HRV131133 HRV196592:HRV196669 HRV262128:HRV262205 HRV327664:HRV327741 HRV393200:HRV393277 HRV458736:HRV458813 HRV524272:HRV524349 HRV589808:HRV589885 HRV655344:HRV655421 HRV720880:HRV720957 HRV786416:HRV786493 HRV851952:HRV852029 HRV917488:HRV917565 HRV983024:HRV983101 IBR2:IBR61 IBR65520:IBR65597 IBR131056:IBR131133 IBR196592:IBR196669 IBR262128:IBR262205 IBR327664:IBR327741 IBR393200:IBR393277 IBR458736:IBR458813 IBR524272:IBR524349 IBR589808:IBR589885 IBR655344:IBR655421 IBR720880:IBR720957 IBR786416:IBR786493 IBR851952:IBR852029 IBR917488:IBR917565 IBR983024:IBR983101 ILN2:ILN61 ILN65520:ILN65597 ILN131056:ILN131133 ILN196592:ILN196669 ILN262128:ILN262205 ILN327664:ILN327741 ILN393200:ILN393277 ILN458736:ILN458813 ILN524272:ILN524349 ILN589808:ILN589885 ILN655344:ILN655421 ILN720880:ILN720957 ILN786416:ILN786493 ILN851952:ILN852029 ILN917488:ILN917565 ILN983024:ILN983101 IVJ2:IVJ61 IVJ65520:IVJ65597 IVJ131056:IVJ131133 IVJ196592:IVJ196669 IVJ262128:IVJ262205 IVJ327664:IVJ327741 IVJ393200:IVJ393277 IVJ458736:IVJ458813 IVJ524272:IVJ524349 IVJ589808:IVJ589885 IVJ655344:IVJ655421 IVJ720880:IVJ720957 IVJ786416:IVJ786493 IVJ851952:IVJ852029 IVJ917488:IVJ917565 IVJ983024:IVJ983101 JFF2:JFF61 JFF65520:JFF65597 JFF131056:JFF131133 JFF196592:JFF196669 JFF262128:JFF262205 JFF327664:JFF327741 JFF393200:JFF393277 JFF458736:JFF458813 JFF524272:JFF524349 JFF589808:JFF589885 JFF655344:JFF655421 JFF720880:JFF720957 JFF786416:JFF786493 JFF851952:JFF852029 JFF917488:JFF917565 JFF983024:JFF983101 JPB2:JPB61 JPB65520:JPB65597 JPB131056:JPB131133 JPB196592:JPB196669 JPB262128:JPB262205 JPB327664:JPB327741 JPB393200:JPB393277 JPB458736:JPB458813 JPB524272:JPB524349 JPB589808:JPB589885 JPB655344:JPB655421 JPB720880:JPB720957 JPB786416:JPB786493 JPB851952:JPB852029 JPB917488:JPB917565 JPB983024:JPB983101 JYX2:JYX61 JYX65520:JYX65597 JYX131056:JYX131133 JYX196592:JYX196669 JYX262128:JYX262205 JYX327664:JYX327741 JYX393200:JYX393277 JYX458736:JYX458813 JYX524272:JYX524349 JYX589808:JYX589885 JYX655344:JYX655421 JYX720880:JYX720957 JYX786416:JYX786493 JYX851952:JYX852029 JYX917488:JYX917565 JYX983024:JYX983101 KIT2:KIT61 KIT65520:KIT65597 KIT131056:KIT131133 KIT196592:KIT196669 KIT262128:KIT262205 KIT327664:KIT327741 KIT393200:KIT393277 KIT458736:KIT458813 KIT524272:KIT524349 KIT589808:KIT589885 KIT655344:KIT655421 KIT720880:KIT720957 KIT786416:KIT786493 KIT851952:KIT852029 KIT917488:KIT917565 KIT983024:KIT983101 KSP2:KSP61 KSP65520:KSP65597 KSP131056:KSP131133 KSP196592:KSP196669 KSP262128:KSP262205 KSP327664:KSP327741 KSP393200:KSP393277 KSP458736:KSP458813 KSP524272:KSP524349 KSP589808:KSP589885 KSP655344:KSP655421 KSP720880:KSP720957 KSP786416:KSP786493 KSP851952:KSP852029 KSP917488:KSP917565 KSP983024:KSP983101 LCL2:LCL61 LCL65520:LCL65597 LCL131056:LCL131133 LCL196592:LCL196669 LCL262128:LCL262205 LCL327664:LCL327741 LCL393200:LCL393277 LCL458736:LCL458813 LCL524272:LCL524349 LCL589808:LCL589885 LCL655344:LCL655421 LCL720880:LCL720957 LCL786416:LCL786493 LCL851952:LCL852029 LCL917488:LCL917565 LCL983024:LCL983101 LMH2:LMH61 LMH65520:LMH65597 LMH131056:LMH131133 LMH196592:LMH196669 LMH262128:LMH262205 LMH327664:LMH327741 LMH393200:LMH393277 LMH458736:LMH458813 LMH524272:LMH524349 LMH589808:LMH589885 LMH655344:LMH655421 LMH720880:LMH720957 LMH786416:LMH786493 LMH851952:LMH852029 LMH917488:LMH917565 LMH983024:LMH983101 LWD2:LWD61 LWD65520:LWD65597 LWD131056:LWD131133 LWD196592:LWD196669 LWD262128:LWD262205 LWD327664:LWD327741 LWD393200:LWD393277 LWD458736:LWD458813 LWD524272:LWD524349 LWD589808:LWD589885 LWD655344:LWD655421 LWD720880:LWD720957 LWD786416:LWD786493 LWD851952:LWD852029 LWD917488:LWD917565 LWD983024:LWD983101 MFZ2:MFZ61 MFZ65520:MFZ65597 MFZ131056:MFZ131133 MFZ196592:MFZ196669 MFZ262128:MFZ262205 MFZ327664:MFZ327741 MFZ393200:MFZ393277 MFZ458736:MFZ458813 MFZ524272:MFZ524349 MFZ589808:MFZ589885 MFZ655344:MFZ655421 MFZ720880:MFZ720957 MFZ786416:MFZ786493 MFZ851952:MFZ852029 MFZ917488:MFZ917565 MFZ983024:MFZ983101 MPV2:MPV61 MPV65520:MPV65597 MPV131056:MPV131133 MPV196592:MPV196669 MPV262128:MPV262205 MPV327664:MPV327741 MPV393200:MPV393277 MPV458736:MPV458813 MPV524272:MPV524349 MPV589808:MPV589885 MPV655344:MPV655421 MPV720880:MPV720957 MPV786416:MPV786493 MPV851952:MPV852029 MPV917488:MPV917565 MPV983024:MPV983101 MZR2:MZR61 MZR65520:MZR65597 MZR131056:MZR131133 MZR196592:MZR196669 MZR262128:MZR262205 MZR327664:MZR327741 MZR393200:MZR393277 MZR458736:MZR458813 MZR524272:MZR524349 MZR589808:MZR589885 MZR655344:MZR655421 MZR720880:MZR720957 MZR786416:MZR786493 MZR851952:MZR852029 MZR917488:MZR917565 MZR983024:MZR983101 NJN2:NJN61 NJN65520:NJN65597 NJN131056:NJN131133 NJN196592:NJN196669 NJN262128:NJN262205 NJN327664:NJN327741 NJN393200:NJN393277 NJN458736:NJN458813 NJN524272:NJN524349 NJN589808:NJN589885 NJN655344:NJN655421 NJN720880:NJN720957 NJN786416:NJN786493 NJN851952:NJN852029 NJN917488:NJN917565 NJN983024:NJN983101 NTJ2:NTJ61 NTJ65520:NTJ65597 NTJ131056:NTJ131133 NTJ196592:NTJ196669 NTJ262128:NTJ262205 NTJ327664:NTJ327741 NTJ393200:NTJ393277 NTJ458736:NTJ458813 NTJ524272:NTJ524349 NTJ589808:NTJ589885 NTJ655344:NTJ655421 NTJ720880:NTJ720957 NTJ786416:NTJ786493 NTJ851952:NTJ852029 NTJ917488:NTJ917565 NTJ983024:NTJ983101 ODF2:ODF61 ODF65520:ODF65597 ODF131056:ODF131133 ODF196592:ODF196669 ODF262128:ODF262205 ODF327664:ODF327741 ODF393200:ODF393277 ODF458736:ODF458813 ODF524272:ODF524349 ODF589808:ODF589885 ODF655344:ODF655421 ODF720880:ODF720957 ODF786416:ODF786493 ODF851952:ODF852029 ODF917488:ODF917565 ODF983024:ODF983101 ONB2:ONB61 ONB65520:ONB65597 ONB131056:ONB131133 ONB196592:ONB196669 ONB262128:ONB262205 ONB327664:ONB327741 ONB393200:ONB393277 ONB458736:ONB458813 ONB524272:ONB524349 ONB589808:ONB589885 ONB655344:ONB655421 ONB720880:ONB720957 ONB786416:ONB786493 ONB851952:ONB852029 ONB917488:ONB917565 ONB983024:ONB983101 OWX2:OWX61 OWX65520:OWX65597 OWX131056:OWX131133 OWX196592:OWX196669 OWX262128:OWX262205 OWX327664:OWX327741 OWX393200:OWX393277 OWX458736:OWX458813 OWX524272:OWX524349 OWX589808:OWX589885 OWX655344:OWX655421 OWX720880:OWX720957 OWX786416:OWX786493 OWX851952:OWX852029 OWX917488:OWX917565 OWX983024:OWX983101 PGT2:PGT61 PGT65520:PGT65597 PGT131056:PGT131133 PGT196592:PGT196669 PGT262128:PGT262205 PGT327664:PGT327741 PGT393200:PGT393277 PGT458736:PGT458813 PGT524272:PGT524349 PGT589808:PGT589885 PGT655344:PGT655421 PGT720880:PGT720957 PGT786416:PGT786493 PGT851952:PGT852029 PGT917488:PGT917565 PGT983024:PGT983101 PQP2:PQP61 PQP65520:PQP65597 PQP131056:PQP131133 PQP196592:PQP196669 PQP262128:PQP262205 PQP327664:PQP327741 PQP393200:PQP393277 PQP458736:PQP458813 PQP524272:PQP524349 PQP589808:PQP589885 PQP655344:PQP655421 PQP720880:PQP720957 PQP786416:PQP786493 PQP851952:PQP852029 PQP917488:PQP917565 PQP983024:PQP983101 QAL2:QAL61 QAL65520:QAL65597 QAL131056:QAL131133 QAL196592:QAL196669 QAL262128:QAL262205 QAL327664:QAL327741 QAL393200:QAL393277 QAL458736:QAL458813 QAL524272:QAL524349 QAL589808:QAL589885 QAL655344:QAL655421 QAL720880:QAL720957 QAL786416:QAL786493 QAL851952:QAL852029 QAL917488:QAL917565 QAL983024:QAL983101 QKH2:QKH61 QKH65520:QKH65597 QKH131056:QKH131133 QKH196592:QKH196669 QKH262128:QKH262205 QKH327664:QKH327741 QKH393200:QKH393277 QKH458736:QKH458813 QKH524272:QKH524349 QKH589808:QKH589885 QKH655344:QKH655421 QKH720880:QKH720957 QKH786416:QKH786493 QKH851952:QKH852029 QKH917488:QKH917565 QKH983024:QKH983101 QUD2:QUD61 QUD65520:QUD65597 QUD131056:QUD131133 QUD196592:QUD196669 QUD262128:QUD262205 QUD327664:QUD327741 QUD393200:QUD393277 QUD458736:QUD458813 QUD524272:QUD524349 QUD589808:QUD589885 QUD655344:QUD655421 QUD720880:QUD720957 QUD786416:QUD786493 QUD851952:QUD852029 QUD917488:QUD917565 QUD983024:QUD983101 RDZ2:RDZ61 RDZ65520:RDZ65597 RDZ131056:RDZ131133 RDZ196592:RDZ196669 RDZ262128:RDZ262205 RDZ327664:RDZ327741 RDZ393200:RDZ393277 RDZ458736:RDZ458813 RDZ524272:RDZ524349 RDZ589808:RDZ589885 RDZ655344:RDZ655421 RDZ720880:RDZ720957 RDZ786416:RDZ786493 RDZ851952:RDZ852029 RDZ917488:RDZ917565 RDZ983024:RDZ983101 RNV2:RNV61 RNV65520:RNV65597 RNV131056:RNV131133 RNV196592:RNV196669 RNV262128:RNV262205 RNV327664:RNV327741 RNV393200:RNV393277 RNV458736:RNV458813 RNV524272:RNV524349 RNV589808:RNV589885 RNV655344:RNV655421 RNV720880:RNV720957 RNV786416:RNV786493 RNV851952:RNV852029 RNV917488:RNV917565 RNV983024:RNV983101 RXR2:RXR61 RXR65520:RXR65597 RXR131056:RXR131133 RXR196592:RXR196669 RXR262128:RXR262205 RXR327664:RXR327741 RXR393200:RXR393277 RXR458736:RXR458813 RXR524272:RXR524349 RXR589808:RXR589885 RXR655344:RXR655421 RXR720880:RXR720957 RXR786416:RXR786493 RXR851952:RXR852029 RXR917488:RXR917565 RXR983024:RXR983101 SHN2:SHN61 SHN65520:SHN65597 SHN131056:SHN131133 SHN196592:SHN196669 SHN262128:SHN262205 SHN327664:SHN327741 SHN393200:SHN393277 SHN458736:SHN458813 SHN524272:SHN524349 SHN589808:SHN589885 SHN655344:SHN655421 SHN720880:SHN720957 SHN786416:SHN786493 SHN851952:SHN852029 SHN917488:SHN917565 SHN983024:SHN983101 SRJ2:SRJ61 SRJ65520:SRJ65597 SRJ131056:SRJ131133 SRJ196592:SRJ196669 SRJ262128:SRJ262205 SRJ327664:SRJ327741 SRJ393200:SRJ393277 SRJ458736:SRJ458813 SRJ524272:SRJ524349 SRJ589808:SRJ589885 SRJ655344:SRJ655421 SRJ720880:SRJ720957 SRJ786416:SRJ786493 SRJ851952:SRJ852029 SRJ917488:SRJ917565 SRJ983024:SRJ983101 TBF2:TBF61 TBF65520:TBF65597 TBF131056:TBF131133 TBF196592:TBF196669 TBF262128:TBF262205 TBF327664:TBF327741 TBF393200:TBF393277 TBF458736:TBF458813 TBF524272:TBF524349 TBF589808:TBF589885 TBF655344:TBF655421 TBF720880:TBF720957 TBF786416:TBF786493 TBF851952:TBF852029 TBF917488:TBF917565 TBF983024:TBF983101 TLB2:TLB61 TLB65520:TLB65597 TLB131056:TLB131133 TLB196592:TLB196669 TLB262128:TLB262205 TLB327664:TLB327741 TLB393200:TLB393277 TLB458736:TLB458813 TLB524272:TLB524349 TLB589808:TLB589885 TLB655344:TLB655421 TLB720880:TLB720957 TLB786416:TLB786493 TLB851952:TLB852029 TLB917488:TLB917565 TLB983024:TLB983101 TUX2:TUX61 TUX65520:TUX65597 TUX131056:TUX131133 TUX196592:TUX196669 TUX262128:TUX262205 TUX327664:TUX327741 TUX393200:TUX393277 TUX458736:TUX458813 TUX524272:TUX524349 TUX589808:TUX589885 TUX655344:TUX655421 TUX720880:TUX720957 TUX786416:TUX786493 TUX851952:TUX852029 TUX917488:TUX917565 TUX983024:TUX983101 UET2:UET61 UET65520:UET65597 UET131056:UET131133 UET196592:UET196669 UET262128:UET262205 UET327664:UET327741 UET393200:UET393277 UET458736:UET458813 UET524272:UET524349 UET589808:UET589885 UET655344:UET655421 UET720880:UET720957 UET786416:UET786493 UET851952:UET852029 UET917488:UET917565 UET983024:UET983101 UOP2:UOP61 UOP65520:UOP65597 UOP131056:UOP131133 UOP196592:UOP196669 UOP262128:UOP262205 UOP327664:UOP327741 UOP393200:UOP393277 UOP458736:UOP458813 UOP524272:UOP524349 UOP589808:UOP589885 UOP655344:UOP655421 UOP720880:UOP720957 UOP786416:UOP786493 UOP851952:UOP852029 UOP917488:UOP917565 UOP983024:UOP983101 UYL2:UYL61 UYL65520:UYL65597 UYL131056:UYL131133 UYL196592:UYL196669 UYL262128:UYL262205 UYL327664:UYL327741 UYL393200:UYL393277 UYL458736:UYL458813 UYL524272:UYL524349 UYL589808:UYL589885 UYL655344:UYL655421 UYL720880:UYL720957 UYL786416:UYL786493 UYL851952:UYL852029 UYL917488:UYL917565 UYL983024:UYL983101 VIH2:VIH61 VIH65520:VIH65597 VIH131056:VIH131133 VIH196592:VIH196669 VIH262128:VIH262205 VIH327664:VIH327741 VIH393200:VIH393277 VIH458736:VIH458813 VIH524272:VIH524349 VIH589808:VIH589885 VIH655344:VIH655421 VIH720880:VIH720957 VIH786416:VIH786493 VIH851952:VIH852029 VIH917488:VIH917565 VIH983024:VIH983101 VSD2:VSD61 VSD65520:VSD65597 VSD131056:VSD131133 VSD196592:VSD196669 VSD262128:VSD262205 VSD327664:VSD327741 VSD393200:VSD393277 VSD458736:VSD458813 VSD524272:VSD524349 VSD589808:VSD589885 VSD655344:VSD655421 VSD720880:VSD720957 VSD786416:VSD786493 VSD851952:VSD852029 VSD917488:VSD917565 VSD983024:VSD983101 WBZ2:WBZ61 WBZ65520:WBZ65597 WBZ131056:WBZ131133 WBZ196592:WBZ196669 WBZ262128:WBZ262205 WBZ327664:WBZ327741 WBZ393200:WBZ393277 WBZ458736:WBZ458813 WBZ524272:WBZ524349 WBZ589808:WBZ589885 WBZ655344:WBZ655421 WBZ720880:WBZ720957 WBZ786416:WBZ786493 WBZ851952:WBZ852029 WBZ917488:WBZ917565 WBZ983024:WBZ983101 WLV2:WLV61 WLV65520:WLV65597 WLV131056:WLV131133 WLV196592:WLV196669 WLV262128:WLV262205 WLV327664:WLV327741 WLV393200:WLV393277 WLV458736:WLV458813 WLV524272:WLV524349 WLV589808:WLV589885 WLV655344:WLV655421 WLV720880:WLV720957 WLV786416:WLV786493 WLV851952:WLV852029 WLV917488:WLV917565 WLV983024:WLV983101 WVR2:WVR61 WVR65520:WVR65597 WVR131056:WVR131133 WVR196592:WVR196669 WVR262128:WVR262205 WVR327664:WVR327741 WVR393200:WVR393277 WVR458736:WVR458813 WVR524272:WVR524349 WVR589808:WVR589885 WVR655344:WVR655421 WVR720880:WVR720957 WVR786416:WVR786493 WVR851952:WVR852029 WVR917488:WVR917565 WVR983024:WVR983101">
      <formula1>$AP$2:$AP$21</formula1>
    </dataValidation>
    <dataValidation allowBlank="1" showInputMessage="1" showErrorMessage="1" sqref="B2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20 IX65520 ST65520 ACP65520 AML65520 AWH65520 BGD65520 BPZ65520 BZV65520 CJR65520 CTN65520 DDJ65520 DNF65520 DXB65520 EGX65520 EQT65520 FAP65520 FKL65520 FUH65520 GED65520 GNZ65520 GXV65520 HHR65520 HRN65520 IBJ65520 ILF65520 IVB65520 JEX65520 JOT65520 JYP65520 KIL65520 KSH65520 LCD65520 LLZ65520 LVV65520 MFR65520 MPN65520 MZJ65520 NJF65520 NTB65520 OCX65520 OMT65520 OWP65520 PGL65520 PQH65520 QAD65520 QJZ65520 QTV65520 RDR65520 RNN65520 RXJ65520 SHF65520 SRB65520 TAX65520 TKT65520 TUP65520 UEL65520 UOH65520 UYD65520 VHZ65520 VRV65520 WBR65520 WLN65520 WVJ65520 B131056 IX131056 ST131056 ACP131056 AML131056 AWH131056 BGD131056 BPZ131056 BZV131056 CJR131056 CTN131056 DDJ131056 DNF131056 DXB131056 EGX131056 EQT131056 FAP131056 FKL131056 FUH131056 GED131056 GNZ131056 GXV131056 HHR131056 HRN131056 IBJ131056 ILF131056 IVB131056 JEX131056 JOT131056 JYP131056 KIL131056 KSH131056 LCD131056 LLZ131056 LVV131056 MFR131056 MPN131056 MZJ131056 NJF131056 NTB131056 OCX131056 OMT131056 OWP131056 PGL131056 PQH131056 QAD131056 QJZ131056 QTV131056 RDR131056 RNN131056 RXJ131056 SHF131056 SRB131056 TAX131056 TKT131056 TUP131056 UEL131056 UOH131056 UYD131056 VHZ131056 VRV131056 WBR131056 WLN131056 WVJ131056 B196592 IX196592 ST196592 ACP196592 AML196592 AWH196592 BGD196592 BPZ196592 BZV196592 CJR196592 CTN196592 DDJ196592 DNF196592 DXB196592 EGX196592 EQT196592 FAP196592 FKL196592 FUH196592 GED196592 GNZ196592 GXV196592 HHR196592 HRN196592 IBJ196592 ILF196592 IVB196592 JEX196592 JOT196592 JYP196592 KIL196592 KSH196592 LCD196592 LLZ196592 LVV196592 MFR196592 MPN196592 MZJ196592 NJF196592 NTB196592 OCX196592 OMT196592 OWP196592 PGL196592 PQH196592 QAD196592 QJZ196592 QTV196592 RDR196592 RNN196592 RXJ196592 SHF196592 SRB196592 TAX196592 TKT196592 TUP196592 UEL196592 UOH196592 UYD196592 VHZ196592 VRV196592 WBR196592 WLN196592 WVJ196592 B262128 IX262128 ST262128 ACP262128 AML262128 AWH262128 BGD262128 BPZ262128 BZV262128 CJR262128 CTN262128 DDJ262128 DNF262128 DXB262128 EGX262128 EQT262128 FAP262128 FKL262128 FUH262128 GED262128 GNZ262128 GXV262128 HHR262128 HRN262128 IBJ262128 ILF262128 IVB262128 JEX262128 JOT262128 JYP262128 KIL262128 KSH262128 LCD262128 LLZ262128 LVV262128 MFR262128 MPN262128 MZJ262128 NJF262128 NTB262128 OCX262128 OMT262128 OWP262128 PGL262128 PQH262128 QAD262128 QJZ262128 QTV262128 RDR262128 RNN262128 RXJ262128 SHF262128 SRB262128 TAX262128 TKT262128 TUP262128 UEL262128 UOH262128 UYD262128 VHZ262128 VRV262128 WBR262128 WLN262128 WVJ262128 B327664 IX327664 ST327664 ACP327664 AML327664 AWH327664 BGD327664 BPZ327664 BZV327664 CJR327664 CTN327664 DDJ327664 DNF327664 DXB327664 EGX327664 EQT327664 FAP327664 FKL327664 FUH327664 GED327664 GNZ327664 GXV327664 HHR327664 HRN327664 IBJ327664 ILF327664 IVB327664 JEX327664 JOT327664 JYP327664 KIL327664 KSH327664 LCD327664 LLZ327664 LVV327664 MFR327664 MPN327664 MZJ327664 NJF327664 NTB327664 OCX327664 OMT327664 OWP327664 PGL327664 PQH327664 QAD327664 QJZ327664 QTV327664 RDR327664 RNN327664 RXJ327664 SHF327664 SRB327664 TAX327664 TKT327664 TUP327664 UEL327664 UOH327664 UYD327664 VHZ327664 VRV327664 WBR327664 WLN327664 WVJ327664 B393200 IX393200 ST393200 ACP393200 AML393200 AWH393200 BGD393200 BPZ393200 BZV393200 CJR393200 CTN393200 DDJ393200 DNF393200 DXB393200 EGX393200 EQT393200 FAP393200 FKL393200 FUH393200 GED393200 GNZ393200 GXV393200 HHR393200 HRN393200 IBJ393200 ILF393200 IVB393200 JEX393200 JOT393200 JYP393200 KIL393200 KSH393200 LCD393200 LLZ393200 LVV393200 MFR393200 MPN393200 MZJ393200 NJF393200 NTB393200 OCX393200 OMT393200 OWP393200 PGL393200 PQH393200 QAD393200 QJZ393200 QTV393200 RDR393200 RNN393200 RXJ393200 SHF393200 SRB393200 TAX393200 TKT393200 TUP393200 UEL393200 UOH393200 UYD393200 VHZ393200 VRV393200 WBR393200 WLN393200 WVJ393200 B458736 IX458736 ST458736 ACP458736 AML458736 AWH458736 BGD458736 BPZ458736 BZV458736 CJR458736 CTN458736 DDJ458736 DNF458736 DXB458736 EGX458736 EQT458736 FAP458736 FKL458736 FUH458736 GED458736 GNZ458736 GXV458736 HHR458736 HRN458736 IBJ458736 ILF458736 IVB458736 JEX458736 JOT458736 JYP458736 KIL458736 KSH458736 LCD458736 LLZ458736 LVV458736 MFR458736 MPN458736 MZJ458736 NJF458736 NTB458736 OCX458736 OMT458736 OWP458736 PGL458736 PQH458736 QAD458736 QJZ458736 QTV458736 RDR458736 RNN458736 RXJ458736 SHF458736 SRB458736 TAX458736 TKT458736 TUP458736 UEL458736 UOH458736 UYD458736 VHZ458736 VRV458736 WBR458736 WLN458736 WVJ458736 B524272 IX524272 ST524272 ACP524272 AML524272 AWH524272 BGD524272 BPZ524272 BZV524272 CJR524272 CTN524272 DDJ524272 DNF524272 DXB524272 EGX524272 EQT524272 FAP524272 FKL524272 FUH524272 GED524272 GNZ524272 GXV524272 HHR524272 HRN524272 IBJ524272 ILF524272 IVB524272 JEX524272 JOT524272 JYP524272 KIL524272 KSH524272 LCD524272 LLZ524272 LVV524272 MFR524272 MPN524272 MZJ524272 NJF524272 NTB524272 OCX524272 OMT524272 OWP524272 PGL524272 PQH524272 QAD524272 QJZ524272 QTV524272 RDR524272 RNN524272 RXJ524272 SHF524272 SRB524272 TAX524272 TKT524272 TUP524272 UEL524272 UOH524272 UYD524272 VHZ524272 VRV524272 WBR524272 WLN524272 WVJ524272 B589808 IX589808 ST589808 ACP589808 AML589808 AWH589808 BGD589808 BPZ589808 BZV589808 CJR589808 CTN589808 DDJ589808 DNF589808 DXB589808 EGX589808 EQT589808 FAP589808 FKL589808 FUH589808 GED589808 GNZ589808 GXV589808 HHR589808 HRN589808 IBJ589808 ILF589808 IVB589808 JEX589808 JOT589808 JYP589808 KIL589808 KSH589808 LCD589808 LLZ589808 LVV589808 MFR589808 MPN589808 MZJ589808 NJF589808 NTB589808 OCX589808 OMT589808 OWP589808 PGL589808 PQH589808 QAD589808 QJZ589808 QTV589808 RDR589808 RNN589808 RXJ589808 SHF589808 SRB589808 TAX589808 TKT589808 TUP589808 UEL589808 UOH589808 UYD589808 VHZ589808 VRV589808 WBR589808 WLN589808 WVJ589808 B655344 IX655344 ST655344 ACP655344 AML655344 AWH655344 BGD655344 BPZ655344 BZV655344 CJR655344 CTN655344 DDJ655344 DNF655344 DXB655344 EGX655344 EQT655344 FAP655344 FKL655344 FUH655344 GED655344 GNZ655344 GXV655344 HHR655344 HRN655344 IBJ655344 ILF655344 IVB655344 JEX655344 JOT655344 JYP655344 KIL655344 KSH655344 LCD655344 LLZ655344 LVV655344 MFR655344 MPN655344 MZJ655344 NJF655344 NTB655344 OCX655344 OMT655344 OWP655344 PGL655344 PQH655344 QAD655344 QJZ655344 QTV655344 RDR655344 RNN655344 RXJ655344 SHF655344 SRB655344 TAX655344 TKT655344 TUP655344 UEL655344 UOH655344 UYD655344 VHZ655344 VRV655344 WBR655344 WLN655344 WVJ655344 B720880 IX720880 ST720880 ACP720880 AML720880 AWH720880 BGD720880 BPZ720880 BZV720880 CJR720880 CTN720880 DDJ720880 DNF720880 DXB720880 EGX720880 EQT720880 FAP720880 FKL720880 FUH720880 GED720880 GNZ720880 GXV720880 HHR720880 HRN720880 IBJ720880 ILF720880 IVB720880 JEX720880 JOT720880 JYP720880 KIL720880 KSH720880 LCD720880 LLZ720880 LVV720880 MFR720880 MPN720880 MZJ720880 NJF720880 NTB720880 OCX720880 OMT720880 OWP720880 PGL720880 PQH720880 QAD720880 QJZ720880 QTV720880 RDR720880 RNN720880 RXJ720880 SHF720880 SRB720880 TAX720880 TKT720880 TUP720880 UEL720880 UOH720880 UYD720880 VHZ720880 VRV720880 WBR720880 WLN720880 WVJ720880 B786416 IX786416 ST786416 ACP786416 AML786416 AWH786416 BGD786416 BPZ786416 BZV786416 CJR786416 CTN786416 DDJ786416 DNF786416 DXB786416 EGX786416 EQT786416 FAP786416 FKL786416 FUH786416 GED786416 GNZ786416 GXV786416 HHR786416 HRN786416 IBJ786416 ILF786416 IVB786416 JEX786416 JOT786416 JYP786416 KIL786416 KSH786416 LCD786416 LLZ786416 LVV786416 MFR786416 MPN786416 MZJ786416 NJF786416 NTB786416 OCX786416 OMT786416 OWP786416 PGL786416 PQH786416 QAD786416 QJZ786416 QTV786416 RDR786416 RNN786416 RXJ786416 SHF786416 SRB786416 TAX786416 TKT786416 TUP786416 UEL786416 UOH786416 UYD786416 VHZ786416 VRV786416 WBR786416 WLN786416 WVJ786416 B851952 IX851952 ST851952 ACP851952 AML851952 AWH851952 BGD851952 BPZ851952 BZV851952 CJR851952 CTN851952 DDJ851952 DNF851952 DXB851952 EGX851952 EQT851952 FAP851952 FKL851952 FUH851952 GED851952 GNZ851952 GXV851952 HHR851952 HRN851952 IBJ851952 ILF851952 IVB851952 JEX851952 JOT851952 JYP851952 KIL851952 KSH851952 LCD851952 LLZ851952 LVV851952 MFR851952 MPN851952 MZJ851952 NJF851952 NTB851952 OCX851952 OMT851952 OWP851952 PGL851952 PQH851952 QAD851952 QJZ851952 QTV851952 RDR851952 RNN851952 RXJ851952 SHF851952 SRB851952 TAX851952 TKT851952 TUP851952 UEL851952 UOH851952 UYD851952 VHZ851952 VRV851952 WBR851952 WLN851952 WVJ851952 B917488 IX917488 ST917488 ACP917488 AML917488 AWH917488 BGD917488 BPZ917488 BZV917488 CJR917488 CTN917488 DDJ917488 DNF917488 DXB917488 EGX917488 EQT917488 FAP917488 FKL917488 FUH917488 GED917488 GNZ917488 GXV917488 HHR917488 HRN917488 IBJ917488 ILF917488 IVB917488 JEX917488 JOT917488 JYP917488 KIL917488 KSH917488 LCD917488 LLZ917488 LVV917488 MFR917488 MPN917488 MZJ917488 NJF917488 NTB917488 OCX917488 OMT917488 OWP917488 PGL917488 PQH917488 QAD917488 QJZ917488 QTV917488 RDR917488 RNN917488 RXJ917488 SHF917488 SRB917488 TAX917488 TKT917488 TUP917488 UEL917488 UOH917488 UYD917488 VHZ917488 VRV917488 WBR917488 WLN917488 WVJ917488 B983024 IX983024 ST983024 ACP983024 AML983024 AWH983024 BGD983024 BPZ983024 BZV983024 CJR983024 CTN983024 DDJ983024 DNF983024 DXB983024 EGX983024 EQT983024 FAP983024 FKL983024 FUH983024 GED983024 GNZ983024 GXV983024 HHR983024 HRN983024 IBJ983024 ILF983024 IVB983024 JEX983024 JOT983024 JYP983024 KIL983024 KSH983024 LCD983024 LLZ983024 LVV983024 MFR983024 MPN983024 MZJ983024 NJF983024 NTB983024 OCX983024 OMT983024 OWP983024 PGL983024 PQH983024 QAD983024 QJZ983024 QTV983024 RDR983024 RNN983024 RXJ983024 SHF983024 SRB983024 TAX983024 TKT983024 TUP983024 UEL983024 UOH983024 UYD983024 VHZ983024 VRV983024 WBR983024 WLN983024 WVJ983024"/>
    <dataValidation type="list" allowBlank="1" showInputMessage="1" showErrorMessage="1" sqref="A2:A482 A65520:A65597 A131056:A131133 A196592:A196669 A262128:A262205 A327664:A327741 A393200:A393277 A458736:A458813 A524272:A524349 A589808:A589885 A655344:A655421 A720880:A720957 A786416:A786493 A851952:A852029 A917488:A917565 A983024:A983101 IW2:IW61 IW65520:IW65597 IW131056:IW131133 IW196592:IW196669 IW262128:IW262205 IW327664:IW327741 IW393200:IW393277 IW458736:IW458813 IW524272:IW524349 IW589808:IW589885 IW655344:IW655421 IW720880:IW720957 IW786416:IW786493 IW851952:IW852029 IW917488:IW917565 IW983024:IW983101 SS2:SS61 SS65520:SS65597 SS131056:SS131133 SS196592:SS196669 SS262128:SS262205 SS327664:SS327741 SS393200:SS393277 SS458736:SS458813 SS524272:SS524349 SS589808:SS589885 SS655344:SS655421 SS720880:SS720957 SS786416:SS786493 SS851952:SS852029 SS917488:SS917565 SS983024:SS983101 ACO2:ACO61 ACO65520:ACO65597 ACO131056:ACO131133 ACO196592:ACO196669 ACO262128:ACO262205 ACO327664:ACO327741 ACO393200:ACO393277 ACO458736:ACO458813 ACO524272:ACO524349 ACO589808:ACO589885 ACO655344:ACO655421 ACO720880:ACO720957 ACO786416:ACO786493 ACO851952:ACO852029 ACO917488:ACO917565 ACO983024:ACO983101 AMK2:AMK61 AMK65520:AMK65597 AMK131056:AMK131133 AMK196592:AMK196669 AMK262128:AMK262205 AMK327664:AMK327741 AMK393200:AMK393277 AMK458736:AMK458813 AMK524272:AMK524349 AMK589808:AMK589885 AMK655344:AMK655421 AMK720880:AMK720957 AMK786416:AMK786493 AMK851952:AMK852029 AMK917488:AMK917565 AMK983024:AMK983101 AWG2:AWG61 AWG65520:AWG65597 AWG131056:AWG131133 AWG196592:AWG196669 AWG262128:AWG262205 AWG327664:AWG327741 AWG393200:AWG393277 AWG458736:AWG458813 AWG524272:AWG524349 AWG589808:AWG589885 AWG655344:AWG655421 AWG720880:AWG720957 AWG786416:AWG786493 AWG851952:AWG852029 AWG917488:AWG917565 AWG983024:AWG983101 BGC2:BGC61 BGC65520:BGC65597 BGC131056:BGC131133 BGC196592:BGC196669 BGC262128:BGC262205 BGC327664:BGC327741 BGC393200:BGC393277 BGC458736:BGC458813 BGC524272:BGC524349 BGC589808:BGC589885 BGC655344:BGC655421 BGC720880:BGC720957 BGC786416:BGC786493 BGC851952:BGC852029 BGC917488:BGC917565 BGC983024:BGC983101 BPY2:BPY61 BPY65520:BPY65597 BPY131056:BPY131133 BPY196592:BPY196669 BPY262128:BPY262205 BPY327664:BPY327741 BPY393200:BPY393277 BPY458736:BPY458813 BPY524272:BPY524349 BPY589808:BPY589885 BPY655344:BPY655421 BPY720880:BPY720957 BPY786416:BPY786493 BPY851952:BPY852029 BPY917488:BPY917565 BPY983024:BPY983101 BZU2:BZU61 BZU65520:BZU65597 BZU131056:BZU131133 BZU196592:BZU196669 BZU262128:BZU262205 BZU327664:BZU327741 BZU393200:BZU393277 BZU458736:BZU458813 BZU524272:BZU524349 BZU589808:BZU589885 BZU655344:BZU655421 BZU720880:BZU720957 BZU786416:BZU786493 BZU851952:BZU852029 BZU917488:BZU917565 BZU983024:BZU983101 CJQ2:CJQ61 CJQ65520:CJQ65597 CJQ131056:CJQ131133 CJQ196592:CJQ196669 CJQ262128:CJQ262205 CJQ327664:CJQ327741 CJQ393200:CJQ393277 CJQ458736:CJQ458813 CJQ524272:CJQ524349 CJQ589808:CJQ589885 CJQ655344:CJQ655421 CJQ720880:CJQ720957 CJQ786416:CJQ786493 CJQ851952:CJQ852029 CJQ917488:CJQ917565 CJQ983024:CJQ983101 CTM2:CTM61 CTM65520:CTM65597 CTM131056:CTM131133 CTM196592:CTM196669 CTM262128:CTM262205 CTM327664:CTM327741 CTM393200:CTM393277 CTM458736:CTM458813 CTM524272:CTM524349 CTM589808:CTM589885 CTM655344:CTM655421 CTM720880:CTM720957 CTM786416:CTM786493 CTM851952:CTM852029 CTM917488:CTM917565 CTM983024:CTM983101 DDI2:DDI61 DDI65520:DDI65597 DDI131056:DDI131133 DDI196592:DDI196669 DDI262128:DDI262205 DDI327664:DDI327741 DDI393200:DDI393277 DDI458736:DDI458813 DDI524272:DDI524349 DDI589808:DDI589885 DDI655344:DDI655421 DDI720880:DDI720957 DDI786416:DDI786493 DDI851952:DDI852029 DDI917488:DDI917565 DDI983024:DDI983101 DNE2:DNE61 DNE65520:DNE65597 DNE131056:DNE131133 DNE196592:DNE196669 DNE262128:DNE262205 DNE327664:DNE327741 DNE393200:DNE393277 DNE458736:DNE458813 DNE524272:DNE524349 DNE589808:DNE589885 DNE655344:DNE655421 DNE720880:DNE720957 DNE786416:DNE786493 DNE851952:DNE852029 DNE917488:DNE917565 DNE983024:DNE983101 DXA2:DXA61 DXA65520:DXA65597 DXA131056:DXA131133 DXA196592:DXA196669 DXA262128:DXA262205 DXA327664:DXA327741 DXA393200:DXA393277 DXA458736:DXA458813 DXA524272:DXA524349 DXA589808:DXA589885 DXA655344:DXA655421 DXA720880:DXA720957 DXA786416:DXA786493 DXA851952:DXA852029 DXA917488:DXA917565 DXA983024:DXA983101 EGW2:EGW61 EGW65520:EGW65597 EGW131056:EGW131133 EGW196592:EGW196669 EGW262128:EGW262205 EGW327664:EGW327741 EGW393200:EGW393277 EGW458736:EGW458813 EGW524272:EGW524349 EGW589808:EGW589885 EGW655344:EGW655421 EGW720880:EGW720957 EGW786416:EGW786493 EGW851952:EGW852029 EGW917488:EGW917565 EGW983024:EGW983101 EQS2:EQS61 EQS65520:EQS65597 EQS131056:EQS131133 EQS196592:EQS196669 EQS262128:EQS262205 EQS327664:EQS327741 EQS393200:EQS393277 EQS458736:EQS458813 EQS524272:EQS524349 EQS589808:EQS589885 EQS655344:EQS655421 EQS720880:EQS720957 EQS786416:EQS786493 EQS851952:EQS852029 EQS917488:EQS917565 EQS983024:EQS983101 FAO2:FAO61 FAO65520:FAO65597 FAO131056:FAO131133 FAO196592:FAO196669 FAO262128:FAO262205 FAO327664:FAO327741 FAO393200:FAO393277 FAO458736:FAO458813 FAO524272:FAO524349 FAO589808:FAO589885 FAO655344:FAO655421 FAO720880:FAO720957 FAO786416:FAO786493 FAO851952:FAO852029 FAO917488:FAO917565 FAO983024:FAO983101 FKK2:FKK61 FKK65520:FKK65597 FKK131056:FKK131133 FKK196592:FKK196669 FKK262128:FKK262205 FKK327664:FKK327741 FKK393200:FKK393277 FKK458736:FKK458813 FKK524272:FKK524349 FKK589808:FKK589885 FKK655344:FKK655421 FKK720880:FKK720957 FKK786416:FKK786493 FKK851952:FKK852029 FKK917488:FKK917565 FKK983024:FKK983101 FUG2:FUG61 FUG65520:FUG65597 FUG131056:FUG131133 FUG196592:FUG196669 FUG262128:FUG262205 FUG327664:FUG327741 FUG393200:FUG393277 FUG458736:FUG458813 FUG524272:FUG524349 FUG589808:FUG589885 FUG655344:FUG655421 FUG720880:FUG720957 FUG786416:FUG786493 FUG851952:FUG852029 FUG917488:FUG917565 FUG983024:FUG983101 GEC2:GEC61 GEC65520:GEC65597 GEC131056:GEC131133 GEC196592:GEC196669 GEC262128:GEC262205 GEC327664:GEC327741 GEC393200:GEC393277 GEC458736:GEC458813 GEC524272:GEC524349 GEC589808:GEC589885 GEC655344:GEC655421 GEC720880:GEC720957 GEC786416:GEC786493 GEC851952:GEC852029 GEC917488:GEC917565 GEC983024:GEC983101 GNY2:GNY61 GNY65520:GNY65597 GNY131056:GNY131133 GNY196592:GNY196669 GNY262128:GNY262205 GNY327664:GNY327741 GNY393200:GNY393277 GNY458736:GNY458813 GNY524272:GNY524349 GNY589808:GNY589885 GNY655344:GNY655421 GNY720880:GNY720957 GNY786416:GNY786493 GNY851952:GNY852029 GNY917488:GNY917565 GNY983024:GNY983101 GXU2:GXU61 GXU65520:GXU65597 GXU131056:GXU131133 GXU196592:GXU196669 GXU262128:GXU262205 GXU327664:GXU327741 GXU393200:GXU393277 GXU458736:GXU458813 GXU524272:GXU524349 GXU589808:GXU589885 GXU655344:GXU655421 GXU720880:GXU720957 GXU786416:GXU786493 GXU851952:GXU852029 GXU917488:GXU917565 GXU983024:GXU983101 HHQ2:HHQ61 HHQ65520:HHQ65597 HHQ131056:HHQ131133 HHQ196592:HHQ196669 HHQ262128:HHQ262205 HHQ327664:HHQ327741 HHQ393200:HHQ393277 HHQ458736:HHQ458813 HHQ524272:HHQ524349 HHQ589808:HHQ589885 HHQ655344:HHQ655421 HHQ720880:HHQ720957 HHQ786416:HHQ786493 HHQ851952:HHQ852029 HHQ917488:HHQ917565 HHQ983024:HHQ983101 HRM2:HRM61 HRM65520:HRM65597 HRM131056:HRM131133 HRM196592:HRM196669 HRM262128:HRM262205 HRM327664:HRM327741 HRM393200:HRM393277 HRM458736:HRM458813 HRM524272:HRM524349 HRM589808:HRM589885 HRM655344:HRM655421 HRM720880:HRM720957 HRM786416:HRM786493 HRM851952:HRM852029 HRM917488:HRM917565 HRM983024:HRM983101 IBI2:IBI61 IBI65520:IBI65597 IBI131056:IBI131133 IBI196592:IBI196669 IBI262128:IBI262205 IBI327664:IBI327741 IBI393200:IBI393277 IBI458736:IBI458813 IBI524272:IBI524349 IBI589808:IBI589885 IBI655344:IBI655421 IBI720880:IBI720957 IBI786416:IBI786493 IBI851952:IBI852029 IBI917488:IBI917565 IBI983024:IBI983101 ILE2:ILE61 ILE65520:ILE65597 ILE131056:ILE131133 ILE196592:ILE196669 ILE262128:ILE262205 ILE327664:ILE327741 ILE393200:ILE393277 ILE458736:ILE458813 ILE524272:ILE524349 ILE589808:ILE589885 ILE655344:ILE655421 ILE720880:ILE720957 ILE786416:ILE786493 ILE851952:ILE852029 ILE917488:ILE917565 ILE983024:ILE983101 IVA2:IVA61 IVA65520:IVA65597 IVA131056:IVA131133 IVA196592:IVA196669 IVA262128:IVA262205 IVA327664:IVA327741 IVA393200:IVA393277 IVA458736:IVA458813 IVA524272:IVA524349 IVA589808:IVA589885 IVA655344:IVA655421 IVA720880:IVA720957 IVA786416:IVA786493 IVA851952:IVA852029 IVA917488:IVA917565 IVA983024:IVA983101 JEW2:JEW61 JEW65520:JEW65597 JEW131056:JEW131133 JEW196592:JEW196669 JEW262128:JEW262205 JEW327664:JEW327741 JEW393200:JEW393277 JEW458736:JEW458813 JEW524272:JEW524349 JEW589808:JEW589885 JEW655344:JEW655421 JEW720880:JEW720957 JEW786416:JEW786493 JEW851952:JEW852029 JEW917488:JEW917565 JEW983024:JEW983101 JOS2:JOS61 JOS65520:JOS65597 JOS131056:JOS131133 JOS196592:JOS196669 JOS262128:JOS262205 JOS327664:JOS327741 JOS393200:JOS393277 JOS458736:JOS458813 JOS524272:JOS524349 JOS589808:JOS589885 JOS655344:JOS655421 JOS720880:JOS720957 JOS786416:JOS786493 JOS851952:JOS852029 JOS917488:JOS917565 JOS983024:JOS983101 JYO2:JYO61 JYO65520:JYO65597 JYO131056:JYO131133 JYO196592:JYO196669 JYO262128:JYO262205 JYO327664:JYO327741 JYO393200:JYO393277 JYO458736:JYO458813 JYO524272:JYO524349 JYO589808:JYO589885 JYO655344:JYO655421 JYO720880:JYO720957 JYO786416:JYO786493 JYO851952:JYO852029 JYO917488:JYO917565 JYO983024:JYO983101 KIK2:KIK61 KIK65520:KIK65597 KIK131056:KIK131133 KIK196592:KIK196669 KIK262128:KIK262205 KIK327664:KIK327741 KIK393200:KIK393277 KIK458736:KIK458813 KIK524272:KIK524349 KIK589808:KIK589885 KIK655344:KIK655421 KIK720880:KIK720957 KIK786416:KIK786493 KIK851952:KIK852029 KIK917488:KIK917565 KIK983024:KIK983101 KSG2:KSG61 KSG65520:KSG65597 KSG131056:KSG131133 KSG196592:KSG196669 KSG262128:KSG262205 KSG327664:KSG327741 KSG393200:KSG393277 KSG458736:KSG458813 KSG524272:KSG524349 KSG589808:KSG589885 KSG655344:KSG655421 KSG720880:KSG720957 KSG786416:KSG786493 KSG851952:KSG852029 KSG917488:KSG917565 KSG983024:KSG983101 LCC2:LCC61 LCC65520:LCC65597 LCC131056:LCC131133 LCC196592:LCC196669 LCC262128:LCC262205 LCC327664:LCC327741 LCC393200:LCC393277 LCC458736:LCC458813 LCC524272:LCC524349 LCC589808:LCC589885 LCC655344:LCC655421 LCC720880:LCC720957 LCC786416:LCC786493 LCC851952:LCC852029 LCC917488:LCC917565 LCC983024:LCC983101 LLY2:LLY61 LLY65520:LLY65597 LLY131056:LLY131133 LLY196592:LLY196669 LLY262128:LLY262205 LLY327664:LLY327741 LLY393200:LLY393277 LLY458736:LLY458813 LLY524272:LLY524349 LLY589808:LLY589885 LLY655344:LLY655421 LLY720880:LLY720957 LLY786416:LLY786493 LLY851952:LLY852029 LLY917488:LLY917565 LLY983024:LLY983101 LVU2:LVU61 LVU65520:LVU65597 LVU131056:LVU131133 LVU196592:LVU196669 LVU262128:LVU262205 LVU327664:LVU327741 LVU393200:LVU393277 LVU458736:LVU458813 LVU524272:LVU524349 LVU589808:LVU589885 LVU655344:LVU655421 LVU720880:LVU720957 LVU786416:LVU786493 LVU851952:LVU852029 LVU917488:LVU917565 LVU983024:LVU983101 MFQ2:MFQ61 MFQ65520:MFQ65597 MFQ131056:MFQ131133 MFQ196592:MFQ196669 MFQ262128:MFQ262205 MFQ327664:MFQ327741 MFQ393200:MFQ393277 MFQ458736:MFQ458813 MFQ524272:MFQ524349 MFQ589808:MFQ589885 MFQ655344:MFQ655421 MFQ720880:MFQ720957 MFQ786416:MFQ786493 MFQ851952:MFQ852029 MFQ917488:MFQ917565 MFQ983024:MFQ983101 MPM2:MPM61 MPM65520:MPM65597 MPM131056:MPM131133 MPM196592:MPM196669 MPM262128:MPM262205 MPM327664:MPM327741 MPM393200:MPM393277 MPM458736:MPM458813 MPM524272:MPM524349 MPM589808:MPM589885 MPM655344:MPM655421 MPM720880:MPM720957 MPM786416:MPM786493 MPM851952:MPM852029 MPM917488:MPM917565 MPM983024:MPM983101 MZI2:MZI61 MZI65520:MZI65597 MZI131056:MZI131133 MZI196592:MZI196669 MZI262128:MZI262205 MZI327664:MZI327741 MZI393200:MZI393277 MZI458736:MZI458813 MZI524272:MZI524349 MZI589808:MZI589885 MZI655344:MZI655421 MZI720880:MZI720957 MZI786416:MZI786493 MZI851952:MZI852029 MZI917488:MZI917565 MZI983024:MZI983101 NJE2:NJE61 NJE65520:NJE65597 NJE131056:NJE131133 NJE196592:NJE196669 NJE262128:NJE262205 NJE327664:NJE327741 NJE393200:NJE393277 NJE458736:NJE458813 NJE524272:NJE524349 NJE589808:NJE589885 NJE655344:NJE655421 NJE720880:NJE720957 NJE786416:NJE786493 NJE851952:NJE852029 NJE917488:NJE917565 NJE983024:NJE983101 NTA2:NTA61 NTA65520:NTA65597 NTA131056:NTA131133 NTA196592:NTA196669 NTA262128:NTA262205 NTA327664:NTA327741 NTA393200:NTA393277 NTA458736:NTA458813 NTA524272:NTA524349 NTA589808:NTA589885 NTA655344:NTA655421 NTA720880:NTA720957 NTA786416:NTA786493 NTA851952:NTA852029 NTA917488:NTA917565 NTA983024:NTA983101 OCW2:OCW61 OCW65520:OCW65597 OCW131056:OCW131133 OCW196592:OCW196669 OCW262128:OCW262205 OCW327664:OCW327741 OCW393200:OCW393277 OCW458736:OCW458813 OCW524272:OCW524349 OCW589808:OCW589885 OCW655344:OCW655421 OCW720880:OCW720957 OCW786416:OCW786493 OCW851952:OCW852029 OCW917488:OCW917565 OCW983024:OCW983101 OMS2:OMS61 OMS65520:OMS65597 OMS131056:OMS131133 OMS196592:OMS196669 OMS262128:OMS262205 OMS327664:OMS327741 OMS393200:OMS393277 OMS458736:OMS458813 OMS524272:OMS524349 OMS589808:OMS589885 OMS655344:OMS655421 OMS720880:OMS720957 OMS786416:OMS786493 OMS851952:OMS852029 OMS917488:OMS917565 OMS983024:OMS983101 OWO2:OWO61 OWO65520:OWO65597 OWO131056:OWO131133 OWO196592:OWO196669 OWO262128:OWO262205 OWO327664:OWO327741 OWO393200:OWO393277 OWO458736:OWO458813 OWO524272:OWO524349 OWO589808:OWO589885 OWO655344:OWO655421 OWO720880:OWO720957 OWO786416:OWO786493 OWO851952:OWO852029 OWO917488:OWO917565 OWO983024:OWO983101 PGK2:PGK61 PGK65520:PGK65597 PGK131056:PGK131133 PGK196592:PGK196669 PGK262128:PGK262205 PGK327664:PGK327741 PGK393200:PGK393277 PGK458736:PGK458813 PGK524272:PGK524349 PGK589808:PGK589885 PGK655344:PGK655421 PGK720880:PGK720957 PGK786416:PGK786493 PGK851952:PGK852029 PGK917488:PGK917565 PGK983024:PGK983101 PQG2:PQG61 PQG65520:PQG65597 PQG131056:PQG131133 PQG196592:PQG196669 PQG262128:PQG262205 PQG327664:PQG327741 PQG393200:PQG393277 PQG458736:PQG458813 PQG524272:PQG524349 PQG589808:PQG589885 PQG655344:PQG655421 PQG720880:PQG720957 PQG786416:PQG786493 PQG851952:PQG852029 PQG917488:PQG917565 PQG983024:PQG983101 QAC2:QAC61 QAC65520:QAC65597 QAC131056:QAC131133 QAC196592:QAC196669 QAC262128:QAC262205 QAC327664:QAC327741 QAC393200:QAC393277 QAC458736:QAC458813 QAC524272:QAC524349 QAC589808:QAC589885 QAC655344:QAC655421 QAC720880:QAC720957 QAC786416:QAC786493 QAC851952:QAC852029 QAC917488:QAC917565 QAC983024:QAC983101 QJY2:QJY61 QJY65520:QJY65597 QJY131056:QJY131133 QJY196592:QJY196669 QJY262128:QJY262205 QJY327664:QJY327741 QJY393200:QJY393277 QJY458736:QJY458813 QJY524272:QJY524349 QJY589808:QJY589885 QJY655344:QJY655421 QJY720880:QJY720957 QJY786416:QJY786493 QJY851952:QJY852029 QJY917488:QJY917565 QJY983024:QJY983101 QTU2:QTU61 QTU65520:QTU65597 QTU131056:QTU131133 QTU196592:QTU196669 QTU262128:QTU262205 QTU327664:QTU327741 QTU393200:QTU393277 QTU458736:QTU458813 QTU524272:QTU524349 QTU589808:QTU589885 QTU655344:QTU655421 QTU720880:QTU720957 QTU786416:QTU786493 QTU851952:QTU852029 QTU917488:QTU917565 QTU983024:QTU983101 RDQ2:RDQ61 RDQ65520:RDQ65597 RDQ131056:RDQ131133 RDQ196592:RDQ196669 RDQ262128:RDQ262205 RDQ327664:RDQ327741 RDQ393200:RDQ393277 RDQ458736:RDQ458813 RDQ524272:RDQ524349 RDQ589808:RDQ589885 RDQ655344:RDQ655421 RDQ720880:RDQ720957 RDQ786416:RDQ786493 RDQ851952:RDQ852029 RDQ917488:RDQ917565 RDQ983024:RDQ983101 RNM2:RNM61 RNM65520:RNM65597 RNM131056:RNM131133 RNM196592:RNM196669 RNM262128:RNM262205 RNM327664:RNM327741 RNM393200:RNM393277 RNM458736:RNM458813 RNM524272:RNM524349 RNM589808:RNM589885 RNM655344:RNM655421 RNM720880:RNM720957 RNM786416:RNM786493 RNM851952:RNM852029 RNM917488:RNM917565 RNM983024:RNM983101 RXI2:RXI61 RXI65520:RXI65597 RXI131056:RXI131133 RXI196592:RXI196669 RXI262128:RXI262205 RXI327664:RXI327741 RXI393200:RXI393277 RXI458736:RXI458813 RXI524272:RXI524349 RXI589808:RXI589885 RXI655344:RXI655421 RXI720880:RXI720957 RXI786416:RXI786493 RXI851952:RXI852029 RXI917488:RXI917565 RXI983024:RXI983101 SHE2:SHE61 SHE65520:SHE65597 SHE131056:SHE131133 SHE196592:SHE196669 SHE262128:SHE262205 SHE327664:SHE327741 SHE393200:SHE393277 SHE458736:SHE458813 SHE524272:SHE524349 SHE589808:SHE589885 SHE655344:SHE655421 SHE720880:SHE720957 SHE786416:SHE786493 SHE851952:SHE852029 SHE917488:SHE917565 SHE983024:SHE983101 SRA2:SRA61 SRA65520:SRA65597 SRA131056:SRA131133 SRA196592:SRA196669 SRA262128:SRA262205 SRA327664:SRA327741 SRA393200:SRA393277 SRA458736:SRA458813 SRA524272:SRA524349 SRA589808:SRA589885 SRA655344:SRA655421 SRA720880:SRA720957 SRA786416:SRA786493 SRA851952:SRA852029 SRA917488:SRA917565 SRA983024:SRA983101 TAW2:TAW61 TAW65520:TAW65597 TAW131056:TAW131133 TAW196592:TAW196669 TAW262128:TAW262205 TAW327664:TAW327741 TAW393200:TAW393277 TAW458736:TAW458813 TAW524272:TAW524349 TAW589808:TAW589885 TAW655344:TAW655421 TAW720880:TAW720957 TAW786416:TAW786493 TAW851952:TAW852029 TAW917488:TAW917565 TAW983024:TAW983101 TKS2:TKS61 TKS65520:TKS65597 TKS131056:TKS131133 TKS196592:TKS196669 TKS262128:TKS262205 TKS327664:TKS327741 TKS393200:TKS393277 TKS458736:TKS458813 TKS524272:TKS524349 TKS589808:TKS589885 TKS655344:TKS655421 TKS720880:TKS720957 TKS786416:TKS786493 TKS851952:TKS852029 TKS917488:TKS917565 TKS983024:TKS983101 TUO2:TUO61 TUO65520:TUO65597 TUO131056:TUO131133 TUO196592:TUO196669 TUO262128:TUO262205 TUO327664:TUO327741 TUO393200:TUO393277 TUO458736:TUO458813 TUO524272:TUO524349 TUO589808:TUO589885 TUO655344:TUO655421 TUO720880:TUO720957 TUO786416:TUO786493 TUO851952:TUO852029 TUO917488:TUO917565 TUO983024:TUO983101 UEK2:UEK61 UEK65520:UEK65597 UEK131056:UEK131133 UEK196592:UEK196669 UEK262128:UEK262205 UEK327664:UEK327741 UEK393200:UEK393277 UEK458736:UEK458813 UEK524272:UEK524349 UEK589808:UEK589885 UEK655344:UEK655421 UEK720880:UEK720957 UEK786416:UEK786493 UEK851952:UEK852029 UEK917488:UEK917565 UEK983024:UEK983101 UOG2:UOG61 UOG65520:UOG65597 UOG131056:UOG131133 UOG196592:UOG196669 UOG262128:UOG262205 UOG327664:UOG327741 UOG393200:UOG393277 UOG458736:UOG458813 UOG524272:UOG524349 UOG589808:UOG589885 UOG655344:UOG655421 UOG720880:UOG720957 UOG786416:UOG786493 UOG851952:UOG852029 UOG917488:UOG917565 UOG983024:UOG983101 UYC2:UYC61 UYC65520:UYC65597 UYC131056:UYC131133 UYC196592:UYC196669 UYC262128:UYC262205 UYC327664:UYC327741 UYC393200:UYC393277 UYC458736:UYC458813 UYC524272:UYC524349 UYC589808:UYC589885 UYC655344:UYC655421 UYC720880:UYC720957 UYC786416:UYC786493 UYC851952:UYC852029 UYC917488:UYC917565 UYC983024:UYC983101 VHY2:VHY61 VHY65520:VHY65597 VHY131056:VHY131133 VHY196592:VHY196669 VHY262128:VHY262205 VHY327664:VHY327741 VHY393200:VHY393277 VHY458736:VHY458813 VHY524272:VHY524349 VHY589808:VHY589885 VHY655344:VHY655421 VHY720880:VHY720957 VHY786416:VHY786493 VHY851952:VHY852029 VHY917488:VHY917565 VHY983024:VHY983101 VRU2:VRU61 VRU65520:VRU65597 VRU131056:VRU131133 VRU196592:VRU196669 VRU262128:VRU262205 VRU327664:VRU327741 VRU393200:VRU393277 VRU458736:VRU458813 VRU524272:VRU524349 VRU589808:VRU589885 VRU655344:VRU655421 VRU720880:VRU720957 VRU786416:VRU786493 VRU851952:VRU852029 VRU917488:VRU917565 VRU983024:VRU983101 WBQ2:WBQ61 WBQ65520:WBQ65597 WBQ131056:WBQ131133 WBQ196592:WBQ196669 WBQ262128:WBQ262205 WBQ327664:WBQ327741 WBQ393200:WBQ393277 WBQ458736:WBQ458813 WBQ524272:WBQ524349 WBQ589808:WBQ589885 WBQ655344:WBQ655421 WBQ720880:WBQ720957 WBQ786416:WBQ786493 WBQ851952:WBQ852029 WBQ917488:WBQ917565 WBQ983024:WBQ983101 WLM2:WLM61 WLM65520:WLM65597 WLM131056:WLM131133 WLM196592:WLM196669 WLM262128:WLM262205 WLM327664:WLM327741 WLM393200:WLM393277 WLM458736:WLM458813 WLM524272:WLM524349 WLM589808:WLM589885 WLM655344:WLM655421 WLM720880:WLM720957 WLM786416:WLM786493 WLM851952:WLM852029 WLM917488:WLM917565 WLM983024:WLM983101 WVI2:WVI61 WVI65520:WVI65597 WVI131056:WVI131133 WVI196592:WVI196669 WVI262128:WVI262205 WVI327664:WVI327741 WVI393200:WVI393277 WVI458736:WVI458813 WVI524272:WVI524349 WVI589808:WVI589885 WVI655344:WVI655421 WVI720880:WVI720957 WVI786416:WVI786493 WVI851952:WVI852029 WVI917488:WVI917565 WVI983024:WVI983101">
      <formula1>$AE$2:$AE$16</formula1>
    </dataValidation>
    <dataValidation type="list" allowBlank="1" showInputMessage="1" showErrorMessage="1" sqref="Y2:AA482">
      <formula1>$AV$2:$AV$18</formula1>
    </dataValidation>
    <dataValidation type="list" allowBlank="1" showInputMessage="1" showErrorMessage="1" sqref="K2:K71">
      <formula1>$AR$2:$AR$20</formula1>
    </dataValidation>
    <dataValidation type="list" allowBlank="1" showInputMessage="1" showErrorMessage="1" sqref="F2:F713 F65520:F65597 F131056:F131133 F196592:F196669 F262128:F262205 F327664:F327741 F393200:F393277 F458736:F458813 F524272:F524349 F589808:F589885 F655344:F655421 F720880:F720957 F786416:F786493 F851952:F852029 F917488:F917565 F983024:F983101 JB2:JB61 JB65520:JB65597 JB131056:JB131133 JB196592:JB196669 JB262128:JB262205 JB327664:JB327741 JB393200:JB393277 JB458736:JB458813 JB524272:JB524349 JB589808:JB589885 JB655344:JB655421 JB720880:JB720957 JB786416:JB786493 JB851952:JB852029 JB917488:JB917565 JB983024:JB983101 SX2:SX61 SX65520:SX65597 SX131056:SX131133 SX196592:SX196669 SX262128:SX262205 SX327664:SX327741 SX393200:SX393277 SX458736:SX458813 SX524272:SX524349 SX589808:SX589885 SX655344:SX655421 SX720880:SX720957 SX786416:SX786493 SX851952:SX852029 SX917488:SX917565 SX983024:SX983101 ACT2:ACT61 ACT65520:ACT65597 ACT131056:ACT131133 ACT196592:ACT196669 ACT262128:ACT262205 ACT327664:ACT327741 ACT393200:ACT393277 ACT458736:ACT458813 ACT524272:ACT524349 ACT589808:ACT589885 ACT655344:ACT655421 ACT720880:ACT720957 ACT786416:ACT786493 ACT851952:ACT852029 ACT917488:ACT917565 ACT983024:ACT983101 AMP2:AMP61 AMP65520:AMP65597 AMP131056:AMP131133 AMP196592:AMP196669 AMP262128:AMP262205 AMP327664:AMP327741 AMP393200:AMP393277 AMP458736:AMP458813 AMP524272:AMP524349 AMP589808:AMP589885 AMP655344:AMP655421 AMP720880:AMP720957 AMP786416:AMP786493 AMP851952:AMP852029 AMP917488:AMP917565 AMP983024:AMP983101 AWL2:AWL61 AWL65520:AWL65597 AWL131056:AWL131133 AWL196592:AWL196669 AWL262128:AWL262205 AWL327664:AWL327741 AWL393200:AWL393277 AWL458736:AWL458813 AWL524272:AWL524349 AWL589808:AWL589885 AWL655344:AWL655421 AWL720880:AWL720957 AWL786416:AWL786493 AWL851952:AWL852029 AWL917488:AWL917565 AWL983024:AWL983101 BGH2:BGH61 BGH65520:BGH65597 BGH131056:BGH131133 BGH196592:BGH196669 BGH262128:BGH262205 BGH327664:BGH327741 BGH393200:BGH393277 BGH458736:BGH458813 BGH524272:BGH524349 BGH589808:BGH589885 BGH655344:BGH655421 BGH720880:BGH720957 BGH786416:BGH786493 BGH851952:BGH852029 BGH917488:BGH917565 BGH983024:BGH983101 BQD2:BQD61 BQD65520:BQD65597 BQD131056:BQD131133 BQD196592:BQD196669 BQD262128:BQD262205 BQD327664:BQD327741 BQD393200:BQD393277 BQD458736:BQD458813 BQD524272:BQD524349 BQD589808:BQD589885 BQD655344:BQD655421 BQD720880:BQD720957 BQD786416:BQD786493 BQD851952:BQD852029 BQD917488:BQD917565 BQD983024:BQD983101 BZZ2:BZZ61 BZZ65520:BZZ65597 BZZ131056:BZZ131133 BZZ196592:BZZ196669 BZZ262128:BZZ262205 BZZ327664:BZZ327741 BZZ393200:BZZ393277 BZZ458736:BZZ458813 BZZ524272:BZZ524349 BZZ589808:BZZ589885 BZZ655344:BZZ655421 BZZ720880:BZZ720957 BZZ786416:BZZ786493 BZZ851952:BZZ852029 BZZ917488:BZZ917565 BZZ983024:BZZ983101 CJV2:CJV61 CJV65520:CJV65597 CJV131056:CJV131133 CJV196592:CJV196669 CJV262128:CJV262205 CJV327664:CJV327741 CJV393200:CJV393277 CJV458736:CJV458813 CJV524272:CJV524349 CJV589808:CJV589885 CJV655344:CJV655421 CJV720880:CJV720957 CJV786416:CJV786493 CJV851952:CJV852029 CJV917488:CJV917565 CJV983024:CJV983101 CTR2:CTR61 CTR65520:CTR65597 CTR131056:CTR131133 CTR196592:CTR196669 CTR262128:CTR262205 CTR327664:CTR327741 CTR393200:CTR393277 CTR458736:CTR458813 CTR524272:CTR524349 CTR589808:CTR589885 CTR655344:CTR655421 CTR720880:CTR720957 CTR786416:CTR786493 CTR851952:CTR852029 CTR917488:CTR917565 CTR983024:CTR983101 DDN2:DDN61 DDN65520:DDN65597 DDN131056:DDN131133 DDN196592:DDN196669 DDN262128:DDN262205 DDN327664:DDN327741 DDN393200:DDN393277 DDN458736:DDN458813 DDN524272:DDN524349 DDN589808:DDN589885 DDN655344:DDN655421 DDN720880:DDN720957 DDN786416:DDN786493 DDN851952:DDN852029 DDN917488:DDN917565 DDN983024:DDN983101 DNJ2:DNJ61 DNJ65520:DNJ65597 DNJ131056:DNJ131133 DNJ196592:DNJ196669 DNJ262128:DNJ262205 DNJ327664:DNJ327741 DNJ393200:DNJ393277 DNJ458736:DNJ458813 DNJ524272:DNJ524349 DNJ589808:DNJ589885 DNJ655344:DNJ655421 DNJ720880:DNJ720957 DNJ786416:DNJ786493 DNJ851952:DNJ852029 DNJ917488:DNJ917565 DNJ983024:DNJ983101 DXF2:DXF61 DXF65520:DXF65597 DXF131056:DXF131133 DXF196592:DXF196669 DXF262128:DXF262205 DXF327664:DXF327741 DXF393200:DXF393277 DXF458736:DXF458813 DXF524272:DXF524349 DXF589808:DXF589885 DXF655344:DXF655421 DXF720880:DXF720957 DXF786416:DXF786493 DXF851952:DXF852029 DXF917488:DXF917565 DXF983024:DXF983101 EHB2:EHB61 EHB65520:EHB65597 EHB131056:EHB131133 EHB196592:EHB196669 EHB262128:EHB262205 EHB327664:EHB327741 EHB393200:EHB393277 EHB458736:EHB458813 EHB524272:EHB524349 EHB589808:EHB589885 EHB655344:EHB655421 EHB720880:EHB720957 EHB786416:EHB786493 EHB851952:EHB852029 EHB917488:EHB917565 EHB983024:EHB983101 EQX2:EQX61 EQX65520:EQX65597 EQX131056:EQX131133 EQX196592:EQX196669 EQX262128:EQX262205 EQX327664:EQX327741 EQX393200:EQX393277 EQX458736:EQX458813 EQX524272:EQX524349 EQX589808:EQX589885 EQX655344:EQX655421 EQX720880:EQX720957 EQX786416:EQX786493 EQX851952:EQX852029 EQX917488:EQX917565 EQX983024:EQX983101 FAT2:FAT61 FAT65520:FAT65597 FAT131056:FAT131133 FAT196592:FAT196669 FAT262128:FAT262205 FAT327664:FAT327741 FAT393200:FAT393277 FAT458736:FAT458813 FAT524272:FAT524349 FAT589808:FAT589885 FAT655344:FAT655421 FAT720880:FAT720957 FAT786416:FAT786493 FAT851952:FAT852029 FAT917488:FAT917565 FAT983024:FAT983101 FKP2:FKP61 FKP65520:FKP65597 FKP131056:FKP131133 FKP196592:FKP196669 FKP262128:FKP262205 FKP327664:FKP327741 FKP393200:FKP393277 FKP458736:FKP458813 FKP524272:FKP524349 FKP589808:FKP589885 FKP655344:FKP655421 FKP720880:FKP720957 FKP786416:FKP786493 FKP851952:FKP852029 FKP917488:FKP917565 FKP983024:FKP983101 FUL2:FUL61 FUL65520:FUL65597 FUL131056:FUL131133 FUL196592:FUL196669 FUL262128:FUL262205 FUL327664:FUL327741 FUL393200:FUL393277 FUL458736:FUL458813 FUL524272:FUL524349 FUL589808:FUL589885 FUL655344:FUL655421 FUL720880:FUL720957 FUL786416:FUL786493 FUL851952:FUL852029 FUL917488:FUL917565 FUL983024:FUL983101 GEH2:GEH61 GEH65520:GEH65597 GEH131056:GEH131133 GEH196592:GEH196669 GEH262128:GEH262205 GEH327664:GEH327741 GEH393200:GEH393277 GEH458736:GEH458813 GEH524272:GEH524349 GEH589808:GEH589885 GEH655344:GEH655421 GEH720880:GEH720957 GEH786416:GEH786493 GEH851952:GEH852029 GEH917488:GEH917565 GEH983024:GEH983101 GOD2:GOD61 GOD65520:GOD65597 GOD131056:GOD131133 GOD196592:GOD196669 GOD262128:GOD262205 GOD327664:GOD327741 GOD393200:GOD393277 GOD458736:GOD458813 GOD524272:GOD524349 GOD589808:GOD589885 GOD655344:GOD655421 GOD720880:GOD720957 GOD786416:GOD786493 GOD851952:GOD852029 GOD917488:GOD917565 GOD983024:GOD983101 GXZ2:GXZ61 GXZ65520:GXZ65597 GXZ131056:GXZ131133 GXZ196592:GXZ196669 GXZ262128:GXZ262205 GXZ327664:GXZ327741 GXZ393200:GXZ393277 GXZ458736:GXZ458813 GXZ524272:GXZ524349 GXZ589808:GXZ589885 GXZ655344:GXZ655421 GXZ720880:GXZ720957 GXZ786416:GXZ786493 GXZ851952:GXZ852029 GXZ917488:GXZ917565 GXZ983024:GXZ983101 HHV2:HHV61 HHV65520:HHV65597 HHV131056:HHV131133 HHV196592:HHV196669 HHV262128:HHV262205 HHV327664:HHV327741 HHV393200:HHV393277 HHV458736:HHV458813 HHV524272:HHV524349 HHV589808:HHV589885 HHV655344:HHV655421 HHV720880:HHV720957 HHV786416:HHV786493 HHV851952:HHV852029 HHV917488:HHV917565 HHV983024:HHV983101 HRR2:HRR61 HRR65520:HRR65597 HRR131056:HRR131133 HRR196592:HRR196669 HRR262128:HRR262205 HRR327664:HRR327741 HRR393200:HRR393277 HRR458736:HRR458813 HRR524272:HRR524349 HRR589808:HRR589885 HRR655344:HRR655421 HRR720880:HRR720957 HRR786416:HRR786493 HRR851952:HRR852029 HRR917488:HRR917565 HRR983024:HRR983101 IBN2:IBN61 IBN65520:IBN65597 IBN131056:IBN131133 IBN196592:IBN196669 IBN262128:IBN262205 IBN327664:IBN327741 IBN393200:IBN393277 IBN458736:IBN458813 IBN524272:IBN524349 IBN589808:IBN589885 IBN655344:IBN655421 IBN720880:IBN720957 IBN786416:IBN786493 IBN851952:IBN852029 IBN917488:IBN917565 IBN983024:IBN983101 ILJ2:ILJ61 ILJ65520:ILJ65597 ILJ131056:ILJ131133 ILJ196592:ILJ196669 ILJ262128:ILJ262205 ILJ327664:ILJ327741 ILJ393200:ILJ393277 ILJ458736:ILJ458813 ILJ524272:ILJ524349 ILJ589808:ILJ589885 ILJ655344:ILJ655421 ILJ720880:ILJ720957 ILJ786416:ILJ786493 ILJ851952:ILJ852029 ILJ917488:ILJ917565 ILJ983024:ILJ983101 IVF2:IVF61 IVF65520:IVF65597 IVF131056:IVF131133 IVF196592:IVF196669 IVF262128:IVF262205 IVF327664:IVF327741 IVF393200:IVF393277 IVF458736:IVF458813 IVF524272:IVF524349 IVF589808:IVF589885 IVF655344:IVF655421 IVF720880:IVF720957 IVF786416:IVF786493 IVF851952:IVF852029 IVF917488:IVF917565 IVF983024:IVF983101 JFB2:JFB61 JFB65520:JFB65597 JFB131056:JFB131133 JFB196592:JFB196669 JFB262128:JFB262205 JFB327664:JFB327741 JFB393200:JFB393277 JFB458736:JFB458813 JFB524272:JFB524349 JFB589808:JFB589885 JFB655344:JFB655421 JFB720880:JFB720957 JFB786416:JFB786493 JFB851952:JFB852029 JFB917488:JFB917565 JFB983024:JFB983101 JOX2:JOX61 JOX65520:JOX65597 JOX131056:JOX131133 JOX196592:JOX196669 JOX262128:JOX262205 JOX327664:JOX327741 JOX393200:JOX393277 JOX458736:JOX458813 JOX524272:JOX524349 JOX589808:JOX589885 JOX655344:JOX655421 JOX720880:JOX720957 JOX786416:JOX786493 JOX851952:JOX852029 JOX917488:JOX917565 JOX983024:JOX983101 JYT2:JYT61 JYT65520:JYT65597 JYT131056:JYT131133 JYT196592:JYT196669 JYT262128:JYT262205 JYT327664:JYT327741 JYT393200:JYT393277 JYT458736:JYT458813 JYT524272:JYT524349 JYT589808:JYT589885 JYT655344:JYT655421 JYT720880:JYT720957 JYT786416:JYT786493 JYT851952:JYT852029 JYT917488:JYT917565 JYT983024:JYT983101 KIP2:KIP61 KIP65520:KIP65597 KIP131056:KIP131133 KIP196592:KIP196669 KIP262128:KIP262205 KIP327664:KIP327741 KIP393200:KIP393277 KIP458736:KIP458813 KIP524272:KIP524349 KIP589808:KIP589885 KIP655344:KIP655421 KIP720880:KIP720957 KIP786416:KIP786493 KIP851952:KIP852029 KIP917488:KIP917565 KIP983024:KIP983101 KSL2:KSL61 KSL65520:KSL65597 KSL131056:KSL131133 KSL196592:KSL196669 KSL262128:KSL262205 KSL327664:KSL327741 KSL393200:KSL393277 KSL458736:KSL458813 KSL524272:KSL524349 KSL589808:KSL589885 KSL655344:KSL655421 KSL720880:KSL720957 KSL786416:KSL786493 KSL851952:KSL852029 KSL917488:KSL917565 KSL983024:KSL983101 LCH2:LCH61 LCH65520:LCH65597 LCH131056:LCH131133 LCH196592:LCH196669 LCH262128:LCH262205 LCH327664:LCH327741 LCH393200:LCH393277 LCH458736:LCH458813 LCH524272:LCH524349 LCH589808:LCH589885 LCH655344:LCH655421 LCH720880:LCH720957 LCH786416:LCH786493 LCH851952:LCH852029 LCH917488:LCH917565 LCH983024:LCH983101 LMD2:LMD61 LMD65520:LMD65597 LMD131056:LMD131133 LMD196592:LMD196669 LMD262128:LMD262205 LMD327664:LMD327741 LMD393200:LMD393277 LMD458736:LMD458813 LMD524272:LMD524349 LMD589808:LMD589885 LMD655344:LMD655421 LMD720880:LMD720957 LMD786416:LMD786493 LMD851952:LMD852029 LMD917488:LMD917565 LMD983024:LMD983101 LVZ2:LVZ61 LVZ65520:LVZ65597 LVZ131056:LVZ131133 LVZ196592:LVZ196669 LVZ262128:LVZ262205 LVZ327664:LVZ327741 LVZ393200:LVZ393277 LVZ458736:LVZ458813 LVZ524272:LVZ524349 LVZ589808:LVZ589885 LVZ655344:LVZ655421 LVZ720880:LVZ720957 LVZ786416:LVZ786493 LVZ851952:LVZ852029 LVZ917488:LVZ917565 LVZ983024:LVZ983101 MFV2:MFV61 MFV65520:MFV65597 MFV131056:MFV131133 MFV196592:MFV196669 MFV262128:MFV262205 MFV327664:MFV327741 MFV393200:MFV393277 MFV458736:MFV458813 MFV524272:MFV524349 MFV589808:MFV589885 MFV655344:MFV655421 MFV720880:MFV720957 MFV786416:MFV786493 MFV851952:MFV852029 MFV917488:MFV917565 MFV983024:MFV983101 MPR2:MPR61 MPR65520:MPR65597 MPR131056:MPR131133 MPR196592:MPR196669 MPR262128:MPR262205 MPR327664:MPR327741 MPR393200:MPR393277 MPR458736:MPR458813 MPR524272:MPR524349 MPR589808:MPR589885 MPR655344:MPR655421 MPR720880:MPR720957 MPR786416:MPR786493 MPR851952:MPR852029 MPR917488:MPR917565 MPR983024:MPR983101 MZN2:MZN61 MZN65520:MZN65597 MZN131056:MZN131133 MZN196592:MZN196669 MZN262128:MZN262205 MZN327664:MZN327741 MZN393200:MZN393277 MZN458736:MZN458813 MZN524272:MZN524349 MZN589808:MZN589885 MZN655344:MZN655421 MZN720880:MZN720957 MZN786416:MZN786493 MZN851952:MZN852029 MZN917488:MZN917565 MZN983024:MZN983101 NJJ2:NJJ61 NJJ65520:NJJ65597 NJJ131056:NJJ131133 NJJ196592:NJJ196669 NJJ262128:NJJ262205 NJJ327664:NJJ327741 NJJ393200:NJJ393277 NJJ458736:NJJ458813 NJJ524272:NJJ524349 NJJ589808:NJJ589885 NJJ655344:NJJ655421 NJJ720880:NJJ720957 NJJ786416:NJJ786493 NJJ851952:NJJ852029 NJJ917488:NJJ917565 NJJ983024:NJJ983101 NTF2:NTF61 NTF65520:NTF65597 NTF131056:NTF131133 NTF196592:NTF196669 NTF262128:NTF262205 NTF327664:NTF327741 NTF393200:NTF393277 NTF458736:NTF458813 NTF524272:NTF524349 NTF589808:NTF589885 NTF655344:NTF655421 NTF720880:NTF720957 NTF786416:NTF786493 NTF851952:NTF852029 NTF917488:NTF917565 NTF983024:NTF983101 ODB2:ODB61 ODB65520:ODB65597 ODB131056:ODB131133 ODB196592:ODB196669 ODB262128:ODB262205 ODB327664:ODB327741 ODB393200:ODB393277 ODB458736:ODB458813 ODB524272:ODB524349 ODB589808:ODB589885 ODB655344:ODB655421 ODB720880:ODB720957 ODB786416:ODB786493 ODB851952:ODB852029 ODB917488:ODB917565 ODB983024:ODB983101 OMX2:OMX61 OMX65520:OMX65597 OMX131056:OMX131133 OMX196592:OMX196669 OMX262128:OMX262205 OMX327664:OMX327741 OMX393200:OMX393277 OMX458736:OMX458813 OMX524272:OMX524349 OMX589808:OMX589885 OMX655344:OMX655421 OMX720880:OMX720957 OMX786416:OMX786493 OMX851952:OMX852029 OMX917488:OMX917565 OMX983024:OMX983101 OWT2:OWT61 OWT65520:OWT65597 OWT131056:OWT131133 OWT196592:OWT196669 OWT262128:OWT262205 OWT327664:OWT327741 OWT393200:OWT393277 OWT458736:OWT458813 OWT524272:OWT524349 OWT589808:OWT589885 OWT655344:OWT655421 OWT720880:OWT720957 OWT786416:OWT786493 OWT851952:OWT852029 OWT917488:OWT917565 OWT983024:OWT983101 PGP2:PGP61 PGP65520:PGP65597 PGP131056:PGP131133 PGP196592:PGP196669 PGP262128:PGP262205 PGP327664:PGP327741 PGP393200:PGP393277 PGP458736:PGP458813 PGP524272:PGP524349 PGP589808:PGP589885 PGP655344:PGP655421 PGP720880:PGP720957 PGP786416:PGP786493 PGP851952:PGP852029 PGP917488:PGP917565 PGP983024:PGP983101 PQL2:PQL61 PQL65520:PQL65597 PQL131056:PQL131133 PQL196592:PQL196669 PQL262128:PQL262205 PQL327664:PQL327741 PQL393200:PQL393277 PQL458736:PQL458813 PQL524272:PQL524349 PQL589808:PQL589885 PQL655344:PQL655421 PQL720880:PQL720957 PQL786416:PQL786493 PQL851952:PQL852029 PQL917488:PQL917565 PQL983024:PQL983101 QAH2:QAH61 QAH65520:QAH65597 QAH131056:QAH131133 QAH196592:QAH196669 QAH262128:QAH262205 QAH327664:QAH327741 QAH393200:QAH393277 QAH458736:QAH458813 QAH524272:QAH524349 QAH589808:QAH589885 QAH655344:QAH655421 QAH720880:QAH720957 QAH786416:QAH786493 QAH851952:QAH852029 QAH917488:QAH917565 QAH983024:QAH983101 QKD2:QKD61 QKD65520:QKD65597 QKD131056:QKD131133 QKD196592:QKD196669 QKD262128:QKD262205 QKD327664:QKD327741 QKD393200:QKD393277 QKD458736:QKD458813 QKD524272:QKD524349 QKD589808:QKD589885 QKD655344:QKD655421 QKD720880:QKD720957 QKD786416:QKD786493 QKD851952:QKD852029 QKD917488:QKD917565 QKD983024:QKD983101 QTZ2:QTZ61 QTZ65520:QTZ65597 QTZ131056:QTZ131133 QTZ196592:QTZ196669 QTZ262128:QTZ262205 QTZ327664:QTZ327741 QTZ393200:QTZ393277 QTZ458736:QTZ458813 QTZ524272:QTZ524349 QTZ589808:QTZ589885 QTZ655344:QTZ655421 QTZ720880:QTZ720957 QTZ786416:QTZ786493 QTZ851952:QTZ852029 QTZ917488:QTZ917565 QTZ983024:QTZ983101 RDV2:RDV61 RDV65520:RDV65597 RDV131056:RDV131133 RDV196592:RDV196669 RDV262128:RDV262205 RDV327664:RDV327741 RDV393200:RDV393277 RDV458736:RDV458813 RDV524272:RDV524349 RDV589808:RDV589885 RDV655344:RDV655421 RDV720880:RDV720957 RDV786416:RDV786493 RDV851952:RDV852029 RDV917488:RDV917565 RDV983024:RDV983101 RNR2:RNR61 RNR65520:RNR65597 RNR131056:RNR131133 RNR196592:RNR196669 RNR262128:RNR262205 RNR327664:RNR327741 RNR393200:RNR393277 RNR458736:RNR458813 RNR524272:RNR524349 RNR589808:RNR589885 RNR655344:RNR655421 RNR720880:RNR720957 RNR786416:RNR786493 RNR851952:RNR852029 RNR917488:RNR917565 RNR983024:RNR983101 RXN2:RXN61 RXN65520:RXN65597 RXN131056:RXN131133 RXN196592:RXN196669 RXN262128:RXN262205 RXN327664:RXN327741 RXN393200:RXN393277 RXN458736:RXN458813 RXN524272:RXN524349 RXN589808:RXN589885 RXN655344:RXN655421 RXN720880:RXN720957 RXN786416:RXN786493 RXN851952:RXN852029 RXN917488:RXN917565 RXN983024:RXN983101 SHJ2:SHJ61 SHJ65520:SHJ65597 SHJ131056:SHJ131133 SHJ196592:SHJ196669 SHJ262128:SHJ262205 SHJ327664:SHJ327741 SHJ393200:SHJ393277 SHJ458736:SHJ458813 SHJ524272:SHJ524349 SHJ589808:SHJ589885 SHJ655344:SHJ655421 SHJ720880:SHJ720957 SHJ786416:SHJ786493 SHJ851952:SHJ852029 SHJ917488:SHJ917565 SHJ983024:SHJ983101 SRF2:SRF61 SRF65520:SRF65597 SRF131056:SRF131133 SRF196592:SRF196669 SRF262128:SRF262205 SRF327664:SRF327741 SRF393200:SRF393277 SRF458736:SRF458813 SRF524272:SRF524349 SRF589808:SRF589885 SRF655344:SRF655421 SRF720880:SRF720957 SRF786416:SRF786493 SRF851952:SRF852029 SRF917488:SRF917565 SRF983024:SRF983101 TBB2:TBB61 TBB65520:TBB65597 TBB131056:TBB131133 TBB196592:TBB196669 TBB262128:TBB262205 TBB327664:TBB327741 TBB393200:TBB393277 TBB458736:TBB458813 TBB524272:TBB524349 TBB589808:TBB589885 TBB655344:TBB655421 TBB720880:TBB720957 TBB786416:TBB786493 TBB851952:TBB852029 TBB917488:TBB917565 TBB983024:TBB983101 TKX2:TKX61 TKX65520:TKX65597 TKX131056:TKX131133 TKX196592:TKX196669 TKX262128:TKX262205 TKX327664:TKX327741 TKX393200:TKX393277 TKX458736:TKX458813 TKX524272:TKX524349 TKX589808:TKX589885 TKX655344:TKX655421 TKX720880:TKX720957 TKX786416:TKX786493 TKX851952:TKX852029 TKX917488:TKX917565 TKX983024:TKX983101 TUT2:TUT61 TUT65520:TUT65597 TUT131056:TUT131133 TUT196592:TUT196669 TUT262128:TUT262205 TUT327664:TUT327741 TUT393200:TUT393277 TUT458736:TUT458813 TUT524272:TUT524349 TUT589808:TUT589885 TUT655344:TUT655421 TUT720880:TUT720957 TUT786416:TUT786493 TUT851952:TUT852029 TUT917488:TUT917565 TUT983024:TUT983101 UEP2:UEP61 UEP65520:UEP65597 UEP131056:UEP131133 UEP196592:UEP196669 UEP262128:UEP262205 UEP327664:UEP327741 UEP393200:UEP393277 UEP458736:UEP458813 UEP524272:UEP524349 UEP589808:UEP589885 UEP655344:UEP655421 UEP720880:UEP720957 UEP786416:UEP786493 UEP851952:UEP852029 UEP917488:UEP917565 UEP983024:UEP983101 UOL2:UOL61 UOL65520:UOL65597 UOL131056:UOL131133 UOL196592:UOL196669 UOL262128:UOL262205 UOL327664:UOL327741 UOL393200:UOL393277 UOL458736:UOL458813 UOL524272:UOL524349 UOL589808:UOL589885 UOL655344:UOL655421 UOL720880:UOL720957 UOL786416:UOL786493 UOL851952:UOL852029 UOL917488:UOL917565 UOL983024:UOL983101 UYH2:UYH61 UYH65520:UYH65597 UYH131056:UYH131133 UYH196592:UYH196669 UYH262128:UYH262205 UYH327664:UYH327741 UYH393200:UYH393277 UYH458736:UYH458813 UYH524272:UYH524349 UYH589808:UYH589885 UYH655344:UYH655421 UYH720880:UYH720957 UYH786416:UYH786493 UYH851952:UYH852029 UYH917488:UYH917565 UYH983024:UYH983101 VID2:VID61 VID65520:VID65597 VID131056:VID131133 VID196592:VID196669 VID262128:VID262205 VID327664:VID327741 VID393200:VID393277 VID458736:VID458813 VID524272:VID524349 VID589808:VID589885 VID655344:VID655421 VID720880:VID720957 VID786416:VID786493 VID851952:VID852029 VID917488:VID917565 VID983024:VID983101 VRZ2:VRZ61 VRZ65520:VRZ65597 VRZ131056:VRZ131133 VRZ196592:VRZ196669 VRZ262128:VRZ262205 VRZ327664:VRZ327741 VRZ393200:VRZ393277 VRZ458736:VRZ458813 VRZ524272:VRZ524349 VRZ589808:VRZ589885 VRZ655344:VRZ655421 VRZ720880:VRZ720957 VRZ786416:VRZ786493 VRZ851952:VRZ852029 VRZ917488:VRZ917565 VRZ983024:VRZ983101 WBV2:WBV61 WBV65520:WBV65597 WBV131056:WBV131133 WBV196592:WBV196669 WBV262128:WBV262205 WBV327664:WBV327741 WBV393200:WBV393277 WBV458736:WBV458813 WBV524272:WBV524349 WBV589808:WBV589885 WBV655344:WBV655421 WBV720880:WBV720957 WBV786416:WBV786493 WBV851952:WBV852029 WBV917488:WBV917565 WBV983024:WBV983101 WLR2:WLR61 WLR65520:WLR65597 WLR131056:WLR131133 WLR196592:WLR196669 WLR262128:WLR262205 WLR327664:WLR327741 WLR393200:WLR393277 WLR458736:WLR458813 WLR524272:WLR524349 WLR589808:WLR589885 WLR655344:WLR655421 WLR720880:WLR720957 WLR786416:WLR786493 WLR851952:WLR852029 WLR917488:WLR917565 WLR983024:WLR983101 WVN2:WVN61 WVN65520:WVN65597 WVN131056:WVN131133 WVN196592:WVN196669 WVN262128:WVN262205 WVN327664:WVN327741 WVN393200:WVN393277 WVN458736:WVN458813 WVN524272:WVN524349 WVN589808:WVN589885 WVN655344:WVN655421 WVN720880:WVN720957 WVN786416:WVN786493 WVN851952:WVN852029 WVN917488:WVN917565 WVN983024:WVN983101">
      <formula1>$AH$2:$AH$10</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A114"/>
  <sheetViews>
    <sheetView zoomScale="80" zoomScaleNormal="80" workbookViewId="0">
      <selection activeCell="AC26" sqref="AC26"/>
    </sheetView>
  </sheetViews>
  <sheetFormatPr defaultRowHeight="13.5" x14ac:dyDescent="0.15"/>
  <cols>
    <col min="1" max="3" width="9" style="205" customWidth="1"/>
    <col min="4" max="4" width="10.5" style="205" customWidth="1"/>
    <col min="5" max="5" width="11.25" style="205" bestFit="1" customWidth="1"/>
    <col min="6" max="7" width="9" style="205"/>
    <col min="8" max="10" width="9" style="205" customWidth="1"/>
    <col min="11" max="11" width="11.375" style="205" customWidth="1"/>
    <col min="12" max="16" width="9" style="205" customWidth="1"/>
    <col min="17" max="17" width="9" style="214" customWidth="1"/>
    <col min="18" max="18" width="9" style="205"/>
    <col min="19" max="19" width="9.5" style="205" bestFit="1" customWidth="1"/>
    <col min="20" max="20" width="9" style="214" customWidth="1"/>
    <col min="21" max="21" width="9" style="205"/>
    <col min="22" max="22" width="9" style="214" customWidth="1"/>
    <col min="23" max="28" width="9" style="205"/>
    <col min="29" max="29" width="26.5" style="205" customWidth="1"/>
    <col min="30" max="32" width="9" style="205"/>
    <col min="33" max="33" width="15.75" style="205" bestFit="1" customWidth="1"/>
    <col min="34" max="34" width="15" style="205" bestFit="1" customWidth="1"/>
    <col min="35" max="256" width="9" style="205"/>
    <col min="257" max="259" width="9" style="205" customWidth="1"/>
    <col min="260" max="260" width="10.5" style="205" customWidth="1"/>
    <col min="261" max="261" width="11.25" style="205" bestFit="1" customWidth="1"/>
    <col min="262" max="263" width="9" style="205"/>
    <col min="264" max="273" width="9" style="205" customWidth="1"/>
    <col min="274" max="274" width="9" style="205"/>
    <col min="275" max="275" width="9.5" style="205" bestFit="1" customWidth="1"/>
    <col min="276" max="276" width="9" style="205" customWidth="1"/>
    <col min="277" max="277" width="9" style="205"/>
    <col min="278" max="278" width="9" style="205" customWidth="1"/>
    <col min="279" max="284" width="9" style="205"/>
    <col min="285" max="285" width="26.5" style="205" customWidth="1"/>
    <col min="286" max="288" width="9" style="205"/>
    <col min="289" max="289" width="14.75" style="205" bestFit="1" customWidth="1"/>
    <col min="290" max="512" width="9" style="205"/>
    <col min="513" max="515" width="9" style="205" customWidth="1"/>
    <col min="516" max="516" width="10.5" style="205" customWidth="1"/>
    <col min="517" max="517" width="11.25" style="205" bestFit="1" customWidth="1"/>
    <col min="518" max="519" width="9" style="205"/>
    <col min="520" max="529" width="9" style="205" customWidth="1"/>
    <col min="530" max="530" width="9" style="205"/>
    <col min="531" max="531" width="9.5" style="205" bestFit="1" customWidth="1"/>
    <col min="532" max="532" width="9" style="205" customWidth="1"/>
    <col min="533" max="533" width="9" style="205"/>
    <col min="534" max="534" width="9" style="205" customWidth="1"/>
    <col min="535" max="540" width="9" style="205"/>
    <col min="541" max="541" width="26.5" style="205" customWidth="1"/>
    <col min="542" max="544" width="9" style="205"/>
    <col min="545" max="545" width="14.75" style="205" bestFit="1" customWidth="1"/>
    <col min="546" max="768" width="9" style="205"/>
    <col min="769" max="771" width="9" style="205" customWidth="1"/>
    <col min="772" max="772" width="10.5" style="205" customWidth="1"/>
    <col min="773" max="773" width="11.25" style="205" bestFit="1" customWidth="1"/>
    <col min="774" max="775" width="9" style="205"/>
    <col min="776" max="785" width="9" style="205" customWidth="1"/>
    <col min="786" max="786" width="9" style="205"/>
    <col min="787" max="787" width="9.5" style="205" bestFit="1" customWidth="1"/>
    <col min="788" max="788" width="9" style="205" customWidth="1"/>
    <col min="789" max="789" width="9" style="205"/>
    <col min="790" max="790" width="9" style="205" customWidth="1"/>
    <col min="791" max="796" width="9" style="205"/>
    <col min="797" max="797" width="26.5" style="205" customWidth="1"/>
    <col min="798" max="800" width="9" style="205"/>
    <col min="801" max="801" width="14.75" style="205" bestFit="1" customWidth="1"/>
    <col min="802" max="1024" width="9" style="205"/>
    <col min="1025" max="1027" width="9" style="205" customWidth="1"/>
    <col min="1028" max="1028" width="10.5" style="205" customWidth="1"/>
    <col min="1029" max="1029" width="11.25" style="205" bestFit="1" customWidth="1"/>
    <col min="1030" max="1031" width="9" style="205"/>
    <col min="1032" max="1041" width="9" style="205" customWidth="1"/>
    <col min="1042" max="1042" width="9" style="205"/>
    <col min="1043" max="1043" width="9.5" style="205" bestFit="1" customWidth="1"/>
    <col min="1044" max="1044" width="9" style="205" customWidth="1"/>
    <col min="1045" max="1045" width="9" style="205"/>
    <col min="1046" max="1046" width="9" style="205" customWidth="1"/>
    <col min="1047" max="1052" width="9" style="205"/>
    <col min="1053" max="1053" width="26.5" style="205" customWidth="1"/>
    <col min="1054" max="1056" width="9" style="205"/>
    <col min="1057" max="1057" width="14.75" style="205" bestFit="1" customWidth="1"/>
    <col min="1058" max="1280" width="9" style="205"/>
    <col min="1281" max="1283" width="9" style="205" customWidth="1"/>
    <col min="1284" max="1284" width="10.5" style="205" customWidth="1"/>
    <col min="1285" max="1285" width="11.25" style="205" bestFit="1" customWidth="1"/>
    <col min="1286" max="1287" width="9" style="205"/>
    <col min="1288" max="1297" width="9" style="205" customWidth="1"/>
    <col min="1298" max="1298" width="9" style="205"/>
    <col min="1299" max="1299" width="9.5" style="205" bestFit="1" customWidth="1"/>
    <col min="1300" max="1300" width="9" style="205" customWidth="1"/>
    <col min="1301" max="1301" width="9" style="205"/>
    <col min="1302" max="1302" width="9" style="205" customWidth="1"/>
    <col min="1303" max="1308" width="9" style="205"/>
    <col min="1309" max="1309" width="26.5" style="205" customWidth="1"/>
    <col min="1310" max="1312" width="9" style="205"/>
    <col min="1313" max="1313" width="14.75" style="205" bestFit="1" customWidth="1"/>
    <col min="1314" max="1536" width="9" style="205"/>
    <col min="1537" max="1539" width="9" style="205" customWidth="1"/>
    <col min="1540" max="1540" width="10.5" style="205" customWidth="1"/>
    <col min="1541" max="1541" width="11.25" style="205" bestFit="1" customWidth="1"/>
    <col min="1542" max="1543" width="9" style="205"/>
    <col min="1544" max="1553" width="9" style="205" customWidth="1"/>
    <col min="1554" max="1554" width="9" style="205"/>
    <col min="1555" max="1555" width="9.5" style="205" bestFit="1" customWidth="1"/>
    <col min="1556" max="1556" width="9" style="205" customWidth="1"/>
    <col min="1557" max="1557" width="9" style="205"/>
    <col min="1558" max="1558" width="9" style="205" customWidth="1"/>
    <col min="1559" max="1564" width="9" style="205"/>
    <col min="1565" max="1565" width="26.5" style="205" customWidth="1"/>
    <col min="1566" max="1568" width="9" style="205"/>
    <col min="1569" max="1569" width="14.75" style="205" bestFit="1" customWidth="1"/>
    <col min="1570" max="1792" width="9" style="205"/>
    <col min="1793" max="1795" width="9" style="205" customWidth="1"/>
    <col min="1796" max="1796" width="10.5" style="205" customWidth="1"/>
    <col min="1797" max="1797" width="11.25" style="205" bestFit="1" customWidth="1"/>
    <col min="1798" max="1799" width="9" style="205"/>
    <col min="1800" max="1809" width="9" style="205" customWidth="1"/>
    <col min="1810" max="1810" width="9" style="205"/>
    <col min="1811" max="1811" width="9.5" style="205" bestFit="1" customWidth="1"/>
    <col min="1812" max="1812" width="9" style="205" customWidth="1"/>
    <col min="1813" max="1813" width="9" style="205"/>
    <col min="1814" max="1814" width="9" style="205" customWidth="1"/>
    <col min="1815" max="1820" width="9" style="205"/>
    <col min="1821" max="1821" width="26.5" style="205" customWidth="1"/>
    <col min="1822" max="1824" width="9" style="205"/>
    <col min="1825" max="1825" width="14.75" style="205" bestFit="1" customWidth="1"/>
    <col min="1826" max="2048" width="9" style="205"/>
    <col min="2049" max="2051" width="9" style="205" customWidth="1"/>
    <col min="2052" max="2052" width="10.5" style="205" customWidth="1"/>
    <col min="2053" max="2053" width="11.25" style="205" bestFit="1" customWidth="1"/>
    <col min="2054" max="2055" width="9" style="205"/>
    <col min="2056" max="2065" width="9" style="205" customWidth="1"/>
    <col min="2066" max="2066" width="9" style="205"/>
    <col min="2067" max="2067" width="9.5" style="205" bestFit="1" customWidth="1"/>
    <col min="2068" max="2068" width="9" style="205" customWidth="1"/>
    <col min="2069" max="2069" width="9" style="205"/>
    <col min="2070" max="2070" width="9" style="205" customWidth="1"/>
    <col min="2071" max="2076" width="9" style="205"/>
    <col min="2077" max="2077" width="26.5" style="205" customWidth="1"/>
    <col min="2078" max="2080" width="9" style="205"/>
    <col min="2081" max="2081" width="14.75" style="205" bestFit="1" customWidth="1"/>
    <col min="2082" max="2304" width="9" style="205"/>
    <col min="2305" max="2307" width="9" style="205" customWidth="1"/>
    <col min="2308" max="2308" width="10.5" style="205" customWidth="1"/>
    <col min="2309" max="2309" width="11.25" style="205" bestFit="1" customWidth="1"/>
    <col min="2310" max="2311" width="9" style="205"/>
    <col min="2312" max="2321" width="9" style="205" customWidth="1"/>
    <col min="2322" max="2322" width="9" style="205"/>
    <col min="2323" max="2323" width="9.5" style="205" bestFit="1" customWidth="1"/>
    <col min="2324" max="2324" width="9" style="205" customWidth="1"/>
    <col min="2325" max="2325" width="9" style="205"/>
    <col min="2326" max="2326" width="9" style="205" customWidth="1"/>
    <col min="2327" max="2332" width="9" style="205"/>
    <col min="2333" max="2333" width="26.5" style="205" customWidth="1"/>
    <col min="2334" max="2336" width="9" style="205"/>
    <col min="2337" max="2337" width="14.75" style="205" bestFit="1" customWidth="1"/>
    <col min="2338" max="2560" width="9" style="205"/>
    <col min="2561" max="2563" width="9" style="205" customWidth="1"/>
    <col min="2564" max="2564" width="10.5" style="205" customWidth="1"/>
    <col min="2565" max="2565" width="11.25" style="205" bestFit="1" customWidth="1"/>
    <col min="2566" max="2567" width="9" style="205"/>
    <col min="2568" max="2577" width="9" style="205" customWidth="1"/>
    <col min="2578" max="2578" width="9" style="205"/>
    <col min="2579" max="2579" width="9.5" style="205" bestFit="1" customWidth="1"/>
    <col min="2580" max="2580" width="9" style="205" customWidth="1"/>
    <col min="2581" max="2581" width="9" style="205"/>
    <col min="2582" max="2582" width="9" style="205" customWidth="1"/>
    <col min="2583" max="2588" width="9" style="205"/>
    <col min="2589" max="2589" width="26.5" style="205" customWidth="1"/>
    <col min="2590" max="2592" width="9" style="205"/>
    <col min="2593" max="2593" width="14.75" style="205" bestFit="1" customWidth="1"/>
    <col min="2594" max="2816" width="9" style="205"/>
    <col min="2817" max="2819" width="9" style="205" customWidth="1"/>
    <col min="2820" max="2820" width="10.5" style="205" customWidth="1"/>
    <col min="2821" max="2821" width="11.25" style="205" bestFit="1" customWidth="1"/>
    <col min="2822" max="2823" width="9" style="205"/>
    <col min="2824" max="2833" width="9" style="205" customWidth="1"/>
    <col min="2834" max="2834" width="9" style="205"/>
    <col min="2835" max="2835" width="9.5" style="205" bestFit="1" customWidth="1"/>
    <col min="2836" max="2836" width="9" style="205" customWidth="1"/>
    <col min="2837" max="2837" width="9" style="205"/>
    <col min="2838" max="2838" width="9" style="205" customWidth="1"/>
    <col min="2839" max="2844" width="9" style="205"/>
    <col min="2845" max="2845" width="26.5" style="205" customWidth="1"/>
    <col min="2846" max="2848" width="9" style="205"/>
    <col min="2849" max="2849" width="14.75" style="205" bestFit="1" customWidth="1"/>
    <col min="2850" max="3072" width="9" style="205"/>
    <col min="3073" max="3075" width="9" style="205" customWidth="1"/>
    <col min="3076" max="3076" width="10.5" style="205" customWidth="1"/>
    <col min="3077" max="3077" width="11.25" style="205" bestFit="1" customWidth="1"/>
    <col min="3078" max="3079" width="9" style="205"/>
    <col min="3080" max="3089" width="9" style="205" customWidth="1"/>
    <col min="3090" max="3090" width="9" style="205"/>
    <col min="3091" max="3091" width="9.5" style="205" bestFit="1" customWidth="1"/>
    <col min="3092" max="3092" width="9" style="205" customWidth="1"/>
    <col min="3093" max="3093" width="9" style="205"/>
    <col min="3094" max="3094" width="9" style="205" customWidth="1"/>
    <col min="3095" max="3100" width="9" style="205"/>
    <col min="3101" max="3101" width="26.5" style="205" customWidth="1"/>
    <col min="3102" max="3104" width="9" style="205"/>
    <col min="3105" max="3105" width="14.75" style="205" bestFit="1" customWidth="1"/>
    <col min="3106" max="3328" width="9" style="205"/>
    <col min="3329" max="3331" width="9" style="205" customWidth="1"/>
    <col min="3332" max="3332" width="10.5" style="205" customWidth="1"/>
    <col min="3333" max="3333" width="11.25" style="205" bestFit="1" customWidth="1"/>
    <col min="3334" max="3335" width="9" style="205"/>
    <col min="3336" max="3345" width="9" style="205" customWidth="1"/>
    <col min="3346" max="3346" width="9" style="205"/>
    <col min="3347" max="3347" width="9.5" style="205" bestFit="1" customWidth="1"/>
    <col min="3348" max="3348" width="9" style="205" customWidth="1"/>
    <col min="3349" max="3349" width="9" style="205"/>
    <col min="3350" max="3350" width="9" style="205" customWidth="1"/>
    <col min="3351" max="3356" width="9" style="205"/>
    <col min="3357" max="3357" width="26.5" style="205" customWidth="1"/>
    <col min="3358" max="3360" width="9" style="205"/>
    <col min="3361" max="3361" width="14.75" style="205" bestFit="1" customWidth="1"/>
    <col min="3362" max="3584" width="9" style="205"/>
    <col min="3585" max="3587" width="9" style="205" customWidth="1"/>
    <col min="3588" max="3588" width="10.5" style="205" customWidth="1"/>
    <col min="3589" max="3589" width="11.25" style="205" bestFit="1" customWidth="1"/>
    <col min="3590" max="3591" width="9" style="205"/>
    <col min="3592" max="3601" width="9" style="205" customWidth="1"/>
    <col min="3602" max="3602" width="9" style="205"/>
    <col min="3603" max="3603" width="9.5" style="205" bestFit="1" customWidth="1"/>
    <col min="3604" max="3604" width="9" style="205" customWidth="1"/>
    <col min="3605" max="3605" width="9" style="205"/>
    <col min="3606" max="3606" width="9" style="205" customWidth="1"/>
    <col min="3607" max="3612" width="9" style="205"/>
    <col min="3613" max="3613" width="26.5" style="205" customWidth="1"/>
    <col min="3614" max="3616" width="9" style="205"/>
    <col min="3617" max="3617" width="14.75" style="205" bestFit="1" customWidth="1"/>
    <col min="3618" max="3840" width="9" style="205"/>
    <col min="3841" max="3843" width="9" style="205" customWidth="1"/>
    <col min="3844" max="3844" width="10.5" style="205" customWidth="1"/>
    <col min="3845" max="3845" width="11.25" style="205" bestFit="1" customWidth="1"/>
    <col min="3846" max="3847" width="9" style="205"/>
    <col min="3848" max="3857" width="9" style="205" customWidth="1"/>
    <col min="3858" max="3858" width="9" style="205"/>
    <col min="3859" max="3859" width="9.5" style="205" bestFit="1" customWidth="1"/>
    <col min="3860" max="3860" width="9" style="205" customWidth="1"/>
    <col min="3861" max="3861" width="9" style="205"/>
    <col min="3862" max="3862" width="9" style="205" customWidth="1"/>
    <col min="3863" max="3868" width="9" style="205"/>
    <col min="3869" max="3869" width="26.5" style="205" customWidth="1"/>
    <col min="3870" max="3872" width="9" style="205"/>
    <col min="3873" max="3873" width="14.75" style="205" bestFit="1" customWidth="1"/>
    <col min="3874" max="4096" width="9" style="205"/>
    <col min="4097" max="4099" width="9" style="205" customWidth="1"/>
    <col min="4100" max="4100" width="10.5" style="205" customWidth="1"/>
    <col min="4101" max="4101" width="11.25" style="205" bestFit="1" customWidth="1"/>
    <col min="4102" max="4103" width="9" style="205"/>
    <col min="4104" max="4113" width="9" style="205" customWidth="1"/>
    <col min="4114" max="4114" width="9" style="205"/>
    <col min="4115" max="4115" width="9.5" style="205" bestFit="1" customWidth="1"/>
    <col min="4116" max="4116" width="9" style="205" customWidth="1"/>
    <col min="4117" max="4117" width="9" style="205"/>
    <col min="4118" max="4118" width="9" style="205" customWidth="1"/>
    <col min="4119" max="4124" width="9" style="205"/>
    <col min="4125" max="4125" width="26.5" style="205" customWidth="1"/>
    <col min="4126" max="4128" width="9" style="205"/>
    <col min="4129" max="4129" width="14.75" style="205" bestFit="1" customWidth="1"/>
    <col min="4130" max="4352" width="9" style="205"/>
    <col min="4353" max="4355" width="9" style="205" customWidth="1"/>
    <col min="4356" max="4356" width="10.5" style="205" customWidth="1"/>
    <col min="4357" max="4357" width="11.25" style="205" bestFit="1" customWidth="1"/>
    <col min="4358" max="4359" width="9" style="205"/>
    <col min="4360" max="4369" width="9" style="205" customWidth="1"/>
    <col min="4370" max="4370" width="9" style="205"/>
    <col min="4371" max="4371" width="9.5" style="205" bestFit="1" customWidth="1"/>
    <col min="4372" max="4372" width="9" style="205" customWidth="1"/>
    <col min="4373" max="4373" width="9" style="205"/>
    <col min="4374" max="4374" width="9" style="205" customWidth="1"/>
    <col min="4375" max="4380" width="9" style="205"/>
    <col min="4381" max="4381" width="26.5" style="205" customWidth="1"/>
    <col min="4382" max="4384" width="9" style="205"/>
    <col min="4385" max="4385" width="14.75" style="205" bestFit="1" customWidth="1"/>
    <col min="4386" max="4608" width="9" style="205"/>
    <col min="4609" max="4611" width="9" style="205" customWidth="1"/>
    <col min="4612" max="4612" width="10.5" style="205" customWidth="1"/>
    <col min="4613" max="4613" width="11.25" style="205" bestFit="1" customWidth="1"/>
    <col min="4614" max="4615" width="9" style="205"/>
    <col min="4616" max="4625" width="9" style="205" customWidth="1"/>
    <col min="4626" max="4626" width="9" style="205"/>
    <col min="4627" max="4627" width="9.5" style="205" bestFit="1" customWidth="1"/>
    <col min="4628" max="4628" width="9" style="205" customWidth="1"/>
    <col min="4629" max="4629" width="9" style="205"/>
    <col min="4630" max="4630" width="9" style="205" customWidth="1"/>
    <col min="4631" max="4636" width="9" style="205"/>
    <col min="4637" max="4637" width="26.5" style="205" customWidth="1"/>
    <col min="4638" max="4640" width="9" style="205"/>
    <col min="4641" max="4641" width="14.75" style="205" bestFit="1" customWidth="1"/>
    <col min="4642" max="4864" width="9" style="205"/>
    <col min="4865" max="4867" width="9" style="205" customWidth="1"/>
    <col min="4868" max="4868" width="10.5" style="205" customWidth="1"/>
    <col min="4869" max="4869" width="11.25" style="205" bestFit="1" customWidth="1"/>
    <col min="4870" max="4871" width="9" style="205"/>
    <col min="4872" max="4881" width="9" style="205" customWidth="1"/>
    <col min="4882" max="4882" width="9" style="205"/>
    <col min="4883" max="4883" width="9.5" style="205" bestFit="1" customWidth="1"/>
    <col min="4884" max="4884" width="9" style="205" customWidth="1"/>
    <col min="4885" max="4885" width="9" style="205"/>
    <col min="4886" max="4886" width="9" style="205" customWidth="1"/>
    <col min="4887" max="4892" width="9" style="205"/>
    <col min="4893" max="4893" width="26.5" style="205" customWidth="1"/>
    <col min="4894" max="4896" width="9" style="205"/>
    <col min="4897" max="4897" width="14.75" style="205" bestFit="1" customWidth="1"/>
    <col min="4898" max="5120" width="9" style="205"/>
    <col min="5121" max="5123" width="9" style="205" customWidth="1"/>
    <col min="5124" max="5124" width="10.5" style="205" customWidth="1"/>
    <col min="5125" max="5125" width="11.25" style="205" bestFit="1" customWidth="1"/>
    <col min="5126" max="5127" width="9" style="205"/>
    <col min="5128" max="5137" width="9" style="205" customWidth="1"/>
    <col min="5138" max="5138" width="9" style="205"/>
    <col min="5139" max="5139" width="9.5" style="205" bestFit="1" customWidth="1"/>
    <col min="5140" max="5140" width="9" style="205" customWidth="1"/>
    <col min="5141" max="5141" width="9" style="205"/>
    <col min="5142" max="5142" width="9" style="205" customWidth="1"/>
    <col min="5143" max="5148" width="9" style="205"/>
    <col min="5149" max="5149" width="26.5" style="205" customWidth="1"/>
    <col min="5150" max="5152" width="9" style="205"/>
    <col min="5153" max="5153" width="14.75" style="205" bestFit="1" customWidth="1"/>
    <col min="5154" max="5376" width="9" style="205"/>
    <col min="5377" max="5379" width="9" style="205" customWidth="1"/>
    <col min="5380" max="5380" width="10.5" style="205" customWidth="1"/>
    <col min="5381" max="5381" width="11.25" style="205" bestFit="1" customWidth="1"/>
    <col min="5382" max="5383" width="9" style="205"/>
    <col min="5384" max="5393" width="9" style="205" customWidth="1"/>
    <col min="5394" max="5394" width="9" style="205"/>
    <col min="5395" max="5395" width="9.5" style="205" bestFit="1" customWidth="1"/>
    <col min="5396" max="5396" width="9" style="205" customWidth="1"/>
    <col min="5397" max="5397" width="9" style="205"/>
    <col min="5398" max="5398" width="9" style="205" customWidth="1"/>
    <col min="5399" max="5404" width="9" style="205"/>
    <col min="5405" max="5405" width="26.5" style="205" customWidth="1"/>
    <col min="5406" max="5408" width="9" style="205"/>
    <col min="5409" max="5409" width="14.75" style="205" bestFit="1" customWidth="1"/>
    <col min="5410" max="5632" width="9" style="205"/>
    <col min="5633" max="5635" width="9" style="205" customWidth="1"/>
    <col min="5636" max="5636" width="10.5" style="205" customWidth="1"/>
    <col min="5637" max="5637" width="11.25" style="205" bestFit="1" customWidth="1"/>
    <col min="5638" max="5639" width="9" style="205"/>
    <col min="5640" max="5649" width="9" style="205" customWidth="1"/>
    <col min="5650" max="5650" width="9" style="205"/>
    <col min="5651" max="5651" width="9.5" style="205" bestFit="1" customWidth="1"/>
    <col min="5652" max="5652" width="9" style="205" customWidth="1"/>
    <col min="5653" max="5653" width="9" style="205"/>
    <col min="5654" max="5654" width="9" style="205" customWidth="1"/>
    <col min="5655" max="5660" width="9" style="205"/>
    <col min="5661" max="5661" width="26.5" style="205" customWidth="1"/>
    <col min="5662" max="5664" width="9" style="205"/>
    <col min="5665" max="5665" width="14.75" style="205" bestFit="1" customWidth="1"/>
    <col min="5666" max="5888" width="9" style="205"/>
    <col min="5889" max="5891" width="9" style="205" customWidth="1"/>
    <col min="5892" max="5892" width="10.5" style="205" customWidth="1"/>
    <col min="5893" max="5893" width="11.25" style="205" bestFit="1" customWidth="1"/>
    <col min="5894" max="5895" width="9" style="205"/>
    <col min="5896" max="5905" width="9" style="205" customWidth="1"/>
    <col min="5906" max="5906" width="9" style="205"/>
    <col min="5907" max="5907" width="9.5" style="205" bestFit="1" customWidth="1"/>
    <col min="5908" max="5908" width="9" style="205" customWidth="1"/>
    <col min="5909" max="5909" width="9" style="205"/>
    <col min="5910" max="5910" width="9" style="205" customWidth="1"/>
    <col min="5911" max="5916" width="9" style="205"/>
    <col min="5917" max="5917" width="26.5" style="205" customWidth="1"/>
    <col min="5918" max="5920" width="9" style="205"/>
    <col min="5921" max="5921" width="14.75" style="205" bestFit="1" customWidth="1"/>
    <col min="5922" max="6144" width="9" style="205"/>
    <col min="6145" max="6147" width="9" style="205" customWidth="1"/>
    <col min="6148" max="6148" width="10.5" style="205" customWidth="1"/>
    <col min="6149" max="6149" width="11.25" style="205" bestFit="1" customWidth="1"/>
    <col min="6150" max="6151" width="9" style="205"/>
    <col min="6152" max="6161" width="9" style="205" customWidth="1"/>
    <col min="6162" max="6162" width="9" style="205"/>
    <col min="6163" max="6163" width="9.5" style="205" bestFit="1" customWidth="1"/>
    <col min="6164" max="6164" width="9" style="205" customWidth="1"/>
    <col min="6165" max="6165" width="9" style="205"/>
    <col min="6166" max="6166" width="9" style="205" customWidth="1"/>
    <col min="6167" max="6172" width="9" style="205"/>
    <col min="6173" max="6173" width="26.5" style="205" customWidth="1"/>
    <col min="6174" max="6176" width="9" style="205"/>
    <col min="6177" max="6177" width="14.75" style="205" bestFit="1" customWidth="1"/>
    <col min="6178" max="6400" width="9" style="205"/>
    <col min="6401" max="6403" width="9" style="205" customWidth="1"/>
    <col min="6404" max="6404" width="10.5" style="205" customWidth="1"/>
    <col min="6405" max="6405" width="11.25" style="205" bestFit="1" customWidth="1"/>
    <col min="6406" max="6407" width="9" style="205"/>
    <col min="6408" max="6417" width="9" style="205" customWidth="1"/>
    <col min="6418" max="6418" width="9" style="205"/>
    <col min="6419" max="6419" width="9.5" style="205" bestFit="1" customWidth="1"/>
    <col min="6420" max="6420" width="9" style="205" customWidth="1"/>
    <col min="6421" max="6421" width="9" style="205"/>
    <col min="6422" max="6422" width="9" style="205" customWidth="1"/>
    <col min="6423" max="6428" width="9" style="205"/>
    <col min="6429" max="6429" width="26.5" style="205" customWidth="1"/>
    <col min="6430" max="6432" width="9" style="205"/>
    <col min="6433" max="6433" width="14.75" style="205" bestFit="1" customWidth="1"/>
    <col min="6434" max="6656" width="9" style="205"/>
    <col min="6657" max="6659" width="9" style="205" customWidth="1"/>
    <col min="6660" max="6660" width="10.5" style="205" customWidth="1"/>
    <col min="6661" max="6661" width="11.25" style="205" bestFit="1" customWidth="1"/>
    <col min="6662" max="6663" width="9" style="205"/>
    <col min="6664" max="6673" width="9" style="205" customWidth="1"/>
    <col min="6674" max="6674" width="9" style="205"/>
    <col min="6675" max="6675" width="9.5" style="205" bestFit="1" customWidth="1"/>
    <col min="6676" max="6676" width="9" style="205" customWidth="1"/>
    <col min="6677" max="6677" width="9" style="205"/>
    <col min="6678" max="6678" width="9" style="205" customWidth="1"/>
    <col min="6679" max="6684" width="9" style="205"/>
    <col min="6685" max="6685" width="26.5" style="205" customWidth="1"/>
    <col min="6686" max="6688" width="9" style="205"/>
    <col min="6689" max="6689" width="14.75" style="205" bestFit="1" customWidth="1"/>
    <col min="6690" max="6912" width="9" style="205"/>
    <col min="6913" max="6915" width="9" style="205" customWidth="1"/>
    <col min="6916" max="6916" width="10.5" style="205" customWidth="1"/>
    <col min="6917" max="6917" width="11.25" style="205" bestFit="1" customWidth="1"/>
    <col min="6918" max="6919" width="9" style="205"/>
    <col min="6920" max="6929" width="9" style="205" customWidth="1"/>
    <col min="6930" max="6930" width="9" style="205"/>
    <col min="6931" max="6931" width="9.5" style="205" bestFit="1" customWidth="1"/>
    <col min="6932" max="6932" width="9" style="205" customWidth="1"/>
    <col min="6933" max="6933" width="9" style="205"/>
    <col min="6934" max="6934" width="9" style="205" customWidth="1"/>
    <col min="6935" max="6940" width="9" style="205"/>
    <col min="6941" max="6941" width="26.5" style="205" customWidth="1"/>
    <col min="6942" max="6944" width="9" style="205"/>
    <col min="6945" max="6945" width="14.75" style="205" bestFit="1" customWidth="1"/>
    <col min="6946" max="7168" width="9" style="205"/>
    <col min="7169" max="7171" width="9" style="205" customWidth="1"/>
    <col min="7172" max="7172" width="10.5" style="205" customWidth="1"/>
    <col min="7173" max="7173" width="11.25" style="205" bestFit="1" customWidth="1"/>
    <col min="7174" max="7175" width="9" style="205"/>
    <col min="7176" max="7185" width="9" style="205" customWidth="1"/>
    <col min="7186" max="7186" width="9" style="205"/>
    <col min="7187" max="7187" width="9.5" style="205" bestFit="1" customWidth="1"/>
    <col min="7188" max="7188" width="9" style="205" customWidth="1"/>
    <col min="7189" max="7189" width="9" style="205"/>
    <col min="7190" max="7190" width="9" style="205" customWidth="1"/>
    <col min="7191" max="7196" width="9" style="205"/>
    <col min="7197" max="7197" width="26.5" style="205" customWidth="1"/>
    <col min="7198" max="7200" width="9" style="205"/>
    <col min="7201" max="7201" width="14.75" style="205" bestFit="1" customWidth="1"/>
    <col min="7202" max="7424" width="9" style="205"/>
    <col min="7425" max="7427" width="9" style="205" customWidth="1"/>
    <col min="7428" max="7428" width="10.5" style="205" customWidth="1"/>
    <col min="7429" max="7429" width="11.25" style="205" bestFit="1" customWidth="1"/>
    <col min="7430" max="7431" width="9" style="205"/>
    <col min="7432" max="7441" width="9" style="205" customWidth="1"/>
    <col min="7442" max="7442" width="9" style="205"/>
    <col min="7443" max="7443" width="9.5" style="205" bestFit="1" customWidth="1"/>
    <col min="7444" max="7444" width="9" style="205" customWidth="1"/>
    <col min="7445" max="7445" width="9" style="205"/>
    <col min="7446" max="7446" width="9" style="205" customWidth="1"/>
    <col min="7447" max="7452" width="9" style="205"/>
    <col min="7453" max="7453" width="26.5" style="205" customWidth="1"/>
    <col min="7454" max="7456" width="9" style="205"/>
    <col min="7457" max="7457" width="14.75" style="205" bestFit="1" customWidth="1"/>
    <col min="7458" max="7680" width="9" style="205"/>
    <col min="7681" max="7683" width="9" style="205" customWidth="1"/>
    <col min="7684" max="7684" width="10.5" style="205" customWidth="1"/>
    <col min="7685" max="7685" width="11.25" style="205" bestFit="1" customWidth="1"/>
    <col min="7686" max="7687" width="9" style="205"/>
    <col min="7688" max="7697" width="9" style="205" customWidth="1"/>
    <col min="7698" max="7698" width="9" style="205"/>
    <col min="7699" max="7699" width="9.5" style="205" bestFit="1" customWidth="1"/>
    <col min="7700" max="7700" width="9" style="205" customWidth="1"/>
    <col min="7701" max="7701" width="9" style="205"/>
    <col min="7702" max="7702" width="9" style="205" customWidth="1"/>
    <col min="7703" max="7708" width="9" style="205"/>
    <col min="7709" max="7709" width="26.5" style="205" customWidth="1"/>
    <col min="7710" max="7712" width="9" style="205"/>
    <col min="7713" max="7713" width="14.75" style="205" bestFit="1" customWidth="1"/>
    <col min="7714" max="7936" width="9" style="205"/>
    <col min="7937" max="7939" width="9" style="205" customWidth="1"/>
    <col min="7940" max="7940" width="10.5" style="205" customWidth="1"/>
    <col min="7941" max="7941" width="11.25" style="205" bestFit="1" customWidth="1"/>
    <col min="7942" max="7943" width="9" style="205"/>
    <col min="7944" max="7953" width="9" style="205" customWidth="1"/>
    <col min="7954" max="7954" width="9" style="205"/>
    <col min="7955" max="7955" width="9.5" style="205" bestFit="1" customWidth="1"/>
    <col min="7956" max="7956" width="9" style="205" customWidth="1"/>
    <col min="7957" max="7957" width="9" style="205"/>
    <col min="7958" max="7958" width="9" style="205" customWidth="1"/>
    <col min="7959" max="7964" width="9" style="205"/>
    <col min="7965" max="7965" width="26.5" style="205" customWidth="1"/>
    <col min="7966" max="7968" width="9" style="205"/>
    <col min="7969" max="7969" width="14.75" style="205" bestFit="1" customWidth="1"/>
    <col min="7970" max="8192" width="9" style="205"/>
    <col min="8193" max="8195" width="9" style="205" customWidth="1"/>
    <col min="8196" max="8196" width="10.5" style="205" customWidth="1"/>
    <col min="8197" max="8197" width="11.25" style="205" bestFit="1" customWidth="1"/>
    <col min="8198" max="8199" width="9" style="205"/>
    <col min="8200" max="8209" width="9" style="205" customWidth="1"/>
    <col min="8210" max="8210" width="9" style="205"/>
    <col min="8211" max="8211" width="9.5" style="205" bestFit="1" customWidth="1"/>
    <col min="8212" max="8212" width="9" style="205" customWidth="1"/>
    <col min="8213" max="8213" width="9" style="205"/>
    <col min="8214" max="8214" width="9" style="205" customWidth="1"/>
    <col min="8215" max="8220" width="9" style="205"/>
    <col min="8221" max="8221" width="26.5" style="205" customWidth="1"/>
    <col min="8222" max="8224" width="9" style="205"/>
    <col min="8225" max="8225" width="14.75" style="205" bestFit="1" customWidth="1"/>
    <col min="8226" max="8448" width="9" style="205"/>
    <col min="8449" max="8451" width="9" style="205" customWidth="1"/>
    <col min="8452" max="8452" width="10.5" style="205" customWidth="1"/>
    <col min="8453" max="8453" width="11.25" style="205" bestFit="1" customWidth="1"/>
    <col min="8454" max="8455" width="9" style="205"/>
    <col min="8456" max="8465" width="9" style="205" customWidth="1"/>
    <col min="8466" max="8466" width="9" style="205"/>
    <col min="8467" max="8467" width="9.5" style="205" bestFit="1" customWidth="1"/>
    <col min="8468" max="8468" width="9" style="205" customWidth="1"/>
    <col min="8469" max="8469" width="9" style="205"/>
    <col min="8470" max="8470" width="9" style="205" customWidth="1"/>
    <col min="8471" max="8476" width="9" style="205"/>
    <col min="8477" max="8477" width="26.5" style="205" customWidth="1"/>
    <col min="8478" max="8480" width="9" style="205"/>
    <col min="8481" max="8481" width="14.75" style="205" bestFit="1" customWidth="1"/>
    <col min="8482" max="8704" width="9" style="205"/>
    <col min="8705" max="8707" width="9" style="205" customWidth="1"/>
    <col min="8708" max="8708" width="10.5" style="205" customWidth="1"/>
    <col min="8709" max="8709" width="11.25" style="205" bestFit="1" customWidth="1"/>
    <col min="8710" max="8711" width="9" style="205"/>
    <col min="8712" max="8721" width="9" style="205" customWidth="1"/>
    <col min="8722" max="8722" width="9" style="205"/>
    <col min="8723" max="8723" width="9.5" style="205" bestFit="1" customWidth="1"/>
    <col min="8724" max="8724" width="9" style="205" customWidth="1"/>
    <col min="8725" max="8725" width="9" style="205"/>
    <col min="8726" max="8726" width="9" style="205" customWidth="1"/>
    <col min="8727" max="8732" width="9" style="205"/>
    <col min="8733" max="8733" width="26.5" style="205" customWidth="1"/>
    <col min="8734" max="8736" width="9" style="205"/>
    <col min="8737" max="8737" width="14.75" style="205" bestFit="1" customWidth="1"/>
    <col min="8738" max="8960" width="9" style="205"/>
    <col min="8961" max="8963" width="9" style="205" customWidth="1"/>
    <col min="8964" max="8964" width="10.5" style="205" customWidth="1"/>
    <col min="8965" max="8965" width="11.25" style="205" bestFit="1" customWidth="1"/>
    <col min="8966" max="8967" width="9" style="205"/>
    <col min="8968" max="8977" width="9" style="205" customWidth="1"/>
    <col min="8978" max="8978" width="9" style="205"/>
    <col min="8979" max="8979" width="9.5" style="205" bestFit="1" customWidth="1"/>
    <col min="8980" max="8980" width="9" style="205" customWidth="1"/>
    <col min="8981" max="8981" width="9" style="205"/>
    <col min="8982" max="8982" width="9" style="205" customWidth="1"/>
    <col min="8983" max="8988" width="9" style="205"/>
    <col min="8989" max="8989" width="26.5" style="205" customWidth="1"/>
    <col min="8990" max="8992" width="9" style="205"/>
    <col min="8993" max="8993" width="14.75" style="205" bestFit="1" customWidth="1"/>
    <col min="8994" max="9216" width="9" style="205"/>
    <col min="9217" max="9219" width="9" style="205" customWidth="1"/>
    <col min="9220" max="9220" width="10.5" style="205" customWidth="1"/>
    <col min="9221" max="9221" width="11.25" style="205" bestFit="1" customWidth="1"/>
    <col min="9222" max="9223" width="9" style="205"/>
    <col min="9224" max="9233" width="9" style="205" customWidth="1"/>
    <col min="9234" max="9234" width="9" style="205"/>
    <col min="9235" max="9235" width="9.5" style="205" bestFit="1" customWidth="1"/>
    <col min="9236" max="9236" width="9" style="205" customWidth="1"/>
    <col min="9237" max="9237" width="9" style="205"/>
    <col min="9238" max="9238" width="9" style="205" customWidth="1"/>
    <col min="9239" max="9244" width="9" style="205"/>
    <col min="9245" max="9245" width="26.5" style="205" customWidth="1"/>
    <col min="9246" max="9248" width="9" style="205"/>
    <col min="9249" max="9249" width="14.75" style="205" bestFit="1" customWidth="1"/>
    <col min="9250" max="9472" width="9" style="205"/>
    <col min="9473" max="9475" width="9" style="205" customWidth="1"/>
    <col min="9476" max="9476" width="10.5" style="205" customWidth="1"/>
    <col min="9477" max="9477" width="11.25" style="205" bestFit="1" customWidth="1"/>
    <col min="9478" max="9479" width="9" style="205"/>
    <col min="9480" max="9489" width="9" style="205" customWidth="1"/>
    <col min="9490" max="9490" width="9" style="205"/>
    <col min="9491" max="9491" width="9.5" style="205" bestFit="1" customWidth="1"/>
    <col min="9492" max="9492" width="9" style="205" customWidth="1"/>
    <col min="9493" max="9493" width="9" style="205"/>
    <col min="9494" max="9494" width="9" style="205" customWidth="1"/>
    <col min="9495" max="9500" width="9" style="205"/>
    <col min="9501" max="9501" width="26.5" style="205" customWidth="1"/>
    <col min="9502" max="9504" width="9" style="205"/>
    <col min="9505" max="9505" width="14.75" style="205" bestFit="1" customWidth="1"/>
    <col min="9506" max="9728" width="9" style="205"/>
    <col min="9729" max="9731" width="9" style="205" customWidth="1"/>
    <col min="9732" max="9732" width="10.5" style="205" customWidth="1"/>
    <col min="9733" max="9733" width="11.25" style="205" bestFit="1" customWidth="1"/>
    <col min="9734" max="9735" width="9" style="205"/>
    <col min="9736" max="9745" width="9" style="205" customWidth="1"/>
    <col min="9746" max="9746" width="9" style="205"/>
    <col min="9747" max="9747" width="9.5" style="205" bestFit="1" customWidth="1"/>
    <col min="9748" max="9748" width="9" style="205" customWidth="1"/>
    <col min="9749" max="9749" width="9" style="205"/>
    <col min="9750" max="9750" width="9" style="205" customWidth="1"/>
    <col min="9751" max="9756" width="9" style="205"/>
    <col min="9757" max="9757" width="26.5" style="205" customWidth="1"/>
    <col min="9758" max="9760" width="9" style="205"/>
    <col min="9761" max="9761" width="14.75" style="205" bestFit="1" customWidth="1"/>
    <col min="9762" max="9984" width="9" style="205"/>
    <col min="9985" max="9987" width="9" style="205" customWidth="1"/>
    <col min="9988" max="9988" width="10.5" style="205" customWidth="1"/>
    <col min="9989" max="9989" width="11.25" style="205" bestFit="1" customWidth="1"/>
    <col min="9990" max="9991" width="9" style="205"/>
    <col min="9992" max="10001" width="9" style="205" customWidth="1"/>
    <col min="10002" max="10002" width="9" style="205"/>
    <col min="10003" max="10003" width="9.5" style="205" bestFit="1" customWidth="1"/>
    <col min="10004" max="10004" width="9" style="205" customWidth="1"/>
    <col min="10005" max="10005" width="9" style="205"/>
    <col min="10006" max="10006" width="9" style="205" customWidth="1"/>
    <col min="10007" max="10012" width="9" style="205"/>
    <col min="10013" max="10013" width="26.5" style="205" customWidth="1"/>
    <col min="10014" max="10016" width="9" style="205"/>
    <col min="10017" max="10017" width="14.75" style="205" bestFit="1" customWidth="1"/>
    <col min="10018" max="10240" width="9" style="205"/>
    <col min="10241" max="10243" width="9" style="205" customWidth="1"/>
    <col min="10244" max="10244" width="10.5" style="205" customWidth="1"/>
    <col min="10245" max="10245" width="11.25" style="205" bestFit="1" customWidth="1"/>
    <col min="10246" max="10247" width="9" style="205"/>
    <col min="10248" max="10257" width="9" style="205" customWidth="1"/>
    <col min="10258" max="10258" width="9" style="205"/>
    <col min="10259" max="10259" width="9.5" style="205" bestFit="1" customWidth="1"/>
    <col min="10260" max="10260" width="9" style="205" customWidth="1"/>
    <col min="10261" max="10261" width="9" style="205"/>
    <col min="10262" max="10262" width="9" style="205" customWidth="1"/>
    <col min="10263" max="10268" width="9" style="205"/>
    <col min="10269" max="10269" width="26.5" style="205" customWidth="1"/>
    <col min="10270" max="10272" width="9" style="205"/>
    <col min="10273" max="10273" width="14.75" style="205" bestFit="1" customWidth="1"/>
    <col min="10274" max="10496" width="9" style="205"/>
    <col min="10497" max="10499" width="9" style="205" customWidth="1"/>
    <col min="10500" max="10500" width="10.5" style="205" customWidth="1"/>
    <col min="10501" max="10501" width="11.25" style="205" bestFit="1" customWidth="1"/>
    <col min="10502" max="10503" width="9" style="205"/>
    <col min="10504" max="10513" width="9" style="205" customWidth="1"/>
    <col min="10514" max="10514" width="9" style="205"/>
    <col min="10515" max="10515" width="9.5" style="205" bestFit="1" customWidth="1"/>
    <col min="10516" max="10516" width="9" style="205" customWidth="1"/>
    <col min="10517" max="10517" width="9" style="205"/>
    <col min="10518" max="10518" width="9" style="205" customWidth="1"/>
    <col min="10519" max="10524" width="9" style="205"/>
    <col min="10525" max="10525" width="26.5" style="205" customWidth="1"/>
    <col min="10526" max="10528" width="9" style="205"/>
    <col min="10529" max="10529" width="14.75" style="205" bestFit="1" customWidth="1"/>
    <col min="10530" max="10752" width="9" style="205"/>
    <col min="10753" max="10755" width="9" style="205" customWidth="1"/>
    <col min="10756" max="10756" width="10.5" style="205" customWidth="1"/>
    <col min="10757" max="10757" width="11.25" style="205" bestFit="1" customWidth="1"/>
    <col min="10758" max="10759" width="9" style="205"/>
    <col min="10760" max="10769" width="9" style="205" customWidth="1"/>
    <col min="10770" max="10770" width="9" style="205"/>
    <col min="10771" max="10771" width="9.5" style="205" bestFit="1" customWidth="1"/>
    <col min="10772" max="10772" width="9" style="205" customWidth="1"/>
    <col min="10773" max="10773" width="9" style="205"/>
    <col min="10774" max="10774" width="9" style="205" customWidth="1"/>
    <col min="10775" max="10780" width="9" style="205"/>
    <col min="10781" max="10781" width="26.5" style="205" customWidth="1"/>
    <col min="10782" max="10784" width="9" style="205"/>
    <col min="10785" max="10785" width="14.75" style="205" bestFit="1" customWidth="1"/>
    <col min="10786" max="11008" width="9" style="205"/>
    <col min="11009" max="11011" width="9" style="205" customWidth="1"/>
    <col min="11012" max="11012" width="10.5" style="205" customWidth="1"/>
    <col min="11013" max="11013" width="11.25" style="205" bestFit="1" customWidth="1"/>
    <col min="11014" max="11015" width="9" style="205"/>
    <col min="11016" max="11025" width="9" style="205" customWidth="1"/>
    <col min="11026" max="11026" width="9" style="205"/>
    <col min="11027" max="11027" width="9.5" style="205" bestFit="1" customWidth="1"/>
    <col min="11028" max="11028" width="9" style="205" customWidth="1"/>
    <col min="11029" max="11029" width="9" style="205"/>
    <col min="11030" max="11030" width="9" style="205" customWidth="1"/>
    <col min="11031" max="11036" width="9" style="205"/>
    <col min="11037" max="11037" width="26.5" style="205" customWidth="1"/>
    <col min="11038" max="11040" width="9" style="205"/>
    <col min="11041" max="11041" width="14.75" style="205" bestFit="1" customWidth="1"/>
    <col min="11042" max="11264" width="9" style="205"/>
    <col min="11265" max="11267" width="9" style="205" customWidth="1"/>
    <col min="11268" max="11268" width="10.5" style="205" customWidth="1"/>
    <col min="11269" max="11269" width="11.25" style="205" bestFit="1" customWidth="1"/>
    <col min="11270" max="11271" width="9" style="205"/>
    <col min="11272" max="11281" width="9" style="205" customWidth="1"/>
    <col min="11282" max="11282" width="9" style="205"/>
    <col min="11283" max="11283" width="9.5" style="205" bestFit="1" customWidth="1"/>
    <col min="11284" max="11284" width="9" style="205" customWidth="1"/>
    <col min="11285" max="11285" width="9" style="205"/>
    <col min="11286" max="11286" width="9" style="205" customWidth="1"/>
    <col min="11287" max="11292" width="9" style="205"/>
    <col min="11293" max="11293" width="26.5" style="205" customWidth="1"/>
    <col min="11294" max="11296" width="9" style="205"/>
    <col min="11297" max="11297" width="14.75" style="205" bestFit="1" customWidth="1"/>
    <col min="11298" max="11520" width="9" style="205"/>
    <col min="11521" max="11523" width="9" style="205" customWidth="1"/>
    <col min="11524" max="11524" width="10.5" style="205" customWidth="1"/>
    <col min="11525" max="11525" width="11.25" style="205" bestFit="1" customWidth="1"/>
    <col min="11526" max="11527" width="9" style="205"/>
    <col min="11528" max="11537" width="9" style="205" customWidth="1"/>
    <col min="11538" max="11538" width="9" style="205"/>
    <col min="11539" max="11539" width="9.5" style="205" bestFit="1" customWidth="1"/>
    <col min="11540" max="11540" width="9" style="205" customWidth="1"/>
    <col min="11541" max="11541" width="9" style="205"/>
    <col min="11542" max="11542" width="9" style="205" customWidth="1"/>
    <col min="11543" max="11548" width="9" style="205"/>
    <col min="11549" max="11549" width="26.5" style="205" customWidth="1"/>
    <col min="11550" max="11552" width="9" style="205"/>
    <col min="11553" max="11553" width="14.75" style="205" bestFit="1" customWidth="1"/>
    <col min="11554" max="11776" width="9" style="205"/>
    <col min="11777" max="11779" width="9" style="205" customWidth="1"/>
    <col min="11780" max="11780" width="10.5" style="205" customWidth="1"/>
    <col min="11781" max="11781" width="11.25" style="205" bestFit="1" customWidth="1"/>
    <col min="11782" max="11783" width="9" style="205"/>
    <col min="11784" max="11793" width="9" style="205" customWidth="1"/>
    <col min="11794" max="11794" width="9" style="205"/>
    <col min="11795" max="11795" width="9.5" style="205" bestFit="1" customWidth="1"/>
    <col min="11796" max="11796" width="9" style="205" customWidth="1"/>
    <col min="11797" max="11797" width="9" style="205"/>
    <col min="11798" max="11798" width="9" style="205" customWidth="1"/>
    <col min="11799" max="11804" width="9" style="205"/>
    <col min="11805" max="11805" width="26.5" style="205" customWidth="1"/>
    <col min="11806" max="11808" width="9" style="205"/>
    <col min="11809" max="11809" width="14.75" style="205" bestFit="1" customWidth="1"/>
    <col min="11810" max="12032" width="9" style="205"/>
    <col min="12033" max="12035" width="9" style="205" customWidth="1"/>
    <col min="12036" max="12036" width="10.5" style="205" customWidth="1"/>
    <col min="12037" max="12037" width="11.25" style="205" bestFit="1" customWidth="1"/>
    <col min="12038" max="12039" width="9" style="205"/>
    <col min="12040" max="12049" width="9" style="205" customWidth="1"/>
    <col min="12050" max="12050" width="9" style="205"/>
    <col min="12051" max="12051" width="9.5" style="205" bestFit="1" customWidth="1"/>
    <col min="12052" max="12052" width="9" style="205" customWidth="1"/>
    <col min="12053" max="12053" width="9" style="205"/>
    <col min="12054" max="12054" width="9" style="205" customWidth="1"/>
    <col min="12055" max="12060" width="9" style="205"/>
    <col min="12061" max="12061" width="26.5" style="205" customWidth="1"/>
    <col min="12062" max="12064" width="9" style="205"/>
    <col min="12065" max="12065" width="14.75" style="205" bestFit="1" customWidth="1"/>
    <col min="12066" max="12288" width="9" style="205"/>
    <col min="12289" max="12291" width="9" style="205" customWidth="1"/>
    <col min="12292" max="12292" width="10.5" style="205" customWidth="1"/>
    <col min="12293" max="12293" width="11.25" style="205" bestFit="1" customWidth="1"/>
    <col min="12294" max="12295" width="9" style="205"/>
    <col min="12296" max="12305" width="9" style="205" customWidth="1"/>
    <col min="12306" max="12306" width="9" style="205"/>
    <col min="12307" max="12307" width="9.5" style="205" bestFit="1" customWidth="1"/>
    <col min="12308" max="12308" width="9" style="205" customWidth="1"/>
    <col min="12309" max="12309" width="9" style="205"/>
    <col min="12310" max="12310" width="9" style="205" customWidth="1"/>
    <col min="12311" max="12316" width="9" style="205"/>
    <col min="12317" max="12317" width="26.5" style="205" customWidth="1"/>
    <col min="12318" max="12320" width="9" style="205"/>
    <col min="12321" max="12321" width="14.75" style="205" bestFit="1" customWidth="1"/>
    <col min="12322" max="12544" width="9" style="205"/>
    <col min="12545" max="12547" width="9" style="205" customWidth="1"/>
    <col min="12548" max="12548" width="10.5" style="205" customWidth="1"/>
    <col min="12549" max="12549" width="11.25" style="205" bestFit="1" customWidth="1"/>
    <col min="12550" max="12551" width="9" style="205"/>
    <col min="12552" max="12561" width="9" style="205" customWidth="1"/>
    <col min="12562" max="12562" width="9" style="205"/>
    <col min="12563" max="12563" width="9.5" style="205" bestFit="1" customWidth="1"/>
    <col min="12564" max="12564" width="9" style="205" customWidth="1"/>
    <col min="12565" max="12565" width="9" style="205"/>
    <col min="12566" max="12566" width="9" style="205" customWidth="1"/>
    <col min="12567" max="12572" width="9" style="205"/>
    <col min="12573" max="12573" width="26.5" style="205" customWidth="1"/>
    <col min="12574" max="12576" width="9" style="205"/>
    <col min="12577" max="12577" width="14.75" style="205" bestFit="1" customWidth="1"/>
    <col min="12578" max="12800" width="9" style="205"/>
    <col min="12801" max="12803" width="9" style="205" customWidth="1"/>
    <col min="12804" max="12804" width="10.5" style="205" customWidth="1"/>
    <col min="12805" max="12805" width="11.25" style="205" bestFit="1" customWidth="1"/>
    <col min="12806" max="12807" width="9" style="205"/>
    <col min="12808" max="12817" width="9" style="205" customWidth="1"/>
    <col min="12818" max="12818" width="9" style="205"/>
    <col min="12819" max="12819" width="9.5" style="205" bestFit="1" customWidth="1"/>
    <col min="12820" max="12820" width="9" style="205" customWidth="1"/>
    <col min="12821" max="12821" width="9" style="205"/>
    <col min="12822" max="12822" width="9" style="205" customWidth="1"/>
    <col min="12823" max="12828" width="9" style="205"/>
    <col min="12829" max="12829" width="26.5" style="205" customWidth="1"/>
    <col min="12830" max="12832" width="9" style="205"/>
    <col min="12833" max="12833" width="14.75" style="205" bestFit="1" customWidth="1"/>
    <col min="12834" max="13056" width="9" style="205"/>
    <col min="13057" max="13059" width="9" style="205" customWidth="1"/>
    <col min="13060" max="13060" width="10.5" style="205" customWidth="1"/>
    <col min="13061" max="13061" width="11.25" style="205" bestFit="1" customWidth="1"/>
    <col min="13062" max="13063" width="9" style="205"/>
    <col min="13064" max="13073" width="9" style="205" customWidth="1"/>
    <col min="13074" max="13074" width="9" style="205"/>
    <col min="13075" max="13075" width="9.5" style="205" bestFit="1" customWidth="1"/>
    <col min="13076" max="13076" width="9" style="205" customWidth="1"/>
    <col min="13077" max="13077" width="9" style="205"/>
    <col min="13078" max="13078" width="9" style="205" customWidth="1"/>
    <col min="13079" max="13084" width="9" style="205"/>
    <col min="13085" max="13085" width="26.5" style="205" customWidth="1"/>
    <col min="13086" max="13088" width="9" style="205"/>
    <col min="13089" max="13089" width="14.75" style="205" bestFit="1" customWidth="1"/>
    <col min="13090" max="13312" width="9" style="205"/>
    <col min="13313" max="13315" width="9" style="205" customWidth="1"/>
    <col min="13316" max="13316" width="10.5" style="205" customWidth="1"/>
    <col min="13317" max="13317" width="11.25" style="205" bestFit="1" customWidth="1"/>
    <col min="13318" max="13319" width="9" style="205"/>
    <col min="13320" max="13329" width="9" style="205" customWidth="1"/>
    <col min="13330" max="13330" width="9" style="205"/>
    <col min="13331" max="13331" width="9.5" style="205" bestFit="1" customWidth="1"/>
    <col min="13332" max="13332" width="9" style="205" customWidth="1"/>
    <col min="13333" max="13333" width="9" style="205"/>
    <col min="13334" max="13334" width="9" style="205" customWidth="1"/>
    <col min="13335" max="13340" width="9" style="205"/>
    <col min="13341" max="13341" width="26.5" style="205" customWidth="1"/>
    <col min="13342" max="13344" width="9" style="205"/>
    <col min="13345" max="13345" width="14.75" style="205" bestFit="1" customWidth="1"/>
    <col min="13346" max="13568" width="9" style="205"/>
    <col min="13569" max="13571" width="9" style="205" customWidth="1"/>
    <col min="13572" max="13572" width="10.5" style="205" customWidth="1"/>
    <col min="13573" max="13573" width="11.25" style="205" bestFit="1" customWidth="1"/>
    <col min="13574" max="13575" width="9" style="205"/>
    <col min="13576" max="13585" width="9" style="205" customWidth="1"/>
    <col min="13586" max="13586" width="9" style="205"/>
    <col min="13587" max="13587" width="9.5" style="205" bestFit="1" customWidth="1"/>
    <col min="13588" max="13588" width="9" style="205" customWidth="1"/>
    <col min="13589" max="13589" width="9" style="205"/>
    <col min="13590" max="13590" width="9" style="205" customWidth="1"/>
    <col min="13591" max="13596" width="9" style="205"/>
    <col min="13597" max="13597" width="26.5" style="205" customWidth="1"/>
    <col min="13598" max="13600" width="9" style="205"/>
    <col min="13601" max="13601" width="14.75" style="205" bestFit="1" customWidth="1"/>
    <col min="13602" max="13824" width="9" style="205"/>
    <col min="13825" max="13827" width="9" style="205" customWidth="1"/>
    <col min="13828" max="13828" width="10.5" style="205" customWidth="1"/>
    <col min="13829" max="13829" width="11.25" style="205" bestFit="1" customWidth="1"/>
    <col min="13830" max="13831" width="9" style="205"/>
    <col min="13832" max="13841" width="9" style="205" customWidth="1"/>
    <col min="13842" max="13842" width="9" style="205"/>
    <col min="13843" max="13843" width="9.5" style="205" bestFit="1" customWidth="1"/>
    <col min="13844" max="13844" width="9" style="205" customWidth="1"/>
    <col min="13845" max="13845" width="9" style="205"/>
    <col min="13846" max="13846" width="9" style="205" customWidth="1"/>
    <col min="13847" max="13852" width="9" style="205"/>
    <col min="13853" max="13853" width="26.5" style="205" customWidth="1"/>
    <col min="13854" max="13856" width="9" style="205"/>
    <col min="13857" max="13857" width="14.75" style="205" bestFit="1" customWidth="1"/>
    <col min="13858" max="14080" width="9" style="205"/>
    <col min="14081" max="14083" width="9" style="205" customWidth="1"/>
    <col min="14084" max="14084" width="10.5" style="205" customWidth="1"/>
    <col min="14085" max="14085" width="11.25" style="205" bestFit="1" customWidth="1"/>
    <col min="14086" max="14087" width="9" style="205"/>
    <col min="14088" max="14097" width="9" style="205" customWidth="1"/>
    <col min="14098" max="14098" width="9" style="205"/>
    <col min="14099" max="14099" width="9.5" style="205" bestFit="1" customWidth="1"/>
    <col min="14100" max="14100" width="9" style="205" customWidth="1"/>
    <col min="14101" max="14101" width="9" style="205"/>
    <col min="14102" max="14102" width="9" style="205" customWidth="1"/>
    <col min="14103" max="14108" width="9" style="205"/>
    <col min="14109" max="14109" width="26.5" style="205" customWidth="1"/>
    <col min="14110" max="14112" width="9" style="205"/>
    <col min="14113" max="14113" width="14.75" style="205" bestFit="1" customWidth="1"/>
    <col min="14114" max="14336" width="9" style="205"/>
    <col min="14337" max="14339" width="9" style="205" customWidth="1"/>
    <col min="14340" max="14340" width="10.5" style="205" customWidth="1"/>
    <col min="14341" max="14341" width="11.25" style="205" bestFit="1" customWidth="1"/>
    <col min="14342" max="14343" width="9" style="205"/>
    <col min="14344" max="14353" width="9" style="205" customWidth="1"/>
    <col min="14354" max="14354" width="9" style="205"/>
    <col min="14355" max="14355" width="9.5" style="205" bestFit="1" customWidth="1"/>
    <col min="14356" max="14356" width="9" style="205" customWidth="1"/>
    <col min="14357" max="14357" width="9" style="205"/>
    <col min="14358" max="14358" width="9" style="205" customWidth="1"/>
    <col min="14359" max="14364" width="9" style="205"/>
    <col min="14365" max="14365" width="26.5" style="205" customWidth="1"/>
    <col min="14366" max="14368" width="9" style="205"/>
    <col min="14369" max="14369" width="14.75" style="205" bestFit="1" customWidth="1"/>
    <col min="14370" max="14592" width="9" style="205"/>
    <col min="14593" max="14595" width="9" style="205" customWidth="1"/>
    <col min="14596" max="14596" width="10.5" style="205" customWidth="1"/>
    <col min="14597" max="14597" width="11.25" style="205" bestFit="1" customWidth="1"/>
    <col min="14598" max="14599" width="9" style="205"/>
    <col min="14600" max="14609" width="9" style="205" customWidth="1"/>
    <col min="14610" max="14610" width="9" style="205"/>
    <col min="14611" max="14611" width="9.5" style="205" bestFit="1" customWidth="1"/>
    <col min="14612" max="14612" width="9" style="205" customWidth="1"/>
    <col min="14613" max="14613" width="9" style="205"/>
    <col min="14614" max="14614" width="9" style="205" customWidth="1"/>
    <col min="14615" max="14620" width="9" style="205"/>
    <col min="14621" max="14621" width="26.5" style="205" customWidth="1"/>
    <col min="14622" max="14624" width="9" style="205"/>
    <col min="14625" max="14625" width="14.75" style="205" bestFit="1" customWidth="1"/>
    <col min="14626" max="14848" width="9" style="205"/>
    <col min="14849" max="14851" width="9" style="205" customWidth="1"/>
    <col min="14852" max="14852" width="10.5" style="205" customWidth="1"/>
    <col min="14853" max="14853" width="11.25" style="205" bestFit="1" customWidth="1"/>
    <col min="14854" max="14855" width="9" style="205"/>
    <col min="14856" max="14865" width="9" style="205" customWidth="1"/>
    <col min="14866" max="14866" width="9" style="205"/>
    <col min="14867" max="14867" width="9.5" style="205" bestFit="1" customWidth="1"/>
    <col min="14868" max="14868" width="9" style="205" customWidth="1"/>
    <col min="14869" max="14869" width="9" style="205"/>
    <col min="14870" max="14870" width="9" style="205" customWidth="1"/>
    <col min="14871" max="14876" width="9" style="205"/>
    <col min="14877" max="14877" width="26.5" style="205" customWidth="1"/>
    <col min="14878" max="14880" width="9" style="205"/>
    <col min="14881" max="14881" width="14.75" style="205" bestFit="1" customWidth="1"/>
    <col min="14882" max="15104" width="9" style="205"/>
    <col min="15105" max="15107" width="9" style="205" customWidth="1"/>
    <col min="15108" max="15108" width="10.5" style="205" customWidth="1"/>
    <col min="15109" max="15109" width="11.25" style="205" bestFit="1" customWidth="1"/>
    <col min="15110" max="15111" width="9" style="205"/>
    <col min="15112" max="15121" width="9" style="205" customWidth="1"/>
    <col min="15122" max="15122" width="9" style="205"/>
    <col min="15123" max="15123" width="9.5" style="205" bestFit="1" customWidth="1"/>
    <col min="15124" max="15124" width="9" style="205" customWidth="1"/>
    <col min="15125" max="15125" width="9" style="205"/>
    <col min="15126" max="15126" width="9" style="205" customWidth="1"/>
    <col min="15127" max="15132" width="9" style="205"/>
    <col min="15133" max="15133" width="26.5" style="205" customWidth="1"/>
    <col min="15134" max="15136" width="9" style="205"/>
    <col min="15137" max="15137" width="14.75" style="205" bestFit="1" customWidth="1"/>
    <col min="15138" max="15360" width="9" style="205"/>
    <col min="15361" max="15363" width="9" style="205" customWidth="1"/>
    <col min="15364" max="15364" width="10.5" style="205" customWidth="1"/>
    <col min="15365" max="15365" width="11.25" style="205" bestFit="1" customWidth="1"/>
    <col min="15366" max="15367" width="9" style="205"/>
    <col min="15368" max="15377" width="9" style="205" customWidth="1"/>
    <col min="15378" max="15378" width="9" style="205"/>
    <col min="15379" max="15379" width="9.5" style="205" bestFit="1" customWidth="1"/>
    <col min="15380" max="15380" width="9" style="205" customWidth="1"/>
    <col min="15381" max="15381" width="9" style="205"/>
    <col min="15382" max="15382" width="9" style="205" customWidth="1"/>
    <col min="15383" max="15388" width="9" style="205"/>
    <col min="15389" max="15389" width="26.5" style="205" customWidth="1"/>
    <col min="15390" max="15392" width="9" style="205"/>
    <col min="15393" max="15393" width="14.75" style="205" bestFit="1" customWidth="1"/>
    <col min="15394" max="15616" width="9" style="205"/>
    <col min="15617" max="15619" width="9" style="205" customWidth="1"/>
    <col min="15620" max="15620" width="10.5" style="205" customWidth="1"/>
    <col min="15621" max="15621" width="11.25" style="205" bestFit="1" customWidth="1"/>
    <col min="15622" max="15623" width="9" style="205"/>
    <col min="15624" max="15633" width="9" style="205" customWidth="1"/>
    <col min="15634" max="15634" width="9" style="205"/>
    <col min="15635" max="15635" width="9.5" style="205" bestFit="1" customWidth="1"/>
    <col min="15636" max="15636" width="9" style="205" customWidth="1"/>
    <col min="15637" max="15637" width="9" style="205"/>
    <col min="15638" max="15638" width="9" style="205" customWidth="1"/>
    <col min="15639" max="15644" width="9" style="205"/>
    <col min="15645" max="15645" width="26.5" style="205" customWidth="1"/>
    <col min="15646" max="15648" width="9" style="205"/>
    <col min="15649" max="15649" width="14.75" style="205" bestFit="1" customWidth="1"/>
    <col min="15650" max="15872" width="9" style="205"/>
    <col min="15873" max="15875" width="9" style="205" customWidth="1"/>
    <col min="15876" max="15876" width="10.5" style="205" customWidth="1"/>
    <col min="15877" max="15877" width="11.25" style="205" bestFit="1" customWidth="1"/>
    <col min="15878" max="15879" width="9" style="205"/>
    <col min="15880" max="15889" width="9" style="205" customWidth="1"/>
    <col min="15890" max="15890" width="9" style="205"/>
    <col min="15891" max="15891" width="9.5" style="205" bestFit="1" customWidth="1"/>
    <col min="15892" max="15892" width="9" style="205" customWidth="1"/>
    <col min="15893" max="15893" width="9" style="205"/>
    <col min="15894" max="15894" width="9" style="205" customWidth="1"/>
    <col min="15895" max="15900" width="9" style="205"/>
    <col min="15901" max="15901" width="26.5" style="205" customWidth="1"/>
    <col min="15902" max="15904" width="9" style="205"/>
    <col min="15905" max="15905" width="14.75" style="205" bestFit="1" customWidth="1"/>
    <col min="15906" max="16128" width="9" style="205"/>
    <col min="16129" max="16131" width="9" style="205" customWidth="1"/>
    <col min="16132" max="16132" width="10.5" style="205" customWidth="1"/>
    <col min="16133" max="16133" width="11.25" style="205" bestFit="1" customWidth="1"/>
    <col min="16134" max="16135" width="9" style="205"/>
    <col min="16136" max="16145" width="9" style="205" customWidth="1"/>
    <col min="16146" max="16146" width="9" style="205"/>
    <col min="16147" max="16147" width="9.5" style="205" bestFit="1" customWidth="1"/>
    <col min="16148" max="16148" width="9" style="205" customWidth="1"/>
    <col min="16149" max="16149" width="9" style="205"/>
    <col min="16150" max="16150" width="9" style="205" customWidth="1"/>
    <col min="16151" max="16156" width="9" style="205"/>
    <col min="16157" max="16157" width="26.5" style="205" customWidth="1"/>
    <col min="16158" max="16160" width="9" style="205"/>
    <col min="16161" max="16161" width="14.75" style="205" bestFit="1" customWidth="1"/>
    <col min="16162" max="16384" width="9" style="205"/>
  </cols>
  <sheetData>
    <row r="1" spans="1:53" ht="44.25" customHeight="1" x14ac:dyDescent="0.15">
      <c r="A1" s="130" t="s">
        <v>392</v>
      </c>
      <c r="B1" s="199" t="s">
        <v>1</v>
      </c>
      <c r="C1" s="199" t="s">
        <v>393</v>
      </c>
      <c r="D1" s="200" t="s">
        <v>3</v>
      </c>
      <c r="E1" s="200" t="s">
        <v>394</v>
      </c>
      <c r="F1" s="200" t="s">
        <v>5</v>
      </c>
      <c r="G1" s="200" t="s">
        <v>6</v>
      </c>
      <c r="H1" s="200" t="s">
        <v>395</v>
      </c>
      <c r="I1" s="200" t="s">
        <v>8</v>
      </c>
      <c r="J1" s="200" t="s">
        <v>9</v>
      </c>
      <c r="K1" s="200" t="s">
        <v>10</v>
      </c>
      <c r="L1" s="200" t="s">
        <v>396</v>
      </c>
      <c r="M1" s="200" t="s">
        <v>12</v>
      </c>
      <c r="N1" s="200" t="s">
        <v>13</v>
      </c>
      <c r="O1" s="200" t="s">
        <v>397</v>
      </c>
      <c r="P1" s="200" t="s">
        <v>398</v>
      </c>
      <c r="Q1" s="201" t="s">
        <v>16</v>
      </c>
      <c r="R1" s="200" t="s">
        <v>399</v>
      </c>
      <c r="S1" s="200" t="s">
        <v>400</v>
      </c>
      <c r="T1" s="201" t="s">
        <v>19</v>
      </c>
      <c r="U1" s="202" t="s">
        <v>108</v>
      </c>
      <c r="V1" s="203" t="s">
        <v>20</v>
      </c>
      <c r="W1" s="200" t="s">
        <v>21</v>
      </c>
      <c r="X1" s="200" t="s">
        <v>22</v>
      </c>
      <c r="Y1" s="200" t="s">
        <v>23</v>
      </c>
      <c r="Z1" s="200" t="s">
        <v>24</v>
      </c>
      <c r="AA1" s="131" t="s">
        <v>25</v>
      </c>
      <c r="AB1" s="132" t="s">
        <v>401</v>
      </c>
      <c r="AC1" s="133"/>
      <c r="AE1" s="206" t="s">
        <v>0</v>
      </c>
      <c r="AF1" s="207"/>
      <c r="AG1" s="206" t="s">
        <v>4</v>
      </c>
      <c r="AH1" s="206" t="s">
        <v>5</v>
      </c>
      <c r="AI1" s="207"/>
      <c r="AJ1" s="206" t="s">
        <v>6</v>
      </c>
      <c r="AK1" s="207"/>
      <c r="AL1" s="208" t="s">
        <v>7</v>
      </c>
      <c r="AM1" s="207"/>
      <c r="AN1" s="208" t="s">
        <v>8</v>
      </c>
      <c r="AO1" s="207"/>
      <c r="AP1" s="208" t="s">
        <v>27</v>
      </c>
      <c r="AQ1" s="207"/>
      <c r="AR1" s="208" t="s">
        <v>10</v>
      </c>
      <c r="AS1" s="207"/>
      <c r="AT1" s="209" t="s">
        <v>28</v>
      </c>
      <c r="AU1" s="207"/>
      <c r="AV1" s="208" t="s">
        <v>29</v>
      </c>
      <c r="AX1" s="210" t="s">
        <v>402</v>
      </c>
      <c r="AY1" s="211" t="s">
        <v>403</v>
      </c>
      <c r="AZ1" s="211" t="s">
        <v>404</v>
      </c>
      <c r="BA1" s="212" t="s">
        <v>405</v>
      </c>
    </row>
    <row r="2" spans="1:53" s="140" customFormat="1" x14ac:dyDescent="0.15">
      <c r="A2" s="134" t="s">
        <v>61</v>
      </c>
      <c r="B2" s="134" t="s">
        <v>406</v>
      </c>
      <c r="C2" s="134">
        <v>2018</v>
      </c>
      <c r="D2" s="135" t="s">
        <v>407</v>
      </c>
      <c r="E2" s="134" t="s">
        <v>242</v>
      </c>
      <c r="F2" s="134" t="s">
        <v>241</v>
      </c>
      <c r="G2" s="134" t="s">
        <v>42</v>
      </c>
      <c r="H2" s="244" t="s">
        <v>155</v>
      </c>
      <c r="I2" s="244" t="s">
        <v>153</v>
      </c>
      <c r="J2" s="134" t="s">
        <v>38</v>
      </c>
      <c r="K2" s="244" t="s">
        <v>154</v>
      </c>
      <c r="L2" s="244">
        <v>1</v>
      </c>
      <c r="M2" s="244"/>
      <c r="N2" s="244">
        <v>1</v>
      </c>
      <c r="O2" s="244">
        <v>0.5</v>
      </c>
      <c r="P2" s="244">
        <v>0.5</v>
      </c>
      <c r="Q2" s="136">
        <f t="shared" ref="Q2:Q65" si="0">IF(OR(O2="",P2=""),"",AVERAGE(O2,P2))</f>
        <v>0.5</v>
      </c>
      <c r="R2" s="244">
        <v>17.600000000000001</v>
      </c>
      <c r="S2" s="244">
        <v>99</v>
      </c>
      <c r="T2" s="137">
        <f t="shared" ref="T2:T65" si="1">IF(H2="","",IF(OR(H2="GREEN",H2="GK"),IF(S2&gt;=$AX$2,VLOOKUP(S2,$AX$2:$AY$15,2,1),""),IF(S2&gt;=$AZ$2,VLOOKUP(S2,$AZ$2:$BA$15,2,1),"")))</f>
        <v>33</v>
      </c>
      <c r="U2" s="244">
        <v>72</v>
      </c>
      <c r="V2" s="138">
        <f t="shared" ref="V2:V65" si="2">IF(OR(N2="",U2="",T2=""),"",U2/N2*T2)</f>
        <v>2376</v>
      </c>
      <c r="W2" s="244">
        <v>2</v>
      </c>
      <c r="X2" s="134" t="s">
        <v>39</v>
      </c>
      <c r="Y2" s="244" t="s">
        <v>102</v>
      </c>
      <c r="Z2" s="244" t="s">
        <v>84</v>
      </c>
      <c r="AA2" s="244" t="s">
        <v>90</v>
      </c>
      <c r="AB2" s="134" t="s">
        <v>408</v>
      </c>
      <c r="AC2" s="139"/>
      <c r="AE2" s="215" t="s">
        <v>35</v>
      </c>
      <c r="AG2" s="49" t="s">
        <v>242</v>
      </c>
      <c r="AH2" s="49" t="s">
        <v>241</v>
      </c>
      <c r="AJ2" s="141" t="s">
        <v>36</v>
      </c>
      <c r="AL2" s="216" t="s">
        <v>127</v>
      </c>
      <c r="AN2" s="141" t="s">
        <v>37</v>
      </c>
      <c r="AP2" s="216" t="s">
        <v>38</v>
      </c>
      <c r="AR2" s="216" t="s">
        <v>409</v>
      </c>
      <c r="AT2" s="141" t="s">
        <v>39</v>
      </c>
      <c r="AV2" s="216" t="s">
        <v>40</v>
      </c>
      <c r="AX2" s="142">
        <v>1</v>
      </c>
      <c r="AY2" s="143">
        <v>50</v>
      </c>
      <c r="AZ2" s="143">
        <v>1</v>
      </c>
      <c r="BA2" s="144">
        <v>50</v>
      </c>
    </row>
    <row r="3" spans="1:53" x14ac:dyDescent="0.15">
      <c r="A3" s="134" t="s">
        <v>61</v>
      </c>
      <c r="B3" s="134" t="s">
        <v>406</v>
      </c>
      <c r="C3" s="134">
        <v>2018</v>
      </c>
      <c r="D3" s="135" t="s">
        <v>407</v>
      </c>
      <c r="E3" s="134" t="s">
        <v>242</v>
      </c>
      <c r="F3" s="134" t="s">
        <v>241</v>
      </c>
      <c r="G3" s="134" t="s">
        <v>42</v>
      </c>
      <c r="H3" s="244" t="s">
        <v>155</v>
      </c>
      <c r="I3" s="244" t="s">
        <v>153</v>
      </c>
      <c r="J3" s="134" t="s">
        <v>38</v>
      </c>
      <c r="K3" s="244" t="s">
        <v>154</v>
      </c>
      <c r="L3" s="244">
        <v>2</v>
      </c>
      <c r="M3" s="244"/>
      <c r="N3" s="244">
        <v>1</v>
      </c>
      <c r="O3" s="244">
        <v>0.55000000000000004</v>
      </c>
      <c r="P3" s="244">
        <v>0.6</v>
      </c>
      <c r="Q3" s="136">
        <f t="shared" si="0"/>
        <v>0.57499999999999996</v>
      </c>
      <c r="R3" s="244">
        <v>178.4</v>
      </c>
      <c r="S3" s="244">
        <v>103</v>
      </c>
      <c r="T3" s="137">
        <f t="shared" si="1"/>
        <v>33</v>
      </c>
      <c r="U3" s="244">
        <v>72</v>
      </c>
      <c r="V3" s="138">
        <f t="shared" si="2"/>
        <v>2376</v>
      </c>
      <c r="W3" s="244">
        <v>2</v>
      </c>
      <c r="X3" s="134" t="s">
        <v>39</v>
      </c>
      <c r="Y3" s="244" t="s">
        <v>102</v>
      </c>
      <c r="Z3" s="244" t="s">
        <v>84</v>
      </c>
      <c r="AA3" s="244" t="s">
        <v>90</v>
      </c>
      <c r="AB3" s="134" t="s">
        <v>408</v>
      </c>
      <c r="AC3" s="139"/>
      <c r="AE3" s="220" t="s">
        <v>41</v>
      </c>
      <c r="AG3" s="49" t="s">
        <v>243</v>
      </c>
      <c r="AH3" s="49" t="s">
        <v>244</v>
      </c>
      <c r="AJ3" s="221" t="s">
        <v>42</v>
      </c>
      <c r="AL3" s="221" t="s">
        <v>128</v>
      </c>
      <c r="AN3" s="221" t="s">
        <v>43</v>
      </c>
      <c r="AP3" s="221" t="s">
        <v>44</v>
      </c>
      <c r="AR3" s="235" t="s">
        <v>45</v>
      </c>
      <c r="AT3" s="221" t="s">
        <v>46</v>
      </c>
      <c r="AV3" s="235" t="s">
        <v>47</v>
      </c>
      <c r="AX3" s="222">
        <v>72</v>
      </c>
      <c r="AY3" s="223">
        <v>46</v>
      </c>
      <c r="AZ3" s="223">
        <v>71</v>
      </c>
      <c r="BA3" s="224">
        <v>42</v>
      </c>
    </row>
    <row r="4" spans="1:53" x14ac:dyDescent="0.15">
      <c r="A4" s="134" t="s">
        <v>61</v>
      </c>
      <c r="B4" s="134" t="s">
        <v>406</v>
      </c>
      <c r="C4" s="134">
        <v>2018</v>
      </c>
      <c r="D4" s="135" t="s">
        <v>407</v>
      </c>
      <c r="E4" s="134" t="s">
        <v>242</v>
      </c>
      <c r="F4" s="134" t="s">
        <v>241</v>
      </c>
      <c r="G4" s="134" t="s">
        <v>42</v>
      </c>
      <c r="H4" s="244" t="s">
        <v>155</v>
      </c>
      <c r="I4" s="244" t="s">
        <v>153</v>
      </c>
      <c r="J4" s="134" t="s">
        <v>38</v>
      </c>
      <c r="K4" s="244" t="s">
        <v>154</v>
      </c>
      <c r="L4" s="244">
        <v>3</v>
      </c>
      <c r="M4" s="244"/>
      <c r="N4" s="244">
        <v>1</v>
      </c>
      <c r="O4" s="244">
        <v>0.5</v>
      </c>
      <c r="P4" s="244">
        <v>0.6</v>
      </c>
      <c r="Q4" s="136">
        <f t="shared" si="0"/>
        <v>0.55000000000000004</v>
      </c>
      <c r="R4" s="244">
        <v>17</v>
      </c>
      <c r="S4" s="244">
        <v>95</v>
      </c>
      <c r="T4" s="137">
        <f t="shared" si="1"/>
        <v>36</v>
      </c>
      <c r="U4" s="244">
        <v>72</v>
      </c>
      <c r="V4" s="138">
        <f t="shared" si="2"/>
        <v>2592</v>
      </c>
      <c r="W4" s="244">
        <v>2</v>
      </c>
      <c r="X4" s="134" t="s">
        <v>39</v>
      </c>
      <c r="Y4" s="244" t="s">
        <v>102</v>
      </c>
      <c r="Z4" s="244" t="s">
        <v>84</v>
      </c>
      <c r="AA4" s="244" t="s">
        <v>90</v>
      </c>
      <c r="AB4" s="134" t="s">
        <v>408</v>
      </c>
      <c r="AC4" s="139"/>
      <c r="AE4" s="220" t="s">
        <v>34</v>
      </c>
      <c r="AG4" s="49" t="s">
        <v>245</v>
      </c>
      <c r="AH4" s="49" t="s">
        <v>246</v>
      </c>
      <c r="AJ4" s="225" t="s">
        <v>48</v>
      </c>
      <c r="AL4" s="225" t="s">
        <v>129</v>
      </c>
      <c r="AN4" s="226" t="s">
        <v>49</v>
      </c>
      <c r="AP4" s="221" t="s">
        <v>410</v>
      </c>
      <c r="AR4" s="235" t="s">
        <v>411</v>
      </c>
      <c r="AT4" s="226"/>
      <c r="AV4" s="235" t="s">
        <v>50</v>
      </c>
      <c r="AX4" s="222">
        <v>75</v>
      </c>
      <c r="AY4" s="223">
        <v>42</v>
      </c>
      <c r="AZ4" s="223">
        <v>76</v>
      </c>
      <c r="BA4" s="224">
        <v>39</v>
      </c>
    </row>
    <row r="5" spans="1:53" x14ac:dyDescent="0.15">
      <c r="A5" s="134" t="s">
        <v>61</v>
      </c>
      <c r="B5" s="134" t="s">
        <v>406</v>
      </c>
      <c r="C5" s="134">
        <v>2018</v>
      </c>
      <c r="D5" s="135" t="s">
        <v>407</v>
      </c>
      <c r="E5" s="134" t="s">
        <v>242</v>
      </c>
      <c r="F5" s="134" t="s">
        <v>241</v>
      </c>
      <c r="G5" s="134" t="s">
        <v>42</v>
      </c>
      <c r="H5" s="244" t="s">
        <v>166</v>
      </c>
      <c r="I5" s="244" t="s">
        <v>153</v>
      </c>
      <c r="J5" s="134" t="s">
        <v>38</v>
      </c>
      <c r="K5" s="244" t="s">
        <v>154</v>
      </c>
      <c r="L5" s="244">
        <v>1</v>
      </c>
      <c r="M5" s="244"/>
      <c r="N5" s="244">
        <v>1</v>
      </c>
      <c r="O5" s="244">
        <v>0.5</v>
      </c>
      <c r="P5" s="244">
        <v>0.55000000000000004</v>
      </c>
      <c r="Q5" s="136">
        <f t="shared" si="0"/>
        <v>0.52500000000000002</v>
      </c>
      <c r="R5" s="244">
        <v>15.8</v>
      </c>
      <c r="S5" s="244">
        <v>121</v>
      </c>
      <c r="T5" s="137">
        <f t="shared" si="1"/>
        <v>27</v>
      </c>
      <c r="U5" s="244">
        <v>166</v>
      </c>
      <c r="V5" s="138">
        <f t="shared" si="2"/>
        <v>4482</v>
      </c>
      <c r="W5" s="244">
        <v>2</v>
      </c>
      <c r="X5" s="134" t="s">
        <v>39</v>
      </c>
      <c r="Y5" s="244" t="s">
        <v>102</v>
      </c>
      <c r="Z5" s="244" t="s">
        <v>84</v>
      </c>
      <c r="AA5" s="244" t="s">
        <v>90</v>
      </c>
      <c r="AB5" s="134" t="s">
        <v>408</v>
      </c>
      <c r="AC5" s="139"/>
      <c r="AE5" s="220" t="s">
        <v>51</v>
      </c>
      <c r="AG5" s="49" t="s">
        <v>247</v>
      </c>
      <c r="AH5" s="49" t="s">
        <v>248</v>
      </c>
      <c r="AJ5" s="225"/>
      <c r="AL5" s="227" t="s">
        <v>412</v>
      </c>
      <c r="AN5" s="227" t="s">
        <v>413</v>
      </c>
      <c r="AP5" s="221" t="s">
        <v>414</v>
      </c>
      <c r="AR5" s="235" t="s">
        <v>54</v>
      </c>
      <c r="AT5" s="244"/>
      <c r="AV5" s="235" t="s">
        <v>55</v>
      </c>
      <c r="AX5" s="222">
        <v>84</v>
      </c>
      <c r="AY5" s="223">
        <v>39</v>
      </c>
      <c r="AZ5" s="223">
        <v>84</v>
      </c>
      <c r="BA5" s="224">
        <v>36</v>
      </c>
    </row>
    <row r="6" spans="1:53" x14ac:dyDescent="0.15">
      <c r="A6" s="134" t="s">
        <v>61</v>
      </c>
      <c r="B6" s="134" t="s">
        <v>406</v>
      </c>
      <c r="C6" s="134">
        <v>2018</v>
      </c>
      <c r="D6" s="135" t="s">
        <v>407</v>
      </c>
      <c r="E6" s="134" t="s">
        <v>242</v>
      </c>
      <c r="F6" s="134" t="s">
        <v>241</v>
      </c>
      <c r="G6" s="134" t="s">
        <v>42</v>
      </c>
      <c r="H6" s="244" t="s">
        <v>166</v>
      </c>
      <c r="I6" s="244" t="s">
        <v>153</v>
      </c>
      <c r="J6" s="134" t="s">
        <v>38</v>
      </c>
      <c r="K6" s="244" t="s">
        <v>154</v>
      </c>
      <c r="L6" s="244">
        <v>2</v>
      </c>
      <c r="M6" s="244"/>
      <c r="N6" s="244">
        <v>1</v>
      </c>
      <c r="O6" s="244">
        <v>0.5</v>
      </c>
      <c r="P6" s="244">
        <v>0.6</v>
      </c>
      <c r="Q6" s="136">
        <f t="shared" si="0"/>
        <v>0.55000000000000004</v>
      </c>
      <c r="R6" s="244">
        <v>16.399999999999999</v>
      </c>
      <c r="S6" s="244">
        <v>133</v>
      </c>
      <c r="T6" s="137">
        <f t="shared" si="1"/>
        <v>25</v>
      </c>
      <c r="U6" s="244">
        <v>166</v>
      </c>
      <c r="V6" s="138">
        <f t="shared" si="2"/>
        <v>4150</v>
      </c>
      <c r="W6" s="244">
        <v>2</v>
      </c>
      <c r="X6" s="134" t="s">
        <v>39</v>
      </c>
      <c r="Y6" s="244" t="s">
        <v>102</v>
      </c>
      <c r="Z6" s="244" t="s">
        <v>84</v>
      </c>
      <c r="AA6" s="244" t="s">
        <v>90</v>
      </c>
      <c r="AB6" s="134" t="s">
        <v>408</v>
      </c>
      <c r="AC6" s="139"/>
      <c r="AE6" s="220" t="s">
        <v>56</v>
      </c>
      <c r="AG6" s="49" t="s">
        <v>249</v>
      </c>
      <c r="AH6" s="49" t="s">
        <v>250</v>
      </c>
      <c r="AJ6" s="225"/>
      <c r="AL6" s="227" t="s">
        <v>415</v>
      </c>
      <c r="AN6" s="227" t="s">
        <v>416</v>
      </c>
      <c r="AP6" s="221" t="s">
        <v>53</v>
      </c>
      <c r="AR6" s="235" t="s">
        <v>59</v>
      </c>
      <c r="AT6" s="244"/>
      <c r="AV6" s="235" t="s">
        <v>60</v>
      </c>
      <c r="AX6" s="222">
        <v>97</v>
      </c>
      <c r="AY6" s="223">
        <v>36</v>
      </c>
      <c r="AZ6" s="223">
        <v>99</v>
      </c>
      <c r="BA6" s="224">
        <v>33</v>
      </c>
    </row>
    <row r="7" spans="1:53" x14ac:dyDescent="0.15">
      <c r="A7" s="134" t="s">
        <v>61</v>
      </c>
      <c r="B7" s="134" t="s">
        <v>406</v>
      </c>
      <c r="C7" s="134">
        <v>2018</v>
      </c>
      <c r="D7" s="135" t="s">
        <v>407</v>
      </c>
      <c r="E7" s="134" t="s">
        <v>242</v>
      </c>
      <c r="F7" s="134" t="s">
        <v>241</v>
      </c>
      <c r="G7" s="134" t="s">
        <v>42</v>
      </c>
      <c r="H7" s="244" t="s">
        <v>166</v>
      </c>
      <c r="I7" s="244" t="s">
        <v>153</v>
      </c>
      <c r="J7" s="134" t="s">
        <v>38</v>
      </c>
      <c r="K7" s="244" t="s">
        <v>154</v>
      </c>
      <c r="L7" s="244">
        <v>3</v>
      </c>
      <c r="M7" s="244"/>
      <c r="N7" s="244">
        <v>1</v>
      </c>
      <c r="O7" s="244">
        <v>0.55000000000000004</v>
      </c>
      <c r="P7" s="244">
        <v>0.5</v>
      </c>
      <c r="Q7" s="136">
        <f t="shared" si="0"/>
        <v>0.52500000000000002</v>
      </c>
      <c r="R7" s="244">
        <v>17</v>
      </c>
      <c r="S7" s="244">
        <v>125</v>
      </c>
      <c r="T7" s="137">
        <f t="shared" si="1"/>
        <v>27</v>
      </c>
      <c r="U7" s="244">
        <v>166</v>
      </c>
      <c r="V7" s="138">
        <f t="shared" si="2"/>
        <v>4482</v>
      </c>
      <c r="W7" s="244">
        <v>2</v>
      </c>
      <c r="X7" s="134" t="s">
        <v>39</v>
      </c>
      <c r="Y7" s="244" t="s">
        <v>102</v>
      </c>
      <c r="Z7" s="244" t="s">
        <v>84</v>
      </c>
      <c r="AA7" s="244" t="s">
        <v>90</v>
      </c>
      <c r="AB7" s="134" t="s">
        <v>408</v>
      </c>
      <c r="AC7" s="139"/>
      <c r="AE7" s="220" t="s">
        <v>61</v>
      </c>
      <c r="AG7" s="49" t="s">
        <v>251</v>
      </c>
      <c r="AH7" s="49" t="s">
        <v>252</v>
      </c>
      <c r="AJ7" s="225"/>
      <c r="AL7" s="232" t="s">
        <v>361</v>
      </c>
      <c r="AN7" s="145"/>
      <c r="AP7" s="221" t="s">
        <v>58</v>
      </c>
      <c r="AR7" s="228" t="s">
        <v>122</v>
      </c>
      <c r="AT7" s="244"/>
      <c r="AV7" s="235" t="s">
        <v>64</v>
      </c>
      <c r="AX7" s="222">
        <v>109</v>
      </c>
      <c r="AY7" s="223">
        <v>33</v>
      </c>
      <c r="AZ7" s="223">
        <v>113</v>
      </c>
      <c r="BA7" s="224">
        <v>30</v>
      </c>
    </row>
    <row r="8" spans="1:53" x14ac:dyDescent="0.15">
      <c r="A8" s="134" t="s">
        <v>61</v>
      </c>
      <c r="B8" s="134" t="s">
        <v>362</v>
      </c>
      <c r="C8" s="134">
        <v>2018</v>
      </c>
      <c r="D8" s="135" t="s">
        <v>417</v>
      </c>
      <c r="E8" s="134" t="s">
        <v>243</v>
      </c>
      <c r="F8" s="134" t="s">
        <v>244</v>
      </c>
      <c r="G8" s="134" t="s">
        <v>42</v>
      </c>
      <c r="H8" s="244" t="s">
        <v>155</v>
      </c>
      <c r="I8" s="244" t="s">
        <v>153</v>
      </c>
      <c r="J8" s="134" t="s">
        <v>38</v>
      </c>
      <c r="K8" s="244" t="s">
        <v>154</v>
      </c>
      <c r="L8" s="244">
        <v>1</v>
      </c>
      <c r="M8" s="244"/>
      <c r="N8" s="244">
        <v>1</v>
      </c>
      <c r="O8" s="244">
        <v>0.7</v>
      </c>
      <c r="P8" s="244">
        <v>0.7</v>
      </c>
      <c r="Q8" s="136">
        <f t="shared" si="0"/>
        <v>0.7</v>
      </c>
      <c r="R8" s="244">
        <v>16.8</v>
      </c>
      <c r="S8" s="244">
        <v>138</v>
      </c>
      <c r="T8" s="137">
        <f t="shared" si="1"/>
        <v>22</v>
      </c>
      <c r="U8" s="244">
        <v>138</v>
      </c>
      <c r="V8" s="138">
        <f t="shared" si="2"/>
        <v>3036</v>
      </c>
      <c r="W8" s="244">
        <v>3</v>
      </c>
      <c r="X8" s="134" t="s">
        <v>46</v>
      </c>
      <c r="Y8" s="244" t="s">
        <v>84</v>
      </c>
      <c r="Z8" s="244" t="s">
        <v>90</v>
      </c>
      <c r="AA8" s="244" t="s">
        <v>69</v>
      </c>
      <c r="AB8" s="134" t="s">
        <v>418</v>
      </c>
      <c r="AC8" s="139"/>
      <c r="AE8" s="220" t="s">
        <v>59</v>
      </c>
      <c r="AG8" s="49" t="s">
        <v>253</v>
      </c>
      <c r="AH8" s="49" t="s">
        <v>254</v>
      </c>
      <c r="AJ8" s="226"/>
      <c r="AL8" s="139" t="s">
        <v>353</v>
      </c>
      <c r="AN8" s="227"/>
      <c r="AP8" s="221" t="s">
        <v>62</v>
      </c>
      <c r="AR8" s="235" t="s">
        <v>81</v>
      </c>
      <c r="AT8" s="244"/>
      <c r="AV8" s="235" t="s">
        <v>97</v>
      </c>
      <c r="AX8" s="222">
        <v>119</v>
      </c>
      <c r="AY8" s="223">
        <v>30</v>
      </c>
      <c r="AZ8" s="223">
        <v>121</v>
      </c>
      <c r="BA8" s="224">
        <v>27</v>
      </c>
    </row>
    <row r="9" spans="1:53" x14ac:dyDescent="0.15">
      <c r="A9" s="134" t="s">
        <v>61</v>
      </c>
      <c r="B9" s="134" t="s">
        <v>362</v>
      </c>
      <c r="C9" s="134">
        <v>2018</v>
      </c>
      <c r="D9" s="135" t="s">
        <v>417</v>
      </c>
      <c r="E9" s="134" t="s">
        <v>243</v>
      </c>
      <c r="F9" s="134" t="s">
        <v>244</v>
      </c>
      <c r="G9" s="134" t="s">
        <v>42</v>
      </c>
      <c r="H9" s="244" t="s">
        <v>155</v>
      </c>
      <c r="I9" s="244" t="s">
        <v>153</v>
      </c>
      <c r="J9" s="134" t="s">
        <v>38</v>
      </c>
      <c r="K9" s="244" t="s">
        <v>154</v>
      </c>
      <c r="L9" s="244">
        <v>2</v>
      </c>
      <c r="M9" s="244"/>
      <c r="N9" s="244">
        <v>1</v>
      </c>
      <c r="O9" s="244">
        <v>0.6</v>
      </c>
      <c r="P9" s="244">
        <v>0.65</v>
      </c>
      <c r="Q9" s="136">
        <f t="shared" si="0"/>
        <v>0.625</v>
      </c>
      <c r="R9" s="244">
        <v>17</v>
      </c>
      <c r="S9" s="244">
        <v>134</v>
      </c>
      <c r="T9" s="137">
        <f t="shared" si="1"/>
        <v>25</v>
      </c>
      <c r="U9" s="244">
        <v>138</v>
      </c>
      <c r="V9" s="138">
        <f t="shared" si="2"/>
        <v>3450</v>
      </c>
      <c r="W9" s="244">
        <v>3</v>
      </c>
      <c r="X9" s="134" t="s">
        <v>46</v>
      </c>
      <c r="Y9" s="244" t="s">
        <v>84</v>
      </c>
      <c r="Z9" s="244" t="s">
        <v>90</v>
      </c>
      <c r="AA9" s="244" t="s">
        <v>69</v>
      </c>
      <c r="AB9" s="134" t="s">
        <v>418</v>
      </c>
      <c r="AC9" s="139"/>
      <c r="AE9" s="220" t="s">
        <v>98</v>
      </c>
      <c r="AG9" s="49" t="s">
        <v>133</v>
      </c>
      <c r="AH9" s="49" t="s">
        <v>255</v>
      </c>
      <c r="AJ9" s="244"/>
      <c r="AL9" s="227"/>
      <c r="AN9" s="227"/>
      <c r="AP9" s="221" t="s">
        <v>95</v>
      </c>
      <c r="AR9" s="228" t="s">
        <v>89</v>
      </c>
      <c r="AT9" s="244"/>
      <c r="AV9" s="235" t="s">
        <v>102</v>
      </c>
      <c r="AX9" s="222">
        <v>128</v>
      </c>
      <c r="AY9" s="223">
        <v>27</v>
      </c>
      <c r="AZ9" s="223">
        <v>129</v>
      </c>
      <c r="BA9" s="224">
        <v>25</v>
      </c>
    </row>
    <row r="10" spans="1:53" x14ac:dyDescent="0.15">
      <c r="A10" s="134" t="s">
        <v>61</v>
      </c>
      <c r="B10" s="134" t="s">
        <v>365</v>
      </c>
      <c r="C10" s="134">
        <v>2018</v>
      </c>
      <c r="D10" s="135" t="s">
        <v>419</v>
      </c>
      <c r="E10" s="134" t="s">
        <v>243</v>
      </c>
      <c r="F10" s="134" t="s">
        <v>244</v>
      </c>
      <c r="G10" s="134" t="s">
        <v>42</v>
      </c>
      <c r="H10" s="244" t="s">
        <v>155</v>
      </c>
      <c r="I10" s="244" t="s">
        <v>153</v>
      </c>
      <c r="J10" s="134" t="s">
        <v>38</v>
      </c>
      <c r="K10" s="244" t="s">
        <v>154</v>
      </c>
      <c r="L10" s="244">
        <v>3</v>
      </c>
      <c r="M10" s="244"/>
      <c r="N10" s="244">
        <v>1</v>
      </c>
      <c r="O10" s="244">
        <v>0.6</v>
      </c>
      <c r="P10" s="244">
        <v>0.6</v>
      </c>
      <c r="Q10" s="136">
        <f t="shared" si="0"/>
        <v>0.6</v>
      </c>
      <c r="R10" s="244">
        <v>16.399999999999999</v>
      </c>
      <c r="S10" s="244">
        <v>136</v>
      </c>
      <c r="T10" s="137">
        <f t="shared" si="1"/>
        <v>25</v>
      </c>
      <c r="U10" s="244">
        <v>138</v>
      </c>
      <c r="V10" s="138">
        <f t="shared" si="2"/>
        <v>3450</v>
      </c>
      <c r="W10" s="244">
        <v>3</v>
      </c>
      <c r="X10" s="134" t="s">
        <v>46</v>
      </c>
      <c r="Y10" s="244" t="s">
        <v>84</v>
      </c>
      <c r="Z10" s="244" t="s">
        <v>90</v>
      </c>
      <c r="AA10" s="244" t="s">
        <v>69</v>
      </c>
      <c r="AB10" s="134" t="s">
        <v>420</v>
      </c>
      <c r="AC10" s="139"/>
      <c r="AE10" s="220" t="s">
        <v>103</v>
      </c>
      <c r="AG10" s="49" t="s">
        <v>256</v>
      </c>
      <c r="AH10" s="49" t="s">
        <v>257</v>
      </c>
      <c r="AJ10" s="244"/>
      <c r="AL10" s="225"/>
      <c r="AN10" s="244"/>
      <c r="AP10" s="221" t="s">
        <v>100</v>
      </c>
      <c r="AR10" s="228" t="s">
        <v>123</v>
      </c>
      <c r="AT10" s="244"/>
      <c r="AV10" s="235" t="s">
        <v>106</v>
      </c>
      <c r="AX10" s="222">
        <v>138</v>
      </c>
      <c r="AY10" s="223">
        <v>25</v>
      </c>
      <c r="AZ10" s="223">
        <v>138</v>
      </c>
      <c r="BA10" s="224">
        <v>22</v>
      </c>
    </row>
    <row r="11" spans="1:53" x14ac:dyDescent="0.15">
      <c r="A11" s="134" t="s">
        <v>61</v>
      </c>
      <c r="B11" s="134" t="s">
        <v>365</v>
      </c>
      <c r="C11" s="134">
        <v>2018</v>
      </c>
      <c r="D11" s="135" t="s">
        <v>419</v>
      </c>
      <c r="E11" s="134" t="s">
        <v>243</v>
      </c>
      <c r="F11" s="134" t="s">
        <v>244</v>
      </c>
      <c r="G11" s="134" t="s">
        <v>42</v>
      </c>
      <c r="H11" s="244" t="s">
        <v>166</v>
      </c>
      <c r="I11" s="244" t="s">
        <v>153</v>
      </c>
      <c r="J11" s="134" t="s">
        <v>38</v>
      </c>
      <c r="K11" s="244" t="s">
        <v>154</v>
      </c>
      <c r="L11" s="244">
        <v>1</v>
      </c>
      <c r="M11" s="244"/>
      <c r="N11" s="244">
        <v>4</v>
      </c>
      <c r="O11" s="244">
        <v>0.7</v>
      </c>
      <c r="P11" s="244">
        <v>0.75</v>
      </c>
      <c r="Q11" s="136">
        <f t="shared" si="0"/>
        <v>0.72499999999999998</v>
      </c>
      <c r="R11" s="244">
        <v>17.2</v>
      </c>
      <c r="S11" s="244">
        <v>117</v>
      </c>
      <c r="T11" s="137">
        <f t="shared" si="1"/>
        <v>30</v>
      </c>
      <c r="U11" s="244">
        <v>498</v>
      </c>
      <c r="V11" s="138">
        <f t="shared" si="2"/>
        <v>3735</v>
      </c>
      <c r="W11" s="244">
        <v>3</v>
      </c>
      <c r="X11" s="134" t="s">
        <v>46</v>
      </c>
      <c r="Y11" s="244" t="s">
        <v>84</v>
      </c>
      <c r="Z11" s="244" t="s">
        <v>90</v>
      </c>
      <c r="AA11" s="244" t="s">
        <v>69</v>
      </c>
      <c r="AB11" s="134" t="s">
        <v>420</v>
      </c>
      <c r="AC11" s="139"/>
      <c r="AE11" s="220" t="s">
        <v>65</v>
      </c>
      <c r="AG11" s="49" t="s">
        <v>258</v>
      </c>
      <c r="AH11" s="49" t="s">
        <v>257</v>
      </c>
      <c r="AJ11" s="244"/>
      <c r="AL11" s="146"/>
      <c r="AN11" s="244"/>
      <c r="AP11" s="221" t="s">
        <v>104</v>
      </c>
      <c r="AR11" s="228" t="s">
        <v>87</v>
      </c>
      <c r="AV11" s="147" t="s">
        <v>421</v>
      </c>
      <c r="AX11" s="222">
        <v>151</v>
      </c>
      <c r="AY11" s="223">
        <v>22</v>
      </c>
      <c r="AZ11" s="223">
        <v>152</v>
      </c>
      <c r="BA11" s="224">
        <v>18</v>
      </c>
    </row>
    <row r="12" spans="1:53" x14ac:dyDescent="0.15">
      <c r="A12" s="134" t="s">
        <v>61</v>
      </c>
      <c r="B12" s="134" t="s">
        <v>370</v>
      </c>
      <c r="C12" s="134">
        <v>2018</v>
      </c>
      <c r="D12" s="135" t="s">
        <v>422</v>
      </c>
      <c r="E12" s="134" t="s">
        <v>243</v>
      </c>
      <c r="F12" s="134" t="s">
        <v>244</v>
      </c>
      <c r="G12" s="134" t="s">
        <v>42</v>
      </c>
      <c r="H12" s="244" t="s">
        <v>166</v>
      </c>
      <c r="I12" s="244" t="s">
        <v>153</v>
      </c>
      <c r="J12" s="134" t="s">
        <v>38</v>
      </c>
      <c r="K12" s="244" t="s">
        <v>154</v>
      </c>
      <c r="L12" s="244">
        <v>2</v>
      </c>
      <c r="M12" s="244"/>
      <c r="N12" s="244">
        <v>4</v>
      </c>
      <c r="O12" s="244">
        <v>0.6</v>
      </c>
      <c r="P12" s="244">
        <v>0.7</v>
      </c>
      <c r="Q12" s="136">
        <f t="shared" si="0"/>
        <v>0.64999999999999991</v>
      </c>
      <c r="R12" s="244">
        <v>17</v>
      </c>
      <c r="S12" s="244">
        <v>117</v>
      </c>
      <c r="T12" s="137">
        <f t="shared" si="1"/>
        <v>30</v>
      </c>
      <c r="U12" s="244">
        <v>498</v>
      </c>
      <c r="V12" s="138">
        <f t="shared" si="2"/>
        <v>3735</v>
      </c>
      <c r="W12" s="244">
        <v>3</v>
      </c>
      <c r="X12" s="134" t="s">
        <v>46</v>
      </c>
      <c r="Y12" s="244" t="s">
        <v>84</v>
      </c>
      <c r="Z12" s="244" t="s">
        <v>90</v>
      </c>
      <c r="AA12" s="244" t="s">
        <v>69</v>
      </c>
      <c r="AB12" s="134" t="s">
        <v>423</v>
      </c>
      <c r="AC12" s="139"/>
      <c r="AE12" s="220" t="s">
        <v>70</v>
      </c>
      <c r="AG12" s="221"/>
      <c r="AH12" s="220"/>
      <c r="AJ12" s="244"/>
      <c r="AL12" s="146"/>
      <c r="AN12" s="244"/>
      <c r="AP12" s="221" t="s">
        <v>67</v>
      </c>
      <c r="AR12" s="228" t="s">
        <v>124</v>
      </c>
      <c r="AV12" s="147" t="s">
        <v>424</v>
      </c>
      <c r="AX12" s="222">
        <v>180</v>
      </c>
      <c r="AY12" s="223">
        <v>18</v>
      </c>
      <c r="AZ12" s="223">
        <v>181</v>
      </c>
      <c r="BA12" s="224">
        <v>16</v>
      </c>
    </row>
    <row r="13" spans="1:53" x14ac:dyDescent="0.15">
      <c r="A13" s="134" t="s">
        <v>61</v>
      </c>
      <c r="B13" s="134" t="s">
        <v>374</v>
      </c>
      <c r="C13" s="134">
        <v>2018</v>
      </c>
      <c r="D13" s="135" t="s">
        <v>425</v>
      </c>
      <c r="E13" s="134" t="s">
        <v>243</v>
      </c>
      <c r="F13" s="134" t="s">
        <v>244</v>
      </c>
      <c r="G13" s="134" t="s">
        <v>42</v>
      </c>
      <c r="H13" s="244" t="s">
        <v>166</v>
      </c>
      <c r="I13" s="244" t="s">
        <v>153</v>
      </c>
      <c r="J13" s="134" t="s">
        <v>38</v>
      </c>
      <c r="K13" s="244" t="s">
        <v>154</v>
      </c>
      <c r="L13" s="244">
        <v>3</v>
      </c>
      <c r="M13" s="244"/>
      <c r="N13" s="244">
        <v>4</v>
      </c>
      <c r="O13" s="244">
        <v>0.5</v>
      </c>
      <c r="P13" s="244">
        <v>0.6</v>
      </c>
      <c r="Q13" s="136">
        <f t="shared" si="0"/>
        <v>0.55000000000000004</v>
      </c>
      <c r="R13" s="244">
        <v>17.8</v>
      </c>
      <c r="S13" s="244">
        <v>124</v>
      </c>
      <c r="T13" s="137">
        <f t="shared" si="1"/>
        <v>27</v>
      </c>
      <c r="U13" s="244">
        <v>498</v>
      </c>
      <c r="V13" s="138">
        <f t="shared" si="2"/>
        <v>3361.5</v>
      </c>
      <c r="W13" s="244">
        <v>3</v>
      </c>
      <c r="X13" s="134" t="s">
        <v>46</v>
      </c>
      <c r="Y13" s="244" t="s">
        <v>84</v>
      </c>
      <c r="Z13" s="244" t="s">
        <v>90</v>
      </c>
      <c r="AA13" s="244" t="s">
        <v>69</v>
      </c>
      <c r="AB13" s="134" t="s">
        <v>426</v>
      </c>
      <c r="AC13" s="139"/>
      <c r="AE13" s="220" t="s">
        <v>73</v>
      </c>
      <c r="AG13" s="221"/>
      <c r="AH13" s="220"/>
      <c r="AJ13" s="244"/>
      <c r="AL13" s="148"/>
      <c r="AN13" s="244"/>
      <c r="AP13" s="221" t="s">
        <v>71</v>
      </c>
      <c r="AR13" s="228" t="s">
        <v>103</v>
      </c>
      <c r="AV13" s="147" t="s">
        <v>427</v>
      </c>
      <c r="AX13" s="222"/>
      <c r="AY13" s="223"/>
      <c r="AZ13" s="223"/>
      <c r="BA13" s="224"/>
    </row>
    <row r="14" spans="1:53" x14ac:dyDescent="0.15">
      <c r="A14" s="134" t="s">
        <v>61</v>
      </c>
      <c r="B14" s="134" t="s">
        <v>376</v>
      </c>
      <c r="C14" s="134">
        <v>2018</v>
      </c>
      <c r="D14" s="135" t="s">
        <v>428</v>
      </c>
      <c r="E14" s="134" t="s">
        <v>245</v>
      </c>
      <c r="F14" s="134" t="s">
        <v>246</v>
      </c>
      <c r="G14" s="134" t="s">
        <v>42</v>
      </c>
      <c r="H14" s="244" t="s">
        <v>155</v>
      </c>
      <c r="I14" s="244" t="s">
        <v>153</v>
      </c>
      <c r="J14" s="134" t="s">
        <v>38</v>
      </c>
      <c r="K14" s="244" t="s">
        <v>154</v>
      </c>
      <c r="L14" s="244">
        <v>1</v>
      </c>
      <c r="M14" s="244"/>
      <c r="N14" s="244">
        <v>5</v>
      </c>
      <c r="O14" s="244">
        <v>0.5</v>
      </c>
      <c r="P14" s="244">
        <v>0.5</v>
      </c>
      <c r="Q14" s="136">
        <f t="shared" si="0"/>
        <v>0.5</v>
      </c>
      <c r="R14" s="244">
        <v>16.399999999999999</v>
      </c>
      <c r="S14" s="244">
        <v>86</v>
      </c>
      <c r="T14" s="137">
        <f t="shared" si="1"/>
        <v>36</v>
      </c>
      <c r="U14" s="244">
        <v>298</v>
      </c>
      <c r="V14" s="138">
        <f t="shared" si="2"/>
        <v>2145.6</v>
      </c>
      <c r="W14" s="244">
        <v>14</v>
      </c>
      <c r="X14" s="134" t="s">
        <v>46</v>
      </c>
      <c r="Y14" s="244" t="s">
        <v>90</v>
      </c>
      <c r="Z14" s="244" t="s">
        <v>84</v>
      </c>
      <c r="AA14" s="244" t="s">
        <v>50</v>
      </c>
      <c r="AB14" s="134" t="s">
        <v>429</v>
      </c>
      <c r="AC14" s="139"/>
      <c r="AE14" s="220" t="s">
        <v>76</v>
      </c>
      <c r="AG14" s="221"/>
      <c r="AH14" s="220"/>
      <c r="AL14" s="232"/>
      <c r="AP14" s="221" t="s">
        <v>74</v>
      </c>
      <c r="AR14" s="228" t="s">
        <v>125</v>
      </c>
      <c r="AV14" s="147" t="s">
        <v>430</v>
      </c>
      <c r="AX14" s="222"/>
      <c r="AY14" s="223"/>
      <c r="AZ14" s="223"/>
      <c r="BA14" s="224"/>
    </row>
    <row r="15" spans="1:53" x14ac:dyDescent="0.15">
      <c r="A15" s="134" t="s">
        <v>61</v>
      </c>
      <c r="B15" s="134" t="s">
        <v>376</v>
      </c>
      <c r="C15" s="134">
        <v>2018</v>
      </c>
      <c r="D15" s="135" t="s">
        <v>428</v>
      </c>
      <c r="E15" s="134" t="s">
        <v>245</v>
      </c>
      <c r="F15" s="134" t="s">
        <v>246</v>
      </c>
      <c r="G15" s="134" t="s">
        <v>42</v>
      </c>
      <c r="H15" s="244" t="s">
        <v>155</v>
      </c>
      <c r="I15" s="244" t="s">
        <v>153</v>
      </c>
      <c r="J15" s="134" t="s">
        <v>38</v>
      </c>
      <c r="K15" s="244" t="s">
        <v>154</v>
      </c>
      <c r="L15" s="244">
        <v>2</v>
      </c>
      <c r="M15" s="244"/>
      <c r="N15" s="244">
        <v>5</v>
      </c>
      <c r="O15" s="244">
        <v>0.5</v>
      </c>
      <c r="P15" s="244">
        <v>0.55000000000000004</v>
      </c>
      <c r="Q15" s="136">
        <f t="shared" si="0"/>
        <v>0.52500000000000002</v>
      </c>
      <c r="R15" s="139">
        <v>16.8</v>
      </c>
      <c r="S15" s="244">
        <v>91</v>
      </c>
      <c r="T15" s="137">
        <f t="shared" si="1"/>
        <v>36</v>
      </c>
      <c r="U15" s="244">
        <v>298</v>
      </c>
      <c r="V15" s="138">
        <f t="shared" si="2"/>
        <v>2145.6</v>
      </c>
      <c r="W15" s="244">
        <v>14</v>
      </c>
      <c r="X15" s="134" t="s">
        <v>46</v>
      </c>
      <c r="Y15" s="244" t="s">
        <v>90</v>
      </c>
      <c r="Z15" s="244" t="s">
        <v>84</v>
      </c>
      <c r="AA15" s="244" t="s">
        <v>50</v>
      </c>
      <c r="AB15" s="134" t="s">
        <v>429</v>
      </c>
      <c r="AC15" s="139"/>
      <c r="AE15" s="220" t="s">
        <v>79</v>
      </c>
      <c r="AG15" s="221"/>
      <c r="AH15" s="221"/>
      <c r="AL15" s="232"/>
      <c r="AP15" s="221" t="s">
        <v>77</v>
      </c>
      <c r="AR15" s="228" t="s">
        <v>94</v>
      </c>
      <c r="AV15" s="147" t="s">
        <v>431</v>
      </c>
      <c r="AX15" s="229"/>
      <c r="AY15" s="230"/>
      <c r="AZ15" s="230"/>
      <c r="BA15" s="231"/>
    </row>
    <row r="16" spans="1:53" x14ac:dyDescent="0.15">
      <c r="A16" s="134" t="s">
        <v>61</v>
      </c>
      <c r="B16" s="134" t="s">
        <v>380</v>
      </c>
      <c r="C16" s="134">
        <v>2018</v>
      </c>
      <c r="D16" s="135" t="s">
        <v>432</v>
      </c>
      <c r="E16" s="134" t="s">
        <v>245</v>
      </c>
      <c r="F16" s="134" t="s">
        <v>246</v>
      </c>
      <c r="G16" s="134" t="s">
        <v>42</v>
      </c>
      <c r="H16" s="244" t="s">
        <v>155</v>
      </c>
      <c r="I16" s="244" t="s">
        <v>153</v>
      </c>
      <c r="J16" s="134" t="s">
        <v>38</v>
      </c>
      <c r="K16" s="244" t="s">
        <v>154</v>
      </c>
      <c r="L16" s="244">
        <v>3</v>
      </c>
      <c r="M16" s="244"/>
      <c r="N16" s="244">
        <v>5</v>
      </c>
      <c r="O16" s="244">
        <v>0.6</v>
      </c>
      <c r="P16" s="244">
        <v>0.7</v>
      </c>
      <c r="Q16" s="136">
        <f t="shared" si="0"/>
        <v>0.64999999999999991</v>
      </c>
      <c r="R16" s="244">
        <v>16.399999999999999</v>
      </c>
      <c r="S16" s="244">
        <v>91</v>
      </c>
      <c r="T16" s="137">
        <f t="shared" si="1"/>
        <v>36</v>
      </c>
      <c r="U16" s="244">
        <v>298</v>
      </c>
      <c r="V16" s="138">
        <f t="shared" si="2"/>
        <v>2145.6</v>
      </c>
      <c r="W16" s="244">
        <v>14</v>
      </c>
      <c r="X16" s="134" t="s">
        <v>46</v>
      </c>
      <c r="Y16" s="244" t="s">
        <v>90</v>
      </c>
      <c r="Z16" s="244" t="s">
        <v>84</v>
      </c>
      <c r="AA16" s="244" t="s">
        <v>50</v>
      </c>
      <c r="AB16" s="134" t="s">
        <v>433</v>
      </c>
      <c r="AC16" s="139"/>
      <c r="AE16" s="220" t="s">
        <v>82</v>
      </c>
      <c r="AG16" s="221"/>
      <c r="AH16" s="221"/>
      <c r="AP16" s="221" t="s">
        <v>80</v>
      </c>
      <c r="AR16" s="235" t="s">
        <v>63</v>
      </c>
      <c r="AV16" s="147" t="s">
        <v>434</v>
      </c>
    </row>
    <row r="17" spans="1:48" x14ac:dyDescent="0.15">
      <c r="A17" s="134" t="s">
        <v>61</v>
      </c>
      <c r="B17" s="134" t="s">
        <v>380</v>
      </c>
      <c r="C17" s="134">
        <v>2018</v>
      </c>
      <c r="D17" s="135" t="s">
        <v>432</v>
      </c>
      <c r="E17" s="134" t="s">
        <v>245</v>
      </c>
      <c r="F17" s="134" t="s">
        <v>246</v>
      </c>
      <c r="G17" s="134" t="s">
        <v>42</v>
      </c>
      <c r="H17" s="244" t="s">
        <v>166</v>
      </c>
      <c r="I17" s="244" t="s">
        <v>153</v>
      </c>
      <c r="J17" s="134" t="s">
        <v>38</v>
      </c>
      <c r="K17" s="244" t="s">
        <v>154</v>
      </c>
      <c r="L17" s="244">
        <v>1</v>
      </c>
      <c r="M17" s="244"/>
      <c r="N17" s="244">
        <v>1</v>
      </c>
      <c r="O17" s="244">
        <v>0.5</v>
      </c>
      <c r="P17" s="244">
        <v>0.5</v>
      </c>
      <c r="Q17" s="136">
        <f t="shared" si="0"/>
        <v>0.5</v>
      </c>
      <c r="R17" s="244">
        <v>18.100000000000001</v>
      </c>
      <c r="S17" s="244">
        <v>132</v>
      </c>
      <c r="T17" s="137">
        <f t="shared" si="1"/>
        <v>25</v>
      </c>
      <c r="U17" s="244">
        <v>158</v>
      </c>
      <c r="V17" s="138">
        <f t="shared" si="2"/>
        <v>3950</v>
      </c>
      <c r="W17" s="244">
        <v>14</v>
      </c>
      <c r="X17" s="134" t="s">
        <v>46</v>
      </c>
      <c r="Y17" s="244" t="s">
        <v>90</v>
      </c>
      <c r="Z17" s="244" t="s">
        <v>84</v>
      </c>
      <c r="AA17" s="244" t="s">
        <v>50</v>
      </c>
      <c r="AB17" s="134" t="s">
        <v>433</v>
      </c>
      <c r="AC17" s="139"/>
      <c r="AE17" s="220" t="s">
        <v>85</v>
      </c>
      <c r="AP17" s="236" t="s">
        <v>110</v>
      </c>
      <c r="AR17" s="235" t="s">
        <v>96</v>
      </c>
      <c r="AV17" s="147" t="s">
        <v>435</v>
      </c>
    </row>
    <row r="18" spans="1:48" x14ac:dyDescent="0.15">
      <c r="A18" s="134" t="s">
        <v>61</v>
      </c>
      <c r="B18" s="134" t="s">
        <v>380</v>
      </c>
      <c r="C18" s="134">
        <v>2018</v>
      </c>
      <c r="D18" s="135" t="s">
        <v>432</v>
      </c>
      <c r="E18" s="134" t="s">
        <v>245</v>
      </c>
      <c r="F18" s="134" t="s">
        <v>246</v>
      </c>
      <c r="G18" s="134" t="s">
        <v>42</v>
      </c>
      <c r="H18" s="244" t="s">
        <v>166</v>
      </c>
      <c r="I18" s="244" t="s">
        <v>153</v>
      </c>
      <c r="J18" s="134" t="s">
        <v>38</v>
      </c>
      <c r="K18" s="244" t="s">
        <v>154</v>
      </c>
      <c r="L18" s="244">
        <v>2</v>
      </c>
      <c r="M18" s="244"/>
      <c r="N18" s="244">
        <v>1</v>
      </c>
      <c r="O18" s="244">
        <v>0.6</v>
      </c>
      <c r="P18" s="244">
        <v>0.6</v>
      </c>
      <c r="Q18" s="136">
        <f t="shared" si="0"/>
        <v>0.6</v>
      </c>
      <c r="R18" s="244">
        <v>17.600000000000001</v>
      </c>
      <c r="S18" s="244">
        <v>130</v>
      </c>
      <c r="T18" s="137">
        <f t="shared" si="1"/>
        <v>25</v>
      </c>
      <c r="U18" s="244">
        <v>158</v>
      </c>
      <c r="V18" s="138">
        <f t="shared" si="2"/>
        <v>3950</v>
      </c>
      <c r="W18" s="244">
        <v>14</v>
      </c>
      <c r="X18" s="134" t="s">
        <v>46</v>
      </c>
      <c r="Y18" s="244" t="s">
        <v>90</v>
      </c>
      <c r="Z18" s="244" t="s">
        <v>84</v>
      </c>
      <c r="AA18" s="244" t="s">
        <v>50</v>
      </c>
      <c r="AB18" s="134" t="s">
        <v>433</v>
      </c>
      <c r="AC18" s="139"/>
      <c r="AE18" s="220" t="s">
        <v>87</v>
      </c>
      <c r="AP18" s="236" t="s">
        <v>111</v>
      </c>
      <c r="AR18" s="235" t="s">
        <v>101</v>
      </c>
      <c r="AV18" s="147" t="s">
        <v>354</v>
      </c>
    </row>
    <row r="19" spans="1:48" x14ac:dyDescent="0.15">
      <c r="A19" s="134" t="s">
        <v>61</v>
      </c>
      <c r="B19" s="134" t="s">
        <v>370</v>
      </c>
      <c r="C19" s="134">
        <v>2018</v>
      </c>
      <c r="D19" s="135" t="s">
        <v>422</v>
      </c>
      <c r="E19" s="134" t="s">
        <v>245</v>
      </c>
      <c r="F19" s="134" t="s">
        <v>246</v>
      </c>
      <c r="G19" s="134" t="s">
        <v>42</v>
      </c>
      <c r="H19" s="244" t="s">
        <v>166</v>
      </c>
      <c r="I19" s="244" t="s">
        <v>153</v>
      </c>
      <c r="J19" s="134" t="s">
        <v>38</v>
      </c>
      <c r="K19" s="244" t="s">
        <v>154</v>
      </c>
      <c r="L19" s="244">
        <v>3</v>
      </c>
      <c r="M19" s="244"/>
      <c r="N19" s="244">
        <v>1</v>
      </c>
      <c r="O19" s="244">
        <v>0.55000000000000004</v>
      </c>
      <c r="P19" s="244">
        <v>0.6</v>
      </c>
      <c r="Q19" s="136">
        <f t="shared" si="0"/>
        <v>0.57499999999999996</v>
      </c>
      <c r="R19" s="244">
        <v>17.600000000000001</v>
      </c>
      <c r="S19" s="244">
        <v>128</v>
      </c>
      <c r="T19" s="137">
        <f t="shared" si="1"/>
        <v>27</v>
      </c>
      <c r="U19" s="244">
        <v>158</v>
      </c>
      <c r="V19" s="138">
        <f t="shared" si="2"/>
        <v>4266</v>
      </c>
      <c r="W19" s="244">
        <v>14</v>
      </c>
      <c r="X19" s="134" t="s">
        <v>46</v>
      </c>
      <c r="Y19" s="244" t="s">
        <v>90</v>
      </c>
      <c r="Z19" s="244" t="s">
        <v>84</v>
      </c>
      <c r="AA19" s="244" t="s">
        <v>50</v>
      </c>
      <c r="AB19" s="134" t="s">
        <v>423</v>
      </c>
      <c r="AC19" s="139"/>
      <c r="AE19" s="233" t="s">
        <v>89</v>
      </c>
      <c r="AP19" s="236" t="s">
        <v>112</v>
      </c>
      <c r="AR19" s="228" t="s">
        <v>126</v>
      </c>
      <c r="AV19" s="147" t="s">
        <v>436</v>
      </c>
    </row>
    <row r="20" spans="1:48" x14ac:dyDescent="0.15">
      <c r="A20" s="134" t="s">
        <v>61</v>
      </c>
      <c r="B20" s="134" t="s">
        <v>370</v>
      </c>
      <c r="C20" s="134">
        <v>2018</v>
      </c>
      <c r="D20" s="135" t="s">
        <v>422</v>
      </c>
      <c r="E20" s="134" t="s">
        <v>247</v>
      </c>
      <c r="F20" s="134" t="s">
        <v>248</v>
      </c>
      <c r="G20" s="134" t="s">
        <v>42</v>
      </c>
      <c r="H20" s="244" t="s">
        <v>155</v>
      </c>
      <c r="I20" s="244" t="s">
        <v>153</v>
      </c>
      <c r="J20" s="134" t="s">
        <v>38</v>
      </c>
      <c r="K20" s="244" t="s">
        <v>154</v>
      </c>
      <c r="L20" s="244">
        <v>1</v>
      </c>
      <c r="M20" s="244"/>
      <c r="N20" s="244">
        <v>4</v>
      </c>
      <c r="O20" s="244">
        <v>0.7</v>
      </c>
      <c r="P20" s="244">
        <v>0.75</v>
      </c>
      <c r="Q20" s="136">
        <f t="shared" si="0"/>
        <v>0.72499999999999998</v>
      </c>
      <c r="R20" s="244">
        <v>17.3</v>
      </c>
      <c r="S20" s="244">
        <v>89</v>
      </c>
      <c r="T20" s="137">
        <f t="shared" si="1"/>
        <v>36</v>
      </c>
      <c r="U20" s="244">
        <v>429</v>
      </c>
      <c r="V20" s="138">
        <f t="shared" si="2"/>
        <v>3861</v>
      </c>
      <c r="W20" s="244">
        <v>12</v>
      </c>
      <c r="X20" s="134" t="s">
        <v>46</v>
      </c>
      <c r="Y20" s="244" t="s">
        <v>84</v>
      </c>
      <c r="Z20" s="244" t="s">
        <v>90</v>
      </c>
      <c r="AA20" s="244" t="s">
        <v>69</v>
      </c>
      <c r="AB20" s="134" t="s">
        <v>423</v>
      </c>
      <c r="AC20" s="139"/>
      <c r="AE20" s="220"/>
      <c r="AG20" s="244"/>
      <c r="AH20" s="244"/>
      <c r="AJ20" s="244"/>
      <c r="AN20" s="244"/>
      <c r="AP20" s="236" t="s">
        <v>113</v>
      </c>
      <c r="AR20" s="235" t="s">
        <v>105</v>
      </c>
      <c r="AV20" s="147" t="s">
        <v>437</v>
      </c>
    </row>
    <row r="21" spans="1:48" x14ac:dyDescent="0.15">
      <c r="A21" s="134" t="s">
        <v>61</v>
      </c>
      <c r="B21" s="134" t="s">
        <v>370</v>
      </c>
      <c r="C21" s="134">
        <v>2018</v>
      </c>
      <c r="D21" s="135" t="s">
        <v>422</v>
      </c>
      <c r="E21" s="134" t="s">
        <v>247</v>
      </c>
      <c r="F21" s="134" t="s">
        <v>248</v>
      </c>
      <c r="G21" s="134" t="s">
        <v>42</v>
      </c>
      <c r="H21" s="244" t="s">
        <v>155</v>
      </c>
      <c r="I21" s="244" t="s">
        <v>153</v>
      </c>
      <c r="J21" s="134" t="s">
        <v>38</v>
      </c>
      <c r="K21" s="244" t="s">
        <v>154</v>
      </c>
      <c r="L21" s="244">
        <v>2</v>
      </c>
      <c r="M21" s="244"/>
      <c r="N21" s="244">
        <v>4</v>
      </c>
      <c r="O21" s="244">
        <v>0.7</v>
      </c>
      <c r="P21" s="244">
        <v>0.7</v>
      </c>
      <c r="Q21" s="136">
        <f t="shared" si="0"/>
        <v>0.7</v>
      </c>
      <c r="R21" s="244">
        <v>16.8</v>
      </c>
      <c r="S21" s="244">
        <v>92</v>
      </c>
      <c r="T21" s="137">
        <f t="shared" si="1"/>
        <v>36</v>
      </c>
      <c r="U21" s="244">
        <v>429</v>
      </c>
      <c r="V21" s="138">
        <f t="shared" si="2"/>
        <v>3861</v>
      </c>
      <c r="W21" s="244">
        <v>12</v>
      </c>
      <c r="X21" s="134" t="s">
        <v>46</v>
      </c>
      <c r="Y21" s="244" t="s">
        <v>84</v>
      </c>
      <c r="Z21" s="244" t="s">
        <v>90</v>
      </c>
      <c r="AA21" s="244" t="s">
        <v>69</v>
      </c>
      <c r="AB21" s="134" t="s">
        <v>423</v>
      </c>
      <c r="AC21" s="139"/>
      <c r="AE21" s="220"/>
      <c r="AG21" s="244"/>
      <c r="AH21" s="244"/>
      <c r="AL21" s="244"/>
      <c r="AN21" s="244"/>
      <c r="AP21" s="236" t="s">
        <v>114</v>
      </c>
      <c r="AR21" s="235" t="s">
        <v>68</v>
      </c>
      <c r="AV21" s="147" t="s">
        <v>438</v>
      </c>
    </row>
    <row r="22" spans="1:48" x14ac:dyDescent="0.15">
      <c r="A22" s="134" t="s">
        <v>61</v>
      </c>
      <c r="B22" s="134" t="s">
        <v>370</v>
      </c>
      <c r="C22" s="134">
        <v>2018</v>
      </c>
      <c r="D22" s="135" t="s">
        <v>422</v>
      </c>
      <c r="E22" s="134" t="s">
        <v>247</v>
      </c>
      <c r="F22" s="134" t="s">
        <v>248</v>
      </c>
      <c r="G22" s="134" t="s">
        <v>42</v>
      </c>
      <c r="H22" s="244" t="s">
        <v>155</v>
      </c>
      <c r="I22" s="244" t="s">
        <v>153</v>
      </c>
      <c r="J22" s="134" t="s">
        <v>38</v>
      </c>
      <c r="K22" s="244" t="s">
        <v>154</v>
      </c>
      <c r="L22" s="244">
        <v>3</v>
      </c>
      <c r="M22" s="244"/>
      <c r="N22" s="139">
        <v>4</v>
      </c>
      <c r="O22" s="139">
        <v>0.6</v>
      </c>
      <c r="P22" s="244">
        <v>0.65</v>
      </c>
      <c r="Q22" s="136">
        <f t="shared" si="0"/>
        <v>0.625</v>
      </c>
      <c r="R22" s="244">
        <v>16.8</v>
      </c>
      <c r="S22" s="244">
        <v>101</v>
      </c>
      <c r="T22" s="137">
        <f t="shared" si="1"/>
        <v>33</v>
      </c>
      <c r="U22" s="244">
        <v>429</v>
      </c>
      <c r="V22" s="138">
        <f t="shared" si="2"/>
        <v>3539.25</v>
      </c>
      <c r="W22" s="244">
        <v>12</v>
      </c>
      <c r="X22" s="134" t="s">
        <v>46</v>
      </c>
      <c r="Y22" s="244" t="s">
        <v>84</v>
      </c>
      <c r="Z22" s="244" t="s">
        <v>90</v>
      </c>
      <c r="AA22" s="244" t="s">
        <v>69</v>
      </c>
      <c r="AB22" s="134" t="s">
        <v>423</v>
      </c>
      <c r="AC22" s="139"/>
      <c r="AE22" s="233"/>
      <c r="AG22" s="244"/>
      <c r="AH22" s="244"/>
      <c r="AL22" s="244"/>
      <c r="AP22" s="236" t="s">
        <v>115</v>
      </c>
      <c r="AR22" s="235" t="s">
        <v>83</v>
      </c>
      <c r="AV22" s="221"/>
    </row>
    <row r="23" spans="1:48" x14ac:dyDescent="0.15">
      <c r="A23" s="134" t="s">
        <v>61</v>
      </c>
      <c r="B23" s="134" t="s">
        <v>370</v>
      </c>
      <c r="C23" s="134">
        <v>2018</v>
      </c>
      <c r="D23" s="135" t="s">
        <v>422</v>
      </c>
      <c r="E23" s="134" t="s">
        <v>247</v>
      </c>
      <c r="F23" s="134" t="s">
        <v>248</v>
      </c>
      <c r="G23" s="134" t="s">
        <v>42</v>
      </c>
      <c r="H23" s="244" t="s">
        <v>166</v>
      </c>
      <c r="I23" s="244" t="s">
        <v>153</v>
      </c>
      <c r="J23" s="134" t="s">
        <v>38</v>
      </c>
      <c r="K23" s="244" t="s">
        <v>154</v>
      </c>
      <c r="L23" s="244">
        <v>1</v>
      </c>
      <c r="M23" s="244"/>
      <c r="N23" s="244">
        <v>4</v>
      </c>
      <c r="O23" s="244">
        <v>0.7</v>
      </c>
      <c r="P23" s="139">
        <v>0.75</v>
      </c>
      <c r="Q23" s="136">
        <f t="shared" si="0"/>
        <v>0.72499999999999998</v>
      </c>
      <c r="R23" s="244">
        <v>16.7</v>
      </c>
      <c r="S23" s="244">
        <v>125</v>
      </c>
      <c r="T23" s="137">
        <f t="shared" si="1"/>
        <v>27</v>
      </c>
      <c r="U23" s="244">
        <v>429</v>
      </c>
      <c r="V23" s="138">
        <f t="shared" si="2"/>
        <v>2895.75</v>
      </c>
      <c r="W23" s="244">
        <v>12</v>
      </c>
      <c r="X23" s="134" t="s">
        <v>46</v>
      </c>
      <c r="Y23" s="244" t="s">
        <v>84</v>
      </c>
      <c r="Z23" s="244" t="s">
        <v>90</v>
      </c>
      <c r="AA23" s="244" t="s">
        <v>69</v>
      </c>
      <c r="AB23" s="134" t="s">
        <v>423</v>
      </c>
      <c r="AC23" s="139"/>
      <c r="AE23" s="220"/>
      <c r="AG23" s="244"/>
      <c r="AH23" s="244"/>
      <c r="AL23" s="244"/>
      <c r="AP23" s="236" t="s">
        <v>385</v>
      </c>
      <c r="AR23" s="235" t="s">
        <v>61</v>
      </c>
      <c r="AV23" s="244"/>
    </row>
    <row r="24" spans="1:48" x14ac:dyDescent="0.15">
      <c r="A24" s="134" t="s">
        <v>61</v>
      </c>
      <c r="B24" s="134" t="s">
        <v>370</v>
      </c>
      <c r="C24" s="134">
        <v>2018</v>
      </c>
      <c r="D24" s="135" t="s">
        <v>422</v>
      </c>
      <c r="E24" s="134" t="s">
        <v>247</v>
      </c>
      <c r="F24" s="134" t="s">
        <v>248</v>
      </c>
      <c r="G24" s="134" t="s">
        <v>42</v>
      </c>
      <c r="H24" s="244" t="s">
        <v>166</v>
      </c>
      <c r="I24" s="244" t="s">
        <v>153</v>
      </c>
      <c r="J24" s="134" t="s">
        <v>38</v>
      </c>
      <c r="K24" s="244" t="s">
        <v>154</v>
      </c>
      <c r="L24" s="244">
        <v>2</v>
      </c>
      <c r="M24" s="244"/>
      <c r="N24" s="244">
        <v>4</v>
      </c>
      <c r="O24" s="244">
        <v>0.7</v>
      </c>
      <c r="P24" s="139">
        <v>0.7</v>
      </c>
      <c r="Q24" s="136">
        <f t="shared" si="0"/>
        <v>0.7</v>
      </c>
      <c r="R24" s="244">
        <v>17</v>
      </c>
      <c r="S24" s="244">
        <v>121</v>
      </c>
      <c r="T24" s="137">
        <f t="shared" si="1"/>
        <v>27</v>
      </c>
      <c r="U24" s="244">
        <v>429</v>
      </c>
      <c r="V24" s="138">
        <f t="shared" si="2"/>
        <v>2895.75</v>
      </c>
      <c r="W24" s="244">
        <v>12</v>
      </c>
      <c r="X24" s="134" t="s">
        <v>46</v>
      </c>
      <c r="Y24" s="244" t="s">
        <v>84</v>
      </c>
      <c r="Z24" s="244" t="s">
        <v>90</v>
      </c>
      <c r="AA24" s="244" t="s">
        <v>69</v>
      </c>
      <c r="AB24" s="134" t="s">
        <v>423</v>
      </c>
      <c r="AC24" s="139"/>
      <c r="AE24" s="220"/>
      <c r="AG24" s="244"/>
      <c r="AH24" s="244"/>
      <c r="AL24" s="244"/>
      <c r="AP24" s="236" t="s">
        <v>386</v>
      </c>
      <c r="AR24" s="235" t="s">
        <v>91</v>
      </c>
      <c r="AV24" s="244"/>
    </row>
    <row r="25" spans="1:48" x14ac:dyDescent="0.15">
      <c r="A25" s="134" t="s">
        <v>61</v>
      </c>
      <c r="B25" s="134" t="s">
        <v>370</v>
      </c>
      <c r="C25" s="134">
        <v>2018</v>
      </c>
      <c r="D25" s="135" t="s">
        <v>422</v>
      </c>
      <c r="E25" s="134" t="s">
        <v>247</v>
      </c>
      <c r="F25" s="134" t="s">
        <v>248</v>
      </c>
      <c r="G25" s="134" t="s">
        <v>42</v>
      </c>
      <c r="H25" s="244" t="s">
        <v>166</v>
      </c>
      <c r="I25" s="244" t="s">
        <v>153</v>
      </c>
      <c r="J25" s="134" t="s">
        <v>38</v>
      </c>
      <c r="K25" s="244" t="s">
        <v>154</v>
      </c>
      <c r="L25" s="244">
        <v>3</v>
      </c>
      <c r="M25" s="244"/>
      <c r="N25" s="244">
        <v>4</v>
      </c>
      <c r="O25" s="244">
        <v>0.5</v>
      </c>
      <c r="P25" s="139">
        <v>0.5</v>
      </c>
      <c r="Q25" s="136">
        <f t="shared" si="0"/>
        <v>0.5</v>
      </c>
      <c r="R25" s="244">
        <v>17.100000000000001</v>
      </c>
      <c r="S25" s="244">
        <v>120</v>
      </c>
      <c r="T25" s="137">
        <f t="shared" si="1"/>
        <v>30</v>
      </c>
      <c r="U25" s="244">
        <v>429</v>
      </c>
      <c r="V25" s="138">
        <f t="shared" si="2"/>
        <v>3217.5</v>
      </c>
      <c r="W25" s="244">
        <v>12</v>
      </c>
      <c r="X25" s="134" t="s">
        <v>46</v>
      </c>
      <c r="Y25" s="244" t="s">
        <v>84</v>
      </c>
      <c r="Z25" s="244" t="s">
        <v>90</v>
      </c>
      <c r="AA25" s="244" t="s">
        <v>69</v>
      </c>
      <c r="AB25" s="134" t="s">
        <v>423</v>
      </c>
      <c r="AC25" s="139"/>
      <c r="AE25" s="233"/>
      <c r="AG25" s="244"/>
      <c r="AH25" s="244"/>
      <c r="AL25" s="244"/>
      <c r="AP25" s="236" t="s">
        <v>116</v>
      </c>
      <c r="AR25" s="42" t="s">
        <v>92</v>
      </c>
      <c r="AV25" s="244"/>
    </row>
    <row r="26" spans="1:48" x14ac:dyDescent="0.15">
      <c r="A26" s="134" t="s">
        <v>61</v>
      </c>
      <c r="B26" s="134" t="s">
        <v>370</v>
      </c>
      <c r="C26" s="134">
        <v>2018</v>
      </c>
      <c r="D26" s="135" t="s">
        <v>422</v>
      </c>
      <c r="E26" s="134" t="s">
        <v>247</v>
      </c>
      <c r="F26" s="134" t="s">
        <v>248</v>
      </c>
      <c r="G26" s="134" t="s">
        <v>42</v>
      </c>
      <c r="H26" s="244" t="s">
        <v>155</v>
      </c>
      <c r="I26" s="244" t="s">
        <v>156</v>
      </c>
      <c r="J26" s="134" t="s">
        <v>38</v>
      </c>
      <c r="K26" s="244" t="s">
        <v>154</v>
      </c>
      <c r="L26" s="244">
        <v>1</v>
      </c>
      <c r="M26" s="244"/>
      <c r="N26" s="244">
        <v>4</v>
      </c>
      <c r="O26" s="244">
        <v>0.7</v>
      </c>
      <c r="P26" s="139">
        <v>0.8</v>
      </c>
      <c r="Q26" s="136">
        <f t="shared" si="0"/>
        <v>0.75</v>
      </c>
      <c r="R26" s="244">
        <v>14.4</v>
      </c>
      <c r="S26" s="244">
        <v>103</v>
      </c>
      <c r="T26" s="137">
        <f t="shared" si="1"/>
        <v>33</v>
      </c>
      <c r="U26" s="244">
        <v>429</v>
      </c>
      <c r="V26" s="138">
        <f t="shared" si="2"/>
        <v>3539.25</v>
      </c>
      <c r="W26" s="244">
        <v>12</v>
      </c>
      <c r="X26" s="134" t="s">
        <v>46</v>
      </c>
      <c r="Y26" s="244" t="s">
        <v>84</v>
      </c>
      <c r="Z26" s="244" t="s">
        <v>90</v>
      </c>
      <c r="AA26" s="244" t="s">
        <v>69</v>
      </c>
      <c r="AB26" s="134" t="s">
        <v>423</v>
      </c>
      <c r="AC26" s="139"/>
      <c r="AD26" s="232"/>
      <c r="AE26" s="233"/>
      <c r="AG26" s="244"/>
      <c r="AH26" s="244"/>
      <c r="AP26" s="236" t="s">
        <v>117</v>
      </c>
      <c r="AR26" s="221" t="s">
        <v>285</v>
      </c>
      <c r="AV26" s="244"/>
    </row>
    <row r="27" spans="1:48" x14ac:dyDescent="0.15">
      <c r="A27" s="134" t="s">
        <v>61</v>
      </c>
      <c r="B27" s="134" t="s">
        <v>370</v>
      </c>
      <c r="C27" s="134">
        <v>2018</v>
      </c>
      <c r="D27" s="135" t="s">
        <v>422</v>
      </c>
      <c r="E27" s="134" t="s">
        <v>247</v>
      </c>
      <c r="F27" s="134" t="s">
        <v>248</v>
      </c>
      <c r="G27" s="134" t="s">
        <v>42</v>
      </c>
      <c r="H27" s="244" t="s">
        <v>155</v>
      </c>
      <c r="I27" s="244" t="s">
        <v>156</v>
      </c>
      <c r="J27" s="134" t="s">
        <v>38</v>
      </c>
      <c r="K27" s="244" t="s">
        <v>154</v>
      </c>
      <c r="L27" s="244">
        <v>2</v>
      </c>
      <c r="M27" s="244"/>
      <c r="N27" s="244">
        <v>4</v>
      </c>
      <c r="O27" s="244">
        <v>0.7</v>
      </c>
      <c r="P27" s="139">
        <v>0.6</v>
      </c>
      <c r="Q27" s="136">
        <f t="shared" si="0"/>
        <v>0.64999999999999991</v>
      </c>
      <c r="R27" s="244">
        <v>15.4</v>
      </c>
      <c r="S27" s="244">
        <v>99</v>
      </c>
      <c r="T27" s="137">
        <f t="shared" si="1"/>
        <v>33</v>
      </c>
      <c r="U27" s="244">
        <v>429</v>
      </c>
      <c r="V27" s="138">
        <f t="shared" si="2"/>
        <v>3539.25</v>
      </c>
      <c r="W27" s="244">
        <v>12</v>
      </c>
      <c r="X27" s="134" t="s">
        <v>46</v>
      </c>
      <c r="Y27" s="244" t="s">
        <v>84</v>
      </c>
      <c r="Z27" s="244" t="s">
        <v>90</v>
      </c>
      <c r="AA27" s="244" t="s">
        <v>69</v>
      </c>
      <c r="AB27" s="134" t="s">
        <v>423</v>
      </c>
      <c r="AC27" s="139"/>
      <c r="AD27" s="232"/>
      <c r="AE27" s="226"/>
      <c r="AG27" s="244"/>
      <c r="AH27" s="244"/>
      <c r="AP27" s="236" t="s">
        <v>118</v>
      </c>
      <c r="AR27" s="221"/>
      <c r="AV27" s="244"/>
    </row>
    <row r="28" spans="1:48" x14ac:dyDescent="0.15">
      <c r="A28" s="134" t="s">
        <v>61</v>
      </c>
      <c r="B28" s="134" t="s">
        <v>370</v>
      </c>
      <c r="C28" s="134">
        <v>2018</v>
      </c>
      <c r="D28" s="135" t="s">
        <v>422</v>
      </c>
      <c r="E28" s="134" t="s">
        <v>247</v>
      </c>
      <c r="F28" s="134" t="s">
        <v>248</v>
      </c>
      <c r="G28" s="134" t="s">
        <v>42</v>
      </c>
      <c r="H28" s="244" t="s">
        <v>155</v>
      </c>
      <c r="I28" s="244" t="s">
        <v>156</v>
      </c>
      <c r="J28" s="134" t="s">
        <v>38</v>
      </c>
      <c r="K28" s="244" t="s">
        <v>154</v>
      </c>
      <c r="L28" s="244">
        <v>3</v>
      </c>
      <c r="M28" s="244"/>
      <c r="N28" s="244">
        <v>4</v>
      </c>
      <c r="O28" s="244">
        <v>0.7</v>
      </c>
      <c r="P28" s="139">
        <v>0.65</v>
      </c>
      <c r="Q28" s="136">
        <f t="shared" si="0"/>
        <v>0.67500000000000004</v>
      </c>
      <c r="R28" s="244">
        <v>15.6</v>
      </c>
      <c r="S28" s="244">
        <v>99</v>
      </c>
      <c r="T28" s="137">
        <f t="shared" si="1"/>
        <v>33</v>
      </c>
      <c r="U28" s="244">
        <v>429</v>
      </c>
      <c r="V28" s="138">
        <f t="shared" si="2"/>
        <v>3539.25</v>
      </c>
      <c r="W28" s="244">
        <v>12</v>
      </c>
      <c r="X28" s="134" t="s">
        <v>46</v>
      </c>
      <c r="Y28" s="244" t="s">
        <v>84</v>
      </c>
      <c r="Z28" s="244" t="s">
        <v>90</v>
      </c>
      <c r="AA28" s="244" t="s">
        <v>69</v>
      </c>
      <c r="AB28" s="134" t="s">
        <v>423</v>
      </c>
      <c r="AC28" s="139"/>
      <c r="AD28" s="232"/>
      <c r="AE28" s="244"/>
      <c r="AG28" s="244"/>
      <c r="AH28" s="244"/>
      <c r="AP28" s="225"/>
      <c r="AR28" s="221"/>
      <c r="AV28" s="244"/>
    </row>
    <row r="29" spans="1:48" x14ac:dyDescent="0.15">
      <c r="A29" s="134" t="s">
        <v>61</v>
      </c>
      <c r="B29" s="134" t="s">
        <v>370</v>
      </c>
      <c r="C29" s="134">
        <v>2018</v>
      </c>
      <c r="D29" s="135" t="s">
        <v>422</v>
      </c>
      <c r="E29" s="134" t="s">
        <v>249</v>
      </c>
      <c r="F29" s="134" t="s">
        <v>250</v>
      </c>
      <c r="G29" s="134" t="s">
        <v>42</v>
      </c>
      <c r="H29" s="244" t="s">
        <v>166</v>
      </c>
      <c r="I29" s="244" t="s">
        <v>153</v>
      </c>
      <c r="J29" s="134" t="s">
        <v>38</v>
      </c>
      <c r="K29" s="244" t="s">
        <v>154</v>
      </c>
      <c r="L29" s="244">
        <v>1</v>
      </c>
      <c r="M29" s="244"/>
      <c r="N29" s="244">
        <v>1</v>
      </c>
      <c r="O29" s="244">
        <v>0.6</v>
      </c>
      <c r="P29" s="244">
        <v>0.5</v>
      </c>
      <c r="Q29" s="136">
        <f t="shared" si="0"/>
        <v>0.55000000000000004</v>
      </c>
      <c r="R29" s="244">
        <v>17.399999999999999</v>
      </c>
      <c r="S29" s="244">
        <v>134</v>
      </c>
      <c r="T29" s="137">
        <f t="shared" si="1"/>
        <v>25</v>
      </c>
      <c r="U29" s="244">
        <v>138</v>
      </c>
      <c r="V29" s="138">
        <f t="shared" si="2"/>
        <v>3450</v>
      </c>
      <c r="W29" s="244">
        <v>6</v>
      </c>
      <c r="X29" s="134" t="s">
        <v>39</v>
      </c>
      <c r="Y29" s="244" t="s">
        <v>69</v>
      </c>
      <c r="Z29" s="244" t="s">
        <v>90</v>
      </c>
      <c r="AA29" s="244" t="s">
        <v>84</v>
      </c>
      <c r="AB29" s="134" t="s">
        <v>423</v>
      </c>
      <c r="AC29" s="139"/>
    </row>
    <row r="30" spans="1:48" x14ac:dyDescent="0.15">
      <c r="A30" s="134" t="s">
        <v>61</v>
      </c>
      <c r="B30" s="134" t="s">
        <v>370</v>
      </c>
      <c r="C30" s="134">
        <v>2018</v>
      </c>
      <c r="D30" s="135" t="s">
        <v>422</v>
      </c>
      <c r="E30" s="134" t="s">
        <v>249</v>
      </c>
      <c r="F30" s="134" t="s">
        <v>250</v>
      </c>
      <c r="G30" s="134" t="s">
        <v>42</v>
      </c>
      <c r="H30" s="244" t="s">
        <v>166</v>
      </c>
      <c r="I30" s="244" t="s">
        <v>153</v>
      </c>
      <c r="J30" s="134" t="s">
        <v>38</v>
      </c>
      <c r="K30" s="244" t="s">
        <v>154</v>
      </c>
      <c r="L30" s="244">
        <v>2</v>
      </c>
      <c r="M30" s="244"/>
      <c r="N30" s="244">
        <v>1</v>
      </c>
      <c r="O30" s="244">
        <v>0.5</v>
      </c>
      <c r="P30" s="244">
        <v>0.5</v>
      </c>
      <c r="Q30" s="136">
        <f t="shared" si="0"/>
        <v>0.5</v>
      </c>
      <c r="R30" s="244">
        <v>17</v>
      </c>
      <c r="S30" s="244">
        <v>140</v>
      </c>
      <c r="T30" s="137">
        <f t="shared" si="1"/>
        <v>22</v>
      </c>
      <c r="U30" s="244">
        <v>138</v>
      </c>
      <c r="V30" s="138">
        <f t="shared" si="2"/>
        <v>3036</v>
      </c>
      <c r="W30" s="244">
        <v>6</v>
      </c>
      <c r="X30" s="134" t="s">
        <v>39</v>
      </c>
      <c r="Y30" s="244" t="s">
        <v>69</v>
      </c>
      <c r="Z30" s="244" t="s">
        <v>90</v>
      </c>
      <c r="AA30" s="244" t="s">
        <v>84</v>
      </c>
      <c r="AB30" s="134" t="s">
        <v>423</v>
      </c>
      <c r="AC30" s="139"/>
    </row>
    <row r="31" spans="1:48" x14ac:dyDescent="0.15">
      <c r="A31" s="134" t="s">
        <v>61</v>
      </c>
      <c r="B31" s="134" t="s">
        <v>370</v>
      </c>
      <c r="C31" s="134">
        <v>2018</v>
      </c>
      <c r="D31" s="135" t="s">
        <v>422</v>
      </c>
      <c r="E31" s="134" t="s">
        <v>249</v>
      </c>
      <c r="F31" s="134" t="s">
        <v>250</v>
      </c>
      <c r="G31" s="134" t="s">
        <v>42</v>
      </c>
      <c r="H31" s="244" t="s">
        <v>166</v>
      </c>
      <c r="I31" s="244" t="s">
        <v>153</v>
      </c>
      <c r="J31" s="134" t="s">
        <v>38</v>
      </c>
      <c r="K31" s="244" t="s">
        <v>154</v>
      </c>
      <c r="L31" s="244">
        <v>3</v>
      </c>
      <c r="M31" s="244"/>
      <c r="N31" s="244">
        <v>1</v>
      </c>
      <c r="O31" s="244">
        <v>0.5</v>
      </c>
      <c r="P31" s="244">
        <v>0.6</v>
      </c>
      <c r="Q31" s="136">
        <f t="shared" si="0"/>
        <v>0.55000000000000004</v>
      </c>
      <c r="R31" s="244">
        <v>17.100000000000001</v>
      </c>
      <c r="S31" s="244">
        <v>142</v>
      </c>
      <c r="T31" s="137">
        <f t="shared" si="1"/>
        <v>22</v>
      </c>
      <c r="U31" s="244">
        <v>138</v>
      </c>
      <c r="V31" s="138">
        <f t="shared" si="2"/>
        <v>3036</v>
      </c>
      <c r="W31" s="244">
        <v>6</v>
      </c>
      <c r="X31" s="134" t="s">
        <v>39</v>
      </c>
      <c r="Y31" s="244" t="s">
        <v>69</v>
      </c>
      <c r="Z31" s="244" t="s">
        <v>90</v>
      </c>
      <c r="AA31" s="244" t="s">
        <v>84</v>
      </c>
      <c r="AB31" s="134" t="s">
        <v>423</v>
      </c>
      <c r="AC31" s="139"/>
    </row>
    <row r="32" spans="1:48" x14ac:dyDescent="0.15">
      <c r="A32" s="134" t="s">
        <v>61</v>
      </c>
      <c r="B32" s="134" t="s">
        <v>370</v>
      </c>
      <c r="C32" s="134">
        <v>2018</v>
      </c>
      <c r="D32" s="135" t="s">
        <v>422</v>
      </c>
      <c r="E32" s="134" t="s">
        <v>249</v>
      </c>
      <c r="F32" s="134" t="s">
        <v>250</v>
      </c>
      <c r="G32" s="134" t="s">
        <v>42</v>
      </c>
      <c r="H32" s="244" t="s">
        <v>155</v>
      </c>
      <c r="I32" s="244" t="s">
        <v>156</v>
      </c>
      <c r="J32" s="134" t="s">
        <v>38</v>
      </c>
      <c r="K32" s="244" t="s">
        <v>154</v>
      </c>
      <c r="L32" s="244">
        <v>1</v>
      </c>
      <c r="M32" s="244"/>
      <c r="N32" s="244">
        <v>1</v>
      </c>
      <c r="O32" s="244">
        <v>0.5</v>
      </c>
      <c r="P32" s="244">
        <v>0.6</v>
      </c>
      <c r="Q32" s="136">
        <f t="shared" si="0"/>
        <v>0.55000000000000004</v>
      </c>
      <c r="R32" s="244">
        <v>17.2</v>
      </c>
      <c r="S32" s="244">
        <v>139</v>
      </c>
      <c r="T32" s="137">
        <f t="shared" si="1"/>
        <v>22</v>
      </c>
      <c r="U32" s="244">
        <v>105</v>
      </c>
      <c r="V32" s="138">
        <f t="shared" si="2"/>
        <v>2310</v>
      </c>
      <c r="W32" s="244">
        <v>6</v>
      </c>
      <c r="X32" s="134" t="s">
        <v>39</v>
      </c>
      <c r="Y32" s="244" t="s">
        <v>69</v>
      </c>
      <c r="Z32" s="244" t="s">
        <v>90</v>
      </c>
      <c r="AA32" s="244" t="s">
        <v>84</v>
      </c>
      <c r="AB32" s="134" t="s">
        <v>423</v>
      </c>
      <c r="AC32" s="139"/>
    </row>
    <row r="33" spans="1:29" x14ac:dyDescent="0.15">
      <c r="A33" s="134" t="s">
        <v>61</v>
      </c>
      <c r="B33" s="134" t="s">
        <v>370</v>
      </c>
      <c r="C33" s="134">
        <v>2018</v>
      </c>
      <c r="D33" s="135" t="s">
        <v>422</v>
      </c>
      <c r="E33" s="134" t="s">
        <v>249</v>
      </c>
      <c r="F33" s="134" t="s">
        <v>250</v>
      </c>
      <c r="G33" s="134" t="s">
        <v>42</v>
      </c>
      <c r="H33" s="244" t="s">
        <v>155</v>
      </c>
      <c r="I33" s="244" t="s">
        <v>156</v>
      </c>
      <c r="J33" s="134" t="s">
        <v>38</v>
      </c>
      <c r="K33" s="244" t="s">
        <v>154</v>
      </c>
      <c r="L33" s="244">
        <v>2</v>
      </c>
      <c r="M33" s="244"/>
      <c r="N33" s="244">
        <v>1</v>
      </c>
      <c r="O33" s="244">
        <v>0.55000000000000004</v>
      </c>
      <c r="P33" s="244">
        <v>0.6</v>
      </c>
      <c r="Q33" s="136">
        <f t="shared" si="0"/>
        <v>0.57499999999999996</v>
      </c>
      <c r="R33" s="244">
        <v>17</v>
      </c>
      <c r="S33" s="244">
        <v>140</v>
      </c>
      <c r="T33" s="137">
        <f t="shared" si="1"/>
        <v>22</v>
      </c>
      <c r="U33" s="244">
        <v>105</v>
      </c>
      <c r="V33" s="138">
        <f t="shared" si="2"/>
        <v>2310</v>
      </c>
      <c r="W33" s="244">
        <v>6</v>
      </c>
      <c r="X33" s="134" t="s">
        <v>39</v>
      </c>
      <c r="Y33" s="244" t="s">
        <v>69</v>
      </c>
      <c r="Z33" s="244" t="s">
        <v>90</v>
      </c>
      <c r="AA33" s="244" t="s">
        <v>84</v>
      </c>
      <c r="AB33" s="134" t="s">
        <v>423</v>
      </c>
      <c r="AC33" s="139"/>
    </row>
    <row r="34" spans="1:29" x14ac:dyDescent="0.15">
      <c r="A34" s="134" t="s">
        <v>61</v>
      </c>
      <c r="B34" s="134" t="s">
        <v>370</v>
      </c>
      <c r="C34" s="134">
        <v>2018</v>
      </c>
      <c r="D34" s="135" t="s">
        <v>422</v>
      </c>
      <c r="E34" s="134" t="s">
        <v>249</v>
      </c>
      <c r="F34" s="134" t="s">
        <v>250</v>
      </c>
      <c r="G34" s="134" t="s">
        <v>42</v>
      </c>
      <c r="H34" s="244" t="s">
        <v>155</v>
      </c>
      <c r="I34" s="244" t="s">
        <v>156</v>
      </c>
      <c r="J34" s="134" t="s">
        <v>38</v>
      </c>
      <c r="K34" s="244" t="s">
        <v>154</v>
      </c>
      <c r="L34" s="244">
        <v>3</v>
      </c>
      <c r="M34" s="244"/>
      <c r="N34" s="244">
        <v>1</v>
      </c>
      <c r="O34" s="244">
        <v>0.6</v>
      </c>
      <c r="P34" s="244">
        <v>0.6</v>
      </c>
      <c r="Q34" s="136">
        <f t="shared" si="0"/>
        <v>0.6</v>
      </c>
      <c r="R34" s="244">
        <v>16.8</v>
      </c>
      <c r="S34" s="244">
        <v>142</v>
      </c>
      <c r="T34" s="137">
        <f t="shared" si="1"/>
        <v>22</v>
      </c>
      <c r="U34" s="244">
        <v>105</v>
      </c>
      <c r="V34" s="138">
        <f t="shared" si="2"/>
        <v>2310</v>
      </c>
      <c r="W34" s="244">
        <v>6</v>
      </c>
      <c r="X34" s="134" t="s">
        <v>39</v>
      </c>
      <c r="Y34" s="244" t="s">
        <v>69</v>
      </c>
      <c r="Z34" s="244" t="s">
        <v>90</v>
      </c>
      <c r="AA34" s="244" t="s">
        <v>84</v>
      </c>
      <c r="AB34" s="134" t="s">
        <v>423</v>
      </c>
      <c r="AC34" s="139"/>
    </row>
    <row r="35" spans="1:29" x14ac:dyDescent="0.15">
      <c r="A35" s="134" t="s">
        <v>61</v>
      </c>
      <c r="B35" s="134" t="s">
        <v>370</v>
      </c>
      <c r="C35" s="134">
        <v>2018</v>
      </c>
      <c r="D35" s="135" t="s">
        <v>422</v>
      </c>
      <c r="E35" s="134" t="s">
        <v>251</v>
      </c>
      <c r="F35" s="134" t="s">
        <v>252</v>
      </c>
      <c r="G35" s="134" t="s">
        <v>42</v>
      </c>
      <c r="H35" s="244" t="s">
        <v>155</v>
      </c>
      <c r="I35" s="244" t="s">
        <v>153</v>
      </c>
      <c r="J35" s="134" t="s">
        <v>38</v>
      </c>
      <c r="K35" s="244" t="s">
        <v>154</v>
      </c>
      <c r="L35" s="244">
        <v>1</v>
      </c>
      <c r="M35" s="244"/>
      <c r="N35" s="244">
        <v>4</v>
      </c>
      <c r="O35" s="244">
        <v>0.65</v>
      </c>
      <c r="P35" s="244">
        <v>0.7</v>
      </c>
      <c r="Q35" s="136">
        <f t="shared" si="0"/>
        <v>0.67500000000000004</v>
      </c>
      <c r="R35" s="244">
        <v>17.2</v>
      </c>
      <c r="S35" s="244">
        <v>87</v>
      </c>
      <c r="T35" s="137">
        <f t="shared" si="1"/>
        <v>36</v>
      </c>
      <c r="U35" s="244">
        <v>350</v>
      </c>
      <c r="V35" s="138">
        <f t="shared" si="2"/>
        <v>3150</v>
      </c>
      <c r="W35" s="244">
        <v>4</v>
      </c>
      <c r="X35" s="134" t="s">
        <v>39</v>
      </c>
      <c r="Y35" s="244" t="s">
        <v>90</v>
      </c>
      <c r="Z35" s="244" t="s">
        <v>84</v>
      </c>
      <c r="AA35" s="244" t="s">
        <v>69</v>
      </c>
      <c r="AB35" s="134" t="s">
        <v>423</v>
      </c>
      <c r="AC35" s="139"/>
    </row>
    <row r="36" spans="1:29" x14ac:dyDescent="0.15">
      <c r="A36" s="134" t="s">
        <v>61</v>
      </c>
      <c r="B36" s="134" t="s">
        <v>370</v>
      </c>
      <c r="C36" s="134">
        <v>2018</v>
      </c>
      <c r="D36" s="135" t="s">
        <v>422</v>
      </c>
      <c r="E36" s="134" t="s">
        <v>251</v>
      </c>
      <c r="F36" s="134" t="s">
        <v>252</v>
      </c>
      <c r="G36" s="134" t="s">
        <v>42</v>
      </c>
      <c r="H36" s="244" t="s">
        <v>155</v>
      </c>
      <c r="I36" s="244" t="s">
        <v>153</v>
      </c>
      <c r="J36" s="134" t="s">
        <v>38</v>
      </c>
      <c r="K36" s="244" t="s">
        <v>154</v>
      </c>
      <c r="L36" s="244">
        <v>2</v>
      </c>
      <c r="M36" s="244"/>
      <c r="N36" s="244">
        <v>4</v>
      </c>
      <c r="O36" s="244">
        <v>0.6</v>
      </c>
      <c r="P36" s="244">
        <v>0.6</v>
      </c>
      <c r="Q36" s="136">
        <f t="shared" si="0"/>
        <v>0.6</v>
      </c>
      <c r="R36" s="244">
        <v>17.100000000000001</v>
      </c>
      <c r="S36" s="244">
        <v>88</v>
      </c>
      <c r="T36" s="137">
        <f t="shared" si="1"/>
        <v>36</v>
      </c>
      <c r="U36" s="244">
        <v>350</v>
      </c>
      <c r="V36" s="138">
        <f t="shared" si="2"/>
        <v>3150</v>
      </c>
      <c r="W36" s="244">
        <v>4</v>
      </c>
      <c r="X36" s="134" t="s">
        <v>39</v>
      </c>
      <c r="Y36" s="244" t="s">
        <v>90</v>
      </c>
      <c r="Z36" s="244" t="s">
        <v>84</v>
      </c>
      <c r="AA36" s="244" t="s">
        <v>69</v>
      </c>
      <c r="AB36" s="134" t="s">
        <v>423</v>
      </c>
      <c r="AC36" s="139"/>
    </row>
    <row r="37" spans="1:29" x14ac:dyDescent="0.15">
      <c r="A37" s="134" t="s">
        <v>61</v>
      </c>
      <c r="B37" s="134" t="s">
        <v>370</v>
      </c>
      <c r="C37" s="134">
        <v>2018</v>
      </c>
      <c r="D37" s="135" t="s">
        <v>422</v>
      </c>
      <c r="E37" s="134" t="s">
        <v>251</v>
      </c>
      <c r="F37" s="134" t="s">
        <v>252</v>
      </c>
      <c r="G37" s="134" t="s">
        <v>42</v>
      </c>
      <c r="H37" s="244" t="s">
        <v>155</v>
      </c>
      <c r="I37" s="244" t="s">
        <v>153</v>
      </c>
      <c r="J37" s="134" t="s">
        <v>38</v>
      </c>
      <c r="K37" s="244" t="s">
        <v>154</v>
      </c>
      <c r="L37" s="244">
        <v>3</v>
      </c>
      <c r="M37" s="244"/>
      <c r="N37" s="244">
        <v>4</v>
      </c>
      <c r="O37" s="244">
        <v>0.65</v>
      </c>
      <c r="P37" s="244">
        <v>0.6</v>
      </c>
      <c r="Q37" s="136">
        <f t="shared" si="0"/>
        <v>0.625</v>
      </c>
      <c r="R37" s="244">
        <v>16.8</v>
      </c>
      <c r="S37" s="244">
        <v>81</v>
      </c>
      <c r="T37" s="137">
        <f t="shared" si="1"/>
        <v>39</v>
      </c>
      <c r="U37" s="244">
        <v>350</v>
      </c>
      <c r="V37" s="138">
        <f t="shared" si="2"/>
        <v>3412.5</v>
      </c>
      <c r="W37" s="244">
        <v>4</v>
      </c>
      <c r="X37" s="134" t="s">
        <v>39</v>
      </c>
      <c r="Y37" s="244" t="s">
        <v>90</v>
      </c>
      <c r="Z37" s="244" t="s">
        <v>84</v>
      </c>
      <c r="AA37" s="244" t="s">
        <v>69</v>
      </c>
      <c r="AB37" s="134" t="s">
        <v>423</v>
      </c>
      <c r="AC37" s="139"/>
    </row>
    <row r="38" spans="1:29" x14ac:dyDescent="0.15">
      <c r="A38" s="134" t="s">
        <v>61</v>
      </c>
      <c r="B38" s="134" t="s">
        <v>370</v>
      </c>
      <c r="C38" s="134">
        <v>2018</v>
      </c>
      <c r="D38" s="135" t="s">
        <v>422</v>
      </c>
      <c r="E38" s="134" t="s">
        <v>251</v>
      </c>
      <c r="F38" s="134" t="s">
        <v>252</v>
      </c>
      <c r="G38" s="134" t="s">
        <v>42</v>
      </c>
      <c r="H38" s="244" t="s">
        <v>166</v>
      </c>
      <c r="I38" s="244" t="s">
        <v>153</v>
      </c>
      <c r="J38" s="134" t="s">
        <v>38</v>
      </c>
      <c r="K38" s="244" t="s">
        <v>154</v>
      </c>
      <c r="L38" s="244">
        <v>1</v>
      </c>
      <c r="M38" s="244"/>
      <c r="N38" s="244">
        <v>1</v>
      </c>
      <c r="O38" s="244">
        <v>0.5</v>
      </c>
      <c r="P38" s="244">
        <v>0.5</v>
      </c>
      <c r="Q38" s="136">
        <f t="shared" si="0"/>
        <v>0.5</v>
      </c>
      <c r="R38" s="244">
        <v>17.399999999999999</v>
      </c>
      <c r="S38" s="244">
        <v>138</v>
      </c>
      <c r="T38" s="137">
        <f t="shared" si="1"/>
        <v>22</v>
      </c>
      <c r="U38" s="244">
        <v>138</v>
      </c>
      <c r="V38" s="138">
        <f t="shared" si="2"/>
        <v>3036</v>
      </c>
      <c r="W38" s="244">
        <v>4</v>
      </c>
      <c r="X38" s="134" t="s">
        <v>39</v>
      </c>
      <c r="Y38" s="244" t="s">
        <v>90</v>
      </c>
      <c r="Z38" s="244" t="s">
        <v>84</v>
      </c>
      <c r="AA38" s="244" t="s">
        <v>69</v>
      </c>
      <c r="AB38" s="134" t="s">
        <v>423</v>
      </c>
      <c r="AC38" s="139"/>
    </row>
    <row r="39" spans="1:29" x14ac:dyDescent="0.15">
      <c r="A39" s="134" t="s">
        <v>61</v>
      </c>
      <c r="B39" s="134" t="s">
        <v>370</v>
      </c>
      <c r="C39" s="134">
        <v>2018</v>
      </c>
      <c r="D39" s="135" t="s">
        <v>422</v>
      </c>
      <c r="E39" s="134" t="s">
        <v>251</v>
      </c>
      <c r="F39" s="134" t="s">
        <v>252</v>
      </c>
      <c r="G39" s="134" t="s">
        <v>42</v>
      </c>
      <c r="H39" s="244" t="s">
        <v>166</v>
      </c>
      <c r="I39" s="244" t="s">
        <v>153</v>
      </c>
      <c r="J39" s="134" t="s">
        <v>38</v>
      </c>
      <c r="K39" s="244" t="s">
        <v>154</v>
      </c>
      <c r="L39" s="244">
        <v>2</v>
      </c>
      <c r="M39" s="244"/>
      <c r="N39" s="244">
        <v>1</v>
      </c>
      <c r="O39" s="244">
        <v>0.5</v>
      </c>
      <c r="P39" s="244">
        <v>0.5</v>
      </c>
      <c r="Q39" s="136">
        <f t="shared" si="0"/>
        <v>0.5</v>
      </c>
      <c r="R39" s="244">
        <v>17</v>
      </c>
      <c r="S39" s="244">
        <v>136</v>
      </c>
      <c r="T39" s="137">
        <f t="shared" si="1"/>
        <v>25</v>
      </c>
      <c r="U39" s="244">
        <v>138</v>
      </c>
      <c r="V39" s="138">
        <f t="shared" si="2"/>
        <v>3450</v>
      </c>
      <c r="W39" s="244">
        <v>4</v>
      </c>
      <c r="X39" s="134" t="s">
        <v>39</v>
      </c>
      <c r="Y39" s="244" t="s">
        <v>90</v>
      </c>
      <c r="Z39" s="244" t="s">
        <v>84</v>
      </c>
      <c r="AA39" s="244" t="s">
        <v>69</v>
      </c>
      <c r="AB39" s="134" t="s">
        <v>423</v>
      </c>
      <c r="AC39" s="139"/>
    </row>
    <row r="40" spans="1:29" x14ac:dyDescent="0.15">
      <c r="A40" s="134" t="s">
        <v>61</v>
      </c>
      <c r="B40" s="134" t="s">
        <v>370</v>
      </c>
      <c r="C40" s="134">
        <v>2018</v>
      </c>
      <c r="D40" s="135" t="s">
        <v>422</v>
      </c>
      <c r="E40" s="134" t="s">
        <v>251</v>
      </c>
      <c r="F40" s="134" t="s">
        <v>252</v>
      </c>
      <c r="G40" s="134" t="s">
        <v>42</v>
      </c>
      <c r="H40" s="244" t="s">
        <v>166</v>
      </c>
      <c r="I40" s="244" t="s">
        <v>153</v>
      </c>
      <c r="J40" s="134" t="s">
        <v>38</v>
      </c>
      <c r="K40" s="244" t="s">
        <v>154</v>
      </c>
      <c r="L40" s="244">
        <v>3</v>
      </c>
      <c r="M40" s="244"/>
      <c r="N40" s="244">
        <v>1</v>
      </c>
      <c r="O40" s="244">
        <v>0.55000000000000004</v>
      </c>
      <c r="P40" s="244">
        <v>0.6</v>
      </c>
      <c r="Q40" s="136">
        <f t="shared" si="0"/>
        <v>0.57499999999999996</v>
      </c>
      <c r="R40" s="244">
        <v>17</v>
      </c>
      <c r="S40" s="244">
        <v>132</v>
      </c>
      <c r="T40" s="137">
        <f t="shared" si="1"/>
        <v>25</v>
      </c>
      <c r="U40" s="244">
        <v>138</v>
      </c>
      <c r="V40" s="138">
        <f t="shared" si="2"/>
        <v>3450</v>
      </c>
      <c r="W40" s="244">
        <v>4</v>
      </c>
      <c r="X40" s="134" t="s">
        <v>39</v>
      </c>
      <c r="Y40" s="244" t="s">
        <v>90</v>
      </c>
      <c r="Z40" s="244" t="s">
        <v>84</v>
      </c>
      <c r="AA40" s="244" t="s">
        <v>69</v>
      </c>
      <c r="AB40" s="134" t="s">
        <v>423</v>
      </c>
      <c r="AC40" s="139"/>
    </row>
    <row r="41" spans="1:29" x14ac:dyDescent="0.15">
      <c r="A41" s="134" t="s">
        <v>61</v>
      </c>
      <c r="B41" s="134" t="s">
        <v>370</v>
      </c>
      <c r="C41" s="134">
        <v>2018</v>
      </c>
      <c r="D41" s="135" t="s">
        <v>422</v>
      </c>
      <c r="E41" s="134" t="s">
        <v>253</v>
      </c>
      <c r="F41" s="134" t="s">
        <v>254</v>
      </c>
      <c r="G41" s="134" t="s">
        <v>42</v>
      </c>
      <c r="H41" s="244" t="s">
        <v>155</v>
      </c>
      <c r="I41" s="244" t="s">
        <v>153</v>
      </c>
      <c r="J41" s="134" t="s">
        <v>38</v>
      </c>
      <c r="K41" s="244" t="s">
        <v>154</v>
      </c>
      <c r="L41" s="244">
        <v>1</v>
      </c>
      <c r="M41" s="244"/>
      <c r="N41" s="244">
        <v>4</v>
      </c>
      <c r="O41" s="244">
        <v>0.6</v>
      </c>
      <c r="P41" s="244">
        <v>0.6</v>
      </c>
      <c r="Q41" s="136">
        <f t="shared" si="0"/>
        <v>0.6</v>
      </c>
      <c r="R41" s="244">
        <v>15</v>
      </c>
      <c r="S41" s="244">
        <v>101</v>
      </c>
      <c r="T41" s="137">
        <f t="shared" si="1"/>
        <v>33</v>
      </c>
      <c r="U41" s="244">
        <v>321</v>
      </c>
      <c r="V41" s="138">
        <f t="shared" si="2"/>
        <v>2648.25</v>
      </c>
      <c r="W41" s="244">
        <v>6</v>
      </c>
      <c r="X41" s="134" t="s">
        <v>39</v>
      </c>
      <c r="Y41" s="244" t="s">
        <v>84</v>
      </c>
      <c r="Z41" s="244" t="s">
        <v>50</v>
      </c>
      <c r="AA41" s="244" t="s">
        <v>69</v>
      </c>
      <c r="AB41" s="134" t="s">
        <v>423</v>
      </c>
      <c r="AC41" s="139"/>
    </row>
    <row r="42" spans="1:29" x14ac:dyDescent="0.15">
      <c r="A42" s="134" t="s">
        <v>61</v>
      </c>
      <c r="B42" s="134" t="s">
        <v>370</v>
      </c>
      <c r="C42" s="134">
        <v>2018</v>
      </c>
      <c r="D42" s="135" t="s">
        <v>422</v>
      </c>
      <c r="E42" s="134" t="s">
        <v>253</v>
      </c>
      <c r="F42" s="134" t="s">
        <v>254</v>
      </c>
      <c r="G42" s="134" t="s">
        <v>42</v>
      </c>
      <c r="H42" s="244" t="s">
        <v>155</v>
      </c>
      <c r="I42" s="244" t="s">
        <v>153</v>
      </c>
      <c r="J42" s="134" t="s">
        <v>38</v>
      </c>
      <c r="K42" s="244" t="s">
        <v>154</v>
      </c>
      <c r="L42" s="244">
        <v>2</v>
      </c>
      <c r="M42" s="244"/>
      <c r="N42" s="244">
        <v>4</v>
      </c>
      <c r="O42" s="244">
        <v>0.5</v>
      </c>
      <c r="P42" s="244">
        <v>0.6</v>
      </c>
      <c r="Q42" s="136">
        <f t="shared" si="0"/>
        <v>0.55000000000000004</v>
      </c>
      <c r="R42" s="244">
        <v>16.399999999999999</v>
      </c>
      <c r="S42" s="244">
        <v>97</v>
      </c>
      <c r="T42" s="137">
        <f t="shared" si="1"/>
        <v>36</v>
      </c>
      <c r="U42" s="244">
        <v>321</v>
      </c>
      <c r="V42" s="138">
        <f t="shared" si="2"/>
        <v>2889</v>
      </c>
      <c r="W42" s="244">
        <v>6</v>
      </c>
      <c r="X42" s="134" t="s">
        <v>39</v>
      </c>
      <c r="Y42" s="244" t="s">
        <v>84</v>
      </c>
      <c r="Z42" s="244" t="s">
        <v>50</v>
      </c>
      <c r="AA42" s="244" t="s">
        <v>69</v>
      </c>
      <c r="AB42" s="134" t="s">
        <v>423</v>
      </c>
      <c r="AC42" s="139"/>
    </row>
    <row r="43" spans="1:29" x14ac:dyDescent="0.15">
      <c r="A43" s="134" t="s">
        <v>61</v>
      </c>
      <c r="B43" s="134" t="s">
        <v>370</v>
      </c>
      <c r="C43" s="134">
        <v>2018</v>
      </c>
      <c r="D43" s="135" t="s">
        <v>422</v>
      </c>
      <c r="E43" s="134" t="s">
        <v>253</v>
      </c>
      <c r="F43" s="134" t="s">
        <v>254</v>
      </c>
      <c r="G43" s="134" t="s">
        <v>42</v>
      </c>
      <c r="H43" s="244" t="s">
        <v>155</v>
      </c>
      <c r="I43" s="244" t="s">
        <v>153</v>
      </c>
      <c r="J43" s="134" t="s">
        <v>38</v>
      </c>
      <c r="K43" s="244" t="s">
        <v>154</v>
      </c>
      <c r="L43" s="244">
        <v>3</v>
      </c>
      <c r="M43" s="244"/>
      <c r="N43" s="244">
        <v>4</v>
      </c>
      <c r="O43" s="244">
        <v>0.65</v>
      </c>
      <c r="P43" s="244">
        <v>0.7</v>
      </c>
      <c r="Q43" s="136">
        <f t="shared" si="0"/>
        <v>0.67500000000000004</v>
      </c>
      <c r="R43" s="244">
        <v>16.8</v>
      </c>
      <c r="S43" s="244">
        <v>93</v>
      </c>
      <c r="T43" s="137">
        <f t="shared" si="1"/>
        <v>36</v>
      </c>
      <c r="U43" s="244">
        <v>321</v>
      </c>
      <c r="V43" s="138">
        <f t="shared" si="2"/>
        <v>2889</v>
      </c>
      <c r="W43" s="244">
        <v>6</v>
      </c>
      <c r="X43" s="134" t="s">
        <v>39</v>
      </c>
      <c r="Y43" s="244" t="s">
        <v>84</v>
      </c>
      <c r="Z43" s="244" t="s">
        <v>50</v>
      </c>
      <c r="AA43" s="244" t="s">
        <v>69</v>
      </c>
      <c r="AB43" s="134" t="s">
        <v>423</v>
      </c>
      <c r="AC43" s="139"/>
    </row>
    <row r="44" spans="1:29" x14ac:dyDescent="0.15">
      <c r="A44" s="134" t="s">
        <v>61</v>
      </c>
      <c r="B44" s="134" t="s">
        <v>370</v>
      </c>
      <c r="C44" s="134">
        <v>2018</v>
      </c>
      <c r="D44" s="135" t="s">
        <v>422</v>
      </c>
      <c r="E44" s="134" t="s">
        <v>253</v>
      </c>
      <c r="F44" s="134" t="s">
        <v>254</v>
      </c>
      <c r="G44" s="134" t="s">
        <v>42</v>
      </c>
      <c r="H44" s="244" t="s">
        <v>166</v>
      </c>
      <c r="I44" s="244" t="s">
        <v>153</v>
      </c>
      <c r="J44" s="134" t="s">
        <v>38</v>
      </c>
      <c r="K44" s="244" t="s">
        <v>154</v>
      </c>
      <c r="L44" s="244">
        <v>1</v>
      </c>
      <c r="M44" s="244"/>
      <c r="N44" s="244">
        <v>1</v>
      </c>
      <c r="O44" s="244">
        <v>0.5</v>
      </c>
      <c r="P44" s="244">
        <v>0.55000000000000004</v>
      </c>
      <c r="Q44" s="136">
        <f t="shared" si="0"/>
        <v>0.52500000000000002</v>
      </c>
      <c r="R44" s="244">
        <v>17.100000000000001</v>
      </c>
      <c r="S44" s="244">
        <v>131</v>
      </c>
      <c r="T44" s="137">
        <f t="shared" si="1"/>
        <v>25</v>
      </c>
      <c r="U44" s="244">
        <v>149</v>
      </c>
      <c r="V44" s="138">
        <f t="shared" si="2"/>
        <v>3725</v>
      </c>
      <c r="W44" s="244">
        <v>6</v>
      </c>
      <c r="X44" s="134" t="s">
        <v>39</v>
      </c>
      <c r="Y44" s="244" t="s">
        <v>84</v>
      </c>
      <c r="Z44" s="244" t="s">
        <v>50</v>
      </c>
      <c r="AA44" s="244" t="s">
        <v>69</v>
      </c>
      <c r="AB44" s="134" t="s">
        <v>423</v>
      </c>
      <c r="AC44" s="139"/>
    </row>
    <row r="45" spans="1:29" x14ac:dyDescent="0.15">
      <c r="A45" s="134" t="s">
        <v>61</v>
      </c>
      <c r="B45" s="134" t="s">
        <v>370</v>
      </c>
      <c r="C45" s="134">
        <v>2018</v>
      </c>
      <c r="D45" s="135" t="s">
        <v>422</v>
      </c>
      <c r="E45" s="134" t="s">
        <v>253</v>
      </c>
      <c r="F45" s="134" t="s">
        <v>254</v>
      </c>
      <c r="G45" s="134" t="s">
        <v>42</v>
      </c>
      <c r="H45" s="244" t="s">
        <v>166</v>
      </c>
      <c r="I45" s="244" t="s">
        <v>153</v>
      </c>
      <c r="J45" s="134" t="s">
        <v>38</v>
      </c>
      <c r="K45" s="244" t="s">
        <v>154</v>
      </c>
      <c r="L45" s="244">
        <v>2</v>
      </c>
      <c r="M45" s="244"/>
      <c r="N45" s="244">
        <v>1</v>
      </c>
      <c r="O45" s="244">
        <v>0.6</v>
      </c>
      <c r="P45" s="244">
        <v>0.6</v>
      </c>
      <c r="Q45" s="136">
        <f t="shared" si="0"/>
        <v>0.6</v>
      </c>
      <c r="R45" s="244">
        <v>17</v>
      </c>
      <c r="S45" s="244">
        <v>132</v>
      </c>
      <c r="T45" s="137">
        <f t="shared" si="1"/>
        <v>25</v>
      </c>
      <c r="U45" s="244">
        <v>149</v>
      </c>
      <c r="V45" s="138">
        <f t="shared" si="2"/>
        <v>3725</v>
      </c>
      <c r="W45" s="244">
        <v>6</v>
      </c>
      <c r="X45" s="134" t="s">
        <v>39</v>
      </c>
      <c r="Y45" s="244" t="s">
        <v>84</v>
      </c>
      <c r="Z45" s="244" t="s">
        <v>50</v>
      </c>
      <c r="AA45" s="244" t="s">
        <v>69</v>
      </c>
      <c r="AB45" s="134" t="s">
        <v>423</v>
      </c>
      <c r="AC45" s="139"/>
    </row>
    <row r="46" spans="1:29" x14ac:dyDescent="0.15">
      <c r="A46" s="134" t="s">
        <v>61</v>
      </c>
      <c r="B46" s="134" t="s">
        <v>370</v>
      </c>
      <c r="C46" s="134">
        <v>2018</v>
      </c>
      <c r="D46" s="135" t="s">
        <v>422</v>
      </c>
      <c r="E46" s="134" t="s">
        <v>253</v>
      </c>
      <c r="F46" s="134" t="s">
        <v>254</v>
      </c>
      <c r="G46" s="134" t="s">
        <v>42</v>
      </c>
      <c r="H46" s="244" t="s">
        <v>166</v>
      </c>
      <c r="I46" s="244" t="s">
        <v>153</v>
      </c>
      <c r="J46" s="134" t="s">
        <v>38</v>
      </c>
      <c r="K46" s="244" t="s">
        <v>154</v>
      </c>
      <c r="L46" s="244">
        <v>3</v>
      </c>
      <c r="M46" s="244"/>
      <c r="N46" s="244">
        <v>1</v>
      </c>
      <c r="O46" s="244">
        <v>0.6</v>
      </c>
      <c r="P46" s="244">
        <v>0.6</v>
      </c>
      <c r="Q46" s="136">
        <f t="shared" si="0"/>
        <v>0.6</v>
      </c>
      <c r="R46" s="244">
        <v>17.399999999999999</v>
      </c>
      <c r="S46" s="244">
        <v>128</v>
      </c>
      <c r="T46" s="137">
        <f t="shared" si="1"/>
        <v>27</v>
      </c>
      <c r="U46" s="244">
        <v>149</v>
      </c>
      <c r="V46" s="138">
        <f t="shared" si="2"/>
        <v>4023</v>
      </c>
      <c r="W46" s="244">
        <v>6</v>
      </c>
      <c r="X46" s="134" t="s">
        <v>39</v>
      </c>
      <c r="Y46" s="244" t="s">
        <v>84</v>
      </c>
      <c r="Z46" s="244" t="s">
        <v>50</v>
      </c>
      <c r="AA46" s="244" t="s">
        <v>69</v>
      </c>
      <c r="AB46" s="134" t="s">
        <v>423</v>
      </c>
      <c r="AC46" s="139"/>
    </row>
    <row r="47" spans="1:29" x14ac:dyDescent="0.15">
      <c r="A47" s="134" t="s">
        <v>61</v>
      </c>
      <c r="B47" s="134" t="s">
        <v>370</v>
      </c>
      <c r="C47" s="134">
        <v>2018</v>
      </c>
      <c r="D47" s="135" t="s">
        <v>422</v>
      </c>
      <c r="E47" s="134" t="s">
        <v>133</v>
      </c>
      <c r="F47" s="134" t="s">
        <v>255</v>
      </c>
      <c r="G47" s="134" t="s">
        <v>42</v>
      </c>
      <c r="H47" s="244" t="s">
        <v>155</v>
      </c>
      <c r="I47" s="244" t="s">
        <v>153</v>
      </c>
      <c r="J47" s="134" t="s">
        <v>38</v>
      </c>
      <c r="K47" s="244" t="s">
        <v>154</v>
      </c>
      <c r="L47" s="244">
        <v>1</v>
      </c>
      <c r="M47" s="244"/>
      <c r="N47" s="244">
        <v>1</v>
      </c>
      <c r="O47" s="244">
        <v>0.8</v>
      </c>
      <c r="P47" s="244">
        <v>0.9</v>
      </c>
      <c r="Q47" s="136">
        <f t="shared" si="0"/>
        <v>0.85000000000000009</v>
      </c>
      <c r="R47" s="244">
        <v>17.2</v>
      </c>
      <c r="S47" s="244">
        <v>133</v>
      </c>
      <c r="T47" s="137">
        <f t="shared" si="1"/>
        <v>25</v>
      </c>
      <c r="U47" s="244">
        <v>105</v>
      </c>
      <c r="V47" s="138">
        <f t="shared" si="2"/>
        <v>2625</v>
      </c>
      <c r="W47" s="244">
        <v>12</v>
      </c>
      <c r="X47" s="134" t="s">
        <v>46</v>
      </c>
      <c r="Y47" s="244" t="s">
        <v>90</v>
      </c>
      <c r="Z47" s="244" t="s">
        <v>84</v>
      </c>
      <c r="AA47" s="244" t="s">
        <v>69</v>
      </c>
      <c r="AB47" s="134" t="s">
        <v>423</v>
      </c>
      <c r="AC47" s="139"/>
    </row>
    <row r="48" spans="1:29" x14ac:dyDescent="0.15">
      <c r="A48" s="134" t="s">
        <v>61</v>
      </c>
      <c r="B48" s="134" t="s">
        <v>370</v>
      </c>
      <c r="C48" s="134">
        <v>2018</v>
      </c>
      <c r="D48" s="135" t="s">
        <v>422</v>
      </c>
      <c r="E48" s="134" t="s">
        <v>133</v>
      </c>
      <c r="F48" s="134" t="s">
        <v>255</v>
      </c>
      <c r="G48" s="134" t="s">
        <v>42</v>
      </c>
      <c r="H48" s="244" t="s">
        <v>155</v>
      </c>
      <c r="I48" s="244" t="s">
        <v>153</v>
      </c>
      <c r="J48" s="134" t="s">
        <v>38</v>
      </c>
      <c r="K48" s="244" t="s">
        <v>154</v>
      </c>
      <c r="L48" s="244">
        <v>2</v>
      </c>
      <c r="M48" s="244"/>
      <c r="N48" s="244">
        <v>1</v>
      </c>
      <c r="O48" s="244">
        <v>0.7</v>
      </c>
      <c r="P48" s="244">
        <v>0.6</v>
      </c>
      <c r="Q48" s="136">
        <f t="shared" si="0"/>
        <v>0.64999999999999991</v>
      </c>
      <c r="R48" s="244">
        <v>17</v>
      </c>
      <c r="S48" s="244">
        <v>136</v>
      </c>
      <c r="T48" s="137">
        <f t="shared" si="1"/>
        <v>25</v>
      </c>
      <c r="U48" s="244">
        <v>105</v>
      </c>
      <c r="V48" s="138">
        <f t="shared" si="2"/>
        <v>2625</v>
      </c>
      <c r="W48" s="244">
        <v>12</v>
      </c>
      <c r="X48" s="134" t="s">
        <v>46</v>
      </c>
      <c r="Y48" s="244" t="s">
        <v>90</v>
      </c>
      <c r="Z48" s="244" t="s">
        <v>84</v>
      </c>
      <c r="AA48" s="244" t="s">
        <v>69</v>
      </c>
      <c r="AB48" s="134" t="s">
        <v>423</v>
      </c>
      <c r="AC48" s="139"/>
    </row>
    <row r="49" spans="1:29" x14ac:dyDescent="0.15">
      <c r="A49" s="134" t="s">
        <v>61</v>
      </c>
      <c r="B49" s="134" t="s">
        <v>370</v>
      </c>
      <c r="C49" s="134">
        <v>2018</v>
      </c>
      <c r="D49" s="135" t="s">
        <v>422</v>
      </c>
      <c r="E49" s="134" t="s">
        <v>133</v>
      </c>
      <c r="F49" s="134" t="s">
        <v>255</v>
      </c>
      <c r="G49" s="134" t="s">
        <v>42</v>
      </c>
      <c r="H49" s="244" t="s">
        <v>155</v>
      </c>
      <c r="I49" s="244" t="s">
        <v>153</v>
      </c>
      <c r="J49" s="134" t="s">
        <v>38</v>
      </c>
      <c r="K49" s="244" t="s">
        <v>154</v>
      </c>
      <c r="L49" s="244">
        <v>3</v>
      </c>
      <c r="M49" s="244"/>
      <c r="N49" s="244">
        <v>1</v>
      </c>
      <c r="O49" s="244">
        <v>0.6</v>
      </c>
      <c r="P49" s="244">
        <v>0.65</v>
      </c>
      <c r="Q49" s="136">
        <f t="shared" si="0"/>
        <v>0.625</v>
      </c>
      <c r="R49" s="244">
        <v>16.600000000000001</v>
      </c>
      <c r="S49" s="244">
        <v>141</v>
      </c>
      <c r="T49" s="137">
        <f t="shared" si="1"/>
        <v>22</v>
      </c>
      <c r="U49" s="244">
        <v>105</v>
      </c>
      <c r="V49" s="138">
        <f t="shared" si="2"/>
        <v>2310</v>
      </c>
      <c r="W49" s="244">
        <v>12</v>
      </c>
      <c r="X49" s="134" t="s">
        <v>46</v>
      </c>
      <c r="Y49" s="244" t="s">
        <v>90</v>
      </c>
      <c r="Z49" s="244" t="s">
        <v>84</v>
      </c>
      <c r="AA49" s="244" t="s">
        <v>69</v>
      </c>
      <c r="AB49" s="134" t="s">
        <v>423</v>
      </c>
      <c r="AC49" s="139"/>
    </row>
    <row r="50" spans="1:29" x14ac:dyDescent="0.15">
      <c r="A50" s="134" t="s">
        <v>61</v>
      </c>
      <c r="B50" s="134" t="s">
        <v>370</v>
      </c>
      <c r="C50" s="134">
        <v>2018</v>
      </c>
      <c r="D50" s="135" t="s">
        <v>422</v>
      </c>
      <c r="E50" s="134" t="s">
        <v>133</v>
      </c>
      <c r="F50" s="134" t="s">
        <v>255</v>
      </c>
      <c r="G50" s="134" t="s">
        <v>42</v>
      </c>
      <c r="H50" s="244" t="s">
        <v>166</v>
      </c>
      <c r="I50" s="244" t="s">
        <v>153</v>
      </c>
      <c r="J50" s="134" t="s">
        <v>38</v>
      </c>
      <c r="K50" s="244" t="s">
        <v>154</v>
      </c>
      <c r="L50" s="244">
        <v>1</v>
      </c>
      <c r="M50" s="244"/>
      <c r="N50" s="244">
        <v>1</v>
      </c>
      <c r="O50" s="244">
        <v>0.5</v>
      </c>
      <c r="P50" s="244">
        <v>0.5</v>
      </c>
      <c r="Q50" s="136">
        <f t="shared" si="0"/>
        <v>0.5</v>
      </c>
      <c r="R50" s="244">
        <v>18.2</v>
      </c>
      <c r="S50" s="244">
        <v>161</v>
      </c>
      <c r="T50" s="137">
        <f t="shared" si="1"/>
        <v>18</v>
      </c>
      <c r="U50" s="244">
        <v>159</v>
      </c>
      <c r="V50" s="138">
        <f t="shared" si="2"/>
        <v>2862</v>
      </c>
      <c r="W50" s="244">
        <v>12</v>
      </c>
      <c r="X50" s="134" t="s">
        <v>46</v>
      </c>
      <c r="Y50" s="244" t="s">
        <v>90</v>
      </c>
      <c r="Z50" s="244" t="s">
        <v>84</v>
      </c>
      <c r="AA50" s="244" t="s">
        <v>69</v>
      </c>
      <c r="AB50" s="134" t="s">
        <v>423</v>
      </c>
      <c r="AC50" s="139"/>
    </row>
    <row r="51" spans="1:29" x14ac:dyDescent="0.15">
      <c r="A51" s="134" t="s">
        <v>61</v>
      </c>
      <c r="B51" s="134" t="s">
        <v>370</v>
      </c>
      <c r="C51" s="134">
        <v>2018</v>
      </c>
      <c r="D51" s="135" t="s">
        <v>422</v>
      </c>
      <c r="E51" s="134" t="s">
        <v>133</v>
      </c>
      <c r="F51" s="134" t="s">
        <v>255</v>
      </c>
      <c r="G51" s="134" t="s">
        <v>42</v>
      </c>
      <c r="H51" s="244" t="s">
        <v>166</v>
      </c>
      <c r="I51" s="244" t="s">
        <v>153</v>
      </c>
      <c r="J51" s="134" t="s">
        <v>38</v>
      </c>
      <c r="K51" s="244" t="s">
        <v>154</v>
      </c>
      <c r="L51" s="244">
        <v>2</v>
      </c>
      <c r="M51" s="244"/>
      <c r="N51" s="244">
        <v>1</v>
      </c>
      <c r="O51" s="244">
        <v>0.55000000000000004</v>
      </c>
      <c r="P51" s="244">
        <v>0.6</v>
      </c>
      <c r="Q51" s="136">
        <f t="shared" si="0"/>
        <v>0.57499999999999996</v>
      </c>
      <c r="R51" s="244">
        <v>17.8</v>
      </c>
      <c r="S51" s="244">
        <v>154</v>
      </c>
      <c r="T51" s="137">
        <f t="shared" si="1"/>
        <v>18</v>
      </c>
      <c r="U51" s="244">
        <v>159</v>
      </c>
      <c r="V51" s="138">
        <f t="shared" si="2"/>
        <v>2862</v>
      </c>
      <c r="W51" s="244">
        <v>12</v>
      </c>
      <c r="X51" s="134" t="s">
        <v>46</v>
      </c>
      <c r="Y51" s="244" t="s">
        <v>90</v>
      </c>
      <c r="Z51" s="244" t="s">
        <v>84</v>
      </c>
      <c r="AA51" s="244" t="s">
        <v>69</v>
      </c>
      <c r="AB51" s="134" t="s">
        <v>423</v>
      </c>
      <c r="AC51" s="139"/>
    </row>
    <row r="52" spans="1:29" x14ac:dyDescent="0.15">
      <c r="A52" s="134" t="s">
        <v>61</v>
      </c>
      <c r="B52" s="134" t="s">
        <v>370</v>
      </c>
      <c r="C52" s="134">
        <v>2018</v>
      </c>
      <c r="D52" s="135" t="s">
        <v>422</v>
      </c>
      <c r="E52" s="134" t="s">
        <v>133</v>
      </c>
      <c r="F52" s="134" t="s">
        <v>255</v>
      </c>
      <c r="G52" s="134" t="s">
        <v>42</v>
      </c>
      <c r="H52" s="244" t="s">
        <v>166</v>
      </c>
      <c r="I52" s="244" t="s">
        <v>153</v>
      </c>
      <c r="J52" s="134" t="s">
        <v>38</v>
      </c>
      <c r="K52" s="244" t="s">
        <v>154</v>
      </c>
      <c r="L52" s="244">
        <v>3</v>
      </c>
      <c r="M52" s="244"/>
      <c r="N52" s="244">
        <v>1</v>
      </c>
      <c r="O52" s="244">
        <v>0.5</v>
      </c>
      <c r="P52" s="244">
        <v>0.6</v>
      </c>
      <c r="Q52" s="136">
        <f t="shared" si="0"/>
        <v>0.55000000000000004</v>
      </c>
      <c r="R52" s="244">
        <v>17.3</v>
      </c>
      <c r="S52" s="244">
        <v>161</v>
      </c>
      <c r="T52" s="137">
        <f t="shared" si="1"/>
        <v>18</v>
      </c>
      <c r="U52" s="244">
        <v>159</v>
      </c>
      <c r="V52" s="138">
        <f t="shared" si="2"/>
        <v>2862</v>
      </c>
      <c r="W52" s="244">
        <v>12</v>
      </c>
      <c r="X52" s="134" t="s">
        <v>46</v>
      </c>
      <c r="Y52" s="244" t="s">
        <v>90</v>
      </c>
      <c r="Z52" s="244" t="s">
        <v>84</v>
      </c>
      <c r="AA52" s="244" t="s">
        <v>69</v>
      </c>
      <c r="AB52" s="134" t="s">
        <v>423</v>
      </c>
      <c r="AC52" s="139"/>
    </row>
    <row r="53" spans="1:29" x14ac:dyDescent="0.15">
      <c r="A53" s="134" t="s">
        <v>61</v>
      </c>
      <c r="B53" s="134" t="s">
        <v>370</v>
      </c>
      <c r="C53" s="134">
        <v>2018</v>
      </c>
      <c r="D53" s="135" t="s">
        <v>422</v>
      </c>
      <c r="E53" s="134" t="s">
        <v>133</v>
      </c>
      <c r="F53" s="134" t="s">
        <v>255</v>
      </c>
      <c r="G53" s="134" t="s">
        <v>42</v>
      </c>
      <c r="H53" s="244" t="s">
        <v>128</v>
      </c>
      <c r="I53" s="244" t="s">
        <v>153</v>
      </c>
      <c r="J53" s="134" t="s">
        <v>80</v>
      </c>
      <c r="K53" s="244" t="s">
        <v>45</v>
      </c>
      <c r="L53" s="244">
        <v>1</v>
      </c>
      <c r="M53" s="244"/>
      <c r="N53" s="244">
        <v>5</v>
      </c>
      <c r="O53" s="244">
        <v>0.8</v>
      </c>
      <c r="P53" s="244">
        <v>0.8</v>
      </c>
      <c r="Q53" s="136">
        <f t="shared" si="0"/>
        <v>0.8</v>
      </c>
      <c r="R53" s="244">
        <v>13.5</v>
      </c>
      <c r="S53" s="244">
        <v>90</v>
      </c>
      <c r="T53" s="137">
        <f t="shared" si="1"/>
        <v>36</v>
      </c>
      <c r="U53" s="244">
        <v>315</v>
      </c>
      <c r="V53" s="138">
        <f t="shared" si="2"/>
        <v>2268</v>
      </c>
      <c r="W53" s="244">
        <v>12</v>
      </c>
      <c r="X53" s="134" t="s">
        <v>46</v>
      </c>
      <c r="Y53" s="244" t="s">
        <v>90</v>
      </c>
      <c r="Z53" s="244" t="s">
        <v>84</v>
      </c>
      <c r="AA53" s="244" t="s">
        <v>69</v>
      </c>
      <c r="AB53" s="134" t="s">
        <v>423</v>
      </c>
      <c r="AC53" s="244"/>
    </row>
    <row r="54" spans="1:29" x14ac:dyDescent="0.15">
      <c r="A54" s="134" t="s">
        <v>61</v>
      </c>
      <c r="B54" s="134" t="s">
        <v>370</v>
      </c>
      <c r="C54" s="134">
        <v>2018</v>
      </c>
      <c r="D54" s="135" t="s">
        <v>422</v>
      </c>
      <c r="E54" s="134" t="s">
        <v>133</v>
      </c>
      <c r="F54" s="134" t="s">
        <v>255</v>
      </c>
      <c r="G54" s="134" t="s">
        <v>42</v>
      </c>
      <c r="H54" s="244" t="s">
        <v>128</v>
      </c>
      <c r="I54" s="244" t="s">
        <v>153</v>
      </c>
      <c r="J54" s="134" t="s">
        <v>80</v>
      </c>
      <c r="K54" s="244" t="s">
        <v>45</v>
      </c>
      <c r="L54" s="244">
        <v>2</v>
      </c>
      <c r="M54" s="244"/>
      <c r="N54" s="244">
        <v>5</v>
      </c>
      <c r="O54" s="244">
        <v>0.8</v>
      </c>
      <c r="P54" s="244">
        <v>0.9</v>
      </c>
      <c r="Q54" s="136">
        <f t="shared" si="0"/>
        <v>0.85000000000000009</v>
      </c>
      <c r="R54" s="244">
        <v>14</v>
      </c>
      <c r="S54" s="244">
        <v>99</v>
      </c>
      <c r="T54" s="137">
        <f t="shared" si="1"/>
        <v>33</v>
      </c>
      <c r="U54" s="244">
        <v>315</v>
      </c>
      <c r="V54" s="138">
        <f t="shared" si="2"/>
        <v>2079</v>
      </c>
      <c r="W54" s="244">
        <v>12</v>
      </c>
      <c r="X54" s="134" t="s">
        <v>46</v>
      </c>
      <c r="Y54" s="244" t="s">
        <v>90</v>
      </c>
      <c r="Z54" s="244" t="s">
        <v>84</v>
      </c>
      <c r="AA54" s="244" t="s">
        <v>69</v>
      </c>
      <c r="AB54" s="134" t="s">
        <v>423</v>
      </c>
      <c r="AC54" s="244"/>
    </row>
    <row r="55" spans="1:29" x14ac:dyDescent="0.15">
      <c r="A55" s="134" t="s">
        <v>61</v>
      </c>
      <c r="B55" s="134" t="s">
        <v>370</v>
      </c>
      <c r="C55" s="134">
        <v>2018</v>
      </c>
      <c r="D55" s="135" t="s">
        <v>422</v>
      </c>
      <c r="E55" s="134" t="s">
        <v>133</v>
      </c>
      <c r="F55" s="134" t="s">
        <v>255</v>
      </c>
      <c r="G55" s="134" t="s">
        <v>42</v>
      </c>
      <c r="H55" s="244" t="s">
        <v>128</v>
      </c>
      <c r="I55" s="244" t="s">
        <v>153</v>
      </c>
      <c r="J55" s="134" t="s">
        <v>80</v>
      </c>
      <c r="K55" s="244" t="s">
        <v>45</v>
      </c>
      <c r="L55" s="244">
        <v>3</v>
      </c>
      <c r="M55" s="244"/>
      <c r="N55" s="244">
        <v>5</v>
      </c>
      <c r="O55" s="244">
        <v>0.85</v>
      </c>
      <c r="P55" s="244">
        <v>0.9</v>
      </c>
      <c r="Q55" s="136">
        <f t="shared" si="0"/>
        <v>0.875</v>
      </c>
      <c r="R55" s="244">
        <v>14.2</v>
      </c>
      <c r="S55" s="244">
        <v>103</v>
      </c>
      <c r="T55" s="137">
        <f t="shared" si="1"/>
        <v>33</v>
      </c>
      <c r="U55" s="244">
        <v>315</v>
      </c>
      <c r="V55" s="138">
        <f t="shared" si="2"/>
        <v>2079</v>
      </c>
      <c r="W55" s="244">
        <v>12</v>
      </c>
      <c r="X55" s="134" t="s">
        <v>46</v>
      </c>
      <c r="Y55" s="244" t="s">
        <v>90</v>
      </c>
      <c r="Z55" s="244" t="s">
        <v>84</v>
      </c>
      <c r="AA55" s="244" t="s">
        <v>69</v>
      </c>
      <c r="AB55" s="134" t="s">
        <v>423</v>
      </c>
      <c r="AC55" s="244"/>
    </row>
    <row r="56" spans="1:29" x14ac:dyDescent="0.15">
      <c r="A56" s="134" t="s">
        <v>61</v>
      </c>
      <c r="B56" s="134" t="s">
        <v>370</v>
      </c>
      <c r="C56" s="134">
        <v>2018</v>
      </c>
      <c r="D56" s="135" t="s">
        <v>422</v>
      </c>
      <c r="E56" s="134" t="s">
        <v>133</v>
      </c>
      <c r="F56" s="134" t="s">
        <v>255</v>
      </c>
      <c r="G56" s="134" t="s">
        <v>42</v>
      </c>
      <c r="H56" s="244" t="s">
        <v>128</v>
      </c>
      <c r="I56" s="244" t="s">
        <v>153</v>
      </c>
      <c r="J56" s="134" t="s">
        <v>80</v>
      </c>
      <c r="K56" s="244" t="s">
        <v>94</v>
      </c>
      <c r="L56" s="244">
        <v>1</v>
      </c>
      <c r="M56" s="244"/>
      <c r="N56" s="244">
        <v>5</v>
      </c>
      <c r="O56" s="244">
        <v>0.9</v>
      </c>
      <c r="P56" s="244">
        <v>1</v>
      </c>
      <c r="Q56" s="136">
        <f t="shared" si="0"/>
        <v>0.95</v>
      </c>
      <c r="R56" s="244">
        <v>17.2</v>
      </c>
      <c r="S56" s="244">
        <v>82</v>
      </c>
      <c r="T56" s="137">
        <f t="shared" si="1"/>
        <v>39</v>
      </c>
      <c r="U56" s="244">
        <v>429</v>
      </c>
      <c r="V56" s="138">
        <f t="shared" si="2"/>
        <v>3346.2</v>
      </c>
      <c r="W56" s="244">
        <v>12</v>
      </c>
      <c r="X56" s="134" t="s">
        <v>46</v>
      </c>
      <c r="Y56" s="244" t="s">
        <v>90</v>
      </c>
      <c r="Z56" s="244" t="s">
        <v>84</v>
      </c>
      <c r="AA56" s="244" t="s">
        <v>69</v>
      </c>
      <c r="AB56" s="134" t="s">
        <v>423</v>
      </c>
      <c r="AC56" s="244"/>
    </row>
    <row r="57" spans="1:29" x14ac:dyDescent="0.15">
      <c r="A57" s="134" t="s">
        <v>61</v>
      </c>
      <c r="B57" s="134" t="s">
        <v>370</v>
      </c>
      <c r="C57" s="134">
        <v>2018</v>
      </c>
      <c r="D57" s="135" t="s">
        <v>422</v>
      </c>
      <c r="E57" s="134" t="s">
        <v>133</v>
      </c>
      <c r="F57" s="134" t="s">
        <v>255</v>
      </c>
      <c r="G57" s="134" t="s">
        <v>42</v>
      </c>
      <c r="H57" s="244" t="s">
        <v>128</v>
      </c>
      <c r="I57" s="244" t="s">
        <v>153</v>
      </c>
      <c r="J57" s="134" t="s">
        <v>80</v>
      </c>
      <c r="K57" s="244" t="s">
        <v>94</v>
      </c>
      <c r="L57" s="244">
        <v>2</v>
      </c>
      <c r="M57" s="244"/>
      <c r="N57" s="244">
        <v>5</v>
      </c>
      <c r="O57" s="244">
        <v>0.8</v>
      </c>
      <c r="P57" s="244">
        <v>0.9</v>
      </c>
      <c r="Q57" s="136">
        <f t="shared" si="0"/>
        <v>0.85000000000000009</v>
      </c>
      <c r="R57" s="244">
        <v>17</v>
      </c>
      <c r="S57" s="244">
        <v>93</v>
      </c>
      <c r="T57" s="137">
        <f t="shared" si="1"/>
        <v>36</v>
      </c>
      <c r="U57" s="244">
        <v>429</v>
      </c>
      <c r="V57" s="138">
        <f t="shared" si="2"/>
        <v>3088.7999999999997</v>
      </c>
      <c r="W57" s="244">
        <v>12</v>
      </c>
      <c r="X57" s="134" t="s">
        <v>46</v>
      </c>
      <c r="Y57" s="244" t="s">
        <v>90</v>
      </c>
      <c r="Z57" s="244" t="s">
        <v>84</v>
      </c>
      <c r="AA57" s="244" t="s">
        <v>69</v>
      </c>
      <c r="AB57" s="134" t="s">
        <v>423</v>
      </c>
      <c r="AC57" s="244"/>
    </row>
    <row r="58" spans="1:29" x14ac:dyDescent="0.15">
      <c r="A58" s="134" t="s">
        <v>61</v>
      </c>
      <c r="B58" s="134" t="s">
        <v>370</v>
      </c>
      <c r="C58" s="134">
        <v>2018</v>
      </c>
      <c r="D58" s="135" t="s">
        <v>422</v>
      </c>
      <c r="E58" s="134" t="s">
        <v>133</v>
      </c>
      <c r="F58" s="134" t="s">
        <v>255</v>
      </c>
      <c r="G58" s="134" t="s">
        <v>42</v>
      </c>
      <c r="H58" s="244" t="s">
        <v>128</v>
      </c>
      <c r="I58" s="244" t="s">
        <v>153</v>
      </c>
      <c r="J58" s="134" t="s">
        <v>80</v>
      </c>
      <c r="K58" s="244" t="s">
        <v>94</v>
      </c>
      <c r="L58" s="244">
        <v>3</v>
      </c>
      <c r="M58" s="244"/>
      <c r="N58" s="244">
        <v>5</v>
      </c>
      <c r="O58" s="244">
        <v>0.8</v>
      </c>
      <c r="P58" s="244">
        <v>0.85</v>
      </c>
      <c r="Q58" s="136">
        <f t="shared" si="0"/>
        <v>0.82499999999999996</v>
      </c>
      <c r="R58" s="244">
        <v>17.399999999999999</v>
      </c>
      <c r="S58" s="244">
        <v>101</v>
      </c>
      <c r="T58" s="137">
        <f t="shared" si="1"/>
        <v>33</v>
      </c>
      <c r="U58" s="244">
        <v>429</v>
      </c>
      <c r="V58" s="138">
        <f t="shared" si="2"/>
        <v>2831.4</v>
      </c>
      <c r="W58" s="244">
        <v>12</v>
      </c>
      <c r="X58" s="134" t="s">
        <v>46</v>
      </c>
      <c r="Y58" s="244" t="s">
        <v>90</v>
      </c>
      <c r="Z58" s="244" t="s">
        <v>84</v>
      </c>
      <c r="AA58" s="244" t="s">
        <v>69</v>
      </c>
      <c r="AB58" s="134" t="s">
        <v>423</v>
      </c>
      <c r="AC58" s="244"/>
    </row>
    <row r="59" spans="1:29" x14ac:dyDescent="0.15">
      <c r="A59" s="134" t="s">
        <v>61</v>
      </c>
      <c r="B59" s="134" t="s">
        <v>370</v>
      </c>
      <c r="C59" s="134">
        <v>2018</v>
      </c>
      <c r="D59" s="135" t="s">
        <v>422</v>
      </c>
      <c r="E59" s="134" t="s">
        <v>256</v>
      </c>
      <c r="F59" s="134" t="s">
        <v>257</v>
      </c>
      <c r="G59" s="134" t="s">
        <v>42</v>
      </c>
      <c r="H59" s="244" t="s">
        <v>155</v>
      </c>
      <c r="I59" s="244" t="s">
        <v>153</v>
      </c>
      <c r="J59" s="134" t="s">
        <v>38</v>
      </c>
      <c r="K59" s="244" t="s">
        <v>154</v>
      </c>
      <c r="L59" s="244">
        <v>1</v>
      </c>
      <c r="M59" s="244"/>
      <c r="N59" s="244">
        <v>4</v>
      </c>
      <c r="O59" s="244">
        <v>0.9</v>
      </c>
      <c r="P59" s="244">
        <v>1</v>
      </c>
      <c r="Q59" s="136">
        <f t="shared" si="0"/>
        <v>0.95</v>
      </c>
      <c r="R59" s="244">
        <v>17</v>
      </c>
      <c r="S59" s="244">
        <v>99</v>
      </c>
      <c r="T59" s="137">
        <f t="shared" si="1"/>
        <v>33</v>
      </c>
      <c r="U59" s="244">
        <v>398</v>
      </c>
      <c r="V59" s="138">
        <f t="shared" si="2"/>
        <v>3283.5</v>
      </c>
      <c r="W59" s="244">
        <v>22</v>
      </c>
      <c r="X59" s="134" t="s">
        <v>46</v>
      </c>
      <c r="Y59" s="244" t="s">
        <v>90</v>
      </c>
      <c r="Z59" s="244" t="s">
        <v>69</v>
      </c>
      <c r="AA59" s="244" t="s">
        <v>78</v>
      </c>
      <c r="AB59" s="134" t="s">
        <v>423</v>
      </c>
      <c r="AC59" s="139"/>
    </row>
    <row r="60" spans="1:29" x14ac:dyDescent="0.15">
      <c r="A60" s="134" t="s">
        <v>61</v>
      </c>
      <c r="B60" s="134" t="s">
        <v>370</v>
      </c>
      <c r="C60" s="134">
        <v>2018</v>
      </c>
      <c r="D60" s="135" t="s">
        <v>422</v>
      </c>
      <c r="E60" s="134" t="s">
        <v>256</v>
      </c>
      <c r="F60" s="134" t="s">
        <v>257</v>
      </c>
      <c r="G60" s="134" t="s">
        <v>42</v>
      </c>
      <c r="H60" s="244" t="s">
        <v>155</v>
      </c>
      <c r="I60" s="244" t="s">
        <v>153</v>
      </c>
      <c r="J60" s="134" t="s">
        <v>38</v>
      </c>
      <c r="K60" s="244" t="s">
        <v>154</v>
      </c>
      <c r="L60" s="244">
        <v>2</v>
      </c>
      <c r="M60" s="244"/>
      <c r="N60" s="244">
        <v>4</v>
      </c>
      <c r="O60" s="244">
        <v>0.8</v>
      </c>
      <c r="P60" s="244">
        <v>0.8</v>
      </c>
      <c r="Q60" s="136">
        <f t="shared" si="0"/>
        <v>0.8</v>
      </c>
      <c r="R60" s="244">
        <v>17.2</v>
      </c>
      <c r="S60" s="244">
        <v>99</v>
      </c>
      <c r="T60" s="137">
        <f t="shared" si="1"/>
        <v>33</v>
      </c>
      <c r="U60" s="244">
        <v>398</v>
      </c>
      <c r="V60" s="138">
        <f t="shared" si="2"/>
        <v>3283.5</v>
      </c>
      <c r="W60" s="244">
        <v>22</v>
      </c>
      <c r="X60" s="134" t="s">
        <v>46</v>
      </c>
      <c r="Y60" s="244" t="s">
        <v>90</v>
      </c>
      <c r="Z60" s="244" t="s">
        <v>69</v>
      </c>
      <c r="AA60" s="244" t="s">
        <v>78</v>
      </c>
      <c r="AB60" s="134" t="s">
        <v>423</v>
      </c>
      <c r="AC60" s="139"/>
    </row>
    <row r="61" spans="1:29" x14ac:dyDescent="0.15">
      <c r="A61" s="134" t="s">
        <v>61</v>
      </c>
      <c r="B61" s="134" t="s">
        <v>370</v>
      </c>
      <c r="C61" s="134">
        <v>2018</v>
      </c>
      <c r="D61" s="135" t="s">
        <v>422</v>
      </c>
      <c r="E61" s="134" t="s">
        <v>256</v>
      </c>
      <c r="F61" s="134" t="s">
        <v>257</v>
      </c>
      <c r="G61" s="134" t="s">
        <v>42</v>
      </c>
      <c r="H61" s="244" t="s">
        <v>155</v>
      </c>
      <c r="I61" s="244" t="s">
        <v>153</v>
      </c>
      <c r="J61" s="134" t="s">
        <v>38</v>
      </c>
      <c r="K61" s="244" t="s">
        <v>154</v>
      </c>
      <c r="L61" s="244">
        <v>3</v>
      </c>
      <c r="M61" s="244"/>
      <c r="N61" s="244">
        <v>4</v>
      </c>
      <c r="O61" s="244">
        <v>0.8</v>
      </c>
      <c r="P61" s="244">
        <v>0.8</v>
      </c>
      <c r="Q61" s="136">
        <f t="shared" si="0"/>
        <v>0.8</v>
      </c>
      <c r="R61" s="244">
        <v>17.2</v>
      </c>
      <c r="S61" s="244">
        <v>100</v>
      </c>
      <c r="T61" s="137">
        <f t="shared" si="1"/>
        <v>33</v>
      </c>
      <c r="U61" s="244">
        <v>398</v>
      </c>
      <c r="V61" s="138">
        <f t="shared" si="2"/>
        <v>3283.5</v>
      </c>
      <c r="W61" s="244">
        <v>22</v>
      </c>
      <c r="X61" s="134" t="s">
        <v>46</v>
      </c>
      <c r="Y61" s="244" t="s">
        <v>90</v>
      </c>
      <c r="Z61" s="244" t="s">
        <v>69</v>
      </c>
      <c r="AA61" s="244" t="s">
        <v>78</v>
      </c>
      <c r="AB61" s="134" t="s">
        <v>423</v>
      </c>
      <c r="AC61" s="139"/>
    </row>
    <row r="62" spans="1:29" x14ac:dyDescent="0.15">
      <c r="A62" s="134" t="s">
        <v>61</v>
      </c>
      <c r="B62" s="134" t="s">
        <v>370</v>
      </c>
      <c r="C62" s="134">
        <v>2018</v>
      </c>
      <c r="D62" s="135" t="s">
        <v>422</v>
      </c>
      <c r="E62" s="134" t="s">
        <v>256</v>
      </c>
      <c r="F62" s="134" t="s">
        <v>257</v>
      </c>
      <c r="G62" s="134" t="s">
        <v>42</v>
      </c>
      <c r="H62" s="244" t="s">
        <v>166</v>
      </c>
      <c r="I62" s="244" t="s">
        <v>153</v>
      </c>
      <c r="J62" s="134" t="s">
        <v>38</v>
      </c>
      <c r="K62" s="244" t="s">
        <v>154</v>
      </c>
      <c r="L62" s="244">
        <v>1</v>
      </c>
      <c r="M62" s="244"/>
      <c r="N62" s="244">
        <v>1</v>
      </c>
      <c r="O62" s="244">
        <v>0.5</v>
      </c>
      <c r="P62" s="244">
        <v>0.5</v>
      </c>
      <c r="Q62" s="136">
        <f t="shared" si="0"/>
        <v>0.5</v>
      </c>
      <c r="R62" s="244">
        <v>17.399999999999999</v>
      </c>
      <c r="S62" s="244">
        <v>137</v>
      </c>
      <c r="T62" s="137">
        <f t="shared" si="1"/>
        <v>25</v>
      </c>
      <c r="U62" s="244">
        <v>158</v>
      </c>
      <c r="V62" s="138">
        <f t="shared" si="2"/>
        <v>3950</v>
      </c>
      <c r="W62" s="244">
        <v>22</v>
      </c>
      <c r="X62" s="134" t="s">
        <v>46</v>
      </c>
      <c r="Y62" s="244" t="s">
        <v>90</v>
      </c>
      <c r="Z62" s="244" t="s">
        <v>69</v>
      </c>
      <c r="AA62" s="244" t="s">
        <v>78</v>
      </c>
      <c r="AB62" s="134" t="s">
        <v>423</v>
      </c>
      <c r="AC62" s="139"/>
    </row>
    <row r="63" spans="1:29" x14ac:dyDescent="0.15">
      <c r="A63" s="134" t="s">
        <v>61</v>
      </c>
      <c r="B63" s="134" t="s">
        <v>370</v>
      </c>
      <c r="C63" s="134">
        <v>2018</v>
      </c>
      <c r="D63" s="135" t="s">
        <v>422</v>
      </c>
      <c r="E63" s="134" t="s">
        <v>256</v>
      </c>
      <c r="F63" s="134" t="s">
        <v>257</v>
      </c>
      <c r="G63" s="134" t="s">
        <v>42</v>
      </c>
      <c r="H63" s="244" t="s">
        <v>166</v>
      </c>
      <c r="I63" s="244" t="s">
        <v>153</v>
      </c>
      <c r="J63" s="134" t="s">
        <v>38</v>
      </c>
      <c r="K63" s="244" t="s">
        <v>154</v>
      </c>
      <c r="L63" s="244">
        <v>2</v>
      </c>
      <c r="M63" s="244"/>
      <c r="N63" s="244">
        <v>1</v>
      </c>
      <c r="O63" s="244">
        <v>0.55000000000000004</v>
      </c>
      <c r="P63" s="244">
        <v>0.5</v>
      </c>
      <c r="Q63" s="136">
        <f t="shared" si="0"/>
        <v>0.52500000000000002</v>
      </c>
      <c r="R63" s="244">
        <v>17.399999999999999</v>
      </c>
      <c r="S63" s="244">
        <v>143</v>
      </c>
      <c r="T63" s="137">
        <f t="shared" si="1"/>
        <v>22</v>
      </c>
      <c r="U63" s="244">
        <v>158</v>
      </c>
      <c r="V63" s="138">
        <f t="shared" si="2"/>
        <v>3476</v>
      </c>
      <c r="W63" s="244">
        <v>22</v>
      </c>
      <c r="X63" s="134" t="s">
        <v>46</v>
      </c>
      <c r="Y63" s="244" t="s">
        <v>90</v>
      </c>
      <c r="Z63" s="244" t="s">
        <v>69</v>
      </c>
      <c r="AA63" s="244" t="s">
        <v>78</v>
      </c>
      <c r="AB63" s="134" t="s">
        <v>423</v>
      </c>
      <c r="AC63" s="139"/>
    </row>
    <row r="64" spans="1:29" x14ac:dyDescent="0.15">
      <c r="A64" s="134" t="s">
        <v>61</v>
      </c>
      <c r="B64" s="134" t="s">
        <v>370</v>
      </c>
      <c r="C64" s="134">
        <v>2018</v>
      </c>
      <c r="D64" s="135" t="s">
        <v>422</v>
      </c>
      <c r="E64" s="134" t="s">
        <v>256</v>
      </c>
      <c r="F64" s="134" t="s">
        <v>257</v>
      </c>
      <c r="G64" s="134" t="s">
        <v>42</v>
      </c>
      <c r="H64" s="244" t="s">
        <v>166</v>
      </c>
      <c r="I64" s="244" t="s">
        <v>153</v>
      </c>
      <c r="J64" s="134" t="s">
        <v>38</v>
      </c>
      <c r="K64" s="244" t="s">
        <v>154</v>
      </c>
      <c r="L64" s="244">
        <v>3</v>
      </c>
      <c r="M64" s="244"/>
      <c r="N64" s="244">
        <v>1</v>
      </c>
      <c r="O64" s="244">
        <v>0.5</v>
      </c>
      <c r="P64" s="244">
        <v>0.5</v>
      </c>
      <c r="Q64" s="136">
        <f t="shared" si="0"/>
        <v>0.5</v>
      </c>
      <c r="R64" s="244">
        <v>16.8</v>
      </c>
      <c r="S64" s="244">
        <v>131</v>
      </c>
      <c r="T64" s="137">
        <f t="shared" si="1"/>
        <v>25</v>
      </c>
      <c r="U64" s="244">
        <v>158</v>
      </c>
      <c r="V64" s="138">
        <f t="shared" si="2"/>
        <v>3950</v>
      </c>
      <c r="W64" s="244">
        <v>22</v>
      </c>
      <c r="X64" s="134" t="s">
        <v>46</v>
      </c>
      <c r="Y64" s="244" t="s">
        <v>90</v>
      </c>
      <c r="Z64" s="244" t="s">
        <v>69</v>
      </c>
      <c r="AA64" s="244" t="s">
        <v>78</v>
      </c>
      <c r="AB64" s="134" t="s">
        <v>423</v>
      </c>
      <c r="AC64" s="139"/>
    </row>
    <row r="65" spans="1:29" x14ac:dyDescent="0.15">
      <c r="A65" s="134" t="s">
        <v>61</v>
      </c>
      <c r="B65" s="134" t="s">
        <v>370</v>
      </c>
      <c r="C65" s="134">
        <v>2018</v>
      </c>
      <c r="D65" s="135" t="s">
        <v>422</v>
      </c>
      <c r="E65" s="134" t="s">
        <v>258</v>
      </c>
      <c r="F65" s="134" t="s">
        <v>257</v>
      </c>
      <c r="G65" s="134" t="s">
        <v>42</v>
      </c>
      <c r="H65" s="244" t="s">
        <v>155</v>
      </c>
      <c r="I65" s="244" t="s">
        <v>153</v>
      </c>
      <c r="J65" s="134" t="s">
        <v>38</v>
      </c>
      <c r="K65" s="244" t="s">
        <v>154</v>
      </c>
      <c r="L65" s="244">
        <v>1</v>
      </c>
      <c r="M65" s="244"/>
      <c r="N65" s="244">
        <v>1</v>
      </c>
      <c r="O65" s="244">
        <v>0.5</v>
      </c>
      <c r="P65" s="244">
        <v>0.5</v>
      </c>
      <c r="Q65" s="136">
        <f t="shared" si="0"/>
        <v>0.5</v>
      </c>
      <c r="R65" s="244">
        <v>17.3</v>
      </c>
      <c r="S65" s="244">
        <v>141</v>
      </c>
      <c r="T65" s="137">
        <f t="shared" si="1"/>
        <v>22</v>
      </c>
      <c r="U65" s="244">
        <v>149</v>
      </c>
      <c r="V65" s="138">
        <f t="shared" si="2"/>
        <v>3278</v>
      </c>
      <c r="W65" s="244">
        <v>8</v>
      </c>
      <c r="X65" s="134" t="s">
        <v>46</v>
      </c>
      <c r="Y65" s="244" t="s">
        <v>90</v>
      </c>
      <c r="Z65" s="244" t="s">
        <v>50</v>
      </c>
      <c r="AA65" s="244" t="s">
        <v>78</v>
      </c>
      <c r="AB65" s="134" t="s">
        <v>423</v>
      </c>
      <c r="AC65" s="139"/>
    </row>
    <row r="66" spans="1:29" x14ac:dyDescent="0.15">
      <c r="A66" s="134" t="s">
        <v>61</v>
      </c>
      <c r="B66" s="134" t="s">
        <v>370</v>
      </c>
      <c r="C66" s="134">
        <v>2018</v>
      </c>
      <c r="D66" s="135" t="s">
        <v>422</v>
      </c>
      <c r="E66" s="134" t="s">
        <v>258</v>
      </c>
      <c r="F66" s="134" t="s">
        <v>257</v>
      </c>
      <c r="G66" s="134" t="s">
        <v>42</v>
      </c>
      <c r="H66" s="244" t="s">
        <v>155</v>
      </c>
      <c r="I66" s="244" t="s">
        <v>153</v>
      </c>
      <c r="J66" s="134" t="s">
        <v>38</v>
      </c>
      <c r="K66" s="244" t="s">
        <v>154</v>
      </c>
      <c r="L66" s="244">
        <v>2</v>
      </c>
      <c r="M66" s="244"/>
      <c r="N66" s="244">
        <v>1</v>
      </c>
      <c r="O66" s="244">
        <v>0.6</v>
      </c>
      <c r="P66" s="244">
        <v>0.55000000000000004</v>
      </c>
      <c r="Q66" s="136">
        <f t="shared" ref="Q66:Q99" si="3">IF(OR(O66="",P66=""),"",AVERAGE(O66,P66))</f>
        <v>0.57499999999999996</v>
      </c>
      <c r="R66" s="244">
        <v>17</v>
      </c>
      <c r="S66" s="244">
        <v>139</v>
      </c>
      <c r="T66" s="137">
        <f t="shared" ref="T66:T99" si="4">IF(H66="","",IF(OR(H66="GREEN",H66="GK"),IF(S66&gt;=$AX$2,VLOOKUP(S66,$AX$2:$AY$15,2,1),""),IF(S66&gt;=$AZ$2,VLOOKUP(S66,$AZ$2:$BA$15,2,1),"")))</f>
        <v>22</v>
      </c>
      <c r="U66" s="244">
        <v>149</v>
      </c>
      <c r="V66" s="138">
        <f t="shared" ref="V66:V99" si="5">IF(OR(N66="",U66="",T66=""),"",U66/N66*T66)</f>
        <v>3278</v>
      </c>
      <c r="W66" s="244">
        <v>8</v>
      </c>
      <c r="X66" s="134" t="s">
        <v>46</v>
      </c>
      <c r="Y66" s="244" t="s">
        <v>90</v>
      </c>
      <c r="Z66" s="244" t="s">
        <v>50</v>
      </c>
      <c r="AA66" s="244" t="s">
        <v>78</v>
      </c>
      <c r="AB66" s="134" t="s">
        <v>423</v>
      </c>
      <c r="AC66" s="139"/>
    </row>
    <row r="67" spans="1:29" x14ac:dyDescent="0.15">
      <c r="A67" s="134" t="s">
        <v>61</v>
      </c>
      <c r="B67" s="134" t="s">
        <v>370</v>
      </c>
      <c r="C67" s="134">
        <v>2018</v>
      </c>
      <c r="D67" s="135" t="s">
        <v>422</v>
      </c>
      <c r="E67" s="134" t="s">
        <v>258</v>
      </c>
      <c r="F67" s="134" t="s">
        <v>257</v>
      </c>
      <c r="G67" s="134" t="s">
        <v>42</v>
      </c>
      <c r="H67" s="244" t="s">
        <v>155</v>
      </c>
      <c r="I67" s="244" t="s">
        <v>153</v>
      </c>
      <c r="J67" s="134" t="s">
        <v>38</v>
      </c>
      <c r="K67" s="244" t="s">
        <v>154</v>
      </c>
      <c r="L67" s="244">
        <v>3</v>
      </c>
      <c r="M67" s="244"/>
      <c r="N67" s="244">
        <v>1</v>
      </c>
      <c r="O67" s="244">
        <v>0.5</v>
      </c>
      <c r="P67" s="244">
        <v>0.5</v>
      </c>
      <c r="Q67" s="136">
        <f t="shared" si="3"/>
        <v>0.5</v>
      </c>
      <c r="R67" s="244">
        <v>17.2</v>
      </c>
      <c r="S67" s="244">
        <v>140</v>
      </c>
      <c r="T67" s="137">
        <f t="shared" si="4"/>
        <v>22</v>
      </c>
      <c r="U67" s="244">
        <v>149</v>
      </c>
      <c r="V67" s="138">
        <f t="shared" si="5"/>
        <v>3278</v>
      </c>
      <c r="W67" s="244">
        <v>8</v>
      </c>
      <c r="X67" s="134" t="s">
        <v>46</v>
      </c>
      <c r="Y67" s="244" t="s">
        <v>90</v>
      </c>
      <c r="Z67" s="244" t="s">
        <v>50</v>
      </c>
      <c r="AA67" s="244" t="s">
        <v>78</v>
      </c>
      <c r="AB67" s="134" t="s">
        <v>423</v>
      </c>
      <c r="AC67" s="139"/>
    </row>
    <row r="68" spans="1:29" x14ac:dyDescent="0.15">
      <c r="A68" s="134"/>
      <c r="B68" s="134"/>
      <c r="C68" s="134"/>
      <c r="D68" s="135"/>
      <c r="E68" s="134"/>
      <c r="F68" s="134"/>
      <c r="G68" s="134"/>
      <c r="H68" s="244"/>
      <c r="I68" s="244"/>
      <c r="J68" s="134"/>
      <c r="K68" s="244"/>
      <c r="L68" s="244"/>
      <c r="M68" s="244"/>
      <c r="N68" s="244"/>
      <c r="O68" s="244"/>
      <c r="P68" s="244"/>
      <c r="Q68" s="136"/>
      <c r="R68" s="244"/>
      <c r="S68" s="244"/>
      <c r="T68" s="137"/>
      <c r="U68" s="244"/>
      <c r="V68" s="138"/>
      <c r="W68" s="244"/>
      <c r="X68" s="134"/>
      <c r="Y68" s="244"/>
      <c r="Z68" s="244"/>
      <c r="AA68" s="244"/>
      <c r="AB68" s="134"/>
      <c r="AC68" s="244"/>
    </row>
    <row r="69" spans="1:29" x14ac:dyDescent="0.15">
      <c r="A69" s="134"/>
      <c r="B69" s="134"/>
      <c r="C69" s="134"/>
      <c r="D69" s="135"/>
      <c r="E69" s="134"/>
      <c r="F69" s="134"/>
      <c r="G69" s="134"/>
      <c r="H69" s="244"/>
      <c r="I69" s="244"/>
      <c r="J69" s="134"/>
      <c r="K69" s="244"/>
      <c r="L69" s="244"/>
      <c r="M69" s="244"/>
      <c r="N69" s="244"/>
      <c r="O69" s="244"/>
      <c r="P69" s="244"/>
      <c r="Q69" s="136"/>
      <c r="R69" s="244"/>
      <c r="S69" s="244"/>
      <c r="T69" s="137"/>
      <c r="U69" s="244"/>
      <c r="V69" s="138"/>
      <c r="W69" s="244"/>
      <c r="X69" s="134"/>
      <c r="Y69" s="244"/>
      <c r="Z69" s="244"/>
      <c r="AA69" s="244"/>
      <c r="AB69" s="134"/>
      <c r="AC69" s="244"/>
    </row>
    <row r="70" spans="1:29" x14ac:dyDescent="0.15">
      <c r="A70" s="134"/>
      <c r="B70" s="134"/>
      <c r="C70" s="134"/>
      <c r="D70" s="135"/>
      <c r="E70" s="134"/>
      <c r="F70" s="134"/>
      <c r="G70" s="134"/>
      <c r="H70" s="244"/>
      <c r="I70" s="244"/>
      <c r="J70" s="134"/>
      <c r="K70" s="244"/>
      <c r="L70" s="244"/>
      <c r="M70" s="244"/>
      <c r="N70" s="244"/>
      <c r="O70" s="244"/>
      <c r="P70" s="244"/>
      <c r="Q70" s="136"/>
      <c r="R70" s="244"/>
      <c r="S70" s="244"/>
      <c r="T70" s="137"/>
      <c r="U70" s="244"/>
      <c r="V70" s="138"/>
      <c r="W70" s="244"/>
      <c r="X70" s="134"/>
      <c r="Y70" s="244"/>
      <c r="Z70" s="244"/>
      <c r="AA70" s="244"/>
      <c r="AB70" s="134"/>
      <c r="AC70" s="244"/>
    </row>
    <row r="71" spans="1:29" x14ac:dyDescent="0.15">
      <c r="A71" s="134"/>
      <c r="B71" s="134"/>
      <c r="C71" s="134"/>
      <c r="D71" s="135"/>
      <c r="E71" s="134"/>
      <c r="F71" s="134"/>
      <c r="G71" s="134"/>
      <c r="H71" s="244"/>
      <c r="I71" s="244"/>
      <c r="J71" s="134"/>
      <c r="K71" s="244"/>
      <c r="L71" s="244"/>
      <c r="M71" s="244"/>
      <c r="N71" s="244"/>
      <c r="O71" s="244"/>
      <c r="P71" s="244"/>
      <c r="Q71" s="136"/>
      <c r="R71" s="244"/>
      <c r="S71" s="244"/>
      <c r="T71" s="137"/>
      <c r="U71" s="244"/>
      <c r="V71" s="138"/>
      <c r="W71" s="244"/>
      <c r="X71" s="134"/>
      <c r="Y71" s="244"/>
      <c r="Z71" s="244"/>
      <c r="AA71" s="244"/>
      <c r="AB71" s="134"/>
      <c r="AC71" s="244"/>
    </row>
    <row r="72" spans="1:29" x14ac:dyDescent="0.15">
      <c r="A72" s="134"/>
      <c r="B72" s="134"/>
      <c r="C72" s="134"/>
      <c r="D72" s="135"/>
      <c r="E72" s="134"/>
      <c r="F72" s="134"/>
      <c r="G72" s="134"/>
      <c r="H72" s="244"/>
      <c r="I72" s="244"/>
      <c r="J72" s="134"/>
      <c r="K72" s="244"/>
      <c r="L72" s="244"/>
      <c r="M72" s="244"/>
      <c r="N72" s="244"/>
      <c r="O72" s="244"/>
      <c r="P72" s="244"/>
      <c r="Q72" s="136"/>
      <c r="R72" s="244"/>
      <c r="S72" s="244"/>
      <c r="T72" s="137"/>
      <c r="U72" s="244"/>
      <c r="V72" s="138"/>
      <c r="W72" s="244"/>
      <c r="X72" s="134"/>
      <c r="Y72" s="244"/>
      <c r="Z72" s="244"/>
      <c r="AA72" s="244"/>
      <c r="AB72" s="134"/>
      <c r="AC72" s="244"/>
    </row>
    <row r="73" spans="1:29" x14ac:dyDescent="0.15">
      <c r="A73" s="134"/>
      <c r="B73" s="134"/>
      <c r="C73" s="134"/>
      <c r="D73" s="135"/>
      <c r="E73" s="134"/>
      <c r="F73" s="134"/>
      <c r="G73" s="134"/>
      <c r="H73" s="244"/>
      <c r="I73" s="244"/>
      <c r="J73" s="134"/>
      <c r="K73" s="244"/>
      <c r="L73" s="244"/>
      <c r="M73" s="244"/>
      <c r="N73" s="244"/>
      <c r="O73" s="244"/>
      <c r="P73" s="244"/>
      <c r="Q73" s="136"/>
      <c r="R73" s="244"/>
      <c r="S73" s="244"/>
      <c r="T73" s="137"/>
      <c r="U73" s="244"/>
      <c r="V73" s="138"/>
      <c r="W73" s="244"/>
      <c r="X73" s="134"/>
      <c r="Y73" s="244"/>
      <c r="Z73" s="244"/>
      <c r="AA73" s="244"/>
      <c r="AB73" s="134"/>
      <c r="AC73" s="244"/>
    </row>
    <row r="74" spans="1:29" x14ac:dyDescent="0.15">
      <c r="A74" s="134"/>
      <c r="B74" s="134"/>
      <c r="C74" s="134"/>
      <c r="D74" s="135"/>
      <c r="E74" s="134"/>
      <c r="F74" s="134"/>
      <c r="G74" s="134"/>
      <c r="H74" s="244"/>
      <c r="I74" s="244"/>
      <c r="J74" s="134"/>
      <c r="K74" s="244"/>
      <c r="L74" s="244"/>
      <c r="M74" s="244"/>
      <c r="N74" s="244"/>
      <c r="O74" s="244"/>
      <c r="P74" s="244"/>
      <c r="Q74" s="136"/>
      <c r="R74" s="244"/>
      <c r="S74" s="244"/>
      <c r="T74" s="137"/>
      <c r="U74" s="244"/>
      <c r="V74" s="138"/>
      <c r="W74" s="244"/>
      <c r="X74" s="134"/>
      <c r="Y74" s="244"/>
      <c r="Z74" s="244"/>
      <c r="AA74" s="244"/>
      <c r="AB74" s="134"/>
      <c r="AC74" s="244"/>
    </row>
    <row r="75" spans="1:29" x14ac:dyDescent="0.15">
      <c r="A75" s="134"/>
      <c r="B75" s="134"/>
      <c r="C75" s="134"/>
      <c r="D75" s="135"/>
      <c r="E75" s="134"/>
      <c r="F75" s="134"/>
      <c r="G75" s="134"/>
      <c r="H75" s="244"/>
      <c r="I75" s="244"/>
      <c r="J75" s="134"/>
      <c r="K75" s="244"/>
      <c r="L75" s="244"/>
      <c r="M75" s="244"/>
      <c r="N75" s="244"/>
      <c r="O75" s="244"/>
      <c r="P75" s="244"/>
      <c r="Q75" s="136"/>
      <c r="R75" s="244"/>
      <c r="S75" s="244"/>
      <c r="T75" s="137"/>
      <c r="U75" s="244"/>
      <c r="V75" s="138"/>
      <c r="W75" s="244"/>
      <c r="X75" s="134"/>
      <c r="Y75" s="244"/>
      <c r="Z75" s="244"/>
      <c r="AA75" s="244"/>
      <c r="AB75" s="134"/>
      <c r="AC75" s="244"/>
    </row>
    <row r="76" spans="1:29" x14ac:dyDescent="0.15">
      <c r="A76" s="134"/>
      <c r="B76" s="134"/>
      <c r="C76" s="134"/>
      <c r="D76" s="135"/>
      <c r="E76" s="134"/>
      <c r="F76" s="134"/>
      <c r="G76" s="134"/>
      <c r="H76" s="244"/>
      <c r="I76" s="244"/>
      <c r="J76" s="134"/>
      <c r="K76" s="244"/>
      <c r="L76" s="244"/>
      <c r="M76" s="244"/>
      <c r="N76" s="244"/>
      <c r="O76" s="244"/>
      <c r="P76" s="244"/>
      <c r="Q76" s="136"/>
      <c r="R76" s="244"/>
      <c r="S76" s="244"/>
      <c r="T76" s="137"/>
      <c r="U76" s="244"/>
      <c r="V76" s="138"/>
      <c r="W76" s="244"/>
      <c r="X76" s="134"/>
      <c r="Y76" s="244"/>
      <c r="Z76" s="244"/>
      <c r="AA76" s="244"/>
      <c r="AB76" s="134"/>
      <c r="AC76" s="244"/>
    </row>
    <row r="77" spans="1:29" x14ac:dyDescent="0.15">
      <c r="A77" s="134"/>
      <c r="B77" s="134"/>
      <c r="C77" s="134"/>
      <c r="D77" s="135"/>
      <c r="E77" s="134"/>
      <c r="F77" s="134"/>
      <c r="G77" s="134"/>
      <c r="H77" s="244"/>
      <c r="I77" s="244"/>
      <c r="J77" s="134"/>
      <c r="K77" s="244"/>
      <c r="L77" s="244"/>
      <c r="M77" s="244"/>
      <c r="N77" s="244"/>
      <c r="O77" s="244"/>
      <c r="P77" s="244"/>
      <c r="Q77" s="136"/>
      <c r="R77" s="244"/>
      <c r="S77" s="244"/>
      <c r="T77" s="137"/>
      <c r="U77" s="244"/>
      <c r="V77" s="138"/>
      <c r="W77" s="244"/>
      <c r="X77" s="134"/>
      <c r="Y77" s="244"/>
      <c r="Z77" s="244"/>
      <c r="AA77" s="244"/>
      <c r="AB77" s="134"/>
      <c r="AC77" s="244"/>
    </row>
    <row r="78" spans="1:29" x14ac:dyDescent="0.15">
      <c r="A78" s="134"/>
      <c r="B78" s="134"/>
      <c r="C78" s="134"/>
      <c r="D78" s="135"/>
      <c r="E78" s="134"/>
      <c r="F78" s="134"/>
      <c r="G78" s="134"/>
      <c r="H78" s="244"/>
      <c r="I78" s="244"/>
      <c r="J78" s="134"/>
      <c r="K78" s="244"/>
      <c r="L78" s="244"/>
      <c r="M78" s="244"/>
      <c r="N78" s="244"/>
      <c r="O78" s="244"/>
      <c r="P78" s="244"/>
      <c r="Q78" s="136"/>
      <c r="R78" s="244"/>
      <c r="S78" s="244"/>
      <c r="T78" s="137"/>
      <c r="U78" s="244"/>
      <c r="V78" s="138"/>
      <c r="W78" s="244"/>
      <c r="X78" s="134"/>
      <c r="Y78" s="244"/>
      <c r="Z78" s="244"/>
      <c r="AA78" s="244"/>
      <c r="AB78" s="134"/>
      <c r="AC78" s="244"/>
    </row>
    <row r="79" spans="1:29" x14ac:dyDescent="0.15">
      <c r="A79" s="134"/>
      <c r="B79" s="134"/>
      <c r="C79" s="134"/>
      <c r="D79" s="135"/>
      <c r="E79" s="134"/>
      <c r="F79" s="134"/>
      <c r="G79" s="134"/>
      <c r="H79" s="244"/>
      <c r="I79" s="244"/>
      <c r="J79" s="134"/>
      <c r="K79" s="244"/>
      <c r="L79" s="244"/>
      <c r="M79" s="244"/>
      <c r="N79" s="244"/>
      <c r="O79" s="244"/>
      <c r="P79" s="244"/>
      <c r="Q79" s="136"/>
      <c r="R79" s="244"/>
      <c r="S79" s="244"/>
      <c r="T79" s="137"/>
      <c r="U79" s="244"/>
      <c r="V79" s="138"/>
      <c r="W79" s="244"/>
      <c r="X79" s="134"/>
      <c r="Y79" s="244"/>
      <c r="Z79" s="244"/>
      <c r="AA79" s="244"/>
      <c r="AB79" s="134"/>
      <c r="AC79" s="244"/>
    </row>
    <row r="80" spans="1:29" x14ac:dyDescent="0.15">
      <c r="A80" s="134"/>
      <c r="B80" s="134"/>
      <c r="C80" s="134"/>
      <c r="D80" s="135"/>
      <c r="E80" s="134"/>
      <c r="F80" s="134"/>
      <c r="G80" s="134"/>
      <c r="H80" s="244"/>
      <c r="I80" s="244"/>
      <c r="J80" s="134"/>
      <c r="K80" s="244"/>
      <c r="L80" s="244"/>
      <c r="M80" s="244"/>
      <c r="N80" s="244"/>
      <c r="O80" s="244"/>
      <c r="P80" s="244"/>
      <c r="Q80" s="136"/>
      <c r="R80" s="244"/>
      <c r="S80" s="244"/>
      <c r="T80" s="137"/>
      <c r="U80" s="244"/>
      <c r="V80" s="138"/>
      <c r="W80" s="244"/>
      <c r="X80" s="134"/>
      <c r="Y80" s="244"/>
      <c r="Z80" s="244"/>
      <c r="AA80" s="244"/>
      <c r="AB80" s="134"/>
      <c r="AC80" s="244"/>
    </row>
    <row r="81" spans="1:29" x14ac:dyDescent="0.15">
      <c r="A81" s="134"/>
      <c r="B81" s="134"/>
      <c r="C81" s="134"/>
      <c r="D81" s="135"/>
      <c r="E81" s="134"/>
      <c r="F81" s="134"/>
      <c r="G81" s="134"/>
      <c r="H81" s="244"/>
      <c r="I81" s="244"/>
      <c r="J81" s="134"/>
      <c r="K81" s="244"/>
      <c r="L81" s="244"/>
      <c r="M81" s="244"/>
      <c r="N81" s="244"/>
      <c r="O81" s="244"/>
      <c r="P81" s="244"/>
      <c r="Q81" s="136"/>
      <c r="R81" s="244"/>
      <c r="S81" s="244"/>
      <c r="T81" s="137"/>
      <c r="U81" s="244"/>
      <c r="V81" s="138"/>
      <c r="W81" s="244"/>
      <c r="X81" s="134"/>
      <c r="Y81" s="244"/>
      <c r="Z81" s="244"/>
      <c r="AA81" s="244"/>
      <c r="AB81" s="134"/>
      <c r="AC81" s="244"/>
    </row>
    <row r="82" spans="1:29" x14ac:dyDescent="0.15">
      <c r="A82" s="134"/>
      <c r="B82" s="134"/>
      <c r="C82" s="134"/>
      <c r="D82" s="135"/>
      <c r="E82" s="134"/>
      <c r="F82" s="134"/>
      <c r="G82" s="134"/>
      <c r="H82" s="244"/>
      <c r="I82" s="244"/>
      <c r="J82" s="134"/>
      <c r="K82" s="244"/>
      <c r="L82" s="244"/>
      <c r="M82" s="244"/>
      <c r="N82" s="244"/>
      <c r="O82" s="244"/>
      <c r="P82" s="244"/>
      <c r="Q82" s="136"/>
      <c r="R82" s="244"/>
      <c r="S82" s="244"/>
      <c r="T82" s="137"/>
      <c r="U82" s="244"/>
      <c r="V82" s="138"/>
      <c r="W82" s="244"/>
      <c r="X82" s="134"/>
      <c r="Y82" s="244"/>
      <c r="Z82" s="244"/>
      <c r="AA82" s="244"/>
      <c r="AB82" s="134"/>
      <c r="AC82" s="244"/>
    </row>
    <row r="83" spans="1:29" x14ac:dyDescent="0.15">
      <c r="A83" s="134"/>
      <c r="B83" s="134"/>
      <c r="C83" s="134"/>
      <c r="D83" s="135"/>
      <c r="E83" s="244"/>
      <c r="F83" s="244"/>
      <c r="G83" s="134"/>
      <c r="H83" s="244"/>
      <c r="I83" s="244"/>
      <c r="J83" s="134"/>
      <c r="K83" s="244"/>
      <c r="L83" s="244"/>
      <c r="M83" s="244"/>
      <c r="N83" s="244"/>
      <c r="O83" s="244"/>
      <c r="P83" s="244"/>
      <c r="Q83" s="136"/>
      <c r="R83" s="244"/>
      <c r="S83" s="244"/>
      <c r="T83" s="137"/>
      <c r="U83" s="244"/>
      <c r="V83" s="138"/>
      <c r="W83" s="244"/>
      <c r="X83" s="134"/>
      <c r="Y83" s="244"/>
      <c r="Z83" s="244"/>
      <c r="AA83" s="244"/>
      <c r="AB83" s="134"/>
      <c r="AC83" s="244"/>
    </row>
    <row r="84" spans="1:29" x14ac:dyDescent="0.15">
      <c r="A84" s="134"/>
      <c r="B84" s="134"/>
      <c r="C84" s="134"/>
      <c r="D84" s="135"/>
      <c r="E84" s="244"/>
      <c r="F84" s="244"/>
      <c r="G84" s="134"/>
      <c r="H84" s="244"/>
      <c r="I84" s="244"/>
      <c r="J84" s="134"/>
      <c r="K84" s="244"/>
      <c r="L84" s="244"/>
      <c r="M84" s="244"/>
      <c r="N84" s="244"/>
      <c r="O84" s="244"/>
      <c r="P84" s="244"/>
      <c r="Q84" s="136"/>
      <c r="R84" s="244"/>
      <c r="S84" s="244"/>
      <c r="T84" s="137"/>
      <c r="U84" s="244"/>
      <c r="V84" s="138"/>
      <c r="W84" s="244"/>
      <c r="X84" s="134"/>
      <c r="Y84" s="244"/>
      <c r="Z84" s="244"/>
      <c r="AA84" s="244"/>
      <c r="AB84" s="134"/>
      <c r="AC84" s="244"/>
    </row>
    <row r="85" spans="1:29" x14ac:dyDescent="0.15">
      <c r="A85" s="134"/>
      <c r="B85" s="134"/>
      <c r="C85" s="134"/>
      <c r="D85" s="135"/>
      <c r="E85" s="244"/>
      <c r="F85" s="244"/>
      <c r="G85" s="134"/>
      <c r="H85" s="244"/>
      <c r="I85" s="244"/>
      <c r="J85" s="134"/>
      <c r="K85" s="244"/>
      <c r="L85" s="244"/>
      <c r="M85" s="244"/>
      <c r="N85" s="244"/>
      <c r="O85" s="244"/>
      <c r="P85" s="244"/>
      <c r="Q85" s="136"/>
      <c r="R85" s="244"/>
      <c r="S85" s="244"/>
      <c r="T85" s="137"/>
      <c r="U85" s="244"/>
      <c r="V85" s="138"/>
      <c r="W85" s="244"/>
      <c r="X85" s="134"/>
      <c r="Y85" s="244"/>
      <c r="Z85" s="244"/>
      <c r="AA85" s="244"/>
      <c r="AB85" s="134"/>
      <c r="AC85" s="244"/>
    </row>
    <row r="86" spans="1:29" x14ac:dyDescent="0.15">
      <c r="A86" s="134"/>
      <c r="B86" s="134"/>
      <c r="C86" s="134"/>
      <c r="D86" s="135"/>
      <c r="E86" s="244"/>
      <c r="F86" s="244"/>
      <c r="G86" s="134"/>
      <c r="H86" s="244"/>
      <c r="I86" s="244"/>
      <c r="J86" s="134"/>
      <c r="K86" s="244"/>
      <c r="L86" s="244"/>
      <c r="M86" s="244"/>
      <c r="N86" s="244"/>
      <c r="O86" s="244"/>
      <c r="P86" s="244"/>
      <c r="Q86" s="136"/>
      <c r="R86" s="244"/>
      <c r="S86" s="244"/>
      <c r="T86" s="137"/>
      <c r="U86" s="244"/>
      <c r="V86" s="138"/>
      <c r="W86" s="244"/>
      <c r="X86" s="134"/>
      <c r="Y86" s="244"/>
      <c r="Z86" s="244"/>
      <c r="AA86" s="244"/>
      <c r="AB86" s="134"/>
      <c r="AC86" s="244"/>
    </row>
    <row r="87" spans="1:29" x14ac:dyDescent="0.15">
      <c r="A87" s="134"/>
      <c r="B87" s="134"/>
      <c r="C87" s="134"/>
      <c r="D87" s="135"/>
      <c r="E87" s="244"/>
      <c r="F87" s="244"/>
      <c r="G87" s="134"/>
      <c r="H87" s="244"/>
      <c r="I87" s="244"/>
      <c r="J87" s="134"/>
      <c r="K87" s="244"/>
      <c r="L87" s="244"/>
      <c r="M87" s="244"/>
      <c r="N87" s="244"/>
      <c r="O87" s="244"/>
      <c r="P87" s="244"/>
      <c r="Q87" s="136"/>
      <c r="R87" s="244"/>
      <c r="S87" s="244"/>
      <c r="T87" s="137"/>
      <c r="U87" s="244"/>
      <c r="V87" s="138"/>
      <c r="W87" s="244"/>
      <c r="X87" s="134"/>
      <c r="Y87" s="244"/>
      <c r="Z87" s="244"/>
      <c r="AA87" s="244"/>
      <c r="AB87" s="134"/>
      <c r="AC87" s="244"/>
    </row>
    <row r="88" spans="1:29" x14ac:dyDescent="0.15">
      <c r="A88" s="134"/>
      <c r="B88" s="134"/>
      <c r="C88" s="134"/>
      <c r="D88" s="135"/>
      <c r="E88" s="244"/>
      <c r="F88" s="244"/>
      <c r="G88" s="134"/>
      <c r="H88" s="244"/>
      <c r="I88" s="244"/>
      <c r="J88" s="134"/>
      <c r="K88" s="244"/>
      <c r="L88" s="244"/>
      <c r="M88" s="244"/>
      <c r="N88" s="244"/>
      <c r="O88" s="244"/>
      <c r="P88" s="244"/>
      <c r="Q88" s="136"/>
      <c r="R88" s="244"/>
      <c r="S88" s="244"/>
      <c r="T88" s="137"/>
      <c r="U88" s="244"/>
      <c r="V88" s="138"/>
      <c r="W88" s="244"/>
      <c r="X88" s="134"/>
      <c r="Y88" s="244"/>
      <c r="Z88" s="244"/>
      <c r="AA88" s="244"/>
      <c r="AB88" s="134"/>
      <c r="AC88" s="244"/>
    </row>
    <row r="89" spans="1:29" x14ac:dyDescent="0.15">
      <c r="K89" s="244"/>
      <c r="AC89" s="244"/>
    </row>
    <row r="90" spans="1:29" x14ac:dyDescent="0.15">
      <c r="A90" s="134"/>
      <c r="B90" s="134"/>
      <c r="C90" s="134"/>
      <c r="D90" s="135"/>
      <c r="E90" s="244"/>
      <c r="F90" s="244"/>
      <c r="G90" s="134"/>
      <c r="H90" s="244"/>
      <c r="I90" s="244"/>
      <c r="J90" s="134"/>
      <c r="K90" s="244"/>
      <c r="L90" s="244"/>
      <c r="M90" s="244"/>
      <c r="N90" s="244"/>
      <c r="O90" s="244"/>
      <c r="P90" s="244"/>
      <c r="Q90" s="136"/>
      <c r="R90" s="244"/>
      <c r="S90" s="244"/>
      <c r="T90" s="137"/>
      <c r="U90" s="244"/>
      <c r="V90" s="138"/>
      <c r="W90" s="244"/>
      <c r="X90" s="134"/>
      <c r="Y90" s="244"/>
      <c r="Z90" s="244"/>
      <c r="AA90" s="244"/>
      <c r="AB90" s="134"/>
      <c r="AC90" s="244"/>
    </row>
    <row r="91" spans="1:29" x14ac:dyDescent="0.15">
      <c r="A91" s="134"/>
      <c r="B91" s="134"/>
      <c r="C91" s="134"/>
      <c r="D91" s="135"/>
      <c r="E91" s="244"/>
      <c r="F91" s="244"/>
      <c r="G91" s="134"/>
      <c r="H91" s="244"/>
      <c r="I91" s="244"/>
      <c r="J91" s="134"/>
      <c r="K91" s="244"/>
      <c r="L91" s="244"/>
      <c r="M91" s="244"/>
      <c r="N91" s="244"/>
      <c r="O91" s="244"/>
      <c r="P91" s="244"/>
      <c r="Q91" s="136"/>
      <c r="R91" s="244"/>
      <c r="S91" s="244"/>
      <c r="T91" s="137"/>
      <c r="U91" s="244"/>
      <c r="V91" s="138"/>
      <c r="W91" s="244"/>
      <c r="X91" s="134"/>
      <c r="Y91" s="244"/>
      <c r="Z91" s="244"/>
      <c r="AA91" s="244"/>
      <c r="AB91" s="134"/>
      <c r="AC91" s="244"/>
    </row>
    <row r="92" spans="1:29" x14ac:dyDescent="0.15">
      <c r="A92" s="134"/>
      <c r="B92" s="134"/>
      <c r="C92" s="134"/>
      <c r="D92" s="135"/>
      <c r="E92" s="244"/>
      <c r="F92" s="244"/>
      <c r="G92" s="134"/>
      <c r="H92" s="244"/>
      <c r="I92" s="244"/>
      <c r="J92" s="134"/>
      <c r="K92" s="244"/>
      <c r="L92" s="244"/>
      <c r="M92" s="244"/>
      <c r="N92" s="244"/>
      <c r="O92" s="244"/>
      <c r="P92" s="244"/>
      <c r="Q92" s="136"/>
      <c r="R92" s="244"/>
      <c r="S92" s="244"/>
      <c r="T92" s="137"/>
      <c r="U92" s="244"/>
      <c r="V92" s="138"/>
      <c r="W92" s="244"/>
      <c r="X92" s="134"/>
      <c r="Y92" s="244"/>
      <c r="Z92" s="244"/>
      <c r="AA92" s="244"/>
      <c r="AB92" s="134"/>
      <c r="AC92" s="244"/>
    </row>
    <row r="93" spans="1:29" x14ac:dyDescent="0.15">
      <c r="A93" s="134"/>
      <c r="B93" s="134"/>
      <c r="C93" s="134"/>
      <c r="D93" s="135"/>
      <c r="E93" s="244"/>
      <c r="F93" s="244"/>
      <c r="G93" s="134"/>
      <c r="H93" s="244"/>
      <c r="I93" s="244"/>
      <c r="J93" s="134"/>
      <c r="K93" s="244"/>
      <c r="L93" s="244"/>
      <c r="M93" s="244"/>
      <c r="N93" s="244"/>
      <c r="O93" s="244"/>
      <c r="P93" s="244"/>
      <c r="Q93" s="136"/>
      <c r="R93" s="244"/>
      <c r="S93" s="244"/>
      <c r="T93" s="137"/>
      <c r="U93" s="244"/>
      <c r="V93" s="138"/>
      <c r="W93" s="244"/>
      <c r="X93" s="134"/>
      <c r="Y93" s="244"/>
      <c r="Z93" s="244"/>
      <c r="AA93" s="244"/>
      <c r="AB93" s="134"/>
      <c r="AC93" s="244"/>
    </row>
    <row r="94" spans="1:29" x14ac:dyDescent="0.15">
      <c r="A94" s="134"/>
      <c r="B94" s="134"/>
      <c r="C94" s="134"/>
      <c r="D94" s="135"/>
      <c r="E94" s="244"/>
      <c r="F94" s="244"/>
      <c r="G94" s="134"/>
      <c r="H94" s="244"/>
      <c r="I94" s="244"/>
      <c r="J94" s="134"/>
      <c r="K94" s="244"/>
      <c r="L94" s="244"/>
      <c r="M94" s="244"/>
      <c r="N94" s="244"/>
      <c r="O94" s="244"/>
      <c r="P94" s="244"/>
      <c r="Q94" s="136"/>
      <c r="R94" s="244"/>
      <c r="S94" s="244"/>
      <c r="T94" s="137"/>
      <c r="U94" s="244"/>
      <c r="V94" s="138"/>
      <c r="W94" s="244"/>
      <c r="X94" s="134"/>
      <c r="Y94" s="244"/>
      <c r="Z94" s="244"/>
      <c r="AA94" s="244"/>
      <c r="AB94" s="134"/>
      <c r="AC94" s="244"/>
    </row>
    <row r="95" spans="1:29" x14ac:dyDescent="0.15">
      <c r="A95" s="134"/>
      <c r="B95" s="134"/>
      <c r="C95" s="134"/>
      <c r="D95" s="135"/>
      <c r="E95" s="244"/>
      <c r="F95" s="244"/>
      <c r="G95" s="134"/>
      <c r="H95" s="244"/>
      <c r="I95" s="244"/>
      <c r="J95" s="134"/>
      <c r="K95" s="244"/>
      <c r="L95" s="244"/>
      <c r="M95" s="244"/>
      <c r="N95" s="244"/>
      <c r="O95" s="244"/>
      <c r="P95" s="244"/>
      <c r="Q95" s="136"/>
      <c r="R95" s="244"/>
      <c r="S95" s="244"/>
      <c r="T95" s="137"/>
      <c r="U95" s="244"/>
      <c r="V95" s="138"/>
      <c r="W95" s="244"/>
      <c r="X95" s="134"/>
      <c r="Y95" s="244"/>
      <c r="Z95" s="244"/>
      <c r="AA95" s="244"/>
      <c r="AB95" s="134"/>
      <c r="AC95" s="244"/>
    </row>
    <row r="96" spans="1:29" x14ac:dyDescent="0.15">
      <c r="A96" s="134"/>
      <c r="B96" s="134"/>
      <c r="C96" s="134"/>
      <c r="D96" s="135"/>
      <c r="E96" s="244"/>
      <c r="F96" s="244"/>
      <c r="G96" s="134"/>
      <c r="H96" s="244"/>
      <c r="I96" s="244"/>
      <c r="J96" s="134"/>
      <c r="K96" s="244"/>
      <c r="L96" s="244"/>
      <c r="M96" s="244"/>
      <c r="N96" s="244"/>
      <c r="O96" s="244"/>
      <c r="P96" s="244"/>
      <c r="Q96" s="136"/>
      <c r="R96" s="244"/>
      <c r="S96" s="244"/>
      <c r="T96" s="137"/>
      <c r="U96" s="244"/>
      <c r="V96" s="138"/>
      <c r="W96" s="244"/>
      <c r="X96" s="134"/>
      <c r="Y96" s="244"/>
      <c r="Z96" s="244"/>
      <c r="AA96" s="244"/>
      <c r="AB96" s="134"/>
      <c r="AC96" s="244"/>
    </row>
    <row r="97" spans="1:29" x14ac:dyDescent="0.15">
      <c r="A97" s="134"/>
      <c r="B97" s="134"/>
      <c r="C97" s="134"/>
      <c r="D97" s="135"/>
      <c r="E97" s="244"/>
      <c r="F97" s="244"/>
      <c r="G97" s="134"/>
      <c r="H97" s="244"/>
      <c r="I97" s="244"/>
      <c r="J97" s="134"/>
      <c r="K97" s="244"/>
      <c r="L97" s="244"/>
      <c r="M97" s="244"/>
      <c r="N97" s="244"/>
      <c r="O97" s="244"/>
      <c r="P97" s="244"/>
      <c r="Q97" s="136"/>
      <c r="R97" s="244"/>
      <c r="S97" s="244"/>
      <c r="T97" s="137"/>
      <c r="U97" s="244"/>
      <c r="V97" s="138"/>
      <c r="W97" s="244"/>
      <c r="X97" s="134"/>
      <c r="Y97" s="244"/>
      <c r="Z97" s="244"/>
      <c r="AA97" s="244"/>
      <c r="AB97" s="134"/>
      <c r="AC97" s="244"/>
    </row>
    <row r="98" spans="1:29" x14ac:dyDescent="0.15">
      <c r="A98" s="134"/>
      <c r="B98" s="134"/>
      <c r="C98" s="134"/>
      <c r="D98" s="135"/>
      <c r="E98" s="244"/>
      <c r="F98" s="244"/>
      <c r="G98" s="134"/>
      <c r="H98" s="244"/>
      <c r="I98" s="244"/>
      <c r="J98" s="134"/>
      <c r="K98" s="244"/>
      <c r="L98" s="244"/>
      <c r="M98" s="244"/>
      <c r="N98" s="244"/>
      <c r="O98" s="244"/>
      <c r="P98" s="244"/>
      <c r="Q98" s="136"/>
      <c r="R98" s="244"/>
      <c r="S98" s="244"/>
      <c r="T98" s="137"/>
      <c r="U98" s="244"/>
      <c r="V98" s="138"/>
      <c r="W98" s="244"/>
      <c r="X98" s="134"/>
      <c r="Y98" s="244"/>
      <c r="Z98" s="244"/>
      <c r="AA98" s="244"/>
      <c r="AB98" s="134"/>
      <c r="AC98" s="244"/>
    </row>
    <row r="99" spans="1:29" x14ac:dyDescent="0.15">
      <c r="A99" s="134"/>
      <c r="B99" s="134"/>
      <c r="C99" s="134"/>
      <c r="D99" s="135"/>
      <c r="E99" s="244"/>
      <c r="F99" s="244"/>
      <c r="G99" s="134"/>
      <c r="H99" s="244"/>
      <c r="I99" s="244"/>
      <c r="J99" s="134"/>
      <c r="K99" s="244"/>
      <c r="L99" s="244"/>
      <c r="M99" s="244"/>
      <c r="N99" s="244"/>
      <c r="O99" s="244"/>
      <c r="P99" s="244"/>
      <c r="Q99" s="136"/>
      <c r="R99" s="244"/>
      <c r="S99" s="244"/>
      <c r="T99" s="137"/>
      <c r="U99" s="244"/>
      <c r="V99" s="138"/>
      <c r="W99" s="244"/>
      <c r="X99" s="134"/>
      <c r="Y99" s="244"/>
      <c r="Z99" s="244"/>
      <c r="AA99" s="244"/>
      <c r="AB99" s="134"/>
      <c r="AC99" s="244"/>
    </row>
    <row r="100" spans="1:29" x14ac:dyDescent="0.15">
      <c r="A100" s="134"/>
      <c r="B100" s="134"/>
      <c r="C100" s="134"/>
      <c r="D100" s="135"/>
      <c r="E100" s="244"/>
      <c r="F100" s="244"/>
      <c r="G100" s="134"/>
      <c r="H100" s="244"/>
      <c r="I100" s="244"/>
      <c r="J100" s="134"/>
      <c r="K100" s="244"/>
      <c r="L100" s="244"/>
      <c r="M100" s="244"/>
      <c r="N100" s="244"/>
      <c r="O100" s="244"/>
      <c r="P100" s="244"/>
      <c r="Q100" s="136"/>
      <c r="R100" s="244"/>
      <c r="S100" s="244"/>
      <c r="T100" s="137"/>
      <c r="U100" s="244"/>
      <c r="V100" s="138"/>
      <c r="W100" s="244"/>
      <c r="X100" s="134"/>
      <c r="Y100" s="244"/>
      <c r="Z100" s="244"/>
      <c r="AA100" s="244"/>
      <c r="AB100" s="134"/>
      <c r="AC100" s="244"/>
    </row>
    <row r="101" spans="1:29" x14ac:dyDescent="0.15">
      <c r="A101" s="134"/>
      <c r="B101" s="134"/>
      <c r="C101" s="134"/>
      <c r="D101" s="135"/>
      <c r="E101" s="244"/>
      <c r="F101" s="244"/>
      <c r="G101" s="134"/>
      <c r="H101" s="244"/>
      <c r="I101" s="244"/>
      <c r="J101" s="134"/>
      <c r="K101" s="244"/>
      <c r="L101" s="244"/>
      <c r="M101" s="244"/>
      <c r="N101" s="244"/>
      <c r="O101" s="244"/>
      <c r="P101" s="244"/>
      <c r="Q101" s="136"/>
      <c r="R101" s="244"/>
      <c r="S101" s="244"/>
      <c r="T101" s="137"/>
      <c r="U101" s="244"/>
      <c r="V101" s="138"/>
      <c r="W101" s="244"/>
      <c r="X101" s="134"/>
      <c r="Y101" s="244"/>
      <c r="Z101" s="244"/>
      <c r="AA101" s="244"/>
      <c r="AB101" s="134"/>
      <c r="AC101" s="244"/>
    </row>
    <row r="102" spans="1:29" x14ac:dyDescent="0.15">
      <c r="A102" s="134"/>
      <c r="B102" s="134"/>
      <c r="C102" s="134"/>
      <c r="D102" s="135"/>
      <c r="E102" s="244"/>
      <c r="F102" s="244"/>
      <c r="G102" s="134"/>
      <c r="H102" s="244"/>
      <c r="I102" s="244"/>
      <c r="J102" s="134"/>
      <c r="K102" s="244"/>
      <c r="L102" s="244"/>
      <c r="M102" s="244"/>
      <c r="N102" s="244"/>
      <c r="O102" s="244"/>
      <c r="P102" s="244"/>
      <c r="Q102" s="136"/>
      <c r="R102" s="244"/>
      <c r="S102" s="244"/>
      <c r="T102" s="137"/>
      <c r="U102" s="244"/>
      <c r="V102" s="138"/>
      <c r="W102" s="244"/>
      <c r="X102" s="134"/>
      <c r="Y102" s="244"/>
      <c r="Z102" s="244"/>
      <c r="AA102" s="244"/>
      <c r="AB102" s="134"/>
      <c r="AC102" s="244"/>
    </row>
    <row r="103" spans="1:29" x14ac:dyDescent="0.15">
      <c r="A103" s="134"/>
      <c r="B103" s="134"/>
      <c r="C103" s="134"/>
      <c r="D103" s="135"/>
      <c r="E103" s="244"/>
      <c r="F103" s="244"/>
      <c r="G103" s="134"/>
      <c r="H103" s="244"/>
      <c r="I103" s="244"/>
      <c r="J103" s="134"/>
      <c r="K103" s="244"/>
      <c r="L103" s="244"/>
      <c r="M103" s="244"/>
      <c r="N103" s="244"/>
      <c r="O103" s="244"/>
      <c r="P103" s="244"/>
      <c r="Q103" s="136"/>
      <c r="R103" s="244"/>
      <c r="S103" s="244"/>
      <c r="T103" s="137"/>
      <c r="U103" s="244"/>
      <c r="V103" s="138"/>
      <c r="W103" s="244"/>
      <c r="X103" s="134"/>
      <c r="Y103" s="244"/>
      <c r="Z103" s="244"/>
      <c r="AA103" s="244"/>
      <c r="AB103" s="134"/>
      <c r="AC103" s="244"/>
    </row>
    <row r="104" spans="1:29" x14ac:dyDescent="0.15">
      <c r="A104" s="134"/>
      <c r="B104" s="134"/>
      <c r="C104" s="134"/>
      <c r="D104" s="135"/>
      <c r="E104" s="244"/>
      <c r="F104" s="244"/>
      <c r="G104" s="134"/>
      <c r="H104" s="244"/>
      <c r="I104" s="244"/>
      <c r="J104" s="134"/>
      <c r="K104" s="244"/>
      <c r="L104" s="244"/>
      <c r="M104" s="244"/>
      <c r="N104" s="244"/>
      <c r="O104" s="244"/>
      <c r="P104" s="244"/>
      <c r="Q104" s="136"/>
      <c r="R104" s="244"/>
      <c r="S104" s="244"/>
      <c r="T104" s="137"/>
      <c r="U104" s="244"/>
      <c r="V104" s="138"/>
      <c r="W104" s="244"/>
      <c r="X104" s="134"/>
      <c r="Y104" s="244"/>
      <c r="Z104" s="244"/>
      <c r="AA104" s="244"/>
      <c r="AB104" s="134"/>
      <c r="AC104" s="244"/>
    </row>
    <row r="105" spans="1:29" x14ac:dyDescent="0.15">
      <c r="A105" s="134"/>
      <c r="B105" s="134"/>
      <c r="C105" s="134"/>
      <c r="D105" s="135"/>
      <c r="E105" s="244"/>
      <c r="F105" s="244"/>
      <c r="G105" s="134"/>
      <c r="H105" s="244"/>
      <c r="I105" s="244"/>
      <c r="J105" s="134"/>
      <c r="K105" s="244"/>
      <c r="L105" s="244"/>
      <c r="M105" s="244"/>
      <c r="N105" s="244"/>
      <c r="O105" s="244"/>
      <c r="P105" s="244"/>
      <c r="Q105" s="136"/>
      <c r="R105" s="244"/>
      <c r="S105" s="244"/>
      <c r="T105" s="137"/>
      <c r="U105" s="244"/>
      <c r="V105" s="138"/>
      <c r="W105" s="244"/>
      <c r="X105" s="134"/>
      <c r="Y105" s="244"/>
      <c r="Z105" s="244"/>
      <c r="AA105" s="244"/>
      <c r="AB105" s="134"/>
      <c r="AC105" s="244"/>
    </row>
    <row r="106" spans="1:29" x14ac:dyDescent="0.15">
      <c r="A106" s="134"/>
      <c r="B106" s="134"/>
      <c r="C106" s="134"/>
      <c r="D106" s="135"/>
      <c r="E106" s="244"/>
      <c r="F106" s="244"/>
      <c r="G106" s="134"/>
      <c r="H106" s="244"/>
      <c r="I106" s="244"/>
      <c r="J106" s="134"/>
      <c r="K106" s="244"/>
      <c r="L106" s="244"/>
      <c r="M106" s="244"/>
      <c r="N106" s="244"/>
      <c r="O106" s="244"/>
      <c r="P106" s="244"/>
      <c r="Q106" s="136"/>
      <c r="R106" s="244"/>
      <c r="S106" s="244"/>
      <c r="T106" s="137"/>
      <c r="U106" s="244"/>
      <c r="V106" s="138"/>
      <c r="W106" s="244"/>
      <c r="X106" s="134"/>
      <c r="Y106" s="244"/>
      <c r="Z106" s="244"/>
      <c r="AA106" s="244"/>
      <c r="AB106" s="134"/>
      <c r="AC106" s="244"/>
    </row>
    <row r="107" spans="1:29" x14ac:dyDescent="0.15">
      <c r="A107" s="244"/>
      <c r="B107" s="244"/>
      <c r="C107" s="244"/>
      <c r="D107" s="244"/>
      <c r="E107" s="244"/>
      <c r="F107" s="244"/>
      <c r="G107" s="244"/>
      <c r="H107" s="244"/>
      <c r="I107" s="244"/>
      <c r="J107" s="244"/>
      <c r="K107" s="244"/>
      <c r="L107" s="244"/>
      <c r="M107" s="244"/>
      <c r="N107" s="244"/>
      <c r="O107" s="244"/>
      <c r="P107" s="244"/>
      <c r="Q107" s="137"/>
      <c r="R107" s="244"/>
      <c r="S107" s="244"/>
      <c r="T107" s="137"/>
      <c r="U107" s="244"/>
      <c r="V107" s="137"/>
      <c r="W107" s="244"/>
      <c r="X107" s="244"/>
      <c r="Y107" s="244"/>
      <c r="Z107" s="244"/>
      <c r="AA107" s="244"/>
      <c r="AB107" s="244"/>
      <c r="AC107" s="244"/>
    </row>
    <row r="108" spans="1:29" x14ac:dyDescent="0.15">
      <c r="A108" s="244"/>
      <c r="B108" s="244"/>
      <c r="C108" s="244"/>
      <c r="D108" s="244"/>
      <c r="E108" s="244"/>
      <c r="F108" s="244"/>
      <c r="G108" s="244"/>
      <c r="H108" s="244"/>
      <c r="I108" s="244"/>
      <c r="J108" s="244"/>
      <c r="K108" s="244"/>
      <c r="L108" s="244" t="s">
        <v>439</v>
      </c>
      <c r="M108" s="244"/>
      <c r="N108" s="244"/>
      <c r="O108" s="244"/>
      <c r="P108" s="244"/>
      <c r="Q108" s="137"/>
      <c r="R108" s="244"/>
      <c r="S108" s="244"/>
      <c r="T108" s="137"/>
      <c r="U108" s="244"/>
      <c r="V108" s="137"/>
      <c r="W108" s="244"/>
      <c r="X108" s="244"/>
      <c r="Y108" s="244"/>
      <c r="Z108" s="244"/>
      <c r="AA108" s="244"/>
      <c r="AB108" s="244"/>
      <c r="AC108" s="244"/>
    </row>
    <row r="109" spans="1:29" x14ac:dyDescent="0.15">
      <c r="K109" s="244"/>
    </row>
    <row r="110" spans="1:29" x14ac:dyDescent="0.15">
      <c r="K110" s="244"/>
    </row>
    <row r="111" spans="1:29" x14ac:dyDescent="0.15">
      <c r="K111" s="244"/>
    </row>
    <row r="112" spans="1:29" x14ac:dyDescent="0.15">
      <c r="K112" s="244"/>
    </row>
    <row r="113" spans="11:11" x14ac:dyDescent="0.15">
      <c r="K113" s="244"/>
    </row>
    <row r="114" spans="11:11" x14ac:dyDescent="0.15">
      <c r="K114" s="244"/>
    </row>
  </sheetData>
  <autoFilter ref="A1:BA1">
    <sortState ref="A2:BA64">
      <sortCondition ref="X1"/>
    </sortState>
  </autoFilter>
  <phoneticPr fontId="3"/>
  <dataValidations count="21">
    <dataValidation type="list" allowBlank="1" showInputMessage="1" showErrorMessage="1" sqref="K2:K114">
      <formula1>$AR$2:$AR$26</formula1>
    </dataValidation>
    <dataValidation type="list" allowBlank="1" showInputMessage="1" showErrorMessage="1" sqref="I64400:I64405 WVQ981883:WVQ981888 WLU981883:WLU981888 WBY981883:WBY981888 VSC981883:VSC981888 VIG981883:VIG981888 UYK981883:UYK981888 UOO981883:UOO981888 UES981883:UES981888 TUW981883:TUW981888 TLA981883:TLA981888 TBE981883:TBE981888 SRI981883:SRI981888 SHM981883:SHM981888 RXQ981883:RXQ981888 RNU981883:RNU981888 RDY981883:RDY981888 QUC981883:QUC981888 QKG981883:QKG981888 QAK981883:QAK981888 PQO981883:PQO981888 PGS981883:PGS981888 OWW981883:OWW981888 ONA981883:ONA981888 ODE981883:ODE981888 NTI981883:NTI981888 NJM981883:NJM981888 MZQ981883:MZQ981888 MPU981883:MPU981888 MFY981883:MFY981888 LWC981883:LWC981888 LMG981883:LMG981888 LCK981883:LCK981888 KSO981883:KSO981888 KIS981883:KIS981888 JYW981883:JYW981888 JPA981883:JPA981888 JFE981883:JFE981888 IVI981883:IVI981888 ILM981883:ILM981888 IBQ981883:IBQ981888 HRU981883:HRU981888 HHY981883:HHY981888 GYC981883:GYC981888 GOG981883:GOG981888 GEK981883:GEK981888 FUO981883:FUO981888 FKS981883:FKS981888 FAW981883:FAW981888 ERA981883:ERA981888 EHE981883:EHE981888 DXI981883:DXI981888 DNM981883:DNM981888 DDQ981883:DDQ981888 CTU981883:CTU981888 CJY981883:CJY981888 CAC981883:CAC981888 BQG981883:BQG981888 BGK981883:BGK981888 AWO981883:AWO981888 AMS981883:AMS981888 ACW981883:ACW981888 TA981883:TA981888 JE981883:JE981888 I981904:I981909 WVQ916347:WVQ916352 WLU916347:WLU916352 WBY916347:WBY916352 VSC916347:VSC916352 VIG916347:VIG916352 UYK916347:UYK916352 UOO916347:UOO916352 UES916347:UES916352 TUW916347:TUW916352 TLA916347:TLA916352 TBE916347:TBE916352 SRI916347:SRI916352 SHM916347:SHM916352 RXQ916347:RXQ916352 RNU916347:RNU916352 RDY916347:RDY916352 QUC916347:QUC916352 QKG916347:QKG916352 QAK916347:QAK916352 PQO916347:PQO916352 PGS916347:PGS916352 OWW916347:OWW916352 ONA916347:ONA916352 ODE916347:ODE916352 NTI916347:NTI916352 NJM916347:NJM916352 MZQ916347:MZQ916352 MPU916347:MPU916352 MFY916347:MFY916352 LWC916347:LWC916352 LMG916347:LMG916352 LCK916347:LCK916352 KSO916347:KSO916352 KIS916347:KIS916352 JYW916347:JYW916352 JPA916347:JPA916352 JFE916347:JFE916352 IVI916347:IVI916352 ILM916347:ILM916352 IBQ916347:IBQ916352 HRU916347:HRU916352 HHY916347:HHY916352 GYC916347:GYC916352 GOG916347:GOG916352 GEK916347:GEK916352 FUO916347:FUO916352 FKS916347:FKS916352 FAW916347:FAW916352 ERA916347:ERA916352 EHE916347:EHE916352 DXI916347:DXI916352 DNM916347:DNM916352 DDQ916347:DDQ916352 CTU916347:CTU916352 CJY916347:CJY916352 CAC916347:CAC916352 BQG916347:BQG916352 BGK916347:BGK916352 AWO916347:AWO916352 AMS916347:AMS916352 ACW916347:ACW916352 TA916347:TA916352 JE916347:JE916352 I916368:I916373 WVQ850811:WVQ850816 WLU850811:WLU850816 WBY850811:WBY850816 VSC850811:VSC850816 VIG850811:VIG850816 UYK850811:UYK850816 UOO850811:UOO850816 UES850811:UES850816 TUW850811:TUW850816 TLA850811:TLA850816 TBE850811:TBE850816 SRI850811:SRI850816 SHM850811:SHM850816 RXQ850811:RXQ850816 RNU850811:RNU850816 RDY850811:RDY850816 QUC850811:QUC850816 QKG850811:QKG850816 QAK850811:QAK850816 PQO850811:PQO850816 PGS850811:PGS850816 OWW850811:OWW850816 ONA850811:ONA850816 ODE850811:ODE850816 NTI850811:NTI850816 NJM850811:NJM850816 MZQ850811:MZQ850816 MPU850811:MPU850816 MFY850811:MFY850816 LWC850811:LWC850816 LMG850811:LMG850816 LCK850811:LCK850816 KSO850811:KSO850816 KIS850811:KIS850816 JYW850811:JYW850816 JPA850811:JPA850816 JFE850811:JFE850816 IVI850811:IVI850816 ILM850811:ILM850816 IBQ850811:IBQ850816 HRU850811:HRU850816 HHY850811:HHY850816 GYC850811:GYC850816 GOG850811:GOG850816 GEK850811:GEK850816 FUO850811:FUO850816 FKS850811:FKS850816 FAW850811:FAW850816 ERA850811:ERA850816 EHE850811:EHE850816 DXI850811:DXI850816 DNM850811:DNM850816 DDQ850811:DDQ850816 CTU850811:CTU850816 CJY850811:CJY850816 CAC850811:CAC850816 BQG850811:BQG850816 BGK850811:BGK850816 AWO850811:AWO850816 AMS850811:AMS850816 ACW850811:ACW850816 TA850811:TA850816 JE850811:JE850816 I850832:I850837 WVQ785275:WVQ785280 WLU785275:WLU785280 WBY785275:WBY785280 VSC785275:VSC785280 VIG785275:VIG785280 UYK785275:UYK785280 UOO785275:UOO785280 UES785275:UES785280 TUW785275:TUW785280 TLA785275:TLA785280 TBE785275:TBE785280 SRI785275:SRI785280 SHM785275:SHM785280 RXQ785275:RXQ785280 RNU785275:RNU785280 RDY785275:RDY785280 QUC785275:QUC785280 QKG785275:QKG785280 QAK785275:QAK785280 PQO785275:PQO785280 PGS785275:PGS785280 OWW785275:OWW785280 ONA785275:ONA785280 ODE785275:ODE785280 NTI785275:NTI785280 NJM785275:NJM785280 MZQ785275:MZQ785280 MPU785275:MPU785280 MFY785275:MFY785280 LWC785275:LWC785280 LMG785275:LMG785280 LCK785275:LCK785280 KSO785275:KSO785280 KIS785275:KIS785280 JYW785275:JYW785280 JPA785275:JPA785280 JFE785275:JFE785280 IVI785275:IVI785280 ILM785275:ILM785280 IBQ785275:IBQ785280 HRU785275:HRU785280 HHY785275:HHY785280 GYC785275:GYC785280 GOG785275:GOG785280 GEK785275:GEK785280 FUO785275:FUO785280 FKS785275:FKS785280 FAW785275:FAW785280 ERA785275:ERA785280 EHE785275:EHE785280 DXI785275:DXI785280 DNM785275:DNM785280 DDQ785275:DDQ785280 CTU785275:CTU785280 CJY785275:CJY785280 CAC785275:CAC785280 BQG785275:BQG785280 BGK785275:BGK785280 AWO785275:AWO785280 AMS785275:AMS785280 ACW785275:ACW785280 TA785275:TA785280 JE785275:JE785280 I785296:I785301 WVQ719739:WVQ719744 WLU719739:WLU719744 WBY719739:WBY719744 VSC719739:VSC719744 VIG719739:VIG719744 UYK719739:UYK719744 UOO719739:UOO719744 UES719739:UES719744 TUW719739:TUW719744 TLA719739:TLA719744 TBE719739:TBE719744 SRI719739:SRI719744 SHM719739:SHM719744 RXQ719739:RXQ719744 RNU719739:RNU719744 RDY719739:RDY719744 QUC719739:QUC719744 QKG719739:QKG719744 QAK719739:QAK719744 PQO719739:PQO719744 PGS719739:PGS719744 OWW719739:OWW719744 ONA719739:ONA719744 ODE719739:ODE719744 NTI719739:NTI719744 NJM719739:NJM719744 MZQ719739:MZQ719744 MPU719739:MPU719744 MFY719739:MFY719744 LWC719739:LWC719744 LMG719739:LMG719744 LCK719739:LCK719744 KSO719739:KSO719744 KIS719739:KIS719744 JYW719739:JYW719744 JPA719739:JPA719744 JFE719739:JFE719744 IVI719739:IVI719744 ILM719739:ILM719744 IBQ719739:IBQ719744 HRU719739:HRU719744 HHY719739:HHY719744 GYC719739:GYC719744 GOG719739:GOG719744 GEK719739:GEK719744 FUO719739:FUO719744 FKS719739:FKS719744 FAW719739:FAW719744 ERA719739:ERA719744 EHE719739:EHE719744 DXI719739:DXI719744 DNM719739:DNM719744 DDQ719739:DDQ719744 CTU719739:CTU719744 CJY719739:CJY719744 CAC719739:CAC719744 BQG719739:BQG719744 BGK719739:BGK719744 AWO719739:AWO719744 AMS719739:AMS719744 ACW719739:ACW719744 TA719739:TA719744 JE719739:JE719744 I719760:I719765 WVQ654203:WVQ654208 WLU654203:WLU654208 WBY654203:WBY654208 VSC654203:VSC654208 VIG654203:VIG654208 UYK654203:UYK654208 UOO654203:UOO654208 UES654203:UES654208 TUW654203:TUW654208 TLA654203:TLA654208 TBE654203:TBE654208 SRI654203:SRI654208 SHM654203:SHM654208 RXQ654203:RXQ654208 RNU654203:RNU654208 RDY654203:RDY654208 QUC654203:QUC654208 QKG654203:QKG654208 QAK654203:QAK654208 PQO654203:PQO654208 PGS654203:PGS654208 OWW654203:OWW654208 ONA654203:ONA654208 ODE654203:ODE654208 NTI654203:NTI654208 NJM654203:NJM654208 MZQ654203:MZQ654208 MPU654203:MPU654208 MFY654203:MFY654208 LWC654203:LWC654208 LMG654203:LMG654208 LCK654203:LCK654208 KSO654203:KSO654208 KIS654203:KIS654208 JYW654203:JYW654208 JPA654203:JPA654208 JFE654203:JFE654208 IVI654203:IVI654208 ILM654203:ILM654208 IBQ654203:IBQ654208 HRU654203:HRU654208 HHY654203:HHY654208 GYC654203:GYC654208 GOG654203:GOG654208 GEK654203:GEK654208 FUO654203:FUO654208 FKS654203:FKS654208 FAW654203:FAW654208 ERA654203:ERA654208 EHE654203:EHE654208 DXI654203:DXI654208 DNM654203:DNM654208 DDQ654203:DDQ654208 CTU654203:CTU654208 CJY654203:CJY654208 CAC654203:CAC654208 BQG654203:BQG654208 BGK654203:BGK654208 AWO654203:AWO654208 AMS654203:AMS654208 ACW654203:ACW654208 TA654203:TA654208 JE654203:JE654208 I654224:I654229 WVQ588667:WVQ588672 WLU588667:WLU588672 WBY588667:WBY588672 VSC588667:VSC588672 VIG588667:VIG588672 UYK588667:UYK588672 UOO588667:UOO588672 UES588667:UES588672 TUW588667:TUW588672 TLA588667:TLA588672 TBE588667:TBE588672 SRI588667:SRI588672 SHM588667:SHM588672 RXQ588667:RXQ588672 RNU588667:RNU588672 RDY588667:RDY588672 QUC588667:QUC588672 QKG588667:QKG588672 QAK588667:QAK588672 PQO588667:PQO588672 PGS588667:PGS588672 OWW588667:OWW588672 ONA588667:ONA588672 ODE588667:ODE588672 NTI588667:NTI588672 NJM588667:NJM588672 MZQ588667:MZQ588672 MPU588667:MPU588672 MFY588667:MFY588672 LWC588667:LWC588672 LMG588667:LMG588672 LCK588667:LCK588672 KSO588667:KSO588672 KIS588667:KIS588672 JYW588667:JYW588672 JPA588667:JPA588672 JFE588667:JFE588672 IVI588667:IVI588672 ILM588667:ILM588672 IBQ588667:IBQ588672 HRU588667:HRU588672 HHY588667:HHY588672 GYC588667:GYC588672 GOG588667:GOG588672 GEK588667:GEK588672 FUO588667:FUO588672 FKS588667:FKS588672 FAW588667:FAW588672 ERA588667:ERA588672 EHE588667:EHE588672 DXI588667:DXI588672 DNM588667:DNM588672 DDQ588667:DDQ588672 CTU588667:CTU588672 CJY588667:CJY588672 CAC588667:CAC588672 BQG588667:BQG588672 BGK588667:BGK588672 AWO588667:AWO588672 AMS588667:AMS588672 ACW588667:ACW588672 TA588667:TA588672 JE588667:JE588672 I588688:I588693 WVQ523131:WVQ523136 WLU523131:WLU523136 WBY523131:WBY523136 VSC523131:VSC523136 VIG523131:VIG523136 UYK523131:UYK523136 UOO523131:UOO523136 UES523131:UES523136 TUW523131:TUW523136 TLA523131:TLA523136 TBE523131:TBE523136 SRI523131:SRI523136 SHM523131:SHM523136 RXQ523131:RXQ523136 RNU523131:RNU523136 RDY523131:RDY523136 QUC523131:QUC523136 QKG523131:QKG523136 QAK523131:QAK523136 PQO523131:PQO523136 PGS523131:PGS523136 OWW523131:OWW523136 ONA523131:ONA523136 ODE523131:ODE523136 NTI523131:NTI523136 NJM523131:NJM523136 MZQ523131:MZQ523136 MPU523131:MPU523136 MFY523131:MFY523136 LWC523131:LWC523136 LMG523131:LMG523136 LCK523131:LCK523136 KSO523131:KSO523136 KIS523131:KIS523136 JYW523131:JYW523136 JPA523131:JPA523136 JFE523131:JFE523136 IVI523131:IVI523136 ILM523131:ILM523136 IBQ523131:IBQ523136 HRU523131:HRU523136 HHY523131:HHY523136 GYC523131:GYC523136 GOG523131:GOG523136 GEK523131:GEK523136 FUO523131:FUO523136 FKS523131:FKS523136 FAW523131:FAW523136 ERA523131:ERA523136 EHE523131:EHE523136 DXI523131:DXI523136 DNM523131:DNM523136 DDQ523131:DDQ523136 CTU523131:CTU523136 CJY523131:CJY523136 CAC523131:CAC523136 BQG523131:BQG523136 BGK523131:BGK523136 AWO523131:AWO523136 AMS523131:AMS523136 ACW523131:ACW523136 TA523131:TA523136 JE523131:JE523136 I523152:I523157 WVQ457595:WVQ457600 WLU457595:WLU457600 WBY457595:WBY457600 VSC457595:VSC457600 VIG457595:VIG457600 UYK457595:UYK457600 UOO457595:UOO457600 UES457595:UES457600 TUW457595:TUW457600 TLA457595:TLA457600 TBE457595:TBE457600 SRI457595:SRI457600 SHM457595:SHM457600 RXQ457595:RXQ457600 RNU457595:RNU457600 RDY457595:RDY457600 QUC457595:QUC457600 QKG457595:QKG457600 QAK457595:QAK457600 PQO457595:PQO457600 PGS457595:PGS457600 OWW457595:OWW457600 ONA457595:ONA457600 ODE457595:ODE457600 NTI457595:NTI457600 NJM457595:NJM457600 MZQ457595:MZQ457600 MPU457595:MPU457600 MFY457595:MFY457600 LWC457595:LWC457600 LMG457595:LMG457600 LCK457595:LCK457600 KSO457595:KSO457600 KIS457595:KIS457600 JYW457595:JYW457600 JPA457595:JPA457600 JFE457595:JFE457600 IVI457595:IVI457600 ILM457595:ILM457600 IBQ457595:IBQ457600 HRU457595:HRU457600 HHY457595:HHY457600 GYC457595:GYC457600 GOG457595:GOG457600 GEK457595:GEK457600 FUO457595:FUO457600 FKS457595:FKS457600 FAW457595:FAW457600 ERA457595:ERA457600 EHE457595:EHE457600 DXI457595:DXI457600 DNM457595:DNM457600 DDQ457595:DDQ457600 CTU457595:CTU457600 CJY457595:CJY457600 CAC457595:CAC457600 BQG457595:BQG457600 BGK457595:BGK457600 AWO457595:AWO457600 AMS457595:AMS457600 ACW457595:ACW457600 TA457595:TA457600 JE457595:JE457600 I457616:I457621 WVQ392059:WVQ392064 WLU392059:WLU392064 WBY392059:WBY392064 VSC392059:VSC392064 VIG392059:VIG392064 UYK392059:UYK392064 UOO392059:UOO392064 UES392059:UES392064 TUW392059:TUW392064 TLA392059:TLA392064 TBE392059:TBE392064 SRI392059:SRI392064 SHM392059:SHM392064 RXQ392059:RXQ392064 RNU392059:RNU392064 RDY392059:RDY392064 QUC392059:QUC392064 QKG392059:QKG392064 QAK392059:QAK392064 PQO392059:PQO392064 PGS392059:PGS392064 OWW392059:OWW392064 ONA392059:ONA392064 ODE392059:ODE392064 NTI392059:NTI392064 NJM392059:NJM392064 MZQ392059:MZQ392064 MPU392059:MPU392064 MFY392059:MFY392064 LWC392059:LWC392064 LMG392059:LMG392064 LCK392059:LCK392064 KSO392059:KSO392064 KIS392059:KIS392064 JYW392059:JYW392064 JPA392059:JPA392064 JFE392059:JFE392064 IVI392059:IVI392064 ILM392059:ILM392064 IBQ392059:IBQ392064 HRU392059:HRU392064 HHY392059:HHY392064 GYC392059:GYC392064 GOG392059:GOG392064 GEK392059:GEK392064 FUO392059:FUO392064 FKS392059:FKS392064 FAW392059:FAW392064 ERA392059:ERA392064 EHE392059:EHE392064 DXI392059:DXI392064 DNM392059:DNM392064 DDQ392059:DDQ392064 CTU392059:CTU392064 CJY392059:CJY392064 CAC392059:CAC392064 BQG392059:BQG392064 BGK392059:BGK392064 AWO392059:AWO392064 AMS392059:AMS392064 ACW392059:ACW392064 TA392059:TA392064 JE392059:JE392064 I392080:I392085 WVQ326523:WVQ326528 WLU326523:WLU326528 WBY326523:WBY326528 VSC326523:VSC326528 VIG326523:VIG326528 UYK326523:UYK326528 UOO326523:UOO326528 UES326523:UES326528 TUW326523:TUW326528 TLA326523:TLA326528 TBE326523:TBE326528 SRI326523:SRI326528 SHM326523:SHM326528 RXQ326523:RXQ326528 RNU326523:RNU326528 RDY326523:RDY326528 QUC326523:QUC326528 QKG326523:QKG326528 QAK326523:QAK326528 PQO326523:PQO326528 PGS326523:PGS326528 OWW326523:OWW326528 ONA326523:ONA326528 ODE326523:ODE326528 NTI326523:NTI326528 NJM326523:NJM326528 MZQ326523:MZQ326528 MPU326523:MPU326528 MFY326523:MFY326528 LWC326523:LWC326528 LMG326523:LMG326528 LCK326523:LCK326528 KSO326523:KSO326528 KIS326523:KIS326528 JYW326523:JYW326528 JPA326523:JPA326528 JFE326523:JFE326528 IVI326523:IVI326528 ILM326523:ILM326528 IBQ326523:IBQ326528 HRU326523:HRU326528 HHY326523:HHY326528 GYC326523:GYC326528 GOG326523:GOG326528 GEK326523:GEK326528 FUO326523:FUO326528 FKS326523:FKS326528 FAW326523:FAW326528 ERA326523:ERA326528 EHE326523:EHE326528 DXI326523:DXI326528 DNM326523:DNM326528 DDQ326523:DDQ326528 CTU326523:CTU326528 CJY326523:CJY326528 CAC326523:CAC326528 BQG326523:BQG326528 BGK326523:BGK326528 AWO326523:AWO326528 AMS326523:AMS326528 ACW326523:ACW326528 TA326523:TA326528 JE326523:JE326528 I326544:I326549 WVQ260987:WVQ260992 WLU260987:WLU260992 WBY260987:WBY260992 VSC260987:VSC260992 VIG260987:VIG260992 UYK260987:UYK260992 UOO260987:UOO260992 UES260987:UES260992 TUW260987:TUW260992 TLA260987:TLA260992 TBE260987:TBE260992 SRI260987:SRI260992 SHM260987:SHM260992 RXQ260987:RXQ260992 RNU260987:RNU260992 RDY260987:RDY260992 QUC260987:QUC260992 QKG260987:QKG260992 QAK260987:QAK260992 PQO260987:PQO260992 PGS260987:PGS260992 OWW260987:OWW260992 ONA260987:ONA260992 ODE260987:ODE260992 NTI260987:NTI260992 NJM260987:NJM260992 MZQ260987:MZQ260992 MPU260987:MPU260992 MFY260987:MFY260992 LWC260987:LWC260992 LMG260987:LMG260992 LCK260987:LCK260992 KSO260987:KSO260992 KIS260987:KIS260992 JYW260987:JYW260992 JPA260987:JPA260992 JFE260987:JFE260992 IVI260987:IVI260992 ILM260987:ILM260992 IBQ260987:IBQ260992 HRU260987:HRU260992 HHY260987:HHY260992 GYC260987:GYC260992 GOG260987:GOG260992 GEK260987:GEK260992 FUO260987:FUO260992 FKS260987:FKS260992 FAW260987:FAW260992 ERA260987:ERA260992 EHE260987:EHE260992 DXI260987:DXI260992 DNM260987:DNM260992 DDQ260987:DDQ260992 CTU260987:CTU260992 CJY260987:CJY260992 CAC260987:CAC260992 BQG260987:BQG260992 BGK260987:BGK260992 AWO260987:AWO260992 AMS260987:AMS260992 ACW260987:ACW260992 TA260987:TA260992 JE260987:JE260992 I261008:I261013 WVQ195451:WVQ195456 WLU195451:WLU195456 WBY195451:WBY195456 VSC195451:VSC195456 VIG195451:VIG195456 UYK195451:UYK195456 UOO195451:UOO195456 UES195451:UES195456 TUW195451:TUW195456 TLA195451:TLA195456 TBE195451:TBE195456 SRI195451:SRI195456 SHM195451:SHM195456 RXQ195451:RXQ195456 RNU195451:RNU195456 RDY195451:RDY195456 QUC195451:QUC195456 QKG195451:QKG195456 QAK195451:QAK195456 PQO195451:PQO195456 PGS195451:PGS195456 OWW195451:OWW195456 ONA195451:ONA195456 ODE195451:ODE195456 NTI195451:NTI195456 NJM195451:NJM195456 MZQ195451:MZQ195456 MPU195451:MPU195456 MFY195451:MFY195456 LWC195451:LWC195456 LMG195451:LMG195456 LCK195451:LCK195456 KSO195451:KSO195456 KIS195451:KIS195456 JYW195451:JYW195456 JPA195451:JPA195456 JFE195451:JFE195456 IVI195451:IVI195456 ILM195451:ILM195456 IBQ195451:IBQ195456 HRU195451:HRU195456 HHY195451:HHY195456 GYC195451:GYC195456 GOG195451:GOG195456 GEK195451:GEK195456 FUO195451:FUO195456 FKS195451:FKS195456 FAW195451:FAW195456 ERA195451:ERA195456 EHE195451:EHE195456 DXI195451:DXI195456 DNM195451:DNM195456 DDQ195451:DDQ195456 CTU195451:CTU195456 CJY195451:CJY195456 CAC195451:CAC195456 BQG195451:BQG195456 BGK195451:BGK195456 AWO195451:AWO195456 AMS195451:AMS195456 ACW195451:ACW195456 TA195451:TA195456 JE195451:JE195456 I195472:I195477 WVQ129915:WVQ129920 WLU129915:WLU129920 WBY129915:WBY129920 VSC129915:VSC129920 VIG129915:VIG129920 UYK129915:UYK129920 UOO129915:UOO129920 UES129915:UES129920 TUW129915:TUW129920 TLA129915:TLA129920 TBE129915:TBE129920 SRI129915:SRI129920 SHM129915:SHM129920 RXQ129915:RXQ129920 RNU129915:RNU129920 RDY129915:RDY129920 QUC129915:QUC129920 QKG129915:QKG129920 QAK129915:QAK129920 PQO129915:PQO129920 PGS129915:PGS129920 OWW129915:OWW129920 ONA129915:ONA129920 ODE129915:ODE129920 NTI129915:NTI129920 NJM129915:NJM129920 MZQ129915:MZQ129920 MPU129915:MPU129920 MFY129915:MFY129920 LWC129915:LWC129920 LMG129915:LMG129920 LCK129915:LCK129920 KSO129915:KSO129920 KIS129915:KIS129920 JYW129915:JYW129920 JPA129915:JPA129920 JFE129915:JFE129920 IVI129915:IVI129920 ILM129915:ILM129920 IBQ129915:IBQ129920 HRU129915:HRU129920 HHY129915:HHY129920 GYC129915:GYC129920 GOG129915:GOG129920 GEK129915:GEK129920 FUO129915:FUO129920 FKS129915:FKS129920 FAW129915:FAW129920 ERA129915:ERA129920 EHE129915:EHE129920 DXI129915:DXI129920 DNM129915:DNM129920 DDQ129915:DDQ129920 CTU129915:CTU129920 CJY129915:CJY129920 CAC129915:CAC129920 BQG129915:BQG129920 BGK129915:BGK129920 AWO129915:AWO129920 AMS129915:AMS129920 ACW129915:ACW129920 TA129915:TA129920 JE129915:JE129920 I129936:I129941 WVQ64379:WVQ64384 WLU64379:WLU64384 WBY64379:WBY64384 VSC64379:VSC64384 VIG64379:VIG64384 UYK64379:UYK64384 UOO64379:UOO64384 UES64379:UES64384 TUW64379:TUW64384 TLA64379:TLA64384 TBE64379:TBE64384 SRI64379:SRI64384 SHM64379:SHM64384 RXQ64379:RXQ64384 RNU64379:RNU64384 RDY64379:RDY64384 QUC64379:QUC64384 QKG64379:QKG64384 QAK64379:QAK64384 PQO64379:PQO64384 PGS64379:PGS64384 OWW64379:OWW64384 ONA64379:ONA64384 ODE64379:ODE64384 NTI64379:NTI64384 NJM64379:NJM64384 MZQ64379:MZQ64384 MPU64379:MPU64384 MFY64379:MFY64384 LWC64379:LWC64384 LMG64379:LMG64384 LCK64379:LCK64384 KSO64379:KSO64384 KIS64379:KIS64384 JYW64379:JYW64384 JPA64379:JPA64384 JFE64379:JFE64384 IVI64379:IVI64384 ILM64379:ILM64384 IBQ64379:IBQ64384 HRU64379:HRU64384 HHY64379:HHY64384 GYC64379:GYC64384 GOG64379:GOG64384 GEK64379:GEK64384 FUO64379:FUO64384 FKS64379:FKS64384 FAW64379:FAW64384 ERA64379:ERA64384 EHE64379:EHE64384 DXI64379:DXI64384 DNM64379:DNM64384 DDQ64379:DDQ64384 CTU64379:CTU64384 CJY64379:CJY64384 CAC64379:CAC64384 BQG64379:BQG64384 BGK64379:BGK64384 AWO64379:AWO64384 AMS64379:AMS64384 ACW64379:ACW64384 TA64379:TA64384 JE64379:JE64384">
      <formula1>$AN$8:$AN$9</formula1>
    </dataValidation>
    <dataValidation type="list" allowBlank="1" showInputMessage="1" showErrorMessage="1" sqref="WVS981799:WVS981888 WLW981799:WLW981888 WCA981799:WCA981888 VSE981799:VSE981888 VII981799:VII981888 UYM981799:UYM981888 UOQ981799:UOQ981888 UEU981799:UEU981888 TUY981799:TUY981888 TLC981799:TLC981888 TBG981799:TBG981888 SRK981799:SRK981888 SHO981799:SHO981888 RXS981799:RXS981888 RNW981799:RNW981888 REA981799:REA981888 QUE981799:QUE981888 QKI981799:QKI981888 QAM981799:QAM981888 PQQ981799:PQQ981888 PGU981799:PGU981888 OWY981799:OWY981888 ONC981799:ONC981888 ODG981799:ODG981888 NTK981799:NTK981888 NJO981799:NJO981888 MZS981799:MZS981888 MPW981799:MPW981888 MGA981799:MGA981888 LWE981799:LWE981888 LMI981799:LMI981888 LCM981799:LCM981888 KSQ981799:KSQ981888 KIU981799:KIU981888 JYY981799:JYY981888 JPC981799:JPC981888 JFG981799:JFG981888 IVK981799:IVK981888 ILO981799:ILO981888 IBS981799:IBS981888 HRW981799:HRW981888 HIA981799:HIA981888 GYE981799:GYE981888 GOI981799:GOI981888 GEM981799:GEM981888 FUQ981799:FUQ981888 FKU981799:FKU981888 FAY981799:FAY981888 ERC981799:ERC981888 EHG981799:EHG981888 DXK981799:DXK981888 DNO981799:DNO981888 DDS981799:DDS981888 CTW981799:CTW981888 CKA981799:CKA981888 CAE981799:CAE981888 BQI981799:BQI981888 BGM981799:BGM981888 AWQ981799:AWQ981888 AMU981799:AMU981888 ACY981799:ACY981888 TC981799:TC981888 JG981799:JG981888 K981808:K981897 WVS916263:WVS916352 WLW916263:WLW916352 WCA916263:WCA916352 VSE916263:VSE916352 VII916263:VII916352 UYM916263:UYM916352 UOQ916263:UOQ916352 UEU916263:UEU916352 TUY916263:TUY916352 TLC916263:TLC916352 TBG916263:TBG916352 SRK916263:SRK916352 SHO916263:SHO916352 RXS916263:RXS916352 RNW916263:RNW916352 REA916263:REA916352 QUE916263:QUE916352 QKI916263:QKI916352 QAM916263:QAM916352 PQQ916263:PQQ916352 PGU916263:PGU916352 OWY916263:OWY916352 ONC916263:ONC916352 ODG916263:ODG916352 NTK916263:NTK916352 NJO916263:NJO916352 MZS916263:MZS916352 MPW916263:MPW916352 MGA916263:MGA916352 LWE916263:LWE916352 LMI916263:LMI916352 LCM916263:LCM916352 KSQ916263:KSQ916352 KIU916263:KIU916352 JYY916263:JYY916352 JPC916263:JPC916352 JFG916263:JFG916352 IVK916263:IVK916352 ILO916263:ILO916352 IBS916263:IBS916352 HRW916263:HRW916352 HIA916263:HIA916352 GYE916263:GYE916352 GOI916263:GOI916352 GEM916263:GEM916352 FUQ916263:FUQ916352 FKU916263:FKU916352 FAY916263:FAY916352 ERC916263:ERC916352 EHG916263:EHG916352 DXK916263:DXK916352 DNO916263:DNO916352 DDS916263:DDS916352 CTW916263:CTW916352 CKA916263:CKA916352 CAE916263:CAE916352 BQI916263:BQI916352 BGM916263:BGM916352 AWQ916263:AWQ916352 AMU916263:AMU916352 ACY916263:ACY916352 TC916263:TC916352 JG916263:JG916352 K916272:K916361 WVS850727:WVS850816 WLW850727:WLW850816 WCA850727:WCA850816 VSE850727:VSE850816 VII850727:VII850816 UYM850727:UYM850816 UOQ850727:UOQ850816 UEU850727:UEU850816 TUY850727:TUY850816 TLC850727:TLC850816 TBG850727:TBG850816 SRK850727:SRK850816 SHO850727:SHO850816 RXS850727:RXS850816 RNW850727:RNW850816 REA850727:REA850816 QUE850727:QUE850816 QKI850727:QKI850816 QAM850727:QAM850816 PQQ850727:PQQ850816 PGU850727:PGU850816 OWY850727:OWY850816 ONC850727:ONC850816 ODG850727:ODG850816 NTK850727:NTK850816 NJO850727:NJO850816 MZS850727:MZS850816 MPW850727:MPW850816 MGA850727:MGA850816 LWE850727:LWE850816 LMI850727:LMI850816 LCM850727:LCM850816 KSQ850727:KSQ850816 KIU850727:KIU850816 JYY850727:JYY850816 JPC850727:JPC850816 JFG850727:JFG850816 IVK850727:IVK850816 ILO850727:ILO850816 IBS850727:IBS850816 HRW850727:HRW850816 HIA850727:HIA850816 GYE850727:GYE850816 GOI850727:GOI850816 GEM850727:GEM850816 FUQ850727:FUQ850816 FKU850727:FKU850816 FAY850727:FAY850816 ERC850727:ERC850816 EHG850727:EHG850816 DXK850727:DXK850816 DNO850727:DNO850816 DDS850727:DDS850816 CTW850727:CTW850816 CKA850727:CKA850816 CAE850727:CAE850816 BQI850727:BQI850816 BGM850727:BGM850816 AWQ850727:AWQ850816 AMU850727:AMU850816 ACY850727:ACY850816 TC850727:TC850816 JG850727:JG850816 K850736:K850825 WVS785191:WVS785280 WLW785191:WLW785280 WCA785191:WCA785280 VSE785191:VSE785280 VII785191:VII785280 UYM785191:UYM785280 UOQ785191:UOQ785280 UEU785191:UEU785280 TUY785191:TUY785280 TLC785191:TLC785280 TBG785191:TBG785280 SRK785191:SRK785280 SHO785191:SHO785280 RXS785191:RXS785280 RNW785191:RNW785280 REA785191:REA785280 QUE785191:QUE785280 QKI785191:QKI785280 QAM785191:QAM785280 PQQ785191:PQQ785280 PGU785191:PGU785280 OWY785191:OWY785280 ONC785191:ONC785280 ODG785191:ODG785280 NTK785191:NTK785280 NJO785191:NJO785280 MZS785191:MZS785280 MPW785191:MPW785280 MGA785191:MGA785280 LWE785191:LWE785280 LMI785191:LMI785280 LCM785191:LCM785280 KSQ785191:KSQ785280 KIU785191:KIU785280 JYY785191:JYY785280 JPC785191:JPC785280 JFG785191:JFG785280 IVK785191:IVK785280 ILO785191:ILO785280 IBS785191:IBS785280 HRW785191:HRW785280 HIA785191:HIA785280 GYE785191:GYE785280 GOI785191:GOI785280 GEM785191:GEM785280 FUQ785191:FUQ785280 FKU785191:FKU785280 FAY785191:FAY785280 ERC785191:ERC785280 EHG785191:EHG785280 DXK785191:DXK785280 DNO785191:DNO785280 DDS785191:DDS785280 CTW785191:CTW785280 CKA785191:CKA785280 CAE785191:CAE785280 BQI785191:BQI785280 BGM785191:BGM785280 AWQ785191:AWQ785280 AMU785191:AMU785280 ACY785191:ACY785280 TC785191:TC785280 JG785191:JG785280 K785200:K785289 WVS719655:WVS719744 WLW719655:WLW719744 WCA719655:WCA719744 VSE719655:VSE719744 VII719655:VII719744 UYM719655:UYM719744 UOQ719655:UOQ719744 UEU719655:UEU719744 TUY719655:TUY719744 TLC719655:TLC719744 TBG719655:TBG719744 SRK719655:SRK719744 SHO719655:SHO719744 RXS719655:RXS719744 RNW719655:RNW719744 REA719655:REA719744 QUE719655:QUE719744 QKI719655:QKI719744 QAM719655:QAM719744 PQQ719655:PQQ719744 PGU719655:PGU719744 OWY719655:OWY719744 ONC719655:ONC719744 ODG719655:ODG719744 NTK719655:NTK719744 NJO719655:NJO719744 MZS719655:MZS719744 MPW719655:MPW719744 MGA719655:MGA719744 LWE719655:LWE719744 LMI719655:LMI719744 LCM719655:LCM719744 KSQ719655:KSQ719744 KIU719655:KIU719744 JYY719655:JYY719744 JPC719655:JPC719744 JFG719655:JFG719744 IVK719655:IVK719744 ILO719655:ILO719744 IBS719655:IBS719744 HRW719655:HRW719744 HIA719655:HIA719744 GYE719655:GYE719744 GOI719655:GOI719744 GEM719655:GEM719744 FUQ719655:FUQ719744 FKU719655:FKU719744 FAY719655:FAY719744 ERC719655:ERC719744 EHG719655:EHG719744 DXK719655:DXK719744 DNO719655:DNO719744 DDS719655:DDS719744 CTW719655:CTW719744 CKA719655:CKA719744 CAE719655:CAE719744 BQI719655:BQI719744 BGM719655:BGM719744 AWQ719655:AWQ719744 AMU719655:AMU719744 ACY719655:ACY719744 TC719655:TC719744 JG719655:JG719744 K719664:K719753 WVS654119:WVS654208 WLW654119:WLW654208 WCA654119:WCA654208 VSE654119:VSE654208 VII654119:VII654208 UYM654119:UYM654208 UOQ654119:UOQ654208 UEU654119:UEU654208 TUY654119:TUY654208 TLC654119:TLC654208 TBG654119:TBG654208 SRK654119:SRK654208 SHO654119:SHO654208 RXS654119:RXS654208 RNW654119:RNW654208 REA654119:REA654208 QUE654119:QUE654208 QKI654119:QKI654208 QAM654119:QAM654208 PQQ654119:PQQ654208 PGU654119:PGU654208 OWY654119:OWY654208 ONC654119:ONC654208 ODG654119:ODG654208 NTK654119:NTK654208 NJO654119:NJO654208 MZS654119:MZS654208 MPW654119:MPW654208 MGA654119:MGA654208 LWE654119:LWE654208 LMI654119:LMI654208 LCM654119:LCM654208 KSQ654119:KSQ654208 KIU654119:KIU654208 JYY654119:JYY654208 JPC654119:JPC654208 JFG654119:JFG654208 IVK654119:IVK654208 ILO654119:ILO654208 IBS654119:IBS654208 HRW654119:HRW654208 HIA654119:HIA654208 GYE654119:GYE654208 GOI654119:GOI654208 GEM654119:GEM654208 FUQ654119:FUQ654208 FKU654119:FKU654208 FAY654119:FAY654208 ERC654119:ERC654208 EHG654119:EHG654208 DXK654119:DXK654208 DNO654119:DNO654208 DDS654119:DDS654208 CTW654119:CTW654208 CKA654119:CKA654208 CAE654119:CAE654208 BQI654119:BQI654208 BGM654119:BGM654208 AWQ654119:AWQ654208 AMU654119:AMU654208 ACY654119:ACY654208 TC654119:TC654208 JG654119:JG654208 K654128:K654217 WVS588583:WVS588672 WLW588583:WLW588672 WCA588583:WCA588672 VSE588583:VSE588672 VII588583:VII588672 UYM588583:UYM588672 UOQ588583:UOQ588672 UEU588583:UEU588672 TUY588583:TUY588672 TLC588583:TLC588672 TBG588583:TBG588672 SRK588583:SRK588672 SHO588583:SHO588672 RXS588583:RXS588672 RNW588583:RNW588672 REA588583:REA588672 QUE588583:QUE588672 QKI588583:QKI588672 QAM588583:QAM588672 PQQ588583:PQQ588672 PGU588583:PGU588672 OWY588583:OWY588672 ONC588583:ONC588672 ODG588583:ODG588672 NTK588583:NTK588672 NJO588583:NJO588672 MZS588583:MZS588672 MPW588583:MPW588672 MGA588583:MGA588672 LWE588583:LWE588672 LMI588583:LMI588672 LCM588583:LCM588672 KSQ588583:KSQ588672 KIU588583:KIU588672 JYY588583:JYY588672 JPC588583:JPC588672 JFG588583:JFG588672 IVK588583:IVK588672 ILO588583:ILO588672 IBS588583:IBS588672 HRW588583:HRW588672 HIA588583:HIA588672 GYE588583:GYE588672 GOI588583:GOI588672 GEM588583:GEM588672 FUQ588583:FUQ588672 FKU588583:FKU588672 FAY588583:FAY588672 ERC588583:ERC588672 EHG588583:EHG588672 DXK588583:DXK588672 DNO588583:DNO588672 DDS588583:DDS588672 CTW588583:CTW588672 CKA588583:CKA588672 CAE588583:CAE588672 BQI588583:BQI588672 BGM588583:BGM588672 AWQ588583:AWQ588672 AMU588583:AMU588672 ACY588583:ACY588672 TC588583:TC588672 JG588583:JG588672 K588592:K588681 WVS523047:WVS523136 WLW523047:WLW523136 WCA523047:WCA523136 VSE523047:VSE523136 VII523047:VII523136 UYM523047:UYM523136 UOQ523047:UOQ523136 UEU523047:UEU523136 TUY523047:TUY523136 TLC523047:TLC523136 TBG523047:TBG523136 SRK523047:SRK523136 SHO523047:SHO523136 RXS523047:RXS523136 RNW523047:RNW523136 REA523047:REA523136 QUE523047:QUE523136 QKI523047:QKI523136 QAM523047:QAM523136 PQQ523047:PQQ523136 PGU523047:PGU523136 OWY523047:OWY523136 ONC523047:ONC523136 ODG523047:ODG523136 NTK523047:NTK523136 NJO523047:NJO523136 MZS523047:MZS523136 MPW523047:MPW523136 MGA523047:MGA523136 LWE523047:LWE523136 LMI523047:LMI523136 LCM523047:LCM523136 KSQ523047:KSQ523136 KIU523047:KIU523136 JYY523047:JYY523136 JPC523047:JPC523136 JFG523047:JFG523136 IVK523047:IVK523136 ILO523047:ILO523136 IBS523047:IBS523136 HRW523047:HRW523136 HIA523047:HIA523136 GYE523047:GYE523136 GOI523047:GOI523136 GEM523047:GEM523136 FUQ523047:FUQ523136 FKU523047:FKU523136 FAY523047:FAY523136 ERC523047:ERC523136 EHG523047:EHG523136 DXK523047:DXK523136 DNO523047:DNO523136 DDS523047:DDS523136 CTW523047:CTW523136 CKA523047:CKA523136 CAE523047:CAE523136 BQI523047:BQI523136 BGM523047:BGM523136 AWQ523047:AWQ523136 AMU523047:AMU523136 ACY523047:ACY523136 TC523047:TC523136 JG523047:JG523136 K523056:K523145 WVS457511:WVS457600 WLW457511:WLW457600 WCA457511:WCA457600 VSE457511:VSE457600 VII457511:VII457600 UYM457511:UYM457600 UOQ457511:UOQ457600 UEU457511:UEU457600 TUY457511:TUY457600 TLC457511:TLC457600 TBG457511:TBG457600 SRK457511:SRK457600 SHO457511:SHO457600 RXS457511:RXS457600 RNW457511:RNW457600 REA457511:REA457600 QUE457511:QUE457600 QKI457511:QKI457600 QAM457511:QAM457600 PQQ457511:PQQ457600 PGU457511:PGU457600 OWY457511:OWY457600 ONC457511:ONC457600 ODG457511:ODG457600 NTK457511:NTK457600 NJO457511:NJO457600 MZS457511:MZS457600 MPW457511:MPW457600 MGA457511:MGA457600 LWE457511:LWE457600 LMI457511:LMI457600 LCM457511:LCM457600 KSQ457511:KSQ457600 KIU457511:KIU457600 JYY457511:JYY457600 JPC457511:JPC457600 JFG457511:JFG457600 IVK457511:IVK457600 ILO457511:ILO457600 IBS457511:IBS457600 HRW457511:HRW457600 HIA457511:HIA457600 GYE457511:GYE457600 GOI457511:GOI457600 GEM457511:GEM457600 FUQ457511:FUQ457600 FKU457511:FKU457600 FAY457511:FAY457600 ERC457511:ERC457600 EHG457511:EHG457600 DXK457511:DXK457600 DNO457511:DNO457600 DDS457511:DDS457600 CTW457511:CTW457600 CKA457511:CKA457600 CAE457511:CAE457600 BQI457511:BQI457600 BGM457511:BGM457600 AWQ457511:AWQ457600 AMU457511:AMU457600 ACY457511:ACY457600 TC457511:TC457600 JG457511:JG457600 K457520:K457609 WVS391975:WVS392064 WLW391975:WLW392064 WCA391975:WCA392064 VSE391975:VSE392064 VII391975:VII392064 UYM391975:UYM392064 UOQ391975:UOQ392064 UEU391975:UEU392064 TUY391975:TUY392064 TLC391975:TLC392064 TBG391975:TBG392064 SRK391975:SRK392064 SHO391975:SHO392064 RXS391975:RXS392064 RNW391975:RNW392064 REA391975:REA392064 QUE391975:QUE392064 QKI391975:QKI392064 QAM391975:QAM392064 PQQ391975:PQQ392064 PGU391975:PGU392064 OWY391975:OWY392064 ONC391975:ONC392064 ODG391975:ODG392064 NTK391975:NTK392064 NJO391975:NJO392064 MZS391975:MZS392064 MPW391975:MPW392064 MGA391975:MGA392064 LWE391975:LWE392064 LMI391975:LMI392064 LCM391975:LCM392064 KSQ391975:KSQ392064 KIU391975:KIU392064 JYY391975:JYY392064 JPC391975:JPC392064 JFG391975:JFG392064 IVK391975:IVK392064 ILO391975:ILO392064 IBS391975:IBS392064 HRW391975:HRW392064 HIA391975:HIA392064 GYE391975:GYE392064 GOI391975:GOI392064 GEM391975:GEM392064 FUQ391975:FUQ392064 FKU391975:FKU392064 FAY391975:FAY392064 ERC391975:ERC392064 EHG391975:EHG392064 DXK391975:DXK392064 DNO391975:DNO392064 DDS391975:DDS392064 CTW391975:CTW392064 CKA391975:CKA392064 CAE391975:CAE392064 BQI391975:BQI392064 BGM391975:BGM392064 AWQ391975:AWQ392064 AMU391975:AMU392064 ACY391975:ACY392064 TC391975:TC392064 JG391975:JG392064 K391984:K392073 WVS326439:WVS326528 WLW326439:WLW326528 WCA326439:WCA326528 VSE326439:VSE326528 VII326439:VII326528 UYM326439:UYM326528 UOQ326439:UOQ326528 UEU326439:UEU326528 TUY326439:TUY326528 TLC326439:TLC326528 TBG326439:TBG326528 SRK326439:SRK326528 SHO326439:SHO326528 RXS326439:RXS326528 RNW326439:RNW326528 REA326439:REA326528 QUE326439:QUE326528 QKI326439:QKI326528 QAM326439:QAM326528 PQQ326439:PQQ326528 PGU326439:PGU326528 OWY326439:OWY326528 ONC326439:ONC326528 ODG326439:ODG326528 NTK326439:NTK326528 NJO326439:NJO326528 MZS326439:MZS326528 MPW326439:MPW326528 MGA326439:MGA326528 LWE326439:LWE326528 LMI326439:LMI326528 LCM326439:LCM326528 KSQ326439:KSQ326528 KIU326439:KIU326528 JYY326439:JYY326528 JPC326439:JPC326528 JFG326439:JFG326528 IVK326439:IVK326528 ILO326439:ILO326528 IBS326439:IBS326528 HRW326439:HRW326528 HIA326439:HIA326528 GYE326439:GYE326528 GOI326439:GOI326528 GEM326439:GEM326528 FUQ326439:FUQ326528 FKU326439:FKU326528 FAY326439:FAY326528 ERC326439:ERC326528 EHG326439:EHG326528 DXK326439:DXK326528 DNO326439:DNO326528 DDS326439:DDS326528 CTW326439:CTW326528 CKA326439:CKA326528 CAE326439:CAE326528 BQI326439:BQI326528 BGM326439:BGM326528 AWQ326439:AWQ326528 AMU326439:AMU326528 ACY326439:ACY326528 TC326439:TC326528 JG326439:JG326528 K326448:K326537 WVS260903:WVS260992 WLW260903:WLW260992 WCA260903:WCA260992 VSE260903:VSE260992 VII260903:VII260992 UYM260903:UYM260992 UOQ260903:UOQ260992 UEU260903:UEU260992 TUY260903:TUY260992 TLC260903:TLC260992 TBG260903:TBG260992 SRK260903:SRK260992 SHO260903:SHO260992 RXS260903:RXS260992 RNW260903:RNW260992 REA260903:REA260992 QUE260903:QUE260992 QKI260903:QKI260992 QAM260903:QAM260992 PQQ260903:PQQ260992 PGU260903:PGU260992 OWY260903:OWY260992 ONC260903:ONC260992 ODG260903:ODG260992 NTK260903:NTK260992 NJO260903:NJO260992 MZS260903:MZS260992 MPW260903:MPW260992 MGA260903:MGA260992 LWE260903:LWE260992 LMI260903:LMI260992 LCM260903:LCM260992 KSQ260903:KSQ260992 KIU260903:KIU260992 JYY260903:JYY260992 JPC260903:JPC260992 JFG260903:JFG260992 IVK260903:IVK260992 ILO260903:ILO260992 IBS260903:IBS260992 HRW260903:HRW260992 HIA260903:HIA260992 GYE260903:GYE260992 GOI260903:GOI260992 GEM260903:GEM260992 FUQ260903:FUQ260992 FKU260903:FKU260992 FAY260903:FAY260992 ERC260903:ERC260992 EHG260903:EHG260992 DXK260903:DXK260992 DNO260903:DNO260992 DDS260903:DDS260992 CTW260903:CTW260992 CKA260903:CKA260992 CAE260903:CAE260992 BQI260903:BQI260992 BGM260903:BGM260992 AWQ260903:AWQ260992 AMU260903:AMU260992 ACY260903:ACY260992 TC260903:TC260992 JG260903:JG260992 K260912:K261001 WVS195367:WVS195456 WLW195367:WLW195456 WCA195367:WCA195456 VSE195367:VSE195456 VII195367:VII195456 UYM195367:UYM195456 UOQ195367:UOQ195456 UEU195367:UEU195456 TUY195367:TUY195456 TLC195367:TLC195456 TBG195367:TBG195456 SRK195367:SRK195456 SHO195367:SHO195456 RXS195367:RXS195456 RNW195367:RNW195456 REA195367:REA195456 QUE195367:QUE195456 QKI195367:QKI195456 QAM195367:QAM195456 PQQ195367:PQQ195456 PGU195367:PGU195456 OWY195367:OWY195456 ONC195367:ONC195456 ODG195367:ODG195456 NTK195367:NTK195456 NJO195367:NJO195456 MZS195367:MZS195456 MPW195367:MPW195456 MGA195367:MGA195456 LWE195367:LWE195456 LMI195367:LMI195456 LCM195367:LCM195456 KSQ195367:KSQ195456 KIU195367:KIU195456 JYY195367:JYY195456 JPC195367:JPC195456 JFG195367:JFG195456 IVK195367:IVK195456 ILO195367:ILO195456 IBS195367:IBS195456 HRW195367:HRW195456 HIA195367:HIA195456 GYE195367:GYE195456 GOI195367:GOI195456 GEM195367:GEM195456 FUQ195367:FUQ195456 FKU195367:FKU195456 FAY195367:FAY195456 ERC195367:ERC195456 EHG195367:EHG195456 DXK195367:DXK195456 DNO195367:DNO195456 DDS195367:DDS195456 CTW195367:CTW195456 CKA195367:CKA195456 CAE195367:CAE195456 BQI195367:BQI195456 BGM195367:BGM195456 AWQ195367:AWQ195456 AMU195367:AMU195456 ACY195367:ACY195456 TC195367:TC195456 JG195367:JG195456 K195376:K195465 WVS129831:WVS129920 WLW129831:WLW129920 WCA129831:WCA129920 VSE129831:VSE129920 VII129831:VII129920 UYM129831:UYM129920 UOQ129831:UOQ129920 UEU129831:UEU129920 TUY129831:TUY129920 TLC129831:TLC129920 TBG129831:TBG129920 SRK129831:SRK129920 SHO129831:SHO129920 RXS129831:RXS129920 RNW129831:RNW129920 REA129831:REA129920 QUE129831:QUE129920 QKI129831:QKI129920 QAM129831:QAM129920 PQQ129831:PQQ129920 PGU129831:PGU129920 OWY129831:OWY129920 ONC129831:ONC129920 ODG129831:ODG129920 NTK129831:NTK129920 NJO129831:NJO129920 MZS129831:MZS129920 MPW129831:MPW129920 MGA129831:MGA129920 LWE129831:LWE129920 LMI129831:LMI129920 LCM129831:LCM129920 KSQ129831:KSQ129920 KIU129831:KIU129920 JYY129831:JYY129920 JPC129831:JPC129920 JFG129831:JFG129920 IVK129831:IVK129920 ILO129831:ILO129920 IBS129831:IBS129920 HRW129831:HRW129920 HIA129831:HIA129920 GYE129831:GYE129920 GOI129831:GOI129920 GEM129831:GEM129920 FUQ129831:FUQ129920 FKU129831:FKU129920 FAY129831:FAY129920 ERC129831:ERC129920 EHG129831:EHG129920 DXK129831:DXK129920 DNO129831:DNO129920 DDS129831:DDS129920 CTW129831:CTW129920 CKA129831:CKA129920 CAE129831:CAE129920 BQI129831:BQI129920 BGM129831:BGM129920 AWQ129831:AWQ129920 AMU129831:AMU129920 ACY129831:ACY129920 TC129831:TC129920 JG129831:JG129920 K129840:K129929 WVS64295:WVS64384 WLW64295:WLW64384 WCA64295:WCA64384 VSE64295:VSE64384 VII64295:VII64384 UYM64295:UYM64384 UOQ64295:UOQ64384 UEU64295:UEU64384 TUY64295:TUY64384 TLC64295:TLC64384 TBG64295:TBG64384 SRK64295:SRK64384 SHO64295:SHO64384 RXS64295:RXS64384 RNW64295:RNW64384 REA64295:REA64384 QUE64295:QUE64384 QKI64295:QKI64384 QAM64295:QAM64384 PQQ64295:PQQ64384 PGU64295:PGU64384 OWY64295:OWY64384 ONC64295:ONC64384 ODG64295:ODG64384 NTK64295:NTK64384 NJO64295:NJO64384 MZS64295:MZS64384 MPW64295:MPW64384 MGA64295:MGA64384 LWE64295:LWE64384 LMI64295:LMI64384 LCM64295:LCM64384 KSQ64295:KSQ64384 KIU64295:KIU64384 JYY64295:JYY64384 JPC64295:JPC64384 JFG64295:JFG64384 IVK64295:IVK64384 ILO64295:ILO64384 IBS64295:IBS64384 HRW64295:HRW64384 HIA64295:HIA64384 GYE64295:GYE64384 GOI64295:GOI64384 GEM64295:GEM64384 FUQ64295:FUQ64384 FKU64295:FKU64384 FAY64295:FAY64384 ERC64295:ERC64384 EHG64295:EHG64384 DXK64295:DXK64384 DNO64295:DNO64384 DDS64295:DDS64384 CTW64295:CTW64384 CKA64295:CKA64384 CAE64295:CAE64384 BQI64295:BQI64384 BGM64295:BGM64384 AWQ64295:AWQ64384 AMU64295:AMU64384 ACY64295:ACY64384 TC64295:TC64384 JG64295:JG64384 K64304:K64393 JG2:JG67 TC2:TC67 ACY2:ACY67 AMU2:AMU67 AWQ2:AWQ67 BGM2:BGM67 BQI2:BQI67 CAE2:CAE67 CKA2:CKA67 CTW2:CTW67 DDS2:DDS67 DNO2:DNO67 DXK2:DXK67 EHG2:EHG67 ERC2:ERC67 FAY2:FAY67 FKU2:FKU67 FUQ2:FUQ67 GEM2:GEM67 GOI2:GOI67 GYE2:GYE67 HIA2:HIA67 HRW2:HRW67 IBS2:IBS67 ILO2:ILO67 IVK2:IVK67 JFG2:JFG67 JPC2:JPC67 JYY2:JYY67 KIU2:KIU67 KSQ2:KSQ67 LCM2:LCM67 LMI2:LMI67 LWE2:LWE67 MGA2:MGA67 MPW2:MPW67 MZS2:MZS67 NJO2:NJO67 NTK2:NTK67 ODG2:ODG67 ONC2:ONC67 OWY2:OWY67 PGU2:PGU67 PQQ2:PQQ67 QAM2:QAM67 QKI2:QKI67 QUE2:QUE67 REA2:REA67 RNW2:RNW67 RXS2:RXS67 SHO2:SHO67 SRK2:SRK67 TBG2:TBG67 TLC2:TLC67 TUY2:TUY67 UEU2:UEU67 UOQ2:UOQ67 UYM2:UYM67 VII2:VII67 VSE2:VSE67 WCA2:WCA67 WLW2:WLW67 WVS2:WVS67">
      <formula1>$AR$2:$AR$24</formula1>
    </dataValidation>
    <dataValidation type="list" allowBlank="1" showInputMessage="1" showErrorMessage="1" sqref="WVR981799:WVR981888 WLV981799:WLV981888 WBZ981799:WBZ981888 VSD981799:VSD981888 VIH981799:VIH981888 UYL981799:UYL981888 UOP981799:UOP981888 UET981799:UET981888 TUX981799:TUX981888 TLB981799:TLB981888 TBF981799:TBF981888 SRJ981799:SRJ981888 SHN981799:SHN981888 RXR981799:RXR981888 RNV981799:RNV981888 RDZ981799:RDZ981888 QUD981799:QUD981888 QKH981799:QKH981888 QAL981799:QAL981888 PQP981799:PQP981888 PGT981799:PGT981888 OWX981799:OWX981888 ONB981799:ONB981888 ODF981799:ODF981888 NTJ981799:NTJ981888 NJN981799:NJN981888 MZR981799:MZR981888 MPV981799:MPV981888 MFZ981799:MFZ981888 LWD981799:LWD981888 LMH981799:LMH981888 LCL981799:LCL981888 KSP981799:KSP981888 KIT981799:KIT981888 JYX981799:JYX981888 JPB981799:JPB981888 JFF981799:JFF981888 IVJ981799:IVJ981888 ILN981799:ILN981888 IBR981799:IBR981888 HRV981799:HRV981888 HHZ981799:HHZ981888 GYD981799:GYD981888 GOH981799:GOH981888 GEL981799:GEL981888 FUP981799:FUP981888 FKT981799:FKT981888 FAX981799:FAX981888 ERB981799:ERB981888 EHF981799:EHF981888 DXJ981799:DXJ981888 DNN981799:DNN981888 DDR981799:DDR981888 CTV981799:CTV981888 CJZ981799:CJZ981888 CAD981799:CAD981888 BQH981799:BQH981888 BGL981799:BGL981888 AWP981799:AWP981888 AMT981799:AMT981888 ACX981799:ACX981888 TB981799:TB981888 JF981799:JF981888 J981808:J981897 WVR916263:WVR916352 WLV916263:WLV916352 WBZ916263:WBZ916352 VSD916263:VSD916352 VIH916263:VIH916352 UYL916263:UYL916352 UOP916263:UOP916352 UET916263:UET916352 TUX916263:TUX916352 TLB916263:TLB916352 TBF916263:TBF916352 SRJ916263:SRJ916352 SHN916263:SHN916352 RXR916263:RXR916352 RNV916263:RNV916352 RDZ916263:RDZ916352 QUD916263:QUD916352 QKH916263:QKH916352 QAL916263:QAL916352 PQP916263:PQP916352 PGT916263:PGT916352 OWX916263:OWX916352 ONB916263:ONB916352 ODF916263:ODF916352 NTJ916263:NTJ916352 NJN916263:NJN916352 MZR916263:MZR916352 MPV916263:MPV916352 MFZ916263:MFZ916352 LWD916263:LWD916352 LMH916263:LMH916352 LCL916263:LCL916352 KSP916263:KSP916352 KIT916263:KIT916352 JYX916263:JYX916352 JPB916263:JPB916352 JFF916263:JFF916352 IVJ916263:IVJ916352 ILN916263:ILN916352 IBR916263:IBR916352 HRV916263:HRV916352 HHZ916263:HHZ916352 GYD916263:GYD916352 GOH916263:GOH916352 GEL916263:GEL916352 FUP916263:FUP916352 FKT916263:FKT916352 FAX916263:FAX916352 ERB916263:ERB916352 EHF916263:EHF916352 DXJ916263:DXJ916352 DNN916263:DNN916352 DDR916263:DDR916352 CTV916263:CTV916352 CJZ916263:CJZ916352 CAD916263:CAD916352 BQH916263:BQH916352 BGL916263:BGL916352 AWP916263:AWP916352 AMT916263:AMT916352 ACX916263:ACX916352 TB916263:TB916352 JF916263:JF916352 J916272:J916361 WVR850727:WVR850816 WLV850727:WLV850816 WBZ850727:WBZ850816 VSD850727:VSD850816 VIH850727:VIH850816 UYL850727:UYL850816 UOP850727:UOP850816 UET850727:UET850816 TUX850727:TUX850816 TLB850727:TLB850816 TBF850727:TBF850816 SRJ850727:SRJ850816 SHN850727:SHN850816 RXR850727:RXR850816 RNV850727:RNV850816 RDZ850727:RDZ850816 QUD850727:QUD850816 QKH850727:QKH850816 QAL850727:QAL850816 PQP850727:PQP850816 PGT850727:PGT850816 OWX850727:OWX850816 ONB850727:ONB850816 ODF850727:ODF850816 NTJ850727:NTJ850816 NJN850727:NJN850816 MZR850727:MZR850816 MPV850727:MPV850816 MFZ850727:MFZ850816 LWD850727:LWD850816 LMH850727:LMH850816 LCL850727:LCL850816 KSP850727:KSP850816 KIT850727:KIT850816 JYX850727:JYX850816 JPB850727:JPB850816 JFF850727:JFF850816 IVJ850727:IVJ850816 ILN850727:ILN850816 IBR850727:IBR850816 HRV850727:HRV850816 HHZ850727:HHZ850816 GYD850727:GYD850816 GOH850727:GOH850816 GEL850727:GEL850816 FUP850727:FUP850816 FKT850727:FKT850816 FAX850727:FAX850816 ERB850727:ERB850816 EHF850727:EHF850816 DXJ850727:DXJ850816 DNN850727:DNN850816 DDR850727:DDR850816 CTV850727:CTV850816 CJZ850727:CJZ850816 CAD850727:CAD850816 BQH850727:BQH850816 BGL850727:BGL850816 AWP850727:AWP850816 AMT850727:AMT850816 ACX850727:ACX850816 TB850727:TB850816 JF850727:JF850816 J850736:J850825 WVR785191:WVR785280 WLV785191:WLV785280 WBZ785191:WBZ785280 VSD785191:VSD785280 VIH785191:VIH785280 UYL785191:UYL785280 UOP785191:UOP785280 UET785191:UET785280 TUX785191:TUX785280 TLB785191:TLB785280 TBF785191:TBF785280 SRJ785191:SRJ785280 SHN785191:SHN785280 RXR785191:RXR785280 RNV785191:RNV785280 RDZ785191:RDZ785280 QUD785191:QUD785280 QKH785191:QKH785280 QAL785191:QAL785280 PQP785191:PQP785280 PGT785191:PGT785280 OWX785191:OWX785280 ONB785191:ONB785280 ODF785191:ODF785280 NTJ785191:NTJ785280 NJN785191:NJN785280 MZR785191:MZR785280 MPV785191:MPV785280 MFZ785191:MFZ785280 LWD785191:LWD785280 LMH785191:LMH785280 LCL785191:LCL785280 KSP785191:KSP785280 KIT785191:KIT785280 JYX785191:JYX785280 JPB785191:JPB785280 JFF785191:JFF785280 IVJ785191:IVJ785280 ILN785191:ILN785280 IBR785191:IBR785280 HRV785191:HRV785280 HHZ785191:HHZ785280 GYD785191:GYD785280 GOH785191:GOH785280 GEL785191:GEL785280 FUP785191:FUP785280 FKT785191:FKT785280 FAX785191:FAX785280 ERB785191:ERB785280 EHF785191:EHF785280 DXJ785191:DXJ785280 DNN785191:DNN785280 DDR785191:DDR785280 CTV785191:CTV785280 CJZ785191:CJZ785280 CAD785191:CAD785280 BQH785191:BQH785280 BGL785191:BGL785280 AWP785191:AWP785280 AMT785191:AMT785280 ACX785191:ACX785280 TB785191:TB785280 JF785191:JF785280 J785200:J785289 WVR719655:WVR719744 WLV719655:WLV719744 WBZ719655:WBZ719744 VSD719655:VSD719744 VIH719655:VIH719744 UYL719655:UYL719744 UOP719655:UOP719744 UET719655:UET719744 TUX719655:TUX719744 TLB719655:TLB719744 TBF719655:TBF719744 SRJ719655:SRJ719744 SHN719655:SHN719744 RXR719655:RXR719744 RNV719655:RNV719744 RDZ719655:RDZ719744 QUD719655:QUD719744 QKH719655:QKH719744 QAL719655:QAL719744 PQP719655:PQP719744 PGT719655:PGT719744 OWX719655:OWX719744 ONB719655:ONB719744 ODF719655:ODF719744 NTJ719655:NTJ719744 NJN719655:NJN719744 MZR719655:MZR719744 MPV719655:MPV719744 MFZ719655:MFZ719744 LWD719655:LWD719744 LMH719655:LMH719744 LCL719655:LCL719744 KSP719655:KSP719744 KIT719655:KIT719744 JYX719655:JYX719744 JPB719655:JPB719744 JFF719655:JFF719744 IVJ719655:IVJ719744 ILN719655:ILN719744 IBR719655:IBR719744 HRV719655:HRV719744 HHZ719655:HHZ719744 GYD719655:GYD719744 GOH719655:GOH719744 GEL719655:GEL719744 FUP719655:FUP719744 FKT719655:FKT719744 FAX719655:FAX719744 ERB719655:ERB719744 EHF719655:EHF719744 DXJ719655:DXJ719744 DNN719655:DNN719744 DDR719655:DDR719744 CTV719655:CTV719744 CJZ719655:CJZ719744 CAD719655:CAD719744 BQH719655:BQH719744 BGL719655:BGL719744 AWP719655:AWP719744 AMT719655:AMT719744 ACX719655:ACX719744 TB719655:TB719744 JF719655:JF719744 J719664:J719753 WVR654119:WVR654208 WLV654119:WLV654208 WBZ654119:WBZ654208 VSD654119:VSD654208 VIH654119:VIH654208 UYL654119:UYL654208 UOP654119:UOP654208 UET654119:UET654208 TUX654119:TUX654208 TLB654119:TLB654208 TBF654119:TBF654208 SRJ654119:SRJ654208 SHN654119:SHN654208 RXR654119:RXR654208 RNV654119:RNV654208 RDZ654119:RDZ654208 QUD654119:QUD654208 QKH654119:QKH654208 QAL654119:QAL654208 PQP654119:PQP654208 PGT654119:PGT654208 OWX654119:OWX654208 ONB654119:ONB654208 ODF654119:ODF654208 NTJ654119:NTJ654208 NJN654119:NJN654208 MZR654119:MZR654208 MPV654119:MPV654208 MFZ654119:MFZ654208 LWD654119:LWD654208 LMH654119:LMH654208 LCL654119:LCL654208 KSP654119:KSP654208 KIT654119:KIT654208 JYX654119:JYX654208 JPB654119:JPB654208 JFF654119:JFF654208 IVJ654119:IVJ654208 ILN654119:ILN654208 IBR654119:IBR654208 HRV654119:HRV654208 HHZ654119:HHZ654208 GYD654119:GYD654208 GOH654119:GOH654208 GEL654119:GEL654208 FUP654119:FUP654208 FKT654119:FKT654208 FAX654119:FAX654208 ERB654119:ERB654208 EHF654119:EHF654208 DXJ654119:DXJ654208 DNN654119:DNN654208 DDR654119:DDR654208 CTV654119:CTV654208 CJZ654119:CJZ654208 CAD654119:CAD654208 BQH654119:BQH654208 BGL654119:BGL654208 AWP654119:AWP654208 AMT654119:AMT654208 ACX654119:ACX654208 TB654119:TB654208 JF654119:JF654208 J654128:J654217 WVR588583:WVR588672 WLV588583:WLV588672 WBZ588583:WBZ588672 VSD588583:VSD588672 VIH588583:VIH588672 UYL588583:UYL588672 UOP588583:UOP588672 UET588583:UET588672 TUX588583:TUX588672 TLB588583:TLB588672 TBF588583:TBF588672 SRJ588583:SRJ588672 SHN588583:SHN588672 RXR588583:RXR588672 RNV588583:RNV588672 RDZ588583:RDZ588672 QUD588583:QUD588672 QKH588583:QKH588672 QAL588583:QAL588672 PQP588583:PQP588672 PGT588583:PGT588672 OWX588583:OWX588672 ONB588583:ONB588672 ODF588583:ODF588672 NTJ588583:NTJ588672 NJN588583:NJN588672 MZR588583:MZR588672 MPV588583:MPV588672 MFZ588583:MFZ588672 LWD588583:LWD588672 LMH588583:LMH588672 LCL588583:LCL588672 KSP588583:KSP588672 KIT588583:KIT588672 JYX588583:JYX588672 JPB588583:JPB588672 JFF588583:JFF588672 IVJ588583:IVJ588672 ILN588583:ILN588672 IBR588583:IBR588672 HRV588583:HRV588672 HHZ588583:HHZ588672 GYD588583:GYD588672 GOH588583:GOH588672 GEL588583:GEL588672 FUP588583:FUP588672 FKT588583:FKT588672 FAX588583:FAX588672 ERB588583:ERB588672 EHF588583:EHF588672 DXJ588583:DXJ588672 DNN588583:DNN588672 DDR588583:DDR588672 CTV588583:CTV588672 CJZ588583:CJZ588672 CAD588583:CAD588672 BQH588583:BQH588672 BGL588583:BGL588672 AWP588583:AWP588672 AMT588583:AMT588672 ACX588583:ACX588672 TB588583:TB588672 JF588583:JF588672 J588592:J588681 WVR523047:WVR523136 WLV523047:WLV523136 WBZ523047:WBZ523136 VSD523047:VSD523136 VIH523047:VIH523136 UYL523047:UYL523136 UOP523047:UOP523136 UET523047:UET523136 TUX523047:TUX523136 TLB523047:TLB523136 TBF523047:TBF523136 SRJ523047:SRJ523136 SHN523047:SHN523136 RXR523047:RXR523136 RNV523047:RNV523136 RDZ523047:RDZ523136 QUD523047:QUD523136 QKH523047:QKH523136 QAL523047:QAL523136 PQP523047:PQP523136 PGT523047:PGT523136 OWX523047:OWX523136 ONB523047:ONB523136 ODF523047:ODF523136 NTJ523047:NTJ523136 NJN523047:NJN523136 MZR523047:MZR523136 MPV523047:MPV523136 MFZ523047:MFZ523136 LWD523047:LWD523136 LMH523047:LMH523136 LCL523047:LCL523136 KSP523047:KSP523136 KIT523047:KIT523136 JYX523047:JYX523136 JPB523047:JPB523136 JFF523047:JFF523136 IVJ523047:IVJ523136 ILN523047:ILN523136 IBR523047:IBR523136 HRV523047:HRV523136 HHZ523047:HHZ523136 GYD523047:GYD523136 GOH523047:GOH523136 GEL523047:GEL523136 FUP523047:FUP523136 FKT523047:FKT523136 FAX523047:FAX523136 ERB523047:ERB523136 EHF523047:EHF523136 DXJ523047:DXJ523136 DNN523047:DNN523136 DDR523047:DDR523136 CTV523047:CTV523136 CJZ523047:CJZ523136 CAD523047:CAD523136 BQH523047:BQH523136 BGL523047:BGL523136 AWP523047:AWP523136 AMT523047:AMT523136 ACX523047:ACX523136 TB523047:TB523136 JF523047:JF523136 J523056:J523145 WVR457511:WVR457600 WLV457511:WLV457600 WBZ457511:WBZ457600 VSD457511:VSD457600 VIH457511:VIH457600 UYL457511:UYL457600 UOP457511:UOP457600 UET457511:UET457600 TUX457511:TUX457600 TLB457511:TLB457600 TBF457511:TBF457600 SRJ457511:SRJ457600 SHN457511:SHN457600 RXR457511:RXR457600 RNV457511:RNV457600 RDZ457511:RDZ457600 QUD457511:QUD457600 QKH457511:QKH457600 QAL457511:QAL457600 PQP457511:PQP457600 PGT457511:PGT457600 OWX457511:OWX457600 ONB457511:ONB457600 ODF457511:ODF457600 NTJ457511:NTJ457600 NJN457511:NJN457600 MZR457511:MZR457600 MPV457511:MPV457600 MFZ457511:MFZ457600 LWD457511:LWD457600 LMH457511:LMH457600 LCL457511:LCL457600 KSP457511:KSP457600 KIT457511:KIT457600 JYX457511:JYX457600 JPB457511:JPB457600 JFF457511:JFF457600 IVJ457511:IVJ457600 ILN457511:ILN457600 IBR457511:IBR457600 HRV457511:HRV457600 HHZ457511:HHZ457600 GYD457511:GYD457600 GOH457511:GOH457600 GEL457511:GEL457600 FUP457511:FUP457600 FKT457511:FKT457600 FAX457511:FAX457600 ERB457511:ERB457600 EHF457511:EHF457600 DXJ457511:DXJ457600 DNN457511:DNN457600 DDR457511:DDR457600 CTV457511:CTV457600 CJZ457511:CJZ457600 CAD457511:CAD457600 BQH457511:BQH457600 BGL457511:BGL457600 AWP457511:AWP457600 AMT457511:AMT457600 ACX457511:ACX457600 TB457511:TB457600 JF457511:JF457600 J457520:J457609 WVR391975:WVR392064 WLV391975:WLV392064 WBZ391975:WBZ392064 VSD391975:VSD392064 VIH391975:VIH392064 UYL391975:UYL392064 UOP391975:UOP392064 UET391975:UET392064 TUX391975:TUX392064 TLB391975:TLB392064 TBF391975:TBF392064 SRJ391975:SRJ392064 SHN391975:SHN392064 RXR391975:RXR392064 RNV391975:RNV392064 RDZ391975:RDZ392064 QUD391975:QUD392064 QKH391975:QKH392064 QAL391975:QAL392064 PQP391975:PQP392064 PGT391975:PGT392064 OWX391975:OWX392064 ONB391975:ONB392064 ODF391975:ODF392064 NTJ391975:NTJ392064 NJN391975:NJN392064 MZR391975:MZR392064 MPV391975:MPV392064 MFZ391975:MFZ392064 LWD391975:LWD392064 LMH391975:LMH392064 LCL391975:LCL392064 KSP391975:KSP392064 KIT391975:KIT392064 JYX391975:JYX392064 JPB391975:JPB392064 JFF391975:JFF392064 IVJ391975:IVJ392064 ILN391975:ILN392064 IBR391975:IBR392064 HRV391975:HRV392064 HHZ391975:HHZ392064 GYD391975:GYD392064 GOH391975:GOH392064 GEL391975:GEL392064 FUP391975:FUP392064 FKT391975:FKT392064 FAX391975:FAX392064 ERB391975:ERB392064 EHF391975:EHF392064 DXJ391975:DXJ392064 DNN391975:DNN392064 DDR391975:DDR392064 CTV391975:CTV392064 CJZ391975:CJZ392064 CAD391975:CAD392064 BQH391975:BQH392064 BGL391975:BGL392064 AWP391975:AWP392064 AMT391975:AMT392064 ACX391975:ACX392064 TB391975:TB392064 JF391975:JF392064 J391984:J392073 WVR326439:WVR326528 WLV326439:WLV326528 WBZ326439:WBZ326528 VSD326439:VSD326528 VIH326439:VIH326528 UYL326439:UYL326528 UOP326439:UOP326528 UET326439:UET326528 TUX326439:TUX326528 TLB326439:TLB326528 TBF326439:TBF326528 SRJ326439:SRJ326528 SHN326439:SHN326528 RXR326439:RXR326528 RNV326439:RNV326528 RDZ326439:RDZ326528 QUD326439:QUD326528 QKH326439:QKH326528 QAL326439:QAL326528 PQP326439:PQP326528 PGT326439:PGT326528 OWX326439:OWX326528 ONB326439:ONB326528 ODF326439:ODF326528 NTJ326439:NTJ326528 NJN326439:NJN326528 MZR326439:MZR326528 MPV326439:MPV326528 MFZ326439:MFZ326528 LWD326439:LWD326528 LMH326439:LMH326528 LCL326439:LCL326528 KSP326439:KSP326528 KIT326439:KIT326528 JYX326439:JYX326528 JPB326439:JPB326528 JFF326439:JFF326528 IVJ326439:IVJ326528 ILN326439:ILN326528 IBR326439:IBR326528 HRV326439:HRV326528 HHZ326439:HHZ326528 GYD326439:GYD326528 GOH326439:GOH326528 GEL326439:GEL326528 FUP326439:FUP326528 FKT326439:FKT326528 FAX326439:FAX326528 ERB326439:ERB326528 EHF326439:EHF326528 DXJ326439:DXJ326528 DNN326439:DNN326528 DDR326439:DDR326528 CTV326439:CTV326528 CJZ326439:CJZ326528 CAD326439:CAD326528 BQH326439:BQH326528 BGL326439:BGL326528 AWP326439:AWP326528 AMT326439:AMT326528 ACX326439:ACX326528 TB326439:TB326528 JF326439:JF326528 J326448:J326537 WVR260903:WVR260992 WLV260903:WLV260992 WBZ260903:WBZ260992 VSD260903:VSD260992 VIH260903:VIH260992 UYL260903:UYL260992 UOP260903:UOP260992 UET260903:UET260992 TUX260903:TUX260992 TLB260903:TLB260992 TBF260903:TBF260992 SRJ260903:SRJ260992 SHN260903:SHN260992 RXR260903:RXR260992 RNV260903:RNV260992 RDZ260903:RDZ260992 QUD260903:QUD260992 QKH260903:QKH260992 QAL260903:QAL260992 PQP260903:PQP260992 PGT260903:PGT260992 OWX260903:OWX260992 ONB260903:ONB260992 ODF260903:ODF260992 NTJ260903:NTJ260992 NJN260903:NJN260992 MZR260903:MZR260992 MPV260903:MPV260992 MFZ260903:MFZ260992 LWD260903:LWD260992 LMH260903:LMH260992 LCL260903:LCL260992 KSP260903:KSP260992 KIT260903:KIT260992 JYX260903:JYX260992 JPB260903:JPB260992 JFF260903:JFF260992 IVJ260903:IVJ260992 ILN260903:ILN260992 IBR260903:IBR260992 HRV260903:HRV260992 HHZ260903:HHZ260992 GYD260903:GYD260992 GOH260903:GOH260992 GEL260903:GEL260992 FUP260903:FUP260992 FKT260903:FKT260992 FAX260903:FAX260992 ERB260903:ERB260992 EHF260903:EHF260992 DXJ260903:DXJ260992 DNN260903:DNN260992 DDR260903:DDR260992 CTV260903:CTV260992 CJZ260903:CJZ260992 CAD260903:CAD260992 BQH260903:BQH260992 BGL260903:BGL260992 AWP260903:AWP260992 AMT260903:AMT260992 ACX260903:ACX260992 TB260903:TB260992 JF260903:JF260992 J260912:J261001 WVR195367:WVR195456 WLV195367:WLV195456 WBZ195367:WBZ195456 VSD195367:VSD195456 VIH195367:VIH195456 UYL195367:UYL195456 UOP195367:UOP195456 UET195367:UET195456 TUX195367:TUX195456 TLB195367:TLB195456 TBF195367:TBF195456 SRJ195367:SRJ195456 SHN195367:SHN195456 RXR195367:RXR195456 RNV195367:RNV195456 RDZ195367:RDZ195456 QUD195367:QUD195456 QKH195367:QKH195456 QAL195367:QAL195456 PQP195367:PQP195456 PGT195367:PGT195456 OWX195367:OWX195456 ONB195367:ONB195456 ODF195367:ODF195456 NTJ195367:NTJ195456 NJN195367:NJN195456 MZR195367:MZR195456 MPV195367:MPV195456 MFZ195367:MFZ195456 LWD195367:LWD195456 LMH195367:LMH195456 LCL195367:LCL195456 KSP195367:KSP195456 KIT195367:KIT195456 JYX195367:JYX195456 JPB195367:JPB195456 JFF195367:JFF195456 IVJ195367:IVJ195456 ILN195367:ILN195456 IBR195367:IBR195456 HRV195367:HRV195456 HHZ195367:HHZ195456 GYD195367:GYD195456 GOH195367:GOH195456 GEL195367:GEL195456 FUP195367:FUP195456 FKT195367:FKT195456 FAX195367:FAX195456 ERB195367:ERB195456 EHF195367:EHF195456 DXJ195367:DXJ195456 DNN195367:DNN195456 DDR195367:DDR195456 CTV195367:CTV195456 CJZ195367:CJZ195456 CAD195367:CAD195456 BQH195367:BQH195456 BGL195367:BGL195456 AWP195367:AWP195456 AMT195367:AMT195456 ACX195367:ACX195456 TB195367:TB195456 JF195367:JF195456 J195376:J195465 WVR129831:WVR129920 WLV129831:WLV129920 WBZ129831:WBZ129920 VSD129831:VSD129920 VIH129831:VIH129920 UYL129831:UYL129920 UOP129831:UOP129920 UET129831:UET129920 TUX129831:TUX129920 TLB129831:TLB129920 TBF129831:TBF129920 SRJ129831:SRJ129920 SHN129831:SHN129920 RXR129831:RXR129920 RNV129831:RNV129920 RDZ129831:RDZ129920 QUD129831:QUD129920 QKH129831:QKH129920 QAL129831:QAL129920 PQP129831:PQP129920 PGT129831:PGT129920 OWX129831:OWX129920 ONB129831:ONB129920 ODF129831:ODF129920 NTJ129831:NTJ129920 NJN129831:NJN129920 MZR129831:MZR129920 MPV129831:MPV129920 MFZ129831:MFZ129920 LWD129831:LWD129920 LMH129831:LMH129920 LCL129831:LCL129920 KSP129831:KSP129920 KIT129831:KIT129920 JYX129831:JYX129920 JPB129831:JPB129920 JFF129831:JFF129920 IVJ129831:IVJ129920 ILN129831:ILN129920 IBR129831:IBR129920 HRV129831:HRV129920 HHZ129831:HHZ129920 GYD129831:GYD129920 GOH129831:GOH129920 GEL129831:GEL129920 FUP129831:FUP129920 FKT129831:FKT129920 FAX129831:FAX129920 ERB129831:ERB129920 EHF129831:EHF129920 DXJ129831:DXJ129920 DNN129831:DNN129920 DDR129831:DDR129920 CTV129831:CTV129920 CJZ129831:CJZ129920 CAD129831:CAD129920 BQH129831:BQH129920 BGL129831:BGL129920 AWP129831:AWP129920 AMT129831:AMT129920 ACX129831:ACX129920 TB129831:TB129920 JF129831:JF129920 J129840:J129929 WVR64295:WVR64384 WLV64295:WLV64384 WBZ64295:WBZ64384 VSD64295:VSD64384 VIH64295:VIH64384 UYL64295:UYL64384 UOP64295:UOP64384 UET64295:UET64384 TUX64295:TUX64384 TLB64295:TLB64384 TBF64295:TBF64384 SRJ64295:SRJ64384 SHN64295:SHN64384 RXR64295:RXR64384 RNV64295:RNV64384 RDZ64295:RDZ64384 QUD64295:QUD64384 QKH64295:QKH64384 QAL64295:QAL64384 PQP64295:PQP64384 PGT64295:PGT64384 OWX64295:OWX64384 ONB64295:ONB64384 ODF64295:ODF64384 NTJ64295:NTJ64384 NJN64295:NJN64384 MZR64295:MZR64384 MPV64295:MPV64384 MFZ64295:MFZ64384 LWD64295:LWD64384 LMH64295:LMH64384 LCL64295:LCL64384 KSP64295:KSP64384 KIT64295:KIT64384 JYX64295:JYX64384 JPB64295:JPB64384 JFF64295:JFF64384 IVJ64295:IVJ64384 ILN64295:ILN64384 IBR64295:IBR64384 HRV64295:HRV64384 HHZ64295:HHZ64384 GYD64295:GYD64384 GOH64295:GOH64384 GEL64295:GEL64384 FUP64295:FUP64384 FKT64295:FKT64384 FAX64295:FAX64384 ERB64295:ERB64384 EHF64295:EHF64384 DXJ64295:DXJ64384 DNN64295:DNN64384 DDR64295:DDR64384 CTV64295:CTV64384 CJZ64295:CJZ64384 CAD64295:CAD64384 BQH64295:BQH64384 BGL64295:BGL64384 AWP64295:AWP64384 AMT64295:AMT64384 ACX64295:ACX64384 TB64295:TB64384 JF64295:JF64384 J64304:J64393 JF2:JF67 TB2:TB67 ACX2:ACX67 AMT2:AMT67 AWP2:AWP67 BGL2:BGL67 BQH2:BQH67 CAD2:CAD67 CJZ2:CJZ67 CTV2:CTV67 DDR2:DDR67 DNN2:DNN67 DXJ2:DXJ67 EHF2:EHF67 ERB2:ERB67 FAX2:FAX67 FKT2:FKT67 FUP2:FUP67 GEL2:GEL67 GOH2:GOH67 GYD2:GYD67 HHZ2:HHZ67 HRV2:HRV67 IBR2:IBR67 ILN2:ILN67 IVJ2:IVJ67 JFF2:JFF67 JPB2:JPB67 JYX2:JYX67 KIT2:KIT67 KSP2:KSP67 LCL2:LCL67 LMH2:LMH67 LWD2:LWD67 MFZ2:MFZ67 MPV2:MPV67 MZR2:MZR67 NJN2:NJN67 NTJ2:NTJ67 ODF2:ODF67 ONB2:ONB67 OWX2:OWX67 PGT2:PGT67 PQP2:PQP67 QAL2:QAL67 QKH2:QKH67 QUD2:QUD67 RDZ2:RDZ67 RNV2:RNV67 RXR2:RXR67 SHN2:SHN67 SRJ2:SRJ67 TBF2:TBF67 TLB2:TLB67 TUX2:TUX67 UET2:UET67 UOP2:UOP67 UYL2:UYL67 VIH2:VIH67 VSD2:VSD67 WBZ2:WBZ67 WLV2:WLV67 WVR2:WVR67">
      <formula1>$AP$2:$AP$15</formula1>
    </dataValidation>
    <dataValidation type="list" allowBlank="1" showInputMessage="1" showErrorMessage="1" sqref="WVN981799:WVN981888 WLR981799:WLR981888 WBV981799:WBV981888 VRZ981799:VRZ981888 VID981799:VID981888 UYH981799:UYH981888 UOL981799:UOL981888 UEP981799:UEP981888 TUT981799:TUT981888 TKX981799:TKX981888 TBB981799:TBB981888 SRF981799:SRF981888 SHJ981799:SHJ981888 RXN981799:RXN981888 RNR981799:RNR981888 RDV981799:RDV981888 QTZ981799:QTZ981888 QKD981799:QKD981888 QAH981799:QAH981888 PQL981799:PQL981888 PGP981799:PGP981888 OWT981799:OWT981888 OMX981799:OMX981888 ODB981799:ODB981888 NTF981799:NTF981888 NJJ981799:NJJ981888 MZN981799:MZN981888 MPR981799:MPR981888 MFV981799:MFV981888 LVZ981799:LVZ981888 LMD981799:LMD981888 LCH981799:LCH981888 KSL981799:KSL981888 KIP981799:KIP981888 JYT981799:JYT981888 JOX981799:JOX981888 JFB981799:JFB981888 IVF981799:IVF981888 ILJ981799:ILJ981888 IBN981799:IBN981888 HRR981799:HRR981888 HHV981799:HHV981888 GXZ981799:GXZ981888 GOD981799:GOD981888 GEH981799:GEH981888 FUL981799:FUL981888 FKP981799:FKP981888 FAT981799:FAT981888 EQX981799:EQX981888 EHB981799:EHB981888 DXF981799:DXF981888 DNJ981799:DNJ981888 DDN981799:DDN981888 CTR981799:CTR981888 CJV981799:CJV981888 BZZ981799:BZZ981888 BQD981799:BQD981888 BGH981799:BGH981888 AWL981799:AWL981888 AMP981799:AMP981888 ACT981799:ACT981888 SX981799:SX981888 JB981799:JB981888 F981808:F981897 WVN916263:WVN916352 WLR916263:WLR916352 WBV916263:WBV916352 VRZ916263:VRZ916352 VID916263:VID916352 UYH916263:UYH916352 UOL916263:UOL916352 UEP916263:UEP916352 TUT916263:TUT916352 TKX916263:TKX916352 TBB916263:TBB916352 SRF916263:SRF916352 SHJ916263:SHJ916352 RXN916263:RXN916352 RNR916263:RNR916352 RDV916263:RDV916352 QTZ916263:QTZ916352 QKD916263:QKD916352 QAH916263:QAH916352 PQL916263:PQL916352 PGP916263:PGP916352 OWT916263:OWT916352 OMX916263:OMX916352 ODB916263:ODB916352 NTF916263:NTF916352 NJJ916263:NJJ916352 MZN916263:MZN916352 MPR916263:MPR916352 MFV916263:MFV916352 LVZ916263:LVZ916352 LMD916263:LMD916352 LCH916263:LCH916352 KSL916263:KSL916352 KIP916263:KIP916352 JYT916263:JYT916352 JOX916263:JOX916352 JFB916263:JFB916352 IVF916263:IVF916352 ILJ916263:ILJ916352 IBN916263:IBN916352 HRR916263:HRR916352 HHV916263:HHV916352 GXZ916263:GXZ916352 GOD916263:GOD916352 GEH916263:GEH916352 FUL916263:FUL916352 FKP916263:FKP916352 FAT916263:FAT916352 EQX916263:EQX916352 EHB916263:EHB916352 DXF916263:DXF916352 DNJ916263:DNJ916352 DDN916263:DDN916352 CTR916263:CTR916352 CJV916263:CJV916352 BZZ916263:BZZ916352 BQD916263:BQD916352 BGH916263:BGH916352 AWL916263:AWL916352 AMP916263:AMP916352 ACT916263:ACT916352 SX916263:SX916352 JB916263:JB916352 F916272:F916361 WVN850727:WVN850816 WLR850727:WLR850816 WBV850727:WBV850816 VRZ850727:VRZ850816 VID850727:VID850816 UYH850727:UYH850816 UOL850727:UOL850816 UEP850727:UEP850816 TUT850727:TUT850816 TKX850727:TKX850816 TBB850727:TBB850816 SRF850727:SRF850816 SHJ850727:SHJ850816 RXN850727:RXN850816 RNR850727:RNR850816 RDV850727:RDV850816 QTZ850727:QTZ850816 QKD850727:QKD850816 QAH850727:QAH850816 PQL850727:PQL850816 PGP850727:PGP850816 OWT850727:OWT850816 OMX850727:OMX850816 ODB850727:ODB850816 NTF850727:NTF850816 NJJ850727:NJJ850816 MZN850727:MZN850816 MPR850727:MPR850816 MFV850727:MFV850816 LVZ850727:LVZ850816 LMD850727:LMD850816 LCH850727:LCH850816 KSL850727:KSL850816 KIP850727:KIP850816 JYT850727:JYT850816 JOX850727:JOX850816 JFB850727:JFB850816 IVF850727:IVF850816 ILJ850727:ILJ850816 IBN850727:IBN850816 HRR850727:HRR850816 HHV850727:HHV850816 GXZ850727:GXZ850816 GOD850727:GOD850816 GEH850727:GEH850816 FUL850727:FUL850816 FKP850727:FKP850816 FAT850727:FAT850816 EQX850727:EQX850816 EHB850727:EHB850816 DXF850727:DXF850816 DNJ850727:DNJ850816 DDN850727:DDN850816 CTR850727:CTR850816 CJV850727:CJV850816 BZZ850727:BZZ850816 BQD850727:BQD850816 BGH850727:BGH850816 AWL850727:AWL850816 AMP850727:AMP850816 ACT850727:ACT850816 SX850727:SX850816 JB850727:JB850816 F850736:F850825 WVN785191:WVN785280 WLR785191:WLR785280 WBV785191:WBV785280 VRZ785191:VRZ785280 VID785191:VID785280 UYH785191:UYH785280 UOL785191:UOL785280 UEP785191:UEP785280 TUT785191:TUT785280 TKX785191:TKX785280 TBB785191:TBB785280 SRF785191:SRF785280 SHJ785191:SHJ785280 RXN785191:RXN785280 RNR785191:RNR785280 RDV785191:RDV785280 QTZ785191:QTZ785280 QKD785191:QKD785280 QAH785191:QAH785280 PQL785191:PQL785280 PGP785191:PGP785280 OWT785191:OWT785280 OMX785191:OMX785280 ODB785191:ODB785280 NTF785191:NTF785280 NJJ785191:NJJ785280 MZN785191:MZN785280 MPR785191:MPR785280 MFV785191:MFV785280 LVZ785191:LVZ785280 LMD785191:LMD785280 LCH785191:LCH785280 KSL785191:KSL785280 KIP785191:KIP785280 JYT785191:JYT785280 JOX785191:JOX785280 JFB785191:JFB785280 IVF785191:IVF785280 ILJ785191:ILJ785280 IBN785191:IBN785280 HRR785191:HRR785280 HHV785191:HHV785280 GXZ785191:GXZ785280 GOD785191:GOD785280 GEH785191:GEH785280 FUL785191:FUL785280 FKP785191:FKP785280 FAT785191:FAT785280 EQX785191:EQX785280 EHB785191:EHB785280 DXF785191:DXF785280 DNJ785191:DNJ785280 DDN785191:DDN785280 CTR785191:CTR785280 CJV785191:CJV785280 BZZ785191:BZZ785280 BQD785191:BQD785280 BGH785191:BGH785280 AWL785191:AWL785280 AMP785191:AMP785280 ACT785191:ACT785280 SX785191:SX785280 JB785191:JB785280 F785200:F785289 WVN719655:WVN719744 WLR719655:WLR719744 WBV719655:WBV719744 VRZ719655:VRZ719744 VID719655:VID719744 UYH719655:UYH719744 UOL719655:UOL719744 UEP719655:UEP719744 TUT719655:TUT719744 TKX719655:TKX719744 TBB719655:TBB719744 SRF719655:SRF719744 SHJ719655:SHJ719744 RXN719655:RXN719744 RNR719655:RNR719744 RDV719655:RDV719744 QTZ719655:QTZ719744 QKD719655:QKD719744 QAH719655:QAH719744 PQL719655:PQL719744 PGP719655:PGP719744 OWT719655:OWT719744 OMX719655:OMX719744 ODB719655:ODB719744 NTF719655:NTF719744 NJJ719655:NJJ719744 MZN719655:MZN719744 MPR719655:MPR719744 MFV719655:MFV719744 LVZ719655:LVZ719744 LMD719655:LMD719744 LCH719655:LCH719744 KSL719655:KSL719744 KIP719655:KIP719744 JYT719655:JYT719744 JOX719655:JOX719744 JFB719655:JFB719744 IVF719655:IVF719744 ILJ719655:ILJ719744 IBN719655:IBN719744 HRR719655:HRR719744 HHV719655:HHV719744 GXZ719655:GXZ719744 GOD719655:GOD719744 GEH719655:GEH719744 FUL719655:FUL719744 FKP719655:FKP719744 FAT719655:FAT719744 EQX719655:EQX719744 EHB719655:EHB719744 DXF719655:DXF719744 DNJ719655:DNJ719744 DDN719655:DDN719744 CTR719655:CTR719744 CJV719655:CJV719744 BZZ719655:BZZ719744 BQD719655:BQD719744 BGH719655:BGH719744 AWL719655:AWL719744 AMP719655:AMP719744 ACT719655:ACT719744 SX719655:SX719744 JB719655:JB719744 F719664:F719753 WVN654119:WVN654208 WLR654119:WLR654208 WBV654119:WBV654208 VRZ654119:VRZ654208 VID654119:VID654208 UYH654119:UYH654208 UOL654119:UOL654208 UEP654119:UEP654208 TUT654119:TUT654208 TKX654119:TKX654208 TBB654119:TBB654208 SRF654119:SRF654208 SHJ654119:SHJ654208 RXN654119:RXN654208 RNR654119:RNR654208 RDV654119:RDV654208 QTZ654119:QTZ654208 QKD654119:QKD654208 QAH654119:QAH654208 PQL654119:PQL654208 PGP654119:PGP654208 OWT654119:OWT654208 OMX654119:OMX654208 ODB654119:ODB654208 NTF654119:NTF654208 NJJ654119:NJJ654208 MZN654119:MZN654208 MPR654119:MPR654208 MFV654119:MFV654208 LVZ654119:LVZ654208 LMD654119:LMD654208 LCH654119:LCH654208 KSL654119:KSL654208 KIP654119:KIP654208 JYT654119:JYT654208 JOX654119:JOX654208 JFB654119:JFB654208 IVF654119:IVF654208 ILJ654119:ILJ654208 IBN654119:IBN654208 HRR654119:HRR654208 HHV654119:HHV654208 GXZ654119:GXZ654208 GOD654119:GOD654208 GEH654119:GEH654208 FUL654119:FUL654208 FKP654119:FKP654208 FAT654119:FAT654208 EQX654119:EQX654208 EHB654119:EHB654208 DXF654119:DXF654208 DNJ654119:DNJ654208 DDN654119:DDN654208 CTR654119:CTR654208 CJV654119:CJV654208 BZZ654119:BZZ654208 BQD654119:BQD654208 BGH654119:BGH654208 AWL654119:AWL654208 AMP654119:AMP654208 ACT654119:ACT654208 SX654119:SX654208 JB654119:JB654208 F654128:F654217 WVN588583:WVN588672 WLR588583:WLR588672 WBV588583:WBV588672 VRZ588583:VRZ588672 VID588583:VID588672 UYH588583:UYH588672 UOL588583:UOL588672 UEP588583:UEP588672 TUT588583:TUT588672 TKX588583:TKX588672 TBB588583:TBB588672 SRF588583:SRF588672 SHJ588583:SHJ588672 RXN588583:RXN588672 RNR588583:RNR588672 RDV588583:RDV588672 QTZ588583:QTZ588672 QKD588583:QKD588672 QAH588583:QAH588672 PQL588583:PQL588672 PGP588583:PGP588672 OWT588583:OWT588672 OMX588583:OMX588672 ODB588583:ODB588672 NTF588583:NTF588672 NJJ588583:NJJ588672 MZN588583:MZN588672 MPR588583:MPR588672 MFV588583:MFV588672 LVZ588583:LVZ588672 LMD588583:LMD588672 LCH588583:LCH588672 KSL588583:KSL588672 KIP588583:KIP588672 JYT588583:JYT588672 JOX588583:JOX588672 JFB588583:JFB588672 IVF588583:IVF588672 ILJ588583:ILJ588672 IBN588583:IBN588672 HRR588583:HRR588672 HHV588583:HHV588672 GXZ588583:GXZ588672 GOD588583:GOD588672 GEH588583:GEH588672 FUL588583:FUL588672 FKP588583:FKP588672 FAT588583:FAT588672 EQX588583:EQX588672 EHB588583:EHB588672 DXF588583:DXF588672 DNJ588583:DNJ588672 DDN588583:DDN588672 CTR588583:CTR588672 CJV588583:CJV588672 BZZ588583:BZZ588672 BQD588583:BQD588672 BGH588583:BGH588672 AWL588583:AWL588672 AMP588583:AMP588672 ACT588583:ACT588672 SX588583:SX588672 JB588583:JB588672 F588592:F588681 WVN523047:WVN523136 WLR523047:WLR523136 WBV523047:WBV523136 VRZ523047:VRZ523136 VID523047:VID523136 UYH523047:UYH523136 UOL523047:UOL523136 UEP523047:UEP523136 TUT523047:TUT523136 TKX523047:TKX523136 TBB523047:TBB523136 SRF523047:SRF523136 SHJ523047:SHJ523136 RXN523047:RXN523136 RNR523047:RNR523136 RDV523047:RDV523136 QTZ523047:QTZ523136 QKD523047:QKD523136 QAH523047:QAH523136 PQL523047:PQL523136 PGP523047:PGP523136 OWT523047:OWT523136 OMX523047:OMX523136 ODB523047:ODB523136 NTF523047:NTF523136 NJJ523047:NJJ523136 MZN523047:MZN523136 MPR523047:MPR523136 MFV523047:MFV523136 LVZ523047:LVZ523136 LMD523047:LMD523136 LCH523047:LCH523136 KSL523047:KSL523136 KIP523047:KIP523136 JYT523047:JYT523136 JOX523047:JOX523136 JFB523047:JFB523136 IVF523047:IVF523136 ILJ523047:ILJ523136 IBN523047:IBN523136 HRR523047:HRR523136 HHV523047:HHV523136 GXZ523047:GXZ523136 GOD523047:GOD523136 GEH523047:GEH523136 FUL523047:FUL523136 FKP523047:FKP523136 FAT523047:FAT523136 EQX523047:EQX523136 EHB523047:EHB523136 DXF523047:DXF523136 DNJ523047:DNJ523136 DDN523047:DDN523136 CTR523047:CTR523136 CJV523047:CJV523136 BZZ523047:BZZ523136 BQD523047:BQD523136 BGH523047:BGH523136 AWL523047:AWL523136 AMP523047:AMP523136 ACT523047:ACT523136 SX523047:SX523136 JB523047:JB523136 F523056:F523145 WVN457511:WVN457600 WLR457511:WLR457600 WBV457511:WBV457600 VRZ457511:VRZ457600 VID457511:VID457600 UYH457511:UYH457600 UOL457511:UOL457600 UEP457511:UEP457600 TUT457511:TUT457600 TKX457511:TKX457600 TBB457511:TBB457600 SRF457511:SRF457600 SHJ457511:SHJ457600 RXN457511:RXN457600 RNR457511:RNR457600 RDV457511:RDV457600 QTZ457511:QTZ457600 QKD457511:QKD457600 QAH457511:QAH457600 PQL457511:PQL457600 PGP457511:PGP457600 OWT457511:OWT457600 OMX457511:OMX457600 ODB457511:ODB457600 NTF457511:NTF457600 NJJ457511:NJJ457600 MZN457511:MZN457600 MPR457511:MPR457600 MFV457511:MFV457600 LVZ457511:LVZ457600 LMD457511:LMD457600 LCH457511:LCH457600 KSL457511:KSL457600 KIP457511:KIP457600 JYT457511:JYT457600 JOX457511:JOX457600 JFB457511:JFB457600 IVF457511:IVF457600 ILJ457511:ILJ457600 IBN457511:IBN457600 HRR457511:HRR457600 HHV457511:HHV457600 GXZ457511:GXZ457600 GOD457511:GOD457600 GEH457511:GEH457600 FUL457511:FUL457600 FKP457511:FKP457600 FAT457511:FAT457600 EQX457511:EQX457600 EHB457511:EHB457600 DXF457511:DXF457600 DNJ457511:DNJ457600 DDN457511:DDN457600 CTR457511:CTR457600 CJV457511:CJV457600 BZZ457511:BZZ457600 BQD457511:BQD457600 BGH457511:BGH457600 AWL457511:AWL457600 AMP457511:AMP457600 ACT457511:ACT457600 SX457511:SX457600 JB457511:JB457600 F457520:F457609 WVN391975:WVN392064 WLR391975:WLR392064 WBV391975:WBV392064 VRZ391975:VRZ392064 VID391975:VID392064 UYH391975:UYH392064 UOL391975:UOL392064 UEP391975:UEP392064 TUT391975:TUT392064 TKX391975:TKX392064 TBB391975:TBB392064 SRF391975:SRF392064 SHJ391975:SHJ392064 RXN391975:RXN392064 RNR391975:RNR392064 RDV391975:RDV392064 QTZ391975:QTZ392064 QKD391975:QKD392064 QAH391975:QAH392064 PQL391975:PQL392064 PGP391975:PGP392064 OWT391975:OWT392064 OMX391975:OMX392064 ODB391975:ODB392064 NTF391975:NTF392064 NJJ391975:NJJ392064 MZN391975:MZN392064 MPR391975:MPR392064 MFV391975:MFV392064 LVZ391975:LVZ392064 LMD391975:LMD392064 LCH391975:LCH392064 KSL391975:KSL392064 KIP391975:KIP392064 JYT391975:JYT392064 JOX391975:JOX392064 JFB391975:JFB392064 IVF391975:IVF392064 ILJ391975:ILJ392064 IBN391975:IBN392064 HRR391975:HRR392064 HHV391975:HHV392064 GXZ391975:GXZ392064 GOD391975:GOD392064 GEH391975:GEH392064 FUL391975:FUL392064 FKP391975:FKP392064 FAT391975:FAT392064 EQX391975:EQX392064 EHB391975:EHB392064 DXF391975:DXF392064 DNJ391975:DNJ392064 DDN391975:DDN392064 CTR391975:CTR392064 CJV391975:CJV392064 BZZ391975:BZZ392064 BQD391975:BQD392064 BGH391975:BGH392064 AWL391975:AWL392064 AMP391975:AMP392064 ACT391975:ACT392064 SX391975:SX392064 JB391975:JB392064 F391984:F392073 WVN326439:WVN326528 WLR326439:WLR326528 WBV326439:WBV326528 VRZ326439:VRZ326528 VID326439:VID326528 UYH326439:UYH326528 UOL326439:UOL326528 UEP326439:UEP326528 TUT326439:TUT326528 TKX326439:TKX326528 TBB326439:TBB326528 SRF326439:SRF326528 SHJ326439:SHJ326528 RXN326439:RXN326528 RNR326439:RNR326528 RDV326439:RDV326528 QTZ326439:QTZ326528 QKD326439:QKD326528 QAH326439:QAH326528 PQL326439:PQL326528 PGP326439:PGP326528 OWT326439:OWT326528 OMX326439:OMX326528 ODB326439:ODB326528 NTF326439:NTF326528 NJJ326439:NJJ326528 MZN326439:MZN326528 MPR326439:MPR326528 MFV326439:MFV326528 LVZ326439:LVZ326528 LMD326439:LMD326528 LCH326439:LCH326528 KSL326439:KSL326528 KIP326439:KIP326528 JYT326439:JYT326528 JOX326439:JOX326528 JFB326439:JFB326528 IVF326439:IVF326528 ILJ326439:ILJ326528 IBN326439:IBN326528 HRR326439:HRR326528 HHV326439:HHV326528 GXZ326439:GXZ326528 GOD326439:GOD326528 GEH326439:GEH326528 FUL326439:FUL326528 FKP326439:FKP326528 FAT326439:FAT326528 EQX326439:EQX326528 EHB326439:EHB326528 DXF326439:DXF326528 DNJ326439:DNJ326528 DDN326439:DDN326528 CTR326439:CTR326528 CJV326439:CJV326528 BZZ326439:BZZ326528 BQD326439:BQD326528 BGH326439:BGH326528 AWL326439:AWL326528 AMP326439:AMP326528 ACT326439:ACT326528 SX326439:SX326528 JB326439:JB326528 F326448:F326537 WVN260903:WVN260992 WLR260903:WLR260992 WBV260903:WBV260992 VRZ260903:VRZ260992 VID260903:VID260992 UYH260903:UYH260992 UOL260903:UOL260992 UEP260903:UEP260992 TUT260903:TUT260992 TKX260903:TKX260992 TBB260903:TBB260992 SRF260903:SRF260992 SHJ260903:SHJ260992 RXN260903:RXN260992 RNR260903:RNR260992 RDV260903:RDV260992 QTZ260903:QTZ260992 QKD260903:QKD260992 QAH260903:QAH260992 PQL260903:PQL260992 PGP260903:PGP260992 OWT260903:OWT260992 OMX260903:OMX260992 ODB260903:ODB260992 NTF260903:NTF260992 NJJ260903:NJJ260992 MZN260903:MZN260992 MPR260903:MPR260992 MFV260903:MFV260992 LVZ260903:LVZ260992 LMD260903:LMD260992 LCH260903:LCH260992 KSL260903:KSL260992 KIP260903:KIP260992 JYT260903:JYT260992 JOX260903:JOX260992 JFB260903:JFB260992 IVF260903:IVF260992 ILJ260903:ILJ260992 IBN260903:IBN260992 HRR260903:HRR260992 HHV260903:HHV260992 GXZ260903:GXZ260992 GOD260903:GOD260992 GEH260903:GEH260992 FUL260903:FUL260992 FKP260903:FKP260992 FAT260903:FAT260992 EQX260903:EQX260992 EHB260903:EHB260992 DXF260903:DXF260992 DNJ260903:DNJ260992 DDN260903:DDN260992 CTR260903:CTR260992 CJV260903:CJV260992 BZZ260903:BZZ260992 BQD260903:BQD260992 BGH260903:BGH260992 AWL260903:AWL260992 AMP260903:AMP260992 ACT260903:ACT260992 SX260903:SX260992 JB260903:JB260992 F260912:F261001 WVN195367:WVN195456 WLR195367:WLR195456 WBV195367:WBV195456 VRZ195367:VRZ195456 VID195367:VID195456 UYH195367:UYH195456 UOL195367:UOL195456 UEP195367:UEP195456 TUT195367:TUT195456 TKX195367:TKX195456 TBB195367:TBB195456 SRF195367:SRF195456 SHJ195367:SHJ195456 RXN195367:RXN195456 RNR195367:RNR195456 RDV195367:RDV195456 QTZ195367:QTZ195456 QKD195367:QKD195456 QAH195367:QAH195456 PQL195367:PQL195456 PGP195367:PGP195456 OWT195367:OWT195456 OMX195367:OMX195456 ODB195367:ODB195456 NTF195367:NTF195456 NJJ195367:NJJ195456 MZN195367:MZN195456 MPR195367:MPR195456 MFV195367:MFV195456 LVZ195367:LVZ195456 LMD195367:LMD195456 LCH195367:LCH195456 KSL195367:KSL195456 KIP195367:KIP195456 JYT195367:JYT195456 JOX195367:JOX195456 JFB195367:JFB195456 IVF195367:IVF195456 ILJ195367:ILJ195456 IBN195367:IBN195456 HRR195367:HRR195456 HHV195367:HHV195456 GXZ195367:GXZ195456 GOD195367:GOD195456 GEH195367:GEH195456 FUL195367:FUL195456 FKP195367:FKP195456 FAT195367:FAT195456 EQX195367:EQX195456 EHB195367:EHB195456 DXF195367:DXF195456 DNJ195367:DNJ195456 DDN195367:DDN195456 CTR195367:CTR195456 CJV195367:CJV195456 BZZ195367:BZZ195456 BQD195367:BQD195456 BGH195367:BGH195456 AWL195367:AWL195456 AMP195367:AMP195456 ACT195367:ACT195456 SX195367:SX195456 JB195367:JB195456 F195376:F195465 WVN129831:WVN129920 WLR129831:WLR129920 WBV129831:WBV129920 VRZ129831:VRZ129920 VID129831:VID129920 UYH129831:UYH129920 UOL129831:UOL129920 UEP129831:UEP129920 TUT129831:TUT129920 TKX129831:TKX129920 TBB129831:TBB129920 SRF129831:SRF129920 SHJ129831:SHJ129920 RXN129831:RXN129920 RNR129831:RNR129920 RDV129831:RDV129920 QTZ129831:QTZ129920 QKD129831:QKD129920 QAH129831:QAH129920 PQL129831:PQL129920 PGP129831:PGP129920 OWT129831:OWT129920 OMX129831:OMX129920 ODB129831:ODB129920 NTF129831:NTF129920 NJJ129831:NJJ129920 MZN129831:MZN129920 MPR129831:MPR129920 MFV129831:MFV129920 LVZ129831:LVZ129920 LMD129831:LMD129920 LCH129831:LCH129920 KSL129831:KSL129920 KIP129831:KIP129920 JYT129831:JYT129920 JOX129831:JOX129920 JFB129831:JFB129920 IVF129831:IVF129920 ILJ129831:ILJ129920 IBN129831:IBN129920 HRR129831:HRR129920 HHV129831:HHV129920 GXZ129831:GXZ129920 GOD129831:GOD129920 GEH129831:GEH129920 FUL129831:FUL129920 FKP129831:FKP129920 FAT129831:FAT129920 EQX129831:EQX129920 EHB129831:EHB129920 DXF129831:DXF129920 DNJ129831:DNJ129920 DDN129831:DDN129920 CTR129831:CTR129920 CJV129831:CJV129920 BZZ129831:BZZ129920 BQD129831:BQD129920 BGH129831:BGH129920 AWL129831:AWL129920 AMP129831:AMP129920 ACT129831:ACT129920 SX129831:SX129920 JB129831:JB129920 F129840:F129929 WVN64295:WVN64384 WLR64295:WLR64384 WBV64295:WBV64384 VRZ64295:VRZ64384 VID64295:VID64384 UYH64295:UYH64384 UOL64295:UOL64384 UEP64295:UEP64384 TUT64295:TUT64384 TKX64295:TKX64384 TBB64295:TBB64384 SRF64295:SRF64384 SHJ64295:SHJ64384 RXN64295:RXN64384 RNR64295:RNR64384 RDV64295:RDV64384 QTZ64295:QTZ64384 QKD64295:QKD64384 QAH64295:QAH64384 PQL64295:PQL64384 PGP64295:PGP64384 OWT64295:OWT64384 OMX64295:OMX64384 ODB64295:ODB64384 NTF64295:NTF64384 NJJ64295:NJJ64384 MZN64295:MZN64384 MPR64295:MPR64384 MFV64295:MFV64384 LVZ64295:LVZ64384 LMD64295:LMD64384 LCH64295:LCH64384 KSL64295:KSL64384 KIP64295:KIP64384 JYT64295:JYT64384 JOX64295:JOX64384 JFB64295:JFB64384 IVF64295:IVF64384 ILJ64295:ILJ64384 IBN64295:IBN64384 HRR64295:HRR64384 HHV64295:HHV64384 GXZ64295:GXZ64384 GOD64295:GOD64384 GEH64295:GEH64384 FUL64295:FUL64384 FKP64295:FKP64384 FAT64295:FAT64384 EQX64295:EQX64384 EHB64295:EHB64384 DXF64295:DXF64384 DNJ64295:DNJ64384 DDN64295:DDN64384 CTR64295:CTR64384 CJV64295:CJV64384 BZZ64295:BZZ64384 BQD64295:BQD64384 BGH64295:BGH64384 AWL64295:AWL64384 AMP64295:AMP64384 ACT64295:ACT64384 SX64295:SX64384 JB64295:JB64384 F64304:F64393 JB2:JB67 SX2:SX67 ACT2:ACT67 AMP2:AMP67 AWL2:AWL67 BGH2:BGH67 BQD2:BQD67 BZZ2:BZZ67 CJV2:CJV67 CTR2:CTR67 DDN2:DDN67 DNJ2:DNJ67 DXF2:DXF67 EHB2:EHB67 EQX2:EQX67 FAT2:FAT67 FKP2:FKP67 FUL2:FUL67 GEH2:GEH67 GOD2:GOD67 GXZ2:GXZ67 HHV2:HHV67 HRR2:HRR67 IBN2:IBN67 ILJ2:ILJ67 IVF2:IVF67 JFB2:JFB67 JOX2:JOX67 JYT2:JYT67 KIP2:KIP67 KSL2:KSL67 LCH2:LCH67 LMD2:LMD67 LVZ2:LVZ67 MFV2:MFV67 MPR2:MPR67 MZN2:MZN67 NJJ2:NJJ67 NTF2:NTF67 ODB2:ODB67 OMX2:OMX67 OWT2:OWT67 PGP2:PGP67 PQL2:PQL67 QAH2:QAH67 QKD2:QKD67 QTZ2:QTZ67 RDV2:RDV67 RNR2:RNR67 RXN2:RXN67 SHJ2:SHJ67 SRF2:SRF67 TBB2:TBB67 TKX2:TKX67 TUT2:TUT67 UEP2:UEP67 UOL2:UOL67 UYH2:UYH67 VID2:VID67 VRZ2:VRZ67 WBV2:WBV67 WLR2:WLR67 WVN2:WVN67">
      <formula1>$AH$2:$AH$13</formula1>
    </dataValidation>
    <dataValidation type="list" allowBlank="1" showInputMessage="1" showErrorMessage="1" sqref="WVM981799:WVM981888 WLQ981799:WLQ981888 WBU981799:WBU981888 VRY981799:VRY981888 VIC981799:VIC981888 UYG981799:UYG981888 UOK981799:UOK981888 UEO981799:UEO981888 TUS981799:TUS981888 TKW981799:TKW981888 TBA981799:TBA981888 SRE981799:SRE981888 SHI981799:SHI981888 RXM981799:RXM981888 RNQ981799:RNQ981888 RDU981799:RDU981888 QTY981799:QTY981888 QKC981799:QKC981888 QAG981799:QAG981888 PQK981799:PQK981888 PGO981799:PGO981888 OWS981799:OWS981888 OMW981799:OMW981888 ODA981799:ODA981888 NTE981799:NTE981888 NJI981799:NJI981888 MZM981799:MZM981888 MPQ981799:MPQ981888 MFU981799:MFU981888 LVY981799:LVY981888 LMC981799:LMC981888 LCG981799:LCG981888 KSK981799:KSK981888 KIO981799:KIO981888 JYS981799:JYS981888 JOW981799:JOW981888 JFA981799:JFA981888 IVE981799:IVE981888 ILI981799:ILI981888 IBM981799:IBM981888 HRQ981799:HRQ981888 HHU981799:HHU981888 GXY981799:GXY981888 GOC981799:GOC981888 GEG981799:GEG981888 FUK981799:FUK981888 FKO981799:FKO981888 FAS981799:FAS981888 EQW981799:EQW981888 EHA981799:EHA981888 DXE981799:DXE981888 DNI981799:DNI981888 DDM981799:DDM981888 CTQ981799:CTQ981888 CJU981799:CJU981888 BZY981799:BZY981888 BQC981799:BQC981888 BGG981799:BGG981888 AWK981799:AWK981888 AMO981799:AMO981888 ACS981799:ACS981888 SW981799:SW981888 JA981799:JA981888 E981808:E981897 WVM916263:WVM916352 WLQ916263:WLQ916352 WBU916263:WBU916352 VRY916263:VRY916352 VIC916263:VIC916352 UYG916263:UYG916352 UOK916263:UOK916352 UEO916263:UEO916352 TUS916263:TUS916352 TKW916263:TKW916352 TBA916263:TBA916352 SRE916263:SRE916352 SHI916263:SHI916352 RXM916263:RXM916352 RNQ916263:RNQ916352 RDU916263:RDU916352 QTY916263:QTY916352 QKC916263:QKC916352 QAG916263:QAG916352 PQK916263:PQK916352 PGO916263:PGO916352 OWS916263:OWS916352 OMW916263:OMW916352 ODA916263:ODA916352 NTE916263:NTE916352 NJI916263:NJI916352 MZM916263:MZM916352 MPQ916263:MPQ916352 MFU916263:MFU916352 LVY916263:LVY916352 LMC916263:LMC916352 LCG916263:LCG916352 KSK916263:KSK916352 KIO916263:KIO916352 JYS916263:JYS916352 JOW916263:JOW916352 JFA916263:JFA916352 IVE916263:IVE916352 ILI916263:ILI916352 IBM916263:IBM916352 HRQ916263:HRQ916352 HHU916263:HHU916352 GXY916263:GXY916352 GOC916263:GOC916352 GEG916263:GEG916352 FUK916263:FUK916352 FKO916263:FKO916352 FAS916263:FAS916352 EQW916263:EQW916352 EHA916263:EHA916352 DXE916263:DXE916352 DNI916263:DNI916352 DDM916263:DDM916352 CTQ916263:CTQ916352 CJU916263:CJU916352 BZY916263:BZY916352 BQC916263:BQC916352 BGG916263:BGG916352 AWK916263:AWK916352 AMO916263:AMO916352 ACS916263:ACS916352 SW916263:SW916352 JA916263:JA916352 E916272:E916361 WVM850727:WVM850816 WLQ850727:WLQ850816 WBU850727:WBU850816 VRY850727:VRY850816 VIC850727:VIC850816 UYG850727:UYG850816 UOK850727:UOK850816 UEO850727:UEO850816 TUS850727:TUS850816 TKW850727:TKW850816 TBA850727:TBA850816 SRE850727:SRE850816 SHI850727:SHI850816 RXM850727:RXM850816 RNQ850727:RNQ850816 RDU850727:RDU850816 QTY850727:QTY850816 QKC850727:QKC850816 QAG850727:QAG850816 PQK850727:PQK850816 PGO850727:PGO850816 OWS850727:OWS850816 OMW850727:OMW850816 ODA850727:ODA850816 NTE850727:NTE850816 NJI850727:NJI850816 MZM850727:MZM850816 MPQ850727:MPQ850816 MFU850727:MFU850816 LVY850727:LVY850816 LMC850727:LMC850816 LCG850727:LCG850816 KSK850727:KSK850816 KIO850727:KIO850816 JYS850727:JYS850816 JOW850727:JOW850816 JFA850727:JFA850816 IVE850727:IVE850816 ILI850727:ILI850816 IBM850727:IBM850816 HRQ850727:HRQ850816 HHU850727:HHU850816 GXY850727:GXY850816 GOC850727:GOC850816 GEG850727:GEG850816 FUK850727:FUK850816 FKO850727:FKO850816 FAS850727:FAS850816 EQW850727:EQW850816 EHA850727:EHA850816 DXE850727:DXE850816 DNI850727:DNI850816 DDM850727:DDM850816 CTQ850727:CTQ850816 CJU850727:CJU850816 BZY850727:BZY850816 BQC850727:BQC850816 BGG850727:BGG850816 AWK850727:AWK850816 AMO850727:AMO850816 ACS850727:ACS850816 SW850727:SW850816 JA850727:JA850816 E850736:E850825 WVM785191:WVM785280 WLQ785191:WLQ785280 WBU785191:WBU785280 VRY785191:VRY785280 VIC785191:VIC785280 UYG785191:UYG785280 UOK785191:UOK785280 UEO785191:UEO785280 TUS785191:TUS785280 TKW785191:TKW785280 TBA785191:TBA785280 SRE785191:SRE785280 SHI785191:SHI785280 RXM785191:RXM785280 RNQ785191:RNQ785280 RDU785191:RDU785280 QTY785191:QTY785280 QKC785191:QKC785280 QAG785191:QAG785280 PQK785191:PQK785280 PGO785191:PGO785280 OWS785191:OWS785280 OMW785191:OMW785280 ODA785191:ODA785280 NTE785191:NTE785280 NJI785191:NJI785280 MZM785191:MZM785280 MPQ785191:MPQ785280 MFU785191:MFU785280 LVY785191:LVY785280 LMC785191:LMC785280 LCG785191:LCG785280 KSK785191:KSK785280 KIO785191:KIO785280 JYS785191:JYS785280 JOW785191:JOW785280 JFA785191:JFA785280 IVE785191:IVE785280 ILI785191:ILI785280 IBM785191:IBM785280 HRQ785191:HRQ785280 HHU785191:HHU785280 GXY785191:GXY785280 GOC785191:GOC785280 GEG785191:GEG785280 FUK785191:FUK785280 FKO785191:FKO785280 FAS785191:FAS785280 EQW785191:EQW785280 EHA785191:EHA785280 DXE785191:DXE785280 DNI785191:DNI785280 DDM785191:DDM785280 CTQ785191:CTQ785280 CJU785191:CJU785280 BZY785191:BZY785280 BQC785191:BQC785280 BGG785191:BGG785280 AWK785191:AWK785280 AMO785191:AMO785280 ACS785191:ACS785280 SW785191:SW785280 JA785191:JA785280 E785200:E785289 WVM719655:WVM719744 WLQ719655:WLQ719744 WBU719655:WBU719744 VRY719655:VRY719744 VIC719655:VIC719744 UYG719655:UYG719744 UOK719655:UOK719744 UEO719655:UEO719744 TUS719655:TUS719744 TKW719655:TKW719744 TBA719655:TBA719744 SRE719655:SRE719744 SHI719655:SHI719744 RXM719655:RXM719744 RNQ719655:RNQ719744 RDU719655:RDU719744 QTY719655:QTY719744 QKC719655:QKC719744 QAG719655:QAG719744 PQK719655:PQK719744 PGO719655:PGO719744 OWS719655:OWS719744 OMW719655:OMW719744 ODA719655:ODA719744 NTE719655:NTE719744 NJI719655:NJI719744 MZM719655:MZM719744 MPQ719655:MPQ719744 MFU719655:MFU719744 LVY719655:LVY719744 LMC719655:LMC719744 LCG719655:LCG719744 KSK719655:KSK719744 KIO719655:KIO719744 JYS719655:JYS719744 JOW719655:JOW719744 JFA719655:JFA719744 IVE719655:IVE719744 ILI719655:ILI719744 IBM719655:IBM719744 HRQ719655:HRQ719744 HHU719655:HHU719744 GXY719655:GXY719744 GOC719655:GOC719744 GEG719655:GEG719744 FUK719655:FUK719744 FKO719655:FKO719744 FAS719655:FAS719744 EQW719655:EQW719744 EHA719655:EHA719744 DXE719655:DXE719744 DNI719655:DNI719744 DDM719655:DDM719744 CTQ719655:CTQ719744 CJU719655:CJU719744 BZY719655:BZY719744 BQC719655:BQC719744 BGG719655:BGG719744 AWK719655:AWK719744 AMO719655:AMO719744 ACS719655:ACS719744 SW719655:SW719744 JA719655:JA719744 E719664:E719753 WVM654119:WVM654208 WLQ654119:WLQ654208 WBU654119:WBU654208 VRY654119:VRY654208 VIC654119:VIC654208 UYG654119:UYG654208 UOK654119:UOK654208 UEO654119:UEO654208 TUS654119:TUS654208 TKW654119:TKW654208 TBA654119:TBA654208 SRE654119:SRE654208 SHI654119:SHI654208 RXM654119:RXM654208 RNQ654119:RNQ654208 RDU654119:RDU654208 QTY654119:QTY654208 QKC654119:QKC654208 QAG654119:QAG654208 PQK654119:PQK654208 PGO654119:PGO654208 OWS654119:OWS654208 OMW654119:OMW654208 ODA654119:ODA654208 NTE654119:NTE654208 NJI654119:NJI654208 MZM654119:MZM654208 MPQ654119:MPQ654208 MFU654119:MFU654208 LVY654119:LVY654208 LMC654119:LMC654208 LCG654119:LCG654208 KSK654119:KSK654208 KIO654119:KIO654208 JYS654119:JYS654208 JOW654119:JOW654208 JFA654119:JFA654208 IVE654119:IVE654208 ILI654119:ILI654208 IBM654119:IBM654208 HRQ654119:HRQ654208 HHU654119:HHU654208 GXY654119:GXY654208 GOC654119:GOC654208 GEG654119:GEG654208 FUK654119:FUK654208 FKO654119:FKO654208 FAS654119:FAS654208 EQW654119:EQW654208 EHA654119:EHA654208 DXE654119:DXE654208 DNI654119:DNI654208 DDM654119:DDM654208 CTQ654119:CTQ654208 CJU654119:CJU654208 BZY654119:BZY654208 BQC654119:BQC654208 BGG654119:BGG654208 AWK654119:AWK654208 AMO654119:AMO654208 ACS654119:ACS654208 SW654119:SW654208 JA654119:JA654208 E654128:E654217 WVM588583:WVM588672 WLQ588583:WLQ588672 WBU588583:WBU588672 VRY588583:VRY588672 VIC588583:VIC588672 UYG588583:UYG588672 UOK588583:UOK588672 UEO588583:UEO588672 TUS588583:TUS588672 TKW588583:TKW588672 TBA588583:TBA588672 SRE588583:SRE588672 SHI588583:SHI588672 RXM588583:RXM588672 RNQ588583:RNQ588672 RDU588583:RDU588672 QTY588583:QTY588672 QKC588583:QKC588672 QAG588583:QAG588672 PQK588583:PQK588672 PGO588583:PGO588672 OWS588583:OWS588672 OMW588583:OMW588672 ODA588583:ODA588672 NTE588583:NTE588672 NJI588583:NJI588672 MZM588583:MZM588672 MPQ588583:MPQ588672 MFU588583:MFU588672 LVY588583:LVY588672 LMC588583:LMC588672 LCG588583:LCG588672 KSK588583:KSK588672 KIO588583:KIO588672 JYS588583:JYS588672 JOW588583:JOW588672 JFA588583:JFA588672 IVE588583:IVE588672 ILI588583:ILI588672 IBM588583:IBM588672 HRQ588583:HRQ588672 HHU588583:HHU588672 GXY588583:GXY588672 GOC588583:GOC588672 GEG588583:GEG588672 FUK588583:FUK588672 FKO588583:FKO588672 FAS588583:FAS588672 EQW588583:EQW588672 EHA588583:EHA588672 DXE588583:DXE588672 DNI588583:DNI588672 DDM588583:DDM588672 CTQ588583:CTQ588672 CJU588583:CJU588672 BZY588583:BZY588672 BQC588583:BQC588672 BGG588583:BGG588672 AWK588583:AWK588672 AMO588583:AMO588672 ACS588583:ACS588672 SW588583:SW588672 JA588583:JA588672 E588592:E588681 WVM523047:WVM523136 WLQ523047:WLQ523136 WBU523047:WBU523136 VRY523047:VRY523136 VIC523047:VIC523136 UYG523047:UYG523136 UOK523047:UOK523136 UEO523047:UEO523136 TUS523047:TUS523136 TKW523047:TKW523136 TBA523047:TBA523136 SRE523047:SRE523136 SHI523047:SHI523136 RXM523047:RXM523136 RNQ523047:RNQ523136 RDU523047:RDU523136 QTY523047:QTY523136 QKC523047:QKC523136 QAG523047:QAG523136 PQK523047:PQK523136 PGO523047:PGO523136 OWS523047:OWS523136 OMW523047:OMW523136 ODA523047:ODA523136 NTE523047:NTE523136 NJI523047:NJI523136 MZM523047:MZM523136 MPQ523047:MPQ523136 MFU523047:MFU523136 LVY523047:LVY523136 LMC523047:LMC523136 LCG523047:LCG523136 KSK523047:KSK523136 KIO523047:KIO523136 JYS523047:JYS523136 JOW523047:JOW523136 JFA523047:JFA523136 IVE523047:IVE523136 ILI523047:ILI523136 IBM523047:IBM523136 HRQ523047:HRQ523136 HHU523047:HHU523136 GXY523047:GXY523136 GOC523047:GOC523136 GEG523047:GEG523136 FUK523047:FUK523136 FKO523047:FKO523136 FAS523047:FAS523136 EQW523047:EQW523136 EHA523047:EHA523136 DXE523047:DXE523136 DNI523047:DNI523136 DDM523047:DDM523136 CTQ523047:CTQ523136 CJU523047:CJU523136 BZY523047:BZY523136 BQC523047:BQC523136 BGG523047:BGG523136 AWK523047:AWK523136 AMO523047:AMO523136 ACS523047:ACS523136 SW523047:SW523136 JA523047:JA523136 E523056:E523145 WVM457511:WVM457600 WLQ457511:WLQ457600 WBU457511:WBU457600 VRY457511:VRY457600 VIC457511:VIC457600 UYG457511:UYG457600 UOK457511:UOK457600 UEO457511:UEO457600 TUS457511:TUS457600 TKW457511:TKW457600 TBA457511:TBA457600 SRE457511:SRE457600 SHI457511:SHI457600 RXM457511:RXM457600 RNQ457511:RNQ457600 RDU457511:RDU457600 QTY457511:QTY457600 QKC457511:QKC457600 QAG457511:QAG457600 PQK457511:PQK457600 PGO457511:PGO457600 OWS457511:OWS457600 OMW457511:OMW457600 ODA457511:ODA457600 NTE457511:NTE457600 NJI457511:NJI457600 MZM457511:MZM457600 MPQ457511:MPQ457600 MFU457511:MFU457600 LVY457511:LVY457600 LMC457511:LMC457600 LCG457511:LCG457600 KSK457511:KSK457600 KIO457511:KIO457600 JYS457511:JYS457600 JOW457511:JOW457600 JFA457511:JFA457600 IVE457511:IVE457600 ILI457511:ILI457600 IBM457511:IBM457600 HRQ457511:HRQ457600 HHU457511:HHU457600 GXY457511:GXY457600 GOC457511:GOC457600 GEG457511:GEG457600 FUK457511:FUK457600 FKO457511:FKO457600 FAS457511:FAS457600 EQW457511:EQW457600 EHA457511:EHA457600 DXE457511:DXE457600 DNI457511:DNI457600 DDM457511:DDM457600 CTQ457511:CTQ457600 CJU457511:CJU457600 BZY457511:BZY457600 BQC457511:BQC457600 BGG457511:BGG457600 AWK457511:AWK457600 AMO457511:AMO457600 ACS457511:ACS457600 SW457511:SW457600 JA457511:JA457600 E457520:E457609 WVM391975:WVM392064 WLQ391975:WLQ392064 WBU391975:WBU392064 VRY391975:VRY392064 VIC391975:VIC392064 UYG391975:UYG392064 UOK391975:UOK392064 UEO391975:UEO392064 TUS391975:TUS392064 TKW391975:TKW392064 TBA391975:TBA392064 SRE391975:SRE392064 SHI391975:SHI392064 RXM391975:RXM392064 RNQ391975:RNQ392064 RDU391975:RDU392064 QTY391975:QTY392064 QKC391975:QKC392064 QAG391975:QAG392064 PQK391975:PQK392064 PGO391975:PGO392064 OWS391975:OWS392064 OMW391975:OMW392064 ODA391975:ODA392064 NTE391975:NTE392064 NJI391975:NJI392064 MZM391975:MZM392064 MPQ391975:MPQ392064 MFU391975:MFU392064 LVY391975:LVY392064 LMC391975:LMC392064 LCG391975:LCG392064 KSK391975:KSK392064 KIO391975:KIO392064 JYS391975:JYS392064 JOW391975:JOW392064 JFA391975:JFA392064 IVE391975:IVE392064 ILI391975:ILI392064 IBM391975:IBM392064 HRQ391975:HRQ392064 HHU391975:HHU392064 GXY391975:GXY392064 GOC391975:GOC392064 GEG391975:GEG392064 FUK391975:FUK392064 FKO391975:FKO392064 FAS391975:FAS392064 EQW391975:EQW392064 EHA391975:EHA392064 DXE391975:DXE392064 DNI391975:DNI392064 DDM391975:DDM392064 CTQ391975:CTQ392064 CJU391975:CJU392064 BZY391975:BZY392064 BQC391975:BQC392064 BGG391975:BGG392064 AWK391975:AWK392064 AMO391975:AMO392064 ACS391975:ACS392064 SW391975:SW392064 JA391975:JA392064 E391984:E392073 WVM326439:WVM326528 WLQ326439:WLQ326528 WBU326439:WBU326528 VRY326439:VRY326528 VIC326439:VIC326528 UYG326439:UYG326528 UOK326439:UOK326528 UEO326439:UEO326528 TUS326439:TUS326528 TKW326439:TKW326528 TBA326439:TBA326528 SRE326439:SRE326528 SHI326439:SHI326528 RXM326439:RXM326528 RNQ326439:RNQ326528 RDU326439:RDU326528 QTY326439:QTY326528 QKC326439:QKC326528 QAG326439:QAG326528 PQK326439:PQK326528 PGO326439:PGO326528 OWS326439:OWS326528 OMW326439:OMW326528 ODA326439:ODA326528 NTE326439:NTE326528 NJI326439:NJI326528 MZM326439:MZM326528 MPQ326439:MPQ326528 MFU326439:MFU326528 LVY326439:LVY326528 LMC326439:LMC326528 LCG326439:LCG326528 KSK326439:KSK326528 KIO326439:KIO326528 JYS326439:JYS326528 JOW326439:JOW326528 JFA326439:JFA326528 IVE326439:IVE326528 ILI326439:ILI326528 IBM326439:IBM326528 HRQ326439:HRQ326528 HHU326439:HHU326528 GXY326439:GXY326528 GOC326439:GOC326528 GEG326439:GEG326528 FUK326439:FUK326528 FKO326439:FKO326528 FAS326439:FAS326528 EQW326439:EQW326528 EHA326439:EHA326528 DXE326439:DXE326528 DNI326439:DNI326528 DDM326439:DDM326528 CTQ326439:CTQ326528 CJU326439:CJU326528 BZY326439:BZY326528 BQC326439:BQC326528 BGG326439:BGG326528 AWK326439:AWK326528 AMO326439:AMO326528 ACS326439:ACS326528 SW326439:SW326528 JA326439:JA326528 E326448:E326537 WVM260903:WVM260992 WLQ260903:WLQ260992 WBU260903:WBU260992 VRY260903:VRY260992 VIC260903:VIC260992 UYG260903:UYG260992 UOK260903:UOK260992 UEO260903:UEO260992 TUS260903:TUS260992 TKW260903:TKW260992 TBA260903:TBA260992 SRE260903:SRE260992 SHI260903:SHI260992 RXM260903:RXM260992 RNQ260903:RNQ260992 RDU260903:RDU260992 QTY260903:QTY260992 QKC260903:QKC260992 QAG260903:QAG260992 PQK260903:PQK260992 PGO260903:PGO260992 OWS260903:OWS260992 OMW260903:OMW260992 ODA260903:ODA260992 NTE260903:NTE260992 NJI260903:NJI260992 MZM260903:MZM260992 MPQ260903:MPQ260992 MFU260903:MFU260992 LVY260903:LVY260992 LMC260903:LMC260992 LCG260903:LCG260992 KSK260903:KSK260992 KIO260903:KIO260992 JYS260903:JYS260992 JOW260903:JOW260992 JFA260903:JFA260992 IVE260903:IVE260992 ILI260903:ILI260992 IBM260903:IBM260992 HRQ260903:HRQ260992 HHU260903:HHU260992 GXY260903:GXY260992 GOC260903:GOC260992 GEG260903:GEG260992 FUK260903:FUK260992 FKO260903:FKO260992 FAS260903:FAS260992 EQW260903:EQW260992 EHA260903:EHA260992 DXE260903:DXE260992 DNI260903:DNI260992 DDM260903:DDM260992 CTQ260903:CTQ260992 CJU260903:CJU260992 BZY260903:BZY260992 BQC260903:BQC260992 BGG260903:BGG260992 AWK260903:AWK260992 AMO260903:AMO260992 ACS260903:ACS260992 SW260903:SW260992 JA260903:JA260992 E260912:E261001 WVM195367:WVM195456 WLQ195367:WLQ195456 WBU195367:WBU195456 VRY195367:VRY195456 VIC195367:VIC195456 UYG195367:UYG195456 UOK195367:UOK195456 UEO195367:UEO195456 TUS195367:TUS195456 TKW195367:TKW195456 TBA195367:TBA195456 SRE195367:SRE195456 SHI195367:SHI195456 RXM195367:RXM195456 RNQ195367:RNQ195456 RDU195367:RDU195456 QTY195367:QTY195456 QKC195367:QKC195456 QAG195367:QAG195456 PQK195367:PQK195456 PGO195367:PGO195456 OWS195367:OWS195456 OMW195367:OMW195456 ODA195367:ODA195456 NTE195367:NTE195456 NJI195367:NJI195456 MZM195367:MZM195456 MPQ195367:MPQ195456 MFU195367:MFU195456 LVY195367:LVY195456 LMC195367:LMC195456 LCG195367:LCG195456 KSK195367:KSK195456 KIO195367:KIO195456 JYS195367:JYS195456 JOW195367:JOW195456 JFA195367:JFA195456 IVE195367:IVE195456 ILI195367:ILI195456 IBM195367:IBM195456 HRQ195367:HRQ195456 HHU195367:HHU195456 GXY195367:GXY195456 GOC195367:GOC195456 GEG195367:GEG195456 FUK195367:FUK195456 FKO195367:FKO195456 FAS195367:FAS195456 EQW195367:EQW195456 EHA195367:EHA195456 DXE195367:DXE195456 DNI195367:DNI195456 DDM195367:DDM195456 CTQ195367:CTQ195456 CJU195367:CJU195456 BZY195367:BZY195456 BQC195367:BQC195456 BGG195367:BGG195456 AWK195367:AWK195456 AMO195367:AMO195456 ACS195367:ACS195456 SW195367:SW195456 JA195367:JA195456 E195376:E195465 WVM129831:WVM129920 WLQ129831:WLQ129920 WBU129831:WBU129920 VRY129831:VRY129920 VIC129831:VIC129920 UYG129831:UYG129920 UOK129831:UOK129920 UEO129831:UEO129920 TUS129831:TUS129920 TKW129831:TKW129920 TBA129831:TBA129920 SRE129831:SRE129920 SHI129831:SHI129920 RXM129831:RXM129920 RNQ129831:RNQ129920 RDU129831:RDU129920 QTY129831:QTY129920 QKC129831:QKC129920 QAG129831:QAG129920 PQK129831:PQK129920 PGO129831:PGO129920 OWS129831:OWS129920 OMW129831:OMW129920 ODA129831:ODA129920 NTE129831:NTE129920 NJI129831:NJI129920 MZM129831:MZM129920 MPQ129831:MPQ129920 MFU129831:MFU129920 LVY129831:LVY129920 LMC129831:LMC129920 LCG129831:LCG129920 KSK129831:KSK129920 KIO129831:KIO129920 JYS129831:JYS129920 JOW129831:JOW129920 JFA129831:JFA129920 IVE129831:IVE129920 ILI129831:ILI129920 IBM129831:IBM129920 HRQ129831:HRQ129920 HHU129831:HHU129920 GXY129831:GXY129920 GOC129831:GOC129920 GEG129831:GEG129920 FUK129831:FUK129920 FKO129831:FKO129920 FAS129831:FAS129920 EQW129831:EQW129920 EHA129831:EHA129920 DXE129831:DXE129920 DNI129831:DNI129920 DDM129831:DDM129920 CTQ129831:CTQ129920 CJU129831:CJU129920 BZY129831:BZY129920 BQC129831:BQC129920 BGG129831:BGG129920 AWK129831:AWK129920 AMO129831:AMO129920 ACS129831:ACS129920 SW129831:SW129920 JA129831:JA129920 E129840:E129929 WVM64295:WVM64384 WLQ64295:WLQ64384 WBU64295:WBU64384 VRY64295:VRY64384 VIC64295:VIC64384 UYG64295:UYG64384 UOK64295:UOK64384 UEO64295:UEO64384 TUS64295:TUS64384 TKW64295:TKW64384 TBA64295:TBA64384 SRE64295:SRE64384 SHI64295:SHI64384 RXM64295:RXM64384 RNQ64295:RNQ64384 RDU64295:RDU64384 QTY64295:QTY64384 QKC64295:QKC64384 QAG64295:QAG64384 PQK64295:PQK64384 PGO64295:PGO64384 OWS64295:OWS64384 OMW64295:OMW64384 ODA64295:ODA64384 NTE64295:NTE64384 NJI64295:NJI64384 MZM64295:MZM64384 MPQ64295:MPQ64384 MFU64295:MFU64384 LVY64295:LVY64384 LMC64295:LMC64384 LCG64295:LCG64384 KSK64295:KSK64384 KIO64295:KIO64384 JYS64295:JYS64384 JOW64295:JOW64384 JFA64295:JFA64384 IVE64295:IVE64384 ILI64295:ILI64384 IBM64295:IBM64384 HRQ64295:HRQ64384 HHU64295:HHU64384 GXY64295:GXY64384 GOC64295:GOC64384 GEG64295:GEG64384 FUK64295:FUK64384 FKO64295:FKO64384 FAS64295:FAS64384 EQW64295:EQW64384 EHA64295:EHA64384 DXE64295:DXE64384 DNI64295:DNI64384 DDM64295:DDM64384 CTQ64295:CTQ64384 CJU64295:CJU64384 BZY64295:BZY64384 BQC64295:BQC64384 BGG64295:BGG64384 AWK64295:AWK64384 AMO64295:AMO64384 ACS64295:ACS64384 SW64295:SW64384 JA64295:JA64384 E64304:E64393 JA2:JA67 SW2:SW67 ACS2:ACS67 AMO2:AMO67 AWK2:AWK67 BGG2:BGG67 BQC2:BQC67 BZY2:BZY67 CJU2:CJU67 CTQ2:CTQ67 DDM2:DDM67 DNI2:DNI67 DXE2:DXE67 EHA2:EHA67 EQW2:EQW67 FAS2:FAS67 FKO2:FKO67 FUK2:FUK67 GEG2:GEG67 GOC2:GOC67 GXY2:GXY67 HHU2:HHU67 HRQ2:HRQ67 IBM2:IBM67 ILI2:ILI67 IVE2:IVE67 JFA2:JFA67 JOW2:JOW67 JYS2:JYS67 KIO2:KIO67 KSK2:KSK67 LCG2:LCG67 LMC2:LMC67 LVY2:LVY67 MFU2:MFU67 MPQ2:MPQ67 MZM2:MZM67 NJI2:NJI67 NTE2:NTE67 ODA2:ODA67 OMW2:OMW67 OWS2:OWS67 PGO2:PGO67 PQK2:PQK67 QAG2:QAG67 QKC2:QKC67 QTY2:QTY67 RDU2:RDU67 RNQ2:RNQ67 RXM2:RXM67 SHI2:SHI67 SRE2:SRE67 TBA2:TBA67 TKW2:TKW67 TUS2:TUS67 UEO2:UEO67 UOK2:UOK67 UYG2:UYG67 VIC2:VIC67 VRY2:VRY67 WBU2:WBU67 WLQ2:WLQ67 WVM2:WVM67">
      <formula1>$AG$2:$AG$13</formula1>
    </dataValidation>
    <dataValidation type="list" allowBlank="1" showInputMessage="1" showErrorMessage="1" sqref="WWF981799:WWF981882 WMJ981799:WMJ981882 WCN981799:WCN981882 VSR981799:VSR981882 VIV981799:VIV981882 UYZ981799:UYZ981882 UPD981799:UPD981882 UFH981799:UFH981882 TVL981799:TVL981882 TLP981799:TLP981882 TBT981799:TBT981882 SRX981799:SRX981882 SIB981799:SIB981882 RYF981799:RYF981882 ROJ981799:ROJ981882 REN981799:REN981882 QUR981799:QUR981882 QKV981799:QKV981882 QAZ981799:QAZ981882 PRD981799:PRD981882 PHH981799:PHH981882 OXL981799:OXL981882 ONP981799:ONP981882 ODT981799:ODT981882 NTX981799:NTX981882 NKB981799:NKB981882 NAF981799:NAF981882 MQJ981799:MQJ981882 MGN981799:MGN981882 LWR981799:LWR981882 LMV981799:LMV981882 LCZ981799:LCZ981882 KTD981799:KTD981882 KJH981799:KJH981882 JZL981799:JZL981882 JPP981799:JPP981882 JFT981799:JFT981882 IVX981799:IVX981882 IMB981799:IMB981882 ICF981799:ICF981882 HSJ981799:HSJ981882 HIN981799:HIN981882 GYR981799:GYR981882 GOV981799:GOV981882 GEZ981799:GEZ981882 FVD981799:FVD981882 FLH981799:FLH981882 FBL981799:FBL981882 ERP981799:ERP981882 EHT981799:EHT981882 DXX981799:DXX981882 DOB981799:DOB981882 DEF981799:DEF981882 CUJ981799:CUJ981882 CKN981799:CKN981882 CAR981799:CAR981882 BQV981799:BQV981882 BGZ981799:BGZ981882 AXD981799:AXD981882 ANH981799:ANH981882 ADL981799:ADL981882 TP981799:TP981882 JT981799:JT981882 X981799:X981882 WWF916263:WWF916346 WMJ916263:WMJ916346 WCN916263:WCN916346 VSR916263:VSR916346 VIV916263:VIV916346 UYZ916263:UYZ916346 UPD916263:UPD916346 UFH916263:UFH916346 TVL916263:TVL916346 TLP916263:TLP916346 TBT916263:TBT916346 SRX916263:SRX916346 SIB916263:SIB916346 RYF916263:RYF916346 ROJ916263:ROJ916346 REN916263:REN916346 QUR916263:QUR916346 QKV916263:QKV916346 QAZ916263:QAZ916346 PRD916263:PRD916346 PHH916263:PHH916346 OXL916263:OXL916346 ONP916263:ONP916346 ODT916263:ODT916346 NTX916263:NTX916346 NKB916263:NKB916346 NAF916263:NAF916346 MQJ916263:MQJ916346 MGN916263:MGN916346 LWR916263:LWR916346 LMV916263:LMV916346 LCZ916263:LCZ916346 KTD916263:KTD916346 KJH916263:KJH916346 JZL916263:JZL916346 JPP916263:JPP916346 JFT916263:JFT916346 IVX916263:IVX916346 IMB916263:IMB916346 ICF916263:ICF916346 HSJ916263:HSJ916346 HIN916263:HIN916346 GYR916263:GYR916346 GOV916263:GOV916346 GEZ916263:GEZ916346 FVD916263:FVD916346 FLH916263:FLH916346 FBL916263:FBL916346 ERP916263:ERP916346 EHT916263:EHT916346 DXX916263:DXX916346 DOB916263:DOB916346 DEF916263:DEF916346 CUJ916263:CUJ916346 CKN916263:CKN916346 CAR916263:CAR916346 BQV916263:BQV916346 BGZ916263:BGZ916346 AXD916263:AXD916346 ANH916263:ANH916346 ADL916263:ADL916346 TP916263:TP916346 JT916263:JT916346 X916263:X916346 WWF850727:WWF850810 WMJ850727:WMJ850810 WCN850727:WCN850810 VSR850727:VSR850810 VIV850727:VIV850810 UYZ850727:UYZ850810 UPD850727:UPD850810 UFH850727:UFH850810 TVL850727:TVL850810 TLP850727:TLP850810 TBT850727:TBT850810 SRX850727:SRX850810 SIB850727:SIB850810 RYF850727:RYF850810 ROJ850727:ROJ850810 REN850727:REN850810 QUR850727:QUR850810 QKV850727:QKV850810 QAZ850727:QAZ850810 PRD850727:PRD850810 PHH850727:PHH850810 OXL850727:OXL850810 ONP850727:ONP850810 ODT850727:ODT850810 NTX850727:NTX850810 NKB850727:NKB850810 NAF850727:NAF850810 MQJ850727:MQJ850810 MGN850727:MGN850810 LWR850727:LWR850810 LMV850727:LMV850810 LCZ850727:LCZ850810 KTD850727:KTD850810 KJH850727:KJH850810 JZL850727:JZL850810 JPP850727:JPP850810 JFT850727:JFT850810 IVX850727:IVX850810 IMB850727:IMB850810 ICF850727:ICF850810 HSJ850727:HSJ850810 HIN850727:HIN850810 GYR850727:GYR850810 GOV850727:GOV850810 GEZ850727:GEZ850810 FVD850727:FVD850810 FLH850727:FLH850810 FBL850727:FBL850810 ERP850727:ERP850810 EHT850727:EHT850810 DXX850727:DXX850810 DOB850727:DOB850810 DEF850727:DEF850810 CUJ850727:CUJ850810 CKN850727:CKN850810 CAR850727:CAR850810 BQV850727:BQV850810 BGZ850727:BGZ850810 AXD850727:AXD850810 ANH850727:ANH850810 ADL850727:ADL850810 TP850727:TP850810 JT850727:JT850810 X850727:X850810 WWF785191:WWF785274 WMJ785191:WMJ785274 WCN785191:WCN785274 VSR785191:VSR785274 VIV785191:VIV785274 UYZ785191:UYZ785274 UPD785191:UPD785274 UFH785191:UFH785274 TVL785191:TVL785274 TLP785191:TLP785274 TBT785191:TBT785274 SRX785191:SRX785274 SIB785191:SIB785274 RYF785191:RYF785274 ROJ785191:ROJ785274 REN785191:REN785274 QUR785191:QUR785274 QKV785191:QKV785274 QAZ785191:QAZ785274 PRD785191:PRD785274 PHH785191:PHH785274 OXL785191:OXL785274 ONP785191:ONP785274 ODT785191:ODT785274 NTX785191:NTX785274 NKB785191:NKB785274 NAF785191:NAF785274 MQJ785191:MQJ785274 MGN785191:MGN785274 LWR785191:LWR785274 LMV785191:LMV785274 LCZ785191:LCZ785274 KTD785191:KTD785274 KJH785191:KJH785274 JZL785191:JZL785274 JPP785191:JPP785274 JFT785191:JFT785274 IVX785191:IVX785274 IMB785191:IMB785274 ICF785191:ICF785274 HSJ785191:HSJ785274 HIN785191:HIN785274 GYR785191:GYR785274 GOV785191:GOV785274 GEZ785191:GEZ785274 FVD785191:FVD785274 FLH785191:FLH785274 FBL785191:FBL785274 ERP785191:ERP785274 EHT785191:EHT785274 DXX785191:DXX785274 DOB785191:DOB785274 DEF785191:DEF785274 CUJ785191:CUJ785274 CKN785191:CKN785274 CAR785191:CAR785274 BQV785191:BQV785274 BGZ785191:BGZ785274 AXD785191:AXD785274 ANH785191:ANH785274 ADL785191:ADL785274 TP785191:TP785274 JT785191:JT785274 X785191:X785274 WWF719655:WWF719738 WMJ719655:WMJ719738 WCN719655:WCN719738 VSR719655:VSR719738 VIV719655:VIV719738 UYZ719655:UYZ719738 UPD719655:UPD719738 UFH719655:UFH719738 TVL719655:TVL719738 TLP719655:TLP719738 TBT719655:TBT719738 SRX719655:SRX719738 SIB719655:SIB719738 RYF719655:RYF719738 ROJ719655:ROJ719738 REN719655:REN719738 QUR719655:QUR719738 QKV719655:QKV719738 QAZ719655:QAZ719738 PRD719655:PRD719738 PHH719655:PHH719738 OXL719655:OXL719738 ONP719655:ONP719738 ODT719655:ODT719738 NTX719655:NTX719738 NKB719655:NKB719738 NAF719655:NAF719738 MQJ719655:MQJ719738 MGN719655:MGN719738 LWR719655:LWR719738 LMV719655:LMV719738 LCZ719655:LCZ719738 KTD719655:KTD719738 KJH719655:KJH719738 JZL719655:JZL719738 JPP719655:JPP719738 JFT719655:JFT719738 IVX719655:IVX719738 IMB719655:IMB719738 ICF719655:ICF719738 HSJ719655:HSJ719738 HIN719655:HIN719738 GYR719655:GYR719738 GOV719655:GOV719738 GEZ719655:GEZ719738 FVD719655:FVD719738 FLH719655:FLH719738 FBL719655:FBL719738 ERP719655:ERP719738 EHT719655:EHT719738 DXX719655:DXX719738 DOB719655:DOB719738 DEF719655:DEF719738 CUJ719655:CUJ719738 CKN719655:CKN719738 CAR719655:CAR719738 BQV719655:BQV719738 BGZ719655:BGZ719738 AXD719655:AXD719738 ANH719655:ANH719738 ADL719655:ADL719738 TP719655:TP719738 JT719655:JT719738 X719655:X719738 WWF654119:WWF654202 WMJ654119:WMJ654202 WCN654119:WCN654202 VSR654119:VSR654202 VIV654119:VIV654202 UYZ654119:UYZ654202 UPD654119:UPD654202 UFH654119:UFH654202 TVL654119:TVL654202 TLP654119:TLP654202 TBT654119:TBT654202 SRX654119:SRX654202 SIB654119:SIB654202 RYF654119:RYF654202 ROJ654119:ROJ654202 REN654119:REN654202 QUR654119:QUR654202 QKV654119:QKV654202 QAZ654119:QAZ654202 PRD654119:PRD654202 PHH654119:PHH654202 OXL654119:OXL654202 ONP654119:ONP654202 ODT654119:ODT654202 NTX654119:NTX654202 NKB654119:NKB654202 NAF654119:NAF654202 MQJ654119:MQJ654202 MGN654119:MGN654202 LWR654119:LWR654202 LMV654119:LMV654202 LCZ654119:LCZ654202 KTD654119:KTD654202 KJH654119:KJH654202 JZL654119:JZL654202 JPP654119:JPP654202 JFT654119:JFT654202 IVX654119:IVX654202 IMB654119:IMB654202 ICF654119:ICF654202 HSJ654119:HSJ654202 HIN654119:HIN654202 GYR654119:GYR654202 GOV654119:GOV654202 GEZ654119:GEZ654202 FVD654119:FVD654202 FLH654119:FLH654202 FBL654119:FBL654202 ERP654119:ERP654202 EHT654119:EHT654202 DXX654119:DXX654202 DOB654119:DOB654202 DEF654119:DEF654202 CUJ654119:CUJ654202 CKN654119:CKN654202 CAR654119:CAR654202 BQV654119:BQV654202 BGZ654119:BGZ654202 AXD654119:AXD654202 ANH654119:ANH654202 ADL654119:ADL654202 TP654119:TP654202 JT654119:JT654202 X654119:X654202 WWF588583:WWF588666 WMJ588583:WMJ588666 WCN588583:WCN588666 VSR588583:VSR588666 VIV588583:VIV588666 UYZ588583:UYZ588666 UPD588583:UPD588666 UFH588583:UFH588666 TVL588583:TVL588666 TLP588583:TLP588666 TBT588583:TBT588666 SRX588583:SRX588666 SIB588583:SIB588666 RYF588583:RYF588666 ROJ588583:ROJ588666 REN588583:REN588666 QUR588583:QUR588666 QKV588583:QKV588666 QAZ588583:QAZ588666 PRD588583:PRD588666 PHH588583:PHH588666 OXL588583:OXL588666 ONP588583:ONP588666 ODT588583:ODT588666 NTX588583:NTX588666 NKB588583:NKB588666 NAF588583:NAF588666 MQJ588583:MQJ588666 MGN588583:MGN588666 LWR588583:LWR588666 LMV588583:LMV588666 LCZ588583:LCZ588666 KTD588583:KTD588666 KJH588583:KJH588666 JZL588583:JZL588666 JPP588583:JPP588666 JFT588583:JFT588666 IVX588583:IVX588666 IMB588583:IMB588666 ICF588583:ICF588666 HSJ588583:HSJ588666 HIN588583:HIN588666 GYR588583:GYR588666 GOV588583:GOV588666 GEZ588583:GEZ588666 FVD588583:FVD588666 FLH588583:FLH588666 FBL588583:FBL588666 ERP588583:ERP588666 EHT588583:EHT588666 DXX588583:DXX588666 DOB588583:DOB588666 DEF588583:DEF588666 CUJ588583:CUJ588666 CKN588583:CKN588666 CAR588583:CAR588666 BQV588583:BQV588666 BGZ588583:BGZ588666 AXD588583:AXD588666 ANH588583:ANH588666 ADL588583:ADL588666 TP588583:TP588666 JT588583:JT588666 X588583:X588666 WWF523047:WWF523130 WMJ523047:WMJ523130 WCN523047:WCN523130 VSR523047:VSR523130 VIV523047:VIV523130 UYZ523047:UYZ523130 UPD523047:UPD523130 UFH523047:UFH523130 TVL523047:TVL523130 TLP523047:TLP523130 TBT523047:TBT523130 SRX523047:SRX523130 SIB523047:SIB523130 RYF523047:RYF523130 ROJ523047:ROJ523130 REN523047:REN523130 QUR523047:QUR523130 QKV523047:QKV523130 QAZ523047:QAZ523130 PRD523047:PRD523130 PHH523047:PHH523130 OXL523047:OXL523130 ONP523047:ONP523130 ODT523047:ODT523130 NTX523047:NTX523130 NKB523047:NKB523130 NAF523047:NAF523130 MQJ523047:MQJ523130 MGN523047:MGN523130 LWR523047:LWR523130 LMV523047:LMV523130 LCZ523047:LCZ523130 KTD523047:KTD523130 KJH523047:KJH523130 JZL523047:JZL523130 JPP523047:JPP523130 JFT523047:JFT523130 IVX523047:IVX523130 IMB523047:IMB523130 ICF523047:ICF523130 HSJ523047:HSJ523130 HIN523047:HIN523130 GYR523047:GYR523130 GOV523047:GOV523130 GEZ523047:GEZ523130 FVD523047:FVD523130 FLH523047:FLH523130 FBL523047:FBL523130 ERP523047:ERP523130 EHT523047:EHT523130 DXX523047:DXX523130 DOB523047:DOB523130 DEF523047:DEF523130 CUJ523047:CUJ523130 CKN523047:CKN523130 CAR523047:CAR523130 BQV523047:BQV523130 BGZ523047:BGZ523130 AXD523047:AXD523130 ANH523047:ANH523130 ADL523047:ADL523130 TP523047:TP523130 JT523047:JT523130 X523047:X523130 WWF457511:WWF457594 WMJ457511:WMJ457594 WCN457511:WCN457594 VSR457511:VSR457594 VIV457511:VIV457594 UYZ457511:UYZ457594 UPD457511:UPD457594 UFH457511:UFH457594 TVL457511:TVL457594 TLP457511:TLP457594 TBT457511:TBT457594 SRX457511:SRX457594 SIB457511:SIB457594 RYF457511:RYF457594 ROJ457511:ROJ457594 REN457511:REN457594 QUR457511:QUR457594 QKV457511:QKV457594 QAZ457511:QAZ457594 PRD457511:PRD457594 PHH457511:PHH457594 OXL457511:OXL457594 ONP457511:ONP457594 ODT457511:ODT457594 NTX457511:NTX457594 NKB457511:NKB457594 NAF457511:NAF457594 MQJ457511:MQJ457594 MGN457511:MGN457594 LWR457511:LWR457594 LMV457511:LMV457594 LCZ457511:LCZ457594 KTD457511:KTD457594 KJH457511:KJH457594 JZL457511:JZL457594 JPP457511:JPP457594 JFT457511:JFT457594 IVX457511:IVX457594 IMB457511:IMB457594 ICF457511:ICF457594 HSJ457511:HSJ457594 HIN457511:HIN457594 GYR457511:GYR457594 GOV457511:GOV457594 GEZ457511:GEZ457594 FVD457511:FVD457594 FLH457511:FLH457594 FBL457511:FBL457594 ERP457511:ERP457594 EHT457511:EHT457594 DXX457511:DXX457594 DOB457511:DOB457594 DEF457511:DEF457594 CUJ457511:CUJ457594 CKN457511:CKN457594 CAR457511:CAR457594 BQV457511:BQV457594 BGZ457511:BGZ457594 AXD457511:AXD457594 ANH457511:ANH457594 ADL457511:ADL457594 TP457511:TP457594 JT457511:JT457594 X457511:X457594 WWF391975:WWF392058 WMJ391975:WMJ392058 WCN391975:WCN392058 VSR391975:VSR392058 VIV391975:VIV392058 UYZ391975:UYZ392058 UPD391975:UPD392058 UFH391975:UFH392058 TVL391975:TVL392058 TLP391975:TLP392058 TBT391975:TBT392058 SRX391975:SRX392058 SIB391975:SIB392058 RYF391975:RYF392058 ROJ391975:ROJ392058 REN391975:REN392058 QUR391975:QUR392058 QKV391975:QKV392058 QAZ391975:QAZ392058 PRD391975:PRD392058 PHH391975:PHH392058 OXL391975:OXL392058 ONP391975:ONP392058 ODT391975:ODT392058 NTX391975:NTX392058 NKB391975:NKB392058 NAF391975:NAF392058 MQJ391975:MQJ392058 MGN391975:MGN392058 LWR391975:LWR392058 LMV391975:LMV392058 LCZ391975:LCZ392058 KTD391975:KTD392058 KJH391975:KJH392058 JZL391975:JZL392058 JPP391975:JPP392058 JFT391975:JFT392058 IVX391975:IVX392058 IMB391975:IMB392058 ICF391975:ICF392058 HSJ391975:HSJ392058 HIN391975:HIN392058 GYR391975:GYR392058 GOV391975:GOV392058 GEZ391975:GEZ392058 FVD391975:FVD392058 FLH391975:FLH392058 FBL391975:FBL392058 ERP391975:ERP392058 EHT391975:EHT392058 DXX391975:DXX392058 DOB391975:DOB392058 DEF391975:DEF392058 CUJ391975:CUJ392058 CKN391975:CKN392058 CAR391975:CAR392058 BQV391975:BQV392058 BGZ391975:BGZ392058 AXD391975:AXD392058 ANH391975:ANH392058 ADL391975:ADL392058 TP391975:TP392058 JT391975:JT392058 X391975:X392058 WWF326439:WWF326522 WMJ326439:WMJ326522 WCN326439:WCN326522 VSR326439:VSR326522 VIV326439:VIV326522 UYZ326439:UYZ326522 UPD326439:UPD326522 UFH326439:UFH326522 TVL326439:TVL326522 TLP326439:TLP326522 TBT326439:TBT326522 SRX326439:SRX326522 SIB326439:SIB326522 RYF326439:RYF326522 ROJ326439:ROJ326522 REN326439:REN326522 QUR326439:QUR326522 QKV326439:QKV326522 QAZ326439:QAZ326522 PRD326439:PRD326522 PHH326439:PHH326522 OXL326439:OXL326522 ONP326439:ONP326522 ODT326439:ODT326522 NTX326439:NTX326522 NKB326439:NKB326522 NAF326439:NAF326522 MQJ326439:MQJ326522 MGN326439:MGN326522 LWR326439:LWR326522 LMV326439:LMV326522 LCZ326439:LCZ326522 KTD326439:KTD326522 KJH326439:KJH326522 JZL326439:JZL326522 JPP326439:JPP326522 JFT326439:JFT326522 IVX326439:IVX326522 IMB326439:IMB326522 ICF326439:ICF326522 HSJ326439:HSJ326522 HIN326439:HIN326522 GYR326439:GYR326522 GOV326439:GOV326522 GEZ326439:GEZ326522 FVD326439:FVD326522 FLH326439:FLH326522 FBL326439:FBL326522 ERP326439:ERP326522 EHT326439:EHT326522 DXX326439:DXX326522 DOB326439:DOB326522 DEF326439:DEF326522 CUJ326439:CUJ326522 CKN326439:CKN326522 CAR326439:CAR326522 BQV326439:BQV326522 BGZ326439:BGZ326522 AXD326439:AXD326522 ANH326439:ANH326522 ADL326439:ADL326522 TP326439:TP326522 JT326439:JT326522 X326439:X326522 WWF260903:WWF260986 WMJ260903:WMJ260986 WCN260903:WCN260986 VSR260903:VSR260986 VIV260903:VIV260986 UYZ260903:UYZ260986 UPD260903:UPD260986 UFH260903:UFH260986 TVL260903:TVL260986 TLP260903:TLP260986 TBT260903:TBT260986 SRX260903:SRX260986 SIB260903:SIB260986 RYF260903:RYF260986 ROJ260903:ROJ260986 REN260903:REN260986 QUR260903:QUR260986 QKV260903:QKV260986 QAZ260903:QAZ260986 PRD260903:PRD260986 PHH260903:PHH260986 OXL260903:OXL260986 ONP260903:ONP260986 ODT260903:ODT260986 NTX260903:NTX260986 NKB260903:NKB260986 NAF260903:NAF260986 MQJ260903:MQJ260986 MGN260903:MGN260986 LWR260903:LWR260986 LMV260903:LMV260986 LCZ260903:LCZ260986 KTD260903:KTD260986 KJH260903:KJH260986 JZL260903:JZL260986 JPP260903:JPP260986 JFT260903:JFT260986 IVX260903:IVX260986 IMB260903:IMB260986 ICF260903:ICF260986 HSJ260903:HSJ260986 HIN260903:HIN260986 GYR260903:GYR260986 GOV260903:GOV260986 GEZ260903:GEZ260986 FVD260903:FVD260986 FLH260903:FLH260986 FBL260903:FBL260986 ERP260903:ERP260986 EHT260903:EHT260986 DXX260903:DXX260986 DOB260903:DOB260986 DEF260903:DEF260986 CUJ260903:CUJ260986 CKN260903:CKN260986 CAR260903:CAR260986 BQV260903:BQV260986 BGZ260903:BGZ260986 AXD260903:AXD260986 ANH260903:ANH260986 ADL260903:ADL260986 TP260903:TP260986 JT260903:JT260986 X260903:X260986 WWF195367:WWF195450 WMJ195367:WMJ195450 WCN195367:WCN195450 VSR195367:VSR195450 VIV195367:VIV195450 UYZ195367:UYZ195450 UPD195367:UPD195450 UFH195367:UFH195450 TVL195367:TVL195450 TLP195367:TLP195450 TBT195367:TBT195450 SRX195367:SRX195450 SIB195367:SIB195450 RYF195367:RYF195450 ROJ195367:ROJ195450 REN195367:REN195450 QUR195367:QUR195450 QKV195367:QKV195450 QAZ195367:QAZ195450 PRD195367:PRD195450 PHH195367:PHH195450 OXL195367:OXL195450 ONP195367:ONP195450 ODT195367:ODT195450 NTX195367:NTX195450 NKB195367:NKB195450 NAF195367:NAF195450 MQJ195367:MQJ195450 MGN195367:MGN195450 LWR195367:LWR195450 LMV195367:LMV195450 LCZ195367:LCZ195450 KTD195367:KTD195450 KJH195367:KJH195450 JZL195367:JZL195450 JPP195367:JPP195450 JFT195367:JFT195450 IVX195367:IVX195450 IMB195367:IMB195450 ICF195367:ICF195450 HSJ195367:HSJ195450 HIN195367:HIN195450 GYR195367:GYR195450 GOV195367:GOV195450 GEZ195367:GEZ195450 FVD195367:FVD195450 FLH195367:FLH195450 FBL195367:FBL195450 ERP195367:ERP195450 EHT195367:EHT195450 DXX195367:DXX195450 DOB195367:DOB195450 DEF195367:DEF195450 CUJ195367:CUJ195450 CKN195367:CKN195450 CAR195367:CAR195450 BQV195367:BQV195450 BGZ195367:BGZ195450 AXD195367:AXD195450 ANH195367:ANH195450 ADL195367:ADL195450 TP195367:TP195450 JT195367:JT195450 X195367:X195450 WWF129831:WWF129914 WMJ129831:WMJ129914 WCN129831:WCN129914 VSR129831:VSR129914 VIV129831:VIV129914 UYZ129831:UYZ129914 UPD129831:UPD129914 UFH129831:UFH129914 TVL129831:TVL129914 TLP129831:TLP129914 TBT129831:TBT129914 SRX129831:SRX129914 SIB129831:SIB129914 RYF129831:RYF129914 ROJ129831:ROJ129914 REN129831:REN129914 QUR129831:QUR129914 QKV129831:QKV129914 QAZ129831:QAZ129914 PRD129831:PRD129914 PHH129831:PHH129914 OXL129831:OXL129914 ONP129831:ONP129914 ODT129831:ODT129914 NTX129831:NTX129914 NKB129831:NKB129914 NAF129831:NAF129914 MQJ129831:MQJ129914 MGN129831:MGN129914 LWR129831:LWR129914 LMV129831:LMV129914 LCZ129831:LCZ129914 KTD129831:KTD129914 KJH129831:KJH129914 JZL129831:JZL129914 JPP129831:JPP129914 JFT129831:JFT129914 IVX129831:IVX129914 IMB129831:IMB129914 ICF129831:ICF129914 HSJ129831:HSJ129914 HIN129831:HIN129914 GYR129831:GYR129914 GOV129831:GOV129914 GEZ129831:GEZ129914 FVD129831:FVD129914 FLH129831:FLH129914 FBL129831:FBL129914 ERP129831:ERP129914 EHT129831:EHT129914 DXX129831:DXX129914 DOB129831:DOB129914 DEF129831:DEF129914 CUJ129831:CUJ129914 CKN129831:CKN129914 CAR129831:CAR129914 BQV129831:BQV129914 BGZ129831:BGZ129914 AXD129831:AXD129914 ANH129831:ANH129914 ADL129831:ADL129914 TP129831:TP129914 JT129831:JT129914 X129831:X129914 WWF64295:WWF64378 WMJ64295:WMJ64378 WCN64295:WCN64378 VSR64295:VSR64378 VIV64295:VIV64378 UYZ64295:UYZ64378 UPD64295:UPD64378 UFH64295:UFH64378 TVL64295:TVL64378 TLP64295:TLP64378 TBT64295:TBT64378 SRX64295:SRX64378 SIB64295:SIB64378 RYF64295:RYF64378 ROJ64295:ROJ64378 REN64295:REN64378 QUR64295:QUR64378 QKV64295:QKV64378 QAZ64295:QAZ64378 PRD64295:PRD64378 PHH64295:PHH64378 OXL64295:OXL64378 ONP64295:ONP64378 ODT64295:ODT64378 NTX64295:NTX64378 NKB64295:NKB64378 NAF64295:NAF64378 MQJ64295:MQJ64378 MGN64295:MGN64378 LWR64295:LWR64378 LMV64295:LMV64378 LCZ64295:LCZ64378 KTD64295:KTD64378 KJH64295:KJH64378 JZL64295:JZL64378 JPP64295:JPP64378 JFT64295:JFT64378 IVX64295:IVX64378 IMB64295:IMB64378 ICF64295:ICF64378 HSJ64295:HSJ64378 HIN64295:HIN64378 GYR64295:GYR64378 GOV64295:GOV64378 GEZ64295:GEZ64378 FVD64295:FVD64378 FLH64295:FLH64378 FBL64295:FBL64378 ERP64295:ERP64378 EHT64295:EHT64378 DXX64295:DXX64378 DOB64295:DOB64378 DEF64295:DEF64378 CUJ64295:CUJ64378 CKN64295:CKN64378 CAR64295:CAR64378 BQV64295:BQV64378 BGZ64295:BGZ64378 AXD64295:AXD64378 ANH64295:ANH64378 ADL64295:ADL64378 TP64295:TP64378 JT64295:JT64378 X64295:X64378 X90:X494 JT2:JT67 TP2:TP67 ADL2:ADL67 ANH2:ANH67 AXD2:AXD67 BGZ2:BGZ67 BQV2:BQV67 CAR2:CAR67 CKN2:CKN67 CUJ2:CUJ67 DEF2:DEF67 DOB2:DOB67 DXX2:DXX67 EHT2:EHT67 ERP2:ERP67 FBL2:FBL67 FLH2:FLH67 FVD2:FVD67 GEZ2:GEZ67 GOV2:GOV67 GYR2:GYR67 HIN2:HIN67 HSJ2:HSJ67 ICF2:ICF67 IMB2:IMB67 IVX2:IVX67 JFT2:JFT67 JPP2:JPP67 JZL2:JZL67 KJH2:KJH67 KTD2:KTD67 LCZ2:LCZ67 LMV2:LMV67 LWR2:LWR67 MGN2:MGN67 MQJ2:MQJ67 NAF2:NAF67 NKB2:NKB67 NTX2:NTX67 ODT2:ODT67 ONP2:ONP67 OXL2:OXL67 PHH2:PHH67 PRD2:PRD67 QAZ2:QAZ67 QKV2:QKV67 QUR2:QUR67 REN2:REN67 ROJ2:ROJ67 RYF2:RYF67 SIB2:SIB67 SRX2:SRX67 TBT2:TBT67 TLP2:TLP67 TVL2:TVL67 UFH2:UFH67 UPD2:UPD67 UYZ2:UYZ67 VIV2:VIV67 VSR2:VSR67 WCN2:WCN67 WMJ2:WMJ67 WWF2:WWF67 X2:X88">
      <formula1>$AT$2:$AT$3</formula1>
    </dataValidation>
    <dataValidation operator="equal" allowBlank="1" showInputMessage="1" showErrorMessage="1" sqref="WVJ981799:WVJ981888 WLN981799:WLN981888 WBR981799:WBR981888 VRV981799:VRV981888 VHZ981799:VHZ981888 UYD981799:UYD981888 UOH981799:UOH981888 UEL981799:UEL981888 TUP981799:TUP981888 TKT981799:TKT981888 TAX981799:TAX981888 SRB981799:SRB981888 SHF981799:SHF981888 RXJ981799:RXJ981888 RNN981799:RNN981888 RDR981799:RDR981888 QTV981799:QTV981888 QJZ981799:QJZ981888 QAD981799:QAD981888 PQH981799:PQH981888 PGL981799:PGL981888 OWP981799:OWP981888 OMT981799:OMT981888 OCX981799:OCX981888 NTB981799:NTB981888 NJF981799:NJF981888 MZJ981799:MZJ981888 MPN981799:MPN981888 MFR981799:MFR981888 LVV981799:LVV981888 LLZ981799:LLZ981888 LCD981799:LCD981888 KSH981799:KSH981888 KIL981799:KIL981888 JYP981799:JYP981888 JOT981799:JOT981888 JEX981799:JEX981888 IVB981799:IVB981888 ILF981799:ILF981888 IBJ981799:IBJ981888 HRN981799:HRN981888 HHR981799:HHR981888 GXV981799:GXV981888 GNZ981799:GNZ981888 GED981799:GED981888 FUH981799:FUH981888 FKL981799:FKL981888 FAP981799:FAP981888 EQT981799:EQT981888 EGX981799:EGX981888 DXB981799:DXB981888 DNF981799:DNF981888 DDJ981799:DDJ981888 CTN981799:CTN981888 CJR981799:CJR981888 BZV981799:BZV981888 BPZ981799:BPZ981888 BGD981799:BGD981888 AWH981799:AWH981888 AML981799:AML981888 ACP981799:ACP981888 ST981799:ST981888 IX981799:IX981888 B981805:B981894 WVJ916263:WVJ916352 WLN916263:WLN916352 WBR916263:WBR916352 VRV916263:VRV916352 VHZ916263:VHZ916352 UYD916263:UYD916352 UOH916263:UOH916352 UEL916263:UEL916352 TUP916263:TUP916352 TKT916263:TKT916352 TAX916263:TAX916352 SRB916263:SRB916352 SHF916263:SHF916352 RXJ916263:RXJ916352 RNN916263:RNN916352 RDR916263:RDR916352 QTV916263:QTV916352 QJZ916263:QJZ916352 QAD916263:QAD916352 PQH916263:PQH916352 PGL916263:PGL916352 OWP916263:OWP916352 OMT916263:OMT916352 OCX916263:OCX916352 NTB916263:NTB916352 NJF916263:NJF916352 MZJ916263:MZJ916352 MPN916263:MPN916352 MFR916263:MFR916352 LVV916263:LVV916352 LLZ916263:LLZ916352 LCD916263:LCD916352 KSH916263:KSH916352 KIL916263:KIL916352 JYP916263:JYP916352 JOT916263:JOT916352 JEX916263:JEX916352 IVB916263:IVB916352 ILF916263:ILF916352 IBJ916263:IBJ916352 HRN916263:HRN916352 HHR916263:HHR916352 GXV916263:GXV916352 GNZ916263:GNZ916352 GED916263:GED916352 FUH916263:FUH916352 FKL916263:FKL916352 FAP916263:FAP916352 EQT916263:EQT916352 EGX916263:EGX916352 DXB916263:DXB916352 DNF916263:DNF916352 DDJ916263:DDJ916352 CTN916263:CTN916352 CJR916263:CJR916352 BZV916263:BZV916352 BPZ916263:BPZ916352 BGD916263:BGD916352 AWH916263:AWH916352 AML916263:AML916352 ACP916263:ACP916352 ST916263:ST916352 IX916263:IX916352 B916269:B916358 WVJ850727:WVJ850816 WLN850727:WLN850816 WBR850727:WBR850816 VRV850727:VRV850816 VHZ850727:VHZ850816 UYD850727:UYD850816 UOH850727:UOH850816 UEL850727:UEL850816 TUP850727:TUP850816 TKT850727:TKT850816 TAX850727:TAX850816 SRB850727:SRB850816 SHF850727:SHF850816 RXJ850727:RXJ850816 RNN850727:RNN850816 RDR850727:RDR850816 QTV850727:QTV850816 QJZ850727:QJZ850816 QAD850727:QAD850816 PQH850727:PQH850816 PGL850727:PGL850816 OWP850727:OWP850816 OMT850727:OMT850816 OCX850727:OCX850816 NTB850727:NTB850816 NJF850727:NJF850816 MZJ850727:MZJ850816 MPN850727:MPN850816 MFR850727:MFR850816 LVV850727:LVV850816 LLZ850727:LLZ850816 LCD850727:LCD850816 KSH850727:KSH850816 KIL850727:KIL850816 JYP850727:JYP850816 JOT850727:JOT850816 JEX850727:JEX850816 IVB850727:IVB850816 ILF850727:ILF850816 IBJ850727:IBJ850816 HRN850727:HRN850816 HHR850727:HHR850816 GXV850727:GXV850816 GNZ850727:GNZ850816 GED850727:GED850816 FUH850727:FUH850816 FKL850727:FKL850816 FAP850727:FAP850816 EQT850727:EQT850816 EGX850727:EGX850816 DXB850727:DXB850816 DNF850727:DNF850816 DDJ850727:DDJ850816 CTN850727:CTN850816 CJR850727:CJR850816 BZV850727:BZV850816 BPZ850727:BPZ850816 BGD850727:BGD850816 AWH850727:AWH850816 AML850727:AML850816 ACP850727:ACP850816 ST850727:ST850816 IX850727:IX850816 B850733:B850822 WVJ785191:WVJ785280 WLN785191:WLN785280 WBR785191:WBR785280 VRV785191:VRV785280 VHZ785191:VHZ785280 UYD785191:UYD785280 UOH785191:UOH785280 UEL785191:UEL785280 TUP785191:TUP785280 TKT785191:TKT785280 TAX785191:TAX785280 SRB785191:SRB785280 SHF785191:SHF785280 RXJ785191:RXJ785280 RNN785191:RNN785280 RDR785191:RDR785280 QTV785191:QTV785280 QJZ785191:QJZ785280 QAD785191:QAD785280 PQH785191:PQH785280 PGL785191:PGL785280 OWP785191:OWP785280 OMT785191:OMT785280 OCX785191:OCX785280 NTB785191:NTB785280 NJF785191:NJF785280 MZJ785191:MZJ785280 MPN785191:MPN785280 MFR785191:MFR785280 LVV785191:LVV785280 LLZ785191:LLZ785280 LCD785191:LCD785280 KSH785191:KSH785280 KIL785191:KIL785280 JYP785191:JYP785280 JOT785191:JOT785280 JEX785191:JEX785280 IVB785191:IVB785280 ILF785191:ILF785280 IBJ785191:IBJ785280 HRN785191:HRN785280 HHR785191:HHR785280 GXV785191:GXV785280 GNZ785191:GNZ785280 GED785191:GED785280 FUH785191:FUH785280 FKL785191:FKL785280 FAP785191:FAP785280 EQT785191:EQT785280 EGX785191:EGX785280 DXB785191:DXB785280 DNF785191:DNF785280 DDJ785191:DDJ785280 CTN785191:CTN785280 CJR785191:CJR785280 BZV785191:BZV785280 BPZ785191:BPZ785280 BGD785191:BGD785280 AWH785191:AWH785280 AML785191:AML785280 ACP785191:ACP785280 ST785191:ST785280 IX785191:IX785280 B785197:B785286 WVJ719655:WVJ719744 WLN719655:WLN719744 WBR719655:WBR719744 VRV719655:VRV719744 VHZ719655:VHZ719744 UYD719655:UYD719744 UOH719655:UOH719744 UEL719655:UEL719744 TUP719655:TUP719744 TKT719655:TKT719744 TAX719655:TAX719744 SRB719655:SRB719744 SHF719655:SHF719744 RXJ719655:RXJ719744 RNN719655:RNN719744 RDR719655:RDR719744 QTV719655:QTV719744 QJZ719655:QJZ719744 QAD719655:QAD719744 PQH719655:PQH719744 PGL719655:PGL719744 OWP719655:OWP719744 OMT719655:OMT719744 OCX719655:OCX719744 NTB719655:NTB719744 NJF719655:NJF719744 MZJ719655:MZJ719744 MPN719655:MPN719744 MFR719655:MFR719744 LVV719655:LVV719744 LLZ719655:LLZ719744 LCD719655:LCD719744 KSH719655:KSH719744 KIL719655:KIL719744 JYP719655:JYP719744 JOT719655:JOT719744 JEX719655:JEX719744 IVB719655:IVB719744 ILF719655:ILF719744 IBJ719655:IBJ719744 HRN719655:HRN719744 HHR719655:HHR719744 GXV719655:GXV719744 GNZ719655:GNZ719744 GED719655:GED719744 FUH719655:FUH719744 FKL719655:FKL719744 FAP719655:FAP719744 EQT719655:EQT719744 EGX719655:EGX719744 DXB719655:DXB719744 DNF719655:DNF719744 DDJ719655:DDJ719744 CTN719655:CTN719744 CJR719655:CJR719744 BZV719655:BZV719744 BPZ719655:BPZ719744 BGD719655:BGD719744 AWH719655:AWH719744 AML719655:AML719744 ACP719655:ACP719744 ST719655:ST719744 IX719655:IX719744 B719661:B719750 WVJ654119:WVJ654208 WLN654119:WLN654208 WBR654119:WBR654208 VRV654119:VRV654208 VHZ654119:VHZ654208 UYD654119:UYD654208 UOH654119:UOH654208 UEL654119:UEL654208 TUP654119:TUP654208 TKT654119:TKT654208 TAX654119:TAX654208 SRB654119:SRB654208 SHF654119:SHF654208 RXJ654119:RXJ654208 RNN654119:RNN654208 RDR654119:RDR654208 QTV654119:QTV654208 QJZ654119:QJZ654208 QAD654119:QAD654208 PQH654119:PQH654208 PGL654119:PGL654208 OWP654119:OWP654208 OMT654119:OMT654208 OCX654119:OCX654208 NTB654119:NTB654208 NJF654119:NJF654208 MZJ654119:MZJ654208 MPN654119:MPN654208 MFR654119:MFR654208 LVV654119:LVV654208 LLZ654119:LLZ654208 LCD654119:LCD654208 KSH654119:KSH654208 KIL654119:KIL654208 JYP654119:JYP654208 JOT654119:JOT654208 JEX654119:JEX654208 IVB654119:IVB654208 ILF654119:ILF654208 IBJ654119:IBJ654208 HRN654119:HRN654208 HHR654119:HHR654208 GXV654119:GXV654208 GNZ654119:GNZ654208 GED654119:GED654208 FUH654119:FUH654208 FKL654119:FKL654208 FAP654119:FAP654208 EQT654119:EQT654208 EGX654119:EGX654208 DXB654119:DXB654208 DNF654119:DNF654208 DDJ654119:DDJ654208 CTN654119:CTN654208 CJR654119:CJR654208 BZV654119:BZV654208 BPZ654119:BPZ654208 BGD654119:BGD654208 AWH654119:AWH654208 AML654119:AML654208 ACP654119:ACP654208 ST654119:ST654208 IX654119:IX654208 B654125:B654214 WVJ588583:WVJ588672 WLN588583:WLN588672 WBR588583:WBR588672 VRV588583:VRV588672 VHZ588583:VHZ588672 UYD588583:UYD588672 UOH588583:UOH588672 UEL588583:UEL588672 TUP588583:TUP588672 TKT588583:TKT588672 TAX588583:TAX588672 SRB588583:SRB588672 SHF588583:SHF588672 RXJ588583:RXJ588672 RNN588583:RNN588672 RDR588583:RDR588672 QTV588583:QTV588672 QJZ588583:QJZ588672 QAD588583:QAD588672 PQH588583:PQH588672 PGL588583:PGL588672 OWP588583:OWP588672 OMT588583:OMT588672 OCX588583:OCX588672 NTB588583:NTB588672 NJF588583:NJF588672 MZJ588583:MZJ588672 MPN588583:MPN588672 MFR588583:MFR588672 LVV588583:LVV588672 LLZ588583:LLZ588672 LCD588583:LCD588672 KSH588583:KSH588672 KIL588583:KIL588672 JYP588583:JYP588672 JOT588583:JOT588672 JEX588583:JEX588672 IVB588583:IVB588672 ILF588583:ILF588672 IBJ588583:IBJ588672 HRN588583:HRN588672 HHR588583:HHR588672 GXV588583:GXV588672 GNZ588583:GNZ588672 GED588583:GED588672 FUH588583:FUH588672 FKL588583:FKL588672 FAP588583:FAP588672 EQT588583:EQT588672 EGX588583:EGX588672 DXB588583:DXB588672 DNF588583:DNF588672 DDJ588583:DDJ588672 CTN588583:CTN588672 CJR588583:CJR588672 BZV588583:BZV588672 BPZ588583:BPZ588672 BGD588583:BGD588672 AWH588583:AWH588672 AML588583:AML588672 ACP588583:ACP588672 ST588583:ST588672 IX588583:IX588672 B588589:B588678 WVJ523047:WVJ523136 WLN523047:WLN523136 WBR523047:WBR523136 VRV523047:VRV523136 VHZ523047:VHZ523136 UYD523047:UYD523136 UOH523047:UOH523136 UEL523047:UEL523136 TUP523047:TUP523136 TKT523047:TKT523136 TAX523047:TAX523136 SRB523047:SRB523136 SHF523047:SHF523136 RXJ523047:RXJ523136 RNN523047:RNN523136 RDR523047:RDR523136 QTV523047:QTV523136 QJZ523047:QJZ523136 QAD523047:QAD523136 PQH523047:PQH523136 PGL523047:PGL523136 OWP523047:OWP523136 OMT523047:OMT523136 OCX523047:OCX523136 NTB523047:NTB523136 NJF523047:NJF523136 MZJ523047:MZJ523136 MPN523047:MPN523136 MFR523047:MFR523136 LVV523047:LVV523136 LLZ523047:LLZ523136 LCD523047:LCD523136 KSH523047:KSH523136 KIL523047:KIL523136 JYP523047:JYP523136 JOT523047:JOT523136 JEX523047:JEX523136 IVB523047:IVB523136 ILF523047:ILF523136 IBJ523047:IBJ523136 HRN523047:HRN523136 HHR523047:HHR523136 GXV523047:GXV523136 GNZ523047:GNZ523136 GED523047:GED523136 FUH523047:FUH523136 FKL523047:FKL523136 FAP523047:FAP523136 EQT523047:EQT523136 EGX523047:EGX523136 DXB523047:DXB523136 DNF523047:DNF523136 DDJ523047:DDJ523136 CTN523047:CTN523136 CJR523047:CJR523136 BZV523047:BZV523136 BPZ523047:BPZ523136 BGD523047:BGD523136 AWH523047:AWH523136 AML523047:AML523136 ACP523047:ACP523136 ST523047:ST523136 IX523047:IX523136 B523053:B523142 WVJ457511:WVJ457600 WLN457511:WLN457600 WBR457511:WBR457600 VRV457511:VRV457600 VHZ457511:VHZ457600 UYD457511:UYD457600 UOH457511:UOH457600 UEL457511:UEL457600 TUP457511:TUP457600 TKT457511:TKT457600 TAX457511:TAX457600 SRB457511:SRB457600 SHF457511:SHF457600 RXJ457511:RXJ457600 RNN457511:RNN457600 RDR457511:RDR457600 QTV457511:QTV457600 QJZ457511:QJZ457600 QAD457511:QAD457600 PQH457511:PQH457600 PGL457511:PGL457600 OWP457511:OWP457600 OMT457511:OMT457600 OCX457511:OCX457600 NTB457511:NTB457600 NJF457511:NJF457600 MZJ457511:MZJ457600 MPN457511:MPN457600 MFR457511:MFR457600 LVV457511:LVV457600 LLZ457511:LLZ457600 LCD457511:LCD457600 KSH457511:KSH457600 KIL457511:KIL457600 JYP457511:JYP457600 JOT457511:JOT457600 JEX457511:JEX457600 IVB457511:IVB457600 ILF457511:ILF457600 IBJ457511:IBJ457600 HRN457511:HRN457600 HHR457511:HHR457600 GXV457511:GXV457600 GNZ457511:GNZ457600 GED457511:GED457600 FUH457511:FUH457600 FKL457511:FKL457600 FAP457511:FAP457600 EQT457511:EQT457600 EGX457511:EGX457600 DXB457511:DXB457600 DNF457511:DNF457600 DDJ457511:DDJ457600 CTN457511:CTN457600 CJR457511:CJR457600 BZV457511:BZV457600 BPZ457511:BPZ457600 BGD457511:BGD457600 AWH457511:AWH457600 AML457511:AML457600 ACP457511:ACP457600 ST457511:ST457600 IX457511:IX457600 B457517:B457606 WVJ391975:WVJ392064 WLN391975:WLN392064 WBR391975:WBR392064 VRV391975:VRV392064 VHZ391975:VHZ392064 UYD391975:UYD392064 UOH391975:UOH392064 UEL391975:UEL392064 TUP391975:TUP392064 TKT391975:TKT392064 TAX391975:TAX392064 SRB391975:SRB392064 SHF391975:SHF392064 RXJ391975:RXJ392064 RNN391975:RNN392064 RDR391975:RDR392064 QTV391975:QTV392064 QJZ391975:QJZ392064 QAD391975:QAD392064 PQH391975:PQH392064 PGL391975:PGL392064 OWP391975:OWP392064 OMT391975:OMT392064 OCX391975:OCX392064 NTB391975:NTB392064 NJF391975:NJF392064 MZJ391975:MZJ392064 MPN391975:MPN392064 MFR391975:MFR392064 LVV391975:LVV392064 LLZ391975:LLZ392064 LCD391975:LCD392064 KSH391975:KSH392064 KIL391975:KIL392064 JYP391975:JYP392064 JOT391975:JOT392064 JEX391975:JEX392064 IVB391975:IVB392064 ILF391975:ILF392064 IBJ391975:IBJ392064 HRN391975:HRN392064 HHR391975:HHR392064 GXV391975:GXV392064 GNZ391975:GNZ392064 GED391975:GED392064 FUH391975:FUH392064 FKL391975:FKL392064 FAP391975:FAP392064 EQT391975:EQT392064 EGX391975:EGX392064 DXB391975:DXB392064 DNF391975:DNF392064 DDJ391975:DDJ392064 CTN391975:CTN392064 CJR391975:CJR392064 BZV391975:BZV392064 BPZ391975:BPZ392064 BGD391975:BGD392064 AWH391975:AWH392064 AML391975:AML392064 ACP391975:ACP392064 ST391975:ST392064 IX391975:IX392064 B391981:B392070 WVJ326439:WVJ326528 WLN326439:WLN326528 WBR326439:WBR326528 VRV326439:VRV326528 VHZ326439:VHZ326528 UYD326439:UYD326528 UOH326439:UOH326528 UEL326439:UEL326528 TUP326439:TUP326528 TKT326439:TKT326528 TAX326439:TAX326528 SRB326439:SRB326528 SHF326439:SHF326528 RXJ326439:RXJ326528 RNN326439:RNN326528 RDR326439:RDR326528 QTV326439:QTV326528 QJZ326439:QJZ326528 QAD326439:QAD326528 PQH326439:PQH326528 PGL326439:PGL326528 OWP326439:OWP326528 OMT326439:OMT326528 OCX326439:OCX326528 NTB326439:NTB326528 NJF326439:NJF326528 MZJ326439:MZJ326528 MPN326439:MPN326528 MFR326439:MFR326528 LVV326439:LVV326528 LLZ326439:LLZ326528 LCD326439:LCD326528 KSH326439:KSH326528 KIL326439:KIL326528 JYP326439:JYP326528 JOT326439:JOT326528 JEX326439:JEX326528 IVB326439:IVB326528 ILF326439:ILF326528 IBJ326439:IBJ326528 HRN326439:HRN326528 HHR326439:HHR326528 GXV326439:GXV326528 GNZ326439:GNZ326528 GED326439:GED326528 FUH326439:FUH326528 FKL326439:FKL326528 FAP326439:FAP326528 EQT326439:EQT326528 EGX326439:EGX326528 DXB326439:DXB326528 DNF326439:DNF326528 DDJ326439:DDJ326528 CTN326439:CTN326528 CJR326439:CJR326528 BZV326439:BZV326528 BPZ326439:BPZ326528 BGD326439:BGD326528 AWH326439:AWH326528 AML326439:AML326528 ACP326439:ACP326528 ST326439:ST326528 IX326439:IX326528 B326445:B326534 WVJ260903:WVJ260992 WLN260903:WLN260992 WBR260903:WBR260992 VRV260903:VRV260992 VHZ260903:VHZ260992 UYD260903:UYD260992 UOH260903:UOH260992 UEL260903:UEL260992 TUP260903:TUP260992 TKT260903:TKT260992 TAX260903:TAX260992 SRB260903:SRB260992 SHF260903:SHF260992 RXJ260903:RXJ260992 RNN260903:RNN260992 RDR260903:RDR260992 QTV260903:QTV260992 QJZ260903:QJZ260992 QAD260903:QAD260992 PQH260903:PQH260992 PGL260903:PGL260992 OWP260903:OWP260992 OMT260903:OMT260992 OCX260903:OCX260992 NTB260903:NTB260992 NJF260903:NJF260992 MZJ260903:MZJ260992 MPN260903:MPN260992 MFR260903:MFR260992 LVV260903:LVV260992 LLZ260903:LLZ260992 LCD260903:LCD260992 KSH260903:KSH260992 KIL260903:KIL260992 JYP260903:JYP260992 JOT260903:JOT260992 JEX260903:JEX260992 IVB260903:IVB260992 ILF260903:ILF260992 IBJ260903:IBJ260992 HRN260903:HRN260992 HHR260903:HHR260992 GXV260903:GXV260992 GNZ260903:GNZ260992 GED260903:GED260992 FUH260903:FUH260992 FKL260903:FKL260992 FAP260903:FAP260992 EQT260903:EQT260992 EGX260903:EGX260992 DXB260903:DXB260992 DNF260903:DNF260992 DDJ260903:DDJ260992 CTN260903:CTN260992 CJR260903:CJR260992 BZV260903:BZV260992 BPZ260903:BPZ260992 BGD260903:BGD260992 AWH260903:AWH260992 AML260903:AML260992 ACP260903:ACP260992 ST260903:ST260992 IX260903:IX260992 B260909:B260998 WVJ195367:WVJ195456 WLN195367:WLN195456 WBR195367:WBR195456 VRV195367:VRV195456 VHZ195367:VHZ195456 UYD195367:UYD195456 UOH195367:UOH195456 UEL195367:UEL195456 TUP195367:TUP195456 TKT195367:TKT195456 TAX195367:TAX195456 SRB195367:SRB195456 SHF195367:SHF195456 RXJ195367:RXJ195456 RNN195367:RNN195456 RDR195367:RDR195456 QTV195367:QTV195456 QJZ195367:QJZ195456 QAD195367:QAD195456 PQH195367:PQH195456 PGL195367:PGL195456 OWP195367:OWP195456 OMT195367:OMT195456 OCX195367:OCX195456 NTB195367:NTB195456 NJF195367:NJF195456 MZJ195367:MZJ195456 MPN195367:MPN195456 MFR195367:MFR195456 LVV195367:LVV195456 LLZ195367:LLZ195456 LCD195367:LCD195456 KSH195367:KSH195456 KIL195367:KIL195456 JYP195367:JYP195456 JOT195367:JOT195456 JEX195367:JEX195456 IVB195367:IVB195456 ILF195367:ILF195456 IBJ195367:IBJ195456 HRN195367:HRN195456 HHR195367:HHR195456 GXV195367:GXV195456 GNZ195367:GNZ195456 GED195367:GED195456 FUH195367:FUH195456 FKL195367:FKL195456 FAP195367:FAP195456 EQT195367:EQT195456 EGX195367:EGX195456 DXB195367:DXB195456 DNF195367:DNF195456 DDJ195367:DDJ195456 CTN195367:CTN195456 CJR195367:CJR195456 BZV195367:BZV195456 BPZ195367:BPZ195456 BGD195367:BGD195456 AWH195367:AWH195456 AML195367:AML195456 ACP195367:ACP195456 ST195367:ST195456 IX195367:IX195456 B195373:B195462 WVJ129831:WVJ129920 WLN129831:WLN129920 WBR129831:WBR129920 VRV129831:VRV129920 VHZ129831:VHZ129920 UYD129831:UYD129920 UOH129831:UOH129920 UEL129831:UEL129920 TUP129831:TUP129920 TKT129831:TKT129920 TAX129831:TAX129920 SRB129831:SRB129920 SHF129831:SHF129920 RXJ129831:RXJ129920 RNN129831:RNN129920 RDR129831:RDR129920 QTV129831:QTV129920 QJZ129831:QJZ129920 QAD129831:QAD129920 PQH129831:PQH129920 PGL129831:PGL129920 OWP129831:OWP129920 OMT129831:OMT129920 OCX129831:OCX129920 NTB129831:NTB129920 NJF129831:NJF129920 MZJ129831:MZJ129920 MPN129831:MPN129920 MFR129831:MFR129920 LVV129831:LVV129920 LLZ129831:LLZ129920 LCD129831:LCD129920 KSH129831:KSH129920 KIL129831:KIL129920 JYP129831:JYP129920 JOT129831:JOT129920 JEX129831:JEX129920 IVB129831:IVB129920 ILF129831:ILF129920 IBJ129831:IBJ129920 HRN129831:HRN129920 HHR129831:HHR129920 GXV129831:GXV129920 GNZ129831:GNZ129920 GED129831:GED129920 FUH129831:FUH129920 FKL129831:FKL129920 FAP129831:FAP129920 EQT129831:EQT129920 EGX129831:EGX129920 DXB129831:DXB129920 DNF129831:DNF129920 DDJ129831:DDJ129920 CTN129831:CTN129920 CJR129831:CJR129920 BZV129831:BZV129920 BPZ129831:BPZ129920 BGD129831:BGD129920 AWH129831:AWH129920 AML129831:AML129920 ACP129831:ACP129920 ST129831:ST129920 IX129831:IX129920 B129837:B129926 WVJ64295:WVJ64384 WLN64295:WLN64384 WBR64295:WBR64384 VRV64295:VRV64384 VHZ64295:VHZ64384 UYD64295:UYD64384 UOH64295:UOH64384 UEL64295:UEL64384 TUP64295:TUP64384 TKT64295:TKT64384 TAX64295:TAX64384 SRB64295:SRB64384 SHF64295:SHF64384 RXJ64295:RXJ64384 RNN64295:RNN64384 RDR64295:RDR64384 QTV64295:QTV64384 QJZ64295:QJZ64384 QAD64295:QAD64384 PQH64295:PQH64384 PGL64295:PGL64384 OWP64295:OWP64384 OMT64295:OMT64384 OCX64295:OCX64384 NTB64295:NTB64384 NJF64295:NJF64384 MZJ64295:MZJ64384 MPN64295:MPN64384 MFR64295:MFR64384 LVV64295:LVV64384 LLZ64295:LLZ64384 LCD64295:LCD64384 KSH64295:KSH64384 KIL64295:KIL64384 JYP64295:JYP64384 JOT64295:JOT64384 JEX64295:JEX64384 IVB64295:IVB64384 ILF64295:ILF64384 IBJ64295:IBJ64384 HRN64295:HRN64384 HHR64295:HHR64384 GXV64295:GXV64384 GNZ64295:GNZ64384 GED64295:GED64384 FUH64295:FUH64384 FKL64295:FKL64384 FAP64295:FAP64384 EQT64295:EQT64384 EGX64295:EGX64384 DXB64295:DXB64384 DNF64295:DNF64384 DDJ64295:DDJ64384 CTN64295:CTN64384 CJR64295:CJR64384 BZV64295:BZV64384 BPZ64295:BPZ64384 BGD64295:BGD64384 AWH64295:AWH64384 AML64295:AML64384 ACP64295:ACP64384 ST64295:ST64384 IX64295:IX64384 B64301:B64390 B90:B106 IX2:IX67 ST2:ST67 ACP2:ACP67 AML2:AML67 AWH2:AWH67 BGD2:BGD67 BPZ2:BPZ67 BZV2:BZV67 CJR2:CJR67 CTN2:CTN67 DDJ2:DDJ67 DNF2:DNF67 DXB2:DXB67 EGX2:EGX67 EQT2:EQT67 FAP2:FAP67 FKL2:FKL67 FUH2:FUH67 GED2:GED67 GNZ2:GNZ67 GXV2:GXV67 HHR2:HHR67 HRN2:HRN67 IBJ2:IBJ67 ILF2:ILF67 IVB2:IVB67 JEX2:JEX67 JOT2:JOT67 JYP2:JYP67 KIL2:KIL67 KSH2:KSH67 LCD2:LCD67 LLZ2:LLZ67 LVV2:LVV67 MFR2:MFR67 MPN2:MPN67 MZJ2:MZJ67 NJF2:NJF67 NTB2:NTB67 OCX2:OCX67 OMT2:OMT67 OWP2:OWP67 PGL2:PGL67 PQH2:PQH67 QAD2:QAD67 QJZ2:QJZ67 QTV2:QTV67 RDR2:RDR67 RNN2:RNN67 RXJ2:RXJ67 SHF2:SHF67 SRB2:SRB67 TAX2:TAX67 TKT2:TKT67 TUP2:TUP67 UEL2:UEL67 UOH2:UOH67 UYD2:UYD67 VHZ2:VHZ67 VRV2:VRV67 WBR2:WBR67 WLN2:WLN67 WVJ2:WVJ67 B2:B88"/>
    <dataValidation type="list" allowBlank="1" showInputMessage="1" showErrorMessage="1" sqref="WVI981799:WVI981888 WLM981799:WLM981888 WBQ981799:WBQ981888 VRU981799:VRU981888 VHY981799:VHY981888 UYC981799:UYC981888 UOG981799:UOG981888 UEK981799:UEK981888 TUO981799:TUO981888 TKS981799:TKS981888 TAW981799:TAW981888 SRA981799:SRA981888 SHE981799:SHE981888 RXI981799:RXI981888 RNM981799:RNM981888 RDQ981799:RDQ981888 QTU981799:QTU981888 QJY981799:QJY981888 QAC981799:QAC981888 PQG981799:PQG981888 PGK981799:PGK981888 OWO981799:OWO981888 OMS981799:OMS981888 OCW981799:OCW981888 NTA981799:NTA981888 NJE981799:NJE981888 MZI981799:MZI981888 MPM981799:MPM981888 MFQ981799:MFQ981888 LVU981799:LVU981888 LLY981799:LLY981888 LCC981799:LCC981888 KSG981799:KSG981888 KIK981799:KIK981888 JYO981799:JYO981888 JOS981799:JOS981888 JEW981799:JEW981888 IVA981799:IVA981888 ILE981799:ILE981888 IBI981799:IBI981888 HRM981799:HRM981888 HHQ981799:HHQ981888 GXU981799:GXU981888 GNY981799:GNY981888 GEC981799:GEC981888 FUG981799:FUG981888 FKK981799:FKK981888 FAO981799:FAO981888 EQS981799:EQS981888 EGW981799:EGW981888 DXA981799:DXA981888 DNE981799:DNE981888 DDI981799:DDI981888 CTM981799:CTM981888 CJQ981799:CJQ981888 BZU981799:BZU981888 BPY981799:BPY981888 BGC981799:BGC981888 AWG981799:AWG981888 AMK981799:AMK981888 ACO981799:ACO981888 SS981799:SS981888 IW981799:IW981888 A981805:A981894 WVI916263:WVI916352 WLM916263:WLM916352 WBQ916263:WBQ916352 VRU916263:VRU916352 VHY916263:VHY916352 UYC916263:UYC916352 UOG916263:UOG916352 UEK916263:UEK916352 TUO916263:TUO916352 TKS916263:TKS916352 TAW916263:TAW916352 SRA916263:SRA916352 SHE916263:SHE916352 RXI916263:RXI916352 RNM916263:RNM916352 RDQ916263:RDQ916352 QTU916263:QTU916352 QJY916263:QJY916352 QAC916263:QAC916352 PQG916263:PQG916352 PGK916263:PGK916352 OWO916263:OWO916352 OMS916263:OMS916352 OCW916263:OCW916352 NTA916263:NTA916352 NJE916263:NJE916352 MZI916263:MZI916352 MPM916263:MPM916352 MFQ916263:MFQ916352 LVU916263:LVU916352 LLY916263:LLY916352 LCC916263:LCC916352 KSG916263:KSG916352 KIK916263:KIK916352 JYO916263:JYO916352 JOS916263:JOS916352 JEW916263:JEW916352 IVA916263:IVA916352 ILE916263:ILE916352 IBI916263:IBI916352 HRM916263:HRM916352 HHQ916263:HHQ916352 GXU916263:GXU916352 GNY916263:GNY916352 GEC916263:GEC916352 FUG916263:FUG916352 FKK916263:FKK916352 FAO916263:FAO916352 EQS916263:EQS916352 EGW916263:EGW916352 DXA916263:DXA916352 DNE916263:DNE916352 DDI916263:DDI916352 CTM916263:CTM916352 CJQ916263:CJQ916352 BZU916263:BZU916352 BPY916263:BPY916352 BGC916263:BGC916352 AWG916263:AWG916352 AMK916263:AMK916352 ACO916263:ACO916352 SS916263:SS916352 IW916263:IW916352 A916269:A916358 WVI850727:WVI850816 WLM850727:WLM850816 WBQ850727:WBQ850816 VRU850727:VRU850816 VHY850727:VHY850816 UYC850727:UYC850816 UOG850727:UOG850816 UEK850727:UEK850816 TUO850727:TUO850816 TKS850727:TKS850816 TAW850727:TAW850816 SRA850727:SRA850816 SHE850727:SHE850816 RXI850727:RXI850816 RNM850727:RNM850816 RDQ850727:RDQ850816 QTU850727:QTU850816 QJY850727:QJY850816 QAC850727:QAC850816 PQG850727:PQG850816 PGK850727:PGK850816 OWO850727:OWO850816 OMS850727:OMS850816 OCW850727:OCW850816 NTA850727:NTA850816 NJE850727:NJE850816 MZI850727:MZI850816 MPM850727:MPM850816 MFQ850727:MFQ850816 LVU850727:LVU850816 LLY850727:LLY850816 LCC850727:LCC850816 KSG850727:KSG850816 KIK850727:KIK850816 JYO850727:JYO850816 JOS850727:JOS850816 JEW850727:JEW850816 IVA850727:IVA850816 ILE850727:ILE850816 IBI850727:IBI850816 HRM850727:HRM850816 HHQ850727:HHQ850816 GXU850727:GXU850816 GNY850727:GNY850816 GEC850727:GEC850816 FUG850727:FUG850816 FKK850727:FKK850816 FAO850727:FAO850816 EQS850727:EQS850816 EGW850727:EGW850816 DXA850727:DXA850816 DNE850727:DNE850816 DDI850727:DDI850816 CTM850727:CTM850816 CJQ850727:CJQ850816 BZU850727:BZU850816 BPY850727:BPY850816 BGC850727:BGC850816 AWG850727:AWG850816 AMK850727:AMK850816 ACO850727:ACO850816 SS850727:SS850816 IW850727:IW850816 A850733:A850822 WVI785191:WVI785280 WLM785191:WLM785280 WBQ785191:WBQ785280 VRU785191:VRU785280 VHY785191:VHY785280 UYC785191:UYC785280 UOG785191:UOG785280 UEK785191:UEK785280 TUO785191:TUO785280 TKS785191:TKS785280 TAW785191:TAW785280 SRA785191:SRA785280 SHE785191:SHE785280 RXI785191:RXI785280 RNM785191:RNM785280 RDQ785191:RDQ785280 QTU785191:QTU785280 QJY785191:QJY785280 QAC785191:QAC785280 PQG785191:PQG785280 PGK785191:PGK785280 OWO785191:OWO785280 OMS785191:OMS785280 OCW785191:OCW785280 NTA785191:NTA785280 NJE785191:NJE785280 MZI785191:MZI785280 MPM785191:MPM785280 MFQ785191:MFQ785280 LVU785191:LVU785280 LLY785191:LLY785280 LCC785191:LCC785280 KSG785191:KSG785280 KIK785191:KIK785280 JYO785191:JYO785280 JOS785191:JOS785280 JEW785191:JEW785280 IVA785191:IVA785280 ILE785191:ILE785280 IBI785191:IBI785280 HRM785191:HRM785280 HHQ785191:HHQ785280 GXU785191:GXU785280 GNY785191:GNY785280 GEC785191:GEC785280 FUG785191:FUG785280 FKK785191:FKK785280 FAO785191:FAO785280 EQS785191:EQS785280 EGW785191:EGW785280 DXA785191:DXA785280 DNE785191:DNE785280 DDI785191:DDI785280 CTM785191:CTM785280 CJQ785191:CJQ785280 BZU785191:BZU785280 BPY785191:BPY785280 BGC785191:BGC785280 AWG785191:AWG785280 AMK785191:AMK785280 ACO785191:ACO785280 SS785191:SS785280 IW785191:IW785280 A785197:A785286 WVI719655:WVI719744 WLM719655:WLM719744 WBQ719655:WBQ719744 VRU719655:VRU719744 VHY719655:VHY719744 UYC719655:UYC719744 UOG719655:UOG719744 UEK719655:UEK719744 TUO719655:TUO719744 TKS719655:TKS719744 TAW719655:TAW719744 SRA719655:SRA719744 SHE719655:SHE719744 RXI719655:RXI719744 RNM719655:RNM719744 RDQ719655:RDQ719744 QTU719655:QTU719744 QJY719655:QJY719744 QAC719655:QAC719744 PQG719655:PQG719744 PGK719655:PGK719744 OWO719655:OWO719744 OMS719655:OMS719744 OCW719655:OCW719744 NTA719655:NTA719744 NJE719655:NJE719744 MZI719655:MZI719744 MPM719655:MPM719744 MFQ719655:MFQ719744 LVU719655:LVU719744 LLY719655:LLY719744 LCC719655:LCC719744 KSG719655:KSG719744 KIK719655:KIK719744 JYO719655:JYO719744 JOS719655:JOS719744 JEW719655:JEW719744 IVA719655:IVA719744 ILE719655:ILE719744 IBI719655:IBI719744 HRM719655:HRM719744 HHQ719655:HHQ719744 GXU719655:GXU719744 GNY719655:GNY719744 GEC719655:GEC719744 FUG719655:FUG719744 FKK719655:FKK719744 FAO719655:FAO719744 EQS719655:EQS719744 EGW719655:EGW719744 DXA719655:DXA719744 DNE719655:DNE719744 DDI719655:DDI719744 CTM719655:CTM719744 CJQ719655:CJQ719744 BZU719655:BZU719744 BPY719655:BPY719744 BGC719655:BGC719744 AWG719655:AWG719744 AMK719655:AMK719744 ACO719655:ACO719744 SS719655:SS719744 IW719655:IW719744 A719661:A719750 WVI654119:WVI654208 WLM654119:WLM654208 WBQ654119:WBQ654208 VRU654119:VRU654208 VHY654119:VHY654208 UYC654119:UYC654208 UOG654119:UOG654208 UEK654119:UEK654208 TUO654119:TUO654208 TKS654119:TKS654208 TAW654119:TAW654208 SRA654119:SRA654208 SHE654119:SHE654208 RXI654119:RXI654208 RNM654119:RNM654208 RDQ654119:RDQ654208 QTU654119:QTU654208 QJY654119:QJY654208 QAC654119:QAC654208 PQG654119:PQG654208 PGK654119:PGK654208 OWO654119:OWO654208 OMS654119:OMS654208 OCW654119:OCW654208 NTA654119:NTA654208 NJE654119:NJE654208 MZI654119:MZI654208 MPM654119:MPM654208 MFQ654119:MFQ654208 LVU654119:LVU654208 LLY654119:LLY654208 LCC654119:LCC654208 KSG654119:KSG654208 KIK654119:KIK654208 JYO654119:JYO654208 JOS654119:JOS654208 JEW654119:JEW654208 IVA654119:IVA654208 ILE654119:ILE654208 IBI654119:IBI654208 HRM654119:HRM654208 HHQ654119:HHQ654208 GXU654119:GXU654208 GNY654119:GNY654208 GEC654119:GEC654208 FUG654119:FUG654208 FKK654119:FKK654208 FAO654119:FAO654208 EQS654119:EQS654208 EGW654119:EGW654208 DXA654119:DXA654208 DNE654119:DNE654208 DDI654119:DDI654208 CTM654119:CTM654208 CJQ654119:CJQ654208 BZU654119:BZU654208 BPY654119:BPY654208 BGC654119:BGC654208 AWG654119:AWG654208 AMK654119:AMK654208 ACO654119:ACO654208 SS654119:SS654208 IW654119:IW654208 A654125:A654214 WVI588583:WVI588672 WLM588583:WLM588672 WBQ588583:WBQ588672 VRU588583:VRU588672 VHY588583:VHY588672 UYC588583:UYC588672 UOG588583:UOG588672 UEK588583:UEK588672 TUO588583:TUO588672 TKS588583:TKS588672 TAW588583:TAW588672 SRA588583:SRA588672 SHE588583:SHE588672 RXI588583:RXI588672 RNM588583:RNM588672 RDQ588583:RDQ588672 QTU588583:QTU588672 QJY588583:QJY588672 QAC588583:QAC588672 PQG588583:PQG588672 PGK588583:PGK588672 OWO588583:OWO588672 OMS588583:OMS588672 OCW588583:OCW588672 NTA588583:NTA588672 NJE588583:NJE588672 MZI588583:MZI588672 MPM588583:MPM588672 MFQ588583:MFQ588672 LVU588583:LVU588672 LLY588583:LLY588672 LCC588583:LCC588672 KSG588583:KSG588672 KIK588583:KIK588672 JYO588583:JYO588672 JOS588583:JOS588672 JEW588583:JEW588672 IVA588583:IVA588672 ILE588583:ILE588672 IBI588583:IBI588672 HRM588583:HRM588672 HHQ588583:HHQ588672 GXU588583:GXU588672 GNY588583:GNY588672 GEC588583:GEC588672 FUG588583:FUG588672 FKK588583:FKK588672 FAO588583:FAO588672 EQS588583:EQS588672 EGW588583:EGW588672 DXA588583:DXA588672 DNE588583:DNE588672 DDI588583:DDI588672 CTM588583:CTM588672 CJQ588583:CJQ588672 BZU588583:BZU588672 BPY588583:BPY588672 BGC588583:BGC588672 AWG588583:AWG588672 AMK588583:AMK588672 ACO588583:ACO588672 SS588583:SS588672 IW588583:IW588672 A588589:A588678 WVI523047:WVI523136 WLM523047:WLM523136 WBQ523047:WBQ523136 VRU523047:VRU523136 VHY523047:VHY523136 UYC523047:UYC523136 UOG523047:UOG523136 UEK523047:UEK523136 TUO523047:TUO523136 TKS523047:TKS523136 TAW523047:TAW523136 SRA523047:SRA523136 SHE523047:SHE523136 RXI523047:RXI523136 RNM523047:RNM523136 RDQ523047:RDQ523136 QTU523047:QTU523136 QJY523047:QJY523136 QAC523047:QAC523136 PQG523047:PQG523136 PGK523047:PGK523136 OWO523047:OWO523136 OMS523047:OMS523136 OCW523047:OCW523136 NTA523047:NTA523136 NJE523047:NJE523136 MZI523047:MZI523136 MPM523047:MPM523136 MFQ523047:MFQ523136 LVU523047:LVU523136 LLY523047:LLY523136 LCC523047:LCC523136 KSG523047:KSG523136 KIK523047:KIK523136 JYO523047:JYO523136 JOS523047:JOS523136 JEW523047:JEW523136 IVA523047:IVA523136 ILE523047:ILE523136 IBI523047:IBI523136 HRM523047:HRM523136 HHQ523047:HHQ523136 GXU523047:GXU523136 GNY523047:GNY523136 GEC523047:GEC523136 FUG523047:FUG523136 FKK523047:FKK523136 FAO523047:FAO523136 EQS523047:EQS523136 EGW523047:EGW523136 DXA523047:DXA523136 DNE523047:DNE523136 DDI523047:DDI523136 CTM523047:CTM523136 CJQ523047:CJQ523136 BZU523047:BZU523136 BPY523047:BPY523136 BGC523047:BGC523136 AWG523047:AWG523136 AMK523047:AMK523136 ACO523047:ACO523136 SS523047:SS523136 IW523047:IW523136 A523053:A523142 WVI457511:WVI457600 WLM457511:WLM457600 WBQ457511:WBQ457600 VRU457511:VRU457600 VHY457511:VHY457600 UYC457511:UYC457600 UOG457511:UOG457600 UEK457511:UEK457600 TUO457511:TUO457600 TKS457511:TKS457600 TAW457511:TAW457600 SRA457511:SRA457600 SHE457511:SHE457600 RXI457511:RXI457600 RNM457511:RNM457600 RDQ457511:RDQ457600 QTU457511:QTU457600 QJY457511:QJY457600 QAC457511:QAC457600 PQG457511:PQG457600 PGK457511:PGK457600 OWO457511:OWO457600 OMS457511:OMS457600 OCW457511:OCW457600 NTA457511:NTA457600 NJE457511:NJE457600 MZI457511:MZI457600 MPM457511:MPM457600 MFQ457511:MFQ457600 LVU457511:LVU457600 LLY457511:LLY457600 LCC457511:LCC457600 KSG457511:KSG457600 KIK457511:KIK457600 JYO457511:JYO457600 JOS457511:JOS457600 JEW457511:JEW457600 IVA457511:IVA457600 ILE457511:ILE457600 IBI457511:IBI457600 HRM457511:HRM457600 HHQ457511:HHQ457600 GXU457511:GXU457600 GNY457511:GNY457600 GEC457511:GEC457600 FUG457511:FUG457600 FKK457511:FKK457600 FAO457511:FAO457600 EQS457511:EQS457600 EGW457511:EGW457600 DXA457511:DXA457600 DNE457511:DNE457600 DDI457511:DDI457600 CTM457511:CTM457600 CJQ457511:CJQ457600 BZU457511:BZU457600 BPY457511:BPY457600 BGC457511:BGC457600 AWG457511:AWG457600 AMK457511:AMK457600 ACO457511:ACO457600 SS457511:SS457600 IW457511:IW457600 A457517:A457606 WVI391975:WVI392064 WLM391975:WLM392064 WBQ391975:WBQ392064 VRU391975:VRU392064 VHY391975:VHY392064 UYC391975:UYC392064 UOG391975:UOG392064 UEK391975:UEK392064 TUO391975:TUO392064 TKS391975:TKS392064 TAW391975:TAW392064 SRA391975:SRA392064 SHE391975:SHE392064 RXI391975:RXI392064 RNM391975:RNM392064 RDQ391975:RDQ392064 QTU391975:QTU392064 QJY391975:QJY392064 QAC391975:QAC392064 PQG391975:PQG392064 PGK391975:PGK392064 OWO391975:OWO392064 OMS391975:OMS392064 OCW391975:OCW392064 NTA391975:NTA392064 NJE391975:NJE392064 MZI391975:MZI392064 MPM391975:MPM392064 MFQ391975:MFQ392064 LVU391975:LVU392064 LLY391975:LLY392064 LCC391975:LCC392064 KSG391975:KSG392064 KIK391975:KIK392064 JYO391975:JYO392064 JOS391975:JOS392064 JEW391975:JEW392064 IVA391975:IVA392064 ILE391975:ILE392064 IBI391975:IBI392064 HRM391975:HRM392064 HHQ391975:HHQ392064 GXU391975:GXU392064 GNY391975:GNY392064 GEC391975:GEC392064 FUG391975:FUG392064 FKK391975:FKK392064 FAO391975:FAO392064 EQS391975:EQS392064 EGW391975:EGW392064 DXA391975:DXA392064 DNE391975:DNE392064 DDI391975:DDI392064 CTM391975:CTM392064 CJQ391975:CJQ392064 BZU391975:BZU392064 BPY391975:BPY392064 BGC391975:BGC392064 AWG391975:AWG392064 AMK391975:AMK392064 ACO391975:ACO392064 SS391975:SS392064 IW391975:IW392064 A391981:A392070 WVI326439:WVI326528 WLM326439:WLM326528 WBQ326439:WBQ326528 VRU326439:VRU326528 VHY326439:VHY326528 UYC326439:UYC326528 UOG326439:UOG326528 UEK326439:UEK326528 TUO326439:TUO326528 TKS326439:TKS326528 TAW326439:TAW326528 SRA326439:SRA326528 SHE326439:SHE326528 RXI326439:RXI326528 RNM326439:RNM326528 RDQ326439:RDQ326528 QTU326439:QTU326528 QJY326439:QJY326528 QAC326439:QAC326528 PQG326439:PQG326528 PGK326439:PGK326528 OWO326439:OWO326528 OMS326439:OMS326528 OCW326439:OCW326528 NTA326439:NTA326528 NJE326439:NJE326528 MZI326439:MZI326528 MPM326439:MPM326528 MFQ326439:MFQ326528 LVU326439:LVU326528 LLY326439:LLY326528 LCC326439:LCC326528 KSG326439:KSG326528 KIK326439:KIK326528 JYO326439:JYO326528 JOS326439:JOS326528 JEW326439:JEW326528 IVA326439:IVA326528 ILE326439:ILE326528 IBI326439:IBI326528 HRM326439:HRM326528 HHQ326439:HHQ326528 GXU326439:GXU326528 GNY326439:GNY326528 GEC326439:GEC326528 FUG326439:FUG326528 FKK326439:FKK326528 FAO326439:FAO326528 EQS326439:EQS326528 EGW326439:EGW326528 DXA326439:DXA326528 DNE326439:DNE326528 DDI326439:DDI326528 CTM326439:CTM326528 CJQ326439:CJQ326528 BZU326439:BZU326528 BPY326439:BPY326528 BGC326439:BGC326528 AWG326439:AWG326528 AMK326439:AMK326528 ACO326439:ACO326528 SS326439:SS326528 IW326439:IW326528 A326445:A326534 WVI260903:WVI260992 WLM260903:WLM260992 WBQ260903:WBQ260992 VRU260903:VRU260992 VHY260903:VHY260992 UYC260903:UYC260992 UOG260903:UOG260992 UEK260903:UEK260992 TUO260903:TUO260992 TKS260903:TKS260992 TAW260903:TAW260992 SRA260903:SRA260992 SHE260903:SHE260992 RXI260903:RXI260992 RNM260903:RNM260992 RDQ260903:RDQ260992 QTU260903:QTU260992 QJY260903:QJY260992 QAC260903:QAC260992 PQG260903:PQG260992 PGK260903:PGK260992 OWO260903:OWO260992 OMS260903:OMS260992 OCW260903:OCW260992 NTA260903:NTA260992 NJE260903:NJE260992 MZI260903:MZI260992 MPM260903:MPM260992 MFQ260903:MFQ260992 LVU260903:LVU260992 LLY260903:LLY260992 LCC260903:LCC260992 KSG260903:KSG260992 KIK260903:KIK260992 JYO260903:JYO260992 JOS260903:JOS260992 JEW260903:JEW260992 IVA260903:IVA260992 ILE260903:ILE260992 IBI260903:IBI260992 HRM260903:HRM260992 HHQ260903:HHQ260992 GXU260903:GXU260992 GNY260903:GNY260992 GEC260903:GEC260992 FUG260903:FUG260992 FKK260903:FKK260992 FAO260903:FAO260992 EQS260903:EQS260992 EGW260903:EGW260992 DXA260903:DXA260992 DNE260903:DNE260992 DDI260903:DDI260992 CTM260903:CTM260992 CJQ260903:CJQ260992 BZU260903:BZU260992 BPY260903:BPY260992 BGC260903:BGC260992 AWG260903:AWG260992 AMK260903:AMK260992 ACO260903:ACO260992 SS260903:SS260992 IW260903:IW260992 A260909:A260998 WVI195367:WVI195456 WLM195367:WLM195456 WBQ195367:WBQ195456 VRU195367:VRU195456 VHY195367:VHY195456 UYC195367:UYC195456 UOG195367:UOG195456 UEK195367:UEK195456 TUO195367:TUO195456 TKS195367:TKS195456 TAW195367:TAW195456 SRA195367:SRA195456 SHE195367:SHE195456 RXI195367:RXI195456 RNM195367:RNM195456 RDQ195367:RDQ195456 QTU195367:QTU195456 QJY195367:QJY195456 QAC195367:QAC195456 PQG195367:PQG195456 PGK195367:PGK195456 OWO195367:OWO195456 OMS195367:OMS195456 OCW195367:OCW195456 NTA195367:NTA195456 NJE195367:NJE195456 MZI195367:MZI195456 MPM195367:MPM195456 MFQ195367:MFQ195456 LVU195367:LVU195456 LLY195367:LLY195456 LCC195367:LCC195456 KSG195367:KSG195456 KIK195367:KIK195456 JYO195367:JYO195456 JOS195367:JOS195456 JEW195367:JEW195456 IVA195367:IVA195456 ILE195367:ILE195456 IBI195367:IBI195456 HRM195367:HRM195456 HHQ195367:HHQ195456 GXU195367:GXU195456 GNY195367:GNY195456 GEC195367:GEC195456 FUG195367:FUG195456 FKK195367:FKK195456 FAO195367:FAO195456 EQS195367:EQS195456 EGW195367:EGW195456 DXA195367:DXA195456 DNE195367:DNE195456 DDI195367:DDI195456 CTM195367:CTM195456 CJQ195367:CJQ195456 BZU195367:BZU195456 BPY195367:BPY195456 BGC195367:BGC195456 AWG195367:AWG195456 AMK195367:AMK195456 ACO195367:ACO195456 SS195367:SS195456 IW195367:IW195456 A195373:A195462 WVI129831:WVI129920 WLM129831:WLM129920 WBQ129831:WBQ129920 VRU129831:VRU129920 VHY129831:VHY129920 UYC129831:UYC129920 UOG129831:UOG129920 UEK129831:UEK129920 TUO129831:TUO129920 TKS129831:TKS129920 TAW129831:TAW129920 SRA129831:SRA129920 SHE129831:SHE129920 RXI129831:RXI129920 RNM129831:RNM129920 RDQ129831:RDQ129920 QTU129831:QTU129920 QJY129831:QJY129920 QAC129831:QAC129920 PQG129831:PQG129920 PGK129831:PGK129920 OWO129831:OWO129920 OMS129831:OMS129920 OCW129831:OCW129920 NTA129831:NTA129920 NJE129831:NJE129920 MZI129831:MZI129920 MPM129831:MPM129920 MFQ129831:MFQ129920 LVU129831:LVU129920 LLY129831:LLY129920 LCC129831:LCC129920 KSG129831:KSG129920 KIK129831:KIK129920 JYO129831:JYO129920 JOS129831:JOS129920 JEW129831:JEW129920 IVA129831:IVA129920 ILE129831:ILE129920 IBI129831:IBI129920 HRM129831:HRM129920 HHQ129831:HHQ129920 GXU129831:GXU129920 GNY129831:GNY129920 GEC129831:GEC129920 FUG129831:FUG129920 FKK129831:FKK129920 FAO129831:FAO129920 EQS129831:EQS129920 EGW129831:EGW129920 DXA129831:DXA129920 DNE129831:DNE129920 DDI129831:DDI129920 CTM129831:CTM129920 CJQ129831:CJQ129920 BZU129831:BZU129920 BPY129831:BPY129920 BGC129831:BGC129920 AWG129831:AWG129920 AMK129831:AMK129920 ACO129831:ACO129920 SS129831:SS129920 IW129831:IW129920 A129837:A129926 WVI64295:WVI64384 WLM64295:WLM64384 WBQ64295:WBQ64384 VRU64295:VRU64384 VHY64295:VHY64384 UYC64295:UYC64384 UOG64295:UOG64384 UEK64295:UEK64384 TUO64295:TUO64384 TKS64295:TKS64384 TAW64295:TAW64384 SRA64295:SRA64384 SHE64295:SHE64384 RXI64295:RXI64384 RNM64295:RNM64384 RDQ64295:RDQ64384 QTU64295:QTU64384 QJY64295:QJY64384 QAC64295:QAC64384 PQG64295:PQG64384 PGK64295:PGK64384 OWO64295:OWO64384 OMS64295:OMS64384 OCW64295:OCW64384 NTA64295:NTA64384 NJE64295:NJE64384 MZI64295:MZI64384 MPM64295:MPM64384 MFQ64295:MFQ64384 LVU64295:LVU64384 LLY64295:LLY64384 LCC64295:LCC64384 KSG64295:KSG64384 KIK64295:KIK64384 JYO64295:JYO64384 JOS64295:JOS64384 JEW64295:JEW64384 IVA64295:IVA64384 ILE64295:ILE64384 IBI64295:IBI64384 HRM64295:HRM64384 HHQ64295:HHQ64384 GXU64295:GXU64384 GNY64295:GNY64384 GEC64295:GEC64384 FUG64295:FUG64384 FKK64295:FKK64384 FAO64295:FAO64384 EQS64295:EQS64384 EGW64295:EGW64384 DXA64295:DXA64384 DNE64295:DNE64384 DDI64295:DDI64384 CTM64295:CTM64384 CJQ64295:CJQ64384 BZU64295:BZU64384 BPY64295:BPY64384 BGC64295:BGC64384 AWG64295:AWG64384 AMK64295:AMK64384 ACO64295:ACO64384 SS64295:SS64384 IW64295:IW64384 A64301:A64390 IW2:IW67 SS2:SS67 ACO2:ACO67 AMK2:AMK67 AWG2:AWG67 BGC2:BGC67 BPY2:BPY67 BZU2:BZU67 CJQ2:CJQ67 CTM2:CTM67 DDI2:DDI67 DNE2:DNE67 DXA2:DXA67 EGW2:EGW67 EQS2:EQS67 FAO2:FAO67 FKK2:FKK67 FUG2:FUG67 GEC2:GEC67 GNY2:GNY67 GXU2:GXU67 HHQ2:HHQ67 HRM2:HRM67 IBI2:IBI67 ILE2:ILE67 IVA2:IVA67 JEW2:JEW67 JOS2:JOS67 JYO2:JYO67 KIK2:KIK67 KSG2:KSG67 LCC2:LCC67 LLY2:LLY67 LVU2:LVU67 MFQ2:MFQ67 MPM2:MPM67 MZI2:MZI67 NJE2:NJE67 NTA2:NTA67 OCW2:OCW67 OMS2:OMS67 OWO2:OWO67 PGK2:PGK67 PQG2:PQG67 QAC2:QAC67 QJY2:QJY67 QTU2:QTU67 RDQ2:RDQ67 RNM2:RNM67 RXI2:RXI67 SHE2:SHE67 SRA2:SRA67 TAW2:TAW67 TKS2:TKS67 TUO2:TUO67 UEK2:UEK67 UOG2:UOG67 UYC2:UYC67 VHY2:VHY67 VRU2:VRU67 WBQ2:WBQ67 WLM2:WLM67 WVI2:WVI67">
      <formula1>$AE$2:$AE$22</formula1>
    </dataValidation>
    <dataValidation type="list" allowBlank="1" showInputMessage="1" showErrorMessage="1" sqref="WVO981799:WVO981888 WLS981799:WLS981888 WBW981799:WBW981888 VSA981799:VSA981888 VIE981799:VIE981888 UYI981799:UYI981888 UOM981799:UOM981888 UEQ981799:UEQ981888 TUU981799:TUU981888 TKY981799:TKY981888 TBC981799:TBC981888 SRG981799:SRG981888 SHK981799:SHK981888 RXO981799:RXO981888 RNS981799:RNS981888 RDW981799:RDW981888 QUA981799:QUA981888 QKE981799:QKE981888 QAI981799:QAI981888 PQM981799:PQM981888 PGQ981799:PGQ981888 OWU981799:OWU981888 OMY981799:OMY981888 ODC981799:ODC981888 NTG981799:NTG981888 NJK981799:NJK981888 MZO981799:MZO981888 MPS981799:MPS981888 MFW981799:MFW981888 LWA981799:LWA981888 LME981799:LME981888 LCI981799:LCI981888 KSM981799:KSM981888 KIQ981799:KIQ981888 JYU981799:JYU981888 JOY981799:JOY981888 JFC981799:JFC981888 IVG981799:IVG981888 ILK981799:ILK981888 IBO981799:IBO981888 HRS981799:HRS981888 HHW981799:HHW981888 GYA981799:GYA981888 GOE981799:GOE981888 GEI981799:GEI981888 FUM981799:FUM981888 FKQ981799:FKQ981888 FAU981799:FAU981888 EQY981799:EQY981888 EHC981799:EHC981888 DXG981799:DXG981888 DNK981799:DNK981888 DDO981799:DDO981888 CTS981799:CTS981888 CJW981799:CJW981888 CAA981799:CAA981888 BQE981799:BQE981888 BGI981799:BGI981888 AWM981799:AWM981888 AMQ981799:AMQ981888 ACU981799:ACU981888 SY981799:SY981888 JC981799:JC981888 G981808:G981897 WVO916263:WVO916352 WLS916263:WLS916352 WBW916263:WBW916352 VSA916263:VSA916352 VIE916263:VIE916352 UYI916263:UYI916352 UOM916263:UOM916352 UEQ916263:UEQ916352 TUU916263:TUU916352 TKY916263:TKY916352 TBC916263:TBC916352 SRG916263:SRG916352 SHK916263:SHK916352 RXO916263:RXO916352 RNS916263:RNS916352 RDW916263:RDW916352 QUA916263:QUA916352 QKE916263:QKE916352 QAI916263:QAI916352 PQM916263:PQM916352 PGQ916263:PGQ916352 OWU916263:OWU916352 OMY916263:OMY916352 ODC916263:ODC916352 NTG916263:NTG916352 NJK916263:NJK916352 MZO916263:MZO916352 MPS916263:MPS916352 MFW916263:MFW916352 LWA916263:LWA916352 LME916263:LME916352 LCI916263:LCI916352 KSM916263:KSM916352 KIQ916263:KIQ916352 JYU916263:JYU916352 JOY916263:JOY916352 JFC916263:JFC916352 IVG916263:IVG916352 ILK916263:ILK916352 IBO916263:IBO916352 HRS916263:HRS916352 HHW916263:HHW916352 GYA916263:GYA916352 GOE916263:GOE916352 GEI916263:GEI916352 FUM916263:FUM916352 FKQ916263:FKQ916352 FAU916263:FAU916352 EQY916263:EQY916352 EHC916263:EHC916352 DXG916263:DXG916352 DNK916263:DNK916352 DDO916263:DDO916352 CTS916263:CTS916352 CJW916263:CJW916352 CAA916263:CAA916352 BQE916263:BQE916352 BGI916263:BGI916352 AWM916263:AWM916352 AMQ916263:AMQ916352 ACU916263:ACU916352 SY916263:SY916352 JC916263:JC916352 G916272:G916361 WVO850727:WVO850816 WLS850727:WLS850816 WBW850727:WBW850816 VSA850727:VSA850816 VIE850727:VIE850816 UYI850727:UYI850816 UOM850727:UOM850816 UEQ850727:UEQ850816 TUU850727:TUU850816 TKY850727:TKY850816 TBC850727:TBC850816 SRG850727:SRG850816 SHK850727:SHK850816 RXO850727:RXO850816 RNS850727:RNS850816 RDW850727:RDW850816 QUA850727:QUA850816 QKE850727:QKE850816 QAI850727:QAI850816 PQM850727:PQM850816 PGQ850727:PGQ850816 OWU850727:OWU850816 OMY850727:OMY850816 ODC850727:ODC850816 NTG850727:NTG850816 NJK850727:NJK850816 MZO850727:MZO850816 MPS850727:MPS850816 MFW850727:MFW850816 LWA850727:LWA850816 LME850727:LME850816 LCI850727:LCI850816 KSM850727:KSM850816 KIQ850727:KIQ850816 JYU850727:JYU850816 JOY850727:JOY850816 JFC850727:JFC850816 IVG850727:IVG850816 ILK850727:ILK850816 IBO850727:IBO850816 HRS850727:HRS850816 HHW850727:HHW850816 GYA850727:GYA850816 GOE850727:GOE850816 GEI850727:GEI850816 FUM850727:FUM850816 FKQ850727:FKQ850816 FAU850727:FAU850816 EQY850727:EQY850816 EHC850727:EHC850816 DXG850727:DXG850816 DNK850727:DNK850816 DDO850727:DDO850816 CTS850727:CTS850816 CJW850727:CJW850816 CAA850727:CAA850816 BQE850727:BQE850816 BGI850727:BGI850816 AWM850727:AWM850816 AMQ850727:AMQ850816 ACU850727:ACU850816 SY850727:SY850816 JC850727:JC850816 G850736:G850825 WVO785191:WVO785280 WLS785191:WLS785280 WBW785191:WBW785280 VSA785191:VSA785280 VIE785191:VIE785280 UYI785191:UYI785280 UOM785191:UOM785280 UEQ785191:UEQ785280 TUU785191:TUU785280 TKY785191:TKY785280 TBC785191:TBC785280 SRG785191:SRG785280 SHK785191:SHK785280 RXO785191:RXO785280 RNS785191:RNS785280 RDW785191:RDW785280 QUA785191:QUA785280 QKE785191:QKE785280 QAI785191:QAI785280 PQM785191:PQM785280 PGQ785191:PGQ785280 OWU785191:OWU785280 OMY785191:OMY785280 ODC785191:ODC785280 NTG785191:NTG785280 NJK785191:NJK785280 MZO785191:MZO785280 MPS785191:MPS785280 MFW785191:MFW785280 LWA785191:LWA785280 LME785191:LME785280 LCI785191:LCI785280 KSM785191:KSM785280 KIQ785191:KIQ785280 JYU785191:JYU785280 JOY785191:JOY785280 JFC785191:JFC785280 IVG785191:IVG785280 ILK785191:ILK785280 IBO785191:IBO785280 HRS785191:HRS785280 HHW785191:HHW785280 GYA785191:GYA785280 GOE785191:GOE785280 GEI785191:GEI785280 FUM785191:FUM785280 FKQ785191:FKQ785280 FAU785191:FAU785280 EQY785191:EQY785280 EHC785191:EHC785280 DXG785191:DXG785280 DNK785191:DNK785280 DDO785191:DDO785280 CTS785191:CTS785280 CJW785191:CJW785280 CAA785191:CAA785280 BQE785191:BQE785280 BGI785191:BGI785280 AWM785191:AWM785280 AMQ785191:AMQ785280 ACU785191:ACU785280 SY785191:SY785280 JC785191:JC785280 G785200:G785289 WVO719655:WVO719744 WLS719655:WLS719744 WBW719655:WBW719744 VSA719655:VSA719744 VIE719655:VIE719744 UYI719655:UYI719744 UOM719655:UOM719744 UEQ719655:UEQ719744 TUU719655:TUU719744 TKY719655:TKY719744 TBC719655:TBC719744 SRG719655:SRG719744 SHK719655:SHK719744 RXO719655:RXO719744 RNS719655:RNS719744 RDW719655:RDW719744 QUA719655:QUA719744 QKE719655:QKE719744 QAI719655:QAI719744 PQM719655:PQM719744 PGQ719655:PGQ719744 OWU719655:OWU719744 OMY719655:OMY719744 ODC719655:ODC719744 NTG719655:NTG719744 NJK719655:NJK719744 MZO719655:MZO719744 MPS719655:MPS719744 MFW719655:MFW719744 LWA719655:LWA719744 LME719655:LME719744 LCI719655:LCI719744 KSM719655:KSM719744 KIQ719655:KIQ719744 JYU719655:JYU719744 JOY719655:JOY719744 JFC719655:JFC719744 IVG719655:IVG719744 ILK719655:ILK719744 IBO719655:IBO719744 HRS719655:HRS719744 HHW719655:HHW719744 GYA719655:GYA719744 GOE719655:GOE719744 GEI719655:GEI719744 FUM719655:FUM719744 FKQ719655:FKQ719744 FAU719655:FAU719744 EQY719655:EQY719744 EHC719655:EHC719744 DXG719655:DXG719744 DNK719655:DNK719744 DDO719655:DDO719744 CTS719655:CTS719744 CJW719655:CJW719744 CAA719655:CAA719744 BQE719655:BQE719744 BGI719655:BGI719744 AWM719655:AWM719744 AMQ719655:AMQ719744 ACU719655:ACU719744 SY719655:SY719744 JC719655:JC719744 G719664:G719753 WVO654119:WVO654208 WLS654119:WLS654208 WBW654119:WBW654208 VSA654119:VSA654208 VIE654119:VIE654208 UYI654119:UYI654208 UOM654119:UOM654208 UEQ654119:UEQ654208 TUU654119:TUU654208 TKY654119:TKY654208 TBC654119:TBC654208 SRG654119:SRG654208 SHK654119:SHK654208 RXO654119:RXO654208 RNS654119:RNS654208 RDW654119:RDW654208 QUA654119:QUA654208 QKE654119:QKE654208 QAI654119:QAI654208 PQM654119:PQM654208 PGQ654119:PGQ654208 OWU654119:OWU654208 OMY654119:OMY654208 ODC654119:ODC654208 NTG654119:NTG654208 NJK654119:NJK654208 MZO654119:MZO654208 MPS654119:MPS654208 MFW654119:MFW654208 LWA654119:LWA654208 LME654119:LME654208 LCI654119:LCI654208 KSM654119:KSM654208 KIQ654119:KIQ654208 JYU654119:JYU654208 JOY654119:JOY654208 JFC654119:JFC654208 IVG654119:IVG654208 ILK654119:ILK654208 IBO654119:IBO654208 HRS654119:HRS654208 HHW654119:HHW654208 GYA654119:GYA654208 GOE654119:GOE654208 GEI654119:GEI654208 FUM654119:FUM654208 FKQ654119:FKQ654208 FAU654119:FAU654208 EQY654119:EQY654208 EHC654119:EHC654208 DXG654119:DXG654208 DNK654119:DNK654208 DDO654119:DDO654208 CTS654119:CTS654208 CJW654119:CJW654208 CAA654119:CAA654208 BQE654119:BQE654208 BGI654119:BGI654208 AWM654119:AWM654208 AMQ654119:AMQ654208 ACU654119:ACU654208 SY654119:SY654208 JC654119:JC654208 G654128:G654217 WVO588583:WVO588672 WLS588583:WLS588672 WBW588583:WBW588672 VSA588583:VSA588672 VIE588583:VIE588672 UYI588583:UYI588672 UOM588583:UOM588672 UEQ588583:UEQ588672 TUU588583:TUU588672 TKY588583:TKY588672 TBC588583:TBC588672 SRG588583:SRG588672 SHK588583:SHK588672 RXO588583:RXO588672 RNS588583:RNS588672 RDW588583:RDW588672 QUA588583:QUA588672 QKE588583:QKE588672 QAI588583:QAI588672 PQM588583:PQM588672 PGQ588583:PGQ588672 OWU588583:OWU588672 OMY588583:OMY588672 ODC588583:ODC588672 NTG588583:NTG588672 NJK588583:NJK588672 MZO588583:MZO588672 MPS588583:MPS588672 MFW588583:MFW588672 LWA588583:LWA588672 LME588583:LME588672 LCI588583:LCI588672 KSM588583:KSM588672 KIQ588583:KIQ588672 JYU588583:JYU588672 JOY588583:JOY588672 JFC588583:JFC588672 IVG588583:IVG588672 ILK588583:ILK588672 IBO588583:IBO588672 HRS588583:HRS588672 HHW588583:HHW588672 GYA588583:GYA588672 GOE588583:GOE588672 GEI588583:GEI588672 FUM588583:FUM588672 FKQ588583:FKQ588672 FAU588583:FAU588672 EQY588583:EQY588672 EHC588583:EHC588672 DXG588583:DXG588672 DNK588583:DNK588672 DDO588583:DDO588672 CTS588583:CTS588672 CJW588583:CJW588672 CAA588583:CAA588672 BQE588583:BQE588672 BGI588583:BGI588672 AWM588583:AWM588672 AMQ588583:AMQ588672 ACU588583:ACU588672 SY588583:SY588672 JC588583:JC588672 G588592:G588681 WVO523047:WVO523136 WLS523047:WLS523136 WBW523047:WBW523136 VSA523047:VSA523136 VIE523047:VIE523136 UYI523047:UYI523136 UOM523047:UOM523136 UEQ523047:UEQ523136 TUU523047:TUU523136 TKY523047:TKY523136 TBC523047:TBC523136 SRG523047:SRG523136 SHK523047:SHK523136 RXO523047:RXO523136 RNS523047:RNS523136 RDW523047:RDW523136 QUA523047:QUA523136 QKE523047:QKE523136 QAI523047:QAI523136 PQM523047:PQM523136 PGQ523047:PGQ523136 OWU523047:OWU523136 OMY523047:OMY523136 ODC523047:ODC523136 NTG523047:NTG523136 NJK523047:NJK523136 MZO523047:MZO523136 MPS523047:MPS523136 MFW523047:MFW523136 LWA523047:LWA523136 LME523047:LME523136 LCI523047:LCI523136 KSM523047:KSM523136 KIQ523047:KIQ523136 JYU523047:JYU523136 JOY523047:JOY523136 JFC523047:JFC523136 IVG523047:IVG523136 ILK523047:ILK523136 IBO523047:IBO523136 HRS523047:HRS523136 HHW523047:HHW523136 GYA523047:GYA523136 GOE523047:GOE523136 GEI523047:GEI523136 FUM523047:FUM523136 FKQ523047:FKQ523136 FAU523047:FAU523136 EQY523047:EQY523136 EHC523047:EHC523136 DXG523047:DXG523136 DNK523047:DNK523136 DDO523047:DDO523136 CTS523047:CTS523136 CJW523047:CJW523136 CAA523047:CAA523136 BQE523047:BQE523136 BGI523047:BGI523136 AWM523047:AWM523136 AMQ523047:AMQ523136 ACU523047:ACU523136 SY523047:SY523136 JC523047:JC523136 G523056:G523145 WVO457511:WVO457600 WLS457511:WLS457600 WBW457511:WBW457600 VSA457511:VSA457600 VIE457511:VIE457600 UYI457511:UYI457600 UOM457511:UOM457600 UEQ457511:UEQ457600 TUU457511:TUU457600 TKY457511:TKY457600 TBC457511:TBC457600 SRG457511:SRG457600 SHK457511:SHK457600 RXO457511:RXO457600 RNS457511:RNS457600 RDW457511:RDW457600 QUA457511:QUA457600 QKE457511:QKE457600 QAI457511:QAI457600 PQM457511:PQM457600 PGQ457511:PGQ457600 OWU457511:OWU457600 OMY457511:OMY457600 ODC457511:ODC457600 NTG457511:NTG457600 NJK457511:NJK457600 MZO457511:MZO457600 MPS457511:MPS457600 MFW457511:MFW457600 LWA457511:LWA457600 LME457511:LME457600 LCI457511:LCI457600 KSM457511:KSM457600 KIQ457511:KIQ457600 JYU457511:JYU457600 JOY457511:JOY457600 JFC457511:JFC457600 IVG457511:IVG457600 ILK457511:ILK457600 IBO457511:IBO457600 HRS457511:HRS457600 HHW457511:HHW457600 GYA457511:GYA457600 GOE457511:GOE457600 GEI457511:GEI457600 FUM457511:FUM457600 FKQ457511:FKQ457600 FAU457511:FAU457600 EQY457511:EQY457600 EHC457511:EHC457600 DXG457511:DXG457600 DNK457511:DNK457600 DDO457511:DDO457600 CTS457511:CTS457600 CJW457511:CJW457600 CAA457511:CAA457600 BQE457511:BQE457600 BGI457511:BGI457600 AWM457511:AWM457600 AMQ457511:AMQ457600 ACU457511:ACU457600 SY457511:SY457600 JC457511:JC457600 G457520:G457609 WVO391975:WVO392064 WLS391975:WLS392064 WBW391975:WBW392064 VSA391975:VSA392064 VIE391975:VIE392064 UYI391975:UYI392064 UOM391975:UOM392064 UEQ391975:UEQ392064 TUU391975:TUU392064 TKY391975:TKY392064 TBC391975:TBC392064 SRG391975:SRG392064 SHK391975:SHK392064 RXO391975:RXO392064 RNS391975:RNS392064 RDW391975:RDW392064 QUA391975:QUA392064 QKE391975:QKE392064 QAI391975:QAI392064 PQM391975:PQM392064 PGQ391975:PGQ392064 OWU391975:OWU392064 OMY391975:OMY392064 ODC391975:ODC392064 NTG391975:NTG392064 NJK391975:NJK392064 MZO391975:MZO392064 MPS391975:MPS392064 MFW391975:MFW392064 LWA391975:LWA392064 LME391975:LME392064 LCI391975:LCI392064 KSM391975:KSM392064 KIQ391975:KIQ392064 JYU391975:JYU392064 JOY391975:JOY392064 JFC391975:JFC392064 IVG391975:IVG392064 ILK391975:ILK392064 IBO391975:IBO392064 HRS391975:HRS392064 HHW391975:HHW392064 GYA391975:GYA392064 GOE391975:GOE392064 GEI391975:GEI392064 FUM391975:FUM392064 FKQ391975:FKQ392064 FAU391975:FAU392064 EQY391975:EQY392064 EHC391975:EHC392064 DXG391975:DXG392064 DNK391975:DNK392064 DDO391975:DDO392064 CTS391975:CTS392064 CJW391975:CJW392064 CAA391975:CAA392064 BQE391975:BQE392064 BGI391975:BGI392064 AWM391975:AWM392064 AMQ391975:AMQ392064 ACU391975:ACU392064 SY391975:SY392064 JC391975:JC392064 G391984:G392073 WVO326439:WVO326528 WLS326439:WLS326528 WBW326439:WBW326528 VSA326439:VSA326528 VIE326439:VIE326528 UYI326439:UYI326528 UOM326439:UOM326528 UEQ326439:UEQ326528 TUU326439:TUU326528 TKY326439:TKY326528 TBC326439:TBC326528 SRG326439:SRG326528 SHK326439:SHK326528 RXO326439:RXO326528 RNS326439:RNS326528 RDW326439:RDW326528 QUA326439:QUA326528 QKE326439:QKE326528 QAI326439:QAI326528 PQM326439:PQM326528 PGQ326439:PGQ326528 OWU326439:OWU326528 OMY326439:OMY326528 ODC326439:ODC326528 NTG326439:NTG326528 NJK326439:NJK326528 MZO326439:MZO326528 MPS326439:MPS326528 MFW326439:MFW326528 LWA326439:LWA326528 LME326439:LME326528 LCI326439:LCI326528 KSM326439:KSM326528 KIQ326439:KIQ326528 JYU326439:JYU326528 JOY326439:JOY326528 JFC326439:JFC326528 IVG326439:IVG326528 ILK326439:ILK326528 IBO326439:IBO326528 HRS326439:HRS326528 HHW326439:HHW326528 GYA326439:GYA326528 GOE326439:GOE326528 GEI326439:GEI326528 FUM326439:FUM326528 FKQ326439:FKQ326528 FAU326439:FAU326528 EQY326439:EQY326528 EHC326439:EHC326528 DXG326439:DXG326528 DNK326439:DNK326528 DDO326439:DDO326528 CTS326439:CTS326528 CJW326439:CJW326528 CAA326439:CAA326528 BQE326439:BQE326528 BGI326439:BGI326528 AWM326439:AWM326528 AMQ326439:AMQ326528 ACU326439:ACU326528 SY326439:SY326528 JC326439:JC326528 G326448:G326537 WVO260903:WVO260992 WLS260903:WLS260992 WBW260903:WBW260992 VSA260903:VSA260992 VIE260903:VIE260992 UYI260903:UYI260992 UOM260903:UOM260992 UEQ260903:UEQ260992 TUU260903:TUU260992 TKY260903:TKY260992 TBC260903:TBC260992 SRG260903:SRG260992 SHK260903:SHK260992 RXO260903:RXO260992 RNS260903:RNS260992 RDW260903:RDW260992 QUA260903:QUA260992 QKE260903:QKE260992 QAI260903:QAI260992 PQM260903:PQM260992 PGQ260903:PGQ260992 OWU260903:OWU260992 OMY260903:OMY260992 ODC260903:ODC260992 NTG260903:NTG260992 NJK260903:NJK260992 MZO260903:MZO260992 MPS260903:MPS260992 MFW260903:MFW260992 LWA260903:LWA260992 LME260903:LME260992 LCI260903:LCI260992 KSM260903:KSM260992 KIQ260903:KIQ260992 JYU260903:JYU260992 JOY260903:JOY260992 JFC260903:JFC260992 IVG260903:IVG260992 ILK260903:ILK260992 IBO260903:IBO260992 HRS260903:HRS260992 HHW260903:HHW260992 GYA260903:GYA260992 GOE260903:GOE260992 GEI260903:GEI260992 FUM260903:FUM260992 FKQ260903:FKQ260992 FAU260903:FAU260992 EQY260903:EQY260992 EHC260903:EHC260992 DXG260903:DXG260992 DNK260903:DNK260992 DDO260903:DDO260992 CTS260903:CTS260992 CJW260903:CJW260992 CAA260903:CAA260992 BQE260903:BQE260992 BGI260903:BGI260992 AWM260903:AWM260992 AMQ260903:AMQ260992 ACU260903:ACU260992 SY260903:SY260992 JC260903:JC260992 G260912:G261001 WVO195367:WVO195456 WLS195367:WLS195456 WBW195367:WBW195456 VSA195367:VSA195456 VIE195367:VIE195456 UYI195367:UYI195456 UOM195367:UOM195456 UEQ195367:UEQ195456 TUU195367:TUU195456 TKY195367:TKY195456 TBC195367:TBC195456 SRG195367:SRG195456 SHK195367:SHK195456 RXO195367:RXO195456 RNS195367:RNS195456 RDW195367:RDW195456 QUA195367:QUA195456 QKE195367:QKE195456 QAI195367:QAI195456 PQM195367:PQM195456 PGQ195367:PGQ195456 OWU195367:OWU195456 OMY195367:OMY195456 ODC195367:ODC195456 NTG195367:NTG195456 NJK195367:NJK195456 MZO195367:MZO195456 MPS195367:MPS195456 MFW195367:MFW195456 LWA195367:LWA195456 LME195367:LME195456 LCI195367:LCI195456 KSM195367:KSM195456 KIQ195367:KIQ195456 JYU195367:JYU195456 JOY195367:JOY195456 JFC195367:JFC195456 IVG195367:IVG195456 ILK195367:ILK195456 IBO195367:IBO195456 HRS195367:HRS195456 HHW195367:HHW195456 GYA195367:GYA195456 GOE195367:GOE195456 GEI195367:GEI195456 FUM195367:FUM195456 FKQ195367:FKQ195456 FAU195367:FAU195456 EQY195367:EQY195456 EHC195367:EHC195456 DXG195367:DXG195456 DNK195367:DNK195456 DDO195367:DDO195456 CTS195367:CTS195456 CJW195367:CJW195456 CAA195367:CAA195456 BQE195367:BQE195456 BGI195367:BGI195456 AWM195367:AWM195456 AMQ195367:AMQ195456 ACU195367:ACU195456 SY195367:SY195456 JC195367:JC195456 G195376:G195465 WVO129831:WVO129920 WLS129831:WLS129920 WBW129831:WBW129920 VSA129831:VSA129920 VIE129831:VIE129920 UYI129831:UYI129920 UOM129831:UOM129920 UEQ129831:UEQ129920 TUU129831:TUU129920 TKY129831:TKY129920 TBC129831:TBC129920 SRG129831:SRG129920 SHK129831:SHK129920 RXO129831:RXO129920 RNS129831:RNS129920 RDW129831:RDW129920 QUA129831:QUA129920 QKE129831:QKE129920 QAI129831:QAI129920 PQM129831:PQM129920 PGQ129831:PGQ129920 OWU129831:OWU129920 OMY129831:OMY129920 ODC129831:ODC129920 NTG129831:NTG129920 NJK129831:NJK129920 MZO129831:MZO129920 MPS129831:MPS129920 MFW129831:MFW129920 LWA129831:LWA129920 LME129831:LME129920 LCI129831:LCI129920 KSM129831:KSM129920 KIQ129831:KIQ129920 JYU129831:JYU129920 JOY129831:JOY129920 JFC129831:JFC129920 IVG129831:IVG129920 ILK129831:ILK129920 IBO129831:IBO129920 HRS129831:HRS129920 HHW129831:HHW129920 GYA129831:GYA129920 GOE129831:GOE129920 GEI129831:GEI129920 FUM129831:FUM129920 FKQ129831:FKQ129920 FAU129831:FAU129920 EQY129831:EQY129920 EHC129831:EHC129920 DXG129831:DXG129920 DNK129831:DNK129920 DDO129831:DDO129920 CTS129831:CTS129920 CJW129831:CJW129920 CAA129831:CAA129920 BQE129831:BQE129920 BGI129831:BGI129920 AWM129831:AWM129920 AMQ129831:AMQ129920 ACU129831:ACU129920 SY129831:SY129920 JC129831:JC129920 G129840:G129929 WVO64295:WVO64384 WLS64295:WLS64384 WBW64295:WBW64384 VSA64295:VSA64384 VIE64295:VIE64384 UYI64295:UYI64384 UOM64295:UOM64384 UEQ64295:UEQ64384 TUU64295:TUU64384 TKY64295:TKY64384 TBC64295:TBC64384 SRG64295:SRG64384 SHK64295:SHK64384 RXO64295:RXO64384 RNS64295:RNS64384 RDW64295:RDW64384 QUA64295:QUA64384 QKE64295:QKE64384 QAI64295:QAI64384 PQM64295:PQM64384 PGQ64295:PGQ64384 OWU64295:OWU64384 OMY64295:OMY64384 ODC64295:ODC64384 NTG64295:NTG64384 NJK64295:NJK64384 MZO64295:MZO64384 MPS64295:MPS64384 MFW64295:MFW64384 LWA64295:LWA64384 LME64295:LME64384 LCI64295:LCI64384 KSM64295:KSM64384 KIQ64295:KIQ64384 JYU64295:JYU64384 JOY64295:JOY64384 JFC64295:JFC64384 IVG64295:IVG64384 ILK64295:ILK64384 IBO64295:IBO64384 HRS64295:HRS64384 HHW64295:HHW64384 GYA64295:GYA64384 GOE64295:GOE64384 GEI64295:GEI64384 FUM64295:FUM64384 FKQ64295:FKQ64384 FAU64295:FAU64384 EQY64295:EQY64384 EHC64295:EHC64384 DXG64295:DXG64384 DNK64295:DNK64384 DDO64295:DDO64384 CTS64295:CTS64384 CJW64295:CJW64384 CAA64295:CAA64384 BQE64295:BQE64384 BGI64295:BGI64384 AWM64295:AWM64384 AMQ64295:AMQ64384 ACU64295:ACU64384 SY64295:SY64384 JC64295:JC64384 G64304:G64393 G90:G494 JC2:JC67 SY2:SY67 ACU2:ACU67 AMQ2:AMQ67 AWM2:AWM67 BGI2:BGI67 BQE2:BQE67 CAA2:CAA67 CJW2:CJW67 CTS2:CTS67 DDO2:DDO67 DNK2:DNK67 DXG2:DXG67 EHC2:EHC67 EQY2:EQY67 FAU2:FAU67 FKQ2:FKQ67 FUM2:FUM67 GEI2:GEI67 GOE2:GOE67 GYA2:GYA67 HHW2:HHW67 HRS2:HRS67 IBO2:IBO67 ILK2:ILK67 IVG2:IVG67 JFC2:JFC67 JOY2:JOY67 JYU2:JYU67 KIQ2:KIQ67 KSM2:KSM67 LCI2:LCI67 LME2:LME67 LWA2:LWA67 MFW2:MFW67 MPS2:MPS67 MZO2:MZO67 NJK2:NJK67 NTG2:NTG67 ODC2:ODC67 OMY2:OMY67 OWU2:OWU67 PGQ2:PGQ67 PQM2:PQM67 QAI2:QAI67 QKE2:QKE67 QUA2:QUA67 RDW2:RDW67 RNS2:RNS67 RXO2:RXO67 SHK2:SHK67 SRG2:SRG67 TBC2:TBC67 TKY2:TKY67 TUU2:TUU67 UEQ2:UEQ67 UOM2:UOM67 UYI2:UYI67 VIE2:VIE67 VSA2:VSA67 WBW2:WBW67 WLS2:WLS67 WVO2:WVO67 G2:G88">
      <formula1>$AJ$2:$AJ$4</formula1>
    </dataValidation>
    <dataValidation type="list" allowBlank="1" showInputMessage="1" showErrorMessage="1" sqref="WVP981799:WVP981888 WLT981799:WLT981888 WBX981799:WBX981888 VSB981799:VSB981888 VIF981799:VIF981888 UYJ981799:UYJ981888 UON981799:UON981888 UER981799:UER981888 TUV981799:TUV981888 TKZ981799:TKZ981888 TBD981799:TBD981888 SRH981799:SRH981888 SHL981799:SHL981888 RXP981799:RXP981888 RNT981799:RNT981888 RDX981799:RDX981888 QUB981799:QUB981888 QKF981799:QKF981888 QAJ981799:QAJ981888 PQN981799:PQN981888 PGR981799:PGR981888 OWV981799:OWV981888 OMZ981799:OMZ981888 ODD981799:ODD981888 NTH981799:NTH981888 NJL981799:NJL981888 MZP981799:MZP981888 MPT981799:MPT981888 MFX981799:MFX981888 LWB981799:LWB981888 LMF981799:LMF981888 LCJ981799:LCJ981888 KSN981799:KSN981888 KIR981799:KIR981888 JYV981799:JYV981888 JOZ981799:JOZ981888 JFD981799:JFD981888 IVH981799:IVH981888 ILL981799:ILL981888 IBP981799:IBP981888 HRT981799:HRT981888 HHX981799:HHX981888 GYB981799:GYB981888 GOF981799:GOF981888 GEJ981799:GEJ981888 FUN981799:FUN981888 FKR981799:FKR981888 FAV981799:FAV981888 EQZ981799:EQZ981888 EHD981799:EHD981888 DXH981799:DXH981888 DNL981799:DNL981888 DDP981799:DDP981888 CTT981799:CTT981888 CJX981799:CJX981888 CAB981799:CAB981888 BQF981799:BQF981888 BGJ981799:BGJ981888 AWN981799:AWN981888 AMR981799:AMR981888 ACV981799:ACV981888 SZ981799:SZ981888 JD981799:JD981888 H981820:H981909 WVP916263:WVP916352 WLT916263:WLT916352 WBX916263:WBX916352 VSB916263:VSB916352 VIF916263:VIF916352 UYJ916263:UYJ916352 UON916263:UON916352 UER916263:UER916352 TUV916263:TUV916352 TKZ916263:TKZ916352 TBD916263:TBD916352 SRH916263:SRH916352 SHL916263:SHL916352 RXP916263:RXP916352 RNT916263:RNT916352 RDX916263:RDX916352 QUB916263:QUB916352 QKF916263:QKF916352 QAJ916263:QAJ916352 PQN916263:PQN916352 PGR916263:PGR916352 OWV916263:OWV916352 OMZ916263:OMZ916352 ODD916263:ODD916352 NTH916263:NTH916352 NJL916263:NJL916352 MZP916263:MZP916352 MPT916263:MPT916352 MFX916263:MFX916352 LWB916263:LWB916352 LMF916263:LMF916352 LCJ916263:LCJ916352 KSN916263:KSN916352 KIR916263:KIR916352 JYV916263:JYV916352 JOZ916263:JOZ916352 JFD916263:JFD916352 IVH916263:IVH916352 ILL916263:ILL916352 IBP916263:IBP916352 HRT916263:HRT916352 HHX916263:HHX916352 GYB916263:GYB916352 GOF916263:GOF916352 GEJ916263:GEJ916352 FUN916263:FUN916352 FKR916263:FKR916352 FAV916263:FAV916352 EQZ916263:EQZ916352 EHD916263:EHD916352 DXH916263:DXH916352 DNL916263:DNL916352 DDP916263:DDP916352 CTT916263:CTT916352 CJX916263:CJX916352 CAB916263:CAB916352 BQF916263:BQF916352 BGJ916263:BGJ916352 AWN916263:AWN916352 AMR916263:AMR916352 ACV916263:ACV916352 SZ916263:SZ916352 JD916263:JD916352 H916284:H916373 WVP850727:WVP850816 WLT850727:WLT850816 WBX850727:WBX850816 VSB850727:VSB850816 VIF850727:VIF850816 UYJ850727:UYJ850816 UON850727:UON850816 UER850727:UER850816 TUV850727:TUV850816 TKZ850727:TKZ850816 TBD850727:TBD850816 SRH850727:SRH850816 SHL850727:SHL850816 RXP850727:RXP850816 RNT850727:RNT850816 RDX850727:RDX850816 QUB850727:QUB850816 QKF850727:QKF850816 QAJ850727:QAJ850816 PQN850727:PQN850816 PGR850727:PGR850816 OWV850727:OWV850816 OMZ850727:OMZ850816 ODD850727:ODD850816 NTH850727:NTH850816 NJL850727:NJL850816 MZP850727:MZP850816 MPT850727:MPT850816 MFX850727:MFX850816 LWB850727:LWB850816 LMF850727:LMF850816 LCJ850727:LCJ850816 KSN850727:KSN850816 KIR850727:KIR850816 JYV850727:JYV850816 JOZ850727:JOZ850816 JFD850727:JFD850816 IVH850727:IVH850816 ILL850727:ILL850816 IBP850727:IBP850816 HRT850727:HRT850816 HHX850727:HHX850816 GYB850727:GYB850816 GOF850727:GOF850816 GEJ850727:GEJ850816 FUN850727:FUN850816 FKR850727:FKR850816 FAV850727:FAV850816 EQZ850727:EQZ850816 EHD850727:EHD850816 DXH850727:DXH850816 DNL850727:DNL850816 DDP850727:DDP850816 CTT850727:CTT850816 CJX850727:CJX850816 CAB850727:CAB850816 BQF850727:BQF850816 BGJ850727:BGJ850816 AWN850727:AWN850816 AMR850727:AMR850816 ACV850727:ACV850816 SZ850727:SZ850816 JD850727:JD850816 H850748:H850837 WVP785191:WVP785280 WLT785191:WLT785280 WBX785191:WBX785280 VSB785191:VSB785280 VIF785191:VIF785280 UYJ785191:UYJ785280 UON785191:UON785280 UER785191:UER785280 TUV785191:TUV785280 TKZ785191:TKZ785280 TBD785191:TBD785280 SRH785191:SRH785280 SHL785191:SHL785280 RXP785191:RXP785280 RNT785191:RNT785280 RDX785191:RDX785280 QUB785191:QUB785280 QKF785191:QKF785280 QAJ785191:QAJ785280 PQN785191:PQN785280 PGR785191:PGR785280 OWV785191:OWV785280 OMZ785191:OMZ785280 ODD785191:ODD785280 NTH785191:NTH785280 NJL785191:NJL785280 MZP785191:MZP785280 MPT785191:MPT785280 MFX785191:MFX785280 LWB785191:LWB785280 LMF785191:LMF785280 LCJ785191:LCJ785280 KSN785191:KSN785280 KIR785191:KIR785280 JYV785191:JYV785280 JOZ785191:JOZ785280 JFD785191:JFD785280 IVH785191:IVH785280 ILL785191:ILL785280 IBP785191:IBP785280 HRT785191:HRT785280 HHX785191:HHX785280 GYB785191:GYB785280 GOF785191:GOF785280 GEJ785191:GEJ785280 FUN785191:FUN785280 FKR785191:FKR785280 FAV785191:FAV785280 EQZ785191:EQZ785280 EHD785191:EHD785280 DXH785191:DXH785280 DNL785191:DNL785280 DDP785191:DDP785280 CTT785191:CTT785280 CJX785191:CJX785280 CAB785191:CAB785280 BQF785191:BQF785280 BGJ785191:BGJ785280 AWN785191:AWN785280 AMR785191:AMR785280 ACV785191:ACV785280 SZ785191:SZ785280 JD785191:JD785280 H785212:H785301 WVP719655:WVP719744 WLT719655:WLT719744 WBX719655:WBX719744 VSB719655:VSB719744 VIF719655:VIF719744 UYJ719655:UYJ719744 UON719655:UON719744 UER719655:UER719744 TUV719655:TUV719744 TKZ719655:TKZ719744 TBD719655:TBD719744 SRH719655:SRH719744 SHL719655:SHL719744 RXP719655:RXP719744 RNT719655:RNT719744 RDX719655:RDX719744 QUB719655:QUB719744 QKF719655:QKF719744 QAJ719655:QAJ719744 PQN719655:PQN719744 PGR719655:PGR719744 OWV719655:OWV719744 OMZ719655:OMZ719744 ODD719655:ODD719744 NTH719655:NTH719744 NJL719655:NJL719744 MZP719655:MZP719744 MPT719655:MPT719744 MFX719655:MFX719744 LWB719655:LWB719744 LMF719655:LMF719744 LCJ719655:LCJ719744 KSN719655:KSN719744 KIR719655:KIR719744 JYV719655:JYV719744 JOZ719655:JOZ719744 JFD719655:JFD719744 IVH719655:IVH719744 ILL719655:ILL719744 IBP719655:IBP719744 HRT719655:HRT719744 HHX719655:HHX719744 GYB719655:GYB719744 GOF719655:GOF719744 GEJ719655:GEJ719744 FUN719655:FUN719744 FKR719655:FKR719744 FAV719655:FAV719744 EQZ719655:EQZ719744 EHD719655:EHD719744 DXH719655:DXH719744 DNL719655:DNL719744 DDP719655:DDP719744 CTT719655:CTT719744 CJX719655:CJX719744 CAB719655:CAB719744 BQF719655:BQF719744 BGJ719655:BGJ719744 AWN719655:AWN719744 AMR719655:AMR719744 ACV719655:ACV719744 SZ719655:SZ719744 JD719655:JD719744 H719676:H719765 WVP654119:WVP654208 WLT654119:WLT654208 WBX654119:WBX654208 VSB654119:VSB654208 VIF654119:VIF654208 UYJ654119:UYJ654208 UON654119:UON654208 UER654119:UER654208 TUV654119:TUV654208 TKZ654119:TKZ654208 TBD654119:TBD654208 SRH654119:SRH654208 SHL654119:SHL654208 RXP654119:RXP654208 RNT654119:RNT654208 RDX654119:RDX654208 QUB654119:QUB654208 QKF654119:QKF654208 QAJ654119:QAJ654208 PQN654119:PQN654208 PGR654119:PGR654208 OWV654119:OWV654208 OMZ654119:OMZ654208 ODD654119:ODD654208 NTH654119:NTH654208 NJL654119:NJL654208 MZP654119:MZP654208 MPT654119:MPT654208 MFX654119:MFX654208 LWB654119:LWB654208 LMF654119:LMF654208 LCJ654119:LCJ654208 KSN654119:KSN654208 KIR654119:KIR654208 JYV654119:JYV654208 JOZ654119:JOZ654208 JFD654119:JFD654208 IVH654119:IVH654208 ILL654119:ILL654208 IBP654119:IBP654208 HRT654119:HRT654208 HHX654119:HHX654208 GYB654119:GYB654208 GOF654119:GOF654208 GEJ654119:GEJ654208 FUN654119:FUN654208 FKR654119:FKR654208 FAV654119:FAV654208 EQZ654119:EQZ654208 EHD654119:EHD654208 DXH654119:DXH654208 DNL654119:DNL654208 DDP654119:DDP654208 CTT654119:CTT654208 CJX654119:CJX654208 CAB654119:CAB654208 BQF654119:BQF654208 BGJ654119:BGJ654208 AWN654119:AWN654208 AMR654119:AMR654208 ACV654119:ACV654208 SZ654119:SZ654208 JD654119:JD654208 H654140:H654229 WVP588583:WVP588672 WLT588583:WLT588672 WBX588583:WBX588672 VSB588583:VSB588672 VIF588583:VIF588672 UYJ588583:UYJ588672 UON588583:UON588672 UER588583:UER588672 TUV588583:TUV588672 TKZ588583:TKZ588672 TBD588583:TBD588672 SRH588583:SRH588672 SHL588583:SHL588672 RXP588583:RXP588672 RNT588583:RNT588672 RDX588583:RDX588672 QUB588583:QUB588672 QKF588583:QKF588672 QAJ588583:QAJ588672 PQN588583:PQN588672 PGR588583:PGR588672 OWV588583:OWV588672 OMZ588583:OMZ588672 ODD588583:ODD588672 NTH588583:NTH588672 NJL588583:NJL588672 MZP588583:MZP588672 MPT588583:MPT588672 MFX588583:MFX588672 LWB588583:LWB588672 LMF588583:LMF588672 LCJ588583:LCJ588672 KSN588583:KSN588672 KIR588583:KIR588672 JYV588583:JYV588672 JOZ588583:JOZ588672 JFD588583:JFD588672 IVH588583:IVH588672 ILL588583:ILL588672 IBP588583:IBP588672 HRT588583:HRT588672 HHX588583:HHX588672 GYB588583:GYB588672 GOF588583:GOF588672 GEJ588583:GEJ588672 FUN588583:FUN588672 FKR588583:FKR588672 FAV588583:FAV588672 EQZ588583:EQZ588672 EHD588583:EHD588672 DXH588583:DXH588672 DNL588583:DNL588672 DDP588583:DDP588672 CTT588583:CTT588672 CJX588583:CJX588672 CAB588583:CAB588672 BQF588583:BQF588672 BGJ588583:BGJ588672 AWN588583:AWN588672 AMR588583:AMR588672 ACV588583:ACV588672 SZ588583:SZ588672 JD588583:JD588672 H588604:H588693 WVP523047:WVP523136 WLT523047:WLT523136 WBX523047:WBX523136 VSB523047:VSB523136 VIF523047:VIF523136 UYJ523047:UYJ523136 UON523047:UON523136 UER523047:UER523136 TUV523047:TUV523136 TKZ523047:TKZ523136 TBD523047:TBD523136 SRH523047:SRH523136 SHL523047:SHL523136 RXP523047:RXP523136 RNT523047:RNT523136 RDX523047:RDX523136 QUB523047:QUB523136 QKF523047:QKF523136 QAJ523047:QAJ523136 PQN523047:PQN523136 PGR523047:PGR523136 OWV523047:OWV523136 OMZ523047:OMZ523136 ODD523047:ODD523136 NTH523047:NTH523136 NJL523047:NJL523136 MZP523047:MZP523136 MPT523047:MPT523136 MFX523047:MFX523136 LWB523047:LWB523136 LMF523047:LMF523136 LCJ523047:LCJ523136 KSN523047:KSN523136 KIR523047:KIR523136 JYV523047:JYV523136 JOZ523047:JOZ523136 JFD523047:JFD523136 IVH523047:IVH523136 ILL523047:ILL523136 IBP523047:IBP523136 HRT523047:HRT523136 HHX523047:HHX523136 GYB523047:GYB523136 GOF523047:GOF523136 GEJ523047:GEJ523136 FUN523047:FUN523136 FKR523047:FKR523136 FAV523047:FAV523136 EQZ523047:EQZ523136 EHD523047:EHD523136 DXH523047:DXH523136 DNL523047:DNL523136 DDP523047:DDP523136 CTT523047:CTT523136 CJX523047:CJX523136 CAB523047:CAB523136 BQF523047:BQF523136 BGJ523047:BGJ523136 AWN523047:AWN523136 AMR523047:AMR523136 ACV523047:ACV523136 SZ523047:SZ523136 JD523047:JD523136 H523068:H523157 WVP457511:WVP457600 WLT457511:WLT457600 WBX457511:WBX457600 VSB457511:VSB457600 VIF457511:VIF457600 UYJ457511:UYJ457600 UON457511:UON457600 UER457511:UER457600 TUV457511:TUV457600 TKZ457511:TKZ457600 TBD457511:TBD457600 SRH457511:SRH457600 SHL457511:SHL457600 RXP457511:RXP457600 RNT457511:RNT457600 RDX457511:RDX457600 QUB457511:QUB457600 QKF457511:QKF457600 QAJ457511:QAJ457600 PQN457511:PQN457600 PGR457511:PGR457600 OWV457511:OWV457600 OMZ457511:OMZ457600 ODD457511:ODD457600 NTH457511:NTH457600 NJL457511:NJL457600 MZP457511:MZP457600 MPT457511:MPT457600 MFX457511:MFX457600 LWB457511:LWB457600 LMF457511:LMF457600 LCJ457511:LCJ457600 KSN457511:KSN457600 KIR457511:KIR457600 JYV457511:JYV457600 JOZ457511:JOZ457600 JFD457511:JFD457600 IVH457511:IVH457600 ILL457511:ILL457600 IBP457511:IBP457600 HRT457511:HRT457600 HHX457511:HHX457600 GYB457511:GYB457600 GOF457511:GOF457600 GEJ457511:GEJ457600 FUN457511:FUN457600 FKR457511:FKR457600 FAV457511:FAV457600 EQZ457511:EQZ457600 EHD457511:EHD457600 DXH457511:DXH457600 DNL457511:DNL457600 DDP457511:DDP457600 CTT457511:CTT457600 CJX457511:CJX457600 CAB457511:CAB457600 BQF457511:BQF457600 BGJ457511:BGJ457600 AWN457511:AWN457600 AMR457511:AMR457600 ACV457511:ACV457600 SZ457511:SZ457600 JD457511:JD457600 H457532:H457621 WVP391975:WVP392064 WLT391975:WLT392064 WBX391975:WBX392064 VSB391975:VSB392064 VIF391975:VIF392064 UYJ391975:UYJ392064 UON391975:UON392064 UER391975:UER392064 TUV391975:TUV392064 TKZ391975:TKZ392064 TBD391975:TBD392064 SRH391975:SRH392064 SHL391975:SHL392064 RXP391975:RXP392064 RNT391975:RNT392064 RDX391975:RDX392064 QUB391975:QUB392064 QKF391975:QKF392064 QAJ391975:QAJ392064 PQN391975:PQN392064 PGR391975:PGR392064 OWV391975:OWV392064 OMZ391975:OMZ392064 ODD391975:ODD392064 NTH391975:NTH392064 NJL391975:NJL392064 MZP391975:MZP392064 MPT391975:MPT392064 MFX391975:MFX392064 LWB391975:LWB392064 LMF391975:LMF392064 LCJ391975:LCJ392064 KSN391975:KSN392064 KIR391975:KIR392064 JYV391975:JYV392064 JOZ391975:JOZ392064 JFD391975:JFD392064 IVH391975:IVH392064 ILL391975:ILL392064 IBP391975:IBP392064 HRT391975:HRT392064 HHX391975:HHX392064 GYB391975:GYB392064 GOF391975:GOF392064 GEJ391975:GEJ392064 FUN391975:FUN392064 FKR391975:FKR392064 FAV391975:FAV392064 EQZ391975:EQZ392064 EHD391975:EHD392064 DXH391975:DXH392064 DNL391975:DNL392064 DDP391975:DDP392064 CTT391975:CTT392064 CJX391975:CJX392064 CAB391975:CAB392064 BQF391975:BQF392064 BGJ391975:BGJ392064 AWN391975:AWN392064 AMR391975:AMR392064 ACV391975:ACV392064 SZ391975:SZ392064 JD391975:JD392064 H391996:H392085 WVP326439:WVP326528 WLT326439:WLT326528 WBX326439:WBX326528 VSB326439:VSB326528 VIF326439:VIF326528 UYJ326439:UYJ326528 UON326439:UON326528 UER326439:UER326528 TUV326439:TUV326528 TKZ326439:TKZ326528 TBD326439:TBD326528 SRH326439:SRH326528 SHL326439:SHL326528 RXP326439:RXP326528 RNT326439:RNT326528 RDX326439:RDX326528 QUB326439:QUB326528 QKF326439:QKF326528 QAJ326439:QAJ326528 PQN326439:PQN326528 PGR326439:PGR326528 OWV326439:OWV326528 OMZ326439:OMZ326528 ODD326439:ODD326528 NTH326439:NTH326528 NJL326439:NJL326528 MZP326439:MZP326528 MPT326439:MPT326528 MFX326439:MFX326528 LWB326439:LWB326528 LMF326439:LMF326528 LCJ326439:LCJ326528 KSN326439:KSN326528 KIR326439:KIR326528 JYV326439:JYV326528 JOZ326439:JOZ326528 JFD326439:JFD326528 IVH326439:IVH326528 ILL326439:ILL326528 IBP326439:IBP326528 HRT326439:HRT326528 HHX326439:HHX326528 GYB326439:GYB326528 GOF326439:GOF326528 GEJ326439:GEJ326528 FUN326439:FUN326528 FKR326439:FKR326528 FAV326439:FAV326528 EQZ326439:EQZ326528 EHD326439:EHD326528 DXH326439:DXH326528 DNL326439:DNL326528 DDP326439:DDP326528 CTT326439:CTT326528 CJX326439:CJX326528 CAB326439:CAB326528 BQF326439:BQF326528 BGJ326439:BGJ326528 AWN326439:AWN326528 AMR326439:AMR326528 ACV326439:ACV326528 SZ326439:SZ326528 JD326439:JD326528 H326460:H326549 WVP260903:WVP260992 WLT260903:WLT260992 WBX260903:WBX260992 VSB260903:VSB260992 VIF260903:VIF260992 UYJ260903:UYJ260992 UON260903:UON260992 UER260903:UER260992 TUV260903:TUV260992 TKZ260903:TKZ260992 TBD260903:TBD260992 SRH260903:SRH260992 SHL260903:SHL260992 RXP260903:RXP260992 RNT260903:RNT260992 RDX260903:RDX260992 QUB260903:QUB260992 QKF260903:QKF260992 QAJ260903:QAJ260992 PQN260903:PQN260992 PGR260903:PGR260992 OWV260903:OWV260992 OMZ260903:OMZ260992 ODD260903:ODD260992 NTH260903:NTH260992 NJL260903:NJL260992 MZP260903:MZP260992 MPT260903:MPT260992 MFX260903:MFX260992 LWB260903:LWB260992 LMF260903:LMF260992 LCJ260903:LCJ260992 KSN260903:KSN260992 KIR260903:KIR260992 JYV260903:JYV260992 JOZ260903:JOZ260992 JFD260903:JFD260992 IVH260903:IVH260992 ILL260903:ILL260992 IBP260903:IBP260992 HRT260903:HRT260992 HHX260903:HHX260992 GYB260903:GYB260992 GOF260903:GOF260992 GEJ260903:GEJ260992 FUN260903:FUN260992 FKR260903:FKR260992 FAV260903:FAV260992 EQZ260903:EQZ260992 EHD260903:EHD260992 DXH260903:DXH260992 DNL260903:DNL260992 DDP260903:DDP260992 CTT260903:CTT260992 CJX260903:CJX260992 CAB260903:CAB260992 BQF260903:BQF260992 BGJ260903:BGJ260992 AWN260903:AWN260992 AMR260903:AMR260992 ACV260903:ACV260992 SZ260903:SZ260992 JD260903:JD260992 H260924:H261013 WVP195367:WVP195456 WLT195367:WLT195456 WBX195367:WBX195456 VSB195367:VSB195456 VIF195367:VIF195456 UYJ195367:UYJ195456 UON195367:UON195456 UER195367:UER195456 TUV195367:TUV195456 TKZ195367:TKZ195456 TBD195367:TBD195456 SRH195367:SRH195456 SHL195367:SHL195456 RXP195367:RXP195456 RNT195367:RNT195456 RDX195367:RDX195456 QUB195367:QUB195456 QKF195367:QKF195456 QAJ195367:QAJ195456 PQN195367:PQN195456 PGR195367:PGR195456 OWV195367:OWV195456 OMZ195367:OMZ195456 ODD195367:ODD195456 NTH195367:NTH195456 NJL195367:NJL195456 MZP195367:MZP195456 MPT195367:MPT195456 MFX195367:MFX195456 LWB195367:LWB195456 LMF195367:LMF195456 LCJ195367:LCJ195456 KSN195367:KSN195456 KIR195367:KIR195456 JYV195367:JYV195456 JOZ195367:JOZ195456 JFD195367:JFD195456 IVH195367:IVH195456 ILL195367:ILL195456 IBP195367:IBP195456 HRT195367:HRT195456 HHX195367:HHX195456 GYB195367:GYB195456 GOF195367:GOF195456 GEJ195367:GEJ195456 FUN195367:FUN195456 FKR195367:FKR195456 FAV195367:FAV195456 EQZ195367:EQZ195456 EHD195367:EHD195456 DXH195367:DXH195456 DNL195367:DNL195456 DDP195367:DDP195456 CTT195367:CTT195456 CJX195367:CJX195456 CAB195367:CAB195456 BQF195367:BQF195456 BGJ195367:BGJ195456 AWN195367:AWN195456 AMR195367:AMR195456 ACV195367:ACV195456 SZ195367:SZ195456 JD195367:JD195456 H195388:H195477 WVP129831:WVP129920 WLT129831:WLT129920 WBX129831:WBX129920 VSB129831:VSB129920 VIF129831:VIF129920 UYJ129831:UYJ129920 UON129831:UON129920 UER129831:UER129920 TUV129831:TUV129920 TKZ129831:TKZ129920 TBD129831:TBD129920 SRH129831:SRH129920 SHL129831:SHL129920 RXP129831:RXP129920 RNT129831:RNT129920 RDX129831:RDX129920 QUB129831:QUB129920 QKF129831:QKF129920 QAJ129831:QAJ129920 PQN129831:PQN129920 PGR129831:PGR129920 OWV129831:OWV129920 OMZ129831:OMZ129920 ODD129831:ODD129920 NTH129831:NTH129920 NJL129831:NJL129920 MZP129831:MZP129920 MPT129831:MPT129920 MFX129831:MFX129920 LWB129831:LWB129920 LMF129831:LMF129920 LCJ129831:LCJ129920 KSN129831:KSN129920 KIR129831:KIR129920 JYV129831:JYV129920 JOZ129831:JOZ129920 JFD129831:JFD129920 IVH129831:IVH129920 ILL129831:ILL129920 IBP129831:IBP129920 HRT129831:HRT129920 HHX129831:HHX129920 GYB129831:GYB129920 GOF129831:GOF129920 GEJ129831:GEJ129920 FUN129831:FUN129920 FKR129831:FKR129920 FAV129831:FAV129920 EQZ129831:EQZ129920 EHD129831:EHD129920 DXH129831:DXH129920 DNL129831:DNL129920 DDP129831:DDP129920 CTT129831:CTT129920 CJX129831:CJX129920 CAB129831:CAB129920 BQF129831:BQF129920 BGJ129831:BGJ129920 AWN129831:AWN129920 AMR129831:AMR129920 ACV129831:ACV129920 SZ129831:SZ129920 JD129831:JD129920 H129852:H129941 WVP64295:WVP64384 WLT64295:WLT64384 WBX64295:WBX64384 VSB64295:VSB64384 VIF64295:VIF64384 UYJ64295:UYJ64384 UON64295:UON64384 UER64295:UER64384 TUV64295:TUV64384 TKZ64295:TKZ64384 TBD64295:TBD64384 SRH64295:SRH64384 SHL64295:SHL64384 RXP64295:RXP64384 RNT64295:RNT64384 RDX64295:RDX64384 QUB64295:QUB64384 QKF64295:QKF64384 QAJ64295:QAJ64384 PQN64295:PQN64384 PGR64295:PGR64384 OWV64295:OWV64384 OMZ64295:OMZ64384 ODD64295:ODD64384 NTH64295:NTH64384 NJL64295:NJL64384 MZP64295:MZP64384 MPT64295:MPT64384 MFX64295:MFX64384 LWB64295:LWB64384 LMF64295:LMF64384 LCJ64295:LCJ64384 KSN64295:KSN64384 KIR64295:KIR64384 JYV64295:JYV64384 JOZ64295:JOZ64384 JFD64295:JFD64384 IVH64295:IVH64384 ILL64295:ILL64384 IBP64295:IBP64384 HRT64295:HRT64384 HHX64295:HHX64384 GYB64295:GYB64384 GOF64295:GOF64384 GEJ64295:GEJ64384 FUN64295:FUN64384 FKR64295:FKR64384 FAV64295:FAV64384 EQZ64295:EQZ64384 EHD64295:EHD64384 DXH64295:DXH64384 DNL64295:DNL64384 DDP64295:DDP64384 CTT64295:CTT64384 CJX64295:CJX64384 CAB64295:CAB64384 BQF64295:BQF64384 BGJ64295:BGJ64384 AWN64295:AWN64384 AMR64295:AMR64384 ACV64295:ACV64384 SZ64295:SZ64384 JD64295:JD64384 H64316:H64405 JD2:JD67 SZ2:SZ67 ACV2:ACV67 AMR2:AMR67 AWN2:AWN67 BGJ2:BGJ67 BQF2:BQF67 CAB2:CAB67 CJX2:CJX67 CTT2:CTT67 DDP2:DDP67 DNL2:DNL67 DXH2:DXH67 EHD2:EHD67 EQZ2:EQZ67 FAV2:FAV67 FKR2:FKR67 FUN2:FUN67 GEJ2:GEJ67 GOF2:GOF67 GYB2:GYB67 HHX2:HHX67 HRT2:HRT67 IBP2:IBP67 ILL2:ILL67 IVH2:IVH67 JFD2:JFD67 JOZ2:JOZ67 JYV2:JYV67 KIR2:KIR67 KSN2:KSN67 LCJ2:LCJ67 LMF2:LMF67 LWB2:LWB67 MFX2:MFX67 MPT2:MPT67 MZP2:MZP67 NJL2:NJL67 NTH2:NTH67 ODD2:ODD67 OMZ2:OMZ67 OWV2:OWV67 PGR2:PGR67 PQN2:PQN67 QAJ2:QAJ67 QKF2:QKF67 QUB2:QUB67 RDX2:RDX67 RNT2:RNT67 RXP2:RXP67 SHL2:SHL67 SRH2:SRH67 TBD2:TBD67 TKZ2:TKZ67 TUV2:TUV67 UER2:UER67 UON2:UON67 UYJ2:UYJ67 VIF2:VIF67 VSB2:VSB67 WBX2:WBX67 WLT2:WLT67 WVP2:WVP67">
      <formula1>$AL$8:$AL$13</formula1>
    </dataValidation>
    <dataValidation type="list" allowBlank="1" showInputMessage="1" showErrorMessage="1" sqref="WVQ981799:WVQ981882 WLU981799:WLU981882 WBY981799:WBY981882 VSC981799:VSC981882 VIG981799:VIG981882 UYK981799:UYK981882 UOO981799:UOO981882 UES981799:UES981882 TUW981799:TUW981882 TLA981799:TLA981882 TBE981799:TBE981882 SRI981799:SRI981882 SHM981799:SHM981882 RXQ981799:RXQ981882 RNU981799:RNU981882 RDY981799:RDY981882 QUC981799:QUC981882 QKG981799:QKG981882 QAK981799:QAK981882 PQO981799:PQO981882 PGS981799:PGS981882 OWW981799:OWW981882 ONA981799:ONA981882 ODE981799:ODE981882 NTI981799:NTI981882 NJM981799:NJM981882 MZQ981799:MZQ981882 MPU981799:MPU981882 MFY981799:MFY981882 LWC981799:LWC981882 LMG981799:LMG981882 LCK981799:LCK981882 KSO981799:KSO981882 KIS981799:KIS981882 JYW981799:JYW981882 JPA981799:JPA981882 JFE981799:JFE981882 IVI981799:IVI981882 ILM981799:ILM981882 IBQ981799:IBQ981882 HRU981799:HRU981882 HHY981799:HHY981882 GYC981799:GYC981882 GOG981799:GOG981882 GEK981799:GEK981882 FUO981799:FUO981882 FKS981799:FKS981882 FAW981799:FAW981882 ERA981799:ERA981882 EHE981799:EHE981882 DXI981799:DXI981882 DNM981799:DNM981882 DDQ981799:DDQ981882 CTU981799:CTU981882 CJY981799:CJY981882 CAC981799:CAC981882 BQG981799:BQG981882 BGK981799:BGK981882 AWO981799:AWO981882 AMS981799:AMS981882 ACW981799:ACW981882 TA981799:TA981882 JE981799:JE981882 I981820:I981903 WVQ916263:WVQ916346 WLU916263:WLU916346 WBY916263:WBY916346 VSC916263:VSC916346 VIG916263:VIG916346 UYK916263:UYK916346 UOO916263:UOO916346 UES916263:UES916346 TUW916263:TUW916346 TLA916263:TLA916346 TBE916263:TBE916346 SRI916263:SRI916346 SHM916263:SHM916346 RXQ916263:RXQ916346 RNU916263:RNU916346 RDY916263:RDY916346 QUC916263:QUC916346 QKG916263:QKG916346 QAK916263:QAK916346 PQO916263:PQO916346 PGS916263:PGS916346 OWW916263:OWW916346 ONA916263:ONA916346 ODE916263:ODE916346 NTI916263:NTI916346 NJM916263:NJM916346 MZQ916263:MZQ916346 MPU916263:MPU916346 MFY916263:MFY916346 LWC916263:LWC916346 LMG916263:LMG916346 LCK916263:LCK916346 KSO916263:KSO916346 KIS916263:KIS916346 JYW916263:JYW916346 JPA916263:JPA916346 JFE916263:JFE916346 IVI916263:IVI916346 ILM916263:ILM916346 IBQ916263:IBQ916346 HRU916263:HRU916346 HHY916263:HHY916346 GYC916263:GYC916346 GOG916263:GOG916346 GEK916263:GEK916346 FUO916263:FUO916346 FKS916263:FKS916346 FAW916263:FAW916346 ERA916263:ERA916346 EHE916263:EHE916346 DXI916263:DXI916346 DNM916263:DNM916346 DDQ916263:DDQ916346 CTU916263:CTU916346 CJY916263:CJY916346 CAC916263:CAC916346 BQG916263:BQG916346 BGK916263:BGK916346 AWO916263:AWO916346 AMS916263:AMS916346 ACW916263:ACW916346 TA916263:TA916346 JE916263:JE916346 I916284:I916367 WVQ850727:WVQ850810 WLU850727:WLU850810 WBY850727:WBY850810 VSC850727:VSC850810 VIG850727:VIG850810 UYK850727:UYK850810 UOO850727:UOO850810 UES850727:UES850810 TUW850727:TUW850810 TLA850727:TLA850810 TBE850727:TBE850810 SRI850727:SRI850810 SHM850727:SHM850810 RXQ850727:RXQ850810 RNU850727:RNU850810 RDY850727:RDY850810 QUC850727:QUC850810 QKG850727:QKG850810 QAK850727:QAK850810 PQO850727:PQO850810 PGS850727:PGS850810 OWW850727:OWW850810 ONA850727:ONA850810 ODE850727:ODE850810 NTI850727:NTI850810 NJM850727:NJM850810 MZQ850727:MZQ850810 MPU850727:MPU850810 MFY850727:MFY850810 LWC850727:LWC850810 LMG850727:LMG850810 LCK850727:LCK850810 KSO850727:KSO850810 KIS850727:KIS850810 JYW850727:JYW850810 JPA850727:JPA850810 JFE850727:JFE850810 IVI850727:IVI850810 ILM850727:ILM850810 IBQ850727:IBQ850810 HRU850727:HRU850810 HHY850727:HHY850810 GYC850727:GYC850810 GOG850727:GOG850810 GEK850727:GEK850810 FUO850727:FUO850810 FKS850727:FKS850810 FAW850727:FAW850810 ERA850727:ERA850810 EHE850727:EHE850810 DXI850727:DXI850810 DNM850727:DNM850810 DDQ850727:DDQ850810 CTU850727:CTU850810 CJY850727:CJY850810 CAC850727:CAC850810 BQG850727:BQG850810 BGK850727:BGK850810 AWO850727:AWO850810 AMS850727:AMS850810 ACW850727:ACW850810 TA850727:TA850810 JE850727:JE850810 I850748:I850831 WVQ785191:WVQ785274 WLU785191:WLU785274 WBY785191:WBY785274 VSC785191:VSC785274 VIG785191:VIG785274 UYK785191:UYK785274 UOO785191:UOO785274 UES785191:UES785274 TUW785191:TUW785274 TLA785191:TLA785274 TBE785191:TBE785274 SRI785191:SRI785274 SHM785191:SHM785274 RXQ785191:RXQ785274 RNU785191:RNU785274 RDY785191:RDY785274 QUC785191:QUC785274 QKG785191:QKG785274 QAK785191:QAK785274 PQO785191:PQO785274 PGS785191:PGS785274 OWW785191:OWW785274 ONA785191:ONA785274 ODE785191:ODE785274 NTI785191:NTI785274 NJM785191:NJM785274 MZQ785191:MZQ785274 MPU785191:MPU785274 MFY785191:MFY785274 LWC785191:LWC785274 LMG785191:LMG785274 LCK785191:LCK785274 KSO785191:KSO785274 KIS785191:KIS785274 JYW785191:JYW785274 JPA785191:JPA785274 JFE785191:JFE785274 IVI785191:IVI785274 ILM785191:ILM785274 IBQ785191:IBQ785274 HRU785191:HRU785274 HHY785191:HHY785274 GYC785191:GYC785274 GOG785191:GOG785274 GEK785191:GEK785274 FUO785191:FUO785274 FKS785191:FKS785274 FAW785191:FAW785274 ERA785191:ERA785274 EHE785191:EHE785274 DXI785191:DXI785274 DNM785191:DNM785274 DDQ785191:DDQ785274 CTU785191:CTU785274 CJY785191:CJY785274 CAC785191:CAC785274 BQG785191:BQG785274 BGK785191:BGK785274 AWO785191:AWO785274 AMS785191:AMS785274 ACW785191:ACW785274 TA785191:TA785274 JE785191:JE785274 I785212:I785295 WVQ719655:WVQ719738 WLU719655:WLU719738 WBY719655:WBY719738 VSC719655:VSC719738 VIG719655:VIG719738 UYK719655:UYK719738 UOO719655:UOO719738 UES719655:UES719738 TUW719655:TUW719738 TLA719655:TLA719738 TBE719655:TBE719738 SRI719655:SRI719738 SHM719655:SHM719738 RXQ719655:RXQ719738 RNU719655:RNU719738 RDY719655:RDY719738 QUC719655:QUC719738 QKG719655:QKG719738 QAK719655:QAK719738 PQO719655:PQO719738 PGS719655:PGS719738 OWW719655:OWW719738 ONA719655:ONA719738 ODE719655:ODE719738 NTI719655:NTI719738 NJM719655:NJM719738 MZQ719655:MZQ719738 MPU719655:MPU719738 MFY719655:MFY719738 LWC719655:LWC719738 LMG719655:LMG719738 LCK719655:LCK719738 KSO719655:KSO719738 KIS719655:KIS719738 JYW719655:JYW719738 JPA719655:JPA719738 JFE719655:JFE719738 IVI719655:IVI719738 ILM719655:ILM719738 IBQ719655:IBQ719738 HRU719655:HRU719738 HHY719655:HHY719738 GYC719655:GYC719738 GOG719655:GOG719738 GEK719655:GEK719738 FUO719655:FUO719738 FKS719655:FKS719738 FAW719655:FAW719738 ERA719655:ERA719738 EHE719655:EHE719738 DXI719655:DXI719738 DNM719655:DNM719738 DDQ719655:DDQ719738 CTU719655:CTU719738 CJY719655:CJY719738 CAC719655:CAC719738 BQG719655:BQG719738 BGK719655:BGK719738 AWO719655:AWO719738 AMS719655:AMS719738 ACW719655:ACW719738 TA719655:TA719738 JE719655:JE719738 I719676:I719759 WVQ654119:WVQ654202 WLU654119:WLU654202 WBY654119:WBY654202 VSC654119:VSC654202 VIG654119:VIG654202 UYK654119:UYK654202 UOO654119:UOO654202 UES654119:UES654202 TUW654119:TUW654202 TLA654119:TLA654202 TBE654119:TBE654202 SRI654119:SRI654202 SHM654119:SHM654202 RXQ654119:RXQ654202 RNU654119:RNU654202 RDY654119:RDY654202 QUC654119:QUC654202 QKG654119:QKG654202 QAK654119:QAK654202 PQO654119:PQO654202 PGS654119:PGS654202 OWW654119:OWW654202 ONA654119:ONA654202 ODE654119:ODE654202 NTI654119:NTI654202 NJM654119:NJM654202 MZQ654119:MZQ654202 MPU654119:MPU654202 MFY654119:MFY654202 LWC654119:LWC654202 LMG654119:LMG654202 LCK654119:LCK654202 KSO654119:KSO654202 KIS654119:KIS654202 JYW654119:JYW654202 JPA654119:JPA654202 JFE654119:JFE654202 IVI654119:IVI654202 ILM654119:ILM654202 IBQ654119:IBQ654202 HRU654119:HRU654202 HHY654119:HHY654202 GYC654119:GYC654202 GOG654119:GOG654202 GEK654119:GEK654202 FUO654119:FUO654202 FKS654119:FKS654202 FAW654119:FAW654202 ERA654119:ERA654202 EHE654119:EHE654202 DXI654119:DXI654202 DNM654119:DNM654202 DDQ654119:DDQ654202 CTU654119:CTU654202 CJY654119:CJY654202 CAC654119:CAC654202 BQG654119:BQG654202 BGK654119:BGK654202 AWO654119:AWO654202 AMS654119:AMS654202 ACW654119:ACW654202 TA654119:TA654202 JE654119:JE654202 I654140:I654223 WVQ588583:WVQ588666 WLU588583:WLU588666 WBY588583:WBY588666 VSC588583:VSC588666 VIG588583:VIG588666 UYK588583:UYK588666 UOO588583:UOO588666 UES588583:UES588666 TUW588583:TUW588666 TLA588583:TLA588666 TBE588583:TBE588666 SRI588583:SRI588666 SHM588583:SHM588666 RXQ588583:RXQ588666 RNU588583:RNU588666 RDY588583:RDY588666 QUC588583:QUC588666 QKG588583:QKG588666 QAK588583:QAK588666 PQO588583:PQO588666 PGS588583:PGS588666 OWW588583:OWW588666 ONA588583:ONA588666 ODE588583:ODE588666 NTI588583:NTI588666 NJM588583:NJM588666 MZQ588583:MZQ588666 MPU588583:MPU588666 MFY588583:MFY588666 LWC588583:LWC588666 LMG588583:LMG588666 LCK588583:LCK588666 KSO588583:KSO588666 KIS588583:KIS588666 JYW588583:JYW588666 JPA588583:JPA588666 JFE588583:JFE588666 IVI588583:IVI588666 ILM588583:ILM588666 IBQ588583:IBQ588666 HRU588583:HRU588666 HHY588583:HHY588666 GYC588583:GYC588666 GOG588583:GOG588666 GEK588583:GEK588666 FUO588583:FUO588666 FKS588583:FKS588666 FAW588583:FAW588666 ERA588583:ERA588666 EHE588583:EHE588666 DXI588583:DXI588666 DNM588583:DNM588666 DDQ588583:DDQ588666 CTU588583:CTU588666 CJY588583:CJY588666 CAC588583:CAC588666 BQG588583:BQG588666 BGK588583:BGK588666 AWO588583:AWO588666 AMS588583:AMS588666 ACW588583:ACW588666 TA588583:TA588666 JE588583:JE588666 I588604:I588687 WVQ523047:WVQ523130 WLU523047:WLU523130 WBY523047:WBY523130 VSC523047:VSC523130 VIG523047:VIG523130 UYK523047:UYK523130 UOO523047:UOO523130 UES523047:UES523130 TUW523047:TUW523130 TLA523047:TLA523130 TBE523047:TBE523130 SRI523047:SRI523130 SHM523047:SHM523130 RXQ523047:RXQ523130 RNU523047:RNU523130 RDY523047:RDY523130 QUC523047:QUC523130 QKG523047:QKG523130 QAK523047:QAK523130 PQO523047:PQO523130 PGS523047:PGS523130 OWW523047:OWW523130 ONA523047:ONA523130 ODE523047:ODE523130 NTI523047:NTI523130 NJM523047:NJM523130 MZQ523047:MZQ523130 MPU523047:MPU523130 MFY523047:MFY523130 LWC523047:LWC523130 LMG523047:LMG523130 LCK523047:LCK523130 KSO523047:KSO523130 KIS523047:KIS523130 JYW523047:JYW523130 JPA523047:JPA523130 JFE523047:JFE523130 IVI523047:IVI523130 ILM523047:ILM523130 IBQ523047:IBQ523130 HRU523047:HRU523130 HHY523047:HHY523130 GYC523047:GYC523130 GOG523047:GOG523130 GEK523047:GEK523130 FUO523047:FUO523130 FKS523047:FKS523130 FAW523047:FAW523130 ERA523047:ERA523130 EHE523047:EHE523130 DXI523047:DXI523130 DNM523047:DNM523130 DDQ523047:DDQ523130 CTU523047:CTU523130 CJY523047:CJY523130 CAC523047:CAC523130 BQG523047:BQG523130 BGK523047:BGK523130 AWO523047:AWO523130 AMS523047:AMS523130 ACW523047:ACW523130 TA523047:TA523130 JE523047:JE523130 I523068:I523151 WVQ457511:WVQ457594 WLU457511:WLU457594 WBY457511:WBY457594 VSC457511:VSC457594 VIG457511:VIG457594 UYK457511:UYK457594 UOO457511:UOO457594 UES457511:UES457594 TUW457511:TUW457594 TLA457511:TLA457594 TBE457511:TBE457594 SRI457511:SRI457594 SHM457511:SHM457594 RXQ457511:RXQ457594 RNU457511:RNU457594 RDY457511:RDY457594 QUC457511:QUC457594 QKG457511:QKG457594 QAK457511:QAK457594 PQO457511:PQO457594 PGS457511:PGS457594 OWW457511:OWW457594 ONA457511:ONA457594 ODE457511:ODE457594 NTI457511:NTI457594 NJM457511:NJM457594 MZQ457511:MZQ457594 MPU457511:MPU457594 MFY457511:MFY457594 LWC457511:LWC457594 LMG457511:LMG457594 LCK457511:LCK457594 KSO457511:KSO457594 KIS457511:KIS457594 JYW457511:JYW457594 JPA457511:JPA457594 JFE457511:JFE457594 IVI457511:IVI457594 ILM457511:ILM457594 IBQ457511:IBQ457594 HRU457511:HRU457594 HHY457511:HHY457594 GYC457511:GYC457594 GOG457511:GOG457594 GEK457511:GEK457594 FUO457511:FUO457594 FKS457511:FKS457594 FAW457511:FAW457594 ERA457511:ERA457594 EHE457511:EHE457594 DXI457511:DXI457594 DNM457511:DNM457594 DDQ457511:DDQ457594 CTU457511:CTU457594 CJY457511:CJY457594 CAC457511:CAC457594 BQG457511:BQG457594 BGK457511:BGK457594 AWO457511:AWO457594 AMS457511:AMS457594 ACW457511:ACW457594 TA457511:TA457594 JE457511:JE457594 I457532:I457615 WVQ391975:WVQ392058 WLU391975:WLU392058 WBY391975:WBY392058 VSC391975:VSC392058 VIG391975:VIG392058 UYK391975:UYK392058 UOO391975:UOO392058 UES391975:UES392058 TUW391975:TUW392058 TLA391975:TLA392058 TBE391975:TBE392058 SRI391975:SRI392058 SHM391975:SHM392058 RXQ391975:RXQ392058 RNU391975:RNU392058 RDY391975:RDY392058 QUC391975:QUC392058 QKG391975:QKG392058 QAK391975:QAK392058 PQO391975:PQO392058 PGS391975:PGS392058 OWW391975:OWW392058 ONA391975:ONA392058 ODE391975:ODE392058 NTI391975:NTI392058 NJM391975:NJM392058 MZQ391975:MZQ392058 MPU391975:MPU392058 MFY391975:MFY392058 LWC391975:LWC392058 LMG391975:LMG392058 LCK391975:LCK392058 KSO391975:KSO392058 KIS391975:KIS392058 JYW391975:JYW392058 JPA391975:JPA392058 JFE391975:JFE392058 IVI391975:IVI392058 ILM391975:ILM392058 IBQ391975:IBQ392058 HRU391975:HRU392058 HHY391975:HHY392058 GYC391975:GYC392058 GOG391975:GOG392058 GEK391975:GEK392058 FUO391975:FUO392058 FKS391975:FKS392058 FAW391975:FAW392058 ERA391975:ERA392058 EHE391975:EHE392058 DXI391975:DXI392058 DNM391975:DNM392058 DDQ391975:DDQ392058 CTU391975:CTU392058 CJY391975:CJY392058 CAC391975:CAC392058 BQG391975:BQG392058 BGK391975:BGK392058 AWO391975:AWO392058 AMS391975:AMS392058 ACW391975:ACW392058 TA391975:TA392058 JE391975:JE392058 I391996:I392079 WVQ326439:WVQ326522 WLU326439:WLU326522 WBY326439:WBY326522 VSC326439:VSC326522 VIG326439:VIG326522 UYK326439:UYK326522 UOO326439:UOO326522 UES326439:UES326522 TUW326439:TUW326522 TLA326439:TLA326522 TBE326439:TBE326522 SRI326439:SRI326522 SHM326439:SHM326522 RXQ326439:RXQ326522 RNU326439:RNU326522 RDY326439:RDY326522 QUC326439:QUC326522 QKG326439:QKG326522 QAK326439:QAK326522 PQO326439:PQO326522 PGS326439:PGS326522 OWW326439:OWW326522 ONA326439:ONA326522 ODE326439:ODE326522 NTI326439:NTI326522 NJM326439:NJM326522 MZQ326439:MZQ326522 MPU326439:MPU326522 MFY326439:MFY326522 LWC326439:LWC326522 LMG326439:LMG326522 LCK326439:LCK326522 KSO326439:KSO326522 KIS326439:KIS326522 JYW326439:JYW326522 JPA326439:JPA326522 JFE326439:JFE326522 IVI326439:IVI326522 ILM326439:ILM326522 IBQ326439:IBQ326522 HRU326439:HRU326522 HHY326439:HHY326522 GYC326439:GYC326522 GOG326439:GOG326522 GEK326439:GEK326522 FUO326439:FUO326522 FKS326439:FKS326522 FAW326439:FAW326522 ERA326439:ERA326522 EHE326439:EHE326522 DXI326439:DXI326522 DNM326439:DNM326522 DDQ326439:DDQ326522 CTU326439:CTU326522 CJY326439:CJY326522 CAC326439:CAC326522 BQG326439:BQG326522 BGK326439:BGK326522 AWO326439:AWO326522 AMS326439:AMS326522 ACW326439:ACW326522 TA326439:TA326522 JE326439:JE326522 I326460:I326543 WVQ260903:WVQ260986 WLU260903:WLU260986 WBY260903:WBY260986 VSC260903:VSC260986 VIG260903:VIG260986 UYK260903:UYK260986 UOO260903:UOO260986 UES260903:UES260986 TUW260903:TUW260986 TLA260903:TLA260986 TBE260903:TBE260986 SRI260903:SRI260986 SHM260903:SHM260986 RXQ260903:RXQ260986 RNU260903:RNU260986 RDY260903:RDY260986 QUC260903:QUC260986 QKG260903:QKG260986 QAK260903:QAK260986 PQO260903:PQO260986 PGS260903:PGS260986 OWW260903:OWW260986 ONA260903:ONA260986 ODE260903:ODE260986 NTI260903:NTI260986 NJM260903:NJM260986 MZQ260903:MZQ260986 MPU260903:MPU260986 MFY260903:MFY260986 LWC260903:LWC260986 LMG260903:LMG260986 LCK260903:LCK260986 KSO260903:KSO260986 KIS260903:KIS260986 JYW260903:JYW260986 JPA260903:JPA260986 JFE260903:JFE260986 IVI260903:IVI260986 ILM260903:ILM260986 IBQ260903:IBQ260986 HRU260903:HRU260986 HHY260903:HHY260986 GYC260903:GYC260986 GOG260903:GOG260986 GEK260903:GEK260986 FUO260903:FUO260986 FKS260903:FKS260986 FAW260903:FAW260986 ERA260903:ERA260986 EHE260903:EHE260986 DXI260903:DXI260986 DNM260903:DNM260986 DDQ260903:DDQ260986 CTU260903:CTU260986 CJY260903:CJY260986 CAC260903:CAC260986 BQG260903:BQG260986 BGK260903:BGK260986 AWO260903:AWO260986 AMS260903:AMS260986 ACW260903:ACW260986 TA260903:TA260986 JE260903:JE260986 I260924:I261007 WVQ195367:WVQ195450 WLU195367:WLU195450 WBY195367:WBY195450 VSC195367:VSC195450 VIG195367:VIG195450 UYK195367:UYK195450 UOO195367:UOO195450 UES195367:UES195450 TUW195367:TUW195450 TLA195367:TLA195450 TBE195367:TBE195450 SRI195367:SRI195450 SHM195367:SHM195450 RXQ195367:RXQ195450 RNU195367:RNU195450 RDY195367:RDY195450 QUC195367:QUC195450 QKG195367:QKG195450 QAK195367:QAK195450 PQO195367:PQO195450 PGS195367:PGS195450 OWW195367:OWW195450 ONA195367:ONA195450 ODE195367:ODE195450 NTI195367:NTI195450 NJM195367:NJM195450 MZQ195367:MZQ195450 MPU195367:MPU195450 MFY195367:MFY195450 LWC195367:LWC195450 LMG195367:LMG195450 LCK195367:LCK195450 KSO195367:KSO195450 KIS195367:KIS195450 JYW195367:JYW195450 JPA195367:JPA195450 JFE195367:JFE195450 IVI195367:IVI195450 ILM195367:ILM195450 IBQ195367:IBQ195450 HRU195367:HRU195450 HHY195367:HHY195450 GYC195367:GYC195450 GOG195367:GOG195450 GEK195367:GEK195450 FUO195367:FUO195450 FKS195367:FKS195450 FAW195367:FAW195450 ERA195367:ERA195450 EHE195367:EHE195450 DXI195367:DXI195450 DNM195367:DNM195450 DDQ195367:DDQ195450 CTU195367:CTU195450 CJY195367:CJY195450 CAC195367:CAC195450 BQG195367:BQG195450 BGK195367:BGK195450 AWO195367:AWO195450 AMS195367:AMS195450 ACW195367:ACW195450 TA195367:TA195450 JE195367:JE195450 I195388:I195471 WVQ129831:WVQ129914 WLU129831:WLU129914 WBY129831:WBY129914 VSC129831:VSC129914 VIG129831:VIG129914 UYK129831:UYK129914 UOO129831:UOO129914 UES129831:UES129914 TUW129831:TUW129914 TLA129831:TLA129914 TBE129831:TBE129914 SRI129831:SRI129914 SHM129831:SHM129914 RXQ129831:RXQ129914 RNU129831:RNU129914 RDY129831:RDY129914 QUC129831:QUC129914 QKG129831:QKG129914 QAK129831:QAK129914 PQO129831:PQO129914 PGS129831:PGS129914 OWW129831:OWW129914 ONA129831:ONA129914 ODE129831:ODE129914 NTI129831:NTI129914 NJM129831:NJM129914 MZQ129831:MZQ129914 MPU129831:MPU129914 MFY129831:MFY129914 LWC129831:LWC129914 LMG129831:LMG129914 LCK129831:LCK129914 KSO129831:KSO129914 KIS129831:KIS129914 JYW129831:JYW129914 JPA129831:JPA129914 JFE129831:JFE129914 IVI129831:IVI129914 ILM129831:ILM129914 IBQ129831:IBQ129914 HRU129831:HRU129914 HHY129831:HHY129914 GYC129831:GYC129914 GOG129831:GOG129914 GEK129831:GEK129914 FUO129831:FUO129914 FKS129831:FKS129914 FAW129831:FAW129914 ERA129831:ERA129914 EHE129831:EHE129914 DXI129831:DXI129914 DNM129831:DNM129914 DDQ129831:DDQ129914 CTU129831:CTU129914 CJY129831:CJY129914 CAC129831:CAC129914 BQG129831:BQG129914 BGK129831:BGK129914 AWO129831:AWO129914 AMS129831:AMS129914 ACW129831:ACW129914 TA129831:TA129914 JE129831:JE129914 I129852:I129935 WVQ64295:WVQ64378 WLU64295:WLU64378 WBY64295:WBY64378 VSC64295:VSC64378 VIG64295:VIG64378 UYK64295:UYK64378 UOO64295:UOO64378 UES64295:UES64378 TUW64295:TUW64378 TLA64295:TLA64378 TBE64295:TBE64378 SRI64295:SRI64378 SHM64295:SHM64378 RXQ64295:RXQ64378 RNU64295:RNU64378 RDY64295:RDY64378 QUC64295:QUC64378 QKG64295:QKG64378 QAK64295:QAK64378 PQO64295:PQO64378 PGS64295:PGS64378 OWW64295:OWW64378 ONA64295:ONA64378 ODE64295:ODE64378 NTI64295:NTI64378 NJM64295:NJM64378 MZQ64295:MZQ64378 MPU64295:MPU64378 MFY64295:MFY64378 LWC64295:LWC64378 LMG64295:LMG64378 LCK64295:LCK64378 KSO64295:KSO64378 KIS64295:KIS64378 JYW64295:JYW64378 JPA64295:JPA64378 JFE64295:JFE64378 IVI64295:IVI64378 ILM64295:ILM64378 IBQ64295:IBQ64378 HRU64295:HRU64378 HHY64295:HHY64378 GYC64295:GYC64378 GOG64295:GOG64378 GEK64295:GEK64378 FUO64295:FUO64378 FKS64295:FKS64378 FAW64295:FAW64378 ERA64295:ERA64378 EHE64295:EHE64378 DXI64295:DXI64378 DNM64295:DNM64378 DDQ64295:DDQ64378 CTU64295:CTU64378 CJY64295:CJY64378 CAC64295:CAC64378 BQG64295:BQG64378 BGK64295:BGK64378 AWO64295:AWO64378 AMS64295:AMS64378 ACW64295:ACW64378 TA64295:TA64378 JE64295:JE64378 I64316:I64399 I90:I494 JE2:JE67 TA2:TA67 ACW2:ACW67 AMS2:AMS67 AWO2:AWO67 BGK2:BGK67 BQG2:BQG67 CAC2:CAC67 CJY2:CJY67 CTU2:CTU67 DDQ2:DDQ67 DNM2:DNM67 DXI2:DXI67 EHE2:EHE67 ERA2:ERA67 FAW2:FAW67 FKS2:FKS67 FUO2:FUO67 GEK2:GEK67 GOG2:GOG67 GYC2:GYC67 HHY2:HHY67 HRU2:HRU67 IBQ2:IBQ67 ILM2:ILM67 IVI2:IVI67 JFE2:JFE67 JPA2:JPA67 JYW2:JYW67 KIS2:KIS67 KSO2:KSO67 LCK2:LCK67 LMG2:LMG67 LWC2:LWC67 MFY2:MFY67 MPU2:MPU67 MZQ2:MZQ67 NJM2:NJM67 NTI2:NTI67 ODE2:ODE67 ONA2:ONA67 OWW2:OWW67 PGS2:PGS67 PQO2:PQO67 QAK2:QAK67 QKG2:QKG67 QUC2:QUC67 RDY2:RDY67 RNU2:RNU67 RXQ2:RXQ67 SHM2:SHM67 SRI2:SRI67 TBE2:TBE67 TLA2:TLA67 TUW2:TUW67 UES2:UES67 UOO2:UOO67 UYK2:UYK67 VIG2:VIG67 VSC2:VSC67 WBY2:WBY67 WLU2:WLU67 WVQ2:WVQ67 I2:I88">
      <formula1>$AN$5:$AN$6</formula1>
    </dataValidation>
    <dataValidation type="list" allowBlank="1" showInputMessage="1" showErrorMessage="1" sqref="WWG981799:WWI981882 WMK981799:WMM981882 Y64295:AA64378 JU64295:JW64378 TQ64295:TS64378 ADM64295:ADO64378 ANI64295:ANK64378 AXE64295:AXG64378 BHA64295:BHC64378 BQW64295:BQY64378 CAS64295:CAU64378 CKO64295:CKQ64378 CUK64295:CUM64378 DEG64295:DEI64378 DOC64295:DOE64378 DXY64295:DYA64378 EHU64295:EHW64378 ERQ64295:ERS64378 FBM64295:FBO64378 FLI64295:FLK64378 FVE64295:FVG64378 GFA64295:GFC64378 GOW64295:GOY64378 GYS64295:GYU64378 HIO64295:HIQ64378 HSK64295:HSM64378 ICG64295:ICI64378 IMC64295:IME64378 IVY64295:IWA64378 JFU64295:JFW64378 JPQ64295:JPS64378 JZM64295:JZO64378 KJI64295:KJK64378 KTE64295:KTG64378 LDA64295:LDC64378 LMW64295:LMY64378 LWS64295:LWU64378 MGO64295:MGQ64378 MQK64295:MQM64378 NAG64295:NAI64378 NKC64295:NKE64378 NTY64295:NUA64378 ODU64295:ODW64378 ONQ64295:ONS64378 OXM64295:OXO64378 PHI64295:PHK64378 PRE64295:PRG64378 QBA64295:QBC64378 QKW64295:QKY64378 QUS64295:QUU64378 REO64295:REQ64378 ROK64295:ROM64378 RYG64295:RYI64378 SIC64295:SIE64378 SRY64295:SSA64378 TBU64295:TBW64378 TLQ64295:TLS64378 TVM64295:TVO64378 UFI64295:UFK64378 UPE64295:UPG64378 UZA64295:UZC64378 VIW64295:VIY64378 VSS64295:VSU64378 WCO64295:WCQ64378 WMK64295:WMM64378 WWG64295:WWI64378 Y129831:AA129914 JU129831:JW129914 TQ129831:TS129914 ADM129831:ADO129914 ANI129831:ANK129914 AXE129831:AXG129914 BHA129831:BHC129914 BQW129831:BQY129914 CAS129831:CAU129914 CKO129831:CKQ129914 CUK129831:CUM129914 DEG129831:DEI129914 DOC129831:DOE129914 DXY129831:DYA129914 EHU129831:EHW129914 ERQ129831:ERS129914 FBM129831:FBO129914 FLI129831:FLK129914 FVE129831:FVG129914 GFA129831:GFC129914 GOW129831:GOY129914 GYS129831:GYU129914 HIO129831:HIQ129914 HSK129831:HSM129914 ICG129831:ICI129914 IMC129831:IME129914 IVY129831:IWA129914 JFU129831:JFW129914 JPQ129831:JPS129914 JZM129831:JZO129914 KJI129831:KJK129914 KTE129831:KTG129914 LDA129831:LDC129914 LMW129831:LMY129914 LWS129831:LWU129914 MGO129831:MGQ129914 MQK129831:MQM129914 NAG129831:NAI129914 NKC129831:NKE129914 NTY129831:NUA129914 ODU129831:ODW129914 ONQ129831:ONS129914 OXM129831:OXO129914 PHI129831:PHK129914 PRE129831:PRG129914 QBA129831:QBC129914 QKW129831:QKY129914 QUS129831:QUU129914 REO129831:REQ129914 ROK129831:ROM129914 RYG129831:RYI129914 SIC129831:SIE129914 SRY129831:SSA129914 TBU129831:TBW129914 TLQ129831:TLS129914 TVM129831:TVO129914 UFI129831:UFK129914 UPE129831:UPG129914 UZA129831:UZC129914 VIW129831:VIY129914 VSS129831:VSU129914 WCO129831:WCQ129914 WMK129831:WMM129914 WWG129831:WWI129914 Y195367:AA195450 JU195367:JW195450 TQ195367:TS195450 ADM195367:ADO195450 ANI195367:ANK195450 AXE195367:AXG195450 BHA195367:BHC195450 BQW195367:BQY195450 CAS195367:CAU195450 CKO195367:CKQ195450 CUK195367:CUM195450 DEG195367:DEI195450 DOC195367:DOE195450 DXY195367:DYA195450 EHU195367:EHW195450 ERQ195367:ERS195450 FBM195367:FBO195450 FLI195367:FLK195450 FVE195367:FVG195450 GFA195367:GFC195450 GOW195367:GOY195450 GYS195367:GYU195450 HIO195367:HIQ195450 HSK195367:HSM195450 ICG195367:ICI195450 IMC195367:IME195450 IVY195367:IWA195450 JFU195367:JFW195450 JPQ195367:JPS195450 JZM195367:JZO195450 KJI195367:KJK195450 KTE195367:KTG195450 LDA195367:LDC195450 LMW195367:LMY195450 LWS195367:LWU195450 MGO195367:MGQ195450 MQK195367:MQM195450 NAG195367:NAI195450 NKC195367:NKE195450 NTY195367:NUA195450 ODU195367:ODW195450 ONQ195367:ONS195450 OXM195367:OXO195450 PHI195367:PHK195450 PRE195367:PRG195450 QBA195367:QBC195450 QKW195367:QKY195450 QUS195367:QUU195450 REO195367:REQ195450 ROK195367:ROM195450 RYG195367:RYI195450 SIC195367:SIE195450 SRY195367:SSA195450 TBU195367:TBW195450 TLQ195367:TLS195450 TVM195367:TVO195450 UFI195367:UFK195450 UPE195367:UPG195450 UZA195367:UZC195450 VIW195367:VIY195450 VSS195367:VSU195450 WCO195367:WCQ195450 WMK195367:WMM195450 WWG195367:WWI195450 Y260903:AA260986 JU260903:JW260986 TQ260903:TS260986 ADM260903:ADO260986 ANI260903:ANK260986 AXE260903:AXG260986 BHA260903:BHC260986 BQW260903:BQY260986 CAS260903:CAU260986 CKO260903:CKQ260986 CUK260903:CUM260986 DEG260903:DEI260986 DOC260903:DOE260986 DXY260903:DYA260986 EHU260903:EHW260986 ERQ260903:ERS260986 FBM260903:FBO260986 FLI260903:FLK260986 FVE260903:FVG260986 GFA260903:GFC260986 GOW260903:GOY260986 GYS260903:GYU260986 HIO260903:HIQ260986 HSK260903:HSM260986 ICG260903:ICI260986 IMC260903:IME260986 IVY260903:IWA260986 JFU260903:JFW260986 JPQ260903:JPS260986 JZM260903:JZO260986 KJI260903:KJK260986 KTE260903:KTG260986 LDA260903:LDC260986 LMW260903:LMY260986 LWS260903:LWU260986 MGO260903:MGQ260986 MQK260903:MQM260986 NAG260903:NAI260986 NKC260903:NKE260986 NTY260903:NUA260986 ODU260903:ODW260986 ONQ260903:ONS260986 OXM260903:OXO260986 PHI260903:PHK260986 PRE260903:PRG260986 QBA260903:QBC260986 QKW260903:QKY260986 QUS260903:QUU260986 REO260903:REQ260986 ROK260903:ROM260986 RYG260903:RYI260986 SIC260903:SIE260986 SRY260903:SSA260986 TBU260903:TBW260986 TLQ260903:TLS260986 TVM260903:TVO260986 UFI260903:UFK260986 UPE260903:UPG260986 UZA260903:UZC260986 VIW260903:VIY260986 VSS260903:VSU260986 WCO260903:WCQ260986 WMK260903:WMM260986 WWG260903:WWI260986 Y326439:AA326522 JU326439:JW326522 TQ326439:TS326522 ADM326439:ADO326522 ANI326439:ANK326522 AXE326439:AXG326522 BHA326439:BHC326522 BQW326439:BQY326522 CAS326439:CAU326522 CKO326439:CKQ326522 CUK326439:CUM326522 DEG326439:DEI326522 DOC326439:DOE326522 DXY326439:DYA326522 EHU326439:EHW326522 ERQ326439:ERS326522 FBM326439:FBO326522 FLI326439:FLK326522 FVE326439:FVG326522 GFA326439:GFC326522 GOW326439:GOY326522 GYS326439:GYU326522 HIO326439:HIQ326522 HSK326439:HSM326522 ICG326439:ICI326522 IMC326439:IME326522 IVY326439:IWA326522 JFU326439:JFW326522 JPQ326439:JPS326522 JZM326439:JZO326522 KJI326439:KJK326522 KTE326439:KTG326522 LDA326439:LDC326522 LMW326439:LMY326522 LWS326439:LWU326522 MGO326439:MGQ326522 MQK326439:MQM326522 NAG326439:NAI326522 NKC326439:NKE326522 NTY326439:NUA326522 ODU326439:ODW326522 ONQ326439:ONS326522 OXM326439:OXO326522 PHI326439:PHK326522 PRE326439:PRG326522 QBA326439:QBC326522 QKW326439:QKY326522 QUS326439:QUU326522 REO326439:REQ326522 ROK326439:ROM326522 RYG326439:RYI326522 SIC326439:SIE326522 SRY326439:SSA326522 TBU326439:TBW326522 TLQ326439:TLS326522 TVM326439:TVO326522 UFI326439:UFK326522 UPE326439:UPG326522 UZA326439:UZC326522 VIW326439:VIY326522 VSS326439:VSU326522 WCO326439:WCQ326522 WMK326439:WMM326522 WWG326439:WWI326522 Y391975:AA392058 JU391975:JW392058 TQ391975:TS392058 ADM391975:ADO392058 ANI391975:ANK392058 AXE391975:AXG392058 BHA391975:BHC392058 BQW391975:BQY392058 CAS391975:CAU392058 CKO391975:CKQ392058 CUK391975:CUM392058 DEG391975:DEI392058 DOC391975:DOE392058 DXY391975:DYA392058 EHU391975:EHW392058 ERQ391975:ERS392058 FBM391975:FBO392058 FLI391975:FLK392058 FVE391975:FVG392058 GFA391975:GFC392058 GOW391975:GOY392058 GYS391975:GYU392058 HIO391975:HIQ392058 HSK391975:HSM392058 ICG391975:ICI392058 IMC391975:IME392058 IVY391975:IWA392058 JFU391975:JFW392058 JPQ391975:JPS392058 JZM391975:JZO392058 KJI391975:KJK392058 KTE391975:KTG392058 LDA391975:LDC392058 LMW391975:LMY392058 LWS391975:LWU392058 MGO391975:MGQ392058 MQK391975:MQM392058 NAG391975:NAI392058 NKC391975:NKE392058 NTY391975:NUA392058 ODU391975:ODW392058 ONQ391975:ONS392058 OXM391975:OXO392058 PHI391975:PHK392058 PRE391975:PRG392058 QBA391975:QBC392058 QKW391975:QKY392058 QUS391975:QUU392058 REO391975:REQ392058 ROK391975:ROM392058 RYG391975:RYI392058 SIC391975:SIE392058 SRY391975:SSA392058 TBU391975:TBW392058 TLQ391975:TLS392058 TVM391975:TVO392058 UFI391975:UFK392058 UPE391975:UPG392058 UZA391975:UZC392058 VIW391975:VIY392058 VSS391975:VSU392058 WCO391975:WCQ392058 WMK391975:WMM392058 WWG391975:WWI392058 Y457511:AA457594 JU457511:JW457594 TQ457511:TS457594 ADM457511:ADO457594 ANI457511:ANK457594 AXE457511:AXG457594 BHA457511:BHC457594 BQW457511:BQY457594 CAS457511:CAU457594 CKO457511:CKQ457594 CUK457511:CUM457594 DEG457511:DEI457594 DOC457511:DOE457594 DXY457511:DYA457594 EHU457511:EHW457594 ERQ457511:ERS457594 FBM457511:FBO457594 FLI457511:FLK457594 FVE457511:FVG457594 GFA457511:GFC457594 GOW457511:GOY457594 GYS457511:GYU457594 HIO457511:HIQ457594 HSK457511:HSM457594 ICG457511:ICI457594 IMC457511:IME457594 IVY457511:IWA457594 JFU457511:JFW457594 JPQ457511:JPS457594 JZM457511:JZO457594 KJI457511:KJK457594 KTE457511:KTG457594 LDA457511:LDC457594 LMW457511:LMY457594 LWS457511:LWU457594 MGO457511:MGQ457594 MQK457511:MQM457594 NAG457511:NAI457594 NKC457511:NKE457594 NTY457511:NUA457594 ODU457511:ODW457594 ONQ457511:ONS457594 OXM457511:OXO457594 PHI457511:PHK457594 PRE457511:PRG457594 QBA457511:QBC457594 QKW457511:QKY457594 QUS457511:QUU457594 REO457511:REQ457594 ROK457511:ROM457594 RYG457511:RYI457594 SIC457511:SIE457594 SRY457511:SSA457594 TBU457511:TBW457594 TLQ457511:TLS457594 TVM457511:TVO457594 UFI457511:UFK457594 UPE457511:UPG457594 UZA457511:UZC457594 VIW457511:VIY457594 VSS457511:VSU457594 WCO457511:WCQ457594 WMK457511:WMM457594 WWG457511:WWI457594 Y523047:AA523130 JU523047:JW523130 TQ523047:TS523130 ADM523047:ADO523130 ANI523047:ANK523130 AXE523047:AXG523130 BHA523047:BHC523130 BQW523047:BQY523130 CAS523047:CAU523130 CKO523047:CKQ523130 CUK523047:CUM523130 DEG523047:DEI523130 DOC523047:DOE523130 DXY523047:DYA523130 EHU523047:EHW523130 ERQ523047:ERS523130 FBM523047:FBO523130 FLI523047:FLK523130 FVE523047:FVG523130 GFA523047:GFC523130 GOW523047:GOY523130 GYS523047:GYU523130 HIO523047:HIQ523130 HSK523047:HSM523130 ICG523047:ICI523130 IMC523047:IME523130 IVY523047:IWA523130 JFU523047:JFW523130 JPQ523047:JPS523130 JZM523047:JZO523130 KJI523047:KJK523130 KTE523047:KTG523130 LDA523047:LDC523130 LMW523047:LMY523130 LWS523047:LWU523130 MGO523047:MGQ523130 MQK523047:MQM523130 NAG523047:NAI523130 NKC523047:NKE523130 NTY523047:NUA523130 ODU523047:ODW523130 ONQ523047:ONS523130 OXM523047:OXO523130 PHI523047:PHK523130 PRE523047:PRG523130 QBA523047:QBC523130 QKW523047:QKY523130 QUS523047:QUU523130 REO523047:REQ523130 ROK523047:ROM523130 RYG523047:RYI523130 SIC523047:SIE523130 SRY523047:SSA523130 TBU523047:TBW523130 TLQ523047:TLS523130 TVM523047:TVO523130 UFI523047:UFK523130 UPE523047:UPG523130 UZA523047:UZC523130 VIW523047:VIY523130 VSS523047:VSU523130 WCO523047:WCQ523130 WMK523047:WMM523130 WWG523047:WWI523130 Y588583:AA588666 JU588583:JW588666 TQ588583:TS588666 ADM588583:ADO588666 ANI588583:ANK588666 AXE588583:AXG588666 BHA588583:BHC588666 BQW588583:BQY588666 CAS588583:CAU588666 CKO588583:CKQ588666 CUK588583:CUM588666 DEG588583:DEI588666 DOC588583:DOE588666 DXY588583:DYA588666 EHU588583:EHW588666 ERQ588583:ERS588666 FBM588583:FBO588666 FLI588583:FLK588666 FVE588583:FVG588666 GFA588583:GFC588666 GOW588583:GOY588666 GYS588583:GYU588666 HIO588583:HIQ588666 HSK588583:HSM588666 ICG588583:ICI588666 IMC588583:IME588666 IVY588583:IWA588666 JFU588583:JFW588666 JPQ588583:JPS588666 JZM588583:JZO588666 KJI588583:KJK588666 KTE588583:KTG588666 LDA588583:LDC588666 LMW588583:LMY588666 LWS588583:LWU588666 MGO588583:MGQ588666 MQK588583:MQM588666 NAG588583:NAI588666 NKC588583:NKE588666 NTY588583:NUA588666 ODU588583:ODW588666 ONQ588583:ONS588666 OXM588583:OXO588666 PHI588583:PHK588666 PRE588583:PRG588666 QBA588583:QBC588666 QKW588583:QKY588666 QUS588583:QUU588666 REO588583:REQ588666 ROK588583:ROM588666 RYG588583:RYI588666 SIC588583:SIE588666 SRY588583:SSA588666 TBU588583:TBW588666 TLQ588583:TLS588666 TVM588583:TVO588666 UFI588583:UFK588666 UPE588583:UPG588666 UZA588583:UZC588666 VIW588583:VIY588666 VSS588583:VSU588666 WCO588583:WCQ588666 WMK588583:WMM588666 WWG588583:WWI588666 Y654119:AA654202 JU654119:JW654202 TQ654119:TS654202 ADM654119:ADO654202 ANI654119:ANK654202 AXE654119:AXG654202 BHA654119:BHC654202 BQW654119:BQY654202 CAS654119:CAU654202 CKO654119:CKQ654202 CUK654119:CUM654202 DEG654119:DEI654202 DOC654119:DOE654202 DXY654119:DYA654202 EHU654119:EHW654202 ERQ654119:ERS654202 FBM654119:FBO654202 FLI654119:FLK654202 FVE654119:FVG654202 GFA654119:GFC654202 GOW654119:GOY654202 GYS654119:GYU654202 HIO654119:HIQ654202 HSK654119:HSM654202 ICG654119:ICI654202 IMC654119:IME654202 IVY654119:IWA654202 JFU654119:JFW654202 JPQ654119:JPS654202 JZM654119:JZO654202 KJI654119:KJK654202 KTE654119:KTG654202 LDA654119:LDC654202 LMW654119:LMY654202 LWS654119:LWU654202 MGO654119:MGQ654202 MQK654119:MQM654202 NAG654119:NAI654202 NKC654119:NKE654202 NTY654119:NUA654202 ODU654119:ODW654202 ONQ654119:ONS654202 OXM654119:OXO654202 PHI654119:PHK654202 PRE654119:PRG654202 QBA654119:QBC654202 QKW654119:QKY654202 QUS654119:QUU654202 REO654119:REQ654202 ROK654119:ROM654202 RYG654119:RYI654202 SIC654119:SIE654202 SRY654119:SSA654202 TBU654119:TBW654202 TLQ654119:TLS654202 TVM654119:TVO654202 UFI654119:UFK654202 UPE654119:UPG654202 UZA654119:UZC654202 VIW654119:VIY654202 VSS654119:VSU654202 WCO654119:WCQ654202 WMK654119:WMM654202 WWG654119:WWI654202 Y719655:AA719738 JU719655:JW719738 TQ719655:TS719738 ADM719655:ADO719738 ANI719655:ANK719738 AXE719655:AXG719738 BHA719655:BHC719738 BQW719655:BQY719738 CAS719655:CAU719738 CKO719655:CKQ719738 CUK719655:CUM719738 DEG719655:DEI719738 DOC719655:DOE719738 DXY719655:DYA719738 EHU719655:EHW719738 ERQ719655:ERS719738 FBM719655:FBO719738 FLI719655:FLK719738 FVE719655:FVG719738 GFA719655:GFC719738 GOW719655:GOY719738 GYS719655:GYU719738 HIO719655:HIQ719738 HSK719655:HSM719738 ICG719655:ICI719738 IMC719655:IME719738 IVY719655:IWA719738 JFU719655:JFW719738 JPQ719655:JPS719738 JZM719655:JZO719738 KJI719655:KJK719738 KTE719655:KTG719738 LDA719655:LDC719738 LMW719655:LMY719738 LWS719655:LWU719738 MGO719655:MGQ719738 MQK719655:MQM719738 NAG719655:NAI719738 NKC719655:NKE719738 NTY719655:NUA719738 ODU719655:ODW719738 ONQ719655:ONS719738 OXM719655:OXO719738 PHI719655:PHK719738 PRE719655:PRG719738 QBA719655:QBC719738 QKW719655:QKY719738 QUS719655:QUU719738 REO719655:REQ719738 ROK719655:ROM719738 RYG719655:RYI719738 SIC719655:SIE719738 SRY719655:SSA719738 TBU719655:TBW719738 TLQ719655:TLS719738 TVM719655:TVO719738 UFI719655:UFK719738 UPE719655:UPG719738 UZA719655:UZC719738 VIW719655:VIY719738 VSS719655:VSU719738 WCO719655:WCQ719738 WMK719655:WMM719738 WWG719655:WWI719738 Y785191:AA785274 JU785191:JW785274 TQ785191:TS785274 ADM785191:ADO785274 ANI785191:ANK785274 AXE785191:AXG785274 BHA785191:BHC785274 BQW785191:BQY785274 CAS785191:CAU785274 CKO785191:CKQ785274 CUK785191:CUM785274 DEG785191:DEI785274 DOC785191:DOE785274 DXY785191:DYA785274 EHU785191:EHW785274 ERQ785191:ERS785274 FBM785191:FBO785274 FLI785191:FLK785274 FVE785191:FVG785274 GFA785191:GFC785274 GOW785191:GOY785274 GYS785191:GYU785274 HIO785191:HIQ785274 HSK785191:HSM785274 ICG785191:ICI785274 IMC785191:IME785274 IVY785191:IWA785274 JFU785191:JFW785274 JPQ785191:JPS785274 JZM785191:JZO785274 KJI785191:KJK785274 KTE785191:KTG785274 LDA785191:LDC785274 LMW785191:LMY785274 LWS785191:LWU785274 MGO785191:MGQ785274 MQK785191:MQM785274 NAG785191:NAI785274 NKC785191:NKE785274 NTY785191:NUA785274 ODU785191:ODW785274 ONQ785191:ONS785274 OXM785191:OXO785274 PHI785191:PHK785274 PRE785191:PRG785274 QBA785191:QBC785274 QKW785191:QKY785274 QUS785191:QUU785274 REO785191:REQ785274 ROK785191:ROM785274 RYG785191:RYI785274 SIC785191:SIE785274 SRY785191:SSA785274 TBU785191:TBW785274 TLQ785191:TLS785274 TVM785191:TVO785274 UFI785191:UFK785274 UPE785191:UPG785274 UZA785191:UZC785274 VIW785191:VIY785274 VSS785191:VSU785274 WCO785191:WCQ785274 WMK785191:WMM785274 WWG785191:WWI785274 Y850727:AA850810 JU850727:JW850810 TQ850727:TS850810 ADM850727:ADO850810 ANI850727:ANK850810 AXE850727:AXG850810 BHA850727:BHC850810 BQW850727:BQY850810 CAS850727:CAU850810 CKO850727:CKQ850810 CUK850727:CUM850810 DEG850727:DEI850810 DOC850727:DOE850810 DXY850727:DYA850810 EHU850727:EHW850810 ERQ850727:ERS850810 FBM850727:FBO850810 FLI850727:FLK850810 FVE850727:FVG850810 GFA850727:GFC850810 GOW850727:GOY850810 GYS850727:GYU850810 HIO850727:HIQ850810 HSK850727:HSM850810 ICG850727:ICI850810 IMC850727:IME850810 IVY850727:IWA850810 JFU850727:JFW850810 JPQ850727:JPS850810 JZM850727:JZO850810 KJI850727:KJK850810 KTE850727:KTG850810 LDA850727:LDC850810 LMW850727:LMY850810 LWS850727:LWU850810 MGO850727:MGQ850810 MQK850727:MQM850810 NAG850727:NAI850810 NKC850727:NKE850810 NTY850727:NUA850810 ODU850727:ODW850810 ONQ850727:ONS850810 OXM850727:OXO850810 PHI850727:PHK850810 PRE850727:PRG850810 QBA850727:QBC850810 QKW850727:QKY850810 QUS850727:QUU850810 REO850727:REQ850810 ROK850727:ROM850810 RYG850727:RYI850810 SIC850727:SIE850810 SRY850727:SSA850810 TBU850727:TBW850810 TLQ850727:TLS850810 TVM850727:TVO850810 UFI850727:UFK850810 UPE850727:UPG850810 UZA850727:UZC850810 VIW850727:VIY850810 VSS850727:VSU850810 WCO850727:WCQ850810 WMK850727:WMM850810 WWG850727:WWI850810 Y916263:AA916346 JU916263:JW916346 TQ916263:TS916346 ADM916263:ADO916346 ANI916263:ANK916346 AXE916263:AXG916346 BHA916263:BHC916346 BQW916263:BQY916346 CAS916263:CAU916346 CKO916263:CKQ916346 CUK916263:CUM916346 DEG916263:DEI916346 DOC916263:DOE916346 DXY916263:DYA916346 EHU916263:EHW916346 ERQ916263:ERS916346 FBM916263:FBO916346 FLI916263:FLK916346 FVE916263:FVG916346 GFA916263:GFC916346 GOW916263:GOY916346 GYS916263:GYU916346 HIO916263:HIQ916346 HSK916263:HSM916346 ICG916263:ICI916346 IMC916263:IME916346 IVY916263:IWA916346 JFU916263:JFW916346 JPQ916263:JPS916346 JZM916263:JZO916346 KJI916263:KJK916346 KTE916263:KTG916346 LDA916263:LDC916346 LMW916263:LMY916346 LWS916263:LWU916346 MGO916263:MGQ916346 MQK916263:MQM916346 NAG916263:NAI916346 NKC916263:NKE916346 NTY916263:NUA916346 ODU916263:ODW916346 ONQ916263:ONS916346 OXM916263:OXO916346 PHI916263:PHK916346 PRE916263:PRG916346 QBA916263:QBC916346 QKW916263:QKY916346 QUS916263:QUU916346 REO916263:REQ916346 ROK916263:ROM916346 RYG916263:RYI916346 SIC916263:SIE916346 SRY916263:SSA916346 TBU916263:TBW916346 TLQ916263:TLS916346 TVM916263:TVO916346 UFI916263:UFK916346 UPE916263:UPG916346 UZA916263:UZC916346 VIW916263:VIY916346 VSS916263:VSU916346 WCO916263:WCQ916346 WMK916263:WMM916346 WWG916263:WWI916346 Y981799:AA981882 JU981799:JW981882 TQ981799:TS981882 ADM981799:ADO981882 ANI981799:ANK981882 AXE981799:AXG981882 BHA981799:BHC981882 BQW981799:BQY981882 CAS981799:CAU981882 CKO981799:CKQ981882 CUK981799:CUM981882 DEG981799:DEI981882 DOC981799:DOE981882 DXY981799:DYA981882 EHU981799:EHW981882 ERQ981799:ERS981882 FBM981799:FBO981882 FLI981799:FLK981882 FVE981799:FVG981882 GFA981799:GFC981882 GOW981799:GOY981882 GYS981799:GYU981882 HIO981799:HIQ981882 HSK981799:HSM981882 ICG981799:ICI981882 IMC981799:IME981882 IVY981799:IWA981882 JFU981799:JFW981882 JPQ981799:JPS981882 JZM981799:JZO981882 KJI981799:KJK981882 KTE981799:KTG981882 LDA981799:LDC981882 LMW981799:LMY981882 LWS981799:LWU981882 MGO981799:MGQ981882 MQK981799:MQM981882 NAG981799:NAI981882 NKC981799:NKE981882 NTY981799:NUA981882 ODU981799:ODW981882 ONQ981799:ONS981882 OXM981799:OXO981882 PHI981799:PHK981882 PRE981799:PRG981882 QBA981799:QBC981882 QKW981799:QKY981882 QUS981799:QUU981882 REO981799:REQ981882 ROK981799:ROM981882 RYG981799:RYI981882 SIC981799:SIE981882 SRY981799:SSA981882 TBU981799:TBW981882 TLQ981799:TLS981882 TVM981799:TVO981882 UFI981799:UFK981882 UPE981799:UPG981882 UZA981799:UZC981882 VIW981799:VIY981882 VSS981799:VSU981882 WCO981799:WCQ981882 WWG2:WWI67 WMK2:WMM67 WCO2:WCQ67 VSS2:VSU67 VIW2:VIY67 UZA2:UZC67 UPE2:UPG67 UFI2:UFK67 TVM2:TVO67 TLQ2:TLS67 TBU2:TBW67 SRY2:SSA67 SIC2:SIE67 RYG2:RYI67 ROK2:ROM67 REO2:REQ67 QUS2:QUU67 QKW2:QKY67 QBA2:QBC67 PRE2:PRG67 PHI2:PHK67 OXM2:OXO67 ONQ2:ONS67 ODU2:ODW67 NTY2:NUA67 NKC2:NKE67 NAG2:NAI67 MQK2:MQM67 MGO2:MGQ67 LWS2:LWU67 LMW2:LMY67 LDA2:LDC67 KTE2:KTG67 KJI2:KJK67 JZM2:JZO67 JPQ2:JPS67 JFU2:JFW67 IVY2:IWA67 IMC2:IME67 ICG2:ICI67 HSK2:HSM67 HIO2:HIQ67 GYS2:GYU67 GOW2:GOY67 GFA2:GFC67 FVE2:FVG67 FLI2:FLK67 FBM2:FBO67 ERQ2:ERS67 EHU2:EHW67 DXY2:DYA67 DOC2:DOE67 DEG2:DEI67 CUK2:CUM67 CKO2:CKQ67 CAS2:CAU67 BQW2:BQY67 BHA2:BHC67 AXE2:AXG67 ANI2:ANK67 ADM2:ADO67 TQ2:TS67 JU2:JW67">
      <formula1>$AV$2:$AV$22</formula1>
    </dataValidation>
    <dataValidation type="list" allowBlank="1" showInputMessage="1" showErrorMessage="1" sqref="K115:K494">
      <formula1>$AR$2:$AR$25</formula1>
    </dataValidation>
    <dataValidation type="list" allowBlank="1" showInputMessage="1" showErrorMessage="1" sqref="J90:J494 J2:J88">
      <formula1>$AP$2:$AP$27</formula1>
    </dataValidation>
    <dataValidation type="list" allowBlank="1" showInputMessage="1" showErrorMessage="1" sqref="F90:F494 F2:F88">
      <formula1>$AH$2:$AH$10</formula1>
    </dataValidation>
    <dataValidation type="list" allowBlank="1" showInputMessage="1" showErrorMessage="1" sqref="E90:E494 E2:E88">
      <formula1>$AG$2:$AG$11</formula1>
    </dataValidation>
    <dataValidation type="list" allowBlank="1" showInputMessage="1" showErrorMessage="1" sqref="A90:A494 A2:A88">
      <formula1>$AE$2:$AE$19</formula1>
    </dataValidation>
    <dataValidation type="list" allowBlank="1" showInputMessage="1" showErrorMessage="1" sqref="H90:H494 H2:H88">
      <formula1>$AL$2:$AL$8</formula1>
    </dataValidation>
    <dataValidation type="list" allowBlank="1" showInputMessage="1" showErrorMessage="1" sqref="Y90:AA494 Y2:AA88">
      <formula1>$AV$2:$AV$21</formula1>
    </dataValidation>
    <dataValidation type="decimal" allowBlank="1" showInputMessage="1" showErrorMessage="1" error="硬度を正しく入力して下さい。" sqref="O90:P494 N38:N66 N5:O7 O14:O22 N68:N72 N11:N13 N17:N22 P5:P37 O38:P88">
      <formula1>0</formula1>
      <formula2>7</formula2>
    </dataValidation>
  </dataValidations>
  <pageMargins left="0.25" right="0.25" top="0.75" bottom="0.75" header="0.3" footer="0.3"/>
  <pageSetup paperSize="9"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46"/>
  <sheetViews>
    <sheetView topLeftCell="A4" zoomScale="85" zoomScaleNormal="85" workbookViewId="0">
      <selection activeCell="N24" sqref="N24"/>
    </sheetView>
  </sheetViews>
  <sheetFormatPr defaultColWidth="8.875" defaultRowHeight="13.5" x14ac:dyDescent="0.15"/>
  <cols>
    <col min="1" max="3" width="8.875" style="205"/>
    <col min="4" max="4" width="10.25" style="205" bestFit="1" customWidth="1"/>
    <col min="5" max="5" width="9.625" style="205" bestFit="1" customWidth="1"/>
    <col min="6" max="16" width="8.875" style="205"/>
    <col min="17" max="17" width="8.875" style="214"/>
    <col min="18" max="19" width="8.875" style="205"/>
    <col min="20" max="20" width="8.875" style="214"/>
    <col min="21" max="21" width="8.875" style="205"/>
    <col min="22" max="22" width="8.875" style="214"/>
    <col min="23" max="32" width="8.875" style="205"/>
    <col min="33" max="33" width="19.625" style="205" bestFit="1" customWidth="1"/>
    <col min="34" max="259" width="8.875" style="205"/>
    <col min="260" max="260" width="10.5" style="205" bestFit="1" customWidth="1"/>
    <col min="261" max="261" width="9.625" style="205" bestFit="1" customWidth="1"/>
    <col min="262" max="515" width="8.875" style="205"/>
    <col min="516" max="516" width="10.5" style="205" bestFit="1" customWidth="1"/>
    <col min="517" max="517" width="9.625" style="205" bestFit="1" customWidth="1"/>
    <col min="518" max="771" width="8.875" style="205"/>
    <col min="772" max="772" width="10.5" style="205" bestFit="1" customWidth="1"/>
    <col min="773" max="773" width="9.625" style="205" bestFit="1" customWidth="1"/>
    <col min="774" max="1027" width="8.875" style="205"/>
    <col min="1028" max="1028" width="10.5" style="205" bestFit="1" customWidth="1"/>
    <col min="1029" max="1029" width="9.625" style="205" bestFit="1" customWidth="1"/>
    <col min="1030" max="1283" width="8.875" style="205"/>
    <col min="1284" max="1284" width="10.5" style="205" bestFit="1" customWidth="1"/>
    <col min="1285" max="1285" width="9.625" style="205" bestFit="1" customWidth="1"/>
    <col min="1286" max="1539" width="8.875" style="205"/>
    <col min="1540" max="1540" width="10.5" style="205" bestFit="1" customWidth="1"/>
    <col min="1541" max="1541" width="9.625" style="205" bestFit="1" customWidth="1"/>
    <col min="1542" max="1795" width="8.875" style="205"/>
    <col min="1796" max="1796" width="10.5" style="205" bestFit="1" customWidth="1"/>
    <col min="1797" max="1797" width="9.625" style="205" bestFit="1" customWidth="1"/>
    <col min="1798" max="2051" width="8.875" style="205"/>
    <col min="2052" max="2052" width="10.5" style="205" bestFit="1" customWidth="1"/>
    <col min="2053" max="2053" width="9.625" style="205" bestFit="1" customWidth="1"/>
    <col min="2054" max="2307" width="8.875" style="205"/>
    <col min="2308" max="2308" width="10.5" style="205" bestFit="1" customWidth="1"/>
    <col min="2309" max="2309" width="9.625" style="205" bestFit="1" customWidth="1"/>
    <col min="2310" max="2563" width="8.875" style="205"/>
    <col min="2564" max="2564" width="10.5" style="205" bestFit="1" customWidth="1"/>
    <col min="2565" max="2565" width="9.625" style="205" bestFit="1" customWidth="1"/>
    <col min="2566" max="2819" width="8.875" style="205"/>
    <col min="2820" max="2820" width="10.5" style="205" bestFit="1" customWidth="1"/>
    <col min="2821" max="2821" width="9.625" style="205" bestFit="1" customWidth="1"/>
    <col min="2822" max="3075" width="8.875" style="205"/>
    <col min="3076" max="3076" width="10.5" style="205" bestFit="1" customWidth="1"/>
    <col min="3077" max="3077" width="9.625" style="205" bestFit="1" customWidth="1"/>
    <col min="3078" max="3331" width="8.875" style="205"/>
    <col min="3332" max="3332" width="10.5" style="205" bestFit="1" customWidth="1"/>
    <col min="3333" max="3333" width="9.625" style="205" bestFit="1" customWidth="1"/>
    <col min="3334" max="3587" width="8.875" style="205"/>
    <col min="3588" max="3588" width="10.5" style="205" bestFit="1" customWidth="1"/>
    <col min="3589" max="3589" width="9.625" style="205" bestFit="1" customWidth="1"/>
    <col min="3590" max="3843" width="8.875" style="205"/>
    <col min="3844" max="3844" width="10.5" style="205" bestFit="1" customWidth="1"/>
    <col min="3845" max="3845" width="9.625" style="205" bestFit="1" customWidth="1"/>
    <col min="3846" max="4099" width="8.875" style="205"/>
    <col min="4100" max="4100" width="10.5" style="205" bestFit="1" customWidth="1"/>
    <col min="4101" max="4101" width="9.625" style="205" bestFit="1" customWidth="1"/>
    <col min="4102" max="4355" width="8.875" style="205"/>
    <col min="4356" max="4356" width="10.5" style="205" bestFit="1" customWidth="1"/>
    <col min="4357" max="4357" width="9.625" style="205" bestFit="1" customWidth="1"/>
    <col min="4358" max="4611" width="8.875" style="205"/>
    <col min="4612" max="4612" width="10.5" style="205" bestFit="1" customWidth="1"/>
    <col min="4613" max="4613" width="9.625" style="205" bestFit="1" customWidth="1"/>
    <col min="4614" max="4867" width="8.875" style="205"/>
    <col min="4868" max="4868" width="10.5" style="205" bestFit="1" customWidth="1"/>
    <col min="4869" max="4869" width="9.625" style="205" bestFit="1" customWidth="1"/>
    <col min="4870" max="5123" width="8.875" style="205"/>
    <col min="5124" max="5124" width="10.5" style="205" bestFit="1" customWidth="1"/>
    <col min="5125" max="5125" width="9.625" style="205" bestFit="1" customWidth="1"/>
    <col min="5126" max="5379" width="8.875" style="205"/>
    <col min="5380" max="5380" width="10.5" style="205" bestFit="1" customWidth="1"/>
    <col min="5381" max="5381" width="9.625" style="205" bestFit="1" customWidth="1"/>
    <col min="5382" max="5635" width="8.875" style="205"/>
    <col min="5636" max="5636" width="10.5" style="205" bestFit="1" customWidth="1"/>
    <col min="5637" max="5637" width="9.625" style="205" bestFit="1" customWidth="1"/>
    <col min="5638" max="5891" width="8.875" style="205"/>
    <col min="5892" max="5892" width="10.5" style="205" bestFit="1" customWidth="1"/>
    <col min="5893" max="5893" width="9.625" style="205" bestFit="1" customWidth="1"/>
    <col min="5894" max="6147" width="8.875" style="205"/>
    <col min="6148" max="6148" width="10.5" style="205" bestFit="1" customWidth="1"/>
    <col min="6149" max="6149" width="9.625" style="205" bestFit="1" customWidth="1"/>
    <col min="6150" max="6403" width="8.875" style="205"/>
    <col min="6404" max="6404" width="10.5" style="205" bestFit="1" customWidth="1"/>
    <col min="6405" max="6405" width="9.625" style="205" bestFit="1" customWidth="1"/>
    <col min="6406" max="6659" width="8.875" style="205"/>
    <col min="6660" max="6660" width="10.5" style="205" bestFit="1" customWidth="1"/>
    <col min="6661" max="6661" width="9.625" style="205" bestFit="1" customWidth="1"/>
    <col min="6662" max="6915" width="8.875" style="205"/>
    <col min="6916" max="6916" width="10.5" style="205" bestFit="1" customWidth="1"/>
    <col min="6917" max="6917" width="9.625" style="205" bestFit="1" customWidth="1"/>
    <col min="6918" max="7171" width="8.875" style="205"/>
    <col min="7172" max="7172" width="10.5" style="205" bestFit="1" customWidth="1"/>
    <col min="7173" max="7173" width="9.625" style="205" bestFit="1" customWidth="1"/>
    <col min="7174" max="7427" width="8.875" style="205"/>
    <col min="7428" max="7428" width="10.5" style="205" bestFit="1" customWidth="1"/>
    <col min="7429" max="7429" width="9.625" style="205" bestFit="1" customWidth="1"/>
    <col min="7430" max="7683" width="8.875" style="205"/>
    <col min="7684" max="7684" width="10.5" style="205" bestFit="1" customWidth="1"/>
    <col min="7685" max="7685" width="9.625" style="205" bestFit="1" customWidth="1"/>
    <col min="7686" max="7939" width="8.875" style="205"/>
    <col min="7940" max="7940" width="10.5" style="205" bestFit="1" customWidth="1"/>
    <col min="7941" max="7941" width="9.625" style="205" bestFit="1" customWidth="1"/>
    <col min="7942" max="8195" width="8.875" style="205"/>
    <col min="8196" max="8196" width="10.5" style="205" bestFit="1" customWidth="1"/>
    <col min="8197" max="8197" width="9.625" style="205" bestFit="1" customWidth="1"/>
    <col min="8198" max="8451" width="8.875" style="205"/>
    <col min="8452" max="8452" width="10.5" style="205" bestFit="1" customWidth="1"/>
    <col min="8453" max="8453" width="9.625" style="205" bestFit="1" customWidth="1"/>
    <col min="8454" max="8707" width="8.875" style="205"/>
    <col min="8708" max="8708" width="10.5" style="205" bestFit="1" customWidth="1"/>
    <col min="8709" max="8709" width="9.625" style="205" bestFit="1" customWidth="1"/>
    <col min="8710" max="8963" width="8.875" style="205"/>
    <col min="8964" max="8964" width="10.5" style="205" bestFit="1" customWidth="1"/>
    <col min="8965" max="8965" width="9.625" style="205" bestFit="1" customWidth="1"/>
    <col min="8966" max="9219" width="8.875" style="205"/>
    <col min="9220" max="9220" width="10.5" style="205" bestFit="1" customWidth="1"/>
    <col min="9221" max="9221" width="9.625" style="205" bestFit="1" customWidth="1"/>
    <col min="9222" max="9475" width="8.875" style="205"/>
    <col min="9476" max="9476" width="10.5" style="205" bestFit="1" customWidth="1"/>
    <col min="9477" max="9477" width="9.625" style="205" bestFit="1" customWidth="1"/>
    <col min="9478" max="9731" width="8.875" style="205"/>
    <col min="9732" max="9732" width="10.5" style="205" bestFit="1" customWidth="1"/>
    <col min="9733" max="9733" width="9.625" style="205" bestFit="1" customWidth="1"/>
    <col min="9734" max="9987" width="8.875" style="205"/>
    <col min="9988" max="9988" width="10.5" style="205" bestFit="1" customWidth="1"/>
    <col min="9989" max="9989" width="9.625" style="205" bestFit="1" customWidth="1"/>
    <col min="9990" max="10243" width="8.875" style="205"/>
    <col min="10244" max="10244" width="10.5" style="205" bestFit="1" customWidth="1"/>
    <col min="10245" max="10245" width="9.625" style="205" bestFit="1" customWidth="1"/>
    <col min="10246" max="10499" width="8.875" style="205"/>
    <col min="10500" max="10500" width="10.5" style="205" bestFit="1" customWidth="1"/>
    <col min="10501" max="10501" width="9.625" style="205" bestFit="1" customWidth="1"/>
    <col min="10502" max="10755" width="8.875" style="205"/>
    <col min="10756" max="10756" width="10.5" style="205" bestFit="1" customWidth="1"/>
    <col min="10757" max="10757" width="9.625" style="205" bestFit="1" customWidth="1"/>
    <col min="10758" max="11011" width="8.875" style="205"/>
    <col min="11012" max="11012" width="10.5" style="205" bestFit="1" customWidth="1"/>
    <col min="11013" max="11013" width="9.625" style="205" bestFit="1" customWidth="1"/>
    <col min="11014" max="11267" width="8.875" style="205"/>
    <col min="11268" max="11268" width="10.5" style="205" bestFit="1" customWidth="1"/>
    <col min="11269" max="11269" width="9.625" style="205" bestFit="1" customWidth="1"/>
    <col min="11270" max="11523" width="8.875" style="205"/>
    <col min="11524" max="11524" width="10.5" style="205" bestFit="1" customWidth="1"/>
    <col min="11525" max="11525" width="9.625" style="205" bestFit="1" customWidth="1"/>
    <col min="11526" max="11779" width="8.875" style="205"/>
    <col min="11780" max="11780" width="10.5" style="205" bestFit="1" customWidth="1"/>
    <col min="11781" max="11781" width="9.625" style="205" bestFit="1" customWidth="1"/>
    <col min="11782" max="12035" width="8.875" style="205"/>
    <col min="12036" max="12036" width="10.5" style="205" bestFit="1" customWidth="1"/>
    <col min="12037" max="12037" width="9.625" style="205" bestFit="1" customWidth="1"/>
    <col min="12038" max="12291" width="8.875" style="205"/>
    <col min="12292" max="12292" width="10.5" style="205" bestFit="1" customWidth="1"/>
    <col min="12293" max="12293" width="9.625" style="205" bestFit="1" customWidth="1"/>
    <col min="12294" max="12547" width="8.875" style="205"/>
    <col min="12548" max="12548" width="10.5" style="205" bestFit="1" customWidth="1"/>
    <col min="12549" max="12549" width="9.625" style="205" bestFit="1" customWidth="1"/>
    <col min="12550" max="12803" width="8.875" style="205"/>
    <col min="12804" max="12804" width="10.5" style="205" bestFit="1" customWidth="1"/>
    <col min="12805" max="12805" width="9.625" style="205" bestFit="1" customWidth="1"/>
    <col min="12806" max="13059" width="8.875" style="205"/>
    <col min="13060" max="13060" width="10.5" style="205" bestFit="1" customWidth="1"/>
    <col min="13061" max="13061" width="9.625" style="205" bestFit="1" customWidth="1"/>
    <col min="13062" max="13315" width="8.875" style="205"/>
    <col min="13316" max="13316" width="10.5" style="205" bestFit="1" customWidth="1"/>
    <col min="13317" max="13317" width="9.625" style="205" bestFit="1" customWidth="1"/>
    <col min="13318" max="13571" width="8.875" style="205"/>
    <col min="13572" max="13572" width="10.5" style="205" bestFit="1" customWidth="1"/>
    <col min="13573" max="13573" width="9.625" style="205" bestFit="1" customWidth="1"/>
    <col min="13574" max="13827" width="8.875" style="205"/>
    <col min="13828" max="13828" width="10.5" style="205" bestFit="1" customWidth="1"/>
    <col min="13829" max="13829" width="9.625" style="205" bestFit="1" customWidth="1"/>
    <col min="13830" max="14083" width="8.875" style="205"/>
    <col min="14084" max="14084" width="10.5" style="205" bestFit="1" customWidth="1"/>
    <col min="14085" max="14085" width="9.625" style="205" bestFit="1" customWidth="1"/>
    <col min="14086" max="14339" width="8.875" style="205"/>
    <col min="14340" max="14340" width="10.5" style="205" bestFit="1" customWidth="1"/>
    <col min="14341" max="14341" width="9.625" style="205" bestFit="1" customWidth="1"/>
    <col min="14342" max="14595" width="8.875" style="205"/>
    <col min="14596" max="14596" width="10.5" style="205" bestFit="1" customWidth="1"/>
    <col min="14597" max="14597" width="9.625" style="205" bestFit="1" customWidth="1"/>
    <col min="14598" max="14851" width="8.875" style="205"/>
    <col min="14852" max="14852" width="10.5" style="205" bestFit="1" customWidth="1"/>
    <col min="14853" max="14853" width="9.625" style="205" bestFit="1" customWidth="1"/>
    <col min="14854" max="15107" width="8.875" style="205"/>
    <col min="15108" max="15108" width="10.5" style="205" bestFit="1" customWidth="1"/>
    <col min="15109" max="15109" width="9.625" style="205" bestFit="1" customWidth="1"/>
    <col min="15110" max="15363" width="8.875" style="205"/>
    <col min="15364" max="15364" width="10.5" style="205" bestFit="1" customWidth="1"/>
    <col min="15365" max="15365" width="9.625" style="205" bestFit="1" customWidth="1"/>
    <col min="15366" max="15619" width="8.875" style="205"/>
    <col min="15620" max="15620" width="10.5" style="205" bestFit="1" customWidth="1"/>
    <col min="15621" max="15621" width="9.625" style="205" bestFit="1" customWidth="1"/>
    <col min="15622" max="15875" width="8.875" style="205"/>
    <col min="15876" max="15876" width="10.5" style="205" bestFit="1" customWidth="1"/>
    <col min="15877" max="15877" width="9.625" style="205" bestFit="1" customWidth="1"/>
    <col min="15878" max="16131" width="8.875" style="205"/>
    <col min="16132" max="16132" width="10.5" style="205" bestFit="1" customWidth="1"/>
    <col min="16133" max="16133" width="9.625" style="205" bestFit="1" customWidth="1"/>
    <col min="16134" max="16384" width="8.875" style="205"/>
  </cols>
  <sheetData>
    <row r="1" spans="1:53" ht="45" x14ac:dyDescent="0.15">
      <c r="A1" s="237" t="s">
        <v>0</v>
      </c>
      <c r="B1" s="199" t="s">
        <v>1</v>
      </c>
      <c r="C1" s="199" t="s">
        <v>157</v>
      </c>
      <c r="D1" s="200" t="s">
        <v>3</v>
      </c>
      <c r="E1" s="238" t="s">
        <v>4</v>
      </c>
      <c r="F1" s="238" t="s">
        <v>5</v>
      </c>
      <c r="G1" s="238" t="s">
        <v>6</v>
      </c>
      <c r="H1" s="238" t="s">
        <v>7</v>
      </c>
      <c r="I1" s="238" t="s">
        <v>8</v>
      </c>
      <c r="J1" s="238" t="s">
        <v>9</v>
      </c>
      <c r="K1" s="238" t="s">
        <v>10</v>
      </c>
      <c r="L1" s="200" t="s">
        <v>158</v>
      </c>
      <c r="M1" s="200" t="s">
        <v>12</v>
      </c>
      <c r="N1" s="200" t="s">
        <v>259</v>
      </c>
      <c r="O1" s="200" t="s">
        <v>159</v>
      </c>
      <c r="P1" s="200" t="s">
        <v>15</v>
      </c>
      <c r="Q1" s="201" t="s">
        <v>16</v>
      </c>
      <c r="R1" s="200" t="s">
        <v>17</v>
      </c>
      <c r="S1" s="200" t="s">
        <v>18</v>
      </c>
      <c r="T1" s="201" t="s">
        <v>19</v>
      </c>
      <c r="U1" s="202" t="s">
        <v>260</v>
      </c>
      <c r="V1" s="203" t="s">
        <v>20</v>
      </c>
      <c r="W1" s="200" t="s">
        <v>21</v>
      </c>
      <c r="X1" s="238" t="s">
        <v>22</v>
      </c>
      <c r="Y1" s="238" t="s">
        <v>23</v>
      </c>
      <c r="Z1" s="238" t="s">
        <v>24</v>
      </c>
      <c r="AA1" s="239" t="s">
        <v>25</v>
      </c>
      <c r="AB1" s="204" t="s">
        <v>160</v>
      </c>
      <c r="AE1" s="206" t="s">
        <v>0</v>
      </c>
      <c r="AF1" s="207"/>
      <c r="AG1" s="206" t="s">
        <v>4</v>
      </c>
      <c r="AH1" s="206" t="s">
        <v>5</v>
      </c>
      <c r="AI1" s="207"/>
      <c r="AJ1" s="206" t="s">
        <v>6</v>
      </c>
      <c r="AK1" s="207"/>
      <c r="AL1" s="208" t="s">
        <v>7</v>
      </c>
      <c r="AM1" s="207"/>
      <c r="AN1" s="208" t="s">
        <v>8</v>
      </c>
      <c r="AO1" s="207"/>
      <c r="AP1" s="208" t="s">
        <v>27</v>
      </c>
      <c r="AQ1" s="207"/>
      <c r="AR1" s="208" t="s">
        <v>10</v>
      </c>
      <c r="AS1" s="207"/>
      <c r="AT1" s="209" t="s">
        <v>28</v>
      </c>
      <c r="AU1" s="207"/>
      <c r="AV1" s="208" t="s">
        <v>29</v>
      </c>
      <c r="AX1" s="210" t="s">
        <v>161</v>
      </c>
      <c r="AY1" s="211" t="s">
        <v>162</v>
      </c>
      <c r="AZ1" s="211" t="s">
        <v>163</v>
      </c>
      <c r="BA1" s="212" t="s">
        <v>164</v>
      </c>
    </row>
    <row r="2" spans="1:53" x14ac:dyDescent="0.15">
      <c r="A2" s="205" t="s">
        <v>59</v>
      </c>
      <c r="B2" s="234" t="s">
        <v>333</v>
      </c>
      <c r="C2" s="149">
        <v>2018</v>
      </c>
      <c r="D2" s="150" t="s">
        <v>358</v>
      </c>
      <c r="E2" s="205" t="s">
        <v>440</v>
      </c>
      <c r="F2" s="205" t="s">
        <v>299</v>
      </c>
      <c r="G2" s="205" t="s">
        <v>36</v>
      </c>
      <c r="H2" s="205" t="s">
        <v>166</v>
      </c>
      <c r="I2" s="205" t="s">
        <v>153</v>
      </c>
      <c r="J2" s="205" t="s">
        <v>38</v>
      </c>
      <c r="K2" s="205" t="s">
        <v>154</v>
      </c>
      <c r="L2" s="205">
        <v>1</v>
      </c>
      <c r="N2" s="205">
        <v>4</v>
      </c>
      <c r="O2" s="205">
        <v>0.32</v>
      </c>
      <c r="P2" s="205">
        <v>0.34</v>
      </c>
      <c r="Q2" s="242">
        <f>IF(OR(O2="",P2=""),"",AVERAGE(O2,P2))</f>
        <v>0.33</v>
      </c>
      <c r="R2" s="205">
        <v>15.1</v>
      </c>
      <c r="S2" s="205">
        <v>126</v>
      </c>
      <c r="T2" s="214">
        <f t="shared" ref="T2:T67" si="0">IF(H2="","",IF(OR(H2="GREEN",H2="GK"),IF(S2&gt;=$AX$2,VLOOKUP(S2,$AX$2:$AY$12,2,1),""),IF(S2&gt;=$AZ$2,VLOOKUP(S2,$AZ$2:$BA$12,2,1),"")))</f>
        <v>30</v>
      </c>
      <c r="U2" s="205">
        <v>480</v>
      </c>
      <c r="V2" s="214">
        <f t="shared" ref="V2:V65" si="1">IF(J2="","",IF(OR(J2="GREEN",J2="GK"),IF(U2&gt;=$AX$2,VLOOKUP(U2,$AX$2:$AY$12,2,1),""),IF(U2&gt;=$AZ$2,VLOOKUP(U2,$AZ$2:$BA$12,2,1),"")))</f>
        <v>16</v>
      </c>
      <c r="W2" s="205">
        <v>4</v>
      </c>
      <c r="X2" s="205" t="s">
        <v>39</v>
      </c>
      <c r="Y2" s="205" t="s">
        <v>84</v>
      </c>
      <c r="Z2" s="205" t="s">
        <v>90</v>
      </c>
      <c r="AA2" s="205" t="s">
        <v>270</v>
      </c>
      <c r="AB2" s="234" t="s">
        <v>441</v>
      </c>
      <c r="AE2" s="215" t="s">
        <v>35</v>
      </c>
      <c r="AG2" s="151" t="s">
        <v>306</v>
      </c>
      <c r="AH2" s="152" t="s">
        <v>298</v>
      </c>
      <c r="AJ2" s="245" t="s">
        <v>36</v>
      </c>
      <c r="AL2" s="216" t="s">
        <v>127</v>
      </c>
      <c r="AN2" s="153" t="s">
        <v>442</v>
      </c>
      <c r="AP2" s="216" t="s">
        <v>38</v>
      </c>
      <c r="AR2" s="216" t="s">
        <v>443</v>
      </c>
      <c r="AT2" s="245" t="s">
        <v>39</v>
      </c>
      <c r="AV2" s="221" t="s">
        <v>55</v>
      </c>
      <c r="AX2" s="154">
        <v>1</v>
      </c>
      <c r="AY2" s="155">
        <v>50</v>
      </c>
      <c r="AZ2" s="155">
        <v>1</v>
      </c>
      <c r="BA2" s="156">
        <v>50</v>
      </c>
    </row>
    <row r="3" spans="1:53" x14ac:dyDescent="0.15">
      <c r="A3" s="205" t="s">
        <v>59</v>
      </c>
      <c r="B3" s="234" t="s">
        <v>444</v>
      </c>
      <c r="C3" s="149">
        <v>2018</v>
      </c>
      <c r="D3" s="150" t="s">
        <v>445</v>
      </c>
      <c r="E3" s="205" t="s">
        <v>446</v>
      </c>
      <c r="F3" s="205" t="s">
        <v>299</v>
      </c>
      <c r="G3" s="205" t="s">
        <v>36</v>
      </c>
      <c r="H3" s="205" t="s">
        <v>166</v>
      </c>
      <c r="I3" s="205" t="s">
        <v>153</v>
      </c>
      <c r="J3" s="205" t="s">
        <v>38</v>
      </c>
      <c r="K3" s="205" t="s">
        <v>154</v>
      </c>
      <c r="L3" s="205">
        <v>2</v>
      </c>
      <c r="N3" s="205">
        <v>4</v>
      </c>
      <c r="O3" s="205">
        <v>0.45</v>
      </c>
      <c r="P3" s="205">
        <v>0.4</v>
      </c>
      <c r="Q3" s="242">
        <f t="shared" ref="Q3:Q67" si="2">IF(OR(O3="",P3=""),"",AVERAGE(O3,P3))</f>
        <v>0.42500000000000004</v>
      </c>
      <c r="R3" s="205">
        <v>14.7</v>
      </c>
      <c r="S3" s="205">
        <v>120</v>
      </c>
      <c r="T3" s="214">
        <f t="shared" si="0"/>
        <v>30</v>
      </c>
      <c r="U3" s="205">
        <v>480</v>
      </c>
      <c r="V3" s="214">
        <f t="shared" si="1"/>
        <v>16</v>
      </c>
      <c r="W3" s="205">
        <v>4</v>
      </c>
      <c r="X3" s="205" t="s">
        <v>39</v>
      </c>
      <c r="Y3" s="205" t="s">
        <v>84</v>
      </c>
      <c r="Z3" s="205" t="s">
        <v>90</v>
      </c>
      <c r="AA3" s="205" t="s">
        <v>270</v>
      </c>
      <c r="AB3" s="234" t="s">
        <v>441</v>
      </c>
      <c r="AE3" s="220" t="s">
        <v>41</v>
      </c>
      <c r="AG3" s="151" t="s">
        <v>307</v>
      </c>
      <c r="AH3" s="152" t="s">
        <v>299</v>
      </c>
      <c r="AJ3" s="221" t="s">
        <v>42</v>
      </c>
      <c r="AL3" s="221" t="s">
        <v>128</v>
      </c>
      <c r="AN3" s="221" t="s">
        <v>43</v>
      </c>
      <c r="AP3" s="221" t="s">
        <v>44</v>
      </c>
      <c r="AR3" s="235" t="s">
        <v>45</v>
      </c>
      <c r="AT3" s="221" t="s">
        <v>46</v>
      </c>
      <c r="AV3" s="221" t="s">
        <v>447</v>
      </c>
      <c r="AX3" s="222">
        <v>72</v>
      </c>
      <c r="AY3" s="223">
        <v>46</v>
      </c>
      <c r="AZ3" s="223">
        <v>71</v>
      </c>
      <c r="BA3" s="224">
        <v>42</v>
      </c>
    </row>
    <row r="4" spans="1:53" x14ac:dyDescent="0.15">
      <c r="A4" s="205" t="s">
        <v>59</v>
      </c>
      <c r="B4" s="234" t="s">
        <v>448</v>
      </c>
      <c r="C4" s="149">
        <v>2018</v>
      </c>
      <c r="D4" s="150" t="s">
        <v>449</v>
      </c>
      <c r="E4" s="205" t="s">
        <v>450</v>
      </c>
      <c r="F4" s="205" t="s">
        <v>299</v>
      </c>
      <c r="G4" s="205" t="s">
        <v>36</v>
      </c>
      <c r="H4" s="205" t="s">
        <v>166</v>
      </c>
      <c r="I4" s="205" t="s">
        <v>451</v>
      </c>
      <c r="J4" s="205" t="s">
        <v>38</v>
      </c>
      <c r="K4" s="205" t="s">
        <v>154</v>
      </c>
      <c r="L4" s="205">
        <v>3</v>
      </c>
      <c r="N4" s="205">
        <v>4</v>
      </c>
      <c r="O4" s="205">
        <v>0.42</v>
      </c>
      <c r="P4" s="205">
        <v>0.38</v>
      </c>
      <c r="Q4" s="242">
        <f t="shared" si="2"/>
        <v>0.4</v>
      </c>
      <c r="R4" s="205">
        <v>15.1</v>
      </c>
      <c r="S4" s="205">
        <v>124</v>
      </c>
      <c r="T4" s="214">
        <f t="shared" si="0"/>
        <v>30</v>
      </c>
      <c r="U4" s="205">
        <v>480</v>
      </c>
      <c r="V4" s="214">
        <f t="shared" si="1"/>
        <v>16</v>
      </c>
      <c r="W4" s="205">
        <v>4</v>
      </c>
      <c r="X4" s="205" t="s">
        <v>39</v>
      </c>
      <c r="Y4" s="205" t="s">
        <v>84</v>
      </c>
      <c r="Z4" s="205" t="s">
        <v>90</v>
      </c>
      <c r="AA4" s="205" t="s">
        <v>270</v>
      </c>
      <c r="AB4" s="234" t="s">
        <v>441</v>
      </c>
      <c r="AE4" s="220" t="s">
        <v>34</v>
      </c>
      <c r="AG4" s="151" t="s">
        <v>308</v>
      </c>
      <c r="AH4" s="152" t="s">
        <v>300</v>
      </c>
      <c r="AJ4" s="225" t="s">
        <v>48</v>
      </c>
      <c r="AL4" s="225" t="s">
        <v>129</v>
      </c>
      <c r="AN4" s="226" t="s">
        <v>49</v>
      </c>
      <c r="AP4" s="221" t="s">
        <v>452</v>
      </c>
      <c r="AR4" s="235" t="s">
        <v>261</v>
      </c>
      <c r="AT4" s="226"/>
      <c r="AV4" s="221" t="s">
        <v>453</v>
      </c>
      <c r="AX4" s="222">
        <v>75</v>
      </c>
      <c r="AY4" s="223">
        <v>42</v>
      </c>
      <c r="AZ4" s="223">
        <v>76</v>
      </c>
      <c r="BA4" s="224">
        <v>39</v>
      </c>
    </row>
    <row r="5" spans="1:53" x14ac:dyDescent="0.15">
      <c r="A5" s="205" t="s">
        <v>59</v>
      </c>
      <c r="B5" s="234" t="s">
        <v>448</v>
      </c>
      <c r="C5" s="149">
        <v>2018</v>
      </c>
      <c r="D5" s="150" t="s">
        <v>449</v>
      </c>
      <c r="E5" s="205" t="s">
        <v>450</v>
      </c>
      <c r="F5" s="205" t="s">
        <v>299</v>
      </c>
      <c r="G5" s="205" t="s">
        <v>36</v>
      </c>
      <c r="H5" s="205" t="s">
        <v>155</v>
      </c>
      <c r="I5" s="205" t="s">
        <v>153</v>
      </c>
      <c r="J5" s="205" t="s">
        <v>38</v>
      </c>
      <c r="K5" s="205" t="s">
        <v>154</v>
      </c>
      <c r="L5" s="205">
        <v>1</v>
      </c>
      <c r="N5" s="205">
        <v>4</v>
      </c>
      <c r="O5" s="205">
        <v>0.8</v>
      </c>
      <c r="P5" s="205">
        <v>0.77</v>
      </c>
      <c r="Q5" s="242">
        <f t="shared" si="2"/>
        <v>0.78500000000000003</v>
      </c>
      <c r="R5" s="205">
        <v>14.2</v>
      </c>
      <c r="S5" s="205">
        <v>134</v>
      </c>
      <c r="T5" s="214">
        <f t="shared" si="0"/>
        <v>30</v>
      </c>
      <c r="U5" s="205">
        <v>298</v>
      </c>
      <c r="V5" s="214">
        <f t="shared" si="1"/>
        <v>16</v>
      </c>
      <c r="W5" s="205">
        <v>4</v>
      </c>
      <c r="X5" s="205" t="s">
        <v>39</v>
      </c>
      <c r="Y5" s="205" t="s">
        <v>84</v>
      </c>
      <c r="Z5" s="205" t="s">
        <v>90</v>
      </c>
      <c r="AA5" s="205" t="s">
        <v>270</v>
      </c>
      <c r="AB5" s="234" t="s">
        <v>441</v>
      </c>
      <c r="AE5" s="220" t="s">
        <v>51</v>
      </c>
      <c r="AG5" s="151" t="s">
        <v>262</v>
      </c>
      <c r="AH5" s="152" t="s">
        <v>301</v>
      </c>
      <c r="AJ5" s="226"/>
      <c r="AL5" s="227" t="s">
        <v>454</v>
      </c>
      <c r="AN5" s="72" t="s">
        <v>455</v>
      </c>
      <c r="AP5" s="221" t="s">
        <v>456</v>
      </c>
      <c r="AR5" s="235" t="s">
        <v>54</v>
      </c>
      <c r="AV5" s="221" t="s">
        <v>457</v>
      </c>
      <c r="AX5" s="222">
        <v>84</v>
      </c>
      <c r="AY5" s="223">
        <v>39</v>
      </c>
      <c r="AZ5" s="223">
        <v>84</v>
      </c>
      <c r="BA5" s="224">
        <v>36</v>
      </c>
    </row>
    <row r="6" spans="1:53" x14ac:dyDescent="0.15">
      <c r="A6" s="205" t="s">
        <v>59</v>
      </c>
      <c r="B6" s="234" t="s">
        <v>448</v>
      </c>
      <c r="C6" s="149">
        <v>2018</v>
      </c>
      <c r="D6" s="150" t="s">
        <v>476</v>
      </c>
      <c r="E6" s="205" t="s">
        <v>450</v>
      </c>
      <c r="F6" s="205" t="s">
        <v>299</v>
      </c>
      <c r="G6" s="205" t="s">
        <v>36</v>
      </c>
      <c r="H6" s="205" t="s">
        <v>155</v>
      </c>
      <c r="I6" s="205" t="s">
        <v>153</v>
      </c>
      <c r="J6" s="205" t="s">
        <v>38</v>
      </c>
      <c r="K6" s="205" t="s">
        <v>154</v>
      </c>
      <c r="L6" s="205">
        <v>2</v>
      </c>
      <c r="N6" s="205">
        <v>4</v>
      </c>
      <c r="O6" s="205">
        <v>0.68</v>
      </c>
      <c r="P6" s="205">
        <v>0.6</v>
      </c>
      <c r="Q6" s="242">
        <f t="shared" si="2"/>
        <v>0.64</v>
      </c>
      <c r="R6" s="205">
        <v>14.4</v>
      </c>
      <c r="S6" s="205">
        <v>130</v>
      </c>
      <c r="T6" s="214">
        <f t="shared" si="0"/>
        <v>30</v>
      </c>
      <c r="U6" s="205">
        <v>298</v>
      </c>
      <c r="V6" s="214">
        <f t="shared" si="1"/>
        <v>16</v>
      </c>
      <c r="W6" s="205">
        <v>4</v>
      </c>
      <c r="X6" s="205" t="s">
        <v>39</v>
      </c>
      <c r="Y6" s="205" t="s">
        <v>84</v>
      </c>
      <c r="Z6" s="205" t="s">
        <v>90</v>
      </c>
      <c r="AA6" s="205" t="s">
        <v>270</v>
      </c>
      <c r="AB6" s="234" t="s">
        <v>441</v>
      </c>
      <c r="AE6" s="220" t="s">
        <v>56</v>
      </c>
      <c r="AG6" s="151" t="s">
        <v>309</v>
      </c>
      <c r="AH6" s="152" t="s">
        <v>302</v>
      </c>
      <c r="AL6" s="227" t="s">
        <v>458</v>
      </c>
      <c r="AN6" s="227" t="s">
        <v>459</v>
      </c>
      <c r="AP6" s="221" t="s">
        <v>53</v>
      </c>
      <c r="AR6" s="235" t="s">
        <v>171</v>
      </c>
      <c r="AV6" s="221" t="s">
        <v>60</v>
      </c>
      <c r="AX6" s="222">
        <v>97</v>
      </c>
      <c r="AY6" s="223">
        <v>36</v>
      </c>
      <c r="AZ6" s="223">
        <v>99</v>
      </c>
      <c r="BA6" s="224">
        <v>33</v>
      </c>
    </row>
    <row r="7" spans="1:53" x14ac:dyDescent="0.15">
      <c r="A7" s="205" t="s">
        <v>59</v>
      </c>
      <c r="B7" s="234" t="s">
        <v>370</v>
      </c>
      <c r="C7" s="149">
        <v>2018</v>
      </c>
      <c r="D7" s="150" t="s">
        <v>476</v>
      </c>
      <c r="E7" s="205" t="s">
        <v>460</v>
      </c>
      <c r="F7" s="205" t="s">
        <v>299</v>
      </c>
      <c r="G7" s="205" t="s">
        <v>36</v>
      </c>
      <c r="H7" s="205" t="s">
        <v>461</v>
      </c>
      <c r="I7" s="205" t="s">
        <v>153</v>
      </c>
      <c r="J7" s="205" t="s">
        <v>38</v>
      </c>
      <c r="K7" s="205" t="s">
        <v>154</v>
      </c>
      <c r="L7" s="205">
        <v>3</v>
      </c>
      <c r="N7" s="205">
        <v>4</v>
      </c>
      <c r="O7" s="205">
        <v>0.77</v>
      </c>
      <c r="P7" s="205">
        <v>0.67</v>
      </c>
      <c r="Q7" s="242">
        <f t="shared" si="2"/>
        <v>0.72</v>
      </c>
      <c r="R7" s="205">
        <v>14.1</v>
      </c>
      <c r="S7" s="205">
        <v>136</v>
      </c>
      <c r="T7" s="214">
        <f t="shared" si="0"/>
        <v>30</v>
      </c>
      <c r="U7" s="205">
        <v>298</v>
      </c>
      <c r="V7" s="214">
        <f t="shared" si="1"/>
        <v>16</v>
      </c>
      <c r="W7" s="205">
        <v>4</v>
      </c>
      <c r="X7" s="205" t="s">
        <v>39</v>
      </c>
      <c r="Y7" s="205" t="s">
        <v>84</v>
      </c>
      <c r="Z7" s="205" t="s">
        <v>90</v>
      </c>
      <c r="AA7" s="205" t="s">
        <v>270</v>
      </c>
      <c r="AB7" s="234" t="s">
        <v>441</v>
      </c>
      <c r="AE7" s="220" t="s">
        <v>61</v>
      </c>
      <c r="AG7" s="151" t="s">
        <v>310</v>
      </c>
      <c r="AH7" s="152" t="s">
        <v>303</v>
      </c>
      <c r="AL7" s="232" t="s">
        <v>462</v>
      </c>
      <c r="AP7" s="221" t="s">
        <v>58</v>
      </c>
      <c r="AR7" s="228" t="s">
        <v>263</v>
      </c>
      <c r="AV7" s="221" t="s">
        <v>64</v>
      </c>
      <c r="AX7" s="222">
        <v>109</v>
      </c>
      <c r="AY7" s="223">
        <v>33</v>
      </c>
      <c r="AZ7" s="223">
        <v>113</v>
      </c>
      <c r="BA7" s="224">
        <v>30</v>
      </c>
    </row>
    <row r="8" spans="1:53" x14ac:dyDescent="0.15">
      <c r="A8" s="205" t="s">
        <v>59</v>
      </c>
      <c r="B8" s="234" t="s">
        <v>463</v>
      </c>
      <c r="C8" s="149">
        <v>2018</v>
      </c>
      <c r="D8" s="150" t="s">
        <v>476</v>
      </c>
      <c r="E8" s="205" t="s">
        <v>464</v>
      </c>
      <c r="F8" s="205" t="s">
        <v>299</v>
      </c>
      <c r="G8" s="205" t="s">
        <v>36</v>
      </c>
      <c r="H8" s="205" t="s">
        <v>128</v>
      </c>
      <c r="I8" s="205" t="s">
        <v>153</v>
      </c>
      <c r="J8" s="205" t="s">
        <v>264</v>
      </c>
      <c r="K8" s="205" t="s">
        <v>261</v>
      </c>
      <c r="L8" s="205">
        <v>1</v>
      </c>
      <c r="N8" s="205">
        <v>4</v>
      </c>
      <c r="O8" s="205">
        <v>0.56000000000000005</v>
      </c>
      <c r="P8" s="205">
        <v>0.57999999999999996</v>
      </c>
      <c r="Q8" s="242">
        <f t="shared" si="2"/>
        <v>0.57000000000000006</v>
      </c>
      <c r="R8" s="205">
        <v>15.9</v>
      </c>
      <c r="S8" s="205">
        <v>120</v>
      </c>
      <c r="T8" s="214">
        <f t="shared" si="0"/>
        <v>30</v>
      </c>
      <c r="U8" s="205">
        <v>480</v>
      </c>
      <c r="V8" s="214">
        <f t="shared" si="1"/>
        <v>16</v>
      </c>
      <c r="W8" s="205">
        <v>2</v>
      </c>
      <c r="X8" s="205" t="s">
        <v>39</v>
      </c>
      <c r="Y8" s="205" t="s">
        <v>84</v>
      </c>
      <c r="Z8" s="205" t="s">
        <v>90</v>
      </c>
      <c r="AA8" s="205" t="s">
        <v>270</v>
      </c>
      <c r="AB8" s="234" t="s">
        <v>441</v>
      </c>
      <c r="AE8" s="220" t="s">
        <v>51</v>
      </c>
      <c r="AG8" s="151" t="s">
        <v>262</v>
      </c>
      <c r="AH8" s="152" t="s">
        <v>301</v>
      </c>
      <c r="AJ8" s="226"/>
      <c r="AL8" s="227" t="s">
        <v>454</v>
      </c>
      <c r="AN8" s="72" t="s">
        <v>455</v>
      </c>
      <c r="AP8" s="221" t="s">
        <v>456</v>
      </c>
      <c r="AR8" s="235" t="s">
        <v>54</v>
      </c>
      <c r="AV8" s="221" t="s">
        <v>457</v>
      </c>
      <c r="AX8" s="222">
        <v>84</v>
      </c>
      <c r="AY8" s="223">
        <v>39</v>
      </c>
      <c r="AZ8" s="223">
        <v>84</v>
      </c>
      <c r="BA8" s="224">
        <v>36</v>
      </c>
    </row>
    <row r="9" spans="1:53" x14ac:dyDescent="0.15">
      <c r="A9" s="205" t="s">
        <v>59</v>
      </c>
      <c r="B9" s="234" t="s">
        <v>448</v>
      </c>
      <c r="C9" s="149">
        <v>2018</v>
      </c>
      <c r="D9" s="150" t="s">
        <v>476</v>
      </c>
      <c r="E9" s="205" t="s">
        <v>450</v>
      </c>
      <c r="F9" s="205" t="s">
        <v>299</v>
      </c>
      <c r="G9" s="205" t="s">
        <v>36</v>
      </c>
      <c r="H9" s="205" t="s">
        <v>128</v>
      </c>
      <c r="I9" s="205" t="s">
        <v>153</v>
      </c>
      <c r="J9" s="205" t="s">
        <v>264</v>
      </c>
      <c r="K9" s="205" t="s">
        <v>261</v>
      </c>
      <c r="L9" s="205">
        <v>2</v>
      </c>
      <c r="N9" s="205">
        <v>4</v>
      </c>
      <c r="O9" s="205">
        <v>0.55000000000000004</v>
      </c>
      <c r="P9" s="205">
        <v>0.56999999999999995</v>
      </c>
      <c r="Q9" s="242">
        <f t="shared" si="2"/>
        <v>0.56000000000000005</v>
      </c>
      <c r="R9" s="205">
        <v>16</v>
      </c>
      <c r="S9" s="205">
        <v>126</v>
      </c>
      <c r="T9" s="214">
        <f t="shared" si="0"/>
        <v>30</v>
      </c>
      <c r="U9" s="205">
        <v>480</v>
      </c>
      <c r="V9" s="214">
        <f t="shared" si="1"/>
        <v>16</v>
      </c>
      <c r="W9" s="205">
        <v>2</v>
      </c>
      <c r="X9" s="205" t="s">
        <v>39</v>
      </c>
      <c r="Y9" s="205" t="s">
        <v>84</v>
      </c>
      <c r="Z9" s="205" t="s">
        <v>90</v>
      </c>
      <c r="AA9" s="205" t="s">
        <v>270</v>
      </c>
      <c r="AB9" s="234" t="s">
        <v>441</v>
      </c>
      <c r="AE9" s="220" t="s">
        <v>56</v>
      </c>
      <c r="AG9" s="151" t="s">
        <v>309</v>
      </c>
      <c r="AH9" s="152" t="s">
        <v>302</v>
      </c>
      <c r="AL9" s="227" t="s">
        <v>458</v>
      </c>
      <c r="AN9" s="227" t="s">
        <v>459</v>
      </c>
      <c r="AP9" s="221" t="s">
        <v>53</v>
      </c>
      <c r="AR9" s="235" t="s">
        <v>171</v>
      </c>
      <c r="AV9" s="221" t="s">
        <v>60</v>
      </c>
      <c r="AX9" s="222">
        <v>97</v>
      </c>
      <c r="AY9" s="223">
        <v>36</v>
      </c>
      <c r="AZ9" s="223">
        <v>99</v>
      </c>
      <c r="BA9" s="224">
        <v>33</v>
      </c>
    </row>
    <row r="10" spans="1:53" x14ac:dyDescent="0.15">
      <c r="A10" s="205" t="s">
        <v>59</v>
      </c>
      <c r="B10" s="234" t="s">
        <v>370</v>
      </c>
      <c r="C10" s="149">
        <v>2018</v>
      </c>
      <c r="D10" s="150" t="s">
        <v>476</v>
      </c>
      <c r="E10" s="205" t="s">
        <v>460</v>
      </c>
      <c r="F10" s="205" t="s">
        <v>299</v>
      </c>
      <c r="G10" s="205" t="s">
        <v>36</v>
      </c>
      <c r="H10" s="205" t="s">
        <v>128</v>
      </c>
      <c r="I10" s="205" t="s">
        <v>153</v>
      </c>
      <c r="J10" s="205" t="s">
        <v>264</v>
      </c>
      <c r="K10" s="205" t="s">
        <v>261</v>
      </c>
      <c r="L10" s="205">
        <v>3</v>
      </c>
      <c r="N10" s="205">
        <v>4</v>
      </c>
      <c r="O10" s="205">
        <v>0.56000000000000005</v>
      </c>
      <c r="P10" s="205">
        <v>0.56000000000000005</v>
      </c>
      <c r="Q10" s="242">
        <f t="shared" si="2"/>
        <v>0.56000000000000005</v>
      </c>
      <c r="R10" s="205">
        <v>16.2</v>
      </c>
      <c r="S10" s="205">
        <v>133</v>
      </c>
      <c r="T10" s="214">
        <f t="shared" si="0"/>
        <v>30</v>
      </c>
      <c r="U10" s="205">
        <v>480</v>
      </c>
      <c r="V10" s="214">
        <f t="shared" si="1"/>
        <v>16</v>
      </c>
      <c r="W10" s="205">
        <v>2</v>
      </c>
      <c r="X10" s="205" t="s">
        <v>39</v>
      </c>
      <c r="Y10" s="205" t="s">
        <v>84</v>
      </c>
      <c r="Z10" s="205" t="s">
        <v>90</v>
      </c>
      <c r="AA10" s="205" t="s">
        <v>270</v>
      </c>
      <c r="AB10" s="234" t="s">
        <v>441</v>
      </c>
      <c r="AE10" s="220" t="s">
        <v>61</v>
      </c>
      <c r="AG10" s="151" t="s">
        <v>310</v>
      </c>
      <c r="AH10" s="152" t="s">
        <v>303</v>
      </c>
      <c r="AL10" s="232" t="s">
        <v>462</v>
      </c>
      <c r="AP10" s="221" t="s">
        <v>58</v>
      </c>
      <c r="AR10" s="228" t="s">
        <v>263</v>
      </c>
      <c r="AV10" s="221" t="s">
        <v>64</v>
      </c>
      <c r="AX10" s="222">
        <v>109</v>
      </c>
      <c r="AY10" s="223">
        <v>33</v>
      </c>
      <c r="AZ10" s="223">
        <v>113</v>
      </c>
      <c r="BA10" s="224">
        <v>30</v>
      </c>
    </row>
    <row r="11" spans="1:53" x14ac:dyDescent="0.15">
      <c r="A11" s="205" t="s">
        <v>59</v>
      </c>
      <c r="B11" s="234" t="s">
        <v>463</v>
      </c>
      <c r="C11" s="149">
        <v>2018</v>
      </c>
      <c r="D11" s="150" t="s">
        <v>476</v>
      </c>
      <c r="E11" s="205" t="s">
        <v>306</v>
      </c>
      <c r="F11" s="205" t="s">
        <v>298</v>
      </c>
      <c r="G11" s="205" t="s">
        <v>36</v>
      </c>
      <c r="H11" s="205" t="s">
        <v>155</v>
      </c>
      <c r="I11" s="205" t="s">
        <v>153</v>
      </c>
      <c r="J11" s="205" t="s">
        <v>38</v>
      </c>
      <c r="K11" s="205" t="s">
        <v>154</v>
      </c>
      <c r="L11" s="205">
        <v>1</v>
      </c>
      <c r="N11" s="205">
        <v>4</v>
      </c>
      <c r="O11" s="205">
        <v>0.56000000000000005</v>
      </c>
      <c r="P11" s="205">
        <v>0.63</v>
      </c>
      <c r="Q11" s="242">
        <f t="shared" si="2"/>
        <v>0.59499999999999997</v>
      </c>
      <c r="R11" s="205">
        <v>14.9</v>
      </c>
      <c r="S11" s="205">
        <v>107</v>
      </c>
      <c r="T11" s="214">
        <f t="shared" si="0"/>
        <v>33</v>
      </c>
      <c r="U11" s="205">
        <v>297</v>
      </c>
      <c r="V11" s="214">
        <f t="shared" si="1"/>
        <v>16</v>
      </c>
      <c r="W11" s="205">
        <v>5</v>
      </c>
      <c r="X11" s="205" t="s">
        <v>39</v>
      </c>
      <c r="Y11" s="205" t="s">
        <v>84</v>
      </c>
      <c r="Z11" s="205" t="s">
        <v>90</v>
      </c>
      <c r="AA11" s="205" t="s">
        <v>270</v>
      </c>
      <c r="AB11" s="234" t="s">
        <v>441</v>
      </c>
      <c r="AE11" s="220" t="s">
        <v>65</v>
      </c>
      <c r="AG11" s="157" t="s">
        <v>314</v>
      </c>
      <c r="AH11" s="152" t="s">
        <v>305</v>
      </c>
      <c r="AL11" s="88"/>
      <c r="AP11" s="221" t="s">
        <v>264</v>
      </c>
      <c r="AR11" s="228" t="s">
        <v>265</v>
      </c>
      <c r="AV11" s="221" t="s">
        <v>465</v>
      </c>
      <c r="AX11" s="222">
        <v>151</v>
      </c>
      <c r="AY11" s="223">
        <v>22</v>
      </c>
      <c r="AZ11" s="223">
        <v>152</v>
      </c>
      <c r="BA11" s="224">
        <v>18</v>
      </c>
    </row>
    <row r="12" spans="1:53" x14ac:dyDescent="0.15">
      <c r="A12" s="205" t="s">
        <v>59</v>
      </c>
      <c r="B12" s="234" t="s">
        <v>466</v>
      </c>
      <c r="C12" s="149">
        <v>2018</v>
      </c>
      <c r="D12" s="150" t="s">
        <v>476</v>
      </c>
      <c r="E12" s="205" t="s">
        <v>306</v>
      </c>
      <c r="F12" s="205" t="s">
        <v>298</v>
      </c>
      <c r="G12" s="205" t="s">
        <v>36</v>
      </c>
      <c r="H12" s="205" t="s">
        <v>155</v>
      </c>
      <c r="I12" s="205" t="s">
        <v>153</v>
      </c>
      <c r="J12" s="205" t="s">
        <v>38</v>
      </c>
      <c r="K12" s="205" t="s">
        <v>154</v>
      </c>
      <c r="L12" s="205">
        <v>2</v>
      </c>
      <c r="N12" s="205">
        <v>4</v>
      </c>
      <c r="O12" s="205">
        <v>0.6</v>
      </c>
      <c r="P12" s="205">
        <v>0.69</v>
      </c>
      <c r="Q12" s="242">
        <f t="shared" si="2"/>
        <v>0.64500000000000002</v>
      </c>
      <c r="R12" s="205">
        <v>14.2</v>
      </c>
      <c r="S12" s="205">
        <v>98</v>
      </c>
      <c r="T12" s="214">
        <f t="shared" si="0"/>
        <v>36</v>
      </c>
      <c r="U12" s="205">
        <v>297</v>
      </c>
      <c r="V12" s="214">
        <f t="shared" si="1"/>
        <v>16</v>
      </c>
      <c r="W12" s="205">
        <v>5</v>
      </c>
      <c r="X12" s="205" t="s">
        <v>39</v>
      </c>
      <c r="Y12" s="205" t="s">
        <v>84</v>
      </c>
      <c r="Z12" s="205" t="s">
        <v>90</v>
      </c>
      <c r="AA12" s="205" t="s">
        <v>270</v>
      </c>
      <c r="AB12" s="234" t="s">
        <v>441</v>
      </c>
      <c r="AE12" s="220" t="s">
        <v>70</v>
      </c>
      <c r="AG12" s="228"/>
      <c r="AH12" s="158"/>
      <c r="AL12" s="88"/>
      <c r="AP12" s="221" t="s">
        <v>67</v>
      </c>
      <c r="AR12" s="228" t="s">
        <v>124</v>
      </c>
      <c r="AV12" s="221" t="s">
        <v>72</v>
      </c>
      <c r="AX12" s="229">
        <v>180</v>
      </c>
      <c r="AY12" s="230">
        <v>18</v>
      </c>
      <c r="AZ12" s="230">
        <v>181</v>
      </c>
      <c r="BA12" s="231">
        <v>16</v>
      </c>
    </row>
    <row r="13" spans="1:53" x14ac:dyDescent="0.15">
      <c r="A13" s="205" t="s">
        <v>59</v>
      </c>
      <c r="B13" s="234" t="s">
        <v>374</v>
      </c>
      <c r="C13" s="149">
        <v>2018</v>
      </c>
      <c r="D13" s="150" t="s">
        <v>476</v>
      </c>
      <c r="E13" s="205" t="s">
        <v>306</v>
      </c>
      <c r="F13" s="205" t="s">
        <v>298</v>
      </c>
      <c r="G13" s="205" t="s">
        <v>36</v>
      </c>
      <c r="H13" s="205" t="s">
        <v>155</v>
      </c>
      <c r="I13" s="205" t="s">
        <v>153</v>
      </c>
      <c r="J13" s="205" t="s">
        <v>38</v>
      </c>
      <c r="K13" s="205" t="s">
        <v>154</v>
      </c>
      <c r="L13" s="205">
        <v>3</v>
      </c>
      <c r="N13" s="205">
        <v>4</v>
      </c>
      <c r="O13" s="205">
        <v>0.63</v>
      </c>
      <c r="P13" s="205">
        <v>0.65</v>
      </c>
      <c r="Q13" s="242">
        <f t="shared" si="2"/>
        <v>0.64</v>
      </c>
      <c r="R13" s="205">
        <v>14.3</v>
      </c>
      <c r="S13" s="205">
        <v>94</v>
      </c>
      <c r="T13" s="214">
        <f t="shared" si="0"/>
        <v>36</v>
      </c>
      <c r="U13" s="205">
        <v>297</v>
      </c>
      <c r="V13" s="214">
        <f t="shared" si="1"/>
        <v>16</v>
      </c>
      <c r="W13" s="205">
        <v>5</v>
      </c>
      <c r="X13" s="205" t="s">
        <v>39</v>
      </c>
      <c r="Y13" s="205" t="s">
        <v>84</v>
      </c>
      <c r="Z13" s="205" t="s">
        <v>90</v>
      </c>
      <c r="AA13" s="205" t="s">
        <v>270</v>
      </c>
      <c r="AB13" s="234" t="s">
        <v>441</v>
      </c>
      <c r="AE13" s="220" t="s">
        <v>73</v>
      </c>
      <c r="AG13" s="221"/>
      <c r="AH13" s="221"/>
      <c r="AP13" s="221" t="s">
        <v>71</v>
      </c>
      <c r="AR13" s="228" t="s">
        <v>103</v>
      </c>
      <c r="AV13" s="221" t="s">
        <v>75</v>
      </c>
    </row>
    <row r="14" spans="1:53" x14ac:dyDescent="0.15">
      <c r="A14" s="205" t="s">
        <v>59</v>
      </c>
      <c r="B14" s="234" t="s">
        <v>376</v>
      </c>
      <c r="C14" s="149">
        <v>2018</v>
      </c>
      <c r="D14" s="150" t="s">
        <v>476</v>
      </c>
      <c r="E14" s="205" t="s">
        <v>306</v>
      </c>
      <c r="F14" s="205" t="s">
        <v>298</v>
      </c>
      <c r="G14" s="205" t="s">
        <v>36</v>
      </c>
      <c r="H14" s="205" t="s">
        <v>128</v>
      </c>
      <c r="I14" s="205" t="s">
        <v>153</v>
      </c>
      <c r="J14" s="205" t="s">
        <v>80</v>
      </c>
      <c r="K14" s="205" t="s">
        <v>126</v>
      </c>
      <c r="L14" s="205">
        <v>1</v>
      </c>
      <c r="N14" s="205">
        <v>6</v>
      </c>
      <c r="O14" s="205">
        <v>0.62</v>
      </c>
      <c r="P14" s="205">
        <v>0.85</v>
      </c>
      <c r="Q14" s="242">
        <f t="shared" si="2"/>
        <v>0.73499999999999999</v>
      </c>
      <c r="R14" s="205">
        <v>15.5</v>
      </c>
      <c r="S14" s="205">
        <v>86</v>
      </c>
      <c r="T14" s="214">
        <f t="shared" si="0"/>
        <v>36</v>
      </c>
      <c r="U14" s="205">
        <v>397</v>
      </c>
      <c r="V14" s="214">
        <f t="shared" si="1"/>
        <v>16</v>
      </c>
      <c r="W14" s="205">
        <v>2</v>
      </c>
      <c r="X14" s="205" t="s">
        <v>39</v>
      </c>
      <c r="Y14" s="205" t="s">
        <v>84</v>
      </c>
      <c r="Z14" s="205" t="s">
        <v>90</v>
      </c>
      <c r="AA14" s="205" t="s">
        <v>270</v>
      </c>
      <c r="AB14" s="234" t="s">
        <v>441</v>
      </c>
      <c r="AE14" s="220" t="s">
        <v>76</v>
      </c>
      <c r="AG14" s="221"/>
      <c r="AH14" s="221"/>
      <c r="AP14" s="221" t="s">
        <v>266</v>
      </c>
      <c r="AR14" s="228" t="s">
        <v>125</v>
      </c>
      <c r="AV14" s="221" t="s">
        <v>78</v>
      </c>
    </row>
    <row r="15" spans="1:53" x14ac:dyDescent="0.15">
      <c r="A15" s="205" t="s">
        <v>59</v>
      </c>
      <c r="B15" s="234" t="s">
        <v>448</v>
      </c>
      <c r="C15" s="149">
        <v>2018</v>
      </c>
      <c r="D15" s="150" t="s">
        <v>476</v>
      </c>
      <c r="E15" s="205" t="s">
        <v>306</v>
      </c>
      <c r="F15" s="205" t="s">
        <v>298</v>
      </c>
      <c r="G15" s="205" t="s">
        <v>36</v>
      </c>
      <c r="H15" s="205" t="s">
        <v>128</v>
      </c>
      <c r="I15" s="205" t="s">
        <v>153</v>
      </c>
      <c r="J15" s="205" t="s">
        <v>80</v>
      </c>
      <c r="K15" s="205" t="s">
        <v>126</v>
      </c>
      <c r="L15" s="205">
        <v>2</v>
      </c>
      <c r="N15" s="205">
        <v>6</v>
      </c>
      <c r="O15" s="205">
        <v>0.46</v>
      </c>
      <c r="P15" s="205">
        <v>0.52</v>
      </c>
      <c r="Q15" s="242">
        <f t="shared" si="2"/>
        <v>0.49</v>
      </c>
      <c r="R15" s="205">
        <v>15.7</v>
      </c>
      <c r="S15" s="205">
        <v>94</v>
      </c>
      <c r="T15" s="214">
        <f t="shared" si="0"/>
        <v>36</v>
      </c>
      <c r="U15" s="205">
        <v>397</v>
      </c>
      <c r="V15" s="214">
        <f t="shared" si="1"/>
        <v>16</v>
      </c>
      <c r="W15" s="205">
        <v>2</v>
      </c>
      <c r="X15" s="205" t="s">
        <v>39</v>
      </c>
      <c r="Y15" s="205" t="s">
        <v>84</v>
      </c>
      <c r="Z15" s="205" t="s">
        <v>90</v>
      </c>
      <c r="AA15" s="205" t="s">
        <v>270</v>
      </c>
      <c r="AB15" s="234" t="s">
        <v>441</v>
      </c>
      <c r="AE15" s="220" t="s">
        <v>79</v>
      </c>
      <c r="AG15" s="221"/>
      <c r="AH15" s="221"/>
      <c r="AP15" s="221" t="s">
        <v>267</v>
      </c>
      <c r="AR15" s="228" t="s">
        <v>94</v>
      </c>
      <c r="AV15" s="221" t="s">
        <v>107</v>
      </c>
    </row>
    <row r="16" spans="1:53" x14ac:dyDescent="0.15">
      <c r="A16" s="205" t="s">
        <v>59</v>
      </c>
      <c r="B16" s="234" t="s">
        <v>380</v>
      </c>
      <c r="C16" s="149">
        <v>2018</v>
      </c>
      <c r="D16" s="150" t="s">
        <v>476</v>
      </c>
      <c r="E16" s="205" t="s">
        <v>306</v>
      </c>
      <c r="F16" s="205" t="s">
        <v>298</v>
      </c>
      <c r="G16" s="205" t="s">
        <v>36</v>
      </c>
      <c r="H16" s="205" t="s">
        <v>128</v>
      </c>
      <c r="I16" s="205" t="s">
        <v>153</v>
      </c>
      <c r="J16" s="205" t="s">
        <v>80</v>
      </c>
      <c r="K16" s="205" t="s">
        <v>126</v>
      </c>
      <c r="L16" s="205">
        <v>3</v>
      </c>
      <c r="N16" s="205">
        <v>6</v>
      </c>
      <c r="O16" s="205">
        <v>0.63</v>
      </c>
      <c r="P16" s="205">
        <v>0.56999999999999995</v>
      </c>
      <c r="Q16" s="242">
        <f t="shared" si="2"/>
        <v>0.6</v>
      </c>
      <c r="R16" s="205">
        <v>15.4</v>
      </c>
      <c r="S16" s="205">
        <v>82</v>
      </c>
      <c r="T16" s="214">
        <f t="shared" si="0"/>
        <v>39</v>
      </c>
      <c r="U16" s="205">
        <v>397</v>
      </c>
      <c r="V16" s="214">
        <f t="shared" si="1"/>
        <v>16</v>
      </c>
      <c r="W16" s="205">
        <v>2</v>
      </c>
      <c r="X16" s="205" t="s">
        <v>39</v>
      </c>
      <c r="Y16" s="205" t="s">
        <v>84</v>
      </c>
      <c r="Z16" s="205" t="s">
        <v>90</v>
      </c>
      <c r="AA16" s="205" t="s">
        <v>270</v>
      </c>
      <c r="AB16" s="234" t="s">
        <v>441</v>
      </c>
      <c r="AE16" s="220" t="s">
        <v>82</v>
      </c>
      <c r="AG16" s="226"/>
      <c r="AH16" s="226"/>
      <c r="AP16" s="221" t="s">
        <v>80</v>
      </c>
      <c r="AR16" s="235" t="s">
        <v>63</v>
      </c>
      <c r="AV16" s="221" t="s">
        <v>84</v>
      </c>
    </row>
    <row r="17" spans="1:48" x14ac:dyDescent="0.15">
      <c r="A17" s="205" t="s">
        <v>59</v>
      </c>
      <c r="B17" s="234" t="s">
        <v>448</v>
      </c>
      <c r="C17" s="149">
        <v>2018</v>
      </c>
      <c r="D17" s="150" t="s">
        <v>476</v>
      </c>
      <c r="E17" s="205" t="s">
        <v>262</v>
      </c>
      <c r="F17" s="205" t="s">
        <v>301</v>
      </c>
      <c r="G17" s="205" t="s">
        <v>36</v>
      </c>
      <c r="H17" s="205" t="s">
        <v>166</v>
      </c>
      <c r="I17" s="205" t="s">
        <v>153</v>
      </c>
      <c r="J17" s="205" t="s">
        <v>38</v>
      </c>
      <c r="K17" s="205" t="s">
        <v>154</v>
      </c>
      <c r="L17" s="205">
        <v>1</v>
      </c>
      <c r="N17" s="205">
        <v>3</v>
      </c>
      <c r="O17" s="205">
        <v>0.48</v>
      </c>
      <c r="P17" s="205">
        <v>0.46</v>
      </c>
      <c r="Q17" s="242">
        <f t="shared" si="2"/>
        <v>0.47</v>
      </c>
      <c r="R17" s="205">
        <v>14.7</v>
      </c>
      <c r="S17" s="205">
        <v>130</v>
      </c>
      <c r="T17" s="214">
        <f t="shared" si="0"/>
        <v>30</v>
      </c>
      <c r="U17" s="205">
        <v>399</v>
      </c>
      <c r="V17" s="214">
        <f t="shared" si="1"/>
        <v>16</v>
      </c>
      <c r="W17" s="205">
        <v>4</v>
      </c>
      <c r="X17" s="205" t="s">
        <v>39</v>
      </c>
      <c r="Y17" s="205" t="s">
        <v>84</v>
      </c>
      <c r="Z17" s="205" t="s">
        <v>90</v>
      </c>
      <c r="AA17" s="205" t="s">
        <v>270</v>
      </c>
      <c r="AB17" s="234" t="s">
        <v>441</v>
      </c>
      <c r="AE17" s="220" t="s">
        <v>85</v>
      </c>
      <c r="AP17" s="236" t="s">
        <v>110</v>
      </c>
      <c r="AR17" s="235" t="s">
        <v>96</v>
      </c>
      <c r="AV17" s="221" t="s">
        <v>86</v>
      </c>
    </row>
    <row r="18" spans="1:48" x14ac:dyDescent="0.15">
      <c r="A18" s="205" t="s">
        <v>59</v>
      </c>
      <c r="B18" s="234" t="s">
        <v>448</v>
      </c>
      <c r="C18" s="149">
        <v>2018</v>
      </c>
      <c r="D18" s="150" t="s">
        <v>476</v>
      </c>
      <c r="E18" s="205" t="s">
        <v>262</v>
      </c>
      <c r="F18" s="205" t="s">
        <v>301</v>
      </c>
      <c r="G18" s="205" t="s">
        <v>36</v>
      </c>
      <c r="H18" s="205" t="s">
        <v>166</v>
      </c>
      <c r="I18" s="205" t="s">
        <v>153</v>
      </c>
      <c r="J18" s="205" t="s">
        <v>38</v>
      </c>
      <c r="K18" s="205" t="s">
        <v>154</v>
      </c>
      <c r="L18" s="205">
        <v>2</v>
      </c>
      <c r="N18" s="205">
        <v>3</v>
      </c>
      <c r="O18" s="205">
        <v>0.45</v>
      </c>
      <c r="P18" s="205">
        <v>0.46</v>
      </c>
      <c r="Q18" s="242">
        <f t="shared" si="2"/>
        <v>0.45500000000000002</v>
      </c>
      <c r="R18" s="205">
        <v>14.9</v>
      </c>
      <c r="S18" s="205">
        <v>123</v>
      </c>
      <c r="T18" s="214">
        <f t="shared" si="0"/>
        <v>30</v>
      </c>
      <c r="U18" s="205">
        <v>399</v>
      </c>
      <c r="V18" s="214">
        <f t="shared" si="1"/>
        <v>16</v>
      </c>
      <c r="W18" s="205">
        <v>4</v>
      </c>
      <c r="X18" s="205" t="s">
        <v>39</v>
      </c>
      <c r="Y18" s="205" t="s">
        <v>84</v>
      </c>
      <c r="Z18" s="205" t="s">
        <v>90</v>
      </c>
      <c r="AA18" s="205" t="s">
        <v>270</v>
      </c>
      <c r="AB18" s="234" t="s">
        <v>441</v>
      </c>
      <c r="AE18" s="220" t="s">
        <v>87</v>
      </c>
      <c r="AP18" s="236" t="s">
        <v>269</v>
      </c>
      <c r="AR18" s="235" t="s">
        <v>101</v>
      </c>
      <c r="AV18" s="221" t="s">
        <v>88</v>
      </c>
    </row>
    <row r="19" spans="1:48" x14ac:dyDescent="0.15">
      <c r="A19" s="205" t="s">
        <v>59</v>
      </c>
      <c r="B19" s="234" t="s">
        <v>370</v>
      </c>
      <c r="C19" s="149">
        <v>2018</v>
      </c>
      <c r="D19" s="150" t="s">
        <v>476</v>
      </c>
      <c r="E19" s="205" t="s">
        <v>262</v>
      </c>
      <c r="F19" s="205" t="s">
        <v>301</v>
      </c>
      <c r="G19" s="205" t="s">
        <v>36</v>
      </c>
      <c r="H19" s="205" t="s">
        <v>166</v>
      </c>
      <c r="I19" s="205" t="s">
        <v>153</v>
      </c>
      <c r="J19" s="205" t="s">
        <v>38</v>
      </c>
      <c r="K19" s="205" t="s">
        <v>154</v>
      </c>
      <c r="L19" s="205">
        <v>3</v>
      </c>
      <c r="N19" s="205">
        <v>3</v>
      </c>
      <c r="O19" s="205">
        <v>0.49</v>
      </c>
      <c r="P19" s="205">
        <v>0.44</v>
      </c>
      <c r="Q19" s="242">
        <f t="shared" si="2"/>
        <v>0.46499999999999997</v>
      </c>
      <c r="R19" s="205">
        <v>15.5</v>
      </c>
      <c r="S19" s="205">
        <v>124</v>
      </c>
      <c r="T19" s="214">
        <f t="shared" si="0"/>
        <v>30</v>
      </c>
      <c r="U19" s="205">
        <v>399</v>
      </c>
      <c r="V19" s="214">
        <f t="shared" si="1"/>
        <v>16</v>
      </c>
      <c r="W19" s="205">
        <v>4</v>
      </c>
      <c r="X19" s="205" t="s">
        <v>39</v>
      </c>
      <c r="Y19" s="205" t="s">
        <v>84</v>
      </c>
      <c r="Z19" s="205" t="s">
        <v>90</v>
      </c>
      <c r="AA19" s="205" t="s">
        <v>270</v>
      </c>
      <c r="AB19" s="234" t="s">
        <v>441</v>
      </c>
      <c r="AD19" s="234"/>
      <c r="AE19" s="233" t="s">
        <v>89</v>
      </c>
      <c r="AP19" s="236" t="s">
        <v>112</v>
      </c>
      <c r="AR19" s="228" t="s">
        <v>126</v>
      </c>
      <c r="AV19" s="221" t="s">
        <v>270</v>
      </c>
    </row>
    <row r="20" spans="1:48" x14ac:dyDescent="0.15">
      <c r="A20" s="205" t="s">
        <v>59</v>
      </c>
      <c r="B20" s="234" t="s">
        <v>448</v>
      </c>
      <c r="C20" s="149">
        <v>2018</v>
      </c>
      <c r="D20" s="150" t="s">
        <v>476</v>
      </c>
      <c r="E20" s="205" t="s">
        <v>262</v>
      </c>
      <c r="F20" s="205" t="s">
        <v>301</v>
      </c>
      <c r="G20" s="205" t="s">
        <v>36</v>
      </c>
      <c r="H20" s="205" t="s">
        <v>155</v>
      </c>
      <c r="I20" s="205" t="s">
        <v>153</v>
      </c>
      <c r="J20" s="205" t="s">
        <v>38</v>
      </c>
      <c r="K20" s="205" t="s">
        <v>154</v>
      </c>
      <c r="L20" s="205">
        <v>1</v>
      </c>
      <c r="N20" s="205">
        <v>4</v>
      </c>
      <c r="O20" s="205">
        <v>0.23</v>
      </c>
      <c r="P20" s="205">
        <v>0.24</v>
      </c>
      <c r="Q20" s="242">
        <f t="shared" si="2"/>
        <v>0.23499999999999999</v>
      </c>
      <c r="R20" s="205">
        <v>13.6</v>
      </c>
      <c r="S20" s="205">
        <v>100</v>
      </c>
      <c r="T20" s="214">
        <f t="shared" si="0"/>
        <v>33</v>
      </c>
      <c r="U20" s="205">
        <v>350</v>
      </c>
      <c r="V20" s="214">
        <f t="shared" si="1"/>
        <v>16</v>
      </c>
      <c r="W20" s="205">
        <v>4</v>
      </c>
      <c r="X20" s="205" t="s">
        <v>39</v>
      </c>
      <c r="Y20" s="205" t="s">
        <v>84</v>
      </c>
      <c r="Z20" s="205" t="s">
        <v>90</v>
      </c>
      <c r="AA20" s="205" t="s">
        <v>270</v>
      </c>
      <c r="AB20" s="234" t="s">
        <v>441</v>
      </c>
      <c r="AD20" s="234"/>
      <c r="AE20" s="233"/>
      <c r="AP20" s="236" t="s">
        <v>113</v>
      </c>
      <c r="AR20" s="235" t="s">
        <v>105</v>
      </c>
      <c r="AV20" s="225" t="s">
        <v>467</v>
      </c>
    </row>
    <row r="21" spans="1:48" x14ac:dyDescent="0.15">
      <c r="A21" s="205" t="s">
        <v>59</v>
      </c>
      <c r="B21" s="234" t="s">
        <v>448</v>
      </c>
      <c r="C21" s="149">
        <v>2018</v>
      </c>
      <c r="D21" s="150" t="s">
        <v>476</v>
      </c>
      <c r="E21" s="205" t="s">
        <v>262</v>
      </c>
      <c r="F21" s="205" t="s">
        <v>301</v>
      </c>
      <c r="G21" s="205" t="s">
        <v>36</v>
      </c>
      <c r="H21" s="205" t="s">
        <v>155</v>
      </c>
      <c r="I21" s="205" t="s">
        <v>153</v>
      </c>
      <c r="J21" s="205" t="s">
        <v>38</v>
      </c>
      <c r="K21" s="205" t="s">
        <v>154</v>
      </c>
      <c r="L21" s="205">
        <v>2</v>
      </c>
      <c r="N21" s="205">
        <v>4</v>
      </c>
      <c r="O21" s="205">
        <v>0.44</v>
      </c>
      <c r="P21" s="205">
        <v>0.32</v>
      </c>
      <c r="Q21" s="242">
        <f t="shared" si="2"/>
        <v>0.38</v>
      </c>
      <c r="R21" s="205">
        <v>14.5</v>
      </c>
      <c r="S21" s="205">
        <v>100</v>
      </c>
      <c r="T21" s="214">
        <f t="shared" si="0"/>
        <v>33</v>
      </c>
      <c r="U21" s="205">
        <v>350</v>
      </c>
      <c r="V21" s="214">
        <f t="shared" si="1"/>
        <v>16</v>
      </c>
      <c r="W21" s="205">
        <v>4</v>
      </c>
      <c r="X21" s="205" t="s">
        <v>39</v>
      </c>
      <c r="Y21" s="205" t="s">
        <v>84</v>
      </c>
      <c r="Z21" s="205" t="s">
        <v>90</v>
      </c>
      <c r="AA21" s="205" t="s">
        <v>270</v>
      </c>
      <c r="AB21" s="234" t="s">
        <v>441</v>
      </c>
      <c r="AD21" s="234"/>
      <c r="AE21" s="226"/>
      <c r="AP21" s="236" t="s">
        <v>271</v>
      </c>
      <c r="AR21" s="235" t="s">
        <v>68</v>
      </c>
      <c r="AV21" s="225" t="s">
        <v>468</v>
      </c>
    </row>
    <row r="22" spans="1:48" x14ac:dyDescent="0.15">
      <c r="A22" s="205" t="s">
        <v>59</v>
      </c>
      <c r="B22" s="234" t="s">
        <v>448</v>
      </c>
      <c r="C22" s="149">
        <v>2018</v>
      </c>
      <c r="D22" s="150" t="s">
        <v>476</v>
      </c>
      <c r="E22" s="205" t="s">
        <v>262</v>
      </c>
      <c r="F22" s="205" t="s">
        <v>301</v>
      </c>
      <c r="G22" s="205" t="s">
        <v>36</v>
      </c>
      <c r="H22" s="205" t="s">
        <v>155</v>
      </c>
      <c r="I22" s="205" t="s">
        <v>153</v>
      </c>
      <c r="J22" s="205" t="s">
        <v>38</v>
      </c>
      <c r="K22" s="205" t="s">
        <v>154</v>
      </c>
      <c r="L22" s="205">
        <v>3</v>
      </c>
      <c r="N22" s="205">
        <v>4</v>
      </c>
      <c r="O22" s="205">
        <v>0.33</v>
      </c>
      <c r="P22" s="205">
        <v>0.41</v>
      </c>
      <c r="Q22" s="242">
        <f t="shared" si="2"/>
        <v>0.37</v>
      </c>
      <c r="R22" s="205">
        <v>14.2</v>
      </c>
      <c r="S22" s="205">
        <v>94</v>
      </c>
      <c r="T22" s="214">
        <f t="shared" si="0"/>
        <v>36</v>
      </c>
      <c r="U22" s="205">
        <v>350</v>
      </c>
      <c r="V22" s="214">
        <f t="shared" si="1"/>
        <v>16</v>
      </c>
      <c r="W22" s="205">
        <v>4</v>
      </c>
      <c r="X22" s="205" t="s">
        <v>39</v>
      </c>
      <c r="Y22" s="205" t="s">
        <v>84</v>
      </c>
      <c r="Z22" s="205" t="s">
        <v>90</v>
      </c>
      <c r="AA22" s="205" t="s">
        <v>270</v>
      </c>
      <c r="AB22" s="234" t="s">
        <v>441</v>
      </c>
      <c r="AD22" s="234"/>
      <c r="AP22" s="236" t="s">
        <v>268</v>
      </c>
      <c r="AR22" s="235" t="s">
        <v>83</v>
      </c>
      <c r="AV22" s="225" t="s">
        <v>272</v>
      </c>
    </row>
    <row r="23" spans="1:48" x14ac:dyDescent="0.15">
      <c r="A23" s="205" t="s">
        <v>59</v>
      </c>
      <c r="B23" s="234" t="s">
        <v>448</v>
      </c>
      <c r="C23" s="149">
        <v>2018</v>
      </c>
      <c r="D23" s="150" t="s">
        <v>476</v>
      </c>
      <c r="E23" s="205" t="s">
        <v>313</v>
      </c>
      <c r="F23" s="205" t="s">
        <v>301</v>
      </c>
      <c r="G23" s="205" t="s">
        <v>36</v>
      </c>
      <c r="H23" s="205" t="s">
        <v>155</v>
      </c>
      <c r="I23" s="205" t="s">
        <v>153</v>
      </c>
      <c r="J23" s="205" t="s">
        <v>38</v>
      </c>
      <c r="K23" s="205" t="s">
        <v>154</v>
      </c>
      <c r="L23" s="205">
        <v>1</v>
      </c>
      <c r="N23" s="205">
        <v>1</v>
      </c>
      <c r="O23" s="205">
        <v>0.6</v>
      </c>
      <c r="P23" s="205">
        <v>0.55000000000000004</v>
      </c>
      <c r="Q23" s="242">
        <f t="shared" si="2"/>
        <v>0.57499999999999996</v>
      </c>
      <c r="R23" s="205">
        <v>15.3</v>
      </c>
      <c r="S23" s="205">
        <v>129</v>
      </c>
      <c r="T23" s="214">
        <f t="shared" si="0"/>
        <v>30</v>
      </c>
      <c r="U23" s="205">
        <v>95</v>
      </c>
      <c r="V23" s="214">
        <f t="shared" si="1"/>
        <v>36</v>
      </c>
      <c r="W23" s="205">
        <v>1</v>
      </c>
      <c r="X23" s="205" t="s">
        <v>46</v>
      </c>
      <c r="Y23" s="205" t="s">
        <v>84</v>
      </c>
      <c r="Z23" s="205" t="s">
        <v>90</v>
      </c>
      <c r="AA23" s="205" t="s">
        <v>172</v>
      </c>
      <c r="AB23" s="234" t="s">
        <v>441</v>
      </c>
      <c r="AP23" s="236" t="s">
        <v>469</v>
      </c>
      <c r="AR23" s="235" t="s">
        <v>61</v>
      </c>
      <c r="AV23" s="225" t="s">
        <v>470</v>
      </c>
    </row>
    <row r="24" spans="1:48" x14ac:dyDescent="0.15">
      <c r="A24" s="205" t="s">
        <v>59</v>
      </c>
      <c r="B24" s="234" t="s">
        <v>448</v>
      </c>
      <c r="C24" s="149">
        <v>2018</v>
      </c>
      <c r="D24" s="150" t="s">
        <v>476</v>
      </c>
      <c r="E24" s="205" t="s">
        <v>313</v>
      </c>
      <c r="F24" s="205" t="s">
        <v>301</v>
      </c>
      <c r="G24" s="205" t="s">
        <v>36</v>
      </c>
      <c r="H24" s="205" t="s">
        <v>155</v>
      </c>
      <c r="I24" s="205" t="s">
        <v>153</v>
      </c>
      <c r="J24" s="205" t="s">
        <v>38</v>
      </c>
      <c r="K24" s="205" t="s">
        <v>154</v>
      </c>
      <c r="L24" s="205">
        <v>2</v>
      </c>
      <c r="N24" s="205">
        <v>1</v>
      </c>
      <c r="O24" s="205">
        <v>0.5</v>
      </c>
      <c r="P24" s="205">
        <v>0.7</v>
      </c>
      <c r="Q24" s="242">
        <f t="shared" si="2"/>
        <v>0.6</v>
      </c>
      <c r="R24" s="205">
        <v>15.8</v>
      </c>
      <c r="S24" s="205">
        <v>139</v>
      </c>
      <c r="T24" s="214">
        <f t="shared" si="0"/>
        <v>30</v>
      </c>
      <c r="U24" s="205">
        <v>95</v>
      </c>
      <c r="V24" s="214">
        <f t="shared" si="1"/>
        <v>36</v>
      </c>
      <c r="W24" s="205">
        <v>1</v>
      </c>
      <c r="X24" s="205" t="s">
        <v>46</v>
      </c>
      <c r="Y24" s="205" t="s">
        <v>84</v>
      </c>
      <c r="Z24" s="205" t="s">
        <v>90</v>
      </c>
      <c r="AA24" s="205" t="s">
        <v>172</v>
      </c>
      <c r="AB24" s="234" t="s">
        <v>441</v>
      </c>
      <c r="AP24" s="236" t="s">
        <v>471</v>
      </c>
      <c r="AR24" s="235" t="s">
        <v>91</v>
      </c>
      <c r="AV24" s="225" t="s">
        <v>472</v>
      </c>
    </row>
    <row r="25" spans="1:48" x14ac:dyDescent="0.15">
      <c r="A25" s="205" t="s">
        <v>59</v>
      </c>
      <c r="B25" s="234" t="s">
        <v>448</v>
      </c>
      <c r="C25" s="149">
        <v>2018</v>
      </c>
      <c r="D25" s="150" t="s">
        <v>476</v>
      </c>
      <c r="E25" s="205" t="s">
        <v>313</v>
      </c>
      <c r="F25" s="205" t="s">
        <v>301</v>
      </c>
      <c r="G25" s="205" t="s">
        <v>36</v>
      </c>
      <c r="H25" s="205" t="s">
        <v>155</v>
      </c>
      <c r="I25" s="205" t="s">
        <v>153</v>
      </c>
      <c r="J25" s="205" t="s">
        <v>38</v>
      </c>
      <c r="K25" s="205" t="s">
        <v>154</v>
      </c>
      <c r="L25" s="205">
        <v>3</v>
      </c>
      <c r="N25" s="205">
        <v>1</v>
      </c>
      <c r="O25" s="205">
        <v>0.62</v>
      </c>
      <c r="P25" s="205">
        <v>0.55000000000000004</v>
      </c>
      <c r="Q25" s="242">
        <f t="shared" si="2"/>
        <v>0.58499999999999996</v>
      </c>
      <c r="R25" s="205">
        <v>15</v>
      </c>
      <c r="S25" s="205">
        <v>134</v>
      </c>
      <c r="T25" s="214">
        <f t="shared" si="0"/>
        <v>30</v>
      </c>
      <c r="U25" s="205">
        <v>95</v>
      </c>
      <c r="V25" s="214">
        <f t="shared" si="1"/>
        <v>36</v>
      </c>
      <c r="W25" s="205">
        <v>1</v>
      </c>
      <c r="X25" s="205" t="s">
        <v>46</v>
      </c>
      <c r="Y25" s="205" t="s">
        <v>84</v>
      </c>
      <c r="Z25" s="205" t="s">
        <v>90</v>
      </c>
      <c r="AA25" s="205" t="s">
        <v>172</v>
      </c>
      <c r="AB25" s="234" t="s">
        <v>441</v>
      </c>
      <c r="AP25" s="236" t="s">
        <v>469</v>
      </c>
      <c r="AR25" s="235" t="s">
        <v>61</v>
      </c>
      <c r="AV25" s="225" t="s">
        <v>470</v>
      </c>
    </row>
    <row r="26" spans="1:48" x14ac:dyDescent="0.15">
      <c r="A26" s="205" t="s">
        <v>59</v>
      </c>
      <c r="B26" s="234" t="s">
        <v>448</v>
      </c>
      <c r="C26" s="149">
        <v>2018</v>
      </c>
      <c r="D26" s="150" t="s">
        <v>476</v>
      </c>
      <c r="E26" s="205" t="s">
        <v>313</v>
      </c>
      <c r="F26" s="205" t="s">
        <v>301</v>
      </c>
      <c r="G26" s="205" t="s">
        <v>36</v>
      </c>
      <c r="H26" s="205" t="s">
        <v>128</v>
      </c>
      <c r="I26" s="205" t="s">
        <v>153</v>
      </c>
      <c r="J26" s="205" t="s">
        <v>67</v>
      </c>
      <c r="K26" s="205" t="s">
        <v>171</v>
      </c>
      <c r="L26" s="205">
        <v>1</v>
      </c>
      <c r="N26" s="205">
        <v>4</v>
      </c>
      <c r="O26" s="205">
        <v>0.2</v>
      </c>
      <c r="P26" s="205">
        <v>0.22</v>
      </c>
      <c r="Q26" s="242">
        <f t="shared" si="2"/>
        <v>0.21000000000000002</v>
      </c>
      <c r="R26" s="205">
        <v>16.899999999999999</v>
      </c>
      <c r="S26" s="205">
        <v>77</v>
      </c>
      <c r="T26" s="214">
        <f t="shared" si="0"/>
        <v>39</v>
      </c>
      <c r="U26" s="205">
        <v>321</v>
      </c>
      <c r="V26" s="214">
        <f t="shared" si="1"/>
        <v>16</v>
      </c>
      <c r="W26" s="205">
        <v>3</v>
      </c>
      <c r="X26" s="205" t="s">
        <v>46</v>
      </c>
      <c r="Y26" s="205" t="s">
        <v>84</v>
      </c>
      <c r="Z26" s="205" t="s">
        <v>90</v>
      </c>
      <c r="AA26" s="205" t="s">
        <v>172</v>
      </c>
      <c r="AB26" s="234" t="s">
        <v>473</v>
      </c>
      <c r="AP26" s="236" t="s">
        <v>386</v>
      </c>
      <c r="AR26" s="235" t="s">
        <v>91</v>
      </c>
      <c r="AV26" s="225" t="s">
        <v>474</v>
      </c>
    </row>
    <row r="27" spans="1:48" x14ac:dyDescent="0.15">
      <c r="A27" s="205" t="s">
        <v>59</v>
      </c>
      <c r="B27" s="234" t="s">
        <v>370</v>
      </c>
      <c r="C27" s="149">
        <v>2018</v>
      </c>
      <c r="D27" s="150" t="s">
        <v>476</v>
      </c>
      <c r="E27" s="205" t="s">
        <v>313</v>
      </c>
      <c r="F27" s="205" t="s">
        <v>301</v>
      </c>
      <c r="G27" s="205" t="s">
        <v>36</v>
      </c>
      <c r="H27" s="205" t="s">
        <v>128</v>
      </c>
      <c r="I27" s="205" t="s">
        <v>153</v>
      </c>
      <c r="J27" s="205" t="s">
        <v>67</v>
      </c>
      <c r="K27" s="205" t="s">
        <v>171</v>
      </c>
      <c r="L27" s="205">
        <v>2</v>
      </c>
      <c r="N27" s="205">
        <v>4</v>
      </c>
      <c r="O27" s="205">
        <v>0.23</v>
      </c>
      <c r="P27" s="205">
        <v>0.25</v>
      </c>
      <c r="Q27" s="242">
        <f t="shared" si="2"/>
        <v>0.24</v>
      </c>
      <c r="R27" s="205">
        <v>17.2</v>
      </c>
      <c r="S27" s="205">
        <v>82</v>
      </c>
      <c r="T27" s="214">
        <f t="shared" si="0"/>
        <v>39</v>
      </c>
      <c r="U27" s="205">
        <v>321</v>
      </c>
      <c r="V27" s="214">
        <f t="shared" si="1"/>
        <v>16</v>
      </c>
      <c r="W27" s="205">
        <v>3</v>
      </c>
      <c r="X27" s="205" t="s">
        <v>46</v>
      </c>
      <c r="Y27" s="205" t="s">
        <v>84</v>
      </c>
      <c r="Z27" s="205" t="s">
        <v>90</v>
      </c>
      <c r="AA27" s="205" t="s">
        <v>172</v>
      </c>
      <c r="AB27" s="234" t="s">
        <v>473</v>
      </c>
      <c r="AD27" s="234"/>
      <c r="AP27" s="236" t="s">
        <v>116</v>
      </c>
      <c r="AR27" s="42" t="s">
        <v>92</v>
      </c>
      <c r="AV27" s="225" t="s">
        <v>475</v>
      </c>
    </row>
    <row r="28" spans="1:48" x14ac:dyDescent="0.15">
      <c r="A28" s="205" t="s">
        <v>59</v>
      </c>
      <c r="B28" s="234" t="s">
        <v>370</v>
      </c>
      <c r="C28" s="149">
        <v>2018</v>
      </c>
      <c r="D28" s="150" t="s">
        <v>476</v>
      </c>
      <c r="E28" s="205" t="s">
        <v>313</v>
      </c>
      <c r="F28" s="205" t="s">
        <v>301</v>
      </c>
      <c r="G28" s="205" t="s">
        <v>36</v>
      </c>
      <c r="H28" s="205" t="s">
        <v>128</v>
      </c>
      <c r="I28" s="205" t="s">
        <v>153</v>
      </c>
      <c r="J28" s="205" t="s">
        <v>67</v>
      </c>
      <c r="K28" s="205" t="s">
        <v>171</v>
      </c>
      <c r="L28" s="205">
        <v>3</v>
      </c>
      <c r="N28" s="205">
        <v>4</v>
      </c>
      <c r="O28" s="205">
        <v>0.21</v>
      </c>
      <c r="P28" s="205">
        <v>0.21</v>
      </c>
      <c r="Q28" s="242">
        <f t="shared" si="2"/>
        <v>0.21</v>
      </c>
      <c r="R28" s="205">
        <v>15.9</v>
      </c>
      <c r="S28" s="205">
        <v>95</v>
      </c>
      <c r="T28" s="214">
        <f t="shared" si="0"/>
        <v>36</v>
      </c>
      <c r="U28" s="205">
        <v>321</v>
      </c>
      <c r="V28" s="214">
        <f t="shared" si="1"/>
        <v>16</v>
      </c>
      <c r="W28" s="205">
        <v>3</v>
      </c>
      <c r="X28" s="205" t="s">
        <v>46</v>
      </c>
      <c r="Y28" s="205" t="s">
        <v>84</v>
      </c>
      <c r="Z28" s="205" t="s">
        <v>90</v>
      </c>
      <c r="AA28" s="205" t="s">
        <v>172</v>
      </c>
      <c r="AB28" s="234" t="s">
        <v>473</v>
      </c>
      <c r="AD28" s="234"/>
      <c r="AV28" s="225"/>
    </row>
    <row r="29" spans="1:48" x14ac:dyDescent="0.15">
      <c r="A29" s="205" t="s">
        <v>59</v>
      </c>
      <c r="B29" s="234" t="s">
        <v>370</v>
      </c>
      <c r="C29" s="149">
        <v>2018</v>
      </c>
      <c r="D29" s="150" t="s">
        <v>476</v>
      </c>
      <c r="E29" s="205" t="s">
        <v>312</v>
      </c>
      <c r="F29" s="205" t="s">
        <v>304</v>
      </c>
      <c r="G29" s="205" t="s">
        <v>36</v>
      </c>
      <c r="H29" s="205" t="s">
        <v>166</v>
      </c>
      <c r="I29" s="205" t="s">
        <v>153</v>
      </c>
      <c r="J29" s="205" t="s">
        <v>38</v>
      </c>
      <c r="K29" s="205" t="s">
        <v>154</v>
      </c>
      <c r="L29" s="205">
        <v>1</v>
      </c>
      <c r="N29" s="205">
        <v>1</v>
      </c>
      <c r="O29" s="205">
        <v>0.35</v>
      </c>
      <c r="P29" s="205">
        <v>0.28999999999999998</v>
      </c>
      <c r="Q29" s="242">
        <f t="shared" si="2"/>
        <v>0.31999999999999995</v>
      </c>
      <c r="R29" s="205">
        <v>15.2</v>
      </c>
      <c r="S29" s="205">
        <v>126</v>
      </c>
      <c r="T29" s="214">
        <f t="shared" si="0"/>
        <v>30</v>
      </c>
      <c r="U29" s="205">
        <v>138</v>
      </c>
      <c r="V29" s="214">
        <f t="shared" si="1"/>
        <v>30</v>
      </c>
      <c r="W29" s="205">
        <v>2</v>
      </c>
      <c r="X29" s="205" t="s">
        <v>39</v>
      </c>
      <c r="Y29" s="205" t="s">
        <v>84</v>
      </c>
      <c r="Z29" s="205" t="s">
        <v>90</v>
      </c>
      <c r="AA29" s="205" t="s">
        <v>270</v>
      </c>
      <c r="AB29" s="234" t="s">
        <v>441</v>
      </c>
      <c r="AV29" s="225"/>
    </row>
    <row r="30" spans="1:48" x14ac:dyDescent="0.15">
      <c r="A30" s="205" t="s">
        <v>59</v>
      </c>
      <c r="B30" s="234" t="s">
        <v>448</v>
      </c>
      <c r="C30" s="149">
        <v>2018</v>
      </c>
      <c r="D30" s="150" t="s">
        <v>476</v>
      </c>
      <c r="E30" s="205" t="s">
        <v>312</v>
      </c>
      <c r="F30" s="205" t="s">
        <v>304</v>
      </c>
      <c r="G30" s="205" t="s">
        <v>36</v>
      </c>
      <c r="H30" s="205" t="s">
        <v>166</v>
      </c>
      <c r="I30" s="205" t="s">
        <v>153</v>
      </c>
      <c r="J30" s="205" t="s">
        <v>38</v>
      </c>
      <c r="K30" s="205" t="s">
        <v>154</v>
      </c>
      <c r="L30" s="205">
        <v>2</v>
      </c>
      <c r="N30" s="205">
        <v>1</v>
      </c>
      <c r="O30" s="205">
        <v>0.3</v>
      </c>
      <c r="P30" s="205">
        <v>0.28000000000000003</v>
      </c>
      <c r="Q30" s="242">
        <f t="shared" si="2"/>
        <v>0.29000000000000004</v>
      </c>
      <c r="R30" s="205">
        <v>15.4</v>
      </c>
      <c r="S30" s="205">
        <v>130</v>
      </c>
      <c r="T30" s="214">
        <f t="shared" si="0"/>
        <v>30</v>
      </c>
      <c r="U30" s="205">
        <v>138</v>
      </c>
      <c r="V30" s="214">
        <f t="shared" si="1"/>
        <v>30</v>
      </c>
      <c r="W30" s="205">
        <v>2</v>
      </c>
      <c r="X30" s="205" t="s">
        <v>39</v>
      </c>
      <c r="Y30" s="205" t="s">
        <v>84</v>
      </c>
      <c r="Z30" s="205" t="s">
        <v>90</v>
      </c>
      <c r="AA30" s="205" t="s">
        <v>270</v>
      </c>
      <c r="AB30" s="234" t="s">
        <v>441</v>
      </c>
      <c r="AV30" s="225"/>
    </row>
    <row r="31" spans="1:48" x14ac:dyDescent="0.15">
      <c r="A31" s="205" t="s">
        <v>59</v>
      </c>
      <c r="B31" s="234" t="s">
        <v>448</v>
      </c>
      <c r="C31" s="149">
        <v>2018</v>
      </c>
      <c r="D31" s="150" t="s">
        <v>476</v>
      </c>
      <c r="E31" s="205" t="s">
        <v>312</v>
      </c>
      <c r="F31" s="205" t="s">
        <v>304</v>
      </c>
      <c r="G31" s="205" t="s">
        <v>36</v>
      </c>
      <c r="H31" s="205" t="s">
        <v>166</v>
      </c>
      <c r="I31" s="205" t="s">
        <v>153</v>
      </c>
      <c r="J31" s="205" t="s">
        <v>38</v>
      </c>
      <c r="K31" s="205" t="s">
        <v>154</v>
      </c>
      <c r="L31" s="205">
        <v>3</v>
      </c>
      <c r="N31" s="205">
        <v>1</v>
      </c>
      <c r="O31" s="205">
        <v>0.27</v>
      </c>
      <c r="P31" s="205">
        <v>0.33</v>
      </c>
      <c r="Q31" s="242">
        <f t="shared" si="2"/>
        <v>0.30000000000000004</v>
      </c>
      <c r="R31" s="205">
        <v>15.5</v>
      </c>
      <c r="S31" s="205">
        <v>144</v>
      </c>
      <c r="T31" s="214">
        <f t="shared" si="0"/>
        <v>30</v>
      </c>
      <c r="U31" s="205">
        <v>138</v>
      </c>
      <c r="V31" s="214">
        <f t="shared" si="1"/>
        <v>30</v>
      </c>
      <c r="W31" s="205">
        <v>2</v>
      </c>
      <c r="X31" s="205" t="s">
        <v>39</v>
      </c>
      <c r="Y31" s="205" t="s">
        <v>84</v>
      </c>
      <c r="Z31" s="205" t="s">
        <v>90</v>
      </c>
      <c r="AA31" s="205" t="s">
        <v>270</v>
      </c>
      <c r="AB31" s="234" t="s">
        <v>441</v>
      </c>
      <c r="AV31" s="225"/>
    </row>
    <row r="32" spans="1:48" x14ac:dyDescent="0.15">
      <c r="A32" s="205" t="s">
        <v>59</v>
      </c>
      <c r="B32" s="234" t="s">
        <v>448</v>
      </c>
      <c r="C32" s="149">
        <v>2018</v>
      </c>
      <c r="D32" s="150" t="s">
        <v>476</v>
      </c>
      <c r="E32" s="205" t="s">
        <v>312</v>
      </c>
      <c r="F32" s="205" t="s">
        <v>304</v>
      </c>
      <c r="G32" s="205" t="s">
        <v>36</v>
      </c>
      <c r="H32" s="205" t="s">
        <v>155</v>
      </c>
      <c r="I32" s="205" t="s">
        <v>153</v>
      </c>
      <c r="J32" s="205" t="s">
        <v>38</v>
      </c>
      <c r="K32" s="205" t="s">
        <v>154</v>
      </c>
      <c r="L32" s="205">
        <v>1</v>
      </c>
      <c r="N32" s="205">
        <v>1</v>
      </c>
      <c r="O32" s="205">
        <v>0.56000000000000005</v>
      </c>
      <c r="P32" s="205">
        <v>0.63</v>
      </c>
      <c r="Q32" s="242">
        <f t="shared" si="2"/>
        <v>0.59499999999999997</v>
      </c>
      <c r="R32" s="205">
        <v>14</v>
      </c>
      <c r="S32" s="205">
        <v>123</v>
      </c>
      <c r="T32" s="214">
        <f t="shared" si="0"/>
        <v>30</v>
      </c>
      <c r="U32" s="205">
        <v>138</v>
      </c>
      <c r="V32" s="214">
        <f t="shared" si="1"/>
        <v>30</v>
      </c>
      <c r="W32" s="205">
        <v>2</v>
      </c>
      <c r="X32" s="205" t="s">
        <v>39</v>
      </c>
      <c r="Y32" s="205" t="s">
        <v>84</v>
      </c>
      <c r="Z32" s="205" t="s">
        <v>90</v>
      </c>
      <c r="AA32" s="205" t="s">
        <v>270</v>
      </c>
      <c r="AB32" s="234" t="s">
        <v>441</v>
      </c>
      <c r="AV32" s="225"/>
    </row>
    <row r="33" spans="1:48" x14ac:dyDescent="0.15">
      <c r="A33" s="205" t="s">
        <v>59</v>
      </c>
      <c r="B33" s="234" t="s">
        <v>448</v>
      </c>
      <c r="C33" s="149">
        <v>2018</v>
      </c>
      <c r="D33" s="150" t="s">
        <v>476</v>
      </c>
      <c r="E33" s="205" t="s">
        <v>312</v>
      </c>
      <c r="F33" s="205" t="s">
        <v>304</v>
      </c>
      <c r="G33" s="205" t="s">
        <v>36</v>
      </c>
      <c r="H33" s="205" t="s">
        <v>155</v>
      </c>
      <c r="I33" s="205" t="s">
        <v>153</v>
      </c>
      <c r="J33" s="205" t="s">
        <v>38</v>
      </c>
      <c r="K33" s="205" t="s">
        <v>154</v>
      </c>
      <c r="L33" s="205">
        <v>2</v>
      </c>
      <c r="N33" s="205">
        <v>1</v>
      </c>
      <c r="O33" s="205">
        <v>0.28000000000000003</v>
      </c>
      <c r="P33" s="205">
        <v>0.37</v>
      </c>
      <c r="Q33" s="242">
        <f t="shared" si="2"/>
        <v>0.32500000000000001</v>
      </c>
      <c r="R33" s="205">
        <v>14.9</v>
      </c>
      <c r="S33" s="205">
        <v>143</v>
      </c>
      <c r="T33" s="214">
        <f t="shared" si="0"/>
        <v>30</v>
      </c>
      <c r="U33" s="205">
        <v>138</v>
      </c>
      <c r="V33" s="214">
        <f t="shared" si="1"/>
        <v>30</v>
      </c>
      <c r="W33" s="205">
        <v>2</v>
      </c>
      <c r="X33" s="205" t="s">
        <v>39</v>
      </c>
      <c r="Y33" s="205" t="s">
        <v>84</v>
      </c>
      <c r="Z33" s="205" t="s">
        <v>90</v>
      </c>
      <c r="AA33" s="205" t="s">
        <v>270</v>
      </c>
      <c r="AB33" s="234" t="s">
        <v>441</v>
      </c>
      <c r="AV33" s="225"/>
    </row>
    <row r="34" spans="1:48" x14ac:dyDescent="0.15">
      <c r="A34" s="205" t="s">
        <v>59</v>
      </c>
      <c r="B34" s="234" t="s">
        <v>448</v>
      </c>
      <c r="C34" s="149">
        <v>2018</v>
      </c>
      <c r="D34" s="150" t="s">
        <v>476</v>
      </c>
      <c r="E34" s="205" t="s">
        <v>312</v>
      </c>
      <c r="F34" s="205" t="s">
        <v>304</v>
      </c>
      <c r="G34" s="205" t="s">
        <v>36</v>
      </c>
      <c r="H34" s="205" t="s">
        <v>155</v>
      </c>
      <c r="I34" s="205" t="s">
        <v>153</v>
      </c>
      <c r="J34" s="205" t="s">
        <v>38</v>
      </c>
      <c r="K34" s="205" t="s">
        <v>154</v>
      </c>
      <c r="L34" s="205">
        <v>3</v>
      </c>
      <c r="N34" s="205">
        <v>1</v>
      </c>
      <c r="O34" s="205">
        <v>0.55000000000000004</v>
      </c>
      <c r="P34" s="205">
        <v>0.61</v>
      </c>
      <c r="Q34" s="242">
        <f t="shared" si="2"/>
        <v>0.58000000000000007</v>
      </c>
      <c r="R34" s="205">
        <v>14.4</v>
      </c>
      <c r="S34" s="205">
        <v>150</v>
      </c>
      <c r="T34" s="214">
        <f t="shared" si="0"/>
        <v>30</v>
      </c>
      <c r="U34" s="205">
        <v>138</v>
      </c>
      <c r="V34" s="214">
        <f t="shared" si="1"/>
        <v>30</v>
      </c>
      <c r="W34" s="205">
        <v>2</v>
      </c>
      <c r="X34" s="205" t="s">
        <v>39</v>
      </c>
      <c r="Y34" s="205" t="s">
        <v>84</v>
      </c>
      <c r="Z34" s="205" t="s">
        <v>90</v>
      </c>
      <c r="AA34" s="205" t="s">
        <v>270</v>
      </c>
      <c r="AB34" s="234" t="s">
        <v>441</v>
      </c>
      <c r="AV34" s="225"/>
    </row>
    <row r="35" spans="1:48" x14ac:dyDescent="0.15">
      <c r="A35" s="205" t="s">
        <v>59</v>
      </c>
      <c r="B35" s="234" t="s">
        <v>448</v>
      </c>
      <c r="C35" s="149">
        <v>2018</v>
      </c>
      <c r="D35" s="150" t="s">
        <v>476</v>
      </c>
      <c r="E35" s="205" t="s">
        <v>311</v>
      </c>
      <c r="F35" s="205" t="s">
        <v>304</v>
      </c>
      <c r="G35" s="205" t="s">
        <v>36</v>
      </c>
      <c r="H35" s="205" t="s">
        <v>166</v>
      </c>
      <c r="I35" s="205" t="s">
        <v>153</v>
      </c>
      <c r="J35" s="205" t="s">
        <v>38</v>
      </c>
      <c r="K35" s="205" t="s">
        <v>154</v>
      </c>
      <c r="L35" s="205">
        <v>1</v>
      </c>
      <c r="N35" s="205">
        <v>3</v>
      </c>
      <c r="O35" s="205">
        <v>0.46</v>
      </c>
      <c r="P35" s="205">
        <v>0.49</v>
      </c>
      <c r="Q35" s="242">
        <f t="shared" si="2"/>
        <v>0.47499999999999998</v>
      </c>
      <c r="R35" s="205">
        <v>15.6</v>
      </c>
      <c r="S35" s="205">
        <v>160</v>
      </c>
      <c r="T35" s="214">
        <f t="shared" si="0"/>
        <v>18</v>
      </c>
      <c r="U35" s="205">
        <v>429</v>
      </c>
      <c r="V35" s="214">
        <f t="shared" si="1"/>
        <v>16</v>
      </c>
      <c r="W35" s="205">
        <v>2</v>
      </c>
      <c r="X35" s="205" t="s">
        <v>39</v>
      </c>
      <c r="Y35" s="205" t="s">
        <v>84</v>
      </c>
      <c r="Z35" s="205" t="s">
        <v>90</v>
      </c>
      <c r="AA35" s="205" t="s">
        <v>69</v>
      </c>
      <c r="AB35" s="234" t="s">
        <v>441</v>
      </c>
      <c r="AV35" s="225"/>
    </row>
    <row r="36" spans="1:48" x14ac:dyDescent="0.15">
      <c r="A36" s="205" t="s">
        <v>59</v>
      </c>
      <c r="B36" s="234" t="s">
        <v>448</v>
      </c>
      <c r="C36" s="149">
        <v>2018</v>
      </c>
      <c r="D36" s="150" t="s">
        <v>476</v>
      </c>
      <c r="E36" s="205" t="s">
        <v>311</v>
      </c>
      <c r="F36" s="205" t="s">
        <v>304</v>
      </c>
      <c r="G36" s="205" t="s">
        <v>36</v>
      </c>
      <c r="H36" s="205" t="s">
        <v>166</v>
      </c>
      <c r="I36" s="205" t="s">
        <v>153</v>
      </c>
      <c r="J36" s="205" t="s">
        <v>38</v>
      </c>
      <c r="K36" s="205" t="s">
        <v>154</v>
      </c>
      <c r="L36" s="205">
        <v>2</v>
      </c>
      <c r="N36" s="205">
        <v>3</v>
      </c>
      <c r="O36" s="205">
        <v>0.46</v>
      </c>
      <c r="P36" s="205">
        <v>0.5</v>
      </c>
      <c r="Q36" s="242">
        <f t="shared" si="2"/>
        <v>0.48</v>
      </c>
      <c r="R36" s="205">
        <v>14.2</v>
      </c>
      <c r="S36" s="205">
        <v>165</v>
      </c>
      <c r="T36" s="214">
        <f t="shared" si="0"/>
        <v>18</v>
      </c>
      <c r="U36" s="205">
        <v>429</v>
      </c>
      <c r="V36" s="214">
        <f t="shared" si="1"/>
        <v>16</v>
      </c>
      <c r="W36" s="205">
        <v>2</v>
      </c>
      <c r="X36" s="205" t="s">
        <v>39</v>
      </c>
      <c r="Y36" s="205" t="s">
        <v>84</v>
      </c>
      <c r="Z36" s="205" t="s">
        <v>90</v>
      </c>
      <c r="AA36" s="205" t="s">
        <v>69</v>
      </c>
      <c r="AB36" s="234" t="s">
        <v>441</v>
      </c>
      <c r="AV36" s="225"/>
    </row>
    <row r="37" spans="1:48" x14ac:dyDescent="0.15">
      <c r="A37" s="205" t="s">
        <v>59</v>
      </c>
      <c r="B37" s="234" t="s">
        <v>448</v>
      </c>
      <c r="C37" s="149">
        <v>2018</v>
      </c>
      <c r="D37" s="150" t="s">
        <v>476</v>
      </c>
      <c r="E37" s="205" t="s">
        <v>311</v>
      </c>
      <c r="F37" s="205" t="s">
        <v>304</v>
      </c>
      <c r="G37" s="205" t="s">
        <v>36</v>
      </c>
      <c r="H37" s="205" t="s">
        <v>166</v>
      </c>
      <c r="I37" s="205" t="s">
        <v>153</v>
      </c>
      <c r="J37" s="205" t="s">
        <v>38</v>
      </c>
      <c r="K37" s="205" t="s">
        <v>154</v>
      </c>
      <c r="L37" s="205">
        <v>3</v>
      </c>
      <c r="N37" s="205">
        <v>3</v>
      </c>
      <c r="O37" s="205">
        <v>0.45</v>
      </c>
      <c r="P37" s="205">
        <v>0.49</v>
      </c>
      <c r="Q37" s="242">
        <f t="shared" si="2"/>
        <v>0.47</v>
      </c>
      <c r="R37" s="205">
        <v>14.9</v>
      </c>
      <c r="S37" s="205">
        <v>164</v>
      </c>
      <c r="T37" s="214">
        <f t="shared" si="0"/>
        <v>18</v>
      </c>
      <c r="U37" s="205">
        <v>429</v>
      </c>
      <c r="V37" s="214">
        <f t="shared" si="1"/>
        <v>16</v>
      </c>
      <c r="W37" s="205">
        <v>2</v>
      </c>
      <c r="X37" s="205" t="s">
        <v>39</v>
      </c>
      <c r="Y37" s="205" t="s">
        <v>84</v>
      </c>
      <c r="Z37" s="205" t="s">
        <v>90</v>
      </c>
      <c r="AA37" s="205" t="s">
        <v>69</v>
      </c>
      <c r="AB37" s="234" t="s">
        <v>441</v>
      </c>
      <c r="AV37" s="225"/>
    </row>
    <row r="38" spans="1:48" x14ac:dyDescent="0.15">
      <c r="A38" s="205" t="s">
        <v>59</v>
      </c>
      <c r="B38" s="234" t="s">
        <v>448</v>
      </c>
      <c r="C38" s="149">
        <v>2018</v>
      </c>
      <c r="D38" s="150" t="s">
        <v>476</v>
      </c>
      <c r="E38" s="205" t="s">
        <v>311</v>
      </c>
      <c r="F38" s="205" t="s">
        <v>304</v>
      </c>
      <c r="G38" s="205" t="s">
        <v>36</v>
      </c>
      <c r="H38" s="205" t="s">
        <v>155</v>
      </c>
      <c r="I38" s="205" t="s">
        <v>153</v>
      </c>
      <c r="J38" s="205" t="s">
        <v>38</v>
      </c>
      <c r="K38" s="205" t="s">
        <v>154</v>
      </c>
      <c r="L38" s="205">
        <v>1</v>
      </c>
      <c r="N38" s="205">
        <v>5</v>
      </c>
      <c r="O38" s="205">
        <v>0.5</v>
      </c>
      <c r="P38" s="205">
        <v>0.44</v>
      </c>
      <c r="Q38" s="242">
        <f t="shared" si="2"/>
        <v>0.47</v>
      </c>
      <c r="R38" s="205">
        <v>14.9</v>
      </c>
      <c r="S38" s="205">
        <v>95</v>
      </c>
      <c r="T38" s="214">
        <f t="shared" si="0"/>
        <v>36</v>
      </c>
      <c r="U38" s="205">
        <v>429</v>
      </c>
      <c r="V38" s="214">
        <f t="shared" si="1"/>
        <v>16</v>
      </c>
      <c r="W38" s="205">
        <v>2</v>
      </c>
      <c r="X38" s="205" t="s">
        <v>39</v>
      </c>
      <c r="Y38" s="205" t="s">
        <v>84</v>
      </c>
      <c r="Z38" s="205" t="s">
        <v>90</v>
      </c>
      <c r="AA38" s="205" t="s">
        <v>69</v>
      </c>
      <c r="AB38" s="234" t="s">
        <v>441</v>
      </c>
      <c r="AV38" s="225"/>
    </row>
    <row r="39" spans="1:48" x14ac:dyDescent="0.15">
      <c r="A39" s="205" t="s">
        <v>59</v>
      </c>
      <c r="B39" s="234" t="s">
        <v>448</v>
      </c>
      <c r="C39" s="149">
        <v>2018</v>
      </c>
      <c r="D39" s="150" t="s">
        <v>476</v>
      </c>
      <c r="E39" s="205" t="s">
        <v>311</v>
      </c>
      <c r="F39" s="205" t="s">
        <v>304</v>
      </c>
      <c r="G39" s="205" t="s">
        <v>36</v>
      </c>
      <c r="H39" s="205" t="s">
        <v>155</v>
      </c>
      <c r="I39" s="205" t="s">
        <v>153</v>
      </c>
      <c r="J39" s="205" t="s">
        <v>38</v>
      </c>
      <c r="K39" s="205" t="s">
        <v>154</v>
      </c>
      <c r="L39" s="205">
        <v>2</v>
      </c>
      <c r="N39" s="205">
        <v>5</v>
      </c>
      <c r="O39" s="205">
        <v>0.44</v>
      </c>
      <c r="P39" s="205">
        <v>0.48</v>
      </c>
      <c r="Q39" s="242">
        <f t="shared" si="2"/>
        <v>0.45999999999999996</v>
      </c>
      <c r="R39" s="205">
        <v>14.8</v>
      </c>
      <c r="S39" s="205">
        <v>95</v>
      </c>
      <c r="T39" s="214">
        <f t="shared" si="0"/>
        <v>36</v>
      </c>
      <c r="U39" s="205">
        <v>429</v>
      </c>
      <c r="V39" s="214">
        <f t="shared" si="1"/>
        <v>16</v>
      </c>
      <c r="W39" s="205">
        <v>2</v>
      </c>
      <c r="X39" s="205" t="s">
        <v>39</v>
      </c>
      <c r="Y39" s="205" t="s">
        <v>84</v>
      </c>
      <c r="Z39" s="205" t="s">
        <v>90</v>
      </c>
      <c r="AA39" s="205" t="s">
        <v>69</v>
      </c>
      <c r="AB39" s="234" t="s">
        <v>441</v>
      </c>
      <c r="AV39" s="225"/>
    </row>
    <row r="40" spans="1:48" x14ac:dyDescent="0.15">
      <c r="A40" s="205" t="s">
        <v>59</v>
      </c>
      <c r="B40" s="234" t="s">
        <v>448</v>
      </c>
      <c r="C40" s="149">
        <v>2018</v>
      </c>
      <c r="D40" s="150" t="s">
        <v>476</v>
      </c>
      <c r="E40" s="205" t="s">
        <v>311</v>
      </c>
      <c r="F40" s="205" t="s">
        <v>304</v>
      </c>
      <c r="G40" s="205" t="s">
        <v>36</v>
      </c>
      <c r="H40" s="205" t="s">
        <v>155</v>
      </c>
      <c r="I40" s="205" t="s">
        <v>153</v>
      </c>
      <c r="J40" s="205" t="s">
        <v>38</v>
      </c>
      <c r="K40" s="205" t="s">
        <v>154</v>
      </c>
      <c r="L40" s="205">
        <v>3</v>
      </c>
      <c r="N40" s="205">
        <v>5</v>
      </c>
      <c r="O40" s="205">
        <v>0.48</v>
      </c>
      <c r="P40" s="205">
        <v>0.53</v>
      </c>
      <c r="Q40" s="242">
        <f t="shared" si="2"/>
        <v>0.505</v>
      </c>
      <c r="R40" s="205">
        <v>14.3</v>
      </c>
      <c r="S40" s="205">
        <v>93</v>
      </c>
      <c r="T40" s="214">
        <f t="shared" si="0"/>
        <v>36</v>
      </c>
      <c r="U40" s="205">
        <v>429</v>
      </c>
      <c r="V40" s="214">
        <f t="shared" si="1"/>
        <v>16</v>
      </c>
      <c r="W40" s="205">
        <v>2</v>
      </c>
      <c r="X40" s="205" t="s">
        <v>39</v>
      </c>
      <c r="Y40" s="205" t="s">
        <v>84</v>
      </c>
      <c r="Z40" s="205" t="s">
        <v>90</v>
      </c>
      <c r="AA40" s="205" t="s">
        <v>69</v>
      </c>
      <c r="AB40" s="234" t="s">
        <v>441</v>
      </c>
    </row>
    <row r="41" spans="1:48" x14ac:dyDescent="0.15">
      <c r="A41" s="205" t="s">
        <v>59</v>
      </c>
      <c r="B41" s="234" t="s">
        <v>448</v>
      </c>
      <c r="C41" s="149">
        <v>2018</v>
      </c>
      <c r="D41" s="150" t="s">
        <v>476</v>
      </c>
      <c r="E41" s="205" t="s">
        <v>310</v>
      </c>
      <c r="F41" s="205" t="s">
        <v>303</v>
      </c>
      <c r="G41" s="205" t="s">
        <v>36</v>
      </c>
      <c r="H41" s="205" t="s">
        <v>155</v>
      </c>
      <c r="I41" s="205" t="s">
        <v>153</v>
      </c>
      <c r="J41" s="205" t="s">
        <v>38</v>
      </c>
      <c r="K41" s="205" t="s">
        <v>154</v>
      </c>
      <c r="L41" s="205">
        <v>1</v>
      </c>
      <c r="N41" s="205">
        <v>3</v>
      </c>
      <c r="O41" s="205">
        <v>0.3</v>
      </c>
      <c r="P41" s="205">
        <v>0.26</v>
      </c>
      <c r="Q41" s="242">
        <f t="shared" si="2"/>
        <v>0.28000000000000003</v>
      </c>
      <c r="R41" s="205">
        <v>15.7</v>
      </c>
      <c r="S41" s="205">
        <v>126</v>
      </c>
      <c r="T41" s="214">
        <f t="shared" si="0"/>
        <v>30</v>
      </c>
      <c r="U41" s="205">
        <v>350</v>
      </c>
      <c r="V41" s="214">
        <f t="shared" si="1"/>
        <v>16</v>
      </c>
      <c r="W41" s="205">
        <v>6</v>
      </c>
      <c r="X41" s="205" t="s">
        <v>46</v>
      </c>
      <c r="Y41" s="205" t="s">
        <v>90</v>
      </c>
      <c r="Z41" s="205" t="s">
        <v>84</v>
      </c>
      <c r="AA41" s="205" t="s">
        <v>270</v>
      </c>
      <c r="AB41" s="234" t="s">
        <v>441</v>
      </c>
    </row>
    <row r="42" spans="1:48" x14ac:dyDescent="0.15">
      <c r="A42" s="205" t="s">
        <v>59</v>
      </c>
      <c r="B42" s="234" t="s">
        <v>448</v>
      </c>
      <c r="C42" s="149">
        <v>2018</v>
      </c>
      <c r="D42" s="150" t="s">
        <v>476</v>
      </c>
      <c r="E42" s="205" t="s">
        <v>310</v>
      </c>
      <c r="F42" s="205" t="s">
        <v>303</v>
      </c>
      <c r="G42" s="205" t="s">
        <v>36</v>
      </c>
      <c r="H42" s="205" t="s">
        <v>155</v>
      </c>
      <c r="I42" s="205" t="s">
        <v>153</v>
      </c>
      <c r="J42" s="205" t="s">
        <v>38</v>
      </c>
      <c r="K42" s="205" t="s">
        <v>154</v>
      </c>
      <c r="L42" s="205">
        <v>2</v>
      </c>
      <c r="N42" s="205">
        <v>3</v>
      </c>
      <c r="O42" s="205">
        <v>0.3</v>
      </c>
      <c r="P42" s="205">
        <v>0.33</v>
      </c>
      <c r="Q42" s="242">
        <f t="shared" si="2"/>
        <v>0.315</v>
      </c>
      <c r="R42" s="205">
        <v>15.7</v>
      </c>
      <c r="S42" s="205">
        <v>138</v>
      </c>
      <c r="T42" s="214">
        <f t="shared" si="0"/>
        <v>30</v>
      </c>
      <c r="U42" s="205">
        <v>350</v>
      </c>
      <c r="V42" s="214">
        <f t="shared" si="1"/>
        <v>16</v>
      </c>
      <c r="W42" s="205">
        <v>6</v>
      </c>
      <c r="X42" s="205" t="s">
        <v>46</v>
      </c>
      <c r="Y42" s="205" t="s">
        <v>90</v>
      </c>
      <c r="Z42" s="205" t="s">
        <v>84</v>
      </c>
      <c r="AA42" s="205" t="s">
        <v>270</v>
      </c>
      <c r="AB42" s="234" t="s">
        <v>441</v>
      </c>
    </row>
    <row r="43" spans="1:48" x14ac:dyDescent="0.15">
      <c r="A43" s="205" t="s">
        <v>59</v>
      </c>
      <c r="B43" s="234" t="s">
        <v>448</v>
      </c>
      <c r="C43" s="149">
        <v>2018</v>
      </c>
      <c r="D43" s="150" t="s">
        <v>476</v>
      </c>
      <c r="E43" s="205" t="s">
        <v>310</v>
      </c>
      <c r="F43" s="205" t="s">
        <v>303</v>
      </c>
      <c r="G43" s="205" t="s">
        <v>36</v>
      </c>
      <c r="H43" s="205" t="s">
        <v>155</v>
      </c>
      <c r="I43" s="205" t="s">
        <v>153</v>
      </c>
      <c r="J43" s="205" t="s">
        <v>38</v>
      </c>
      <c r="K43" s="205" t="s">
        <v>154</v>
      </c>
      <c r="L43" s="205">
        <v>3</v>
      </c>
      <c r="N43" s="205">
        <v>3</v>
      </c>
      <c r="O43" s="205">
        <v>0.3</v>
      </c>
      <c r="P43" s="205">
        <v>0.21</v>
      </c>
      <c r="Q43" s="242">
        <f t="shared" si="2"/>
        <v>0.255</v>
      </c>
      <c r="R43" s="205">
        <v>15.4</v>
      </c>
      <c r="S43" s="205">
        <v>135</v>
      </c>
      <c r="T43" s="214">
        <f t="shared" si="0"/>
        <v>30</v>
      </c>
      <c r="U43" s="205">
        <v>350</v>
      </c>
      <c r="V43" s="214">
        <f t="shared" si="1"/>
        <v>16</v>
      </c>
      <c r="W43" s="205">
        <v>6</v>
      </c>
      <c r="X43" s="205" t="s">
        <v>46</v>
      </c>
      <c r="Y43" s="205" t="s">
        <v>90</v>
      </c>
      <c r="Z43" s="205" t="s">
        <v>84</v>
      </c>
      <c r="AA43" s="205" t="s">
        <v>270</v>
      </c>
      <c r="AB43" s="234" t="s">
        <v>441</v>
      </c>
    </row>
    <row r="44" spans="1:48" x14ac:dyDescent="0.15">
      <c r="A44" s="205" t="s">
        <v>59</v>
      </c>
      <c r="B44" s="234" t="s">
        <v>448</v>
      </c>
      <c r="C44" s="149">
        <v>2018</v>
      </c>
      <c r="D44" s="150" t="s">
        <v>476</v>
      </c>
      <c r="E44" s="205" t="s">
        <v>310</v>
      </c>
      <c r="F44" s="205" t="s">
        <v>303</v>
      </c>
      <c r="G44" s="205" t="s">
        <v>36</v>
      </c>
      <c r="H44" s="205" t="s">
        <v>128</v>
      </c>
      <c r="I44" s="205" t="s">
        <v>153</v>
      </c>
      <c r="J44" s="205" t="s">
        <v>264</v>
      </c>
      <c r="K44" s="205" t="s">
        <v>261</v>
      </c>
      <c r="L44" s="205">
        <v>1</v>
      </c>
      <c r="N44" s="205">
        <v>2</v>
      </c>
      <c r="O44" s="205">
        <v>0.44</v>
      </c>
      <c r="P44" s="205">
        <v>0.49</v>
      </c>
      <c r="Q44" s="242">
        <f t="shared" si="2"/>
        <v>0.46499999999999997</v>
      </c>
      <c r="R44" s="205">
        <v>15.6</v>
      </c>
      <c r="S44" s="205">
        <v>160</v>
      </c>
      <c r="T44" s="214">
        <f t="shared" si="0"/>
        <v>18</v>
      </c>
      <c r="U44" s="205">
        <v>380</v>
      </c>
      <c r="V44" s="214">
        <f t="shared" si="1"/>
        <v>16</v>
      </c>
      <c r="W44" s="205">
        <v>1</v>
      </c>
      <c r="X44" s="205" t="s">
        <v>39</v>
      </c>
      <c r="Y44" s="205" t="s">
        <v>90</v>
      </c>
      <c r="Z44" s="205" t="s">
        <v>84</v>
      </c>
      <c r="AA44" s="205" t="s">
        <v>270</v>
      </c>
      <c r="AB44" s="234" t="s">
        <v>441</v>
      </c>
    </row>
    <row r="45" spans="1:48" x14ac:dyDescent="0.15">
      <c r="A45" s="205" t="s">
        <v>59</v>
      </c>
      <c r="B45" s="234" t="s">
        <v>448</v>
      </c>
      <c r="C45" s="149">
        <v>2018</v>
      </c>
      <c r="D45" s="150" t="s">
        <v>476</v>
      </c>
      <c r="E45" s="205" t="s">
        <v>310</v>
      </c>
      <c r="F45" s="205" t="s">
        <v>303</v>
      </c>
      <c r="G45" s="205" t="s">
        <v>36</v>
      </c>
      <c r="H45" s="205" t="s">
        <v>128</v>
      </c>
      <c r="I45" s="205" t="s">
        <v>153</v>
      </c>
      <c r="J45" s="205" t="s">
        <v>264</v>
      </c>
      <c r="K45" s="205" t="s">
        <v>261</v>
      </c>
      <c r="L45" s="205">
        <v>2</v>
      </c>
      <c r="N45" s="205">
        <v>2</v>
      </c>
      <c r="O45" s="205">
        <v>0.45</v>
      </c>
      <c r="P45" s="205">
        <v>0.43</v>
      </c>
      <c r="Q45" s="242">
        <f t="shared" si="2"/>
        <v>0.44</v>
      </c>
      <c r="R45" s="205">
        <v>16.600000000000001</v>
      </c>
      <c r="S45" s="205">
        <v>150</v>
      </c>
      <c r="T45" s="214">
        <f t="shared" si="0"/>
        <v>30</v>
      </c>
      <c r="U45" s="205">
        <v>380</v>
      </c>
      <c r="V45" s="214">
        <f t="shared" si="1"/>
        <v>16</v>
      </c>
      <c r="W45" s="205">
        <v>1</v>
      </c>
      <c r="X45" s="205" t="s">
        <v>39</v>
      </c>
      <c r="Y45" s="205" t="s">
        <v>90</v>
      </c>
      <c r="Z45" s="205" t="s">
        <v>84</v>
      </c>
      <c r="AA45" s="205" t="s">
        <v>270</v>
      </c>
      <c r="AB45" s="234" t="s">
        <v>441</v>
      </c>
    </row>
    <row r="46" spans="1:48" x14ac:dyDescent="0.15">
      <c r="A46" s="205" t="s">
        <v>59</v>
      </c>
      <c r="B46" s="234" t="s">
        <v>448</v>
      </c>
      <c r="C46" s="149">
        <v>2018</v>
      </c>
      <c r="D46" s="150" t="s">
        <v>476</v>
      </c>
      <c r="E46" s="205" t="s">
        <v>310</v>
      </c>
      <c r="F46" s="205" t="s">
        <v>303</v>
      </c>
      <c r="G46" s="205" t="s">
        <v>36</v>
      </c>
      <c r="H46" s="205" t="s">
        <v>128</v>
      </c>
      <c r="I46" s="205" t="s">
        <v>153</v>
      </c>
      <c r="J46" s="205" t="s">
        <v>264</v>
      </c>
      <c r="K46" s="205" t="s">
        <v>261</v>
      </c>
      <c r="L46" s="205">
        <v>3</v>
      </c>
      <c r="N46" s="205">
        <v>2</v>
      </c>
      <c r="O46" s="205">
        <v>0.45</v>
      </c>
      <c r="P46" s="205">
        <v>0.47</v>
      </c>
      <c r="Q46" s="242">
        <f t="shared" si="2"/>
        <v>0.45999999999999996</v>
      </c>
      <c r="R46" s="205">
        <v>15.7</v>
      </c>
      <c r="S46" s="205">
        <v>152</v>
      </c>
      <c r="T46" s="214">
        <f t="shared" si="0"/>
        <v>18</v>
      </c>
      <c r="U46" s="205">
        <v>380</v>
      </c>
      <c r="V46" s="214">
        <f t="shared" si="1"/>
        <v>16</v>
      </c>
      <c r="W46" s="205">
        <v>1</v>
      </c>
      <c r="X46" s="205" t="s">
        <v>39</v>
      </c>
      <c r="Y46" s="205" t="s">
        <v>90</v>
      </c>
      <c r="Z46" s="205" t="s">
        <v>84</v>
      </c>
      <c r="AA46" s="205" t="s">
        <v>270</v>
      </c>
      <c r="AB46" s="234" t="s">
        <v>441</v>
      </c>
    </row>
    <row r="47" spans="1:48" x14ac:dyDescent="0.15">
      <c r="A47" s="205" t="s">
        <v>59</v>
      </c>
      <c r="B47" s="234" t="s">
        <v>448</v>
      </c>
      <c r="C47" s="149">
        <v>2018</v>
      </c>
      <c r="D47" s="150" t="s">
        <v>476</v>
      </c>
      <c r="E47" s="205" t="s">
        <v>310</v>
      </c>
      <c r="F47" s="205" t="s">
        <v>303</v>
      </c>
      <c r="G47" s="205" t="s">
        <v>36</v>
      </c>
      <c r="H47" s="205" t="s">
        <v>127</v>
      </c>
      <c r="I47" s="205" t="s">
        <v>153</v>
      </c>
      <c r="J47" s="205" t="s">
        <v>80</v>
      </c>
      <c r="K47" s="205" t="s">
        <v>171</v>
      </c>
      <c r="L47" s="205">
        <v>1</v>
      </c>
      <c r="N47" s="205">
        <v>4</v>
      </c>
      <c r="O47" s="205">
        <v>0.22</v>
      </c>
      <c r="P47" s="205">
        <v>0.23</v>
      </c>
      <c r="Q47" s="242">
        <f t="shared" si="2"/>
        <v>0.22500000000000001</v>
      </c>
      <c r="R47" s="205">
        <v>13.2</v>
      </c>
      <c r="S47" s="205">
        <v>130</v>
      </c>
      <c r="T47" s="214">
        <f t="shared" si="0"/>
        <v>30</v>
      </c>
      <c r="U47" s="205">
        <v>259</v>
      </c>
      <c r="V47" s="214">
        <f t="shared" si="1"/>
        <v>16</v>
      </c>
      <c r="W47" s="205">
        <v>1</v>
      </c>
      <c r="X47" s="205" t="s">
        <v>39</v>
      </c>
      <c r="Y47" s="205" t="s">
        <v>90</v>
      </c>
      <c r="Z47" s="205" t="s">
        <v>84</v>
      </c>
      <c r="AA47" s="205" t="s">
        <v>270</v>
      </c>
      <c r="AB47" s="234" t="s">
        <v>441</v>
      </c>
    </row>
    <row r="48" spans="1:48" x14ac:dyDescent="0.15">
      <c r="A48" s="205" t="s">
        <v>59</v>
      </c>
      <c r="B48" s="234" t="s">
        <v>448</v>
      </c>
      <c r="C48" s="149">
        <v>2018</v>
      </c>
      <c r="D48" s="150" t="s">
        <v>476</v>
      </c>
      <c r="E48" s="205" t="s">
        <v>310</v>
      </c>
      <c r="F48" s="205" t="s">
        <v>303</v>
      </c>
      <c r="G48" s="205" t="s">
        <v>36</v>
      </c>
      <c r="H48" s="205" t="s">
        <v>127</v>
      </c>
      <c r="I48" s="205" t="s">
        <v>153</v>
      </c>
      <c r="J48" s="205" t="s">
        <v>80</v>
      </c>
      <c r="K48" s="205" t="s">
        <v>171</v>
      </c>
      <c r="L48" s="205">
        <v>2</v>
      </c>
      <c r="N48" s="205">
        <v>4</v>
      </c>
      <c r="O48" s="205">
        <v>0.41</v>
      </c>
      <c r="P48" s="205">
        <v>0.28999999999999998</v>
      </c>
      <c r="Q48" s="242">
        <f t="shared" si="2"/>
        <v>0.35</v>
      </c>
      <c r="R48" s="205">
        <v>14</v>
      </c>
      <c r="S48" s="205">
        <v>85</v>
      </c>
      <c r="T48" s="214">
        <f t="shared" si="0"/>
        <v>36</v>
      </c>
      <c r="U48" s="205">
        <v>259</v>
      </c>
      <c r="V48" s="214">
        <f t="shared" si="1"/>
        <v>16</v>
      </c>
      <c r="W48" s="205">
        <v>1</v>
      </c>
      <c r="X48" s="205" t="s">
        <v>39</v>
      </c>
      <c r="Y48" s="205" t="s">
        <v>90</v>
      </c>
      <c r="Z48" s="205" t="s">
        <v>84</v>
      </c>
      <c r="AA48" s="205" t="s">
        <v>270</v>
      </c>
      <c r="AB48" s="234" t="s">
        <v>441</v>
      </c>
    </row>
    <row r="49" spans="1:28" x14ac:dyDescent="0.15">
      <c r="A49" s="205" t="s">
        <v>59</v>
      </c>
      <c r="B49" s="234" t="s">
        <v>448</v>
      </c>
      <c r="C49" s="149">
        <v>2018</v>
      </c>
      <c r="D49" s="150" t="s">
        <v>476</v>
      </c>
      <c r="E49" s="205" t="s">
        <v>310</v>
      </c>
      <c r="F49" s="205" t="s">
        <v>303</v>
      </c>
      <c r="G49" s="205" t="s">
        <v>36</v>
      </c>
      <c r="H49" s="205" t="s">
        <v>127</v>
      </c>
      <c r="I49" s="205" t="s">
        <v>153</v>
      </c>
      <c r="J49" s="205" t="s">
        <v>80</v>
      </c>
      <c r="K49" s="205" t="s">
        <v>171</v>
      </c>
      <c r="L49" s="205">
        <v>3</v>
      </c>
      <c r="N49" s="205">
        <v>4</v>
      </c>
      <c r="O49" s="205">
        <v>0.25</v>
      </c>
      <c r="P49" s="205">
        <v>0.22</v>
      </c>
      <c r="Q49" s="242">
        <f t="shared" si="2"/>
        <v>0.23499999999999999</v>
      </c>
      <c r="R49" s="205">
        <v>12.2</v>
      </c>
      <c r="S49" s="205">
        <v>100</v>
      </c>
      <c r="T49" s="214">
        <f t="shared" si="0"/>
        <v>33</v>
      </c>
      <c r="U49" s="205">
        <v>259</v>
      </c>
      <c r="V49" s="214">
        <f t="shared" si="1"/>
        <v>16</v>
      </c>
      <c r="W49" s="205">
        <v>1</v>
      </c>
      <c r="X49" s="205" t="s">
        <v>39</v>
      </c>
      <c r="Y49" s="205" t="s">
        <v>90</v>
      </c>
      <c r="Z49" s="205" t="s">
        <v>84</v>
      </c>
      <c r="AA49" s="205" t="s">
        <v>270</v>
      </c>
      <c r="AB49" s="234" t="s">
        <v>441</v>
      </c>
    </row>
    <row r="50" spans="1:28" x14ac:dyDescent="0.15">
      <c r="A50" s="205" t="s">
        <v>59</v>
      </c>
      <c r="B50" s="234" t="s">
        <v>448</v>
      </c>
      <c r="C50" s="149">
        <v>2018</v>
      </c>
      <c r="D50" s="150" t="s">
        <v>476</v>
      </c>
      <c r="E50" s="205" t="s">
        <v>308</v>
      </c>
      <c r="F50" s="205" t="s">
        <v>300</v>
      </c>
      <c r="G50" s="205" t="s">
        <v>36</v>
      </c>
      <c r="H50" s="205" t="s">
        <v>166</v>
      </c>
      <c r="I50" s="205" t="s">
        <v>153</v>
      </c>
      <c r="J50" s="205" t="s">
        <v>38</v>
      </c>
      <c r="K50" s="205" t="s">
        <v>154</v>
      </c>
      <c r="L50" s="205">
        <v>1</v>
      </c>
      <c r="N50" s="205">
        <v>4</v>
      </c>
      <c r="O50" s="205">
        <v>0.3</v>
      </c>
      <c r="P50" s="205">
        <v>0.3</v>
      </c>
      <c r="Q50" s="242">
        <f t="shared" si="2"/>
        <v>0.3</v>
      </c>
      <c r="R50" s="205">
        <v>13.8</v>
      </c>
      <c r="S50" s="205">
        <v>100</v>
      </c>
      <c r="T50" s="214">
        <f t="shared" si="0"/>
        <v>33</v>
      </c>
      <c r="U50" s="205">
        <v>518</v>
      </c>
      <c r="V50" s="214">
        <f t="shared" si="1"/>
        <v>16</v>
      </c>
      <c r="W50" s="205">
        <v>1</v>
      </c>
      <c r="X50" s="205" t="s">
        <v>46</v>
      </c>
      <c r="Y50" s="205" t="s">
        <v>84</v>
      </c>
      <c r="Z50" s="205" t="s">
        <v>90</v>
      </c>
      <c r="AA50" s="205" t="s">
        <v>270</v>
      </c>
      <c r="AB50" s="234" t="s">
        <v>441</v>
      </c>
    </row>
    <row r="51" spans="1:28" x14ac:dyDescent="0.15">
      <c r="A51" s="205" t="s">
        <v>59</v>
      </c>
      <c r="B51" s="234" t="s">
        <v>448</v>
      </c>
      <c r="C51" s="149">
        <v>2018</v>
      </c>
      <c r="D51" s="150" t="s">
        <v>476</v>
      </c>
      <c r="E51" s="205" t="s">
        <v>308</v>
      </c>
      <c r="F51" s="205" t="s">
        <v>300</v>
      </c>
      <c r="G51" s="205" t="s">
        <v>36</v>
      </c>
      <c r="H51" s="205" t="s">
        <v>166</v>
      </c>
      <c r="I51" s="205" t="s">
        <v>153</v>
      </c>
      <c r="J51" s="205" t="s">
        <v>38</v>
      </c>
      <c r="K51" s="205" t="s">
        <v>154</v>
      </c>
      <c r="L51" s="205">
        <v>2</v>
      </c>
      <c r="N51" s="205">
        <v>4</v>
      </c>
      <c r="O51" s="205">
        <v>0.31</v>
      </c>
      <c r="P51" s="205">
        <v>0.32</v>
      </c>
      <c r="Q51" s="242">
        <f t="shared" si="2"/>
        <v>0.315</v>
      </c>
      <c r="R51" s="205">
        <v>13.7</v>
      </c>
      <c r="S51" s="205">
        <v>100</v>
      </c>
      <c r="T51" s="214">
        <f t="shared" si="0"/>
        <v>33</v>
      </c>
      <c r="U51" s="205">
        <v>518</v>
      </c>
      <c r="V51" s="214">
        <f t="shared" si="1"/>
        <v>16</v>
      </c>
      <c r="W51" s="205">
        <v>1</v>
      </c>
      <c r="X51" s="205" t="s">
        <v>46</v>
      </c>
      <c r="Y51" s="205" t="s">
        <v>84</v>
      </c>
      <c r="Z51" s="205" t="s">
        <v>90</v>
      </c>
      <c r="AA51" s="205" t="s">
        <v>270</v>
      </c>
      <c r="AB51" s="234" t="s">
        <v>441</v>
      </c>
    </row>
    <row r="52" spans="1:28" x14ac:dyDescent="0.15">
      <c r="A52" s="205" t="s">
        <v>59</v>
      </c>
      <c r="B52" s="234" t="s">
        <v>448</v>
      </c>
      <c r="C52" s="149">
        <v>2018</v>
      </c>
      <c r="D52" s="150" t="s">
        <v>476</v>
      </c>
      <c r="E52" s="205" t="s">
        <v>308</v>
      </c>
      <c r="F52" s="205" t="s">
        <v>300</v>
      </c>
      <c r="G52" s="205" t="s">
        <v>36</v>
      </c>
      <c r="H52" s="205" t="s">
        <v>166</v>
      </c>
      <c r="I52" s="205" t="s">
        <v>153</v>
      </c>
      <c r="J52" s="205" t="s">
        <v>38</v>
      </c>
      <c r="K52" s="205" t="s">
        <v>154</v>
      </c>
      <c r="L52" s="205">
        <v>3</v>
      </c>
      <c r="N52" s="205">
        <v>4</v>
      </c>
      <c r="O52" s="205">
        <v>0.32</v>
      </c>
      <c r="P52" s="205">
        <v>0.34</v>
      </c>
      <c r="Q52" s="242">
        <f t="shared" si="2"/>
        <v>0.33</v>
      </c>
      <c r="R52" s="205">
        <v>13.8</v>
      </c>
      <c r="S52" s="205">
        <v>103</v>
      </c>
      <c r="T52" s="214">
        <f t="shared" si="0"/>
        <v>33</v>
      </c>
      <c r="U52" s="205">
        <v>518</v>
      </c>
      <c r="V52" s="214">
        <f t="shared" si="1"/>
        <v>16</v>
      </c>
      <c r="W52" s="205">
        <v>1</v>
      </c>
      <c r="X52" s="205" t="s">
        <v>46</v>
      </c>
      <c r="Y52" s="205" t="s">
        <v>84</v>
      </c>
      <c r="Z52" s="205" t="s">
        <v>90</v>
      </c>
      <c r="AA52" s="205" t="s">
        <v>270</v>
      </c>
      <c r="AB52" s="234" t="s">
        <v>441</v>
      </c>
    </row>
    <row r="53" spans="1:28" x14ac:dyDescent="0.15">
      <c r="A53" s="205" t="s">
        <v>59</v>
      </c>
      <c r="B53" s="234" t="s">
        <v>448</v>
      </c>
      <c r="C53" s="149">
        <v>2018</v>
      </c>
      <c r="D53" s="150" t="s">
        <v>476</v>
      </c>
      <c r="E53" s="205" t="s">
        <v>308</v>
      </c>
      <c r="F53" s="205" t="s">
        <v>300</v>
      </c>
      <c r="G53" s="205" t="s">
        <v>36</v>
      </c>
      <c r="H53" s="205" t="s">
        <v>155</v>
      </c>
      <c r="I53" s="205" t="s">
        <v>153</v>
      </c>
      <c r="J53" s="205" t="s">
        <v>38</v>
      </c>
      <c r="K53" s="205" t="s">
        <v>154</v>
      </c>
      <c r="L53" s="205">
        <v>1</v>
      </c>
      <c r="N53" s="205">
        <v>5</v>
      </c>
      <c r="O53" s="205">
        <v>0.25</v>
      </c>
      <c r="P53" s="205">
        <v>0.24</v>
      </c>
      <c r="Q53" s="242">
        <f t="shared" si="2"/>
        <v>0.245</v>
      </c>
      <c r="R53" s="205">
        <v>13.3</v>
      </c>
      <c r="S53" s="205">
        <v>106</v>
      </c>
      <c r="T53" s="214">
        <f t="shared" si="0"/>
        <v>33</v>
      </c>
      <c r="U53" s="205">
        <v>429</v>
      </c>
      <c r="V53" s="214">
        <f t="shared" si="1"/>
        <v>16</v>
      </c>
      <c r="W53" s="205">
        <v>1</v>
      </c>
      <c r="X53" s="205" t="s">
        <v>46</v>
      </c>
      <c r="Y53" s="205" t="s">
        <v>84</v>
      </c>
      <c r="Z53" s="205" t="s">
        <v>90</v>
      </c>
      <c r="AA53" s="205" t="s">
        <v>270</v>
      </c>
      <c r="AB53" s="234" t="s">
        <v>441</v>
      </c>
    </row>
    <row r="54" spans="1:28" x14ac:dyDescent="0.15">
      <c r="A54" s="205" t="s">
        <v>59</v>
      </c>
      <c r="B54" s="234" t="s">
        <v>448</v>
      </c>
      <c r="C54" s="149">
        <v>2018</v>
      </c>
      <c r="D54" s="150" t="s">
        <v>476</v>
      </c>
      <c r="E54" s="205" t="s">
        <v>308</v>
      </c>
      <c r="F54" s="205" t="s">
        <v>300</v>
      </c>
      <c r="G54" s="205" t="s">
        <v>36</v>
      </c>
      <c r="H54" s="205" t="s">
        <v>155</v>
      </c>
      <c r="I54" s="205" t="s">
        <v>153</v>
      </c>
      <c r="J54" s="205" t="s">
        <v>38</v>
      </c>
      <c r="K54" s="205" t="s">
        <v>154</v>
      </c>
      <c r="L54" s="205">
        <v>2</v>
      </c>
      <c r="N54" s="205">
        <v>5</v>
      </c>
      <c r="O54" s="205">
        <v>0.33</v>
      </c>
      <c r="P54" s="205">
        <v>0.35</v>
      </c>
      <c r="Q54" s="242">
        <f t="shared" si="2"/>
        <v>0.33999999999999997</v>
      </c>
      <c r="R54" s="205">
        <v>13.4</v>
      </c>
      <c r="S54" s="205">
        <v>90</v>
      </c>
      <c r="T54" s="214">
        <f t="shared" si="0"/>
        <v>36</v>
      </c>
      <c r="U54" s="205">
        <v>429</v>
      </c>
      <c r="V54" s="214">
        <f t="shared" si="1"/>
        <v>16</v>
      </c>
      <c r="W54" s="205">
        <v>1</v>
      </c>
      <c r="X54" s="205" t="s">
        <v>46</v>
      </c>
      <c r="Y54" s="205" t="s">
        <v>84</v>
      </c>
      <c r="Z54" s="205" t="s">
        <v>90</v>
      </c>
      <c r="AA54" s="205" t="s">
        <v>270</v>
      </c>
      <c r="AB54" s="234" t="s">
        <v>441</v>
      </c>
    </row>
    <row r="55" spans="1:28" x14ac:dyDescent="0.15">
      <c r="A55" s="205" t="s">
        <v>59</v>
      </c>
      <c r="B55" s="234" t="s">
        <v>448</v>
      </c>
      <c r="C55" s="149">
        <v>2018</v>
      </c>
      <c r="D55" s="150" t="s">
        <v>476</v>
      </c>
      <c r="E55" s="205" t="s">
        <v>308</v>
      </c>
      <c r="F55" s="205" t="s">
        <v>300</v>
      </c>
      <c r="G55" s="205" t="s">
        <v>36</v>
      </c>
      <c r="H55" s="205" t="s">
        <v>155</v>
      </c>
      <c r="I55" s="205" t="s">
        <v>153</v>
      </c>
      <c r="J55" s="205" t="s">
        <v>38</v>
      </c>
      <c r="K55" s="205" t="s">
        <v>154</v>
      </c>
      <c r="L55" s="205">
        <v>3</v>
      </c>
      <c r="N55" s="205">
        <v>5</v>
      </c>
      <c r="O55" s="205">
        <v>0.27</v>
      </c>
      <c r="P55" s="205">
        <v>0.31</v>
      </c>
      <c r="Q55" s="242">
        <f t="shared" si="2"/>
        <v>0.29000000000000004</v>
      </c>
      <c r="R55" s="205">
        <v>13.1</v>
      </c>
      <c r="S55" s="205">
        <v>95</v>
      </c>
      <c r="T55" s="214">
        <f t="shared" si="0"/>
        <v>36</v>
      </c>
      <c r="U55" s="205">
        <v>429</v>
      </c>
      <c r="V55" s="214">
        <f t="shared" si="1"/>
        <v>16</v>
      </c>
      <c r="W55" s="205">
        <v>1</v>
      </c>
      <c r="X55" s="205" t="s">
        <v>46</v>
      </c>
      <c r="Y55" s="205" t="s">
        <v>84</v>
      </c>
      <c r="Z55" s="205" t="s">
        <v>90</v>
      </c>
      <c r="AA55" s="205" t="s">
        <v>270</v>
      </c>
      <c r="AB55" s="234" t="s">
        <v>441</v>
      </c>
    </row>
    <row r="56" spans="1:28" x14ac:dyDescent="0.15">
      <c r="A56" s="205" t="s">
        <v>59</v>
      </c>
      <c r="B56" s="234" t="s">
        <v>448</v>
      </c>
      <c r="C56" s="149">
        <v>2018</v>
      </c>
      <c r="D56" s="150" t="s">
        <v>476</v>
      </c>
      <c r="E56" s="205" t="s">
        <v>308</v>
      </c>
      <c r="F56" s="205" t="s">
        <v>300</v>
      </c>
      <c r="G56" s="205" t="s">
        <v>36</v>
      </c>
      <c r="H56" s="205" t="s">
        <v>127</v>
      </c>
      <c r="I56" s="205" t="s">
        <v>153</v>
      </c>
      <c r="J56" s="205" t="s">
        <v>80</v>
      </c>
      <c r="K56" s="205" t="s">
        <v>171</v>
      </c>
      <c r="L56" s="205">
        <v>1</v>
      </c>
      <c r="N56" s="205">
        <v>5</v>
      </c>
      <c r="O56" s="205">
        <v>0.9</v>
      </c>
      <c r="P56" s="205">
        <v>0.92</v>
      </c>
      <c r="Q56" s="242">
        <f t="shared" si="2"/>
        <v>0.91</v>
      </c>
      <c r="R56" s="205">
        <v>13</v>
      </c>
      <c r="S56" s="205">
        <v>96</v>
      </c>
      <c r="T56" s="214">
        <f t="shared" si="0"/>
        <v>36</v>
      </c>
      <c r="U56" s="205">
        <v>321</v>
      </c>
      <c r="V56" s="214">
        <f t="shared" si="1"/>
        <v>16</v>
      </c>
      <c r="W56" s="205">
        <v>1</v>
      </c>
      <c r="X56" s="205" t="s">
        <v>39</v>
      </c>
      <c r="Y56" s="205" t="s">
        <v>84</v>
      </c>
      <c r="Z56" s="205" t="s">
        <v>90</v>
      </c>
      <c r="AA56" s="205" t="s">
        <v>270</v>
      </c>
      <c r="AB56" s="234" t="s">
        <v>441</v>
      </c>
    </row>
    <row r="57" spans="1:28" x14ac:dyDescent="0.15">
      <c r="A57" s="205" t="s">
        <v>59</v>
      </c>
      <c r="B57" s="234" t="s">
        <v>448</v>
      </c>
      <c r="C57" s="149">
        <v>2018</v>
      </c>
      <c r="D57" s="150" t="s">
        <v>476</v>
      </c>
      <c r="E57" s="205" t="s">
        <v>308</v>
      </c>
      <c r="F57" s="205" t="s">
        <v>300</v>
      </c>
      <c r="G57" s="205" t="s">
        <v>36</v>
      </c>
      <c r="H57" s="205" t="s">
        <v>127</v>
      </c>
      <c r="I57" s="205" t="s">
        <v>153</v>
      </c>
      <c r="J57" s="205" t="s">
        <v>80</v>
      </c>
      <c r="K57" s="205" t="s">
        <v>171</v>
      </c>
      <c r="L57" s="205">
        <v>2</v>
      </c>
      <c r="N57" s="205">
        <v>5</v>
      </c>
      <c r="O57" s="205">
        <v>0.55000000000000004</v>
      </c>
      <c r="P57" s="205">
        <v>0.57999999999999996</v>
      </c>
      <c r="Q57" s="242">
        <f t="shared" si="2"/>
        <v>0.56499999999999995</v>
      </c>
      <c r="R57" s="205">
        <v>11.4</v>
      </c>
      <c r="S57" s="205">
        <v>97</v>
      </c>
      <c r="T57" s="214">
        <f t="shared" si="0"/>
        <v>36</v>
      </c>
      <c r="U57" s="205">
        <v>321</v>
      </c>
      <c r="V57" s="214">
        <f t="shared" si="1"/>
        <v>16</v>
      </c>
      <c r="W57" s="205">
        <v>1</v>
      </c>
      <c r="X57" s="205" t="s">
        <v>39</v>
      </c>
      <c r="Y57" s="205" t="s">
        <v>84</v>
      </c>
      <c r="Z57" s="205" t="s">
        <v>90</v>
      </c>
      <c r="AA57" s="205" t="s">
        <v>270</v>
      </c>
      <c r="AB57" s="234" t="s">
        <v>441</v>
      </c>
    </row>
    <row r="58" spans="1:28" x14ac:dyDescent="0.15">
      <c r="A58" s="205" t="s">
        <v>59</v>
      </c>
      <c r="B58" s="234" t="s">
        <v>448</v>
      </c>
      <c r="C58" s="149">
        <v>2018</v>
      </c>
      <c r="D58" s="150" t="s">
        <v>476</v>
      </c>
      <c r="E58" s="205" t="s">
        <v>308</v>
      </c>
      <c r="F58" s="205" t="s">
        <v>300</v>
      </c>
      <c r="G58" s="205" t="s">
        <v>36</v>
      </c>
      <c r="H58" s="205" t="s">
        <v>127</v>
      </c>
      <c r="I58" s="205" t="s">
        <v>153</v>
      </c>
      <c r="J58" s="205" t="s">
        <v>80</v>
      </c>
      <c r="K58" s="205" t="s">
        <v>171</v>
      </c>
      <c r="L58" s="205">
        <v>3</v>
      </c>
      <c r="N58" s="205">
        <v>5</v>
      </c>
      <c r="O58" s="205">
        <v>0.78</v>
      </c>
      <c r="P58" s="205">
        <v>0.88</v>
      </c>
      <c r="Q58" s="242">
        <f t="shared" si="2"/>
        <v>0.83000000000000007</v>
      </c>
      <c r="R58" s="205">
        <v>11.9</v>
      </c>
      <c r="S58" s="205">
        <v>95</v>
      </c>
      <c r="T58" s="214">
        <f t="shared" si="0"/>
        <v>36</v>
      </c>
      <c r="U58" s="205">
        <v>321</v>
      </c>
      <c r="V58" s="214">
        <f t="shared" si="1"/>
        <v>16</v>
      </c>
      <c r="W58" s="205">
        <v>1</v>
      </c>
      <c r="X58" s="205" t="s">
        <v>39</v>
      </c>
      <c r="Y58" s="205" t="s">
        <v>84</v>
      </c>
      <c r="Z58" s="205" t="s">
        <v>90</v>
      </c>
      <c r="AA58" s="205" t="s">
        <v>270</v>
      </c>
      <c r="AB58" s="234" t="s">
        <v>441</v>
      </c>
    </row>
    <row r="59" spans="1:28" x14ac:dyDescent="0.15">
      <c r="A59" s="205" t="s">
        <v>59</v>
      </c>
      <c r="B59" s="234" t="s">
        <v>448</v>
      </c>
      <c r="C59" s="149">
        <v>2018</v>
      </c>
      <c r="D59" s="150" t="s">
        <v>476</v>
      </c>
      <c r="E59" s="205" t="s">
        <v>314</v>
      </c>
      <c r="F59" s="205" t="s">
        <v>305</v>
      </c>
      <c r="G59" s="205" t="s">
        <v>36</v>
      </c>
      <c r="H59" s="205" t="s">
        <v>155</v>
      </c>
      <c r="I59" s="205" t="s">
        <v>153</v>
      </c>
      <c r="J59" s="205" t="s">
        <v>38</v>
      </c>
      <c r="K59" s="205" t="s">
        <v>154</v>
      </c>
      <c r="L59" s="205">
        <v>1</v>
      </c>
      <c r="N59" s="205">
        <v>4</v>
      </c>
      <c r="O59" s="205">
        <v>0.5</v>
      </c>
      <c r="P59" s="205">
        <v>0.57999999999999996</v>
      </c>
      <c r="Q59" s="242">
        <f t="shared" si="2"/>
        <v>0.54</v>
      </c>
      <c r="R59" s="205">
        <v>15</v>
      </c>
      <c r="S59" s="205">
        <v>151</v>
      </c>
      <c r="T59" s="214">
        <f t="shared" si="0"/>
        <v>30</v>
      </c>
      <c r="U59" s="205">
        <v>348</v>
      </c>
      <c r="V59" s="214">
        <f t="shared" si="1"/>
        <v>16</v>
      </c>
      <c r="W59" s="205">
        <v>4</v>
      </c>
      <c r="X59" s="205" t="s">
        <v>46</v>
      </c>
      <c r="Y59" s="205" t="s">
        <v>84</v>
      </c>
      <c r="Z59" s="205" t="s">
        <v>270</v>
      </c>
      <c r="AA59" s="205" t="s">
        <v>90</v>
      </c>
      <c r="AB59" s="234" t="s">
        <v>441</v>
      </c>
    </row>
    <row r="60" spans="1:28" x14ac:dyDescent="0.15">
      <c r="A60" s="205" t="s">
        <v>59</v>
      </c>
      <c r="B60" s="234" t="s">
        <v>448</v>
      </c>
      <c r="C60" s="149">
        <v>2018</v>
      </c>
      <c r="D60" s="150" t="s">
        <v>476</v>
      </c>
      <c r="E60" s="205" t="s">
        <v>314</v>
      </c>
      <c r="F60" s="205" t="s">
        <v>305</v>
      </c>
      <c r="G60" s="205" t="s">
        <v>36</v>
      </c>
      <c r="H60" s="205" t="s">
        <v>155</v>
      </c>
      <c r="I60" s="205" t="s">
        <v>153</v>
      </c>
      <c r="J60" s="205" t="s">
        <v>38</v>
      </c>
      <c r="K60" s="205" t="s">
        <v>154</v>
      </c>
      <c r="L60" s="205">
        <v>2</v>
      </c>
      <c r="N60" s="205">
        <v>4</v>
      </c>
      <c r="O60" s="205">
        <v>0.31</v>
      </c>
      <c r="P60" s="205">
        <v>0.42</v>
      </c>
      <c r="Q60" s="242">
        <f t="shared" si="2"/>
        <v>0.36499999999999999</v>
      </c>
      <c r="R60" s="205">
        <v>16.2</v>
      </c>
      <c r="S60" s="205">
        <v>155</v>
      </c>
      <c r="T60" s="214">
        <f t="shared" si="0"/>
        <v>18</v>
      </c>
      <c r="U60" s="205">
        <v>348</v>
      </c>
      <c r="V60" s="214">
        <f t="shared" si="1"/>
        <v>16</v>
      </c>
      <c r="W60" s="205">
        <v>4</v>
      </c>
      <c r="X60" s="205" t="s">
        <v>46</v>
      </c>
      <c r="Y60" s="205" t="s">
        <v>84</v>
      </c>
      <c r="Z60" s="205" t="s">
        <v>270</v>
      </c>
      <c r="AA60" s="205" t="s">
        <v>90</v>
      </c>
      <c r="AB60" s="234" t="s">
        <v>441</v>
      </c>
    </row>
    <row r="61" spans="1:28" x14ac:dyDescent="0.15">
      <c r="A61" s="205" t="s">
        <v>59</v>
      </c>
      <c r="B61" s="234" t="s">
        <v>448</v>
      </c>
      <c r="C61" s="149">
        <v>2018</v>
      </c>
      <c r="D61" s="150" t="s">
        <v>476</v>
      </c>
      <c r="E61" s="205" t="s">
        <v>314</v>
      </c>
      <c r="F61" s="205" t="s">
        <v>305</v>
      </c>
      <c r="G61" s="205" t="s">
        <v>36</v>
      </c>
      <c r="H61" s="205" t="s">
        <v>155</v>
      </c>
      <c r="I61" s="205" t="s">
        <v>153</v>
      </c>
      <c r="J61" s="205" t="s">
        <v>38</v>
      </c>
      <c r="K61" s="205" t="s">
        <v>154</v>
      </c>
      <c r="L61" s="205">
        <v>3</v>
      </c>
      <c r="N61" s="205">
        <v>4</v>
      </c>
      <c r="O61" s="205">
        <v>0.49</v>
      </c>
      <c r="P61" s="205">
        <v>0.52</v>
      </c>
      <c r="Q61" s="242">
        <f t="shared" si="2"/>
        <v>0.505</v>
      </c>
      <c r="R61" s="205">
        <v>15.3</v>
      </c>
      <c r="S61" s="205">
        <v>152</v>
      </c>
      <c r="T61" s="214">
        <f t="shared" si="0"/>
        <v>18</v>
      </c>
      <c r="U61" s="205">
        <v>348</v>
      </c>
      <c r="V61" s="214">
        <f t="shared" si="1"/>
        <v>16</v>
      </c>
      <c r="W61" s="205">
        <v>4</v>
      </c>
      <c r="X61" s="205" t="s">
        <v>46</v>
      </c>
      <c r="Y61" s="205" t="s">
        <v>84</v>
      </c>
      <c r="Z61" s="205" t="s">
        <v>270</v>
      </c>
      <c r="AA61" s="205" t="s">
        <v>90</v>
      </c>
      <c r="AB61" s="234" t="s">
        <v>441</v>
      </c>
    </row>
    <row r="62" spans="1:28" x14ac:dyDescent="0.15">
      <c r="A62" s="205" t="s">
        <v>59</v>
      </c>
      <c r="B62" s="234" t="s">
        <v>448</v>
      </c>
      <c r="C62" s="149">
        <v>2018</v>
      </c>
      <c r="D62" s="150" t="s">
        <v>476</v>
      </c>
      <c r="E62" s="205" t="s">
        <v>314</v>
      </c>
      <c r="F62" s="205" t="s">
        <v>305</v>
      </c>
      <c r="G62" s="205" t="s">
        <v>36</v>
      </c>
      <c r="H62" s="205" t="s">
        <v>128</v>
      </c>
      <c r="I62" s="205" t="s">
        <v>153</v>
      </c>
      <c r="J62" s="205" t="s">
        <v>80</v>
      </c>
      <c r="K62" s="205" t="s">
        <v>126</v>
      </c>
      <c r="L62" s="205">
        <v>1</v>
      </c>
      <c r="N62" s="205">
        <v>6</v>
      </c>
      <c r="O62" s="205">
        <v>0.42</v>
      </c>
      <c r="P62" s="205">
        <v>0.32</v>
      </c>
      <c r="Q62" s="242">
        <f t="shared" si="2"/>
        <v>0.37</v>
      </c>
      <c r="R62" s="205">
        <v>16</v>
      </c>
      <c r="S62" s="205">
        <v>79</v>
      </c>
      <c r="T62" s="214">
        <f t="shared" si="0"/>
        <v>39</v>
      </c>
      <c r="U62" s="205">
        <v>458</v>
      </c>
      <c r="V62" s="214">
        <f t="shared" si="1"/>
        <v>16</v>
      </c>
      <c r="W62" s="205">
        <v>1</v>
      </c>
      <c r="X62" s="205" t="s">
        <v>46</v>
      </c>
      <c r="Y62" s="205" t="s">
        <v>84</v>
      </c>
      <c r="Z62" s="205" t="s">
        <v>270</v>
      </c>
      <c r="AA62" s="205" t="s">
        <v>90</v>
      </c>
      <c r="AB62" s="234" t="s">
        <v>441</v>
      </c>
    </row>
    <row r="63" spans="1:28" x14ac:dyDescent="0.15">
      <c r="A63" s="205" t="s">
        <v>59</v>
      </c>
      <c r="B63" s="234" t="s">
        <v>448</v>
      </c>
      <c r="C63" s="149">
        <v>2018</v>
      </c>
      <c r="D63" s="150" t="s">
        <v>476</v>
      </c>
      <c r="E63" s="205" t="s">
        <v>314</v>
      </c>
      <c r="F63" s="205" t="s">
        <v>305</v>
      </c>
      <c r="G63" s="205" t="s">
        <v>36</v>
      </c>
      <c r="H63" s="205" t="s">
        <v>128</v>
      </c>
      <c r="I63" s="205" t="s">
        <v>153</v>
      </c>
      <c r="J63" s="205" t="s">
        <v>80</v>
      </c>
      <c r="K63" s="205" t="s">
        <v>126</v>
      </c>
      <c r="L63" s="205">
        <v>2</v>
      </c>
      <c r="N63" s="205">
        <v>6</v>
      </c>
      <c r="O63" s="205">
        <v>0.48</v>
      </c>
      <c r="P63" s="205">
        <v>0.6</v>
      </c>
      <c r="Q63" s="242">
        <f t="shared" si="2"/>
        <v>0.54</v>
      </c>
      <c r="R63" s="205">
        <v>14.3</v>
      </c>
      <c r="S63" s="205">
        <v>72</v>
      </c>
      <c r="T63" s="214">
        <f t="shared" si="0"/>
        <v>42</v>
      </c>
      <c r="U63" s="205">
        <v>458</v>
      </c>
      <c r="V63" s="214">
        <f t="shared" si="1"/>
        <v>16</v>
      </c>
      <c r="W63" s="205">
        <v>1</v>
      </c>
      <c r="X63" s="205" t="s">
        <v>46</v>
      </c>
      <c r="Y63" s="205" t="s">
        <v>84</v>
      </c>
      <c r="Z63" s="205" t="s">
        <v>270</v>
      </c>
      <c r="AA63" s="205" t="s">
        <v>90</v>
      </c>
      <c r="AB63" s="234" t="s">
        <v>441</v>
      </c>
    </row>
    <row r="64" spans="1:28" x14ac:dyDescent="0.15">
      <c r="A64" s="205" t="s">
        <v>59</v>
      </c>
      <c r="B64" s="234" t="s">
        <v>448</v>
      </c>
      <c r="C64" s="149">
        <v>2018</v>
      </c>
      <c r="D64" s="150" t="s">
        <v>476</v>
      </c>
      <c r="E64" s="205" t="s">
        <v>314</v>
      </c>
      <c r="F64" s="205" t="s">
        <v>305</v>
      </c>
      <c r="G64" s="205" t="s">
        <v>36</v>
      </c>
      <c r="H64" s="205" t="s">
        <v>128</v>
      </c>
      <c r="I64" s="205" t="s">
        <v>153</v>
      </c>
      <c r="J64" s="205" t="s">
        <v>80</v>
      </c>
      <c r="K64" s="205" t="s">
        <v>126</v>
      </c>
      <c r="L64" s="205">
        <v>3</v>
      </c>
      <c r="N64" s="205">
        <v>6</v>
      </c>
      <c r="O64" s="205">
        <v>0.47</v>
      </c>
      <c r="P64" s="205">
        <v>0.43</v>
      </c>
      <c r="Q64" s="242">
        <f t="shared" si="2"/>
        <v>0.44999999999999996</v>
      </c>
      <c r="R64" s="205">
        <v>16.5</v>
      </c>
      <c r="S64" s="205">
        <v>72</v>
      </c>
      <c r="T64" s="214">
        <f t="shared" si="0"/>
        <v>42</v>
      </c>
      <c r="U64" s="205">
        <v>458</v>
      </c>
      <c r="V64" s="214">
        <f t="shared" si="1"/>
        <v>16</v>
      </c>
      <c r="W64" s="205">
        <v>1</v>
      </c>
      <c r="X64" s="205" t="s">
        <v>46</v>
      </c>
      <c r="Y64" s="205" t="s">
        <v>84</v>
      </c>
      <c r="Z64" s="205" t="s">
        <v>270</v>
      </c>
      <c r="AA64" s="205" t="s">
        <v>90</v>
      </c>
      <c r="AB64" s="234" t="s">
        <v>441</v>
      </c>
    </row>
    <row r="65" spans="1:28" x14ac:dyDescent="0.15">
      <c r="A65" s="205" t="s">
        <v>59</v>
      </c>
      <c r="B65" s="234" t="s">
        <v>448</v>
      </c>
      <c r="C65" s="149">
        <v>2018</v>
      </c>
      <c r="D65" s="150" t="s">
        <v>476</v>
      </c>
      <c r="E65" s="205" t="s">
        <v>309</v>
      </c>
      <c r="F65" s="205" t="s">
        <v>302</v>
      </c>
      <c r="G65" s="205" t="s">
        <v>36</v>
      </c>
      <c r="H65" s="205" t="s">
        <v>166</v>
      </c>
      <c r="I65" s="205" t="s">
        <v>153</v>
      </c>
      <c r="J65" s="205" t="s">
        <v>38</v>
      </c>
      <c r="K65" s="205" t="s">
        <v>154</v>
      </c>
      <c r="L65" s="205">
        <v>1</v>
      </c>
      <c r="N65" s="205">
        <v>3</v>
      </c>
      <c r="O65" s="205">
        <v>0.25</v>
      </c>
      <c r="P65" s="205">
        <v>0.28000000000000003</v>
      </c>
      <c r="Q65" s="242">
        <f t="shared" si="2"/>
        <v>0.26500000000000001</v>
      </c>
      <c r="R65" s="205">
        <v>15.6</v>
      </c>
      <c r="S65" s="205">
        <v>130</v>
      </c>
      <c r="T65" s="214">
        <f t="shared" si="0"/>
        <v>30</v>
      </c>
      <c r="U65" s="205">
        <v>494</v>
      </c>
      <c r="V65" s="214">
        <f t="shared" si="1"/>
        <v>16</v>
      </c>
      <c r="W65" s="205">
        <v>2</v>
      </c>
      <c r="X65" s="205" t="s">
        <v>46</v>
      </c>
      <c r="Y65" s="205" t="s">
        <v>84</v>
      </c>
      <c r="Z65" s="205" t="s">
        <v>90</v>
      </c>
      <c r="AA65" s="205" t="s">
        <v>69</v>
      </c>
      <c r="AB65" s="234" t="s">
        <v>441</v>
      </c>
    </row>
    <row r="66" spans="1:28" x14ac:dyDescent="0.15">
      <c r="A66" s="205" t="s">
        <v>59</v>
      </c>
      <c r="B66" s="234" t="s">
        <v>448</v>
      </c>
      <c r="C66" s="149">
        <v>2018</v>
      </c>
      <c r="D66" s="150" t="s">
        <v>476</v>
      </c>
      <c r="E66" s="205" t="s">
        <v>309</v>
      </c>
      <c r="F66" s="205" t="s">
        <v>302</v>
      </c>
      <c r="G66" s="205" t="s">
        <v>36</v>
      </c>
      <c r="H66" s="205" t="s">
        <v>166</v>
      </c>
      <c r="I66" s="205" t="s">
        <v>153</v>
      </c>
      <c r="J66" s="205" t="s">
        <v>38</v>
      </c>
      <c r="K66" s="205" t="s">
        <v>154</v>
      </c>
      <c r="L66" s="205">
        <v>2</v>
      </c>
      <c r="N66" s="205">
        <v>3</v>
      </c>
      <c r="O66" s="205">
        <v>0.24</v>
      </c>
      <c r="P66" s="205">
        <v>0.24</v>
      </c>
      <c r="Q66" s="242">
        <f t="shared" si="2"/>
        <v>0.24</v>
      </c>
      <c r="R66" s="205">
        <v>16.399999999999999</v>
      </c>
      <c r="S66" s="205">
        <v>139</v>
      </c>
      <c r="T66" s="214">
        <f t="shared" si="0"/>
        <v>30</v>
      </c>
      <c r="U66" s="205">
        <v>494</v>
      </c>
      <c r="V66" s="214">
        <f t="shared" ref="V66:V70" si="3">IF(J66="","",IF(OR(J66="GREEN",J66="GK"),IF(U66&gt;=$AX$2,VLOOKUP(U66,$AX$2:$AY$12,2,1),""),IF(U66&gt;=$AZ$2,VLOOKUP(U66,$AZ$2:$BA$12,2,1),"")))</f>
        <v>16</v>
      </c>
      <c r="W66" s="205">
        <v>2</v>
      </c>
      <c r="X66" s="205" t="s">
        <v>46</v>
      </c>
      <c r="Y66" s="205" t="s">
        <v>84</v>
      </c>
      <c r="Z66" s="205" t="s">
        <v>90</v>
      </c>
      <c r="AA66" s="205" t="s">
        <v>69</v>
      </c>
      <c r="AB66" s="234" t="s">
        <v>441</v>
      </c>
    </row>
    <row r="67" spans="1:28" x14ac:dyDescent="0.15">
      <c r="A67" s="205" t="s">
        <v>59</v>
      </c>
      <c r="B67" s="234" t="s">
        <v>448</v>
      </c>
      <c r="C67" s="149">
        <v>2018</v>
      </c>
      <c r="D67" s="150" t="s">
        <v>476</v>
      </c>
      <c r="E67" s="205" t="s">
        <v>309</v>
      </c>
      <c r="F67" s="205" t="s">
        <v>302</v>
      </c>
      <c r="G67" s="205" t="s">
        <v>36</v>
      </c>
      <c r="H67" s="205" t="s">
        <v>166</v>
      </c>
      <c r="I67" s="205" t="s">
        <v>153</v>
      </c>
      <c r="J67" s="205" t="s">
        <v>38</v>
      </c>
      <c r="K67" s="205" t="s">
        <v>154</v>
      </c>
      <c r="L67" s="205">
        <v>3</v>
      </c>
      <c r="N67" s="205">
        <v>3</v>
      </c>
      <c r="O67" s="205">
        <v>0.23</v>
      </c>
      <c r="P67" s="205">
        <v>0.28999999999999998</v>
      </c>
      <c r="Q67" s="242">
        <f t="shared" si="2"/>
        <v>0.26</v>
      </c>
      <c r="R67" s="205">
        <v>16</v>
      </c>
      <c r="S67" s="205">
        <v>134</v>
      </c>
      <c r="T67" s="214">
        <f t="shared" si="0"/>
        <v>30</v>
      </c>
      <c r="U67" s="205">
        <v>494</v>
      </c>
      <c r="V67" s="214">
        <f t="shared" si="3"/>
        <v>16</v>
      </c>
      <c r="W67" s="205">
        <v>2</v>
      </c>
      <c r="X67" s="205" t="s">
        <v>46</v>
      </c>
      <c r="Y67" s="205" t="s">
        <v>84</v>
      </c>
      <c r="Z67" s="205" t="s">
        <v>90</v>
      </c>
      <c r="AA67" s="205" t="s">
        <v>69</v>
      </c>
      <c r="AB67" s="234" t="s">
        <v>441</v>
      </c>
    </row>
    <row r="68" spans="1:28" x14ac:dyDescent="0.15">
      <c r="A68" s="205" t="s">
        <v>59</v>
      </c>
      <c r="B68" s="234" t="s">
        <v>448</v>
      </c>
      <c r="C68" s="149">
        <v>2018</v>
      </c>
      <c r="D68" s="150" t="s">
        <v>476</v>
      </c>
      <c r="E68" s="205" t="s">
        <v>309</v>
      </c>
      <c r="F68" s="205" t="s">
        <v>302</v>
      </c>
      <c r="G68" s="205" t="s">
        <v>36</v>
      </c>
      <c r="H68" s="205" t="s">
        <v>155</v>
      </c>
      <c r="I68" s="205" t="s">
        <v>153</v>
      </c>
      <c r="J68" s="205" t="s">
        <v>38</v>
      </c>
      <c r="K68" s="205" t="s">
        <v>154</v>
      </c>
      <c r="L68" s="205">
        <v>1</v>
      </c>
      <c r="N68" s="205">
        <v>4</v>
      </c>
      <c r="O68" s="205">
        <v>0.56000000000000005</v>
      </c>
      <c r="P68" s="205">
        <v>0.75</v>
      </c>
      <c r="Q68" s="242">
        <f t="shared" ref="Q68:Q70" si="4">IF(OR(O68="",P68=""),"",AVERAGE(O68,P68))</f>
        <v>0.65500000000000003</v>
      </c>
      <c r="R68" s="205">
        <v>13.5</v>
      </c>
      <c r="S68" s="205">
        <v>94</v>
      </c>
      <c r="T68" s="214">
        <f t="shared" ref="T68:T70" si="5">IF(H68="","",IF(OR(H68="GREEN",H68="GK"),IF(S68&gt;=$AX$2,VLOOKUP(S68,$AX$2:$AY$12,2,1),""),IF(S68&gt;=$AZ$2,VLOOKUP(S68,$AZ$2:$BA$12,2,1),"")))</f>
        <v>36</v>
      </c>
      <c r="U68" s="205">
        <v>386</v>
      </c>
      <c r="V68" s="214">
        <f t="shared" si="3"/>
        <v>16</v>
      </c>
      <c r="W68" s="205">
        <v>6</v>
      </c>
      <c r="X68" s="205" t="s">
        <v>39</v>
      </c>
      <c r="Y68" s="205" t="s">
        <v>84</v>
      </c>
      <c r="Z68" s="205" t="s">
        <v>90</v>
      </c>
      <c r="AA68" s="205" t="s">
        <v>69</v>
      </c>
      <c r="AB68" s="234" t="s">
        <v>441</v>
      </c>
    </row>
    <row r="69" spans="1:28" x14ac:dyDescent="0.15">
      <c r="A69" s="205" t="s">
        <v>59</v>
      </c>
      <c r="B69" s="234" t="s">
        <v>448</v>
      </c>
      <c r="C69" s="149">
        <v>2018</v>
      </c>
      <c r="D69" s="150" t="s">
        <v>476</v>
      </c>
      <c r="E69" s="205" t="s">
        <v>309</v>
      </c>
      <c r="F69" s="205" t="s">
        <v>302</v>
      </c>
      <c r="G69" s="205" t="s">
        <v>36</v>
      </c>
      <c r="H69" s="205" t="s">
        <v>155</v>
      </c>
      <c r="I69" s="205" t="s">
        <v>153</v>
      </c>
      <c r="J69" s="205" t="s">
        <v>38</v>
      </c>
      <c r="K69" s="205" t="s">
        <v>154</v>
      </c>
      <c r="L69" s="205">
        <v>2</v>
      </c>
      <c r="N69" s="205">
        <v>4</v>
      </c>
      <c r="O69" s="205">
        <v>0.55000000000000004</v>
      </c>
      <c r="P69" s="205">
        <v>0.5</v>
      </c>
      <c r="Q69" s="242">
        <f t="shared" si="4"/>
        <v>0.52500000000000002</v>
      </c>
      <c r="R69" s="205">
        <v>12.5</v>
      </c>
      <c r="S69" s="205">
        <v>90</v>
      </c>
      <c r="T69" s="214">
        <f t="shared" si="5"/>
        <v>36</v>
      </c>
      <c r="U69" s="205">
        <v>386</v>
      </c>
      <c r="V69" s="214">
        <f t="shared" si="3"/>
        <v>16</v>
      </c>
      <c r="W69" s="205">
        <v>6</v>
      </c>
      <c r="X69" s="205" t="s">
        <v>39</v>
      </c>
      <c r="Y69" s="205" t="s">
        <v>84</v>
      </c>
      <c r="Z69" s="205" t="s">
        <v>90</v>
      </c>
      <c r="AA69" s="205" t="s">
        <v>69</v>
      </c>
      <c r="AB69" s="234" t="s">
        <v>441</v>
      </c>
    </row>
    <row r="70" spans="1:28" x14ac:dyDescent="0.15">
      <c r="A70" s="205" t="s">
        <v>59</v>
      </c>
      <c r="B70" s="234" t="s">
        <v>448</v>
      </c>
      <c r="C70" s="149">
        <v>2018</v>
      </c>
      <c r="D70" s="150" t="s">
        <v>476</v>
      </c>
      <c r="E70" s="205" t="s">
        <v>309</v>
      </c>
      <c r="F70" s="205" t="s">
        <v>302</v>
      </c>
      <c r="G70" s="205" t="s">
        <v>36</v>
      </c>
      <c r="H70" s="205" t="s">
        <v>155</v>
      </c>
      <c r="I70" s="205" t="s">
        <v>153</v>
      </c>
      <c r="J70" s="205" t="s">
        <v>38</v>
      </c>
      <c r="K70" s="205" t="s">
        <v>154</v>
      </c>
      <c r="L70" s="205">
        <v>3</v>
      </c>
      <c r="N70" s="205">
        <v>4</v>
      </c>
      <c r="O70" s="205">
        <v>0.53</v>
      </c>
      <c r="P70" s="205">
        <v>0.61</v>
      </c>
      <c r="Q70" s="242">
        <f t="shared" si="4"/>
        <v>0.57000000000000006</v>
      </c>
      <c r="R70" s="205">
        <v>13.7</v>
      </c>
      <c r="S70" s="205">
        <v>89</v>
      </c>
      <c r="T70" s="214">
        <f t="shared" si="5"/>
        <v>36</v>
      </c>
      <c r="U70" s="205">
        <v>386</v>
      </c>
      <c r="V70" s="214">
        <f t="shared" si="3"/>
        <v>16</v>
      </c>
      <c r="W70" s="205">
        <v>6</v>
      </c>
      <c r="X70" s="205" t="s">
        <v>39</v>
      </c>
      <c r="Y70" s="205" t="s">
        <v>84</v>
      </c>
      <c r="Z70" s="205" t="s">
        <v>90</v>
      </c>
      <c r="AA70" s="205" t="s">
        <v>69</v>
      </c>
      <c r="AB70" s="234" t="s">
        <v>441</v>
      </c>
    </row>
    <row r="71" spans="1:28" x14ac:dyDescent="0.15">
      <c r="B71" s="234"/>
      <c r="C71" s="149"/>
      <c r="D71" s="150"/>
      <c r="Q71" s="242"/>
      <c r="AB71" s="234"/>
    </row>
    <row r="72" spans="1:28" x14ac:dyDescent="0.15">
      <c r="B72" s="234"/>
      <c r="C72" s="149"/>
      <c r="D72" s="150"/>
      <c r="Q72" s="242"/>
      <c r="AB72" s="234"/>
    </row>
    <row r="73" spans="1:28" x14ac:dyDescent="0.15">
      <c r="B73" s="234"/>
      <c r="C73" s="149"/>
      <c r="D73" s="150"/>
      <c r="Q73" s="242"/>
      <c r="AB73" s="234"/>
    </row>
    <row r="74" spans="1:28" x14ac:dyDescent="0.15">
      <c r="B74" s="234"/>
      <c r="C74" s="149"/>
      <c r="D74" s="150"/>
      <c r="Q74" s="242"/>
      <c r="AB74" s="234"/>
    </row>
    <row r="75" spans="1:28" x14ac:dyDescent="0.15">
      <c r="B75" s="234"/>
      <c r="C75" s="149"/>
      <c r="D75" s="150"/>
      <c r="Q75" s="242"/>
      <c r="AB75" s="234"/>
    </row>
    <row r="76" spans="1:28" x14ac:dyDescent="0.15">
      <c r="B76" s="234"/>
      <c r="C76" s="149"/>
      <c r="D76" s="150"/>
      <c r="Q76" s="242"/>
      <c r="AB76" s="234"/>
    </row>
    <row r="77" spans="1:28" x14ac:dyDescent="0.15">
      <c r="B77" s="234"/>
      <c r="C77" s="149"/>
      <c r="Q77" s="242"/>
      <c r="AB77" s="234"/>
    </row>
    <row r="78" spans="1:28" x14ac:dyDescent="0.15">
      <c r="B78" s="234"/>
      <c r="C78" s="149"/>
      <c r="Q78" s="242"/>
      <c r="AB78" s="234"/>
    </row>
    <row r="79" spans="1:28" x14ac:dyDescent="0.15">
      <c r="B79" s="234"/>
      <c r="C79" s="149"/>
      <c r="Q79" s="242"/>
      <c r="AB79" s="234"/>
    </row>
    <row r="80" spans="1:28" x14ac:dyDescent="0.15">
      <c r="B80" s="234"/>
      <c r="C80" s="149"/>
      <c r="Q80" s="242"/>
      <c r="AB80" s="234"/>
    </row>
    <row r="81" spans="2:28" x14ac:dyDescent="0.15">
      <c r="B81" s="234"/>
      <c r="C81" s="149"/>
      <c r="Q81" s="242"/>
      <c r="AB81" s="234"/>
    </row>
    <row r="82" spans="2:28" x14ac:dyDescent="0.15">
      <c r="B82" s="234"/>
      <c r="C82" s="149"/>
      <c r="Q82" s="242"/>
      <c r="AB82" s="234"/>
    </row>
    <row r="83" spans="2:28" x14ac:dyDescent="0.15">
      <c r="B83" s="234"/>
      <c r="C83" s="149"/>
      <c r="Q83" s="242"/>
      <c r="AB83" s="234"/>
    </row>
    <row r="84" spans="2:28" x14ac:dyDescent="0.15">
      <c r="B84" s="234"/>
      <c r="C84" s="149"/>
      <c r="Q84" s="242"/>
      <c r="AB84" s="234"/>
    </row>
    <row r="85" spans="2:28" x14ac:dyDescent="0.15">
      <c r="B85" s="234"/>
      <c r="C85" s="149"/>
      <c r="Q85" s="242"/>
      <c r="AB85" s="234"/>
    </row>
    <row r="86" spans="2:28" x14ac:dyDescent="0.15">
      <c r="B86" s="234"/>
      <c r="C86" s="149"/>
      <c r="Q86" s="242"/>
      <c r="AB86" s="234"/>
    </row>
    <row r="87" spans="2:28" x14ac:dyDescent="0.15">
      <c r="B87" s="234"/>
      <c r="C87" s="149"/>
      <c r="Q87" s="242"/>
      <c r="AB87" s="234"/>
    </row>
    <row r="88" spans="2:28" x14ac:dyDescent="0.15">
      <c r="B88" s="234"/>
      <c r="C88" s="149"/>
      <c r="Q88" s="242"/>
      <c r="AB88" s="234"/>
    </row>
    <row r="89" spans="2:28" x14ac:dyDescent="0.15">
      <c r="B89" s="234"/>
      <c r="C89" s="149"/>
      <c r="Q89" s="242"/>
      <c r="AB89" s="234"/>
    </row>
    <row r="90" spans="2:28" x14ac:dyDescent="0.15">
      <c r="B90" s="234"/>
      <c r="C90" s="149"/>
      <c r="Q90" s="242"/>
      <c r="AB90" s="234"/>
    </row>
    <row r="91" spans="2:28" x14ac:dyDescent="0.15">
      <c r="B91" s="234"/>
      <c r="C91" s="149"/>
      <c r="Q91" s="242"/>
      <c r="AB91" s="234"/>
    </row>
    <row r="92" spans="2:28" x14ac:dyDescent="0.15">
      <c r="B92" s="234"/>
      <c r="C92" s="149"/>
      <c r="Q92" s="242"/>
      <c r="AB92" s="234"/>
    </row>
    <row r="93" spans="2:28" x14ac:dyDescent="0.15">
      <c r="B93" s="234"/>
      <c r="C93" s="149"/>
      <c r="AB93" s="234"/>
    </row>
    <row r="94" spans="2:28" x14ac:dyDescent="0.15">
      <c r="B94" s="234"/>
      <c r="C94" s="149"/>
      <c r="AB94" s="234"/>
    </row>
    <row r="95" spans="2:28" x14ac:dyDescent="0.15">
      <c r="Q95" s="214" t="str">
        <f t="shared" ref="Q95:Q146" si="6">IF(OR(O95="",P95=""),"",AVERAGE(O95,P95))</f>
        <v/>
      </c>
      <c r="T95" s="214" t="str">
        <f t="shared" ref="T95:T146" si="7">IF(H95="","",IF(OR(H95="GREEN",H95="GK"),IF(S95&gt;=$AX$2,VLOOKUP(S95,$AX$2:$AY$12,2,1),""),IF(S95&gt;=$AZ$2,VLOOKUP(S95,$AZ$2:$BA$12,2,1),"")))</f>
        <v/>
      </c>
      <c r="V95" s="214" t="str">
        <f t="shared" ref="V95:V146" si="8">IF(J95="","",IF(OR(J95="GREEN",J95="GK"),IF(U95&gt;=$AX$2,VLOOKUP(U95,$AX$2:$AY$12,2,1),""),IF(U95&gt;=$AZ$2,VLOOKUP(U95,$AZ$2:$BA$12,2,1),"")))</f>
        <v/>
      </c>
      <c r="AB95" s="234"/>
    </row>
    <row r="96" spans="2:28" x14ac:dyDescent="0.15">
      <c r="Q96" s="214" t="str">
        <f t="shared" si="6"/>
        <v/>
      </c>
      <c r="T96" s="214" t="str">
        <f t="shared" si="7"/>
        <v/>
      </c>
      <c r="V96" s="214" t="str">
        <f t="shared" si="8"/>
        <v/>
      </c>
    </row>
    <row r="97" spans="17:22" x14ac:dyDescent="0.15">
      <c r="Q97" s="214" t="str">
        <f t="shared" si="6"/>
        <v/>
      </c>
      <c r="T97" s="214" t="str">
        <f t="shared" si="7"/>
        <v/>
      </c>
      <c r="V97" s="214" t="str">
        <f t="shared" si="8"/>
        <v/>
      </c>
    </row>
    <row r="98" spans="17:22" x14ac:dyDescent="0.15">
      <c r="Q98" s="214" t="str">
        <f t="shared" si="6"/>
        <v/>
      </c>
      <c r="T98" s="214" t="str">
        <f t="shared" si="7"/>
        <v/>
      </c>
      <c r="V98" s="214" t="str">
        <f t="shared" si="8"/>
        <v/>
      </c>
    </row>
    <row r="99" spans="17:22" x14ac:dyDescent="0.15">
      <c r="Q99" s="214" t="str">
        <f t="shared" si="6"/>
        <v/>
      </c>
      <c r="T99" s="214" t="str">
        <f t="shared" si="7"/>
        <v/>
      </c>
      <c r="V99" s="214" t="str">
        <f t="shared" si="8"/>
        <v/>
      </c>
    </row>
    <row r="100" spans="17:22" x14ac:dyDescent="0.15">
      <c r="Q100" s="214" t="str">
        <f t="shared" si="6"/>
        <v/>
      </c>
      <c r="T100" s="214" t="str">
        <f t="shared" si="7"/>
        <v/>
      </c>
      <c r="V100" s="214" t="str">
        <f t="shared" si="8"/>
        <v/>
      </c>
    </row>
    <row r="101" spans="17:22" x14ac:dyDescent="0.15">
      <c r="Q101" s="214" t="str">
        <f t="shared" si="6"/>
        <v/>
      </c>
      <c r="T101" s="214" t="str">
        <f t="shared" si="7"/>
        <v/>
      </c>
      <c r="V101" s="214" t="str">
        <f t="shared" si="8"/>
        <v/>
      </c>
    </row>
    <row r="102" spans="17:22" x14ac:dyDescent="0.15">
      <c r="Q102" s="214" t="str">
        <f t="shared" si="6"/>
        <v/>
      </c>
      <c r="T102" s="214" t="str">
        <f t="shared" si="7"/>
        <v/>
      </c>
      <c r="V102" s="214" t="str">
        <f t="shared" si="8"/>
        <v/>
      </c>
    </row>
    <row r="103" spans="17:22" x14ac:dyDescent="0.15">
      <c r="Q103" s="214" t="str">
        <f t="shared" si="6"/>
        <v/>
      </c>
      <c r="T103" s="214" t="str">
        <f t="shared" si="7"/>
        <v/>
      </c>
      <c r="V103" s="214" t="str">
        <f t="shared" si="8"/>
        <v/>
      </c>
    </row>
    <row r="104" spans="17:22" x14ac:dyDescent="0.15">
      <c r="Q104" s="214" t="str">
        <f t="shared" si="6"/>
        <v/>
      </c>
      <c r="T104" s="214" t="str">
        <f t="shared" si="7"/>
        <v/>
      </c>
      <c r="V104" s="214" t="str">
        <f t="shared" si="8"/>
        <v/>
      </c>
    </row>
    <row r="105" spans="17:22" x14ac:dyDescent="0.15">
      <c r="Q105" s="214" t="str">
        <f t="shared" si="6"/>
        <v/>
      </c>
      <c r="T105" s="214" t="str">
        <f t="shared" si="7"/>
        <v/>
      </c>
      <c r="V105" s="214" t="str">
        <f t="shared" si="8"/>
        <v/>
      </c>
    </row>
    <row r="106" spans="17:22" x14ac:dyDescent="0.15">
      <c r="Q106" s="214" t="str">
        <f t="shared" si="6"/>
        <v/>
      </c>
      <c r="T106" s="214" t="str">
        <f t="shared" si="7"/>
        <v/>
      </c>
      <c r="V106" s="214" t="str">
        <f t="shared" si="8"/>
        <v/>
      </c>
    </row>
    <row r="107" spans="17:22" x14ac:dyDescent="0.15">
      <c r="Q107" s="214" t="str">
        <f t="shared" si="6"/>
        <v/>
      </c>
      <c r="T107" s="214" t="str">
        <f t="shared" si="7"/>
        <v/>
      </c>
      <c r="V107" s="214" t="str">
        <f t="shared" si="8"/>
        <v/>
      </c>
    </row>
    <row r="108" spans="17:22" x14ac:dyDescent="0.15">
      <c r="Q108" s="214" t="str">
        <f t="shared" si="6"/>
        <v/>
      </c>
      <c r="T108" s="214" t="str">
        <f t="shared" si="7"/>
        <v/>
      </c>
      <c r="V108" s="214" t="str">
        <f t="shared" si="8"/>
        <v/>
      </c>
    </row>
    <row r="109" spans="17:22" x14ac:dyDescent="0.15">
      <c r="Q109" s="214" t="str">
        <f t="shared" si="6"/>
        <v/>
      </c>
      <c r="T109" s="214" t="str">
        <f t="shared" si="7"/>
        <v/>
      </c>
      <c r="V109" s="214" t="str">
        <f t="shared" si="8"/>
        <v/>
      </c>
    </row>
    <row r="110" spans="17:22" x14ac:dyDescent="0.15">
      <c r="Q110" s="214" t="str">
        <f t="shared" si="6"/>
        <v/>
      </c>
      <c r="T110" s="214" t="str">
        <f t="shared" si="7"/>
        <v/>
      </c>
      <c r="V110" s="214" t="str">
        <f t="shared" si="8"/>
        <v/>
      </c>
    </row>
    <row r="111" spans="17:22" x14ac:dyDescent="0.15">
      <c r="Q111" s="214" t="str">
        <f t="shared" si="6"/>
        <v/>
      </c>
      <c r="T111" s="214" t="str">
        <f t="shared" si="7"/>
        <v/>
      </c>
      <c r="V111" s="214" t="str">
        <f t="shared" si="8"/>
        <v/>
      </c>
    </row>
    <row r="112" spans="17:22" x14ac:dyDescent="0.15">
      <c r="Q112" s="214" t="str">
        <f t="shared" si="6"/>
        <v/>
      </c>
      <c r="T112" s="214" t="str">
        <f t="shared" si="7"/>
        <v/>
      </c>
      <c r="V112" s="214" t="str">
        <f t="shared" si="8"/>
        <v/>
      </c>
    </row>
    <row r="113" spans="17:22" x14ac:dyDescent="0.15">
      <c r="Q113" s="214" t="str">
        <f t="shared" si="6"/>
        <v/>
      </c>
      <c r="T113" s="214" t="str">
        <f t="shared" si="7"/>
        <v/>
      </c>
      <c r="V113" s="214" t="str">
        <f t="shared" si="8"/>
        <v/>
      </c>
    </row>
    <row r="114" spans="17:22" x14ac:dyDescent="0.15">
      <c r="Q114" s="214" t="str">
        <f t="shared" si="6"/>
        <v/>
      </c>
      <c r="T114" s="214" t="str">
        <f t="shared" si="7"/>
        <v/>
      </c>
      <c r="V114" s="214" t="str">
        <f t="shared" si="8"/>
        <v/>
      </c>
    </row>
    <row r="115" spans="17:22" x14ac:dyDescent="0.15">
      <c r="Q115" s="214" t="str">
        <f t="shared" si="6"/>
        <v/>
      </c>
      <c r="T115" s="214" t="str">
        <f t="shared" si="7"/>
        <v/>
      </c>
      <c r="V115" s="214" t="str">
        <f t="shared" si="8"/>
        <v/>
      </c>
    </row>
    <row r="116" spans="17:22" x14ac:dyDescent="0.15">
      <c r="Q116" s="214" t="str">
        <f t="shared" si="6"/>
        <v/>
      </c>
      <c r="T116" s="214" t="str">
        <f t="shared" si="7"/>
        <v/>
      </c>
      <c r="V116" s="214" t="str">
        <f t="shared" si="8"/>
        <v/>
      </c>
    </row>
    <row r="117" spans="17:22" x14ac:dyDescent="0.15">
      <c r="Q117" s="214" t="str">
        <f t="shared" si="6"/>
        <v/>
      </c>
      <c r="T117" s="214" t="str">
        <f t="shared" si="7"/>
        <v/>
      </c>
      <c r="V117" s="214" t="str">
        <f t="shared" si="8"/>
        <v/>
      </c>
    </row>
    <row r="118" spans="17:22" x14ac:dyDescent="0.15">
      <c r="Q118" s="214" t="str">
        <f t="shared" si="6"/>
        <v/>
      </c>
      <c r="T118" s="214" t="str">
        <f t="shared" si="7"/>
        <v/>
      </c>
      <c r="V118" s="214" t="str">
        <f t="shared" si="8"/>
        <v/>
      </c>
    </row>
    <row r="119" spans="17:22" x14ac:dyDescent="0.15">
      <c r="Q119" s="214" t="str">
        <f t="shared" si="6"/>
        <v/>
      </c>
      <c r="T119" s="214" t="str">
        <f t="shared" si="7"/>
        <v/>
      </c>
      <c r="V119" s="214" t="str">
        <f t="shared" si="8"/>
        <v/>
      </c>
    </row>
    <row r="120" spans="17:22" x14ac:dyDescent="0.15">
      <c r="Q120" s="214" t="str">
        <f t="shared" si="6"/>
        <v/>
      </c>
      <c r="T120" s="214" t="str">
        <f t="shared" si="7"/>
        <v/>
      </c>
      <c r="V120" s="214" t="str">
        <f t="shared" si="8"/>
        <v/>
      </c>
    </row>
    <row r="121" spans="17:22" x14ac:dyDescent="0.15">
      <c r="Q121" s="214" t="str">
        <f t="shared" si="6"/>
        <v/>
      </c>
      <c r="T121" s="214" t="str">
        <f t="shared" si="7"/>
        <v/>
      </c>
      <c r="V121" s="214" t="str">
        <f t="shared" si="8"/>
        <v/>
      </c>
    </row>
    <row r="122" spans="17:22" x14ac:dyDescent="0.15">
      <c r="Q122" s="214" t="str">
        <f t="shared" si="6"/>
        <v/>
      </c>
      <c r="T122" s="214" t="str">
        <f t="shared" si="7"/>
        <v/>
      </c>
      <c r="V122" s="214" t="str">
        <f t="shared" si="8"/>
        <v/>
      </c>
    </row>
    <row r="123" spans="17:22" x14ac:dyDescent="0.15">
      <c r="Q123" s="214" t="str">
        <f t="shared" si="6"/>
        <v/>
      </c>
      <c r="T123" s="214" t="str">
        <f t="shared" si="7"/>
        <v/>
      </c>
      <c r="V123" s="214" t="str">
        <f t="shared" si="8"/>
        <v/>
      </c>
    </row>
    <row r="124" spans="17:22" x14ac:dyDescent="0.15">
      <c r="Q124" s="214" t="str">
        <f t="shared" si="6"/>
        <v/>
      </c>
      <c r="T124" s="214" t="str">
        <f t="shared" si="7"/>
        <v/>
      </c>
      <c r="V124" s="214" t="str">
        <f t="shared" si="8"/>
        <v/>
      </c>
    </row>
    <row r="125" spans="17:22" x14ac:dyDescent="0.15">
      <c r="Q125" s="214" t="str">
        <f t="shared" si="6"/>
        <v/>
      </c>
      <c r="T125" s="214" t="str">
        <f t="shared" si="7"/>
        <v/>
      </c>
      <c r="V125" s="214" t="str">
        <f t="shared" si="8"/>
        <v/>
      </c>
    </row>
    <row r="126" spans="17:22" x14ac:dyDescent="0.15">
      <c r="Q126" s="214" t="str">
        <f t="shared" si="6"/>
        <v/>
      </c>
      <c r="T126" s="214" t="str">
        <f t="shared" si="7"/>
        <v/>
      </c>
      <c r="V126" s="214" t="str">
        <f t="shared" si="8"/>
        <v/>
      </c>
    </row>
    <row r="127" spans="17:22" x14ac:dyDescent="0.15">
      <c r="Q127" s="214" t="str">
        <f t="shared" si="6"/>
        <v/>
      </c>
      <c r="T127" s="214" t="str">
        <f t="shared" si="7"/>
        <v/>
      </c>
      <c r="V127" s="214" t="str">
        <f t="shared" si="8"/>
        <v/>
      </c>
    </row>
    <row r="128" spans="17:22" x14ac:dyDescent="0.15">
      <c r="Q128" s="214" t="str">
        <f t="shared" si="6"/>
        <v/>
      </c>
      <c r="T128" s="214" t="str">
        <f t="shared" si="7"/>
        <v/>
      </c>
      <c r="V128" s="214" t="str">
        <f t="shared" si="8"/>
        <v/>
      </c>
    </row>
    <row r="129" spans="17:22" x14ac:dyDescent="0.15">
      <c r="Q129" s="214" t="str">
        <f t="shared" si="6"/>
        <v/>
      </c>
      <c r="T129" s="214" t="str">
        <f t="shared" si="7"/>
        <v/>
      </c>
      <c r="V129" s="214" t="str">
        <f t="shared" si="8"/>
        <v/>
      </c>
    </row>
    <row r="130" spans="17:22" x14ac:dyDescent="0.15">
      <c r="Q130" s="214" t="str">
        <f t="shared" si="6"/>
        <v/>
      </c>
      <c r="T130" s="214" t="str">
        <f t="shared" si="7"/>
        <v/>
      </c>
      <c r="V130" s="214" t="str">
        <f t="shared" si="8"/>
        <v/>
      </c>
    </row>
    <row r="131" spans="17:22" x14ac:dyDescent="0.15">
      <c r="Q131" s="214" t="str">
        <f t="shared" si="6"/>
        <v/>
      </c>
      <c r="T131" s="214" t="str">
        <f t="shared" si="7"/>
        <v/>
      </c>
      <c r="V131" s="214" t="str">
        <f t="shared" si="8"/>
        <v/>
      </c>
    </row>
    <row r="132" spans="17:22" x14ac:dyDescent="0.15">
      <c r="Q132" s="214" t="str">
        <f t="shared" si="6"/>
        <v/>
      </c>
      <c r="T132" s="214" t="str">
        <f t="shared" si="7"/>
        <v/>
      </c>
      <c r="V132" s="214" t="str">
        <f t="shared" si="8"/>
        <v/>
      </c>
    </row>
    <row r="133" spans="17:22" x14ac:dyDescent="0.15">
      <c r="Q133" s="214" t="str">
        <f t="shared" si="6"/>
        <v/>
      </c>
      <c r="T133" s="214" t="str">
        <f t="shared" si="7"/>
        <v/>
      </c>
      <c r="V133" s="214" t="str">
        <f t="shared" si="8"/>
        <v/>
      </c>
    </row>
    <row r="134" spans="17:22" x14ac:dyDescent="0.15">
      <c r="Q134" s="214" t="str">
        <f t="shared" si="6"/>
        <v/>
      </c>
      <c r="T134" s="214" t="str">
        <f t="shared" si="7"/>
        <v/>
      </c>
      <c r="V134" s="214" t="str">
        <f t="shared" si="8"/>
        <v/>
      </c>
    </row>
    <row r="135" spans="17:22" x14ac:dyDescent="0.15">
      <c r="Q135" s="214" t="str">
        <f t="shared" si="6"/>
        <v/>
      </c>
      <c r="T135" s="214" t="str">
        <f t="shared" si="7"/>
        <v/>
      </c>
      <c r="V135" s="214" t="str">
        <f t="shared" si="8"/>
        <v/>
      </c>
    </row>
    <row r="136" spans="17:22" x14ac:dyDescent="0.15">
      <c r="Q136" s="214" t="str">
        <f t="shared" si="6"/>
        <v/>
      </c>
      <c r="T136" s="214" t="str">
        <f t="shared" si="7"/>
        <v/>
      </c>
      <c r="V136" s="214" t="str">
        <f t="shared" si="8"/>
        <v/>
      </c>
    </row>
    <row r="137" spans="17:22" x14ac:dyDescent="0.15">
      <c r="Q137" s="214" t="str">
        <f t="shared" si="6"/>
        <v/>
      </c>
      <c r="T137" s="214" t="str">
        <f t="shared" si="7"/>
        <v/>
      </c>
      <c r="V137" s="214" t="str">
        <f t="shared" si="8"/>
        <v/>
      </c>
    </row>
    <row r="138" spans="17:22" x14ac:dyDescent="0.15">
      <c r="Q138" s="214" t="str">
        <f t="shared" si="6"/>
        <v/>
      </c>
      <c r="T138" s="214" t="str">
        <f t="shared" si="7"/>
        <v/>
      </c>
      <c r="V138" s="214" t="str">
        <f t="shared" si="8"/>
        <v/>
      </c>
    </row>
    <row r="139" spans="17:22" x14ac:dyDescent="0.15">
      <c r="Q139" s="214" t="str">
        <f t="shared" si="6"/>
        <v/>
      </c>
      <c r="T139" s="214" t="str">
        <f t="shared" si="7"/>
        <v/>
      </c>
      <c r="V139" s="214" t="str">
        <f t="shared" si="8"/>
        <v/>
      </c>
    </row>
    <row r="140" spans="17:22" x14ac:dyDescent="0.15">
      <c r="Q140" s="214" t="str">
        <f t="shared" si="6"/>
        <v/>
      </c>
      <c r="T140" s="214" t="str">
        <f t="shared" si="7"/>
        <v/>
      </c>
      <c r="V140" s="214" t="str">
        <f t="shared" si="8"/>
        <v/>
      </c>
    </row>
    <row r="141" spans="17:22" x14ac:dyDescent="0.15">
      <c r="Q141" s="214" t="str">
        <f t="shared" si="6"/>
        <v/>
      </c>
      <c r="T141" s="214" t="str">
        <f t="shared" si="7"/>
        <v/>
      </c>
      <c r="V141" s="214" t="str">
        <f t="shared" si="8"/>
        <v/>
      </c>
    </row>
    <row r="142" spans="17:22" x14ac:dyDescent="0.15">
      <c r="Q142" s="214" t="str">
        <f t="shared" si="6"/>
        <v/>
      </c>
      <c r="T142" s="214" t="str">
        <f t="shared" si="7"/>
        <v/>
      </c>
      <c r="V142" s="214" t="str">
        <f t="shared" si="8"/>
        <v/>
      </c>
    </row>
    <row r="143" spans="17:22" x14ac:dyDescent="0.15">
      <c r="Q143" s="214" t="str">
        <f t="shared" si="6"/>
        <v/>
      </c>
      <c r="T143" s="214" t="str">
        <f t="shared" si="7"/>
        <v/>
      </c>
      <c r="V143" s="214" t="str">
        <f t="shared" si="8"/>
        <v/>
      </c>
    </row>
    <row r="144" spans="17:22" x14ac:dyDescent="0.15">
      <c r="Q144" s="214" t="str">
        <f t="shared" si="6"/>
        <v/>
      </c>
      <c r="T144" s="214" t="str">
        <f t="shared" si="7"/>
        <v/>
      </c>
      <c r="V144" s="214" t="str">
        <f t="shared" si="8"/>
        <v/>
      </c>
    </row>
    <row r="145" spans="17:22" x14ac:dyDescent="0.15">
      <c r="Q145" s="214" t="str">
        <f t="shared" si="6"/>
        <v/>
      </c>
      <c r="T145" s="214" t="str">
        <f t="shared" si="7"/>
        <v/>
      </c>
      <c r="V145" s="214" t="str">
        <f t="shared" si="8"/>
        <v/>
      </c>
    </row>
    <row r="146" spans="17:22" x14ac:dyDescent="0.15">
      <c r="Q146" s="214" t="str">
        <f t="shared" si="6"/>
        <v/>
      </c>
      <c r="T146" s="214" t="str">
        <f t="shared" si="7"/>
        <v/>
      </c>
      <c r="V146" s="214" t="str">
        <f t="shared" si="8"/>
        <v/>
      </c>
    </row>
  </sheetData>
  <autoFilter ref="A1:BA146"/>
  <phoneticPr fontId="3"/>
  <dataValidations count="19">
    <dataValidation type="list" allowBlank="1" showInputMessage="1" showErrorMessage="1" sqref="K2:K428">
      <formula1>$AR$2:$AR$27</formula1>
    </dataValidation>
    <dataValidation type="list" allowBlank="1" showInputMessage="1" showErrorMessage="1" sqref="E2:E486">
      <formula1>$AG$2:$AG$11</formula1>
    </dataValidation>
    <dataValidation type="list" allowBlank="1" showInputMessage="1" showErrorMessage="1" sqref="H2:H486">
      <formula1>$AL$2:$AL$8</formula1>
    </dataValidation>
    <dataValidation type="decimal" allowBlank="1" showInputMessage="1" showErrorMessage="1" error="硬度を正しく入力して下さい。" sqref="O2:P486">
      <formula1>0</formula1>
      <formula2>7</formula2>
    </dataValidation>
    <dataValidation type="list" allowBlank="1" showInputMessage="1" showErrorMessage="1" sqref="F2:F1440">
      <formula1>$AH$2:$AH$11</formula1>
    </dataValidation>
    <dataValidation type="list" allowBlank="1" showInputMessage="1" showErrorMessage="1" sqref="Y2:AA577">
      <formula1>$AV$2:$AV$38</formula1>
    </dataValidation>
    <dataValidation type="list" allowBlank="1" showInputMessage="1" showErrorMessage="1" sqref="J2:J49 J56:J58">
      <formula1>$AP$2:$AP$38</formula1>
    </dataValidation>
    <dataValidation type="list" allowBlank="1" showInputMessage="1" showErrorMessage="1" sqref="WVS983028:WVS983093 TC2:TC70 AMU2:AMU70 AWQ2:AWQ70 BGM2:BGM70 BQI2:BQI70 CAE2:CAE70 CKA2:CKA70 CTW2:CTW70 DDS2:DDS70 DNO2:DNO70 DXK2:DXK70 EHG2:EHG70 ERC2:ERC70 FAY2:FAY70 FKU2:FKU70 FUQ2:FUQ70 GEM2:GEM70 GOI2:GOI70 GYE2:GYE70 HIA2:HIA70 HRW2:HRW70 IBS2:IBS70 ILO2:ILO70 IVK2:IVK70 JFG2:JFG70 JPC2:JPC70 JYY2:JYY70 KIU2:KIU70 KSQ2:KSQ70 LCM2:LCM70 LMI2:LMI70 LWE2:LWE70 MGA2:MGA70 MPW2:MPW70 MZS2:MZS70 NJO2:NJO70 NTK2:NTK70 ODG2:ODG70 ONC2:ONC70 OWY2:OWY70 PGU2:PGU70 PQQ2:PQQ70 QAM2:QAM70 QKI2:QKI70 QUE2:QUE70 REA2:REA70 RNW2:RNW70 RXS2:RXS70 SHO2:SHO70 SRK2:SRK70 TBG2:TBG70 TLC2:TLC70 TUY2:TUY70 UEU2:UEU70 UOQ2:UOQ70 UYM2:UYM70 VII2:VII70 VSE2:VSE70 WCA2:WCA70 WLW2:WLW70 WVS2:WVS70 JG2:JG70 ACY2:ACY70 JG65524:JG65589 TC65524:TC65589 ACY65524:ACY65589 AMU65524:AMU65589 AWQ65524:AWQ65589 BGM65524:BGM65589 BQI65524:BQI65589 CAE65524:CAE65589 CKA65524:CKA65589 CTW65524:CTW65589 DDS65524:DDS65589 DNO65524:DNO65589 DXK65524:DXK65589 EHG65524:EHG65589 ERC65524:ERC65589 FAY65524:FAY65589 FKU65524:FKU65589 FUQ65524:FUQ65589 GEM65524:GEM65589 GOI65524:GOI65589 GYE65524:GYE65589 HIA65524:HIA65589 HRW65524:HRW65589 IBS65524:IBS65589 ILO65524:ILO65589 IVK65524:IVK65589 JFG65524:JFG65589 JPC65524:JPC65589 JYY65524:JYY65589 KIU65524:KIU65589 KSQ65524:KSQ65589 LCM65524:LCM65589 LMI65524:LMI65589 LWE65524:LWE65589 MGA65524:MGA65589 MPW65524:MPW65589 MZS65524:MZS65589 NJO65524:NJO65589 NTK65524:NTK65589 ODG65524:ODG65589 ONC65524:ONC65589 OWY65524:OWY65589 PGU65524:PGU65589 PQQ65524:PQQ65589 QAM65524:QAM65589 QKI65524:QKI65589 QUE65524:QUE65589 REA65524:REA65589 RNW65524:RNW65589 RXS65524:RXS65589 SHO65524:SHO65589 SRK65524:SRK65589 TBG65524:TBG65589 TLC65524:TLC65589 TUY65524:TUY65589 UEU65524:UEU65589 UOQ65524:UOQ65589 UYM65524:UYM65589 VII65524:VII65589 VSE65524:VSE65589 WCA65524:WCA65589 WLW65524:WLW65589 WVS65524:WVS65589 K131060:K131125 JG131060:JG131125 TC131060:TC131125 ACY131060:ACY131125 AMU131060:AMU131125 AWQ131060:AWQ131125 BGM131060:BGM131125 BQI131060:BQI131125 CAE131060:CAE131125 CKA131060:CKA131125 CTW131060:CTW131125 DDS131060:DDS131125 DNO131060:DNO131125 DXK131060:DXK131125 EHG131060:EHG131125 ERC131060:ERC131125 FAY131060:FAY131125 FKU131060:FKU131125 FUQ131060:FUQ131125 GEM131060:GEM131125 GOI131060:GOI131125 GYE131060:GYE131125 HIA131060:HIA131125 HRW131060:HRW131125 IBS131060:IBS131125 ILO131060:ILO131125 IVK131060:IVK131125 JFG131060:JFG131125 JPC131060:JPC131125 JYY131060:JYY131125 KIU131060:KIU131125 KSQ131060:KSQ131125 LCM131060:LCM131125 LMI131060:LMI131125 LWE131060:LWE131125 MGA131060:MGA131125 MPW131060:MPW131125 MZS131060:MZS131125 NJO131060:NJO131125 NTK131060:NTK131125 ODG131060:ODG131125 ONC131060:ONC131125 OWY131060:OWY131125 PGU131060:PGU131125 PQQ131060:PQQ131125 QAM131060:QAM131125 QKI131060:QKI131125 QUE131060:QUE131125 REA131060:REA131125 RNW131060:RNW131125 RXS131060:RXS131125 SHO131060:SHO131125 SRK131060:SRK131125 TBG131060:TBG131125 TLC131060:TLC131125 TUY131060:TUY131125 UEU131060:UEU131125 UOQ131060:UOQ131125 UYM131060:UYM131125 VII131060:VII131125 VSE131060:VSE131125 WCA131060:WCA131125 WLW131060:WLW131125 WVS131060:WVS131125 K196596:K196661 JG196596:JG196661 TC196596:TC196661 ACY196596:ACY196661 AMU196596:AMU196661 AWQ196596:AWQ196661 BGM196596:BGM196661 BQI196596:BQI196661 CAE196596:CAE196661 CKA196596:CKA196661 CTW196596:CTW196661 DDS196596:DDS196661 DNO196596:DNO196661 DXK196596:DXK196661 EHG196596:EHG196661 ERC196596:ERC196661 FAY196596:FAY196661 FKU196596:FKU196661 FUQ196596:FUQ196661 GEM196596:GEM196661 GOI196596:GOI196661 GYE196596:GYE196661 HIA196596:HIA196661 HRW196596:HRW196661 IBS196596:IBS196661 ILO196596:ILO196661 IVK196596:IVK196661 JFG196596:JFG196661 JPC196596:JPC196661 JYY196596:JYY196661 KIU196596:KIU196661 KSQ196596:KSQ196661 LCM196596:LCM196661 LMI196596:LMI196661 LWE196596:LWE196661 MGA196596:MGA196661 MPW196596:MPW196661 MZS196596:MZS196661 NJO196596:NJO196661 NTK196596:NTK196661 ODG196596:ODG196661 ONC196596:ONC196661 OWY196596:OWY196661 PGU196596:PGU196661 PQQ196596:PQQ196661 QAM196596:QAM196661 QKI196596:QKI196661 QUE196596:QUE196661 REA196596:REA196661 RNW196596:RNW196661 RXS196596:RXS196661 SHO196596:SHO196661 SRK196596:SRK196661 TBG196596:TBG196661 TLC196596:TLC196661 TUY196596:TUY196661 UEU196596:UEU196661 UOQ196596:UOQ196661 UYM196596:UYM196661 VII196596:VII196661 VSE196596:VSE196661 WCA196596:WCA196661 WLW196596:WLW196661 WVS196596:WVS196661 K262132:K262197 JG262132:JG262197 TC262132:TC262197 ACY262132:ACY262197 AMU262132:AMU262197 AWQ262132:AWQ262197 BGM262132:BGM262197 BQI262132:BQI262197 CAE262132:CAE262197 CKA262132:CKA262197 CTW262132:CTW262197 DDS262132:DDS262197 DNO262132:DNO262197 DXK262132:DXK262197 EHG262132:EHG262197 ERC262132:ERC262197 FAY262132:FAY262197 FKU262132:FKU262197 FUQ262132:FUQ262197 GEM262132:GEM262197 GOI262132:GOI262197 GYE262132:GYE262197 HIA262132:HIA262197 HRW262132:HRW262197 IBS262132:IBS262197 ILO262132:ILO262197 IVK262132:IVK262197 JFG262132:JFG262197 JPC262132:JPC262197 JYY262132:JYY262197 KIU262132:KIU262197 KSQ262132:KSQ262197 LCM262132:LCM262197 LMI262132:LMI262197 LWE262132:LWE262197 MGA262132:MGA262197 MPW262132:MPW262197 MZS262132:MZS262197 NJO262132:NJO262197 NTK262132:NTK262197 ODG262132:ODG262197 ONC262132:ONC262197 OWY262132:OWY262197 PGU262132:PGU262197 PQQ262132:PQQ262197 QAM262132:QAM262197 QKI262132:QKI262197 QUE262132:QUE262197 REA262132:REA262197 RNW262132:RNW262197 RXS262132:RXS262197 SHO262132:SHO262197 SRK262132:SRK262197 TBG262132:TBG262197 TLC262132:TLC262197 TUY262132:TUY262197 UEU262132:UEU262197 UOQ262132:UOQ262197 UYM262132:UYM262197 VII262132:VII262197 VSE262132:VSE262197 WCA262132:WCA262197 WLW262132:WLW262197 WVS262132:WVS262197 K327668:K327733 JG327668:JG327733 TC327668:TC327733 ACY327668:ACY327733 AMU327668:AMU327733 AWQ327668:AWQ327733 BGM327668:BGM327733 BQI327668:BQI327733 CAE327668:CAE327733 CKA327668:CKA327733 CTW327668:CTW327733 DDS327668:DDS327733 DNO327668:DNO327733 DXK327668:DXK327733 EHG327668:EHG327733 ERC327668:ERC327733 FAY327668:FAY327733 FKU327668:FKU327733 FUQ327668:FUQ327733 GEM327668:GEM327733 GOI327668:GOI327733 GYE327668:GYE327733 HIA327668:HIA327733 HRW327668:HRW327733 IBS327668:IBS327733 ILO327668:ILO327733 IVK327668:IVK327733 JFG327668:JFG327733 JPC327668:JPC327733 JYY327668:JYY327733 KIU327668:KIU327733 KSQ327668:KSQ327733 LCM327668:LCM327733 LMI327668:LMI327733 LWE327668:LWE327733 MGA327668:MGA327733 MPW327668:MPW327733 MZS327668:MZS327733 NJO327668:NJO327733 NTK327668:NTK327733 ODG327668:ODG327733 ONC327668:ONC327733 OWY327668:OWY327733 PGU327668:PGU327733 PQQ327668:PQQ327733 QAM327668:QAM327733 QKI327668:QKI327733 QUE327668:QUE327733 REA327668:REA327733 RNW327668:RNW327733 RXS327668:RXS327733 SHO327668:SHO327733 SRK327668:SRK327733 TBG327668:TBG327733 TLC327668:TLC327733 TUY327668:TUY327733 UEU327668:UEU327733 UOQ327668:UOQ327733 UYM327668:UYM327733 VII327668:VII327733 VSE327668:VSE327733 WCA327668:WCA327733 WLW327668:WLW327733 WVS327668:WVS327733 K393204:K393269 JG393204:JG393269 TC393204:TC393269 ACY393204:ACY393269 AMU393204:AMU393269 AWQ393204:AWQ393269 BGM393204:BGM393269 BQI393204:BQI393269 CAE393204:CAE393269 CKA393204:CKA393269 CTW393204:CTW393269 DDS393204:DDS393269 DNO393204:DNO393269 DXK393204:DXK393269 EHG393204:EHG393269 ERC393204:ERC393269 FAY393204:FAY393269 FKU393204:FKU393269 FUQ393204:FUQ393269 GEM393204:GEM393269 GOI393204:GOI393269 GYE393204:GYE393269 HIA393204:HIA393269 HRW393204:HRW393269 IBS393204:IBS393269 ILO393204:ILO393269 IVK393204:IVK393269 JFG393204:JFG393269 JPC393204:JPC393269 JYY393204:JYY393269 KIU393204:KIU393269 KSQ393204:KSQ393269 LCM393204:LCM393269 LMI393204:LMI393269 LWE393204:LWE393269 MGA393204:MGA393269 MPW393204:MPW393269 MZS393204:MZS393269 NJO393204:NJO393269 NTK393204:NTK393269 ODG393204:ODG393269 ONC393204:ONC393269 OWY393204:OWY393269 PGU393204:PGU393269 PQQ393204:PQQ393269 QAM393204:QAM393269 QKI393204:QKI393269 QUE393204:QUE393269 REA393204:REA393269 RNW393204:RNW393269 RXS393204:RXS393269 SHO393204:SHO393269 SRK393204:SRK393269 TBG393204:TBG393269 TLC393204:TLC393269 TUY393204:TUY393269 UEU393204:UEU393269 UOQ393204:UOQ393269 UYM393204:UYM393269 VII393204:VII393269 VSE393204:VSE393269 WCA393204:WCA393269 WLW393204:WLW393269 WVS393204:WVS393269 K458740:K458805 JG458740:JG458805 TC458740:TC458805 ACY458740:ACY458805 AMU458740:AMU458805 AWQ458740:AWQ458805 BGM458740:BGM458805 BQI458740:BQI458805 CAE458740:CAE458805 CKA458740:CKA458805 CTW458740:CTW458805 DDS458740:DDS458805 DNO458740:DNO458805 DXK458740:DXK458805 EHG458740:EHG458805 ERC458740:ERC458805 FAY458740:FAY458805 FKU458740:FKU458805 FUQ458740:FUQ458805 GEM458740:GEM458805 GOI458740:GOI458805 GYE458740:GYE458805 HIA458740:HIA458805 HRW458740:HRW458805 IBS458740:IBS458805 ILO458740:ILO458805 IVK458740:IVK458805 JFG458740:JFG458805 JPC458740:JPC458805 JYY458740:JYY458805 KIU458740:KIU458805 KSQ458740:KSQ458805 LCM458740:LCM458805 LMI458740:LMI458805 LWE458740:LWE458805 MGA458740:MGA458805 MPW458740:MPW458805 MZS458740:MZS458805 NJO458740:NJO458805 NTK458740:NTK458805 ODG458740:ODG458805 ONC458740:ONC458805 OWY458740:OWY458805 PGU458740:PGU458805 PQQ458740:PQQ458805 QAM458740:QAM458805 QKI458740:QKI458805 QUE458740:QUE458805 REA458740:REA458805 RNW458740:RNW458805 RXS458740:RXS458805 SHO458740:SHO458805 SRK458740:SRK458805 TBG458740:TBG458805 TLC458740:TLC458805 TUY458740:TUY458805 UEU458740:UEU458805 UOQ458740:UOQ458805 UYM458740:UYM458805 VII458740:VII458805 VSE458740:VSE458805 WCA458740:WCA458805 WLW458740:WLW458805 WVS458740:WVS458805 K524276:K524341 JG524276:JG524341 TC524276:TC524341 ACY524276:ACY524341 AMU524276:AMU524341 AWQ524276:AWQ524341 BGM524276:BGM524341 BQI524276:BQI524341 CAE524276:CAE524341 CKA524276:CKA524341 CTW524276:CTW524341 DDS524276:DDS524341 DNO524276:DNO524341 DXK524276:DXK524341 EHG524276:EHG524341 ERC524276:ERC524341 FAY524276:FAY524341 FKU524276:FKU524341 FUQ524276:FUQ524341 GEM524276:GEM524341 GOI524276:GOI524341 GYE524276:GYE524341 HIA524276:HIA524341 HRW524276:HRW524341 IBS524276:IBS524341 ILO524276:ILO524341 IVK524276:IVK524341 JFG524276:JFG524341 JPC524276:JPC524341 JYY524276:JYY524341 KIU524276:KIU524341 KSQ524276:KSQ524341 LCM524276:LCM524341 LMI524276:LMI524341 LWE524276:LWE524341 MGA524276:MGA524341 MPW524276:MPW524341 MZS524276:MZS524341 NJO524276:NJO524341 NTK524276:NTK524341 ODG524276:ODG524341 ONC524276:ONC524341 OWY524276:OWY524341 PGU524276:PGU524341 PQQ524276:PQQ524341 QAM524276:QAM524341 QKI524276:QKI524341 QUE524276:QUE524341 REA524276:REA524341 RNW524276:RNW524341 RXS524276:RXS524341 SHO524276:SHO524341 SRK524276:SRK524341 TBG524276:TBG524341 TLC524276:TLC524341 TUY524276:TUY524341 UEU524276:UEU524341 UOQ524276:UOQ524341 UYM524276:UYM524341 VII524276:VII524341 VSE524276:VSE524341 WCA524276:WCA524341 WLW524276:WLW524341 WVS524276:WVS524341 K589812:K589877 JG589812:JG589877 TC589812:TC589877 ACY589812:ACY589877 AMU589812:AMU589877 AWQ589812:AWQ589877 BGM589812:BGM589877 BQI589812:BQI589877 CAE589812:CAE589877 CKA589812:CKA589877 CTW589812:CTW589877 DDS589812:DDS589877 DNO589812:DNO589877 DXK589812:DXK589877 EHG589812:EHG589877 ERC589812:ERC589877 FAY589812:FAY589877 FKU589812:FKU589877 FUQ589812:FUQ589877 GEM589812:GEM589877 GOI589812:GOI589877 GYE589812:GYE589877 HIA589812:HIA589877 HRW589812:HRW589877 IBS589812:IBS589877 ILO589812:ILO589877 IVK589812:IVK589877 JFG589812:JFG589877 JPC589812:JPC589877 JYY589812:JYY589877 KIU589812:KIU589877 KSQ589812:KSQ589877 LCM589812:LCM589877 LMI589812:LMI589877 LWE589812:LWE589877 MGA589812:MGA589877 MPW589812:MPW589877 MZS589812:MZS589877 NJO589812:NJO589877 NTK589812:NTK589877 ODG589812:ODG589877 ONC589812:ONC589877 OWY589812:OWY589877 PGU589812:PGU589877 PQQ589812:PQQ589877 QAM589812:QAM589877 QKI589812:QKI589877 QUE589812:QUE589877 REA589812:REA589877 RNW589812:RNW589877 RXS589812:RXS589877 SHO589812:SHO589877 SRK589812:SRK589877 TBG589812:TBG589877 TLC589812:TLC589877 TUY589812:TUY589877 UEU589812:UEU589877 UOQ589812:UOQ589877 UYM589812:UYM589877 VII589812:VII589877 VSE589812:VSE589877 WCA589812:WCA589877 WLW589812:WLW589877 WVS589812:WVS589877 K655348:K655413 JG655348:JG655413 TC655348:TC655413 ACY655348:ACY655413 AMU655348:AMU655413 AWQ655348:AWQ655413 BGM655348:BGM655413 BQI655348:BQI655413 CAE655348:CAE655413 CKA655348:CKA655413 CTW655348:CTW655413 DDS655348:DDS655413 DNO655348:DNO655413 DXK655348:DXK655413 EHG655348:EHG655413 ERC655348:ERC655413 FAY655348:FAY655413 FKU655348:FKU655413 FUQ655348:FUQ655413 GEM655348:GEM655413 GOI655348:GOI655413 GYE655348:GYE655413 HIA655348:HIA655413 HRW655348:HRW655413 IBS655348:IBS655413 ILO655348:ILO655413 IVK655348:IVK655413 JFG655348:JFG655413 JPC655348:JPC655413 JYY655348:JYY655413 KIU655348:KIU655413 KSQ655348:KSQ655413 LCM655348:LCM655413 LMI655348:LMI655413 LWE655348:LWE655413 MGA655348:MGA655413 MPW655348:MPW655413 MZS655348:MZS655413 NJO655348:NJO655413 NTK655348:NTK655413 ODG655348:ODG655413 ONC655348:ONC655413 OWY655348:OWY655413 PGU655348:PGU655413 PQQ655348:PQQ655413 QAM655348:QAM655413 QKI655348:QKI655413 QUE655348:QUE655413 REA655348:REA655413 RNW655348:RNW655413 RXS655348:RXS655413 SHO655348:SHO655413 SRK655348:SRK655413 TBG655348:TBG655413 TLC655348:TLC655413 TUY655348:TUY655413 UEU655348:UEU655413 UOQ655348:UOQ655413 UYM655348:UYM655413 VII655348:VII655413 VSE655348:VSE655413 WCA655348:WCA655413 WLW655348:WLW655413 WVS655348:WVS655413 K720884:K720949 JG720884:JG720949 TC720884:TC720949 ACY720884:ACY720949 AMU720884:AMU720949 AWQ720884:AWQ720949 BGM720884:BGM720949 BQI720884:BQI720949 CAE720884:CAE720949 CKA720884:CKA720949 CTW720884:CTW720949 DDS720884:DDS720949 DNO720884:DNO720949 DXK720884:DXK720949 EHG720884:EHG720949 ERC720884:ERC720949 FAY720884:FAY720949 FKU720884:FKU720949 FUQ720884:FUQ720949 GEM720884:GEM720949 GOI720884:GOI720949 GYE720884:GYE720949 HIA720884:HIA720949 HRW720884:HRW720949 IBS720884:IBS720949 ILO720884:ILO720949 IVK720884:IVK720949 JFG720884:JFG720949 JPC720884:JPC720949 JYY720884:JYY720949 KIU720884:KIU720949 KSQ720884:KSQ720949 LCM720884:LCM720949 LMI720884:LMI720949 LWE720884:LWE720949 MGA720884:MGA720949 MPW720884:MPW720949 MZS720884:MZS720949 NJO720884:NJO720949 NTK720884:NTK720949 ODG720884:ODG720949 ONC720884:ONC720949 OWY720884:OWY720949 PGU720884:PGU720949 PQQ720884:PQQ720949 QAM720884:QAM720949 QKI720884:QKI720949 QUE720884:QUE720949 REA720884:REA720949 RNW720884:RNW720949 RXS720884:RXS720949 SHO720884:SHO720949 SRK720884:SRK720949 TBG720884:TBG720949 TLC720884:TLC720949 TUY720884:TUY720949 UEU720884:UEU720949 UOQ720884:UOQ720949 UYM720884:UYM720949 VII720884:VII720949 VSE720884:VSE720949 WCA720884:WCA720949 WLW720884:WLW720949 WVS720884:WVS720949 K786420:K786485 JG786420:JG786485 TC786420:TC786485 ACY786420:ACY786485 AMU786420:AMU786485 AWQ786420:AWQ786485 BGM786420:BGM786485 BQI786420:BQI786485 CAE786420:CAE786485 CKA786420:CKA786485 CTW786420:CTW786485 DDS786420:DDS786485 DNO786420:DNO786485 DXK786420:DXK786485 EHG786420:EHG786485 ERC786420:ERC786485 FAY786420:FAY786485 FKU786420:FKU786485 FUQ786420:FUQ786485 GEM786420:GEM786485 GOI786420:GOI786485 GYE786420:GYE786485 HIA786420:HIA786485 HRW786420:HRW786485 IBS786420:IBS786485 ILO786420:ILO786485 IVK786420:IVK786485 JFG786420:JFG786485 JPC786420:JPC786485 JYY786420:JYY786485 KIU786420:KIU786485 KSQ786420:KSQ786485 LCM786420:LCM786485 LMI786420:LMI786485 LWE786420:LWE786485 MGA786420:MGA786485 MPW786420:MPW786485 MZS786420:MZS786485 NJO786420:NJO786485 NTK786420:NTK786485 ODG786420:ODG786485 ONC786420:ONC786485 OWY786420:OWY786485 PGU786420:PGU786485 PQQ786420:PQQ786485 QAM786420:QAM786485 QKI786420:QKI786485 QUE786420:QUE786485 REA786420:REA786485 RNW786420:RNW786485 RXS786420:RXS786485 SHO786420:SHO786485 SRK786420:SRK786485 TBG786420:TBG786485 TLC786420:TLC786485 TUY786420:TUY786485 UEU786420:UEU786485 UOQ786420:UOQ786485 UYM786420:UYM786485 VII786420:VII786485 VSE786420:VSE786485 WCA786420:WCA786485 WLW786420:WLW786485 WVS786420:WVS786485 K851956:K852021 JG851956:JG852021 TC851956:TC852021 ACY851956:ACY852021 AMU851956:AMU852021 AWQ851956:AWQ852021 BGM851956:BGM852021 BQI851956:BQI852021 CAE851956:CAE852021 CKA851956:CKA852021 CTW851956:CTW852021 DDS851956:DDS852021 DNO851956:DNO852021 DXK851956:DXK852021 EHG851956:EHG852021 ERC851956:ERC852021 FAY851956:FAY852021 FKU851956:FKU852021 FUQ851956:FUQ852021 GEM851956:GEM852021 GOI851956:GOI852021 GYE851956:GYE852021 HIA851956:HIA852021 HRW851956:HRW852021 IBS851956:IBS852021 ILO851956:ILO852021 IVK851956:IVK852021 JFG851956:JFG852021 JPC851956:JPC852021 JYY851956:JYY852021 KIU851956:KIU852021 KSQ851956:KSQ852021 LCM851956:LCM852021 LMI851956:LMI852021 LWE851956:LWE852021 MGA851956:MGA852021 MPW851956:MPW852021 MZS851956:MZS852021 NJO851956:NJO852021 NTK851956:NTK852021 ODG851956:ODG852021 ONC851956:ONC852021 OWY851956:OWY852021 PGU851956:PGU852021 PQQ851956:PQQ852021 QAM851956:QAM852021 QKI851956:QKI852021 QUE851956:QUE852021 REA851956:REA852021 RNW851956:RNW852021 RXS851956:RXS852021 SHO851956:SHO852021 SRK851956:SRK852021 TBG851956:TBG852021 TLC851956:TLC852021 TUY851956:TUY852021 UEU851956:UEU852021 UOQ851956:UOQ852021 UYM851956:UYM852021 VII851956:VII852021 VSE851956:VSE852021 WCA851956:WCA852021 WLW851956:WLW852021 WVS851956:WVS852021 K917492:K917557 JG917492:JG917557 TC917492:TC917557 ACY917492:ACY917557 AMU917492:AMU917557 AWQ917492:AWQ917557 BGM917492:BGM917557 BQI917492:BQI917557 CAE917492:CAE917557 CKA917492:CKA917557 CTW917492:CTW917557 DDS917492:DDS917557 DNO917492:DNO917557 DXK917492:DXK917557 EHG917492:EHG917557 ERC917492:ERC917557 FAY917492:FAY917557 FKU917492:FKU917557 FUQ917492:FUQ917557 GEM917492:GEM917557 GOI917492:GOI917557 GYE917492:GYE917557 HIA917492:HIA917557 HRW917492:HRW917557 IBS917492:IBS917557 ILO917492:ILO917557 IVK917492:IVK917557 JFG917492:JFG917557 JPC917492:JPC917557 JYY917492:JYY917557 KIU917492:KIU917557 KSQ917492:KSQ917557 LCM917492:LCM917557 LMI917492:LMI917557 LWE917492:LWE917557 MGA917492:MGA917557 MPW917492:MPW917557 MZS917492:MZS917557 NJO917492:NJO917557 NTK917492:NTK917557 ODG917492:ODG917557 ONC917492:ONC917557 OWY917492:OWY917557 PGU917492:PGU917557 PQQ917492:PQQ917557 QAM917492:QAM917557 QKI917492:QKI917557 QUE917492:QUE917557 REA917492:REA917557 RNW917492:RNW917557 RXS917492:RXS917557 SHO917492:SHO917557 SRK917492:SRK917557 TBG917492:TBG917557 TLC917492:TLC917557 TUY917492:TUY917557 UEU917492:UEU917557 UOQ917492:UOQ917557 UYM917492:UYM917557 VII917492:VII917557 VSE917492:VSE917557 WCA917492:WCA917557 WLW917492:WLW917557 WVS917492:WVS917557 K983028:K983093 JG983028:JG983093 TC983028:TC983093 ACY983028:ACY983093 AMU983028:AMU983093 AWQ983028:AWQ983093 BGM983028:BGM983093 BQI983028:BQI983093 CAE983028:CAE983093 CKA983028:CKA983093 CTW983028:CTW983093 DDS983028:DDS983093 DNO983028:DNO983093 DXK983028:DXK983093 EHG983028:EHG983093 ERC983028:ERC983093 FAY983028:FAY983093 FKU983028:FKU983093 FUQ983028:FUQ983093 GEM983028:GEM983093 GOI983028:GOI983093 GYE983028:GYE983093 HIA983028:HIA983093 HRW983028:HRW983093 IBS983028:IBS983093 ILO983028:ILO983093 IVK983028:IVK983093 JFG983028:JFG983093 JPC983028:JPC983093 JYY983028:JYY983093 KIU983028:KIU983093 KSQ983028:KSQ983093 LCM983028:LCM983093 LMI983028:LMI983093 LWE983028:LWE983093 MGA983028:MGA983093 MPW983028:MPW983093 MZS983028:MZS983093 NJO983028:NJO983093 NTK983028:NTK983093 ODG983028:ODG983093 ONC983028:ONC983093 OWY983028:OWY983093 PGU983028:PGU983093 PQQ983028:PQQ983093 QAM983028:QAM983093 QKI983028:QKI983093 QUE983028:QUE983093 REA983028:REA983093 RNW983028:RNW983093 RXS983028:RXS983093 SHO983028:SHO983093 SRK983028:SRK983093 TBG983028:TBG983093 TLC983028:TLC983093 TUY983028:TUY983093 UEU983028:UEU983093 UOQ983028:UOQ983093 UYM983028:UYM983093 VII983028:VII983093 VSE983028:VSE983093 WCA983028:WCA983093 WLW983028:WLW983093 K65524:K65589 K429:K486">
      <formula1>$AR$2:$AR$25</formula1>
    </dataValidation>
    <dataValidation type="list" allowBlank="1" showInputMessage="1" showErrorMessage="1" sqref="WVR983028:WVR983093 J59:J486 J50:J55 AWP2:AWP70 BGL2:BGL70 BQH2:BQH70 CAD2:CAD70 CJZ2:CJZ70 CTV2:CTV70 DDR2:DDR70 DNN2:DNN70 DXJ2:DXJ70 EHF2:EHF70 ERB2:ERB70 FAX2:FAX70 FKT2:FKT70 FUP2:FUP70 GEL2:GEL70 GOH2:GOH70 GYD2:GYD70 HHZ2:HHZ70 HRV2:HRV70 IBR2:IBR70 ILN2:ILN70 IVJ2:IVJ70 JFF2:JFF70 JPB2:JPB70 JYX2:JYX70 KIT2:KIT70 KSP2:KSP70 LCL2:LCL70 LMH2:LMH70 LWD2:LWD70 MFZ2:MFZ70 MPV2:MPV70 MZR2:MZR70 NJN2:NJN70 NTJ2:NTJ70 ODF2:ODF70 ONB2:ONB70 OWX2:OWX70 PGT2:PGT70 PQP2:PQP70 QAL2:QAL70 QKH2:QKH70 QUD2:QUD70 RDZ2:RDZ70 RNV2:RNV70 RXR2:RXR70 SHN2:SHN70 SRJ2:SRJ70 TBF2:TBF70 TLB2:TLB70 TUX2:TUX70 UET2:UET70 UOP2:UOP70 UYL2:UYL70 VIH2:VIH70 VSD2:VSD70 WBZ2:WBZ70 WLV2:WLV70 WVR2:WVR70 JF2:JF70 ACX2:ACX70 AMT2:AMT70 TB2:TB70 JF65524:JF65589 TB65524:TB65589 ACX65524:ACX65589 AMT65524:AMT65589 AWP65524:AWP65589 BGL65524:BGL65589 BQH65524:BQH65589 CAD65524:CAD65589 CJZ65524:CJZ65589 CTV65524:CTV65589 DDR65524:DDR65589 DNN65524:DNN65589 DXJ65524:DXJ65589 EHF65524:EHF65589 ERB65524:ERB65589 FAX65524:FAX65589 FKT65524:FKT65589 FUP65524:FUP65589 GEL65524:GEL65589 GOH65524:GOH65589 GYD65524:GYD65589 HHZ65524:HHZ65589 HRV65524:HRV65589 IBR65524:IBR65589 ILN65524:ILN65589 IVJ65524:IVJ65589 JFF65524:JFF65589 JPB65524:JPB65589 JYX65524:JYX65589 KIT65524:KIT65589 KSP65524:KSP65589 LCL65524:LCL65589 LMH65524:LMH65589 LWD65524:LWD65589 MFZ65524:MFZ65589 MPV65524:MPV65589 MZR65524:MZR65589 NJN65524:NJN65589 NTJ65524:NTJ65589 ODF65524:ODF65589 ONB65524:ONB65589 OWX65524:OWX65589 PGT65524:PGT65589 PQP65524:PQP65589 QAL65524:QAL65589 QKH65524:QKH65589 QUD65524:QUD65589 RDZ65524:RDZ65589 RNV65524:RNV65589 RXR65524:RXR65589 SHN65524:SHN65589 SRJ65524:SRJ65589 TBF65524:TBF65589 TLB65524:TLB65589 TUX65524:TUX65589 UET65524:UET65589 UOP65524:UOP65589 UYL65524:UYL65589 VIH65524:VIH65589 VSD65524:VSD65589 WBZ65524:WBZ65589 WLV65524:WLV65589 WVR65524:WVR65589 J131060:J131125 JF131060:JF131125 TB131060:TB131125 ACX131060:ACX131125 AMT131060:AMT131125 AWP131060:AWP131125 BGL131060:BGL131125 BQH131060:BQH131125 CAD131060:CAD131125 CJZ131060:CJZ131125 CTV131060:CTV131125 DDR131060:DDR131125 DNN131060:DNN131125 DXJ131060:DXJ131125 EHF131060:EHF131125 ERB131060:ERB131125 FAX131060:FAX131125 FKT131060:FKT131125 FUP131060:FUP131125 GEL131060:GEL131125 GOH131060:GOH131125 GYD131060:GYD131125 HHZ131060:HHZ131125 HRV131060:HRV131125 IBR131060:IBR131125 ILN131060:ILN131125 IVJ131060:IVJ131125 JFF131060:JFF131125 JPB131060:JPB131125 JYX131060:JYX131125 KIT131060:KIT131125 KSP131060:KSP131125 LCL131060:LCL131125 LMH131060:LMH131125 LWD131060:LWD131125 MFZ131060:MFZ131125 MPV131060:MPV131125 MZR131060:MZR131125 NJN131060:NJN131125 NTJ131060:NTJ131125 ODF131060:ODF131125 ONB131060:ONB131125 OWX131060:OWX131125 PGT131060:PGT131125 PQP131060:PQP131125 QAL131060:QAL131125 QKH131060:QKH131125 QUD131060:QUD131125 RDZ131060:RDZ131125 RNV131060:RNV131125 RXR131060:RXR131125 SHN131060:SHN131125 SRJ131060:SRJ131125 TBF131060:TBF131125 TLB131060:TLB131125 TUX131060:TUX131125 UET131060:UET131125 UOP131060:UOP131125 UYL131060:UYL131125 VIH131060:VIH131125 VSD131060:VSD131125 WBZ131060:WBZ131125 WLV131060:WLV131125 WVR131060:WVR131125 J196596:J196661 JF196596:JF196661 TB196596:TB196661 ACX196596:ACX196661 AMT196596:AMT196661 AWP196596:AWP196661 BGL196596:BGL196661 BQH196596:BQH196661 CAD196596:CAD196661 CJZ196596:CJZ196661 CTV196596:CTV196661 DDR196596:DDR196661 DNN196596:DNN196661 DXJ196596:DXJ196661 EHF196596:EHF196661 ERB196596:ERB196661 FAX196596:FAX196661 FKT196596:FKT196661 FUP196596:FUP196661 GEL196596:GEL196661 GOH196596:GOH196661 GYD196596:GYD196661 HHZ196596:HHZ196661 HRV196596:HRV196661 IBR196596:IBR196661 ILN196596:ILN196661 IVJ196596:IVJ196661 JFF196596:JFF196661 JPB196596:JPB196661 JYX196596:JYX196661 KIT196596:KIT196661 KSP196596:KSP196661 LCL196596:LCL196661 LMH196596:LMH196661 LWD196596:LWD196661 MFZ196596:MFZ196661 MPV196596:MPV196661 MZR196596:MZR196661 NJN196596:NJN196661 NTJ196596:NTJ196661 ODF196596:ODF196661 ONB196596:ONB196661 OWX196596:OWX196661 PGT196596:PGT196661 PQP196596:PQP196661 QAL196596:QAL196661 QKH196596:QKH196661 QUD196596:QUD196661 RDZ196596:RDZ196661 RNV196596:RNV196661 RXR196596:RXR196661 SHN196596:SHN196661 SRJ196596:SRJ196661 TBF196596:TBF196661 TLB196596:TLB196661 TUX196596:TUX196661 UET196596:UET196661 UOP196596:UOP196661 UYL196596:UYL196661 VIH196596:VIH196661 VSD196596:VSD196661 WBZ196596:WBZ196661 WLV196596:WLV196661 WVR196596:WVR196661 J262132:J262197 JF262132:JF262197 TB262132:TB262197 ACX262132:ACX262197 AMT262132:AMT262197 AWP262132:AWP262197 BGL262132:BGL262197 BQH262132:BQH262197 CAD262132:CAD262197 CJZ262132:CJZ262197 CTV262132:CTV262197 DDR262132:DDR262197 DNN262132:DNN262197 DXJ262132:DXJ262197 EHF262132:EHF262197 ERB262132:ERB262197 FAX262132:FAX262197 FKT262132:FKT262197 FUP262132:FUP262197 GEL262132:GEL262197 GOH262132:GOH262197 GYD262132:GYD262197 HHZ262132:HHZ262197 HRV262132:HRV262197 IBR262132:IBR262197 ILN262132:ILN262197 IVJ262132:IVJ262197 JFF262132:JFF262197 JPB262132:JPB262197 JYX262132:JYX262197 KIT262132:KIT262197 KSP262132:KSP262197 LCL262132:LCL262197 LMH262132:LMH262197 LWD262132:LWD262197 MFZ262132:MFZ262197 MPV262132:MPV262197 MZR262132:MZR262197 NJN262132:NJN262197 NTJ262132:NTJ262197 ODF262132:ODF262197 ONB262132:ONB262197 OWX262132:OWX262197 PGT262132:PGT262197 PQP262132:PQP262197 QAL262132:QAL262197 QKH262132:QKH262197 QUD262132:QUD262197 RDZ262132:RDZ262197 RNV262132:RNV262197 RXR262132:RXR262197 SHN262132:SHN262197 SRJ262132:SRJ262197 TBF262132:TBF262197 TLB262132:TLB262197 TUX262132:TUX262197 UET262132:UET262197 UOP262132:UOP262197 UYL262132:UYL262197 VIH262132:VIH262197 VSD262132:VSD262197 WBZ262132:WBZ262197 WLV262132:WLV262197 WVR262132:WVR262197 J327668:J327733 JF327668:JF327733 TB327668:TB327733 ACX327668:ACX327733 AMT327668:AMT327733 AWP327668:AWP327733 BGL327668:BGL327733 BQH327668:BQH327733 CAD327668:CAD327733 CJZ327668:CJZ327733 CTV327668:CTV327733 DDR327668:DDR327733 DNN327668:DNN327733 DXJ327668:DXJ327733 EHF327668:EHF327733 ERB327668:ERB327733 FAX327668:FAX327733 FKT327668:FKT327733 FUP327668:FUP327733 GEL327668:GEL327733 GOH327668:GOH327733 GYD327668:GYD327733 HHZ327668:HHZ327733 HRV327668:HRV327733 IBR327668:IBR327733 ILN327668:ILN327733 IVJ327668:IVJ327733 JFF327668:JFF327733 JPB327668:JPB327733 JYX327668:JYX327733 KIT327668:KIT327733 KSP327668:KSP327733 LCL327668:LCL327733 LMH327668:LMH327733 LWD327668:LWD327733 MFZ327668:MFZ327733 MPV327668:MPV327733 MZR327668:MZR327733 NJN327668:NJN327733 NTJ327668:NTJ327733 ODF327668:ODF327733 ONB327668:ONB327733 OWX327668:OWX327733 PGT327668:PGT327733 PQP327668:PQP327733 QAL327668:QAL327733 QKH327668:QKH327733 QUD327668:QUD327733 RDZ327668:RDZ327733 RNV327668:RNV327733 RXR327668:RXR327733 SHN327668:SHN327733 SRJ327668:SRJ327733 TBF327668:TBF327733 TLB327668:TLB327733 TUX327668:TUX327733 UET327668:UET327733 UOP327668:UOP327733 UYL327668:UYL327733 VIH327668:VIH327733 VSD327668:VSD327733 WBZ327668:WBZ327733 WLV327668:WLV327733 WVR327668:WVR327733 J393204:J393269 JF393204:JF393269 TB393204:TB393269 ACX393204:ACX393269 AMT393204:AMT393269 AWP393204:AWP393269 BGL393204:BGL393269 BQH393204:BQH393269 CAD393204:CAD393269 CJZ393204:CJZ393269 CTV393204:CTV393269 DDR393204:DDR393269 DNN393204:DNN393269 DXJ393204:DXJ393269 EHF393204:EHF393269 ERB393204:ERB393269 FAX393204:FAX393269 FKT393204:FKT393269 FUP393204:FUP393269 GEL393204:GEL393269 GOH393204:GOH393269 GYD393204:GYD393269 HHZ393204:HHZ393269 HRV393204:HRV393269 IBR393204:IBR393269 ILN393204:ILN393269 IVJ393204:IVJ393269 JFF393204:JFF393269 JPB393204:JPB393269 JYX393204:JYX393269 KIT393204:KIT393269 KSP393204:KSP393269 LCL393204:LCL393269 LMH393204:LMH393269 LWD393204:LWD393269 MFZ393204:MFZ393269 MPV393204:MPV393269 MZR393204:MZR393269 NJN393204:NJN393269 NTJ393204:NTJ393269 ODF393204:ODF393269 ONB393204:ONB393269 OWX393204:OWX393269 PGT393204:PGT393269 PQP393204:PQP393269 QAL393204:QAL393269 QKH393204:QKH393269 QUD393204:QUD393269 RDZ393204:RDZ393269 RNV393204:RNV393269 RXR393204:RXR393269 SHN393204:SHN393269 SRJ393204:SRJ393269 TBF393204:TBF393269 TLB393204:TLB393269 TUX393204:TUX393269 UET393204:UET393269 UOP393204:UOP393269 UYL393204:UYL393269 VIH393204:VIH393269 VSD393204:VSD393269 WBZ393204:WBZ393269 WLV393204:WLV393269 WVR393204:WVR393269 J458740:J458805 JF458740:JF458805 TB458740:TB458805 ACX458740:ACX458805 AMT458740:AMT458805 AWP458740:AWP458805 BGL458740:BGL458805 BQH458740:BQH458805 CAD458740:CAD458805 CJZ458740:CJZ458805 CTV458740:CTV458805 DDR458740:DDR458805 DNN458740:DNN458805 DXJ458740:DXJ458805 EHF458740:EHF458805 ERB458740:ERB458805 FAX458740:FAX458805 FKT458740:FKT458805 FUP458740:FUP458805 GEL458740:GEL458805 GOH458740:GOH458805 GYD458740:GYD458805 HHZ458740:HHZ458805 HRV458740:HRV458805 IBR458740:IBR458805 ILN458740:ILN458805 IVJ458740:IVJ458805 JFF458740:JFF458805 JPB458740:JPB458805 JYX458740:JYX458805 KIT458740:KIT458805 KSP458740:KSP458805 LCL458740:LCL458805 LMH458740:LMH458805 LWD458740:LWD458805 MFZ458740:MFZ458805 MPV458740:MPV458805 MZR458740:MZR458805 NJN458740:NJN458805 NTJ458740:NTJ458805 ODF458740:ODF458805 ONB458740:ONB458805 OWX458740:OWX458805 PGT458740:PGT458805 PQP458740:PQP458805 QAL458740:QAL458805 QKH458740:QKH458805 QUD458740:QUD458805 RDZ458740:RDZ458805 RNV458740:RNV458805 RXR458740:RXR458805 SHN458740:SHN458805 SRJ458740:SRJ458805 TBF458740:TBF458805 TLB458740:TLB458805 TUX458740:TUX458805 UET458740:UET458805 UOP458740:UOP458805 UYL458740:UYL458805 VIH458740:VIH458805 VSD458740:VSD458805 WBZ458740:WBZ458805 WLV458740:WLV458805 WVR458740:WVR458805 J524276:J524341 JF524276:JF524341 TB524276:TB524341 ACX524276:ACX524341 AMT524276:AMT524341 AWP524276:AWP524341 BGL524276:BGL524341 BQH524276:BQH524341 CAD524276:CAD524341 CJZ524276:CJZ524341 CTV524276:CTV524341 DDR524276:DDR524341 DNN524276:DNN524341 DXJ524276:DXJ524341 EHF524276:EHF524341 ERB524276:ERB524341 FAX524276:FAX524341 FKT524276:FKT524341 FUP524276:FUP524341 GEL524276:GEL524341 GOH524276:GOH524341 GYD524276:GYD524341 HHZ524276:HHZ524341 HRV524276:HRV524341 IBR524276:IBR524341 ILN524276:ILN524341 IVJ524276:IVJ524341 JFF524276:JFF524341 JPB524276:JPB524341 JYX524276:JYX524341 KIT524276:KIT524341 KSP524276:KSP524341 LCL524276:LCL524341 LMH524276:LMH524341 LWD524276:LWD524341 MFZ524276:MFZ524341 MPV524276:MPV524341 MZR524276:MZR524341 NJN524276:NJN524341 NTJ524276:NTJ524341 ODF524276:ODF524341 ONB524276:ONB524341 OWX524276:OWX524341 PGT524276:PGT524341 PQP524276:PQP524341 QAL524276:QAL524341 QKH524276:QKH524341 QUD524276:QUD524341 RDZ524276:RDZ524341 RNV524276:RNV524341 RXR524276:RXR524341 SHN524276:SHN524341 SRJ524276:SRJ524341 TBF524276:TBF524341 TLB524276:TLB524341 TUX524276:TUX524341 UET524276:UET524341 UOP524276:UOP524341 UYL524276:UYL524341 VIH524276:VIH524341 VSD524276:VSD524341 WBZ524276:WBZ524341 WLV524276:WLV524341 WVR524276:WVR524341 J589812:J589877 JF589812:JF589877 TB589812:TB589877 ACX589812:ACX589877 AMT589812:AMT589877 AWP589812:AWP589877 BGL589812:BGL589877 BQH589812:BQH589877 CAD589812:CAD589877 CJZ589812:CJZ589877 CTV589812:CTV589877 DDR589812:DDR589877 DNN589812:DNN589877 DXJ589812:DXJ589877 EHF589812:EHF589877 ERB589812:ERB589877 FAX589812:FAX589877 FKT589812:FKT589877 FUP589812:FUP589877 GEL589812:GEL589877 GOH589812:GOH589877 GYD589812:GYD589877 HHZ589812:HHZ589877 HRV589812:HRV589877 IBR589812:IBR589877 ILN589812:ILN589877 IVJ589812:IVJ589877 JFF589812:JFF589877 JPB589812:JPB589877 JYX589812:JYX589877 KIT589812:KIT589877 KSP589812:KSP589877 LCL589812:LCL589877 LMH589812:LMH589877 LWD589812:LWD589877 MFZ589812:MFZ589877 MPV589812:MPV589877 MZR589812:MZR589877 NJN589812:NJN589877 NTJ589812:NTJ589877 ODF589812:ODF589877 ONB589812:ONB589877 OWX589812:OWX589877 PGT589812:PGT589877 PQP589812:PQP589877 QAL589812:QAL589877 QKH589812:QKH589877 QUD589812:QUD589877 RDZ589812:RDZ589877 RNV589812:RNV589877 RXR589812:RXR589877 SHN589812:SHN589877 SRJ589812:SRJ589877 TBF589812:TBF589877 TLB589812:TLB589877 TUX589812:TUX589877 UET589812:UET589877 UOP589812:UOP589877 UYL589812:UYL589877 VIH589812:VIH589877 VSD589812:VSD589877 WBZ589812:WBZ589877 WLV589812:WLV589877 WVR589812:WVR589877 J655348:J655413 JF655348:JF655413 TB655348:TB655413 ACX655348:ACX655413 AMT655348:AMT655413 AWP655348:AWP655413 BGL655348:BGL655413 BQH655348:BQH655413 CAD655348:CAD655413 CJZ655348:CJZ655413 CTV655348:CTV655413 DDR655348:DDR655413 DNN655348:DNN655413 DXJ655348:DXJ655413 EHF655348:EHF655413 ERB655348:ERB655413 FAX655348:FAX655413 FKT655348:FKT655413 FUP655348:FUP655413 GEL655348:GEL655413 GOH655348:GOH655413 GYD655348:GYD655413 HHZ655348:HHZ655413 HRV655348:HRV655413 IBR655348:IBR655413 ILN655348:ILN655413 IVJ655348:IVJ655413 JFF655348:JFF655413 JPB655348:JPB655413 JYX655348:JYX655413 KIT655348:KIT655413 KSP655348:KSP655413 LCL655348:LCL655413 LMH655348:LMH655413 LWD655348:LWD655413 MFZ655348:MFZ655413 MPV655348:MPV655413 MZR655348:MZR655413 NJN655348:NJN655413 NTJ655348:NTJ655413 ODF655348:ODF655413 ONB655348:ONB655413 OWX655348:OWX655413 PGT655348:PGT655413 PQP655348:PQP655413 QAL655348:QAL655413 QKH655348:QKH655413 QUD655348:QUD655413 RDZ655348:RDZ655413 RNV655348:RNV655413 RXR655348:RXR655413 SHN655348:SHN655413 SRJ655348:SRJ655413 TBF655348:TBF655413 TLB655348:TLB655413 TUX655348:TUX655413 UET655348:UET655413 UOP655348:UOP655413 UYL655348:UYL655413 VIH655348:VIH655413 VSD655348:VSD655413 WBZ655348:WBZ655413 WLV655348:WLV655413 WVR655348:WVR655413 J720884:J720949 JF720884:JF720949 TB720884:TB720949 ACX720884:ACX720949 AMT720884:AMT720949 AWP720884:AWP720949 BGL720884:BGL720949 BQH720884:BQH720949 CAD720884:CAD720949 CJZ720884:CJZ720949 CTV720884:CTV720949 DDR720884:DDR720949 DNN720884:DNN720949 DXJ720884:DXJ720949 EHF720884:EHF720949 ERB720884:ERB720949 FAX720884:FAX720949 FKT720884:FKT720949 FUP720884:FUP720949 GEL720884:GEL720949 GOH720884:GOH720949 GYD720884:GYD720949 HHZ720884:HHZ720949 HRV720884:HRV720949 IBR720884:IBR720949 ILN720884:ILN720949 IVJ720884:IVJ720949 JFF720884:JFF720949 JPB720884:JPB720949 JYX720884:JYX720949 KIT720884:KIT720949 KSP720884:KSP720949 LCL720884:LCL720949 LMH720884:LMH720949 LWD720884:LWD720949 MFZ720884:MFZ720949 MPV720884:MPV720949 MZR720884:MZR720949 NJN720884:NJN720949 NTJ720884:NTJ720949 ODF720884:ODF720949 ONB720884:ONB720949 OWX720884:OWX720949 PGT720884:PGT720949 PQP720884:PQP720949 QAL720884:QAL720949 QKH720884:QKH720949 QUD720884:QUD720949 RDZ720884:RDZ720949 RNV720884:RNV720949 RXR720884:RXR720949 SHN720884:SHN720949 SRJ720884:SRJ720949 TBF720884:TBF720949 TLB720884:TLB720949 TUX720884:TUX720949 UET720884:UET720949 UOP720884:UOP720949 UYL720884:UYL720949 VIH720884:VIH720949 VSD720884:VSD720949 WBZ720884:WBZ720949 WLV720884:WLV720949 WVR720884:WVR720949 J786420:J786485 JF786420:JF786485 TB786420:TB786485 ACX786420:ACX786485 AMT786420:AMT786485 AWP786420:AWP786485 BGL786420:BGL786485 BQH786420:BQH786485 CAD786420:CAD786485 CJZ786420:CJZ786485 CTV786420:CTV786485 DDR786420:DDR786485 DNN786420:DNN786485 DXJ786420:DXJ786485 EHF786420:EHF786485 ERB786420:ERB786485 FAX786420:FAX786485 FKT786420:FKT786485 FUP786420:FUP786485 GEL786420:GEL786485 GOH786420:GOH786485 GYD786420:GYD786485 HHZ786420:HHZ786485 HRV786420:HRV786485 IBR786420:IBR786485 ILN786420:ILN786485 IVJ786420:IVJ786485 JFF786420:JFF786485 JPB786420:JPB786485 JYX786420:JYX786485 KIT786420:KIT786485 KSP786420:KSP786485 LCL786420:LCL786485 LMH786420:LMH786485 LWD786420:LWD786485 MFZ786420:MFZ786485 MPV786420:MPV786485 MZR786420:MZR786485 NJN786420:NJN786485 NTJ786420:NTJ786485 ODF786420:ODF786485 ONB786420:ONB786485 OWX786420:OWX786485 PGT786420:PGT786485 PQP786420:PQP786485 QAL786420:QAL786485 QKH786420:QKH786485 QUD786420:QUD786485 RDZ786420:RDZ786485 RNV786420:RNV786485 RXR786420:RXR786485 SHN786420:SHN786485 SRJ786420:SRJ786485 TBF786420:TBF786485 TLB786420:TLB786485 TUX786420:TUX786485 UET786420:UET786485 UOP786420:UOP786485 UYL786420:UYL786485 VIH786420:VIH786485 VSD786420:VSD786485 WBZ786420:WBZ786485 WLV786420:WLV786485 WVR786420:WVR786485 J851956:J852021 JF851956:JF852021 TB851956:TB852021 ACX851956:ACX852021 AMT851956:AMT852021 AWP851956:AWP852021 BGL851956:BGL852021 BQH851956:BQH852021 CAD851956:CAD852021 CJZ851956:CJZ852021 CTV851956:CTV852021 DDR851956:DDR852021 DNN851956:DNN852021 DXJ851956:DXJ852021 EHF851956:EHF852021 ERB851956:ERB852021 FAX851956:FAX852021 FKT851956:FKT852021 FUP851956:FUP852021 GEL851956:GEL852021 GOH851956:GOH852021 GYD851956:GYD852021 HHZ851956:HHZ852021 HRV851956:HRV852021 IBR851956:IBR852021 ILN851956:ILN852021 IVJ851956:IVJ852021 JFF851956:JFF852021 JPB851956:JPB852021 JYX851956:JYX852021 KIT851956:KIT852021 KSP851956:KSP852021 LCL851956:LCL852021 LMH851956:LMH852021 LWD851956:LWD852021 MFZ851956:MFZ852021 MPV851956:MPV852021 MZR851956:MZR852021 NJN851956:NJN852021 NTJ851956:NTJ852021 ODF851956:ODF852021 ONB851956:ONB852021 OWX851956:OWX852021 PGT851956:PGT852021 PQP851956:PQP852021 QAL851956:QAL852021 QKH851956:QKH852021 QUD851956:QUD852021 RDZ851956:RDZ852021 RNV851956:RNV852021 RXR851956:RXR852021 SHN851956:SHN852021 SRJ851956:SRJ852021 TBF851956:TBF852021 TLB851956:TLB852021 TUX851956:TUX852021 UET851956:UET852021 UOP851956:UOP852021 UYL851956:UYL852021 VIH851956:VIH852021 VSD851956:VSD852021 WBZ851956:WBZ852021 WLV851956:WLV852021 WVR851956:WVR852021 J917492:J917557 JF917492:JF917557 TB917492:TB917557 ACX917492:ACX917557 AMT917492:AMT917557 AWP917492:AWP917557 BGL917492:BGL917557 BQH917492:BQH917557 CAD917492:CAD917557 CJZ917492:CJZ917557 CTV917492:CTV917557 DDR917492:DDR917557 DNN917492:DNN917557 DXJ917492:DXJ917557 EHF917492:EHF917557 ERB917492:ERB917557 FAX917492:FAX917557 FKT917492:FKT917557 FUP917492:FUP917557 GEL917492:GEL917557 GOH917492:GOH917557 GYD917492:GYD917557 HHZ917492:HHZ917557 HRV917492:HRV917557 IBR917492:IBR917557 ILN917492:ILN917557 IVJ917492:IVJ917557 JFF917492:JFF917557 JPB917492:JPB917557 JYX917492:JYX917557 KIT917492:KIT917557 KSP917492:KSP917557 LCL917492:LCL917557 LMH917492:LMH917557 LWD917492:LWD917557 MFZ917492:MFZ917557 MPV917492:MPV917557 MZR917492:MZR917557 NJN917492:NJN917557 NTJ917492:NTJ917557 ODF917492:ODF917557 ONB917492:ONB917557 OWX917492:OWX917557 PGT917492:PGT917557 PQP917492:PQP917557 QAL917492:QAL917557 QKH917492:QKH917557 QUD917492:QUD917557 RDZ917492:RDZ917557 RNV917492:RNV917557 RXR917492:RXR917557 SHN917492:SHN917557 SRJ917492:SRJ917557 TBF917492:TBF917557 TLB917492:TLB917557 TUX917492:TUX917557 UET917492:UET917557 UOP917492:UOP917557 UYL917492:UYL917557 VIH917492:VIH917557 VSD917492:VSD917557 WBZ917492:WBZ917557 WLV917492:WLV917557 WVR917492:WVR917557 J983028:J983093 JF983028:JF983093 TB983028:TB983093 ACX983028:ACX983093 AMT983028:AMT983093 AWP983028:AWP983093 BGL983028:BGL983093 BQH983028:BQH983093 CAD983028:CAD983093 CJZ983028:CJZ983093 CTV983028:CTV983093 DDR983028:DDR983093 DNN983028:DNN983093 DXJ983028:DXJ983093 EHF983028:EHF983093 ERB983028:ERB983093 FAX983028:FAX983093 FKT983028:FKT983093 FUP983028:FUP983093 GEL983028:GEL983093 GOH983028:GOH983093 GYD983028:GYD983093 HHZ983028:HHZ983093 HRV983028:HRV983093 IBR983028:IBR983093 ILN983028:ILN983093 IVJ983028:IVJ983093 JFF983028:JFF983093 JPB983028:JPB983093 JYX983028:JYX983093 KIT983028:KIT983093 KSP983028:KSP983093 LCL983028:LCL983093 LMH983028:LMH983093 LWD983028:LWD983093 MFZ983028:MFZ983093 MPV983028:MPV983093 MZR983028:MZR983093 NJN983028:NJN983093 NTJ983028:NTJ983093 ODF983028:ODF983093 ONB983028:ONB983093 OWX983028:OWX983093 PGT983028:PGT983093 PQP983028:PQP983093 QAL983028:QAL983093 QKH983028:QKH983093 QUD983028:QUD983093 RDZ983028:RDZ983093 RNV983028:RNV983093 RXR983028:RXR983093 SHN983028:SHN983093 SRJ983028:SRJ983093 TBF983028:TBF983093 TLB983028:TLB983093 TUX983028:TUX983093 UET983028:UET983093 UOP983028:UOP983093 UYL983028:UYL983093 VIH983028:VIH983093 VSD983028:VSD983093 WBZ983028:WBZ983093 WLV983028:WLV983093 J65524:J65589">
      <formula1>$AP$2:$AP$27</formula1>
    </dataValidation>
    <dataValidation type="list" allowBlank="1" showInputMessage="1" showErrorMessage="1" sqref="WVP983028:WVP983093 JD2:JD70 ACV2:ACV70 AMR2:AMR70 AWN2:AWN70 BGJ2:BGJ70 BQF2:BQF70 CAB2:CAB70 CJX2:CJX70 CTT2:CTT70 DDP2:DDP70 DNL2:DNL70 DXH2:DXH70 EHD2:EHD70 EQZ2:EQZ70 FAV2:FAV70 FKR2:FKR70 FUN2:FUN70 GEJ2:GEJ70 GOF2:GOF70 GYB2:GYB70 HHX2:HHX70 HRT2:HRT70 IBP2:IBP70 ILL2:ILL70 IVH2:IVH70 JFD2:JFD70 JOZ2:JOZ70 JYV2:JYV70 KIR2:KIR70 KSN2:KSN70 LCJ2:LCJ70 LMF2:LMF70 LWB2:LWB70 MFX2:MFX70 MPT2:MPT70 MZP2:MZP70 NJL2:NJL70 NTH2:NTH70 ODD2:ODD70 OMZ2:OMZ70 OWV2:OWV70 PGR2:PGR70 PQN2:PQN70 QAJ2:QAJ70 QKF2:QKF70 QUB2:QUB70 RDX2:RDX70 RNT2:RNT70 RXP2:RXP70 SHL2:SHL70 SRH2:SRH70 TBD2:TBD70 TKZ2:TKZ70 TUV2:TUV70 UER2:UER70 UON2:UON70 UYJ2:UYJ70 VIF2:VIF70 VSB2:VSB70 WBX2:WBX70 WLT2:WLT70 WVP2:WVP70 SZ2:SZ70 JD65524:JD65589 SZ65524:SZ65589 ACV65524:ACV65589 AMR65524:AMR65589 AWN65524:AWN65589 BGJ65524:BGJ65589 BQF65524:BQF65589 CAB65524:CAB65589 CJX65524:CJX65589 CTT65524:CTT65589 DDP65524:DDP65589 DNL65524:DNL65589 DXH65524:DXH65589 EHD65524:EHD65589 EQZ65524:EQZ65589 FAV65524:FAV65589 FKR65524:FKR65589 FUN65524:FUN65589 GEJ65524:GEJ65589 GOF65524:GOF65589 GYB65524:GYB65589 HHX65524:HHX65589 HRT65524:HRT65589 IBP65524:IBP65589 ILL65524:ILL65589 IVH65524:IVH65589 JFD65524:JFD65589 JOZ65524:JOZ65589 JYV65524:JYV65589 KIR65524:KIR65589 KSN65524:KSN65589 LCJ65524:LCJ65589 LMF65524:LMF65589 LWB65524:LWB65589 MFX65524:MFX65589 MPT65524:MPT65589 MZP65524:MZP65589 NJL65524:NJL65589 NTH65524:NTH65589 ODD65524:ODD65589 OMZ65524:OMZ65589 OWV65524:OWV65589 PGR65524:PGR65589 PQN65524:PQN65589 QAJ65524:QAJ65589 QKF65524:QKF65589 QUB65524:QUB65589 RDX65524:RDX65589 RNT65524:RNT65589 RXP65524:RXP65589 SHL65524:SHL65589 SRH65524:SRH65589 TBD65524:TBD65589 TKZ65524:TKZ65589 TUV65524:TUV65589 UER65524:UER65589 UON65524:UON65589 UYJ65524:UYJ65589 VIF65524:VIF65589 VSB65524:VSB65589 WBX65524:WBX65589 WLT65524:WLT65589 WVP65524:WVP65589 H131060:H131125 JD131060:JD131125 SZ131060:SZ131125 ACV131060:ACV131125 AMR131060:AMR131125 AWN131060:AWN131125 BGJ131060:BGJ131125 BQF131060:BQF131125 CAB131060:CAB131125 CJX131060:CJX131125 CTT131060:CTT131125 DDP131060:DDP131125 DNL131060:DNL131125 DXH131060:DXH131125 EHD131060:EHD131125 EQZ131060:EQZ131125 FAV131060:FAV131125 FKR131060:FKR131125 FUN131060:FUN131125 GEJ131060:GEJ131125 GOF131060:GOF131125 GYB131060:GYB131125 HHX131060:HHX131125 HRT131060:HRT131125 IBP131060:IBP131125 ILL131060:ILL131125 IVH131060:IVH131125 JFD131060:JFD131125 JOZ131060:JOZ131125 JYV131060:JYV131125 KIR131060:KIR131125 KSN131060:KSN131125 LCJ131060:LCJ131125 LMF131060:LMF131125 LWB131060:LWB131125 MFX131060:MFX131125 MPT131060:MPT131125 MZP131060:MZP131125 NJL131060:NJL131125 NTH131060:NTH131125 ODD131060:ODD131125 OMZ131060:OMZ131125 OWV131060:OWV131125 PGR131060:PGR131125 PQN131060:PQN131125 QAJ131060:QAJ131125 QKF131060:QKF131125 QUB131060:QUB131125 RDX131060:RDX131125 RNT131060:RNT131125 RXP131060:RXP131125 SHL131060:SHL131125 SRH131060:SRH131125 TBD131060:TBD131125 TKZ131060:TKZ131125 TUV131060:TUV131125 UER131060:UER131125 UON131060:UON131125 UYJ131060:UYJ131125 VIF131060:VIF131125 VSB131060:VSB131125 WBX131060:WBX131125 WLT131060:WLT131125 WVP131060:WVP131125 H196596:H196661 JD196596:JD196661 SZ196596:SZ196661 ACV196596:ACV196661 AMR196596:AMR196661 AWN196596:AWN196661 BGJ196596:BGJ196661 BQF196596:BQF196661 CAB196596:CAB196661 CJX196596:CJX196661 CTT196596:CTT196661 DDP196596:DDP196661 DNL196596:DNL196661 DXH196596:DXH196661 EHD196596:EHD196661 EQZ196596:EQZ196661 FAV196596:FAV196661 FKR196596:FKR196661 FUN196596:FUN196661 GEJ196596:GEJ196661 GOF196596:GOF196661 GYB196596:GYB196661 HHX196596:HHX196661 HRT196596:HRT196661 IBP196596:IBP196661 ILL196596:ILL196661 IVH196596:IVH196661 JFD196596:JFD196661 JOZ196596:JOZ196661 JYV196596:JYV196661 KIR196596:KIR196661 KSN196596:KSN196661 LCJ196596:LCJ196661 LMF196596:LMF196661 LWB196596:LWB196661 MFX196596:MFX196661 MPT196596:MPT196661 MZP196596:MZP196661 NJL196596:NJL196661 NTH196596:NTH196661 ODD196596:ODD196661 OMZ196596:OMZ196661 OWV196596:OWV196661 PGR196596:PGR196661 PQN196596:PQN196661 QAJ196596:QAJ196661 QKF196596:QKF196661 QUB196596:QUB196661 RDX196596:RDX196661 RNT196596:RNT196661 RXP196596:RXP196661 SHL196596:SHL196661 SRH196596:SRH196661 TBD196596:TBD196661 TKZ196596:TKZ196661 TUV196596:TUV196661 UER196596:UER196661 UON196596:UON196661 UYJ196596:UYJ196661 VIF196596:VIF196661 VSB196596:VSB196661 WBX196596:WBX196661 WLT196596:WLT196661 WVP196596:WVP196661 H262132:H262197 JD262132:JD262197 SZ262132:SZ262197 ACV262132:ACV262197 AMR262132:AMR262197 AWN262132:AWN262197 BGJ262132:BGJ262197 BQF262132:BQF262197 CAB262132:CAB262197 CJX262132:CJX262197 CTT262132:CTT262197 DDP262132:DDP262197 DNL262132:DNL262197 DXH262132:DXH262197 EHD262132:EHD262197 EQZ262132:EQZ262197 FAV262132:FAV262197 FKR262132:FKR262197 FUN262132:FUN262197 GEJ262132:GEJ262197 GOF262132:GOF262197 GYB262132:GYB262197 HHX262132:HHX262197 HRT262132:HRT262197 IBP262132:IBP262197 ILL262132:ILL262197 IVH262132:IVH262197 JFD262132:JFD262197 JOZ262132:JOZ262197 JYV262132:JYV262197 KIR262132:KIR262197 KSN262132:KSN262197 LCJ262132:LCJ262197 LMF262132:LMF262197 LWB262132:LWB262197 MFX262132:MFX262197 MPT262132:MPT262197 MZP262132:MZP262197 NJL262132:NJL262197 NTH262132:NTH262197 ODD262132:ODD262197 OMZ262132:OMZ262197 OWV262132:OWV262197 PGR262132:PGR262197 PQN262132:PQN262197 QAJ262132:QAJ262197 QKF262132:QKF262197 QUB262132:QUB262197 RDX262132:RDX262197 RNT262132:RNT262197 RXP262132:RXP262197 SHL262132:SHL262197 SRH262132:SRH262197 TBD262132:TBD262197 TKZ262132:TKZ262197 TUV262132:TUV262197 UER262132:UER262197 UON262132:UON262197 UYJ262132:UYJ262197 VIF262132:VIF262197 VSB262132:VSB262197 WBX262132:WBX262197 WLT262132:WLT262197 WVP262132:WVP262197 H327668:H327733 JD327668:JD327733 SZ327668:SZ327733 ACV327668:ACV327733 AMR327668:AMR327733 AWN327668:AWN327733 BGJ327668:BGJ327733 BQF327668:BQF327733 CAB327668:CAB327733 CJX327668:CJX327733 CTT327668:CTT327733 DDP327668:DDP327733 DNL327668:DNL327733 DXH327668:DXH327733 EHD327668:EHD327733 EQZ327668:EQZ327733 FAV327668:FAV327733 FKR327668:FKR327733 FUN327668:FUN327733 GEJ327668:GEJ327733 GOF327668:GOF327733 GYB327668:GYB327733 HHX327668:HHX327733 HRT327668:HRT327733 IBP327668:IBP327733 ILL327668:ILL327733 IVH327668:IVH327733 JFD327668:JFD327733 JOZ327668:JOZ327733 JYV327668:JYV327733 KIR327668:KIR327733 KSN327668:KSN327733 LCJ327668:LCJ327733 LMF327668:LMF327733 LWB327668:LWB327733 MFX327668:MFX327733 MPT327668:MPT327733 MZP327668:MZP327733 NJL327668:NJL327733 NTH327668:NTH327733 ODD327668:ODD327733 OMZ327668:OMZ327733 OWV327668:OWV327733 PGR327668:PGR327733 PQN327668:PQN327733 QAJ327668:QAJ327733 QKF327668:QKF327733 QUB327668:QUB327733 RDX327668:RDX327733 RNT327668:RNT327733 RXP327668:RXP327733 SHL327668:SHL327733 SRH327668:SRH327733 TBD327668:TBD327733 TKZ327668:TKZ327733 TUV327668:TUV327733 UER327668:UER327733 UON327668:UON327733 UYJ327668:UYJ327733 VIF327668:VIF327733 VSB327668:VSB327733 WBX327668:WBX327733 WLT327668:WLT327733 WVP327668:WVP327733 H393204:H393269 JD393204:JD393269 SZ393204:SZ393269 ACV393204:ACV393269 AMR393204:AMR393269 AWN393204:AWN393269 BGJ393204:BGJ393269 BQF393204:BQF393269 CAB393204:CAB393269 CJX393204:CJX393269 CTT393204:CTT393269 DDP393204:DDP393269 DNL393204:DNL393269 DXH393204:DXH393269 EHD393204:EHD393269 EQZ393204:EQZ393269 FAV393204:FAV393269 FKR393204:FKR393269 FUN393204:FUN393269 GEJ393204:GEJ393269 GOF393204:GOF393269 GYB393204:GYB393269 HHX393204:HHX393269 HRT393204:HRT393269 IBP393204:IBP393269 ILL393204:ILL393269 IVH393204:IVH393269 JFD393204:JFD393269 JOZ393204:JOZ393269 JYV393204:JYV393269 KIR393204:KIR393269 KSN393204:KSN393269 LCJ393204:LCJ393269 LMF393204:LMF393269 LWB393204:LWB393269 MFX393204:MFX393269 MPT393204:MPT393269 MZP393204:MZP393269 NJL393204:NJL393269 NTH393204:NTH393269 ODD393204:ODD393269 OMZ393204:OMZ393269 OWV393204:OWV393269 PGR393204:PGR393269 PQN393204:PQN393269 QAJ393204:QAJ393269 QKF393204:QKF393269 QUB393204:QUB393269 RDX393204:RDX393269 RNT393204:RNT393269 RXP393204:RXP393269 SHL393204:SHL393269 SRH393204:SRH393269 TBD393204:TBD393269 TKZ393204:TKZ393269 TUV393204:TUV393269 UER393204:UER393269 UON393204:UON393269 UYJ393204:UYJ393269 VIF393204:VIF393269 VSB393204:VSB393269 WBX393204:WBX393269 WLT393204:WLT393269 WVP393204:WVP393269 H458740:H458805 JD458740:JD458805 SZ458740:SZ458805 ACV458740:ACV458805 AMR458740:AMR458805 AWN458740:AWN458805 BGJ458740:BGJ458805 BQF458740:BQF458805 CAB458740:CAB458805 CJX458740:CJX458805 CTT458740:CTT458805 DDP458740:DDP458805 DNL458740:DNL458805 DXH458740:DXH458805 EHD458740:EHD458805 EQZ458740:EQZ458805 FAV458740:FAV458805 FKR458740:FKR458805 FUN458740:FUN458805 GEJ458740:GEJ458805 GOF458740:GOF458805 GYB458740:GYB458805 HHX458740:HHX458805 HRT458740:HRT458805 IBP458740:IBP458805 ILL458740:ILL458805 IVH458740:IVH458805 JFD458740:JFD458805 JOZ458740:JOZ458805 JYV458740:JYV458805 KIR458740:KIR458805 KSN458740:KSN458805 LCJ458740:LCJ458805 LMF458740:LMF458805 LWB458740:LWB458805 MFX458740:MFX458805 MPT458740:MPT458805 MZP458740:MZP458805 NJL458740:NJL458805 NTH458740:NTH458805 ODD458740:ODD458805 OMZ458740:OMZ458805 OWV458740:OWV458805 PGR458740:PGR458805 PQN458740:PQN458805 QAJ458740:QAJ458805 QKF458740:QKF458805 QUB458740:QUB458805 RDX458740:RDX458805 RNT458740:RNT458805 RXP458740:RXP458805 SHL458740:SHL458805 SRH458740:SRH458805 TBD458740:TBD458805 TKZ458740:TKZ458805 TUV458740:TUV458805 UER458740:UER458805 UON458740:UON458805 UYJ458740:UYJ458805 VIF458740:VIF458805 VSB458740:VSB458805 WBX458740:WBX458805 WLT458740:WLT458805 WVP458740:WVP458805 H524276:H524341 JD524276:JD524341 SZ524276:SZ524341 ACV524276:ACV524341 AMR524276:AMR524341 AWN524276:AWN524341 BGJ524276:BGJ524341 BQF524276:BQF524341 CAB524276:CAB524341 CJX524276:CJX524341 CTT524276:CTT524341 DDP524276:DDP524341 DNL524276:DNL524341 DXH524276:DXH524341 EHD524276:EHD524341 EQZ524276:EQZ524341 FAV524276:FAV524341 FKR524276:FKR524341 FUN524276:FUN524341 GEJ524276:GEJ524341 GOF524276:GOF524341 GYB524276:GYB524341 HHX524276:HHX524341 HRT524276:HRT524341 IBP524276:IBP524341 ILL524276:ILL524341 IVH524276:IVH524341 JFD524276:JFD524341 JOZ524276:JOZ524341 JYV524276:JYV524341 KIR524276:KIR524341 KSN524276:KSN524341 LCJ524276:LCJ524341 LMF524276:LMF524341 LWB524276:LWB524341 MFX524276:MFX524341 MPT524276:MPT524341 MZP524276:MZP524341 NJL524276:NJL524341 NTH524276:NTH524341 ODD524276:ODD524341 OMZ524276:OMZ524341 OWV524276:OWV524341 PGR524276:PGR524341 PQN524276:PQN524341 QAJ524276:QAJ524341 QKF524276:QKF524341 QUB524276:QUB524341 RDX524276:RDX524341 RNT524276:RNT524341 RXP524276:RXP524341 SHL524276:SHL524341 SRH524276:SRH524341 TBD524276:TBD524341 TKZ524276:TKZ524341 TUV524276:TUV524341 UER524276:UER524341 UON524276:UON524341 UYJ524276:UYJ524341 VIF524276:VIF524341 VSB524276:VSB524341 WBX524276:WBX524341 WLT524276:WLT524341 WVP524276:WVP524341 H589812:H589877 JD589812:JD589877 SZ589812:SZ589877 ACV589812:ACV589877 AMR589812:AMR589877 AWN589812:AWN589877 BGJ589812:BGJ589877 BQF589812:BQF589877 CAB589812:CAB589877 CJX589812:CJX589877 CTT589812:CTT589877 DDP589812:DDP589877 DNL589812:DNL589877 DXH589812:DXH589877 EHD589812:EHD589877 EQZ589812:EQZ589877 FAV589812:FAV589877 FKR589812:FKR589877 FUN589812:FUN589877 GEJ589812:GEJ589877 GOF589812:GOF589877 GYB589812:GYB589877 HHX589812:HHX589877 HRT589812:HRT589877 IBP589812:IBP589877 ILL589812:ILL589877 IVH589812:IVH589877 JFD589812:JFD589877 JOZ589812:JOZ589877 JYV589812:JYV589877 KIR589812:KIR589877 KSN589812:KSN589877 LCJ589812:LCJ589877 LMF589812:LMF589877 LWB589812:LWB589877 MFX589812:MFX589877 MPT589812:MPT589877 MZP589812:MZP589877 NJL589812:NJL589877 NTH589812:NTH589877 ODD589812:ODD589877 OMZ589812:OMZ589877 OWV589812:OWV589877 PGR589812:PGR589877 PQN589812:PQN589877 QAJ589812:QAJ589877 QKF589812:QKF589877 QUB589812:QUB589877 RDX589812:RDX589877 RNT589812:RNT589877 RXP589812:RXP589877 SHL589812:SHL589877 SRH589812:SRH589877 TBD589812:TBD589877 TKZ589812:TKZ589877 TUV589812:TUV589877 UER589812:UER589877 UON589812:UON589877 UYJ589812:UYJ589877 VIF589812:VIF589877 VSB589812:VSB589877 WBX589812:WBX589877 WLT589812:WLT589877 WVP589812:WVP589877 H655348:H655413 JD655348:JD655413 SZ655348:SZ655413 ACV655348:ACV655413 AMR655348:AMR655413 AWN655348:AWN655413 BGJ655348:BGJ655413 BQF655348:BQF655413 CAB655348:CAB655413 CJX655348:CJX655413 CTT655348:CTT655413 DDP655348:DDP655413 DNL655348:DNL655413 DXH655348:DXH655413 EHD655348:EHD655413 EQZ655348:EQZ655413 FAV655348:FAV655413 FKR655348:FKR655413 FUN655348:FUN655413 GEJ655348:GEJ655413 GOF655348:GOF655413 GYB655348:GYB655413 HHX655348:HHX655413 HRT655348:HRT655413 IBP655348:IBP655413 ILL655348:ILL655413 IVH655348:IVH655413 JFD655348:JFD655413 JOZ655348:JOZ655413 JYV655348:JYV655413 KIR655348:KIR655413 KSN655348:KSN655413 LCJ655348:LCJ655413 LMF655348:LMF655413 LWB655348:LWB655413 MFX655348:MFX655413 MPT655348:MPT655413 MZP655348:MZP655413 NJL655348:NJL655413 NTH655348:NTH655413 ODD655348:ODD655413 OMZ655348:OMZ655413 OWV655348:OWV655413 PGR655348:PGR655413 PQN655348:PQN655413 QAJ655348:QAJ655413 QKF655348:QKF655413 QUB655348:QUB655413 RDX655348:RDX655413 RNT655348:RNT655413 RXP655348:RXP655413 SHL655348:SHL655413 SRH655348:SRH655413 TBD655348:TBD655413 TKZ655348:TKZ655413 TUV655348:TUV655413 UER655348:UER655413 UON655348:UON655413 UYJ655348:UYJ655413 VIF655348:VIF655413 VSB655348:VSB655413 WBX655348:WBX655413 WLT655348:WLT655413 WVP655348:WVP655413 H720884:H720949 JD720884:JD720949 SZ720884:SZ720949 ACV720884:ACV720949 AMR720884:AMR720949 AWN720884:AWN720949 BGJ720884:BGJ720949 BQF720884:BQF720949 CAB720884:CAB720949 CJX720884:CJX720949 CTT720884:CTT720949 DDP720884:DDP720949 DNL720884:DNL720949 DXH720884:DXH720949 EHD720884:EHD720949 EQZ720884:EQZ720949 FAV720884:FAV720949 FKR720884:FKR720949 FUN720884:FUN720949 GEJ720884:GEJ720949 GOF720884:GOF720949 GYB720884:GYB720949 HHX720884:HHX720949 HRT720884:HRT720949 IBP720884:IBP720949 ILL720884:ILL720949 IVH720884:IVH720949 JFD720884:JFD720949 JOZ720884:JOZ720949 JYV720884:JYV720949 KIR720884:KIR720949 KSN720884:KSN720949 LCJ720884:LCJ720949 LMF720884:LMF720949 LWB720884:LWB720949 MFX720884:MFX720949 MPT720884:MPT720949 MZP720884:MZP720949 NJL720884:NJL720949 NTH720884:NTH720949 ODD720884:ODD720949 OMZ720884:OMZ720949 OWV720884:OWV720949 PGR720884:PGR720949 PQN720884:PQN720949 QAJ720884:QAJ720949 QKF720884:QKF720949 QUB720884:QUB720949 RDX720884:RDX720949 RNT720884:RNT720949 RXP720884:RXP720949 SHL720884:SHL720949 SRH720884:SRH720949 TBD720884:TBD720949 TKZ720884:TKZ720949 TUV720884:TUV720949 UER720884:UER720949 UON720884:UON720949 UYJ720884:UYJ720949 VIF720884:VIF720949 VSB720884:VSB720949 WBX720884:WBX720949 WLT720884:WLT720949 WVP720884:WVP720949 H786420:H786485 JD786420:JD786485 SZ786420:SZ786485 ACV786420:ACV786485 AMR786420:AMR786485 AWN786420:AWN786485 BGJ786420:BGJ786485 BQF786420:BQF786485 CAB786420:CAB786485 CJX786420:CJX786485 CTT786420:CTT786485 DDP786420:DDP786485 DNL786420:DNL786485 DXH786420:DXH786485 EHD786420:EHD786485 EQZ786420:EQZ786485 FAV786420:FAV786485 FKR786420:FKR786485 FUN786420:FUN786485 GEJ786420:GEJ786485 GOF786420:GOF786485 GYB786420:GYB786485 HHX786420:HHX786485 HRT786420:HRT786485 IBP786420:IBP786485 ILL786420:ILL786485 IVH786420:IVH786485 JFD786420:JFD786485 JOZ786420:JOZ786485 JYV786420:JYV786485 KIR786420:KIR786485 KSN786420:KSN786485 LCJ786420:LCJ786485 LMF786420:LMF786485 LWB786420:LWB786485 MFX786420:MFX786485 MPT786420:MPT786485 MZP786420:MZP786485 NJL786420:NJL786485 NTH786420:NTH786485 ODD786420:ODD786485 OMZ786420:OMZ786485 OWV786420:OWV786485 PGR786420:PGR786485 PQN786420:PQN786485 QAJ786420:QAJ786485 QKF786420:QKF786485 QUB786420:QUB786485 RDX786420:RDX786485 RNT786420:RNT786485 RXP786420:RXP786485 SHL786420:SHL786485 SRH786420:SRH786485 TBD786420:TBD786485 TKZ786420:TKZ786485 TUV786420:TUV786485 UER786420:UER786485 UON786420:UON786485 UYJ786420:UYJ786485 VIF786420:VIF786485 VSB786420:VSB786485 WBX786420:WBX786485 WLT786420:WLT786485 WVP786420:WVP786485 H851956:H852021 JD851956:JD852021 SZ851956:SZ852021 ACV851956:ACV852021 AMR851956:AMR852021 AWN851956:AWN852021 BGJ851956:BGJ852021 BQF851956:BQF852021 CAB851956:CAB852021 CJX851956:CJX852021 CTT851956:CTT852021 DDP851956:DDP852021 DNL851956:DNL852021 DXH851956:DXH852021 EHD851956:EHD852021 EQZ851956:EQZ852021 FAV851956:FAV852021 FKR851956:FKR852021 FUN851956:FUN852021 GEJ851956:GEJ852021 GOF851956:GOF852021 GYB851956:GYB852021 HHX851956:HHX852021 HRT851956:HRT852021 IBP851956:IBP852021 ILL851956:ILL852021 IVH851956:IVH852021 JFD851956:JFD852021 JOZ851956:JOZ852021 JYV851956:JYV852021 KIR851956:KIR852021 KSN851956:KSN852021 LCJ851956:LCJ852021 LMF851956:LMF852021 LWB851956:LWB852021 MFX851956:MFX852021 MPT851956:MPT852021 MZP851956:MZP852021 NJL851956:NJL852021 NTH851956:NTH852021 ODD851956:ODD852021 OMZ851956:OMZ852021 OWV851956:OWV852021 PGR851956:PGR852021 PQN851956:PQN852021 QAJ851956:QAJ852021 QKF851956:QKF852021 QUB851956:QUB852021 RDX851956:RDX852021 RNT851956:RNT852021 RXP851956:RXP852021 SHL851956:SHL852021 SRH851956:SRH852021 TBD851956:TBD852021 TKZ851956:TKZ852021 TUV851956:TUV852021 UER851956:UER852021 UON851956:UON852021 UYJ851956:UYJ852021 VIF851956:VIF852021 VSB851956:VSB852021 WBX851956:WBX852021 WLT851956:WLT852021 WVP851956:WVP852021 H917492:H917557 JD917492:JD917557 SZ917492:SZ917557 ACV917492:ACV917557 AMR917492:AMR917557 AWN917492:AWN917557 BGJ917492:BGJ917557 BQF917492:BQF917557 CAB917492:CAB917557 CJX917492:CJX917557 CTT917492:CTT917557 DDP917492:DDP917557 DNL917492:DNL917557 DXH917492:DXH917557 EHD917492:EHD917557 EQZ917492:EQZ917557 FAV917492:FAV917557 FKR917492:FKR917557 FUN917492:FUN917557 GEJ917492:GEJ917557 GOF917492:GOF917557 GYB917492:GYB917557 HHX917492:HHX917557 HRT917492:HRT917557 IBP917492:IBP917557 ILL917492:ILL917557 IVH917492:IVH917557 JFD917492:JFD917557 JOZ917492:JOZ917557 JYV917492:JYV917557 KIR917492:KIR917557 KSN917492:KSN917557 LCJ917492:LCJ917557 LMF917492:LMF917557 LWB917492:LWB917557 MFX917492:MFX917557 MPT917492:MPT917557 MZP917492:MZP917557 NJL917492:NJL917557 NTH917492:NTH917557 ODD917492:ODD917557 OMZ917492:OMZ917557 OWV917492:OWV917557 PGR917492:PGR917557 PQN917492:PQN917557 QAJ917492:QAJ917557 QKF917492:QKF917557 QUB917492:QUB917557 RDX917492:RDX917557 RNT917492:RNT917557 RXP917492:RXP917557 SHL917492:SHL917557 SRH917492:SRH917557 TBD917492:TBD917557 TKZ917492:TKZ917557 TUV917492:TUV917557 UER917492:UER917557 UON917492:UON917557 UYJ917492:UYJ917557 VIF917492:VIF917557 VSB917492:VSB917557 WBX917492:WBX917557 WLT917492:WLT917557 WVP917492:WVP917557 H983028:H983093 JD983028:JD983093 SZ983028:SZ983093 ACV983028:ACV983093 AMR983028:AMR983093 AWN983028:AWN983093 BGJ983028:BGJ983093 BQF983028:BQF983093 CAB983028:CAB983093 CJX983028:CJX983093 CTT983028:CTT983093 DDP983028:DDP983093 DNL983028:DNL983093 DXH983028:DXH983093 EHD983028:EHD983093 EQZ983028:EQZ983093 FAV983028:FAV983093 FKR983028:FKR983093 FUN983028:FUN983093 GEJ983028:GEJ983093 GOF983028:GOF983093 GYB983028:GYB983093 HHX983028:HHX983093 HRT983028:HRT983093 IBP983028:IBP983093 ILL983028:ILL983093 IVH983028:IVH983093 JFD983028:JFD983093 JOZ983028:JOZ983093 JYV983028:JYV983093 KIR983028:KIR983093 KSN983028:KSN983093 LCJ983028:LCJ983093 LMF983028:LMF983093 LWB983028:LWB983093 MFX983028:MFX983093 MPT983028:MPT983093 MZP983028:MZP983093 NJL983028:NJL983093 NTH983028:NTH983093 ODD983028:ODD983093 OMZ983028:OMZ983093 OWV983028:OWV983093 PGR983028:PGR983093 PQN983028:PQN983093 QAJ983028:QAJ983093 QKF983028:QKF983093 QUB983028:QUB983093 RDX983028:RDX983093 RNT983028:RNT983093 RXP983028:RXP983093 SHL983028:SHL983093 SRH983028:SRH983093 TBD983028:TBD983093 TKZ983028:TKZ983093 TUV983028:TUV983093 UER983028:UER983093 UON983028:UON983093 UYJ983028:UYJ983093 VIF983028:VIF983093 VSB983028:VSB983093 WBX983028:WBX983093 WLT983028:WLT983093 H65524:H65589">
      <formula1>$AL$4:$AL$12</formula1>
    </dataValidation>
    <dataValidation type="list" allowBlank="1" showInputMessage="1" showErrorMessage="1" sqref="A64349:A64414 A2:A486 SS2:SS70 WLM2:WLM70 WBQ2:WBQ70 VRU2:VRU70 VHY2:VHY70 UYC2:UYC70 UOG2:UOG70 UEK2:UEK70 TUO2:TUO70 TKS2:TKS70 TAW2:TAW70 SRA2:SRA70 SHE2:SHE70 RXI2:RXI70 RNM2:RNM70 RDQ2:RDQ70 QTU2:QTU70 QJY2:QJY70 QAC2:QAC70 PQG2:PQG70 PGK2:PGK70 OWO2:OWO70 OMS2:OMS70 OCW2:OCW70 NTA2:NTA70 NJE2:NJE70 MZI2:MZI70 MPM2:MPM70 MFQ2:MFQ70 LVU2:LVU70 LLY2:LLY70 LCC2:LCC70 KSG2:KSG70 KIK2:KIK70 JYO2:JYO70 JOS2:JOS70 JEW2:JEW70 IVA2:IVA70 ILE2:ILE70 IBI2:IBI70 HRM2:HRM70 HHQ2:HHQ70 GXU2:GXU70 GNY2:GNY70 GEC2:GEC70 FUG2:FUG70 FKK2:FKK70 FAO2:FAO70 EQS2:EQS70 EGW2:EGW70 DXA2:DXA70 DNE2:DNE70 DDI2:DDI70 CTM2:CTM70 CJQ2:CJQ70 BZU2:BZU70 BPY2:BPY70 BGC2:BGC70 AWG2:AWG70 AMK2:AMK70 ACO2:ACO70 IW2:IW70 WVI2:WVI70 SS64349:SS64414 ACO64349:ACO64414 AMK64349:AMK64414 AWG64349:AWG64414 BGC64349:BGC64414 BPY64349:BPY64414 BZU64349:BZU64414 CJQ64349:CJQ64414 CTM64349:CTM64414 DDI64349:DDI64414 DNE64349:DNE64414 DXA64349:DXA64414 EGW64349:EGW64414 EQS64349:EQS64414 FAO64349:FAO64414 FKK64349:FKK64414 FUG64349:FUG64414 GEC64349:GEC64414 GNY64349:GNY64414 GXU64349:GXU64414 HHQ64349:HHQ64414 HRM64349:HRM64414 IBI64349:IBI64414 ILE64349:ILE64414 IVA64349:IVA64414 JEW64349:JEW64414 JOS64349:JOS64414 JYO64349:JYO64414 KIK64349:KIK64414 KSG64349:KSG64414 LCC64349:LCC64414 LLY64349:LLY64414 LVU64349:LVU64414 MFQ64349:MFQ64414 MPM64349:MPM64414 MZI64349:MZI64414 NJE64349:NJE64414 NTA64349:NTA64414 OCW64349:OCW64414 OMS64349:OMS64414 OWO64349:OWO64414 PGK64349:PGK64414 PQG64349:PQG64414 QAC64349:QAC64414 QJY64349:QJY64414 QTU64349:QTU64414 RDQ64349:RDQ64414 RNM64349:RNM64414 RXI64349:RXI64414 SHE64349:SHE64414 SRA64349:SRA64414 TAW64349:TAW64414 TKS64349:TKS64414 TUO64349:TUO64414 UEK64349:UEK64414 UOG64349:UOG64414 UYC64349:UYC64414 VHY64349:VHY64414 VRU64349:VRU64414 WBQ64349:WBQ64414 WLM64349:WLM64414 WVI64349:WVI64414 A129885:A129950 IW129885:IW129950 SS129885:SS129950 ACO129885:ACO129950 AMK129885:AMK129950 AWG129885:AWG129950 BGC129885:BGC129950 BPY129885:BPY129950 BZU129885:BZU129950 CJQ129885:CJQ129950 CTM129885:CTM129950 DDI129885:DDI129950 DNE129885:DNE129950 DXA129885:DXA129950 EGW129885:EGW129950 EQS129885:EQS129950 FAO129885:FAO129950 FKK129885:FKK129950 FUG129885:FUG129950 GEC129885:GEC129950 GNY129885:GNY129950 GXU129885:GXU129950 HHQ129885:HHQ129950 HRM129885:HRM129950 IBI129885:IBI129950 ILE129885:ILE129950 IVA129885:IVA129950 JEW129885:JEW129950 JOS129885:JOS129950 JYO129885:JYO129950 KIK129885:KIK129950 KSG129885:KSG129950 LCC129885:LCC129950 LLY129885:LLY129950 LVU129885:LVU129950 MFQ129885:MFQ129950 MPM129885:MPM129950 MZI129885:MZI129950 NJE129885:NJE129950 NTA129885:NTA129950 OCW129885:OCW129950 OMS129885:OMS129950 OWO129885:OWO129950 PGK129885:PGK129950 PQG129885:PQG129950 QAC129885:QAC129950 QJY129885:QJY129950 QTU129885:QTU129950 RDQ129885:RDQ129950 RNM129885:RNM129950 RXI129885:RXI129950 SHE129885:SHE129950 SRA129885:SRA129950 TAW129885:TAW129950 TKS129885:TKS129950 TUO129885:TUO129950 UEK129885:UEK129950 UOG129885:UOG129950 UYC129885:UYC129950 VHY129885:VHY129950 VRU129885:VRU129950 WBQ129885:WBQ129950 WLM129885:WLM129950 WVI129885:WVI129950 A195421:A195486 IW195421:IW195486 SS195421:SS195486 ACO195421:ACO195486 AMK195421:AMK195486 AWG195421:AWG195486 BGC195421:BGC195486 BPY195421:BPY195486 BZU195421:BZU195486 CJQ195421:CJQ195486 CTM195421:CTM195486 DDI195421:DDI195486 DNE195421:DNE195486 DXA195421:DXA195486 EGW195421:EGW195486 EQS195421:EQS195486 FAO195421:FAO195486 FKK195421:FKK195486 FUG195421:FUG195486 GEC195421:GEC195486 GNY195421:GNY195486 GXU195421:GXU195486 HHQ195421:HHQ195486 HRM195421:HRM195486 IBI195421:IBI195486 ILE195421:ILE195486 IVA195421:IVA195486 JEW195421:JEW195486 JOS195421:JOS195486 JYO195421:JYO195486 KIK195421:KIK195486 KSG195421:KSG195486 LCC195421:LCC195486 LLY195421:LLY195486 LVU195421:LVU195486 MFQ195421:MFQ195486 MPM195421:MPM195486 MZI195421:MZI195486 NJE195421:NJE195486 NTA195421:NTA195486 OCW195421:OCW195486 OMS195421:OMS195486 OWO195421:OWO195486 PGK195421:PGK195486 PQG195421:PQG195486 QAC195421:QAC195486 QJY195421:QJY195486 QTU195421:QTU195486 RDQ195421:RDQ195486 RNM195421:RNM195486 RXI195421:RXI195486 SHE195421:SHE195486 SRA195421:SRA195486 TAW195421:TAW195486 TKS195421:TKS195486 TUO195421:TUO195486 UEK195421:UEK195486 UOG195421:UOG195486 UYC195421:UYC195486 VHY195421:VHY195486 VRU195421:VRU195486 WBQ195421:WBQ195486 WLM195421:WLM195486 WVI195421:WVI195486 A260957:A261022 IW260957:IW261022 SS260957:SS261022 ACO260957:ACO261022 AMK260957:AMK261022 AWG260957:AWG261022 BGC260957:BGC261022 BPY260957:BPY261022 BZU260957:BZU261022 CJQ260957:CJQ261022 CTM260957:CTM261022 DDI260957:DDI261022 DNE260957:DNE261022 DXA260957:DXA261022 EGW260957:EGW261022 EQS260957:EQS261022 FAO260957:FAO261022 FKK260957:FKK261022 FUG260957:FUG261022 GEC260957:GEC261022 GNY260957:GNY261022 GXU260957:GXU261022 HHQ260957:HHQ261022 HRM260957:HRM261022 IBI260957:IBI261022 ILE260957:ILE261022 IVA260957:IVA261022 JEW260957:JEW261022 JOS260957:JOS261022 JYO260957:JYO261022 KIK260957:KIK261022 KSG260957:KSG261022 LCC260957:LCC261022 LLY260957:LLY261022 LVU260957:LVU261022 MFQ260957:MFQ261022 MPM260957:MPM261022 MZI260957:MZI261022 NJE260957:NJE261022 NTA260957:NTA261022 OCW260957:OCW261022 OMS260957:OMS261022 OWO260957:OWO261022 PGK260957:PGK261022 PQG260957:PQG261022 QAC260957:QAC261022 QJY260957:QJY261022 QTU260957:QTU261022 RDQ260957:RDQ261022 RNM260957:RNM261022 RXI260957:RXI261022 SHE260957:SHE261022 SRA260957:SRA261022 TAW260957:TAW261022 TKS260957:TKS261022 TUO260957:TUO261022 UEK260957:UEK261022 UOG260957:UOG261022 UYC260957:UYC261022 VHY260957:VHY261022 VRU260957:VRU261022 WBQ260957:WBQ261022 WLM260957:WLM261022 WVI260957:WVI261022 A326493:A326558 IW326493:IW326558 SS326493:SS326558 ACO326493:ACO326558 AMK326493:AMK326558 AWG326493:AWG326558 BGC326493:BGC326558 BPY326493:BPY326558 BZU326493:BZU326558 CJQ326493:CJQ326558 CTM326493:CTM326558 DDI326493:DDI326558 DNE326493:DNE326558 DXA326493:DXA326558 EGW326493:EGW326558 EQS326493:EQS326558 FAO326493:FAO326558 FKK326493:FKK326558 FUG326493:FUG326558 GEC326493:GEC326558 GNY326493:GNY326558 GXU326493:GXU326558 HHQ326493:HHQ326558 HRM326493:HRM326558 IBI326493:IBI326558 ILE326493:ILE326558 IVA326493:IVA326558 JEW326493:JEW326558 JOS326493:JOS326558 JYO326493:JYO326558 KIK326493:KIK326558 KSG326493:KSG326558 LCC326493:LCC326558 LLY326493:LLY326558 LVU326493:LVU326558 MFQ326493:MFQ326558 MPM326493:MPM326558 MZI326493:MZI326558 NJE326493:NJE326558 NTA326493:NTA326558 OCW326493:OCW326558 OMS326493:OMS326558 OWO326493:OWO326558 PGK326493:PGK326558 PQG326493:PQG326558 QAC326493:QAC326558 QJY326493:QJY326558 QTU326493:QTU326558 RDQ326493:RDQ326558 RNM326493:RNM326558 RXI326493:RXI326558 SHE326493:SHE326558 SRA326493:SRA326558 TAW326493:TAW326558 TKS326493:TKS326558 TUO326493:TUO326558 UEK326493:UEK326558 UOG326493:UOG326558 UYC326493:UYC326558 VHY326493:VHY326558 VRU326493:VRU326558 WBQ326493:WBQ326558 WLM326493:WLM326558 WVI326493:WVI326558 A392029:A392094 IW392029:IW392094 SS392029:SS392094 ACO392029:ACO392094 AMK392029:AMK392094 AWG392029:AWG392094 BGC392029:BGC392094 BPY392029:BPY392094 BZU392029:BZU392094 CJQ392029:CJQ392094 CTM392029:CTM392094 DDI392029:DDI392094 DNE392029:DNE392094 DXA392029:DXA392094 EGW392029:EGW392094 EQS392029:EQS392094 FAO392029:FAO392094 FKK392029:FKK392094 FUG392029:FUG392094 GEC392029:GEC392094 GNY392029:GNY392094 GXU392029:GXU392094 HHQ392029:HHQ392094 HRM392029:HRM392094 IBI392029:IBI392094 ILE392029:ILE392094 IVA392029:IVA392094 JEW392029:JEW392094 JOS392029:JOS392094 JYO392029:JYO392094 KIK392029:KIK392094 KSG392029:KSG392094 LCC392029:LCC392094 LLY392029:LLY392094 LVU392029:LVU392094 MFQ392029:MFQ392094 MPM392029:MPM392094 MZI392029:MZI392094 NJE392029:NJE392094 NTA392029:NTA392094 OCW392029:OCW392094 OMS392029:OMS392094 OWO392029:OWO392094 PGK392029:PGK392094 PQG392029:PQG392094 QAC392029:QAC392094 QJY392029:QJY392094 QTU392029:QTU392094 RDQ392029:RDQ392094 RNM392029:RNM392094 RXI392029:RXI392094 SHE392029:SHE392094 SRA392029:SRA392094 TAW392029:TAW392094 TKS392029:TKS392094 TUO392029:TUO392094 UEK392029:UEK392094 UOG392029:UOG392094 UYC392029:UYC392094 VHY392029:VHY392094 VRU392029:VRU392094 WBQ392029:WBQ392094 WLM392029:WLM392094 WVI392029:WVI392094 A457565:A457630 IW457565:IW457630 SS457565:SS457630 ACO457565:ACO457630 AMK457565:AMK457630 AWG457565:AWG457630 BGC457565:BGC457630 BPY457565:BPY457630 BZU457565:BZU457630 CJQ457565:CJQ457630 CTM457565:CTM457630 DDI457565:DDI457630 DNE457565:DNE457630 DXA457565:DXA457630 EGW457565:EGW457630 EQS457565:EQS457630 FAO457565:FAO457630 FKK457565:FKK457630 FUG457565:FUG457630 GEC457565:GEC457630 GNY457565:GNY457630 GXU457565:GXU457630 HHQ457565:HHQ457630 HRM457565:HRM457630 IBI457565:IBI457630 ILE457565:ILE457630 IVA457565:IVA457630 JEW457565:JEW457630 JOS457565:JOS457630 JYO457565:JYO457630 KIK457565:KIK457630 KSG457565:KSG457630 LCC457565:LCC457630 LLY457565:LLY457630 LVU457565:LVU457630 MFQ457565:MFQ457630 MPM457565:MPM457630 MZI457565:MZI457630 NJE457565:NJE457630 NTA457565:NTA457630 OCW457565:OCW457630 OMS457565:OMS457630 OWO457565:OWO457630 PGK457565:PGK457630 PQG457565:PQG457630 QAC457565:QAC457630 QJY457565:QJY457630 QTU457565:QTU457630 RDQ457565:RDQ457630 RNM457565:RNM457630 RXI457565:RXI457630 SHE457565:SHE457630 SRA457565:SRA457630 TAW457565:TAW457630 TKS457565:TKS457630 TUO457565:TUO457630 UEK457565:UEK457630 UOG457565:UOG457630 UYC457565:UYC457630 VHY457565:VHY457630 VRU457565:VRU457630 WBQ457565:WBQ457630 WLM457565:WLM457630 WVI457565:WVI457630 A523101:A523166 IW523101:IW523166 SS523101:SS523166 ACO523101:ACO523166 AMK523101:AMK523166 AWG523101:AWG523166 BGC523101:BGC523166 BPY523101:BPY523166 BZU523101:BZU523166 CJQ523101:CJQ523166 CTM523101:CTM523166 DDI523101:DDI523166 DNE523101:DNE523166 DXA523101:DXA523166 EGW523101:EGW523166 EQS523101:EQS523166 FAO523101:FAO523166 FKK523101:FKK523166 FUG523101:FUG523166 GEC523101:GEC523166 GNY523101:GNY523166 GXU523101:GXU523166 HHQ523101:HHQ523166 HRM523101:HRM523166 IBI523101:IBI523166 ILE523101:ILE523166 IVA523101:IVA523166 JEW523101:JEW523166 JOS523101:JOS523166 JYO523101:JYO523166 KIK523101:KIK523166 KSG523101:KSG523166 LCC523101:LCC523166 LLY523101:LLY523166 LVU523101:LVU523166 MFQ523101:MFQ523166 MPM523101:MPM523166 MZI523101:MZI523166 NJE523101:NJE523166 NTA523101:NTA523166 OCW523101:OCW523166 OMS523101:OMS523166 OWO523101:OWO523166 PGK523101:PGK523166 PQG523101:PQG523166 QAC523101:QAC523166 QJY523101:QJY523166 QTU523101:QTU523166 RDQ523101:RDQ523166 RNM523101:RNM523166 RXI523101:RXI523166 SHE523101:SHE523166 SRA523101:SRA523166 TAW523101:TAW523166 TKS523101:TKS523166 TUO523101:TUO523166 UEK523101:UEK523166 UOG523101:UOG523166 UYC523101:UYC523166 VHY523101:VHY523166 VRU523101:VRU523166 WBQ523101:WBQ523166 WLM523101:WLM523166 WVI523101:WVI523166 A588637:A588702 IW588637:IW588702 SS588637:SS588702 ACO588637:ACO588702 AMK588637:AMK588702 AWG588637:AWG588702 BGC588637:BGC588702 BPY588637:BPY588702 BZU588637:BZU588702 CJQ588637:CJQ588702 CTM588637:CTM588702 DDI588637:DDI588702 DNE588637:DNE588702 DXA588637:DXA588702 EGW588637:EGW588702 EQS588637:EQS588702 FAO588637:FAO588702 FKK588637:FKK588702 FUG588637:FUG588702 GEC588637:GEC588702 GNY588637:GNY588702 GXU588637:GXU588702 HHQ588637:HHQ588702 HRM588637:HRM588702 IBI588637:IBI588702 ILE588637:ILE588702 IVA588637:IVA588702 JEW588637:JEW588702 JOS588637:JOS588702 JYO588637:JYO588702 KIK588637:KIK588702 KSG588637:KSG588702 LCC588637:LCC588702 LLY588637:LLY588702 LVU588637:LVU588702 MFQ588637:MFQ588702 MPM588637:MPM588702 MZI588637:MZI588702 NJE588637:NJE588702 NTA588637:NTA588702 OCW588637:OCW588702 OMS588637:OMS588702 OWO588637:OWO588702 PGK588637:PGK588702 PQG588637:PQG588702 QAC588637:QAC588702 QJY588637:QJY588702 QTU588637:QTU588702 RDQ588637:RDQ588702 RNM588637:RNM588702 RXI588637:RXI588702 SHE588637:SHE588702 SRA588637:SRA588702 TAW588637:TAW588702 TKS588637:TKS588702 TUO588637:TUO588702 UEK588637:UEK588702 UOG588637:UOG588702 UYC588637:UYC588702 VHY588637:VHY588702 VRU588637:VRU588702 WBQ588637:WBQ588702 WLM588637:WLM588702 WVI588637:WVI588702 A654173:A654238 IW654173:IW654238 SS654173:SS654238 ACO654173:ACO654238 AMK654173:AMK654238 AWG654173:AWG654238 BGC654173:BGC654238 BPY654173:BPY654238 BZU654173:BZU654238 CJQ654173:CJQ654238 CTM654173:CTM654238 DDI654173:DDI654238 DNE654173:DNE654238 DXA654173:DXA654238 EGW654173:EGW654238 EQS654173:EQS654238 FAO654173:FAO654238 FKK654173:FKK654238 FUG654173:FUG654238 GEC654173:GEC654238 GNY654173:GNY654238 GXU654173:GXU654238 HHQ654173:HHQ654238 HRM654173:HRM654238 IBI654173:IBI654238 ILE654173:ILE654238 IVA654173:IVA654238 JEW654173:JEW654238 JOS654173:JOS654238 JYO654173:JYO654238 KIK654173:KIK654238 KSG654173:KSG654238 LCC654173:LCC654238 LLY654173:LLY654238 LVU654173:LVU654238 MFQ654173:MFQ654238 MPM654173:MPM654238 MZI654173:MZI654238 NJE654173:NJE654238 NTA654173:NTA654238 OCW654173:OCW654238 OMS654173:OMS654238 OWO654173:OWO654238 PGK654173:PGK654238 PQG654173:PQG654238 QAC654173:QAC654238 QJY654173:QJY654238 QTU654173:QTU654238 RDQ654173:RDQ654238 RNM654173:RNM654238 RXI654173:RXI654238 SHE654173:SHE654238 SRA654173:SRA654238 TAW654173:TAW654238 TKS654173:TKS654238 TUO654173:TUO654238 UEK654173:UEK654238 UOG654173:UOG654238 UYC654173:UYC654238 VHY654173:VHY654238 VRU654173:VRU654238 WBQ654173:WBQ654238 WLM654173:WLM654238 WVI654173:WVI654238 A719709:A719774 IW719709:IW719774 SS719709:SS719774 ACO719709:ACO719774 AMK719709:AMK719774 AWG719709:AWG719774 BGC719709:BGC719774 BPY719709:BPY719774 BZU719709:BZU719774 CJQ719709:CJQ719774 CTM719709:CTM719774 DDI719709:DDI719774 DNE719709:DNE719774 DXA719709:DXA719774 EGW719709:EGW719774 EQS719709:EQS719774 FAO719709:FAO719774 FKK719709:FKK719774 FUG719709:FUG719774 GEC719709:GEC719774 GNY719709:GNY719774 GXU719709:GXU719774 HHQ719709:HHQ719774 HRM719709:HRM719774 IBI719709:IBI719774 ILE719709:ILE719774 IVA719709:IVA719774 JEW719709:JEW719774 JOS719709:JOS719774 JYO719709:JYO719774 KIK719709:KIK719774 KSG719709:KSG719774 LCC719709:LCC719774 LLY719709:LLY719774 LVU719709:LVU719774 MFQ719709:MFQ719774 MPM719709:MPM719774 MZI719709:MZI719774 NJE719709:NJE719774 NTA719709:NTA719774 OCW719709:OCW719774 OMS719709:OMS719774 OWO719709:OWO719774 PGK719709:PGK719774 PQG719709:PQG719774 QAC719709:QAC719774 QJY719709:QJY719774 QTU719709:QTU719774 RDQ719709:RDQ719774 RNM719709:RNM719774 RXI719709:RXI719774 SHE719709:SHE719774 SRA719709:SRA719774 TAW719709:TAW719774 TKS719709:TKS719774 TUO719709:TUO719774 UEK719709:UEK719774 UOG719709:UOG719774 UYC719709:UYC719774 VHY719709:VHY719774 VRU719709:VRU719774 WBQ719709:WBQ719774 WLM719709:WLM719774 WVI719709:WVI719774 A785245:A785310 IW785245:IW785310 SS785245:SS785310 ACO785245:ACO785310 AMK785245:AMK785310 AWG785245:AWG785310 BGC785245:BGC785310 BPY785245:BPY785310 BZU785245:BZU785310 CJQ785245:CJQ785310 CTM785245:CTM785310 DDI785245:DDI785310 DNE785245:DNE785310 DXA785245:DXA785310 EGW785245:EGW785310 EQS785245:EQS785310 FAO785245:FAO785310 FKK785245:FKK785310 FUG785245:FUG785310 GEC785245:GEC785310 GNY785245:GNY785310 GXU785245:GXU785310 HHQ785245:HHQ785310 HRM785245:HRM785310 IBI785245:IBI785310 ILE785245:ILE785310 IVA785245:IVA785310 JEW785245:JEW785310 JOS785245:JOS785310 JYO785245:JYO785310 KIK785245:KIK785310 KSG785245:KSG785310 LCC785245:LCC785310 LLY785245:LLY785310 LVU785245:LVU785310 MFQ785245:MFQ785310 MPM785245:MPM785310 MZI785245:MZI785310 NJE785245:NJE785310 NTA785245:NTA785310 OCW785245:OCW785310 OMS785245:OMS785310 OWO785245:OWO785310 PGK785245:PGK785310 PQG785245:PQG785310 QAC785245:QAC785310 QJY785245:QJY785310 QTU785245:QTU785310 RDQ785245:RDQ785310 RNM785245:RNM785310 RXI785245:RXI785310 SHE785245:SHE785310 SRA785245:SRA785310 TAW785245:TAW785310 TKS785245:TKS785310 TUO785245:TUO785310 UEK785245:UEK785310 UOG785245:UOG785310 UYC785245:UYC785310 VHY785245:VHY785310 VRU785245:VRU785310 WBQ785245:WBQ785310 WLM785245:WLM785310 WVI785245:WVI785310 A850781:A850846 IW850781:IW850846 SS850781:SS850846 ACO850781:ACO850846 AMK850781:AMK850846 AWG850781:AWG850846 BGC850781:BGC850846 BPY850781:BPY850846 BZU850781:BZU850846 CJQ850781:CJQ850846 CTM850781:CTM850846 DDI850781:DDI850846 DNE850781:DNE850846 DXA850781:DXA850846 EGW850781:EGW850846 EQS850781:EQS850846 FAO850781:FAO850846 FKK850781:FKK850846 FUG850781:FUG850846 GEC850781:GEC850846 GNY850781:GNY850846 GXU850781:GXU850846 HHQ850781:HHQ850846 HRM850781:HRM850846 IBI850781:IBI850846 ILE850781:ILE850846 IVA850781:IVA850846 JEW850781:JEW850846 JOS850781:JOS850846 JYO850781:JYO850846 KIK850781:KIK850846 KSG850781:KSG850846 LCC850781:LCC850846 LLY850781:LLY850846 LVU850781:LVU850846 MFQ850781:MFQ850846 MPM850781:MPM850846 MZI850781:MZI850846 NJE850781:NJE850846 NTA850781:NTA850846 OCW850781:OCW850846 OMS850781:OMS850846 OWO850781:OWO850846 PGK850781:PGK850846 PQG850781:PQG850846 QAC850781:QAC850846 QJY850781:QJY850846 QTU850781:QTU850846 RDQ850781:RDQ850846 RNM850781:RNM850846 RXI850781:RXI850846 SHE850781:SHE850846 SRA850781:SRA850846 TAW850781:TAW850846 TKS850781:TKS850846 TUO850781:TUO850846 UEK850781:UEK850846 UOG850781:UOG850846 UYC850781:UYC850846 VHY850781:VHY850846 VRU850781:VRU850846 WBQ850781:WBQ850846 WLM850781:WLM850846 WVI850781:WVI850846 A916317:A916382 IW916317:IW916382 SS916317:SS916382 ACO916317:ACO916382 AMK916317:AMK916382 AWG916317:AWG916382 BGC916317:BGC916382 BPY916317:BPY916382 BZU916317:BZU916382 CJQ916317:CJQ916382 CTM916317:CTM916382 DDI916317:DDI916382 DNE916317:DNE916382 DXA916317:DXA916382 EGW916317:EGW916382 EQS916317:EQS916382 FAO916317:FAO916382 FKK916317:FKK916382 FUG916317:FUG916382 GEC916317:GEC916382 GNY916317:GNY916382 GXU916317:GXU916382 HHQ916317:HHQ916382 HRM916317:HRM916382 IBI916317:IBI916382 ILE916317:ILE916382 IVA916317:IVA916382 JEW916317:JEW916382 JOS916317:JOS916382 JYO916317:JYO916382 KIK916317:KIK916382 KSG916317:KSG916382 LCC916317:LCC916382 LLY916317:LLY916382 LVU916317:LVU916382 MFQ916317:MFQ916382 MPM916317:MPM916382 MZI916317:MZI916382 NJE916317:NJE916382 NTA916317:NTA916382 OCW916317:OCW916382 OMS916317:OMS916382 OWO916317:OWO916382 PGK916317:PGK916382 PQG916317:PQG916382 QAC916317:QAC916382 QJY916317:QJY916382 QTU916317:QTU916382 RDQ916317:RDQ916382 RNM916317:RNM916382 RXI916317:RXI916382 SHE916317:SHE916382 SRA916317:SRA916382 TAW916317:TAW916382 TKS916317:TKS916382 TUO916317:TUO916382 UEK916317:UEK916382 UOG916317:UOG916382 UYC916317:UYC916382 VHY916317:VHY916382 VRU916317:VRU916382 WBQ916317:WBQ916382 WLM916317:WLM916382 WVI916317:WVI916382 A981853:A981918 IW981853:IW981918 SS981853:SS981918 ACO981853:ACO981918 AMK981853:AMK981918 AWG981853:AWG981918 BGC981853:BGC981918 BPY981853:BPY981918 BZU981853:BZU981918 CJQ981853:CJQ981918 CTM981853:CTM981918 DDI981853:DDI981918 DNE981853:DNE981918 DXA981853:DXA981918 EGW981853:EGW981918 EQS981853:EQS981918 FAO981853:FAO981918 FKK981853:FKK981918 FUG981853:FUG981918 GEC981853:GEC981918 GNY981853:GNY981918 GXU981853:GXU981918 HHQ981853:HHQ981918 HRM981853:HRM981918 IBI981853:IBI981918 ILE981853:ILE981918 IVA981853:IVA981918 JEW981853:JEW981918 JOS981853:JOS981918 JYO981853:JYO981918 KIK981853:KIK981918 KSG981853:KSG981918 LCC981853:LCC981918 LLY981853:LLY981918 LVU981853:LVU981918 MFQ981853:MFQ981918 MPM981853:MPM981918 MZI981853:MZI981918 NJE981853:NJE981918 NTA981853:NTA981918 OCW981853:OCW981918 OMS981853:OMS981918 OWO981853:OWO981918 PGK981853:PGK981918 PQG981853:PQG981918 QAC981853:QAC981918 QJY981853:QJY981918 QTU981853:QTU981918 RDQ981853:RDQ981918 RNM981853:RNM981918 RXI981853:RXI981918 SHE981853:SHE981918 SRA981853:SRA981918 TAW981853:TAW981918 TKS981853:TKS981918 TUO981853:TUO981918 UEK981853:UEK981918 UOG981853:UOG981918 UYC981853:UYC981918 VHY981853:VHY981918 VRU981853:VRU981918 WBQ981853:WBQ981918 WLM981853:WLM981918 WVI981853:WVI981918 A1047389:A1047454 IW1047389:IW1047454 SS1047389:SS1047454 ACO1047389:ACO1047454 AMK1047389:AMK1047454 AWG1047389:AWG1047454 BGC1047389:BGC1047454 BPY1047389:BPY1047454 BZU1047389:BZU1047454 CJQ1047389:CJQ1047454 CTM1047389:CTM1047454 DDI1047389:DDI1047454 DNE1047389:DNE1047454 DXA1047389:DXA1047454 EGW1047389:EGW1047454 EQS1047389:EQS1047454 FAO1047389:FAO1047454 FKK1047389:FKK1047454 FUG1047389:FUG1047454 GEC1047389:GEC1047454 GNY1047389:GNY1047454 GXU1047389:GXU1047454 HHQ1047389:HHQ1047454 HRM1047389:HRM1047454 IBI1047389:IBI1047454 ILE1047389:ILE1047454 IVA1047389:IVA1047454 JEW1047389:JEW1047454 JOS1047389:JOS1047454 JYO1047389:JYO1047454 KIK1047389:KIK1047454 KSG1047389:KSG1047454 LCC1047389:LCC1047454 LLY1047389:LLY1047454 LVU1047389:LVU1047454 MFQ1047389:MFQ1047454 MPM1047389:MPM1047454 MZI1047389:MZI1047454 NJE1047389:NJE1047454 NTA1047389:NTA1047454 OCW1047389:OCW1047454 OMS1047389:OMS1047454 OWO1047389:OWO1047454 PGK1047389:PGK1047454 PQG1047389:PQG1047454 QAC1047389:QAC1047454 QJY1047389:QJY1047454 QTU1047389:QTU1047454 RDQ1047389:RDQ1047454 RNM1047389:RNM1047454 RXI1047389:RXI1047454 SHE1047389:SHE1047454 SRA1047389:SRA1047454 TAW1047389:TAW1047454 TKS1047389:TKS1047454 TUO1047389:TUO1047454 UEK1047389:UEK1047454 UOG1047389:UOG1047454 UYC1047389:UYC1047454 VHY1047389:VHY1047454 VRU1047389:VRU1047454 WBQ1047389:WBQ1047454 WLM1047389:WLM1047454 WVI1047389:WVI1047454 WVI983028:WVI983099 A65524:A65595 IW65524:IW65595 SS65524:SS65595 ACO65524:ACO65595 AMK65524:AMK65595 AWG65524:AWG65595 BGC65524:BGC65595 BPY65524:BPY65595 BZU65524:BZU65595 CJQ65524:CJQ65595 CTM65524:CTM65595 DDI65524:DDI65595 DNE65524:DNE65595 DXA65524:DXA65595 EGW65524:EGW65595 EQS65524:EQS65595 FAO65524:FAO65595 FKK65524:FKK65595 FUG65524:FUG65595 GEC65524:GEC65595 GNY65524:GNY65595 GXU65524:GXU65595 HHQ65524:HHQ65595 HRM65524:HRM65595 IBI65524:IBI65595 ILE65524:ILE65595 IVA65524:IVA65595 JEW65524:JEW65595 JOS65524:JOS65595 JYO65524:JYO65595 KIK65524:KIK65595 KSG65524:KSG65595 LCC65524:LCC65595 LLY65524:LLY65595 LVU65524:LVU65595 MFQ65524:MFQ65595 MPM65524:MPM65595 MZI65524:MZI65595 NJE65524:NJE65595 NTA65524:NTA65595 OCW65524:OCW65595 OMS65524:OMS65595 OWO65524:OWO65595 PGK65524:PGK65595 PQG65524:PQG65595 QAC65524:QAC65595 QJY65524:QJY65595 QTU65524:QTU65595 RDQ65524:RDQ65595 RNM65524:RNM65595 RXI65524:RXI65595 SHE65524:SHE65595 SRA65524:SRA65595 TAW65524:TAW65595 TKS65524:TKS65595 TUO65524:TUO65595 UEK65524:UEK65595 UOG65524:UOG65595 UYC65524:UYC65595 VHY65524:VHY65595 VRU65524:VRU65595 WBQ65524:WBQ65595 WLM65524:WLM65595 WVI65524:WVI65595 A131060:A131131 IW131060:IW131131 SS131060:SS131131 ACO131060:ACO131131 AMK131060:AMK131131 AWG131060:AWG131131 BGC131060:BGC131131 BPY131060:BPY131131 BZU131060:BZU131131 CJQ131060:CJQ131131 CTM131060:CTM131131 DDI131060:DDI131131 DNE131060:DNE131131 DXA131060:DXA131131 EGW131060:EGW131131 EQS131060:EQS131131 FAO131060:FAO131131 FKK131060:FKK131131 FUG131060:FUG131131 GEC131060:GEC131131 GNY131060:GNY131131 GXU131060:GXU131131 HHQ131060:HHQ131131 HRM131060:HRM131131 IBI131060:IBI131131 ILE131060:ILE131131 IVA131060:IVA131131 JEW131060:JEW131131 JOS131060:JOS131131 JYO131060:JYO131131 KIK131060:KIK131131 KSG131060:KSG131131 LCC131060:LCC131131 LLY131060:LLY131131 LVU131060:LVU131131 MFQ131060:MFQ131131 MPM131060:MPM131131 MZI131060:MZI131131 NJE131060:NJE131131 NTA131060:NTA131131 OCW131060:OCW131131 OMS131060:OMS131131 OWO131060:OWO131131 PGK131060:PGK131131 PQG131060:PQG131131 QAC131060:QAC131131 QJY131060:QJY131131 QTU131060:QTU131131 RDQ131060:RDQ131131 RNM131060:RNM131131 RXI131060:RXI131131 SHE131060:SHE131131 SRA131060:SRA131131 TAW131060:TAW131131 TKS131060:TKS131131 TUO131060:TUO131131 UEK131060:UEK131131 UOG131060:UOG131131 UYC131060:UYC131131 VHY131060:VHY131131 VRU131060:VRU131131 WBQ131060:WBQ131131 WLM131060:WLM131131 WVI131060:WVI131131 A196596:A196667 IW196596:IW196667 SS196596:SS196667 ACO196596:ACO196667 AMK196596:AMK196667 AWG196596:AWG196667 BGC196596:BGC196667 BPY196596:BPY196667 BZU196596:BZU196667 CJQ196596:CJQ196667 CTM196596:CTM196667 DDI196596:DDI196667 DNE196596:DNE196667 DXA196596:DXA196667 EGW196596:EGW196667 EQS196596:EQS196667 FAO196596:FAO196667 FKK196596:FKK196667 FUG196596:FUG196667 GEC196596:GEC196667 GNY196596:GNY196667 GXU196596:GXU196667 HHQ196596:HHQ196667 HRM196596:HRM196667 IBI196596:IBI196667 ILE196596:ILE196667 IVA196596:IVA196667 JEW196596:JEW196667 JOS196596:JOS196667 JYO196596:JYO196667 KIK196596:KIK196667 KSG196596:KSG196667 LCC196596:LCC196667 LLY196596:LLY196667 LVU196596:LVU196667 MFQ196596:MFQ196667 MPM196596:MPM196667 MZI196596:MZI196667 NJE196596:NJE196667 NTA196596:NTA196667 OCW196596:OCW196667 OMS196596:OMS196667 OWO196596:OWO196667 PGK196596:PGK196667 PQG196596:PQG196667 QAC196596:QAC196667 QJY196596:QJY196667 QTU196596:QTU196667 RDQ196596:RDQ196667 RNM196596:RNM196667 RXI196596:RXI196667 SHE196596:SHE196667 SRA196596:SRA196667 TAW196596:TAW196667 TKS196596:TKS196667 TUO196596:TUO196667 UEK196596:UEK196667 UOG196596:UOG196667 UYC196596:UYC196667 VHY196596:VHY196667 VRU196596:VRU196667 WBQ196596:WBQ196667 WLM196596:WLM196667 WVI196596:WVI196667 A262132:A262203 IW262132:IW262203 SS262132:SS262203 ACO262132:ACO262203 AMK262132:AMK262203 AWG262132:AWG262203 BGC262132:BGC262203 BPY262132:BPY262203 BZU262132:BZU262203 CJQ262132:CJQ262203 CTM262132:CTM262203 DDI262132:DDI262203 DNE262132:DNE262203 DXA262132:DXA262203 EGW262132:EGW262203 EQS262132:EQS262203 FAO262132:FAO262203 FKK262132:FKK262203 FUG262132:FUG262203 GEC262132:GEC262203 GNY262132:GNY262203 GXU262132:GXU262203 HHQ262132:HHQ262203 HRM262132:HRM262203 IBI262132:IBI262203 ILE262132:ILE262203 IVA262132:IVA262203 JEW262132:JEW262203 JOS262132:JOS262203 JYO262132:JYO262203 KIK262132:KIK262203 KSG262132:KSG262203 LCC262132:LCC262203 LLY262132:LLY262203 LVU262132:LVU262203 MFQ262132:MFQ262203 MPM262132:MPM262203 MZI262132:MZI262203 NJE262132:NJE262203 NTA262132:NTA262203 OCW262132:OCW262203 OMS262132:OMS262203 OWO262132:OWO262203 PGK262132:PGK262203 PQG262132:PQG262203 QAC262132:QAC262203 QJY262132:QJY262203 QTU262132:QTU262203 RDQ262132:RDQ262203 RNM262132:RNM262203 RXI262132:RXI262203 SHE262132:SHE262203 SRA262132:SRA262203 TAW262132:TAW262203 TKS262132:TKS262203 TUO262132:TUO262203 UEK262132:UEK262203 UOG262132:UOG262203 UYC262132:UYC262203 VHY262132:VHY262203 VRU262132:VRU262203 WBQ262132:WBQ262203 WLM262132:WLM262203 WVI262132:WVI262203 A327668:A327739 IW327668:IW327739 SS327668:SS327739 ACO327668:ACO327739 AMK327668:AMK327739 AWG327668:AWG327739 BGC327668:BGC327739 BPY327668:BPY327739 BZU327668:BZU327739 CJQ327668:CJQ327739 CTM327668:CTM327739 DDI327668:DDI327739 DNE327668:DNE327739 DXA327668:DXA327739 EGW327668:EGW327739 EQS327668:EQS327739 FAO327668:FAO327739 FKK327668:FKK327739 FUG327668:FUG327739 GEC327668:GEC327739 GNY327668:GNY327739 GXU327668:GXU327739 HHQ327668:HHQ327739 HRM327668:HRM327739 IBI327668:IBI327739 ILE327668:ILE327739 IVA327668:IVA327739 JEW327668:JEW327739 JOS327668:JOS327739 JYO327668:JYO327739 KIK327668:KIK327739 KSG327668:KSG327739 LCC327668:LCC327739 LLY327668:LLY327739 LVU327668:LVU327739 MFQ327668:MFQ327739 MPM327668:MPM327739 MZI327668:MZI327739 NJE327668:NJE327739 NTA327668:NTA327739 OCW327668:OCW327739 OMS327668:OMS327739 OWO327668:OWO327739 PGK327668:PGK327739 PQG327668:PQG327739 QAC327668:QAC327739 QJY327668:QJY327739 QTU327668:QTU327739 RDQ327668:RDQ327739 RNM327668:RNM327739 RXI327668:RXI327739 SHE327668:SHE327739 SRA327668:SRA327739 TAW327668:TAW327739 TKS327668:TKS327739 TUO327668:TUO327739 UEK327668:UEK327739 UOG327668:UOG327739 UYC327668:UYC327739 VHY327668:VHY327739 VRU327668:VRU327739 WBQ327668:WBQ327739 WLM327668:WLM327739 WVI327668:WVI327739 A393204:A393275 IW393204:IW393275 SS393204:SS393275 ACO393204:ACO393275 AMK393204:AMK393275 AWG393204:AWG393275 BGC393204:BGC393275 BPY393204:BPY393275 BZU393204:BZU393275 CJQ393204:CJQ393275 CTM393204:CTM393275 DDI393204:DDI393275 DNE393204:DNE393275 DXA393204:DXA393275 EGW393204:EGW393275 EQS393204:EQS393275 FAO393204:FAO393275 FKK393204:FKK393275 FUG393204:FUG393275 GEC393204:GEC393275 GNY393204:GNY393275 GXU393204:GXU393275 HHQ393204:HHQ393275 HRM393204:HRM393275 IBI393204:IBI393275 ILE393204:ILE393275 IVA393204:IVA393275 JEW393204:JEW393275 JOS393204:JOS393275 JYO393204:JYO393275 KIK393204:KIK393275 KSG393204:KSG393275 LCC393204:LCC393275 LLY393204:LLY393275 LVU393204:LVU393275 MFQ393204:MFQ393275 MPM393204:MPM393275 MZI393204:MZI393275 NJE393204:NJE393275 NTA393204:NTA393275 OCW393204:OCW393275 OMS393204:OMS393275 OWO393204:OWO393275 PGK393204:PGK393275 PQG393204:PQG393275 QAC393204:QAC393275 QJY393204:QJY393275 QTU393204:QTU393275 RDQ393204:RDQ393275 RNM393204:RNM393275 RXI393204:RXI393275 SHE393204:SHE393275 SRA393204:SRA393275 TAW393204:TAW393275 TKS393204:TKS393275 TUO393204:TUO393275 UEK393204:UEK393275 UOG393204:UOG393275 UYC393204:UYC393275 VHY393204:VHY393275 VRU393204:VRU393275 WBQ393204:WBQ393275 WLM393204:WLM393275 WVI393204:WVI393275 A458740:A458811 IW458740:IW458811 SS458740:SS458811 ACO458740:ACO458811 AMK458740:AMK458811 AWG458740:AWG458811 BGC458740:BGC458811 BPY458740:BPY458811 BZU458740:BZU458811 CJQ458740:CJQ458811 CTM458740:CTM458811 DDI458740:DDI458811 DNE458740:DNE458811 DXA458740:DXA458811 EGW458740:EGW458811 EQS458740:EQS458811 FAO458740:FAO458811 FKK458740:FKK458811 FUG458740:FUG458811 GEC458740:GEC458811 GNY458740:GNY458811 GXU458740:GXU458811 HHQ458740:HHQ458811 HRM458740:HRM458811 IBI458740:IBI458811 ILE458740:ILE458811 IVA458740:IVA458811 JEW458740:JEW458811 JOS458740:JOS458811 JYO458740:JYO458811 KIK458740:KIK458811 KSG458740:KSG458811 LCC458740:LCC458811 LLY458740:LLY458811 LVU458740:LVU458811 MFQ458740:MFQ458811 MPM458740:MPM458811 MZI458740:MZI458811 NJE458740:NJE458811 NTA458740:NTA458811 OCW458740:OCW458811 OMS458740:OMS458811 OWO458740:OWO458811 PGK458740:PGK458811 PQG458740:PQG458811 QAC458740:QAC458811 QJY458740:QJY458811 QTU458740:QTU458811 RDQ458740:RDQ458811 RNM458740:RNM458811 RXI458740:RXI458811 SHE458740:SHE458811 SRA458740:SRA458811 TAW458740:TAW458811 TKS458740:TKS458811 TUO458740:TUO458811 UEK458740:UEK458811 UOG458740:UOG458811 UYC458740:UYC458811 VHY458740:VHY458811 VRU458740:VRU458811 WBQ458740:WBQ458811 WLM458740:WLM458811 WVI458740:WVI458811 A524276:A524347 IW524276:IW524347 SS524276:SS524347 ACO524276:ACO524347 AMK524276:AMK524347 AWG524276:AWG524347 BGC524276:BGC524347 BPY524276:BPY524347 BZU524276:BZU524347 CJQ524276:CJQ524347 CTM524276:CTM524347 DDI524276:DDI524347 DNE524276:DNE524347 DXA524276:DXA524347 EGW524276:EGW524347 EQS524276:EQS524347 FAO524276:FAO524347 FKK524276:FKK524347 FUG524276:FUG524347 GEC524276:GEC524347 GNY524276:GNY524347 GXU524276:GXU524347 HHQ524276:HHQ524347 HRM524276:HRM524347 IBI524276:IBI524347 ILE524276:ILE524347 IVA524276:IVA524347 JEW524276:JEW524347 JOS524276:JOS524347 JYO524276:JYO524347 KIK524276:KIK524347 KSG524276:KSG524347 LCC524276:LCC524347 LLY524276:LLY524347 LVU524276:LVU524347 MFQ524276:MFQ524347 MPM524276:MPM524347 MZI524276:MZI524347 NJE524276:NJE524347 NTA524276:NTA524347 OCW524276:OCW524347 OMS524276:OMS524347 OWO524276:OWO524347 PGK524276:PGK524347 PQG524276:PQG524347 QAC524276:QAC524347 QJY524276:QJY524347 QTU524276:QTU524347 RDQ524276:RDQ524347 RNM524276:RNM524347 RXI524276:RXI524347 SHE524276:SHE524347 SRA524276:SRA524347 TAW524276:TAW524347 TKS524276:TKS524347 TUO524276:TUO524347 UEK524276:UEK524347 UOG524276:UOG524347 UYC524276:UYC524347 VHY524276:VHY524347 VRU524276:VRU524347 WBQ524276:WBQ524347 WLM524276:WLM524347 WVI524276:WVI524347 A589812:A589883 IW589812:IW589883 SS589812:SS589883 ACO589812:ACO589883 AMK589812:AMK589883 AWG589812:AWG589883 BGC589812:BGC589883 BPY589812:BPY589883 BZU589812:BZU589883 CJQ589812:CJQ589883 CTM589812:CTM589883 DDI589812:DDI589883 DNE589812:DNE589883 DXA589812:DXA589883 EGW589812:EGW589883 EQS589812:EQS589883 FAO589812:FAO589883 FKK589812:FKK589883 FUG589812:FUG589883 GEC589812:GEC589883 GNY589812:GNY589883 GXU589812:GXU589883 HHQ589812:HHQ589883 HRM589812:HRM589883 IBI589812:IBI589883 ILE589812:ILE589883 IVA589812:IVA589883 JEW589812:JEW589883 JOS589812:JOS589883 JYO589812:JYO589883 KIK589812:KIK589883 KSG589812:KSG589883 LCC589812:LCC589883 LLY589812:LLY589883 LVU589812:LVU589883 MFQ589812:MFQ589883 MPM589812:MPM589883 MZI589812:MZI589883 NJE589812:NJE589883 NTA589812:NTA589883 OCW589812:OCW589883 OMS589812:OMS589883 OWO589812:OWO589883 PGK589812:PGK589883 PQG589812:PQG589883 QAC589812:QAC589883 QJY589812:QJY589883 QTU589812:QTU589883 RDQ589812:RDQ589883 RNM589812:RNM589883 RXI589812:RXI589883 SHE589812:SHE589883 SRA589812:SRA589883 TAW589812:TAW589883 TKS589812:TKS589883 TUO589812:TUO589883 UEK589812:UEK589883 UOG589812:UOG589883 UYC589812:UYC589883 VHY589812:VHY589883 VRU589812:VRU589883 WBQ589812:WBQ589883 WLM589812:WLM589883 WVI589812:WVI589883 A655348:A655419 IW655348:IW655419 SS655348:SS655419 ACO655348:ACO655419 AMK655348:AMK655419 AWG655348:AWG655419 BGC655348:BGC655419 BPY655348:BPY655419 BZU655348:BZU655419 CJQ655348:CJQ655419 CTM655348:CTM655419 DDI655348:DDI655419 DNE655348:DNE655419 DXA655348:DXA655419 EGW655348:EGW655419 EQS655348:EQS655419 FAO655348:FAO655419 FKK655348:FKK655419 FUG655348:FUG655419 GEC655348:GEC655419 GNY655348:GNY655419 GXU655348:GXU655419 HHQ655348:HHQ655419 HRM655348:HRM655419 IBI655348:IBI655419 ILE655348:ILE655419 IVA655348:IVA655419 JEW655348:JEW655419 JOS655348:JOS655419 JYO655348:JYO655419 KIK655348:KIK655419 KSG655348:KSG655419 LCC655348:LCC655419 LLY655348:LLY655419 LVU655348:LVU655419 MFQ655348:MFQ655419 MPM655348:MPM655419 MZI655348:MZI655419 NJE655348:NJE655419 NTA655348:NTA655419 OCW655348:OCW655419 OMS655348:OMS655419 OWO655348:OWO655419 PGK655348:PGK655419 PQG655348:PQG655419 QAC655348:QAC655419 QJY655348:QJY655419 QTU655348:QTU655419 RDQ655348:RDQ655419 RNM655348:RNM655419 RXI655348:RXI655419 SHE655348:SHE655419 SRA655348:SRA655419 TAW655348:TAW655419 TKS655348:TKS655419 TUO655348:TUO655419 UEK655348:UEK655419 UOG655348:UOG655419 UYC655348:UYC655419 VHY655348:VHY655419 VRU655348:VRU655419 WBQ655348:WBQ655419 WLM655348:WLM655419 WVI655348:WVI655419 A720884:A720955 IW720884:IW720955 SS720884:SS720955 ACO720884:ACO720955 AMK720884:AMK720955 AWG720884:AWG720955 BGC720884:BGC720955 BPY720884:BPY720955 BZU720884:BZU720955 CJQ720884:CJQ720955 CTM720884:CTM720955 DDI720884:DDI720955 DNE720884:DNE720955 DXA720884:DXA720955 EGW720884:EGW720955 EQS720884:EQS720955 FAO720884:FAO720955 FKK720884:FKK720955 FUG720884:FUG720955 GEC720884:GEC720955 GNY720884:GNY720955 GXU720884:GXU720955 HHQ720884:HHQ720955 HRM720884:HRM720955 IBI720884:IBI720955 ILE720884:ILE720955 IVA720884:IVA720955 JEW720884:JEW720955 JOS720884:JOS720955 JYO720884:JYO720955 KIK720884:KIK720955 KSG720884:KSG720955 LCC720884:LCC720955 LLY720884:LLY720955 LVU720884:LVU720955 MFQ720884:MFQ720955 MPM720884:MPM720955 MZI720884:MZI720955 NJE720884:NJE720955 NTA720884:NTA720955 OCW720884:OCW720955 OMS720884:OMS720955 OWO720884:OWO720955 PGK720884:PGK720955 PQG720884:PQG720955 QAC720884:QAC720955 QJY720884:QJY720955 QTU720884:QTU720955 RDQ720884:RDQ720955 RNM720884:RNM720955 RXI720884:RXI720955 SHE720884:SHE720955 SRA720884:SRA720955 TAW720884:TAW720955 TKS720884:TKS720955 TUO720884:TUO720955 UEK720884:UEK720955 UOG720884:UOG720955 UYC720884:UYC720955 VHY720884:VHY720955 VRU720884:VRU720955 WBQ720884:WBQ720955 WLM720884:WLM720955 WVI720884:WVI720955 A786420:A786491 IW786420:IW786491 SS786420:SS786491 ACO786420:ACO786491 AMK786420:AMK786491 AWG786420:AWG786491 BGC786420:BGC786491 BPY786420:BPY786491 BZU786420:BZU786491 CJQ786420:CJQ786491 CTM786420:CTM786491 DDI786420:DDI786491 DNE786420:DNE786491 DXA786420:DXA786491 EGW786420:EGW786491 EQS786420:EQS786491 FAO786420:FAO786491 FKK786420:FKK786491 FUG786420:FUG786491 GEC786420:GEC786491 GNY786420:GNY786491 GXU786420:GXU786491 HHQ786420:HHQ786491 HRM786420:HRM786491 IBI786420:IBI786491 ILE786420:ILE786491 IVA786420:IVA786491 JEW786420:JEW786491 JOS786420:JOS786491 JYO786420:JYO786491 KIK786420:KIK786491 KSG786420:KSG786491 LCC786420:LCC786491 LLY786420:LLY786491 LVU786420:LVU786491 MFQ786420:MFQ786491 MPM786420:MPM786491 MZI786420:MZI786491 NJE786420:NJE786491 NTA786420:NTA786491 OCW786420:OCW786491 OMS786420:OMS786491 OWO786420:OWO786491 PGK786420:PGK786491 PQG786420:PQG786491 QAC786420:QAC786491 QJY786420:QJY786491 QTU786420:QTU786491 RDQ786420:RDQ786491 RNM786420:RNM786491 RXI786420:RXI786491 SHE786420:SHE786491 SRA786420:SRA786491 TAW786420:TAW786491 TKS786420:TKS786491 TUO786420:TUO786491 UEK786420:UEK786491 UOG786420:UOG786491 UYC786420:UYC786491 VHY786420:VHY786491 VRU786420:VRU786491 WBQ786420:WBQ786491 WLM786420:WLM786491 WVI786420:WVI786491 A851956:A852027 IW851956:IW852027 SS851956:SS852027 ACO851956:ACO852027 AMK851956:AMK852027 AWG851956:AWG852027 BGC851956:BGC852027 BPY851956:BPY852027 BZU851956:BZU852027 CJQ851956:CJQ852027 CTM851956:CTM852027 DDI851956:DDI852027 DNE851956:DNE852027 DXA851956:DXA852027 EGW851956:EGW852027 EQS851956:EQS852027 FAO851956:FAO852027 FKK851956:FKK852027 FUG851956:FUG852027 GEC851956:GEC852027 GNY851956:GNY852027 GXU851956:GXU852027 HHQ851956:HHQ852027 HRM851956:HRM852027 IBI851956:IBI852027 ILE851956:ILE852027 IVA851956:IVA852027 JEW851956:JEW852027 JOS851956:JOS852027 JYO851956:JYO852027 KIK851956:KIK852027 KSG851956:KSG852027 LCC851956:LCC852027 LLY851956:LLY852027 LVU851956:LVU852027 MFQ851956:MFQ852027 MPM851956:MPM852027 MZI851956:MZI852027 NJE851956:NJE852027 NTA851956:NTA852027 OCW851956:OCW852027 OMS851956:OMS852027 OWO851956:OWO852027 PGK851956:PGK852027 PQG851956:PQG852027 QAC851956:QAC852027 QJY851956:QJY852027 QTU851956:QTU852027 RDQ851956:RDQ852027 RNM851956:RNM852027 RXI851956:RXI852027 SHE851956:SHE852027 SRA851956:SRA852027 TAW851956:TAW852027 TKS851956:TKS852027 TUO851956:TUO852027 UEK851956:UEK852027 UOG851956:UOG852027 UYC851956:UYC852027 VHY851956:VHY852027 VRU851956:VRU852027 WBQ851956:WBQ852027 WLM851956:WLM852027 WVI851956:WVI852027 A917492:A917563 IW917492:IW917563 SS917492:SS917563 ACO917492:ACO917563 AMK917492:AMK917563 AWG917492:AWG917563 BGC917492:BGC917563 BPY917492:BPY917563 BZU917492:BZU917563 CJQ917492:CJQ917563 CTM917492:CTM917563 DDI917492:DDI917563 DNE917492:DNE917563 DXA917492:DXA917563 EGW917492:EGW917563 EQS917492:EQS917563 FAO917492:FAO917563 FKK917492:FKK917563 FUG917492:FUG917563 GEC917492:GEC917563 GNY917492:GNY917563 GXU917492:GXU917563 HHQ917492:HHQ917563 HRM917492:HRM917563 IBI917492:IBI917563 ILE917492:ILE917563 IVA917492:IVA917563 JEW917492:JEW917563 JOS917492:JOS917563 JYO917492:JYO917563 KIK917492:KIK917563 KSG917492:KSG917563 LCC917492:LCC917563 LLY917492:LLY917563 LVU917492:LVU917563 MFQ917492:MFQ917563 MPM917492:MPM917563 MZI917492:MZI917563 NJE917492:NJE917563 NTA917492:NTA917563 OCW917492:OCW917563 OMS917492:OMS917563 OWO917492:OWO917563 PGK917492:PGK917563 PQG917492:PQG917563 QAC917492:QAC917563 QJY917492:QJY917563 QTU917492:QTU917563 RDQ917492:RDQ917563 RNM917492:RNM917563 RXI917492:RXI917563 SHE917492:SHE917563 SRA917492:SRA917563 TAW917492:TAW917563 TKS917492:TKS917563 TUO917492:TUO917563 UEK917492:UEK917563 UOG917492:UOG917563 UYC917492:UYC917563 VHY917492:VHY917563 VRU917492:VRU917563 WBQ917492:WBQ917563 WLM917492:WLM917563 WVI917492:WVI917563 A983028:A983099 IW983028:IW983099 SS983028:SS983099 ACO983028:ACO983099 AMK983028:AMK983099 AWG983028:AWG983099 BGC983028:BGC983099 BPY983028:BPY983099 BZU983028:BZU983099 CJQ983028:CJQ983099 CTM983028:CTM983099 DDI983028:DDI983099 DNE983028:DNE983099 DXA983028:DXA983099 EGW983028:EGW983099 EQS983028:EQS983099 FAO983028:FAO983099 FKK983028:FKK983099 FUG983028:FUG983099 GEC983028:GEC983099 GNY983028:GNY983099 GXU983028:GXU983099 HHQ983028:HHQ983099 HRM983028:HRM983099 IBI983028:IBI983099 ILE983028:ILE983099 IVA983028:IVA983099 JEW983028:JEW983099 JOS983028:JOS983099 JYO983028:JYO983099 KIK983028:KIK983099 KSG983028:KSG983099 LCC983028:LCC983099 LLY983028:LLY983099 LVU983028:LVU983099 MFQ983028:MFQ983099 MPM983028:MPM983099 MZI983028:MZI983099 NJE983028:NJE983099 NTA983028:NTA983099 OCW983028:OCW983099 OMS983028:OMS983099 OWO983028:OWO983099 PGK983028:PGK983099 PQG983028:PQG983099 QAC983028:QAC983099 QJY983028:QJY983099 QTU983028:QTU983099 RDQ983028:RDQ983099 RNM983028:RNM983099 RXI983028:RXI983099 SHE983028:SHE983099 SRA983028:SRA983099 TAW983028:TAW983099 TKS983028:TKS983099 TUO983028:TUO983099 UEK983028:UEK983099 UOG983028:UOG983099 UYC983028:UYC983099 VHY983028:VHY983099 VRU983028:VRU983099 WBQ983028:WBQ983099 WLM983028:WLM983099 IW64349:IW64414">
      <formula1>$AE$2:$AE$19</formula1>
    </dataValidation>
    <dataValidation type="list" allowBlank="1" showInputMessage="1" showErrorMessage="1" sqref="X64349:X64414 X2:X486 ADL2:ADL70 AXD2:AXD70 BGZ2:BGZ70 BQV2:BQV70 CAR2:CAR70 CKN2:CKN70 CUJ2:CUJ70 DEF2:DEF70 DOB2:DOB70 DXX2:DXX70 EHT2:EHT70 ERP2:ERP70 FBL2:FBL70 FLH2:FLH70 FVD2:FVD70 GEZ2:GEZ70 GOV2:GOV70 GYR2:GYR70 HIN2:HIN70 HSJ2:HSJ70 ICF2:ICF70 IMB2:IMB70 IVX2:IVX70 JFT2:JFT70 JPP2:JPP70 JZL2:JZL70 KJH2:KJH70 KTD2:KTD70 LCZ2:LCZ70 LMV2:LMV70 LWR2:LWR70 MGN2:MGN70 MQJ2:MQJ70 NAF2:NAF70 NKB2:NKB70 NTX2:NTX70 ODT2:ODT70 ONP2:ONP70 OXL2:OXL70 PHH2:PHH70 PRD2:PRD70 QAZ2:QAZ70 QKV2:QKV70 QUR2:QUR70 REN2:REN70 ROJ2:ROJ70 RYF2:RYF70 SIB2:SIB70 SRX2:SRX70 TBT2:TBT70 TLP2:TLP70 TVL2:TVL70 UFH2:UFH70 UPD2:UPD70 UYZ2:UYZ70 VIV2:VIV70 VSR2:VSR70 WCN2:WCN70 WMJ2:WMJ70 WWF2:WWF70 JT2:JT70 TP2:TP70 ANH2:ANH70 TP64349:TP64414 ADL64349:ADL64414 ANH64349:ANH64414 AXD64349:AXD64414 BGZ64349:BGZ64414 BQV64349:BQV64414 CAR64349:CAR64414 CKN64349:CKN64414 CUJ64349:CUJ64414 DEF64349:DEF64414 DOB64349:DOB64414 DXX64349:DXX64414 EHT64349:EHT64414 ERP64349:ERP64414 FBL64349:FBL64414 FLH64349:FLH64414 FVD64349:FVD64414 GEZ64349:GEZ64414 GOV64349:GOV64414 GYR64349:GYR64414 HIN64349:HIN64414 HSJ64349:HSJ64414 ICF64349:ICF64414 IMB64349:IMB64414 IVX64349:IVX64414 JFT64349:JFT64414 JPP64349:JPP64414 JZL64349:JZL64414 KJH64349:KJH64414 KTD64349:KTD64414 LCZ64349:LCZ64414 LMV64349:LMV64414 LWR64349:LWR64414 MGN64349:MGN64414 MQJ64349:MQJ64414 NAF64349:NAF64414 NKB64349:NKB64414 NTX64349:NTX64414 ODT64349:ODT64414 ONP64349:ONP64414 OXL64349:OXL64414 PHH64349:PHH64414 PRD64349:PRD64414 QAZ64349:QAZ64414 QKV64349:QKV64414 QUR64349:QUR64414 REN64349:REN64414 ROJ64349:ROJ64414 RYF64349:RYF64414 SIB64349:SIB64414 SRX64349:SRX64414 TBT64349:TBT64414 TLP64349:TLP64414 TVL64349:TVL64414 UFH64349:UFH64414 UPD64349:UPD64414 UYZ64349:UYZ64414 VIV64349:VIV64414 VSR64349:VSR64414 WCN64349:WCN64414 WMJ64349:WMJ64414 WWF64349:WWF64414 X129885:X129950 JT129885:JT129950 TP129885:TP129950 ADL129885:ADL129950 ANH129885:ANH129950 AXD129885:AXD129950 BGZ129885:BGZ129950 BQV129885:BQV129950 CAR129885:CAR129950 CKN129885:CKN129950 CUJ129885:CUJ129950 DEF129885:DEF129950 DOB129885:DOB129950 DXX129885:DXX129950 EHT129885:EHT129950 ERP129885:ERP129950 FBL129885:FBL129950 FLH129885:FLH129950 FVD129885:FVD129950 GEZ129885:GEZ129950 GOV129885:GOV129950 GYR129885:GYR129950 HIN129885:HIN129950 HSJ129885:HSJ129950 ICF129885:ICF129950 IMB129885:IMB129950 IVX129885:IVX129950 JFT129885:JFT129950 JPP129885:JPP129950 JZL129885:JZL129950 KJH129885:KJH129950 KTD129885:KTD129950 LCZ129885:LCZ129950 LMV129885:LMV129950 LWR129885:LWR129950 MGN129885:MGN129950 MQJ129885:MQJ129950 NAF129885:NAF129950 NKB129885:NKB129950 NTX129885:NTX129950 ODT129885:ODT129950 ONP129885:ONP129950 OXL129885:OXL129950 PHH129885:PHH129950 PRD129885:PRD129950 QAZ129885:QAZ129950 QKV129885:QKV129950 QUR129885:QUR129950 REN129885:REN129950 ROJ129885:ROJ129950 RYF129885:RYF129950 SIB129885:SIB129950 SRX129885:SRX129950 TBT129885:TBT129950 TLP129885:TLP129950 TVL129885:TVL129950 UFH129885:UFH129950 UPD129885:UPD129950 UYZ129885:UYZ129950 VIV129885:VIV129950 VSR129885:VSR129950 WCN129885:WCN129950 WMJ129885:WMJ129950 WWF129885:WWF129950 X195421:X195486 JT195421:JT195486 TP195421:TP195486 ADL195421:ADL195486 ANH195421:ANH195486 AXD195421:AXD195486 BGZ195421:BGZ195486 BQV195421:BQV195486 CAR195421:CAR195486 CKN195421:CKN195486 CUJ195421:CUJ195486 DEF195421:DEF195486 DOB195421:DOB195486 DXX195421:DXX195486 EHT195421:EHT195486 ERP195421:ERP195486 FBL195421:FBL195486 FLH195421:FLH195486 FVD195421:FVD195486 GEZ195421:GEZ195486 GOV195421:GOV195486 GYR195421:GYR195486 HIN195421:HIN195486 HSJ195421:HSJ195486 ICF195421:ICF195486 IMB195421:IMB195486 IVX195421:IVX195486 JFT195421:JFT195486 JPP195421:JPP195486 JZL195421:JZL195486 KJH195421:KJH195486 KTD195421:KTD195486 LCZ195421:LCZ195486 LMV195421:LMV195486 LWR195421:LWR195486 MGN195421:MGN195486 MQJ195421:MQJ195486 NAF195421:NAF195486 NKB195421:NKB195486 NTX195421:NTX195486 ODT195421:ODT195486 ONP195421:ONP195486 OXL195421:OXL195486 PHH195421:PHH195486 PRD195421:PRD195486 QAZ195421:QAZ195486 QKV195421:QKV195486 QUR195421:QUR195486 REN195421:REN195486 ROJ195421:ROJ195486 RYF195421:RYF195486 SIB195421:SIB195486 SRX195421:SRX195486 TBT195421:TBT195486 TLP195421:TLP195486 TVL195421:TVL195486 UFH195421:UFH195486 UPD195421:UPD195486 UYZ195421:UYZ195486 VIV195421:VIV195486 VSR195421:VSR195486 WCN195421:WCN195486 WMJ195421:WMJ195486 WWF195421:WWF195486 X260957:X261022 JT260957:JT261022 TP260957:TP261022 ADL260957:ADL261022 ANH260957:ANH261022 AXD260957:AXD261022 BGZ260957:BGZ261022 BQV260957:BQV261022 CAR260957:CAR261022 CKN260957:CKN261022 CUJ260957:CUJ261022 DEF260957:DEF261022 DOB260957:DOB261022 DXX260957:DXX261022 EHT260957:EHT261022 ERP260957:ERP261022 FBL260957:FBL261022 FLH260957:FLH261022 FVD260957:FVD261022 GEZ260957:GEZ261022 GOV260957:GOV261022 GYR260957:GYR261022 HIN260957:HIN261022 HSJ260957:HSJ261022 ICF260957:ICF261022 IMB260957:IMB261022 IVX260957:IVX261022 JFT260957:JFT261022 JPP260957:JPP261022 JZL260957:JZL261022 KJH260957:KJH261022 KTD260957:KTD261022 LCZ260957:LCZ261022 LMV260957:LMV261022 LWR260957:LWR261022 MGN260957:MGN261022 MQJ260957:MQJ261022 NAF260957:NAF261022 NKB260957:NKB261022 NTX260957:NTX261022 ODT260957:ODT261022 ONP260957:ONP261022 OXL260957:OXL261022 PHH260957:PHH261022 PRD260957:PRD261022 QAZ260957:QAZ261022 QKV260957:QKV261022 QUR260957:QUR261022 REN260957:REN261022 ROJ260957:ROJ261022 RYF260957:RYF261022 SIB260957:SIB261022 SRX260957:SRX261022 TBT260957:TBT261022 TLP260957:TLP261022 TVL260957:TVL261022 UFH260957:UFH261022 UPD260957:UPD261022 UYZ260957:UYZ261022 VIV260957:VIV261022 VSR260957:VSR261022 WCN260957:WCN261022 WMJ260957:WMJ261022 WWF260957:WWF261022 X326493:X326558 JT326493:JT326558 TP326493:TP326558 ADL326493:ADL326558 ANH326493:ANH326558 AXD326493:AXD326558 BGZ326493:BGZ326558 BQV326493:BQV326558 CAR326493:CAR326558 CKN326493:CKN326558 CUJ326493:CUJ326558 DEF326493:DEF326558 DOB326493:DOB326558 DXX326493:DXX326558 EHT326493:EHT326558 ERP326493:ERP326558 FBL326493:FBL326558 FLH326493:FLH326558 FVD326493:FVD326558 GEZ326493:GEZ326558 GOV326493:GOV326558 GYR326493:GYR326558 HIN326493:HIN326558 HSJ326493:HSJ326558 ICF326493:ICF326558 IMB326493:IMB326558 IVX326493:IVX326558 JFT326493:JFT326558 JPP326493:JPP326558 JZL326493:JZL326558 KJH326493:KJH326558 KTD326493:KTD326558 LCZ326493:LCZ326558 LMV326493:LMV326558 LWR326493:LWR326558 MGN326493:MGN326558 MQJ326493:MQJ326558 NAF326493:NAF326558 NKB326493:NKB326558 NTX326493:NTX326558 ODT326493:ODT326558 ONP326493:ONP326558 OXL326493:OXL326558 PHH326493:PHH326558 PRD326493:PRD326558 QAZ326493:QAZ326558 QKV326493:QKV326558 QUR326493:QUR326558 REN326493:REN326558 ROJ326493:ROJ326558 RYF326493:RYF326558 SIB326493:SIB326558 SRX326493:SRX326558 TBT326493:TBT326558 TLP326493:TLP326558 TVL326493:TVL326558 UFH326493:UFH326558 UPD326493:UPD326558 UYZ326493:UYZ326558 VIV326493:VIV326558 VSR326493:VSR326558 WCN326493:WCN326558 WMJ326493:WMJ326558 WWF326493:WWF326558 X392029:X392094 JT392029:JT392094 TP392029:TP392094 ADL392029:ADL392094 ANH392029:ANH392094 AXD392029:AXD392094 BGZ392029:BGZ392094 BQV392029:BQV392094 CAR392029:CAR392094 CKN392029:CKN392094 CUJ392029:CUJ392094 DEF392029:DEF392094 DOB392029:DOB392094 DXX392029:DXX392094 EHT392029:EHT392094 ERP392029:ERP392094 FBL392029:FBL392094 FLH392029:FLH392094 FVD392029:FVD392094 GEZ392029:GEZ392094 GOV392029:GOV392094 GYR392029:GYR392094 HIN392029:HIN392094 HSJ392029:HSJ392094 ICF392029:ICF392094 IMB392029:IMB392094 IVX392029:IVX392094 JFT392029:JFT392094 JPP392029:JPP392094 JZL392029:JZL392094 KJH392029:KJH392094 KTD392029:KTD392094 LCZ392029:LCZ392094 LMV392029:LMV392094 LWR392029:LWR392094 MGN392029:MGN392094 MQJ392029:MQJ392094 NAF392029:NAF392094 NKB392029:NKB392094 NTX392029:NTX392094 ODT392029:ODT392094 ONP392029:ONP392094 OXL392029:OXL392094 PHH392029:PHH392094 PRD392029:PRD392094 QAZ392029:QAZ392094 QKV392029:QKV392094 QUR392029:QUR392094 REN392029:REN392094 ROJ392029:ROJ392094 RYF392029:RYF392094 SIB392029:SIB392094 SRX392029:SRX392094 TBT392029:TBT392094 TLP392029:TLP392094 TVL392029:TVL392094 UFH392029:UFH392094 UPD392029:UPD392094 UYZ392029:UYZ392094 VIV392029:VIV392094 VSR392029:VSR392094 WCN392029:WCN392094 WMJ392029:WMJ392094 WWF392029:WWF392094 X457565:X457630 JT457565:JT457630 TP457565:TP457630 ADL457565:ADL457630 ANH457565:ANH457630 AXD457565:AXD457630 BGZ457565:BGZ457630 BQV457565:BQV457630 CAR457565:CAR457630 CKN457565:CKN457630 CUJ457565:CUJ457630 DEF457565:DEF457630 DOB457565:DOB457630 DXX457565:DXX457630 EHT457565:EHT457630 ERP457565:ERP457630 FBL457565:FBL457630 FLH457565:FLH457630 FVD457565:FVD457630 GEZ457565:GEZ457630 GOV457565:GOV457630 GYR457565:GYR457630 HIN457565:HIN457630 HSJ457565:HSJ457630 ICF457565:ICF457630 IMB457565:IMB457630 IVX457565:IVX457630 JFT457565:JFT457630 JPP457565:JPP457630 JZL457565:JZL457630 KJH457565:KJH457630 KTD457565:KTD457630 LCZ457565:LCZ457630 LMV457565:LMV457630 LWR457565:LWR457630 MGN457565:MGN457630 MQJ457565:MQJ457630 NAF457565:NAF457630 NKB457565:NKB457630 NTX457565:NTX457630 ODT457565:ODT457630 ONP457565:ONP457630 OXL457565:OXL457630 PHH457565:PHH457630 PRD457565:PRD457630 QAZ457565:QAZ457630 QKV457565:QKV457630 QUR457565:QUR457630 REN457565:REN457630 ROJ457565:ROJ457630 RYF457565:RYF457630 SIB457565:SIB457630 SRX457565:SRX457630 TBT457565:TBT457630 TLP457565:TLP457630 TVL457565:TVL457630 UFH457565:UFH457630 UPD457565:UPD457630 UYZ457565:UYZ457630 VIV457565:VIV457630 VSR457565:VSR457630 WCN457565:WCN457630 WMJ457565:WMJ457630 WWF457565:WWF457630 X523101:X523166 JT523101:JT523166 TP523101:TP523166 ADL523101:ADL523166 ANH523101:ANH523166 AXD523101:AXD523166 BGZ523101:BGZ523166 BQV523101:BQV523166 CAR523101:CAR523166 CKN523101:CKN523166 CUJ523101:CUJ523166 DEF523101:DEF523166 DOB523101:DOB523166 DXX523101:DXX523166 EHT523101:EHT523166 ERP523101:ERP523166 FBL523101:FBL523166 FLH523101:FLH523166 FVD523101:FVD523166 GEZ523101:GEZ523166 GOV523101:GOV523166 GYR523101:GYR523166 HIN523101:HIN523166 HSJ523101:HSJ523166 ICF523101:ICF523166 IMB523101:IMB523166 IVX523101:IVX523166 JFT523101:JFT523166 JPP523101:JPP523166 JZL523101:JZL523166 KJH523101:KJH523166 KTD523101:KTD523166 LCZ523101:LCZ523166 LMV523101:LMV523166 LWR523101:LWR523166 MGN523101:MGN523166 MQJ523101:MQJ523166 NAF523101:NAF523166 NKB523101:NKB523166 NTX523101:NTX523166 ODT523101:ODT523166 ONP523101:ONP523166 OXL523101:OXL523166 PHH523101:PHH523166 PRD523101:PRD523166 QAZ523101:QAZ523166 QKV523101:QKV523166 QUR523101:QUR523166 REN523101:REN523166 ROJ523101:ROJ523166 RYF523101:RYF523166 SIB523101:SIB523166 SRX523101:SRX523166 TBT523101:TBT523166 TLP523101:TLP523166 TVL523101:TVL523166 UFH523101:UFH523166 UPD523101:UPD523166 UYZ523101:UYZ523166 VIV523101:VIV523166 VSR523101:VSR523166 WCN523101:WCN523166 WMJ523101:WMJ523166 WWF523101:WWF523166 X588637:X588702 JT588637:JT588702 TP588637:TP588702 ADL588637:ADL588702 ANH588637:ANH588702 AXD588637:AXD588702 BGZ588637:BGZ588702 BQV588637:BQV588702 CAR588637:CAR588702 CKN588637:CKN588702 CUJ588637:CUJ588702 DEF588637:DEF588702 DOB588637:DOB588702 DXX588637:DXX588702 EHT588637:EHT588702 ERP588637:ERP588702 FBL588637:FBL588702 FLH588637:FLH588702 FVD588637:FVD588702 GEZ588637:GEZ588702 GOV588637:GOV588702 GYR588637:GYR588702 HIN588637:HIN588702 HSJ588637:HSJ588702 ICF588637:ICF588702 IMB588637:IMB588702 IVX588637:IVX588702 JFT588637:JFT588702 JPP588637:JPP588702 JZL588637:JZL588702 KJH588637:KJH588702 KTD588637:KTD588702 LCZ588637:LCZ588702 LMV588637:LMV588702 LWR588637:LWR588702 MGN588637:MGN588702 MQJ588637:MQJ588702 NAF588637:NAF588702 NKB588637:NKB588702 NTX588637:NTX588702 ODT588637:ODT588702 ONP588637:ONP588702 OXL588637:OXL588702 PHH588637:PHH588702 PRD588637:PRD588702 QAZ588637:QAZ588702 QKV588637:QKV588702 QUR588637:QUR588702 REN588637:REN588702 ROJ588637:ROJ588702 RYF588637:RYF588702 SIB588637:SIB588702 SRX588637:SRX588702 TBT588637:TBT588702 TLP588637:TLP588702 TVL588637:TVL588702 UFH588637:UFH588702 UPD588637:UPD588702 UYZ588637:UYZ588702 VIV588637:VIV588702 VSR588637:VSR588702 WCN588637:WCN588702 WMJ588637:WMJ588702 WWF588637:WWF588702 X654173:X654238 JT654173:JT654238 TP654173:TP654238 ADL654173:ADL654238 ANH654173:ANH654238 AXD654173:AXD654238 BGZ654173:BGZ654238 BQV654173:BQV654238 CAR654173:CAR654238 CKN654173:CKN654238 CUJ654173:CUJ654238 DEF654173:DEF654238 DOB654173:DOB654238 DXX654173:DXX654238 EHT654173:EHT654238 ERP654173:ERP654238 FBL654173:FBL654238 FLH654173:FLH654238 FVD654173:FVD654238 GEZ654173:GEZ654238 GOV654173:GOV654238 GYR654173:GYR654238 HIN654173:HIN654238 HSJ654173:HSJ654238 ICF654173:ICF654238 IMB654173:IMB654238 IVX654173:IVX654238 JFT654173:JFT654238 JPP654173:JPP654238 JZL654173:JZL654238 KJH654173:KJH654238 KTD654173:KTD654238 LCZ654173:LCZ654238 LMV654173:LMV654238 LWR654173:LWR654238 MGN654173:MGN654238 MQJ654173:MQJ654238 NAF654173:NAF654238 NKB654173:NKB654238 NTX654173:NTX654238 ODT654173:ODT654238 ONP654173:ONP654238 OXL654173:OXL654238 PHH654173:PHH654238 PRD654173:PRD654238 QAZ654173:QAZ654238 QKV654173:QKV654238 QUR654173:QUR654238 REN654173:REN654238 ROJ654173:ROJ654238 RYF654173:RYF654238 SIB654173:SIB654238 SRX654173:SRX654238 TBT654173:TBT654238 TLP654173:TLP654238 TVL654173:TVL654238 UFH654173:UFH654238 UPD654173:UPD654238 UYZ654173:UYZ654238 VIV654173:VIV654238 VSR654173:VSR654238 WCN654173:WCN654238 WMJ654173:WMJ654238 WWF654173:WWF654238 X719709:X719774 JT719709:JT719774 TP719709:TP719774 ADL719709:ADL719774 ANH719709:ANH719774 AXD719709:AXD719774 BGZ719709:BGZ719774 BQV719709:BQV719774 CAR719709:CAR719774 CKN719709:CKN719774 CUJ719709:CUJ719774 DEF719709:DEF719774 DOB719709:DOB719774 DXX719709:DXX719774 EHT719709:EHT719774 ERP719709:ERP719774 FBL719709:FBL719774 FLH719709:FLH719774 FVD719709:FVD719774 GEZ719709:GEZ719774 GOV719709:GOV719774 GYR719709:GYR719774 HIN719709:HIN719774 HSJ719709:HSJ719774 ICF719709:ICF719774 IMB719709:IMB719774 IVX719709:IVX719774 JFT719709:JFT719774 JPP719709:JPP719774 JZL719709:JZL719774 KJH719709:KJH719774 KTD719709:KTD719774 LCZ719709:LCZ719774 LMV719709:LMV719774 LWR719709:LWR719774 MGN719709:MGN719774 MQJ719709:MQJ719774 NAF719709:NAF719774 NKB719709:NKB719774 NTX719709:NTX719774 ODT719709:ODT719774 ONP719709:ONP719774 OXL719709:OXL719774 PHH719709:PHH719774 PRD719709:PRD719774 QAZ719709:QAZ719774 QKV719709:QKV719774 QUR719709:QUR719774 REN719709:REN719774 ROJ719709:ROJ719774 RYF719709:RYF719774 SIB719709:SIB719774 SRX719709:SRX719774 TBT719709:TBT719774 TLP719709:TLP719774 TVL719709:TVL719774 UFH719709:UFH719774 UPD719709:UPD719774 UYZ719709:UYZ719774 VIV719709:VIV719774 VSR719709:VSR719774 WCN719709:WCN719774 WMJ719709:WMJ719774 WWF719709:WWF719774 X785245:X785310 JT785245:JT785310 TP785245:TP785310 ADL785245:ADL785310 ANH785245:ANH785310 AXD785245:AXD785310 BGZ785245:BGZ785310 BQV785245:BQV785310 CAR785245:CAR785310 CKN785245:CKN785310 CUJ785245:CUJ785310 DEF785245:DEF785310 DOB785245:DOB785310 DXX785245:DXX785310 EHT785245:EHT785310 ERP785245:ERP785310 FBL785245:FBL785310 FLH785245:FLH785310 FVD785245:FVD785310 GEZ785245:GEZ785310 GOV785245:GOV785310 GYR785245:GYR785310 HIN785245:HIN785310 HSJ785245:HSJ785310 ICF785245:ICF785310 IMB785245:IMB785310 IVX785245:IVX785310 JFT785245:JFT785310 JPP785245:JPP785310 JZL785245:JZL785310 KJH785245:KJH785310 KTD785245:KTD785310 LCZ785245:LCZ785310 LMV785245:LMV785310 LWR785245:LWR785310 MGN785245:MGN785310 MQJ785245:MQJ785310 NAF785245:NAF785310 NKB785245:NKB785310 NTX785245:NTX785310 ODT785245:ODT785310 ONP785245:ONP785310 OXL785245:OXL785310 PHH785245:PHH785310 PRD785245:PRD785310 QAZ785245:QAZ785310 QKV785245:QKV785310 QUR785245:QUR785310 REN785245:REN785310 ROJ785245:ROJ785310 RYF785245:RYF785310 SIB785245:SIB785310 SRX785245:SRX785310 TBT785245:TBT785310 TLP785245:TLP785310 TVL785245:TVL785310 UFH785245:UFH785310 UPD785245:UPD785310 UYZ785245:UYZ785310 VIV785245:VIV785310 VSR785245:VSR785310 WCN785245:WCN785310 WMJ785245:WMJ785310 WWF785245:WWF785310 X850781:X850846 JT850781:JT850846 TP850781:TP850846 ADL850781:ADL850846 ANH850781:ANH850846 AXD850781:AXD850846 BGZ850781:BGZ850846 BQV850781:BQV850846 CAR850781:CAR850846 CKN850781:CKN850846 CUJ850781:CUJ850846 DEF850781:DEF850846 DOB850781:DOB850846 DXX850781:DXX850846 EHT850781:EHT850846 ERP850781:ERP850846 FBL850781:FBL850846 FLH850781:FLH850846 FVD850781:FVD850846 GEZ850781:GEZ850846 GOV850781:GOV850846 GYR850781:GYR850846 HIN850781:HIN850846 HSJ850781:HSJ850846 ICF850781:ICF850846 IMB850781:IMB850846 IVX850781:IVX850846 JFT850781:JFT850846 JPP850781:JPP850846 JZL850781:JZL850846 KJH850781:KJH850846 KTD850781:KTD850846 LCZ850781:LCZ850846 LMV850781:LMV850846 LWR850781:LWR850846 MGN850781:MGN850846 MQJ850781:MQJ850846 NAF850781:NAF850846 NKB850781:NKB850846 NTX850781:NTX850846 ODT850781:ODT850846 ONP850781:ONP850846 OXL850781:OXL850846 PHH850781:PHH850846 PRD850781:PRD850846 QAZ850781:QAZ850846 QKV850781:QKV850846 QUR850781:QUR850846 REN850781:REN850846 ROJ850781:ROJ850846 RYF850781:RYF850846 SIB850781:SIB850846 SRX850781:SRX850846 TBT850781:TBT850846 TLP850781:TLP850846 TVL850781:TVL850846 UFH850781:UFH850846 UPD850781:UPD850846 UYZ850781:UYZ850846 VIV850781:VIV850846 VSR850781:VSR850846 WCN850781:WCN850846 WMJ850781:WMJ850846 WWF850781:WWF850846 X916317:X916382 JT916317:JT916382 TP916317:TP916382 ADL916317:ADL916382 ANH916317:ANH916382 AXD916317:AXD916382 BGZ916317:BGZ916382 BQV916317:BQV916382 CAR916317:CAR916382 CKN916317:CKN916382 CUJ916317:CUJ916382 DEF916317:DEF916382 DOB916317:DOB916382 DXX916317:DXX916382 EHT916317:EHT916382 ERP916317:ERP916382 FBL916317:FBL916382 FLH916317:FLH916382 FVD916317:FVD916382 GEZ916317:GEZ916382 GOV916317:GOV916382 GYR916317:GYR916382 HIN916317:HIN916382 HSJ916317:HSJ916382 ICF916317:ICF916382 IMB916317:IMB916382 IVX916317:IVX916382 JFT916317:JFT916382 JPP916317:JPP916382 JZL916317:JZL916382 KJH916317:KJH916382 KTD916317:KTD916382 LCZ916317:LCZ916382 LMV916317:LMV916382 LWR916317:LWR916382 MGN916317:MGN916382 MQJ916317:MQJ916382 NAF916317:NAF916382 NKB916317:NKB916382 NTX916317:NTX916382 ODT916317:ODT916382 ONP916317:ONP916382 OXL916317:OXL916382 PHH916317:PHH916382 PRD916317:PRD916382 QAZ916317:QAZ916382 QKV916317:QKV916382 QUR916317:QUR916382 REN916317:REN916382 ROJ916317:ROJ916382 RYF916317:RYF916382 SIB916317:SIB916382 SRX916317:SRX916382 TBT916317:TBT916382 TLP916317:TLP916382 TVL916317:TVL916382 UFH916317:UFH916382 UPD916317:UPD916382 UYZ916317:UYZ916382 VIV916317:VIV916382 VSR916317:VSR916382 WCN916317:WCN916382 WMJ916317:WMJ916382 WWF916317:WWF916382 X981853:X981918 JT981853:JT981918 TP981853:TP981918 ADL981853:ADL981918 ANH981853:ANH981918 AXD981853:AXD981918 BGZ981853:BGZ981918 BQV981853:BQV981918 CAR981853:CAR981918 CKN981853:CKN981918 CUJ981853:CUJ981918 DEF981853:DEF981918 DOB981853:DOB981918 DXX981853:DXX981918 EHT981853:EHT981918 ERP981853:ERP981918 FBL981853:FBL981918 FLH981853:FLH981918 FVD981853:FVD981918 GEZ981853:GEZ981918 GOV981853:GOV981918 GYR981853:GYR981918 HIN981853:HIN981918 HSJ981853:HSJ981918 ICF981853:ICF981918 IMB981853:IMB981918 IVX981853:IVX981918 JFT981853:JFT981918 JPP981853:JPP981918 JZL981853:JZL981918 KJH981853:KJH981918 KTD981853:KTD981918 LCZ981853:LCZ981918 LMV981853:LMV981918 LWR981853:LWR981918 MGN981853:MGN981918 MQJ981853:MQJ981918 NAF981853:NAF981918 NKB981853:NKB981918 NTX981853:NTX981918 ODT981853:ODT981918 ONP981853:ONP981918 OXL981853:OXL981918 PHH981853:PHH981918 PRD981853:PRD981918 QAZ981853:QAZ981918 QKV981853:QKV981918 QUR981853:QUR981918 REN981853:REN981918 ROJ981853:ROJ981918 RYF981853:RYF981918 SIB981853:SIB981918 SRX981853:SRX981918 TBT981853:TBT981918 TLP981853:TLP981918 TVL981853:TVL981918 UFH981853:UFH981918 UPD981853:UPD981918 UYZ981853:UYZ981918 VIV981853:VIV981918 VSR981853:VSR981918 WCN981853:WCN981918 WMJ981853:WMJ981918 WWF981853:WWF981918 X1047389:X1047454 JT1047389:JT1047454 TP1047389:TP1047454 ADL1047389:ADL1047454 ANH1047389:ANH1047454 AXD1047389:AXD1047454 BGZ1047389:BGZ1047454 BQV1047389:BQV1047454 CAR1047389:CAR1047454 CKN1047389:CKN1047454 CUJ1047389:CUJ1047454 DEF1047389:DEF1047454 DOB1047389:DOB1047454 DXX1047389:DXX1047454 EHT1047389:EHT1047454 ERP1047389:ERP1047454 FBL1047389:FBL1047454 FLH1047389:FLH1047454 FVD1047389:FVD1047454 GEZ1047389:GEZ1047454 GOV1047389:GOV1047454 GYR1047389:GYR1047454 HIN1047389:HIN1047454 HSJ1047389:HSJ1047454 ICF1047389:ICF1047454 IMB1047389:IMB1047454 IVX1047389:IVX1047454 JFT1047389:JFT1047454 JPP1047389:JPP1047454 JZL1047389:JZL1047454 KJH1047389:KJH1047454 KTD1047389:KTD1047454 LCZ1047389:LCZ1047454 LMV1047389:LMV1047454 LWR1047389:LWR1047454 MGN1047389:MGN1047454 MQJ1047389:MQJ1047454 NAF1047389:NAF1047454 NKB1047389:NKB1047454 NTX1047389:NTX1047454 ODT1047389:ODT1047454 ONP1047389:ONP1047454 OXL1047389:OXL1047454 PHH1047389:PHH1047454 PRD1047389:PRD1047454 QAZ1047389:QAZ1047454 QKV1047389:QKV1047454 QUR1047389:QUR1047454 REN1047389:REN1047454 ROJ1047389:ROJ1047454 RYF1047389:RYF1047454 SIB1047389:SIB1047454 SRX1047389:SRX1047454 TBT1047389:TBT1047454 TLP1047389:TLP1047454 TVL1047389:TVL1047454 UFH1047389:UFH1047454 UPD1047389:UPD1047454 UYZ1047389:UYZ1047454 VIV1047389:VIV1047454 VSR1047389:VSR1047454 WCN1047389:WCN1047454 WMJ1047389:WMJ1047454 WWF1047389:WWF1047454 WWF983028:WWF983093 X65524:X65589 JT65524:JT65589 TP65524:TP65589 ADL65524:ADL65589 ANH65524:ANH65589 AXD65524:AXD65589 BGZ65524:BGZ65589 BQV65524:BQV65589 CAR65524:CAR65589 CKN65524:CKN65589 CUJ65524:CUJ65589 DEF65524:DEF65589 DOB65524:DOB65589 DXX65524:DXX65589 EHT65524:EHT65589 ERP65524:ERP65589 FBL65524:FBL65589 FLH65524:FLH65589 FVD65524:FVD65589 GEZ65524:GEZ65589 GOV65524:GOV65589 GYR65524:GYR65589 HIN65524:HIN65589 HSJ65524:HSJ65589 ICF65524:ICF65589 IMB65524:IMB65589 IVX65524:IVX65589 JFT65524:JFT65589 JPP65524:JPP65589 JZL65524:JZL65589 KJH65524:KJH65589 KTD65524:KTD65589 LCZ65524:LCZ65589 LMV65524:LMV65589 LWR65524:LWR65589 MGN65524:MGN65589 MQJ65524:MQJ65589 NAF65524:NAF65589 NKB65524:NKB65589 NTX65524:NTX65589 ODT65524:ODT65589 ONP65524:ONP65589 OXL65524:OXL65589 PHH65524:PHH65589 PRD65524:PRD65589 QAZ65524:QAZ65589 QKV65524:QKV65589 QUR65524:QUR65589 REN65524:REN65589 ROJ65524:ROJ65589 RYF65524:RYF65589 SIB65524:SIB65589 SRX65524:SRX65589 TBT65524:TBT65589 TLP65524:TLP65589 TVL65524:TVL65589 UFH65524:UFH65589 UPD65524:UPD65589 UYZ65524:UYZ65589 VIV65524:VIV65589 VSR65524:VSR65589 WCN65524:WCN65589 WMJ65524:WMJ65589 WWF65524:WWF65589 X131060:X131125 JT131060:JT131125 TP131060:TP131125 ADL131060:ADL131125 ANH131060:ANH131125 AXD131060:AXD131125 BGZ131060:BGZ131125 BQV131060:BQV131125 CAR131060:CAR131125 CKN131060:CKN131125 CUJ131060:CUJ131125 DEF131060:DEF131125 DOB131060:DOB131125 DXX131060:DXX131125 EHT131060:EHT131125 ERP131060:ERP131125 FBL131060:FBL131125 FLH131060:FLH131125 FVD131060:FVD131125 GEZ131060:GEZ131125 GOV131060:GOV131125 GYR131060:GYR131125 HIN131060:HIN131125 HSJ131060:HSJ131125 ICF131060:ICF131125 IMB131060:IMB131125 IVX131060:IVX131125 JFT131060:JFT131125 JPP131060:JPP131125 JZL131060:JZL131125 KJH131060:KJH131125 KTD131060:KTD131125 LCZ131060:LCZ131125 LMV131060:LMV131125 LWR131060:LWR131125 MGN131060:MGN131125 MQJ131060:MQJ131125 NAF131060:NAF131125 NKB131060:NKB131125 NTX131060:NTX131125 ODT131060:ODT131125 ONP131060:ONP131125 OXL131060:OXL131125 PHH131060:PHH131125 PRD131060:PRD131125 QAZ131060:QAZ131125 QKV131060:QKV131125 QUR131060:QUR131125 REN131060:REN131125 ROJ131060:ROJ131125 RYF131060:RYF131125 SIB131060:SIB131125 SRX131060:SRX131125 TBT131060:TBT131125 TLP131060:TLP131125 TVL131060:TVL131125 UFH131060:UFH131125 UPD131060:UPD131125 UYZ131060:UYZ131125 VIV131060:VIV131125 VSR131060:VSR131125 WCN131060:WCN131125 WMJ131060:WMJ131125 WWF131060:WWF131125 X196596:X196661 JT196596:JT196661 TP196596:TP196661 ADL196596:ADL196661 ANH196596:ANH196661 AXD196596:AXD196661 BGZ196596:BGZ196661 BQV196596:BQV196661 CAR196596:CAR196661 CKN196596:CKN196661 CUJ196596:CUJ196661 DEF196596:DEF196661 DOB196596:DOB196661 DXX196596:DXX196661 EHT196596:EHT196661 ERP196596:ERP196661 FBL196596:FBL196661 FLH196596:FLH196661 FVD196596:FVD196661 GEZ196596:GEZ196661 GOV196596:GOV196661 GYR196596:GYR196661 HIN196596:HIN196661 HSJ196596:HSJ196661 ICF196596:ICF196661 IMB196596:IMB196661 IVX196596:IVX196661 JFT196596:JFT196661 JPP196596:JPP196661 JZL196596:JZL196661 KJH196596:KJH196661 KTD196596:KTD196661 LCZ196596:LCZ196661 LMV196596:LMV196661 LWR196596:LWR196661 MGN196596:MGN196661 MQJ196596:MQJ196661 NAF196596:NAF196661 NKB196596:NKB196661 NTX196596:NTX196661 ODT196596:ODT196661 ONP196596:ONP196661 OXL196596:OXL196661 PHH196596:PHH196661 PRD196596:PRD196661 QAZ196596:QAZ196661 QKV196596:QKV196661 QUR196596:QUR196661 REN196596:REN196661 ROJ196596:ROJ196661 RYF196596:RYF196661 SIB196596:SIB196661 SRX196596:SRX196661 TBT196596:TBT196661 TLP196596:TLP196661 TVL196596:TVL196661 UFH196596:UFH196661 UPD196596:UPD196661 UYZ196596:UYZ196661 VIV196596:VIV196661 VSR196596:VSR196661 WCN196596:WCN196661 WMJ196596:WMJ196661 WWF196596:WWF196661 X262132:X262197 JT262132:JT262197 TP262132:TP262197 ADL262132:ADL262197 ANH262132:ANH262197 AXD262132:AXD262197 BGZ262132:BGZ262197 BQV262132:BQV262197 CAR262132:CAR262197 CKN262132:CKN262197 CUJ262132:CUJ262197 DEF262132:DEF262197 DOB262132:DOB262197 DXX262132:DXX262197 EHT262132:EHT262197 ERP262132:ERP262197 FBL262132:FBL262197 FLH262132:FLH262197 FVD262132:FVD262197 GEZ262132:GEZ262197 GOV262132:GOV262197 GYR262132:GYR262197 HIN262132:HIN262197 HSJ262132:HSJ262197 ICF262132:ICF262197 IMB262132:IMB262197 IVX262132:IVX262197 JFT262132:JFT262197 JPP262132:JPP262197 JZL262132:JZL262197 KJH262132:KJH262197 KTD262132:KTD262197 LCZ262132:LCZ262197 LMV262132:LMV262197 LWR262132:LWR262197 MGN262132:MGN262197 MQJ262132:MQJ262197 NAF262132:NAF262197 NKB262132:NKB262197 NTX262132:NTX262197 ODT262132:ODT262197 ONP262132:ONP262197 OXL262132:OXL262197 PHH262132:PHH262197 PRD262132:PRD262197 QAZ262132:QAZ262197 QKV262132:QKV262197 QUR262132:QUR262197 REN262132:REN262197 ROJ262132:ROJ262197 RYF262132:RYF262197 SIB262132:SIB262197 SRX262132:SRX262197 TBT262132:TBT262197 TLP262132:TLP262197 TVL262132:TVL262197 UFH262132:UFH262197 UPD262132:UPD262197 UYZ262132:UYZ262197 VIV262132:VIV262197 VSR262132:VSR262197 WCN262132:WCN262197 WMJ262132:WMJ262197 WWF262132:WWF262197 X327668:X327733 JT327668:JT327733 TP327668:TP327733 ADL327668:ADL327733 ANH327668:ANH327733 AXD327668:AXD327733 BGZ327668:BGZ327733 BQV327668:BQV327733 CAR327668:CAR327733 CKN327668:CKN327733 CUJ327668:CUJ327733 DEF327668:DEF327733 DOB327668:DOB327733 DXX327668:DXX327733 EHT327668:EHT327733 ERP327668:ERP327733 FBL327668:FBL327733 FLH327668:FLH327733 FVD327668:FVD327733 GEZ327668:GEZ327733 GOV327668:GOV327733 GYR327668:GYR327733 HIN327668:HIN327733 HSJ327668:HSJ327733 ICF327668:ICF327733 IMB327668:IMB327733 IVX327668:IVX327733 JFT327668:JFT327733 JPP327668:JPP327733 JZL327668:JZL327733 KJH327668:KJH327733 KTD327668:KTD327733 LCZ327668:LCZ327733 LMV327668:LMV327733 LWR327668:LWR327733 MGN327668:MGN327733 MQJ327668:MQJ327733 NAF327668:NAF327733 NKB327668:NKB327733 NTX327668:NTX327733 ODT327668:ODT327733 ONP327668:ONP327733 OXL327668:OXL327733 PHH327668:PHH327733 PRD327668:PRD327733 QAZ327668:QAZ327733 QKV327668:QKV327733 QUR327668:QUR327733 REN327668:REN327733 ROJ327668:ROJ327733 RYF327668:RYF327733 SIB327668:SIB327733 SRX327668:SRX327733 TBT327668:TBT327733 TLP327668:TLP327733 TVL327668:TVL327733 UFH327668:UFH327733 UPD327668:UPD327733 UYZ327668:UYZ327733 VIV327668:VIV327733 VSR327668:VSR327733 WCN327668:WCN327733 WMJ327668:WMJ327733 WWF327668:WWF327733 X393204:X393269 JT393204:JT393269 TP393204:TP393269 ADL393204:ADL393269 ANH393204:ANH393269 AXD393204:AXD393269 BGZ393204:BGZ393269 BQV393204:BQV393269 CAR393204:CAR393269 CKN393204:CKN393269 CUJ393204:CUJ393269 DEF393204:DEF393269 DOB393204:DOB393269 DXX393204:DXX393269 EHT393204:EHT393269 ERP393204:ERP393269 FBL393204:FBL393269 FLH393204:FLH393269 FVD393204:FVD393269 GEZ393204:GEZ393269 GOV393204:GOV393269 GYR393204:GYR393269 HIN393204:HIN393269 HSJ393204:HSJ393269 ICF393204:ICF393269 IMB393204:IMB393269 IVX393204:IVX393269 JFT393204:JFT393269 JPP393204:JPP393269 JZL393204:JZL393269 KJH393204:KJH393269 KTD393204:KTD393269 LCZ393204:LCZ393269 LMV393204:LMV393269 LWR393204:LWR393269 MGN393204:MGN393269 MQJ393204:MQJ393269 NAF393204:NAF393269 NKB393204:NKB393269 NTX393204:NTX393269 ODT393204:ODT393269 ONP393204:ONP393269 OXL393204:OXL393269 PHH393204:PHH393269 PRD393204:PRD393269 QAZ393204:QAZ393269 QKV393204:QKV393269 QUR393204:QUR393269 REN393204:REN393269 ROJ393204:ROJ393269 RYF393204:RYF393269 SIB393204:SIB393269 SRX393204:SRX393269 TBT393204:TBT393269 TLP393204:TLP393269 TVL393204:TVL393269 UFH393204:UFH393269 UPD393204:UPD393269 UYZ393204:UYZ393269 VIV393204:VIV393269 VSR393204:VSR393269 WCN393204:WCN393269 WMJ393204:WMJ393269 WWF393204:WWF393269 X458740:X458805 JT458740:JT458805 TP458740:TP458805 ADL458740:ADL458805 ANH458740:ANH458805 AXD458740:AXD458805 BGZ458740:BGZ458805 BQV458740:BQV458805 CAR458740:CAR458805 CKN458740:CKN458805 CUJ458740:CUJ458805 DEF458740:DEF458805 DOB458740:DOB458805 DXX458740:DXX458805 EHT458740:EHT458805 ERP458740:ERP458805 FBL458740:FBL458805 FLH458740:FLH458805 FVD458740:FVD458805 GEZ458740:GEZ458805 GOV458740:GOV458805 GYR458740:GYR458805 HIN458740:HIN458805 HSJ458740:HSJ458805 ICF458740:ICF458805 IMB458740:IMB458805 IVX458740:IVX458805 JFT458740:JFT458805 JPP458740:JPP458805 JZL458740:JZL458805 KJH458740:KJH458805 KTD458740:KTD458805 LCZ458740:LCZ458805 LMV458740:LMV458805 LWR458740:LWR458805 MGN458740:MGN458805 MQJ458740:MQJ458805 NAF458740:NAF458805 NKB458740:NKB458805 NTX458740:NTX458805 ODT458740:ODT458805 ONP458740:ONP458805 OXL458740:OXL458805 PHH458740:PHH458805 PRD458740:PRD458805 QAZ458740:QAZ458805 QKV458740:QKV458805 QUR458740:QUR458805 REN458740:REN458805 ROJ458740:ROJ458805 RYF458740:RYF458805 SIB458740:SIB458805 SRX458740:SRX458805 TBT458740:TBT458805 TLP458740:TLP458805 TVL458740:TVL458805 UFH458740:UFH458805 UPD458740:UPD458805 UYZ458740:UYZ458805 VIV458740:VIV458805 VSR458740:VSR458805 WCN458740:WCN458805 WMJ458740:WMJ458805 WWF458740:WWF458805 X524276:X524341 JT524276:JT524341 TP524276:TP524341 ADL524276:ADL524341 ANH524276:ANH524341 AXD524276:AXD524341 BGZ524276:BGZ524341 BQV524276:BQV524341 CAR524276:CAR524341 CKN524276:CKN524341 CUJ524276:CUJ524341 DEF524276:DEF524341 DOB524276:DOB524341 DXX524276:DXX524341 EHT524276:EHT524341 ERP524276:ERP524341 FBL524276:FBL524341 FLH524276:FLH524341 FVD524276:FVD524341 GEZ524276:GEZ524341 GOV524276:GOV524341 GYR524276:GYR524341 HIN524276:HIN524341 HSJ524276:HSJ524341 ICF524276:ICF524341 IMB524276:IMB524341 IVX524276:IVX524341 JFT524276:JFT524341 JPP524276:JPP524341 JZL524276:JZL524341 KJH524276:KJH524341 KTD524276:KTD524341 LCZ524276:LCZ524341 LMV524276:LMV524341 LWR524276:LWR524341 MGN524276:MGN524341 MQJ524276:MQJ524341 NAF524276:NAF524341 NKB524276:NKB524341 NTX524276:NTX524341 ODT524276:ODT524341 ONP524276:ONP524341 OXL524276:OXL524341 PHH524276:PHH524341 PRD524276:PRD524341 QAZ524276:QAZ524341 QKV524276:QKV524341 QUR524276:QUR524341 REN524276:REN524341 ROJ524276:ROJ524341 RYF524276:RYF524341 SIB524276:SIB524341 SRX524276:SRX524341 TBT524276:TBT524341 TLP524276:TLP524341 TVL524276:TVL524341 UFH524276:UFH524341 UPD524276:UPD524341 UYZ524276:UYZ524341 VIV524276:VIV524341 VSR524276:VSR524341 WCN524276:WCN524341 WMJ524276:WMJ524341 WWF524276:WWF524341 X589812:X589877 JT589812:JT589877 TP589812:TP589877 ADL589812:ADL589877 ANH589812:ANH589877 AXD589812:AXD589877 BGZ589812:BGZ589877 BQV589812:BQV589877 CAR589812:CAR589877 CKN589812:CKN589877 CUJ589812:CUJ589877 DEF589812:DEF589877 DOB589812:DOB589877 DXX589812:DXX589877 EHT589812:EHT589877 ERP589812:ERP589877 FBL589812:FBL589877 FLH589812:FLH589877 FVD589812:FVD589877 GEZ589812:GEZ589877 GOV589812:GOV589877 GYR589812:GYR589877 HIN589812:HIN589877 HSJ589812:HSJ589877 ICF589812:ICF589877 IMB589812:IMB589877 IVX589812:IVX589877 JFT589812:JFT589877 JPP589812:JPP589877 JZL589812:JZL589877 KJH589812:KJH589877 KTD589812:KTD589877 LCZ589812:LCZ589877 LMV589812:LMV589877 LWR589812:LWR589877 MGN589812:MGN589877 MQJ589812:MQJ589877 NAF589812:NAF589877 NKB589812:NKB589877 NTX589812:NTX589877 ODT589812:ODT589877 ONP589812:ONP589877 OXL589812:OXL589877 PHH589812:PHH589877 PRD589812:PRD589877 QAZ589812:QAZ589877 QKV589812:QKV589877 QUR589812:QUR589877 REN589812:REN589877 ROJ589812:ROJ589877 RYF589812:RYF589877 SIB589812:SIB589877 SRX589812:SRX589877 TBT589812:TBT589877 TLP589812:TLP589877 TVL589812:TVL589877 UFH589812:UFH589877 UPD589812:UPD589877 UYZ589812:UYZ589877 VIV589812:VIV589877 VSR589812:VSR589877 WCN589812:WCN589877 WMJ589812:WMJ589877 WWF589812:WWF589877 X655348:X655413 JT655348:JT655413 TP655348:TP655413 ADL655348:ADL655413 ANH655348:ANH655413 AXD655348:AXD655413 BGZ655348:BGZ655413 BQV655348:BQV655413 CAR655348:CAR655413 CKN655348:CKN655413 CUJ655348:CUJ655413 DEF655348:DEF655413 DOB655348:DOB655413 DXX655348:DXX655413 EHT655348:EHT655413 ERP655348:ERP655413 FBL655348:FBL655413 FLH655348:FLH655413 FVD655348:FVD655413 GEZ655348:GEZ655413 GOV655348:GOV655413 GYR655348:GYR655413 HIN655348:HIN655413 HSJ655348:HSJ655413 ICF655348:ICF655413 IMB655348:IMB655413 IVX655348:IVX655413 JFT655348:JFT655413 JPP655348:JPP655413 JZL655348:JZL655413 KJH655348:KJH655413 KTD655348:KTD655413 LCZ655348:LCZ655413 LMV655348:LMV655413 LWR655348:LWR655413 MGN655348:MGN655413 MQJ655348:MQJ655413 NAF655348:NAF655413 NKB655348:NKB655413 NTX655348:NTX655413 ODT655348:ODT655413 ONP655348:ONP655413 OXL655348:OXL655413 PHH655348:PHH655413 PRD655348:PRD655413 QAZ655348:QAZ655413 QKV655348:QKV655413 QUR655348:QUR655413 REN655348:REN655413 ROJ655348:ROJ655413 RYF655348:RYF655413 SIB655348:SIB655413 SRX655348:SRX655413 TBT655348:TBT655413 TLP655348:TLP655413 TVL655348:TVL655413 UFH655348:UFH655413 UPD655348:UPD655413 UYZ655348:UYZ655413 VIV655348:VIV655413 VSR655348:VSR655413 WCN655348:WCN655413 WMJ655348:WMJ655413 WWF655348:WWF655413 X720884:X720949 JT720884:JT720949 TP720884:TP720949 ADL720884:ADL720949 ANH720884:ANH720949 AXD720884:AXD720949 BGZ720884:BGZ720949 BQV720884:BQV720949 CAR720884:CAR720949 CKN720884:CKN720949 CUJ720884:CUJ720949 DEF720884:DEF720949 DOB720884:DOB720949 DXX720884:DXX720949 EHT720884:EHT720949 ERP720884:ERP720949 FBL720884:FBL720949 FLH720884:FLH720949 FVD720884:FVD720949 GEZ720884:GEZ720949 GOV720884:GOV720949 GYR720884:GYR720949 HIN720884:HIN720949 HSJ720884:HSJ720949 ICF720884:ICF720949 IMB720884:IMB720949 IVX720884:IVX720949 JFT720884:JFT720949 JPP720884:JPP720949 JZL720884:JZL720949 KJH720884:KJH720949 KTD720884:KTD720949 LCZ720884:LCZ720949 LMV720884:LMV720949 LWR720884:LWR720949 MGN720884:MGN720949 MQJ720884:MQJ720949 NAF720884:NAF720949 NKB720884:NKB720949 NTX720884:NTX720949 ODT720884:ODT720949 ONP720884:ONP720949 OXL720884:OXL720949 PHH720884:PHH720949 PRD720884:PRD720949 QAZ720884:QAZ720949 QKV720884:QKV720949 QUR720884:QUR720949 REN720884:REN720949 ROJ720884:ROJ720949 RYF720884:RYF720949 SIB720884:SIB720949 SRX720884:SRX720949 TBT720884:TBT720949 TLP720884:TLP720949 TVL720884:TVL720949 UFH720884:UFH720949 UPD720884:UPD720949 UYZ720884:UYZ720949 VIV720884:VIV720949 VSR720884:VSR720949 WCN720884:WCN720949 WMJ720884:WMJ720949 WWF720884:WWF720949 X786420:X786485 JT786420:JT786485 TP786420:TP786485 ADL786420:ADL786485 ANH786420:ANH786485 AXD786420:AXD786485 BGZ786420:BGZ786485 BQV786420:BQV786485 CAR786420:CAR786485 CKN786420:CKN786485 CUJ786420:CUJ786485 DEF786420:DEF786485 DOB786420:DOB786485 DXX786420:DXX786485 EHT786420:EHT786485 ERP786420:ERP786485 FBL786420:FBL786485 FLH786420:FLH786485 FVD786420:FVD786485 GEZ786420:GEZ786485 GOV786420:GOV786485 GYR786420:GYR786485 HIN786420:HIN786485 HSJ786420:HSJ786485 ICF786420:ICF786485 IMB786420:IMB786485 IVX786420:IVX786485 JFT786420:JFT786485 JPP786420:JPP786485 JZL786420:JZL786485 KJH786420:KJH786485 KTD786420:KTD786485 LCZ786420:LCZ786485 LMV786420:LMV786485 LWR786420:LWR786485 MGN786420:MGN786485 MQJ786420:MQJ786485 NAF786420:NAF786485 NKB786420:NKB786485 NTX786420:NTX786485 ODT786420:ODT786485 ONP786420:ONP786485 OXL786420:OXL786485 PHH786420:PHH786485 PRD786420:PRD786485 QAZ786420:QAZ786485 QKV786420:QKV786485 QUR786420:QUR786485 REN786420:REN786485 ROJ786420:ROJ786485 RYF786420:RYF786485 SIB786420:SIB786485 SRX786420:SRX786485 TBT786420:TBT786485 TLP786420:TLP786485 TVL786420:TVL786485 UFH786420:UFH786485 UPD786420:UPD786485 UYZ786420:UYZ786485 VIV786420:VIV786485 VSR786420:VSR786485 WCN786420:WCN786485 WMJ786420:WMJ786485 WWF786420:WWF786485 X851956:X852021 JT851956:JT852021 TP851956:TP852021 ADL851956:ADL852021 ANH851956:ANH852021 AXD851956:AXD852021 BGZ851956:BGZ852021 BQV851956:BQV852021 CAR851956:CAR852021 CKN851956:CKN852021 CUJ851956:CUJ852021 DEF851956:DEF852021 DOB851956:DOB852021 DXX851956:DXX852021 EHT851956:EHT852021 ERP851956:ERP852021 FBL851956:FBL852021 FLH851956:FLH852021 FVD851956:FVD852021 GEZ851956:GEZ852021 GOV851956:GOV852021 GYR851956:GYR852021 HIN851956:HIN852021 HSJ851956:HSJ852021 ICF851956:ICF852021 IMB851956:IMB852021 IVX851956:IVX852021 JFT851956:JFT852021 JPP851956:JPP852021 JZL851956:JZL852021 KJH851956:KJH852021 KTD851956:KTD852021 LCZ851956:LCZ852021 LMV851956:LMV852021 LWR851956:LWR852021 MGN851956:MGN852021 MQJ851956:MQJ852021 NAF851956:NAF852021 NKB851956:NKB852021 NTX851956:NTX852021 ODT851956:ODT852021 ONP851956:ONP852021 OXL851956:OXL852021 PHH851956:PHH852021 PRD851956:PRD852021 QAZ851956:QAZ852021 QKV851956:QKV852021 QUR851956:QUR852021 REN851956:REN852021 ROJ851956:ROJ852021 RYF851956:RYF852021 SIB851956:SIB852021 SRX851956:SRX852021 TBT851956:TBT852021 TLP851956:TLP852021 TVL851956:TVL852021 UFH851956:UFH852021 UPD851956:UPD852021 UYZ851956:UYZ852021 VIV851956:VIV852021 VSR851956:VSR852021 WCN851956:WCN852021 WMJ851956:WMJ852021 WWF851956:WWF852021 X917492:X917557 JT917492:JT917557 TP917492:TP917557 ADL917492:ADL917557 ANH917492:ANH917557 AXD917492:AXD917557 BGZ917492:BGZ917557 BQV917492:BQV917557 CAR917492:CAR917557 CKN917492:CKN917557 CUJ917492:CUJ917557 DEF917492:DEF917557 DOB917492:DOB917557 DXX917492:DXX917557 EHT917492:EHT917557 ERP917492:ERP917557 FBL917492:FBL917557 FLH917492:FLH917557 FVD917492:FVD917557 GEZ917492:GEZ917557 GOV917492:GOV917557 GYR917492:GYR917557 HIN917492:HIN917557 HSJ917492:HSJ917557 ICF917492:ICF917557 IMB917492:IMB917557 IVX917492:IVX917557 JFT917492:JFT917557 JPP917492:JPP917557 JZL917492:JZL917557 KJH917492:KJH917557 KTD917492:KTD917557 LCZ917492:LCZ917557 LMV917492:LMV917557 LWR917492:LWR917557 MGN917492:MGN917557 MQJ917492:MQJ917557 NAF917492:NAF917557 NKB917492:NKB917557 NTX917492:NTX917557 ODT917492:ODT917557 ONP917492:ONP917557 OXL917492:OXL917557 PHH917492:PHH917557 PRD917492:PRD917557 QAZ917492:QAZ917557 QKV917492:QKV917557 QUR917492:QUR917557 REN917492:REN917557 ROJ917492:ROJ917557 RYF917492:RYF917557 SIB917492:SIB917557 SRX917492:SRX917557 TBT917492:TBT917557 TLP917492:TLP917557 TVL917492:TVL917557 UFH917492:UFH917557 UPD917492:UPD917557 UYZ917492:UYZ917557 VIV917492:VIV917557 VSR917492:VSR917557 WCN917492:WCN917557 WMJ917492:WMJ917557 WWF917492:WWF917557 X983028:X983093 JT983028:JT983093 TP983028:TP983093 ADL983028:ADL983093 ANH983028:ANH983093 AXD983028:AXD983093 BGZ983028:BGZ983093 BQV983028:BQV983093 CAR983028:CAR983093 CKN983028:CKN983093 CUJ983028:CUJ983093 DEF983028:DEF983093 DOB983028:DOB983093 DXX983028:DXX983093 EHT983028:EHT983093 ERP983028:ERP983093 FBL983028:FBL983093 FLH983028:FLH983093 FVD983028:FVD983093 GEZ983028:GEZ983093 GOV983028:GOV983093 GYR983028:GYR983093 HIN983028:HIN983093 HSJ983028:HSJ983093 ICF983028:ICF983093 IMB983028:IMB983093 IVX983028:IVX983093 JFT983028:JFT983093 JPP983028:JPP983093 JZL983028:JZL983093 KJH983028:KJH983093 KTD983028:KTD983093 LCZ983028:LCZ983093 LMV983028:LMV983093 LWR983028:LWR983093 MGN983028:MGN983093 MQJ983028:MQJ983093 NAF983028:NAF983093 NKB983028:NKB983093 NTX983028:NTX983093 ODT983028:ODT983093 ONP983028:ONP983093 OXL983028:OXL983093 PHH983028:PHH983093 PRD983028:PRD983093 QAZ983028:QAZ983093 QKV983028:QKV983093 QUR983028:QUR983093 REN983028:REN983093 ROJ983028:ROJ983093 RYF983028:RYF983093 SIB983028:SIB983093 SRX983028:SRX983093 TBT983028:TBT983093 TLP983028:TLP983093 TVL983028:TVL983093 UFH983028:UFH983093 UPD983028:UPD983093 UYZ983028:UYZ983093 VIV983028:VIV983093 VSR983028:VSR983093 WCN983028:WCN983093 WMJ983028:WMJ983093 JT64349:JT64414">
      <formula1>$AT$2:$AT$3</formula1>
    </dataValidation>
    <dataValidation type="list" allowBlank="1" showInputMessage="1" showErrorMessage="1" sqref="G64349:G64416 G2:G486 SY2:SY70 WLS2:WLS70 WBW2:WBW70 VSA2:VSA70 VIE2:VIE70 UYI2:UYI70 UOM2:UOM70 UEQ2:UEQ70 TUU2:TUU70 TKY2:TKY70 TBC2:TBC70 SRG2:SRG70 SHK2:SHK70 RXO2:RXO70 RNS2:RNS70 RDW2:RDW70 QUA2:QUA70 QKE2:QKE70 QAI2:QAI70 PQM2:PQM70 PGQ2:PGQ70 OWU2:OWU70 OMY2:OMY70 ODC2:ODC70 NTG2:NTG70 NJK2:NJK70 MZO2:MZO70 MPS2:MPS70 MFW2:MFW70 LWA2:LWA70 LME2:LME70 LCI2:LCI70 KSM2:KSM70 KIQ2:KIQ70 JYU2:JYU70 JOY2:JOY70 JFC2:JFC70 IVG2:IVG70 ILK2:ILK70 IBO2:IBO70 HRS2:HRS70 HHW2:HHW70 GYA2:GYA70 GOE2:GOE70 GEI2:GEI70 FUM2:FUM70 FKQ2:FKQ70 FAU2:FAU70 EQY2:EQY70 EHC2:EHC70 DXG2:DXG70 DNK2:DNK70 DDO2:DDO70 CTS2:CTS70 CJW2:CJW70 CAA2:CAA70 BQE2:BQE70 BGI2:BGI70 AWM2:AWM70 AMQ2:AMQ70 ACU2:ACU70 JC2:JC70 WVO2:WVO70 SY64349:SY64416 ACU64349:ACU64416 AMQ64349:AMQ64416 AWM64349:AWM64416 BGI64349:BGI64416 BQE64349:BQE64416 CAA64349:CAA64416 CJW64349:CJW64416 CTS64349:CTS64416 DDO64349:DDO64416 DNK64349:DNK64416 DXG64349:DXG64416 EHC64349:EHC64416 EQY64349:EQY64416 FAU64349:FAU64416 FKQ64349:FKQ64416 FUM64349:FUM64416 GEI64349:GEI64416 GOE64349:GOE64416 GYA64349:GYA64416 HHW64349:HHW64416 HRS64349:HRS64416 IBO64349:IBO64416 ILK64349:ILK64416 IVG64349:IVG64416 JFC64349:JFC64416 JOY64349:JOY64416 JYU64349:JYU64416 KIQ64349:KIQ64416 KSM64349:KSM64416 LCI64349:LCI64416 LME64349:LME64416 LWA64349:LWA64416 MFW64349:MFW64416 MPS64349:MPS64416 MZO64349:MZO64416 NJK64349:NJK64416 NTG64349:NTG64416 ODC64349:ODC64416 OMY64349:OMY64416 OWU64349:OWU64416 PGQ64349:PGQ64416 PQM64349:PQM64416 QAI64349:QAI64416 QKE64349:QKE64416 QUA64349:QUA64416 RDW64349:RDW64416 RNS64349:RNS64416 RXO64349:RXO64416 SHK64349:SHK64416 SRG64349:SRG64416 TBC64349:TBC64416 TKY64349:TKY64416 TUU64349:TUU64416 UEQ64349:UEQ64416 UOM64349:UOM64416 UYI64349:UYI64416 VIE64349:VIE64416 VSA64349:VSA64416 WBW64349:WBW64416 WLS64349:WLS64416 WVO64349:WVO64416 G129885:G129952 JC129885:JC129952 SY129885:SY129952 ACU129885:ACU129952 AMQ129885:AMQ129952 AWM129885:AWM129952 BGI129885:BGI129952 BQE129885:BQE129952 CAA129885:CAA129952 CJW129885:CJW129952 CTS129885:CTS129952 DDO129885:DDO129952 DNK129885:DNK129952 DXG129885:DXG129952 EHC129885:EHC129952 EQY129885:EQY129952 FAU129885:FAU129952 FKQ129885:FKQ129952 FUM129885:FUM129952 GEI129885:GEI129952 GOE129885:GOE129952 GYA129885:GYA129952 HHW129885:HHW129952 HRS129885:HRS129952 IBO129885:IBO129952 ILK129885:ILK129952 IVG129885:IVG129952 JFC129885:JFC129952 JOY129885:JOY129952 JYU129885:JYU129952 KIQ129885:KIQ129952 KSM129885:KSM129952 LCI129885:LCI129952 LME129885:LME129952 LWA129885:LWA129952 MFW129885:MFW129952 MPS129885:MPS129952 MZO129885:MZO129952 NJK129885:NJK129952 NTG129885:NTG129952 ODC129885:ODC129952 OMY129885:OMY129952 OWU129885:OWU129952 PGQ129885:PGQ129952 PQM129885:PQM129952 QAI129885:QAI129952 QKE129885:QKE129952 QUA129885:QUA129952 RDW129885:RDW129952 RNS129885:RNS129952 RXO129885:RXO129952 SHK129885:SHK129952 SRG129885:SRG129952 TBC129885:TBC129952 TKY129885:TKY129952 TUU129885:TUU129952 UEQ129885:UEQ129952 UOM129885:UOM129952 UYI129885:UYI129952 VIE129885:VIE129952 VSA129885:VSA129952 WBW129885:WBW129952 WLS129885:WLS129952 WVO129885:WVO129952 G195421:G195488 JC195421:JC195488 SY195421:SY195488 ACU195421:ACU195488 AMQ195421:AMQ195488 AWM195421:AWM195488 BGI195421:BGI195488 BQE195421:BQE195488 CAA195421:CAA195488 CJW195421:CJW195488 CTS195421:CTS195488 DDO195421:DDO195488 DNK195421:DNK195488 DXG195421:DXG195488 EHC195421:EHC195488 EQY195421:EQY195488 FAU195421:FAU195488 FKQ195421:FKQ195488 FUM195421:FUM195488 GEI195421:GEI195488 GOE195421:GOE195488 GYA195421:GYA195488 HHW195421:HHW195488 HRS195421:HRS195488 IBO195421:IBO195488 ILK195421:ILK195488 IVG195421:IVG195488 JFC195421:JFC195488 JOY195421:JOY195488 JYU195421:JYU195488 KIQ195421:KIQ195488 KSM195421:KSM195488 LCI195421:LCI195488 LME195421:LME195488 LWA195421:LWA195488 MFW195421:MFW195488 MPS195421:MPS195488 MZO195421:MZO195488 NJK195421:NJK195488 NTG195421:NTG195488 ODC195421:ODC195488 OMY195421:OMY195488 OWU195421:OWU195488 PGQ195421:PGQ195488 PQM195421:PQM195488 QAI195421:QAI195488 QKE195421:QKE195488 QUA195421:QUA195488 RDW195421:RDW195488 RNS195421:RNS195488 RXO195421:RXO195488 SHK195421:SHK195488 SRG195421:SRG195488 TBC195421:TBC195488 TKY195421:TKY195488 TUU195421:TUU195488 UEQ195421:UEQ195488 UOM195421:UOM195488 UYI195421:UYI195488 VIE195421:VIE195488 VSA195421:VSA195488 WBW195421:WBW195488 WLS195421:WLS195488 WVO195421:WVO195488 G260957:G261024 JC260957:JC261024 SY260957:SY261024 ACU260957:ACU261024 AMQ260957:AMQ261024 AWM260957:AWM261024 BGI260957:BGI261024 BQE260957:BQE261024 CAA260957:CAA261024 CJW260957:CJW261024 CTS260957:CTS261024 DDO260957:DDO261024 DNK260957:DNK261024 DXG260957:DXG261024 EHC260957:EHC261024 EQY260957:EQY261024 FAU260957:FAU261024 FKQ260957:FKQ261024 FUM260957:FUM261024 GEI260957:GEI261024 GOE260957:GOE261024 GYA260957:GYA261024 HHW260957:HHW261024 HRS260957:HRS261024 IBO260957:IBO261024 ILK260957:ILK261024 IVG260957:IVG261024 JFC260957:JFC261024 JOY260957:JOY261024 JYU260957:JYU261024 KIQ260957:KIQ261024 KSM260957:KSM261024 LCI260957:LCI261024 LME260957:LME261024 LWA260957:LWA261024 MFW260957:MFW261024 MPS260957:MPS261024 MZO260957:MZO261024 NJK260957:NJK261024 NTG260957:NTG261024 ODC260957:ODC261024 OMY260957:OMY261024 OWU260957:OWU261024 PGQ260957:PGQ261024 PQM260957:PQM261024 QAI260957:QAI261024 QKE260957:QKE261024 QUA260957:QUA261024 RDW260957:RDW261024 RNS260957:RNS261024 RXO260957:RXO261024 SHK260957:SHK261024 SRG260957:SRG261024 TBC260957:TBC261024 TKY260957:TKY261024 TUU260957:TUU261024 UEQ260957:UEQ261024 UOM260957:UOM261024 UYI260957:UYI261024 VIE260957:VIE261024 VSA260957:VSA261024 WBW260957:WBW261024 WLS260957:WLS261024 WVO260957:WVO261024 G326493:G326560 JC326493:JC326560 SY326493:SY326560 ACU326493:ACU326560 AMQ326493:AMQ326560 AWM326493:AWM326560 BGI326493:BGI326560 BQE326493:BQE326560 CAA326493:CAA326560 CJW326493:CJW326560 CTS326493:CTS326560 DDO326493:DDO326560 DNK326493:DNK326560 DXG326493:DXG326560 EHC326493:EHC326560 EQY326493:EQY326560 FAU326493:FAU326560 FKQ326493:FKQ326560 FUM326493:FUM326560 GEI326493:GEI326560 GOE326493:GOE326560 GYA326493:GYA326560 HHW326493:HHW326560 HRS326493:HRS326560 IBO326493:IBO326560 ILK326493:ILK326560 IVG326493:IVG326560 JFC326493:JFC326560 JOY326493:JOY326560 JYU326493:JYU326560 KIQ326493:KIQ326560 KSM326493:KSM326560 LCI326493:LCI326560 LME326493:LME326560 LWA326493:LWA326560 MFW326493:MFW326560 MPS326493:MPS326560 MZO326493:MZO326560 NJK326493:NJK326560 NTG326493:NTG326560 ODC326493:ODC326560 OMY326493:OMY326560 OWU326493:OWU326560 PGQ326493:PGQ326560 PQM326493:PQM326560 QAI326493:QAI326560 QKE326493:QKE326560 QUA326493:QUA326560 RDW326493:RDW326560 RNS326493:RNS326560 RXO326493:RXO326560 SHK326493:SHK326560 SRG326493:SRG326560 TBC326493:TBC326560 TKY326493:TKY326560 TUU326493:TUU326560 UEQ326493:UEQ326560 UOM326493:UOM326560 UYI326493:UYI326560 VIE326493:VIE326560 VSA326493:VSA326560 WBW326493:WBW326560 WLS326493:WLS326560 WVO326493:WVO326560 G392029:G392096 JC392029:JC392096 SY392029:SY392096 ACU392029:ACU392096 AMQ392029:AMQ392096 AWM392029:AWM392096 BGI392029:BGI392096 BQE392029:BQE392096 CAA392029:CAA392096 CJW392029:CJW392096 CTS392029:CTS392096 DDO392029:DDO392096 DNK392029:DNK392096 DXG392029:DXG392096 EHC392029:EHC392096 EQY392029:EQY392096 FAU392029:FAU392096 FKQ392029:FKQ392096 FUM392029:FUM392096 GEI392029:GEI392096 GOE392029:GOE392096 GYA392029:GYA392096 HHW392029:HHW392096 HRS392029:HRS392096 IBO392029:IBO392096 ILK392029:ILK392096 IVG392029:IVG392096 JFC392029:JFC392096 JOY392029:JOY392096 JYU392029:JYU392096 KIQ392029:KIQ392096 KSM392029:KSM392096 LCI392029:LCI392096 LME392029:LME392096 LWA392029:LWA392096 MFW392029:MFW392096 MPS392029:MPS392096 MZO392029:MZO392096 NJK392029:NJK392096 NTG392029:NTG392096 ODC392029:ODC392096 OMY392029:OMY392096 OWU392029:OWU392096 PGQ392029:PGQ392096 PQM392029:PQM392096 QAI392029:QAI392096 QKE392029:QKE392096 QUA392029:QUA392096 RDW392029:RDW392096 RNS392029:RNS392096 RXO392029:RXO392096 SHK392029:SHK392096 SRG392029:SRG392096 TBC392029:TBC392096 TKY392029:TKY392096 TUU392029:TUU392096 UEQ392029:UEQ392096 UOM392029:UOM392096 UYI392029:UYI392096 VIE392029:VIE392096 VSA392029:VSA392096 WBW392029:WBW392096 WLS392029:WLS392096 WVO392029:WVO392096 G457565:G457632 JC457565:JC457632 SY457565:SY457632 ACU457565:ACU457632 AMQ457565:AMQ457632 AWM457565:AWM457632 BGI457565:BGI457632 BQE457565:BQE457632 CAA457565:CAA457632 CJW457565:CJW457632 CTS457565:CTS457632 DDO457565:DDO457632 DNK457565:DNK457632 DXG457565:DXG457632 EHC457565:EHC457632 EQY457565:EQY457632 FAU457565:FAU457632 FKQ457565:FKQ457632 FUM457565:FUM457632 GEI457565:GEI457632 GOE457565:GOE457632 GYA457565:GYA457632 HHW457565:HHW457632 HRS457565:HRS457632 IBO457565:IBO457632 ILK457565:ILK457632 IVG457565:IVG457632 JFC457565:JFC457632 JOY457565:JOY457632 JYU457565:JYU457632 KIQ457565:KIQ457632 KSM457565:KSM457632 LCI457565:LCI457632 LME457565:LME457632 LWA457565:LWA457632 MFW457565:MFW457632 MPS457565:MPS457632 MZO457565:MZO457632 NJK457565:NJK457632 NTG457565:NTG457632 ODC457565:ODC457632 OMY457565:OMY457632 OWU457565:OWU457632 PGQ457565:PGQ457632 PQM457565:PQM457632 QAI457565:QAI457632 QKE457565:QKE457632 QUA457565:QUA457632 RDW457565:RDW457632 RNS457565:RNS457632 RXO457565:RXO457632 SHK457565:SHK457632 SRG457565:SRG457632 TBC457565:TBC457632 TKY457565:TKY457632 TUU457565:TUU457632 UEQ457565:UEQ457632 UOM457565:UOM457632 UYI457565:UYI457632 VIE457565:VIE457632 VSA457565:VSA457632 WBW457565:WBW457632 WLS457565:WLS457632 WVO457565:WVO457632 G523101:G523168 JC523101:JC523168 SY523101:SY523168 ACU523101:ACU523168 AMQ523101:AMQ523168 AWM523101:AWM523168 BGI523101:BGI523168 BQE523101:BQE523168 CAA523101:CAA523168 CJW523101:CJW523168 CTS523101:CTS523168 DDO523101:DDO523168 DNK523101:DNK523168 DXG523101:DXG523168 EHC523101:EHC523168 EQY523101:EQY523168 FAU523101:FAU523168 FKQ523101:FKQ523168 FUM523101:FUM523168 GEI523101:GEI523168 GOE523101:GOE523168 GYA523101:GYA523168 HHW523101:HHW523168 HRS523101:HRS523168 IBO523101:IBO523168 ILK523101:ILK523168 IVG523101:IVG523168 JFC523101:JFC523168 JOY523101:JOY523168 JYU523101:JYU523168 KIQ523101:KIQ523168 KSM523101:KSM523168 LCI523101:LCI523168 LME523101:LME523168 LWA523101:LWA523168 MFW523101:MFW523168 MPS523101:MPS523168 MZO523101:MZO523168 NJK523101:NJK523168 NTG523101:NTG523168 ODC523101:ODC523168 OMY523101:OMY523168 OWU523101:OWU523168 PGQ523101:PGQ523168 PQM523101:PQM523168 QAI523101:QAI523168 QKE523101:QKE523168 QUA523101:QUA523168 RDW523101:RDW523168 RNS523101:RNS523168 RXO523101:RXO523168 SHK523101:SHK523168 SRG523101:SRG523168 TBC523101:TBC523168 TKY523101:TKY523168 TUU523101:TUU523168 UEQ523101:UEQ523168 UOM523101:UOM523168 UYI523101:UYI523168 VIE523101:VIE523168 VSA523101:VSA523168 WBW523101:WBW523168 WLS523101:WLS523168 WVO523101:WVO523168 G588637:G588704 JC588637:JC588704 SY588637:SY588704 ACU588637:ACU588704 AMQ588637:AMQ588704 AWM588637:AWM588704 BGI588637:BGI588704 BQE588637:BQE588704 CAA588637:CAA588704 CJW588637:CJW588704 CTS588637:CTS588704 DDO588637:DDO588704 DNK588637:DNK588704 DXG588637:DXG588704 EHC588637:EHC588704 EQY588637:EQY588704 FAU588637:FAU588704 FKQ588637:FKQ588704 FUM588637:FUM588704 GEI588637:GEI588704 GOE588637:GOE588704 GYA588637:GYA588704 HHW588637:HHW588704 HRS588637:HRS588704 IBO588637:IBO588704 ILK588637:ILK588704 IVG588637:IVG588704 JFC588637:JFC588704 JOY588637:JOY588704 JYU588637:JYU588704 KIQ588637:KIQ588704 KSM588637:KSM588704 LCI588637:LCI588704 LME588637:LME588704 LWA588637:LWA588704 MFW588637:MFW588704 MPS588637:MPS588704 MZO588637:MZO588704 NJK588637:NJK588704 NTG588637:NTG588704 ODC588637:ODC588704 OMY588637:OMY588704 OWU588637:OWU588704 PGQ588637:PGQ588704 PQM588637:PQM588704 QAI588637:QAI588704 QKE588637:QKE588704 QUA588637:QUA588704 RDW588637:RDW588704 RNS588637:RNS588704 RXO588637:RXO588704 SHK588637:SHK588704 SRG588637:SRG588704 TBC588637:TBC588704 TKY588637:TKY588704 TUU588637:TUU588704 UEQ588637:UEQ588704 UOM588637:UOM588704 UYI588637:UYI588704 VIE588637:VIE588704 VSA588637:VSA588704 WBW588637:WBW588704 WLS588637:WLS588704 WVO588637:WVO588704 G654173:G654240 JC654173:JC654240 SY654173:SY654240 ACU654173:ACU654240 AMQ654173:AMQ654240 AWM654173:AWM654240 BGI654173:BGI654240 BQE654173:BQE654240 CAA654173:CAA654240 CJW654173:CJW654240 CTS654173:CTS654240 DDO654173:DDO654240 DNK654173:DNK654240 DXG654173:DXG654240 EHC654173:EHC654240 EQY654173:EQY654240 FAU654173:FAU654240 FKQ654173:FKQ654240 FUM654173:FUM654240 GEI654173:GEI654240 GOE654173:GOE654240 GYA654173:GYA654240 HHW654173:HHW654240 HRS654173:HRS654240 IBO654173:IBO654240 ILK654173:ILK654240 IVG654173:IVG654240 JFC654173:JFC654240 JOY654173:JOY654240 JYU654173:JYU654240 KIQ654173:KIQ654240 KSM654173:KSM654240 LCI654173:LCI654240 LME654173:LME654240 LWA654173:LWA654240 MFW654173:MFW654240 MPS654173:MPS654240 MZO654173:MZO654240 NJK654173:NJK654240 NTG654173:NTG654240 ODC654173:ODC654240 OMY654173:OMY654240 OWU654173:OWU654240 PGQ654173:PGQ654240 PQM654173:PQM654240 QAI654173:QAI654240 QKE654173:QKE654240 QUA654173:QUA654240 RDW654173:RDW654240 RNS654173:RNS654240 RXO654173:RXO654240 SHK654173:SHK654240 SRG654173:SRG654240 TBC654173:TBC654240 TKY654173:TKY654240 TUU654173:TUU654240 UEQ654173:UEQ654240 UOM654173:UOM654240 UYI654173:UYI654240 VIE654173:VIE654240 VSA654173:VSA654240 WBW654173:WBW654240 WLS654173:WLS654240 WVO654173:WVO654240 G719709:G719776 JC719709:JC719776 SY719709:SY719776 ACU719709:ACU719776 AMQ719709:AMQ719776 AWM719709:AWM719776 BGI719709:BGI719776 BQE719709:BQE719776 CAA719709:CAA719776 CJW719709:CJW719776 CTS719709:CTS719776 DDO719709:DDO719776 DNK719709:DNK719776 DXG719709:DXG719776 EHC719709:EHC719776 EQY719709:EQY719776 FAU719709:FAU719776 FKQ719709:FKQ719776 FUM719709:FUM719776 GEI719709:GEI719776 GOE719709:GOE719776 GYA719709:GYA719776 HHW719709:HHW719776 HRS719709:HRS719776 IBO719709:IBO719776 ILK719709:ILK719776 IVG719709:IVG719776 JFC719709:JFC719776 JOY719709:JOY719776 JYU719709:JYU719776 KIQ719709:KIQ719776 KSM719709:KSM719776 LCI719709:LCI719776 LME719709:LME719776 LWA719709:LWA719776 MFW719709:MFW719776 MPS719709:MPS719776 MZO719709:MZO719776 NJK719709:NJK719776 NTG719709:NTG719776 ODC719709:ODC719776 OMY719709:OMY719776 OWU719709:OWU719776 PGQ719709:PGQ719776 PQM719709:PQM719776 QAI719709:QAI719776 QKE719709:QKE719776 QUA719709:QUA719776 RDW719709:RDW719776 RNS719709:RNS719776 RXO719709:RXO719776 SHK719709:SHK719776 SRG719709:SRG719776 TBC719709:TBC719776 TKY719709:TKY719776 TUU719709:TUU719776 UEQ719709:UEQ719776 UOM719709:UOM719776 UYI719709:UYI719776 VIE719709:VIE719776 VSA719709:VSA719776 WBW719709:WBW719776 WLS719709:WLS719776 WVO719709:WVO719776 G785245:G785312 JC785245:JC785312 SY785245:SY785312 ACU785245:ACU785312 AMQ785245:AMQ785312 AWM785245:AWM785312 BGI785245:BGI785312 BQE785245:BQE785312 CAA785245:CAA785312 CJW785245:CJW785312 CTS785245:CTS785312 DDO785245:DDO785312 DNK785245:DNK785312 DXG785245:DXG785312 EHC785245:EHC785312 EQY785245:EQY785312 FAU785245:FAU785312 FKQ785245:FKQ785312 FUM785245:FUM785312 GEI785245:GEI785312 GOE785245:GOE785312 GYA785245:GYA785312 HHW785245:HHW785312 HRS785245:HRS785312 IBO785245:IBO785312 ILK785245:ILK785312 IVG785245:IVG785312 JFC785245:JFC785312 JOY785245:JOY785312 JYU785245:JYU785312 KIQ785245:KIQ785312 KSM785245:KSM785312 LCI785245:LCI785312 LME785245:LME785312 LWA785245:LWA785312 MFW785245:MFW785312 MPS785245:MPS785312 MZO785245:MZO785312 NJK785245:NJK785312 NTG785245:NTG785312 ODC785245:ODC785312 OMY785245:OMY785312 OWU785245:OWU785312 PGQ785245:PGQ785312 PQM785245:PQM785312 QAI785245:QAI785312 QKE785245:QKE785312 QUA785245:QUA785312 RDW785245:RDW785312 RNS785245:RNS785312 RXO785245:RXO785312 SHK785245:SHK785312 SRG785245:SRG785312 TBC785245:TBC785312 TKY785245:TKY785312 TUU785245:TUU785312 UEQ785245:UEQ785312 UOM785245:UOM785312 UYI785245:UYI785312 VIE785245:VIE785312 VSA785245:VSA785312 WBW785245:WBW785312 WLS785245:WLS785312 WVO785245:WVO785312 G850781:G850848 JC850781:JC850848 SY850781:SY850848 ACU850781:ACU850848 AMQ850781:AMQ850848 AWM850781:AWM850848 BGI850781:BGI850848 BQE850781:BQE850848 CAA850781:CAA850848 CJW850781:CJW850848 CTS850781:CTS850848 DDO850781:DDO850848 DNK850781:DNK850848 DXG850781:DXG850848 EHC850781:EHC850848 EQY850781:EQY850848 FAU850781:FAU850848 FKQ850781:FKQ850848 FUM850781:FUM850848 GEI850781:GEI850848 GOE850781:GOE850848 GYA850781:GYA850848 HHW850781:HHW850848 HRS850781:HRS850848 IBO850781:IBO850848 ILK850781:ILK850848 IVG850781:IVG850848 JFC850781:JFC850848 JOY850781:JOY850848 JYU850781:JYU850848 KIQ850781:KIQ850848 KSM850781:KSM850848 LCI850781:LCI850848 LME850781:LME850848 LWA850781:LWA850848 MFW850781:MFW850848 MPS850781:MPS850848 MZO850781:MZO850848 NJK850781:NJK850848 NTG850781:NTG850848 ODC850781:ODC850848 OMY850781:OMY850848 OWU850781:OWU850848 PGQ850781:PGQ850848 PQM850781:PQM850848 QAI850781:QAI850848 QKE850781:QKE850848 QUA850781:QUA850848 RDW850781:RDW850848 RNS850781:RNS850848 RXO850781:RXO850848 SHK850781:SHK850848 SRG850781:SRG850848 TBC850781:TBC850848 TKY850781:TKY850848 TUU850781:TUU850848 UEQ850781:UEQ850848 UOM850781:UOM850848 UYI850781:UYI850848 VIE850781:VIE850848 VSA850781:VSA850848 WBW850781:WBW850848 WLS850781:WLS850848 WVO850781:WVO850848 G916317:G916384 JC916317:JC916384 SY916317:SY916384 ACU916317:ACU916384 AMQ916317:AMQ916384 AWM916317:AWM916384 BGI916317:BGI916384 BQE916317:BQE916384 CAA916317:CAA916384 CJW916317:CJW916384 CTS916317:CTS916384 DDO916317:DDO916384 DNK916317:DNK916384 DXG916317:DXG916384 EHC916317:EHC916384 EQY916317:EQY916384 FAU916317:FAU916384 FKQ916317:FKQ916384 FUM916317:FUM916384 GEI916317:GEI916384 GOE916317:GOE916384 GYA916317:GYA916384 HHW916317:HHW916384 HRS916317:HRS916384 IBO916317:IBO916384 ILK916317:ILK916384 IVG916317:IVG916384 JFC916317:JFC916384 JOY916317:JOY916384 JYU916317:JYU916384 KIQ916317:KIQ916384 KSM916317:KSM916384 LCI916317:LCI916384 LME916317:LME916384 LWA916317:LWA916384 MFW916317:MFW916384 MPS916317:MPS916384 MZO916317:MZO916384 NJK916317:NJK916384 NTG916317:NTG916384 ODC916317:ODC916384 OMY916317:OMY916384 OWU916317:OWU916384 PGQ916317:PGQ916384 PQM916317:PQM916384 QAI916317:QAI916384 QKE916317:QKE916384 QUA916317:QUA916384 RDW916317:RDW916384 RNS916317:RNS916384 RXO916317:RXO916384 SHK916317:SHK916384 SRG916317:SRG916384 TBC916317:TBC916384 TKY916317:TKY916384 TUU916317:TUU916384 UEQ916317:UEQ916384 UOM916317:UOM916384 UYI916317:UYI916384 VIE916317:VIE916384 VSA916317:VSA916384 WBW916317:WBW916384 WLS916317:WLS916384 WVO916317:WVO916384 G981853:G981920 JC981853:JC981920 SY981853:SY981920 ACU981853:ACU981920 AMQ981853:AMQ981920 AWM981853:AWM981920 BGI981853:BGI981920 BQE981853:BQE981920 CAA981853:CAA981920 CJW981853:CJW981920 CTS981853:CTS981920 DDO981853:DDO981920 DNK981853:DNK981920 DXG981853:DXG981920 EHC981853:EHC981920 EQY981853:EQY981920 FAU981853:FAU981920 FKQ981853:FKQ981920 FUM981853:FUM981920 GEI981853:GEI981920 GOE981853:GOE981920 GYA981853:GYA981920 HHW981853:HHW981920 HRS981853:HRS981920 IBO981853:IBO981920 ILK981853:ILK981920 IVG981853:IVG981920 JFC981853:JFC981920 JOY981853:JOY981920 JYU981853:JYU981920 KIQ981853:KIQ981920 KSM981853:KSM981920 LCI981853:LCI981920 LME981853:LME981920 LWA981853:LWA981920 MFW981853:MFW981920 MPS981853:MPS981920 MZO981853:MZO981920 NJK981853:NJK981920 NTG981853:NTG981920 ODC981853:ODC981920 OMY981853:OMY981920 OWU981853:OWU981920 PGQ981853:PGQ981920 PQM981853:PQM981920 QAI981853:QAI981920 QKE981853:QKE981920 QUA981853:QUA981920 RDW981853:RDW981920 RNS981853:RNS981920 RXO981853:RXO981920 SHK981853:SHK981920 SRG981853:SRG981920 TBC981853:TBC981920 TKY981853:TKY981920 TUU981853:TUU981920 UEQ981853:UEQ981920 UOM981853:UOM981920 UYI981853:UYI981920 VIE981853:VIE981920 VSA981853:VSA981920 WBW981853:WBW981920 WLS981853:WLS981920 WVO981853:WVO981920 G1047389:G1047456 JC1047389:JC1047456 SY1047389:SY1047456 ACU1047389:ACU1047456 AMQ1047389:AMQ1047456 AWM1047389:AWM1047456 BGI1047389:BGI1047456 BQE1047389:BQE1047456 CAA1047389:CAA1047456 CJW1047389:CJW1047456 CTS1047389:CTS1047456 DDO1047389:DDO1047456 DNK1047389:DNK1047456 DXG1047389:DXG1047456 EHC1047389:EHC1047456 EQY1047389:EQY1047456 FAU1047389:FAU1047456 FKQ1047389:FKQ1047456 FUM1047389:FUM1047456 GEI1047389:GEI1047456 GOE1047389:GOE1047456 GYA1047389:GYA1047456 HHW1047389:HHW1047456 HRS1047389:HRS1047456 IBO1047389:IBO1047456 ILK1047389:ILK1047456 IVG1047389:IVG1047456 JFC1047389:JFC1047456 JOY1047389:JOY1047456 JYU1047389:JYU1047456 KIQ1047389:KIQ1047456 KSM1047389:KSM1047456 LCI1047389:LCI1047456 LME1047389:LME1047456 LWA1047389:LWA1047456 MFW1047389:MFW1047456 MPS1047389:MPS1047456 MZO1047389:MZO1047456 NJK1047389:NJK1047456 NTG1047389:NTG1047456 ODC1047389:ODC1047456 OMY1047389:OMY1047456 OWU1047389:OWU1047456 PGQ1047389:PGQ1047456 PQM1047389:PQM1047456 QAI1047389:QAI1047456 QKE1047389:QKE1047456 QUA1047389:QUA1047456 RDW1047389:RDW1047456 RNS1047389:RNS1047456 RXO1047389:RXO1047456 SHK1047389:SHK1047456 SRG1047389:SRG1047456 TBC1047389:TBC1047456 TKY1047389:TKY1047456 TUU1047389:TUU1047456 UEQ1047389:UEQ1047456 UOM1047389:UOM1047456 UYI1047389:UYI1047456 VIE1047389:VIE1047456 VSA1047389:VSA1047456 WBW1047389:WBW1047456 WLS1047389:WLS1047456 WVO1047389:WVO1047456 WVO983028:WVO983099 G65524:G65595 JC65524:JC65595 SY65524:SY65595 ACU65524:ACU65595 AMQ65524:AMQ65595 AWM65524:AWM65595 BGI65524:BGI65595 BQE65524:BQE65595 CAA65524:CAA65595 CJW65524:CJW65595 CTS65524:CTS65595 DDO65524:DDO65595 DNK65524:DNK65595 DXG65524:DXG65595 EHC65524:EHC65595 EQY65524:EQY65595 FAU65524:FAU65595 FKQ65524:FKQ65595 FUM65524:FUM65595 GEI65524:GEI65595 GOE65524:GOE65595 GYA65524:GYA65595 HHW65524:HHW65595 HRS65524:HRS65595 IBO65524:IBO65595 ILK65524:ILK65595 IVG65524:IVG65595 JFC65524:JFC65595 JOY65524:JOY65595 JYU65524:JYU65595 KIQ65524:KIQ65595 KSM65524:KSM65595 LCI65524:LCI65595 LME65524:LME65595 LWA65524:LWA65595 MFW65524:MFW65595 MPS65524:MPS65595 MZO65524:MZO65595 NJK65524:NJK65595 NTG65524:NTG65595 ODC65524:ODC65595 OMY65524:OMY65595 OWU65524:OWU65595 PGQ65524:PGQ65595 PQM65524:PQM65595 QAI65524:QAI65595 QKE65524:QKE65595 QUA65524:QUA65595 RDW65524:RDW65595 RNS65524:RNS65595 RXO65524:RXO65595 SHK65524:SHK65595 SRG65524:SRG65595 TBC65524:TBC65595 TKY65524:TKY65595 TUU65524:TUU65595 UEQ65524:UEQ65595 UOM65524:UOM65595 UYI65524:UYI65595 VIE65524:VIE65595 VSA65524:VSA65595 WBW65524:WBW65595 WLS65524:WLS65595 WVO65524:WVO65595 G131060:G131131 JC131060:JC131131 SY131060:SY131131 ACU131060:ACU131131 AMQ131060:AMQ131131 AWM131060:AWM131131 BGI131060:BGI131131 BQE131060:BQE131131 CAA131060:CAA131131 CJW131060:CJW131131 CTS131060:CTS131131 DDO131060:DDO131131 DNK131060:DNK131131 DXG131060:DXG131131 EHC131060:EHC131131 EQY131060:EQY131131 FAU131060:FAU131131 FKQ131060:FKQ131131 FUM131060:FUM131131 GEI131060:GEI131131 GOE131060:GOE131131 GYA131060:GYA131131 HHW131060:HHW131131 HRS131060:HRS131131 IBO131060:IBO131131 ILK131060:ILK131131 IVG131060:IVG131131 JFC131060:JFC131131 JOY131060:JOY131131 JYU131060:JYU131131 KIQ131060:KIQ131131 KSM131060:KSM131131 LCI131060:LCI131131 LME131060:LME131131 LWA131060:LWA131131 MFW131060:MFW131131 MPS131060:MPS131131 MZO131060:MZO131131 NJK131060:NJK131131 NTG131060:NTG131131 ODC131060:ODC131131 OMY131060:OMY131131 OWU131060:OWU131131 PGQ131060:PGQ131131 PQM131060:PQM131131 QAI131060:QAI131131 QKE131060:QKE131131 QUA131060:QUA131131 RDW131060:RDW131131 RNS131060:RNS131131 RXO131060:RXO131131 SHK131060:SHK131131 SRG131060:SRG131131 TBC131060:TBC131131 TKY131060:TKY131131 TUU131060:TUU131131 UEQ131060:UEQ131131 UOM131060:UOM131131 UYI131060:UYI131131 VIE131060:VIE131131 VSA131060:VSA131131 WBW131060:WBW131131 WLS131060:WLS131131 WVO131060:WVO131131 G196596:G196667 JC196596:JC196667 SY196596:SY196667 ACU196596:ACU196667 AMQ196596:AMQ196667 AWM196596:AWM196667 BGI196596:BGI196667 BQE196596:BQE196667 CAA196596:CAA196667 CJW196596:CJW196667 CTS196596:CTS196667 DDO196596:DDO196667 DNK196596:DNK196667 DXG196596:DXG196667 EHC196596:EHC196667 EQY196596:EQY196667 FAU196596:FAU196667 FKQ196596:FKQ196667 FUM196596:FUM196667 GEI196596:GEI196667 GOE196596:GOE196667 GYA196596:GYA196667 HHW196596:HHW196667 HRS196596:HRS196667 IBO196596:IBO196667 ILK196596:ILK196667 IVG196596:IVG196667 JFC196596:JFC196667 JOY196596:JOY196667 JYU196596:JYU196667 KIQ196596:KIQ196667 KSM196596:KSM196667 LCI196596:LCI196667 LME196596:LME196667 LWA196596:LWA196667 MFW196596:MFW196667 MPS196596:MPS196667 MZO196596:MZO196667 NJK196596:NJK196667 NTG196596:NTG196667 ODC196596:ODC196667 OMY196596:OMY196667 OWU196596:OWU196667 PGQ196596:PGQ196667 PQM196596:PQM196667 QAI196596:QAI196667 QKE196596:QKE196667 QUA196596:QUA196667 RDW196596:RDW196667 RNS196596:RNS196667 RXO196596:RXO196667 SHK196596:SHK196667 SRG196596:SRG196667 TBC196596:TBC196667 TKY196596:TKY196667 TUU196596:TUU196667 UEQ196596:UEQ196667 UOM196596:UOM196667 UYI196596:UYI196667 VIE196596:VIE196667 VSA196596:VSA196667 WBW196596:WBW196667 WLS196596:WLS196667 WVO196596:WVO196667 G262132:G262203 JC262132:JC262203 SY262132:SY262203 ACU262132:ACU262203 AMQ262132:AMQ262203 AWM262132:AWM262203 BGI262132:BGI262203 BQE262132:BQE262203 CAA262132:CAA262203 CJW262132:CJW262203 CTS262132:CTS262203 DDO262132:DDO262203 DNK262132:DNK262203 DXG262132:DXG262203 EHC262132:EHC262203 EQY262132:EQY262203 FAU262132:FAU262203 FKQ262132:FKQ262203 FUM262132:FUM262203 GEI262132:GEI262203 GOE262132:GOE262203 GYA262132:GYA262203 HHW262132:HHW262203 HRS262132:HRS262203 IBO262132:IBO262203 ILK262132:ILK262203 IVG262132:IVG262203 JFC262132:JFC262203 JOY262132:JOY262203 JYU262132:JYU262203 KIQ262132:KIQ262203 KSM262132:KSM262203 LCI262132:LCI262203 LME262132:LME262203 LWA262132:LWA262203 MFW262132:MFW262203 MPS262132:MPS262203 MZO262132:MZO262203 NJK262132:NJK262203 NTG262132:NTG262203 ODC262132:ODC262203 OMY262132:OMY262203 OWU262132:OWU262203 PGQ262132:PGQ262203 PQM262132:PQM262203 QAI262132:QAI262203 QKE262132:QKE262203 QUA262132:QUA262203 RDW262132:RDW262203 RNS262132:RNS262203 RXO262132:RXO262203 SHK262132:SHK262203 SRG262132:SRG262203 TBC262132:TBC262203 TKY262132:TKY262203 TUU262132:TUU262203 UEQ262132:UEQ262203 UOM262132:UOM262203 UYI262132:UYI262203 VIE262132:VIE262203 VSA262132:VSA262203 WBW262132:WBW262203 WLS262132:WLS262203 WVO262132:WVO262203 G327668:G327739 JC327668:JC327739 SY327668:SY327739 ACU327668:ACU327739 AMQ327668:AMQ327739 AWM327668:AWM327739 BGI327668:BGI327739 BQE327668:BQE327739 CAA327668:CAA327739 CJW327668:CJW327739 CTS327668:CTS327739 DDO327668:DDO327739 DNK327668:DNK327739 DXG327668:DXG327739 EHC327668:EHC327739 EQY327668:EQY327739 FAU327668:FAU327739 FKQ327668:FKQ327739 FUM327668:FUM327739 GEI327668:GEI327739 GOE327668:GOE327739 GYA327668:GYA327739 HHW327668:HHW327739 HRS327668:HRS327739 IBO327668:IBO327739 ILK327668:ILK327739 IVG327668:IVG327739 JFC327668:JFC327739 JOY327668:JOY327739 JYU327668:JYU327739 KIQ327668:KIQ327739 KSM327668:KSM327739 LCI327668:LCI327739 LME327668:LME327739 LWA327668:LWA327739 MFW327668:MFW327739 MPS327668:MPS327739 MZO327668:MZO327739 NJK327668:NJK327739 NTG327668:NTG327739 ODC327668:ODC327739 OMY327668:OMY327739 OWU327668:OWU327739 PGQ327668:PGQ327739 PQM327668:PQM327739 QAI327668:QAI327739 QKE327668:QKE327739 QUA327668:QUA327739 RDW327668:RDW327739 RNS327668:RNS327739 RXO327668:RXO327739 SHK327668:SHK327739 SRG327668:SRG327739 TBC327668:TBC327739 TKY327668:TKY327739 TUU327668:TUU327739 UEQ327668:UEQ327739 UOM327668:UOM327739 UYI327668:UYI327739 VIE327668:VIE327739 VSA327668:VSA327739 WBW327668:WBW327739 WLS327668:WLS327739 WVO327668:WVO327739 G393204:G393275 JC393204:JC393275 SY393204:SY393275 ACU393204:ACU393275 AMQ393204:AMQ393275 AWM393204:AWM393275 BGI393204:BGI393275 BQE393204:BQE393275 CAA393204:CAA393275 CJW393204:CJW393275 CTS393204:CTS393275 DDO393204:DDO393275 DNK393204:DNK393275 DXG393204:DXG393275 EHC393204:EHC393275 EQY393204:EQY393275 FAU393204:FAU393275 FKQ393204:FKQ393275 FUM393204:FUM393275 GEI393204:GEI393275 GOE393204:GOE393275 GYA393204:GYA393275 HHW393204:HHW393275 HRS393204:HRS393275 IBO393204:IBO393275 ILK393204:ILK393275 IVG393204:IVG393275 JFC393204:JFC393275 JOY393204:JOY393275 JYU393204:JYU393275 KIQ393204:KIQ393275 KSM393204:KSM393275 LCI393204:LCI393275 LME393204:LME393275 LWA393204:LWA393275 MFW393204:MFW393275 MPS393204:MPS393275 MZO393204:MZO393275 NJK393204:NJK393275 NTG393204:NTG393275 ODC393204:ODC393275 OMY393204:OMY393275 OWU393204:OWU393275 PGQ393204:PGQ393275 PQM393204:PQM393275 QAI393204:QAI393275 QKE393204:QKE393275 QUA393204:QUA393275 RDW393204:RDW393275 RNS393204:RNS393275 RXO393204:RXO393275 SHK393204:SHK393275 SRG393204:SRG393275 TBC393204:TBC393275 TKY393204:TKY393275 TUU393204:TUU393275 UEQ393204:UEQ393275 UOM393204:UOM393275 UYI393204:UYI393275 VIE393204:VIE393275 VSA393204:VSA393275 WBW393204:WBW393275 WLS393204:WLS393275 WVO393204:WVO393275 G458740:G458811 JC458740:JC458811 SY458740:SY458811 ACU458740:ACU458811 AMQ458740:AMQ458811 AWM458740:AWM458811 BGI458740:BGI458811 BQE458740:BQE458811 CAA458740:CAA458811 CJW458740:CJW458811 CTS458740:CTS458811 DDO458740:DDO458811 DNK458740:DNK458811 DXG458740:DXG458811 EHC458740:EHC458811 EQY458740:EQY458811 FAU458740:FAU458811 FKQ458740:FKQ458811 FUM458740:FUM458811 GEI458740:GEI458811 GOE458740:GOE458811 GYA458740:GYA458811 HHW458740:HHW458811 HRS458740:HRS458811 IBO458740:IBO458811 ILK458740:ILK458811 IVG458740:IVG458811 JFC458740:JFC458811 JOY458740:JOY458811 JYU458740:JYU458811 KIQ458740:KIQ458811 KSM458740:KSM458811 LCI458740:LCI458811 LME458740:LME458811 LWA458740:LWA458811 MFW458740:MFW458811 MPS458740:MPS458811 MZO458740:MZO458811 NJK458740:NJK458811 NTG458740:NTG458811 ODC458740:ODC458811 OMY458740:OMY458811 OWU458740:OWU458811 PGQ458740:PGQ458811 PQM458740:PQM458811 QAI458740:QAI458811 QKE458740:QKE458811 QUA458740:QUA458811 RDW458740:RDW458811 RNS458740:RNS458811 RXO458740:RXO458811 SHK458740:SHK458811 SRG458740:SRG458811 TBC458740:TBC458811 TKY458740:TKY458811 TUU458740:TUU458811 UEQ458740:UEQ458811 UOM458740:UOM458811 UYI458740:UYI458811 VIE458740:VIE458811 VSA458740:VSA458811 WBW458740:WBW458811 WLS458740:WLS458811 WVO458740:WVO458811 G524276:G524347 JC524276:JC524347 SY524276:SY524347 ACU524276:ACU524347 AMQ524276:AMQ524347 AWM524276:AWM524347 BGI524276:BGI524347 BQE524276:BQE524347 CAA524276:CAA524347 CJW524276:CJW524347 CTS524276:CTS524347 DDO524276:DDO524347 DNK524276:DNK524347 DXG524276:DXG524347 EHC524276:EHC524347 EQY524276:EQY524347 FAU524276:FAU524347 FKQ524276:FKQ524347 FUM524276:FUM524347 GEI524276:GEI524347 GOE524276:GOE524347 GYA524276:GYA524347 HHW524276:HHW524347 HRS524276:HRS524347 IBO524276:IBO524347 ILK524276:ILK524347 IVG524276:IVG524347 JFC524276:JFC524347 JOY524276:JOY524347 JYU524276:JYU524347 KIQ524276:KIQ524347 KSM524276:KSM524347 LCI524276:LCI524347 LME524276:LME524347 LWA524276:LWA524347 MFW524276:MFW524347 MPS524276:MPS524347 MZO524276:MZO524347 NJK524276:NJK524347 NTG524276:NTG524347 ODC524276:ODC524347 OMY524276:OMY524347 OWU524276:OWU524347 PGQ524276:PGQ524347 PQM524276:PQM524347 QAI524276:QAI524347 QKE524276:QKE524347 QUA524276:QUA524347 RDW524276:RDW524347 RNS524276:RNS524347 RXO524276:RXO524347 SHK524276:SHK524347 SRG524276:SRG524347 TBC524276:TBC524347 TKY524276:TKY524347 TUU524276:TUU524347 UEQ524276:UEQ524347 UOM524276:UOM524347 UYI524276:UYI524347 VIE524276:VIE524347 VSA524276:VSA524347 WBW524276:WBW524347 WLS524276:WLS524347 WVO524276:WVO524347 G589812:G589883 JC589812:JC589883 SY589812:SY589883 ACU589812:ACU589883 AMQ589812:AMQ589883 AWM589812:AWM589883 BGI589812:BGI589883 BQE589812:BQE589883 CAA589812:CAA589883 CJW589812:CJW589883 CTS589812:CTS589883 DDO589812:DDO589883 DNK589812:DNK589883 DXG589812:DXG589883 EHC589812:EHC589883 EQY589812:EQY589883 FAU589812:FAU589883 FKQ589812:FKQ589883 FUM589812:FUM589883 GEI589812:GEI589883 GOE589812:GOE589883 GYA589812:GYA589883 HHW589812:HHW589883 HRS589812:HRS589883 IBO589812:IBO589883 ILK589812:ILK589883 IVG589812:IVG589883 JFC589812:JFC589883 JOY589812:JOY589883 JYU589812:JYU589883 KIQ589812:KIQ589883 KSM589812:KSM589883 LCI589812:LCI589883 LME589812:LME589883 LWA589812:LWA589883 MFW589812:MFW589883 MPS589812:MPS589883 MZO589812:MZO589883 NJK589812:NJK589883 NTG589812:NTG589883 ODC589812:ODC589883 OMY589812:OMY589883 OWU589812:OWU589883 PGQ589812:PGQ589883 PQM589812:PQM589883 QAI589812:QAI589883 QKE589812:QKE589883 QUA589812:QUA589883 RDW589812:RDW589883 RNS589812:RNS589883 RXO589812:RXO589883 SHK589812:SHK589883 SRG589812:SRG589883 TBC589812:TBC589883 TKY589812:TKY589883 TUU589812:TUU589883 UEQ589812:UEQ589883 UOM589812:UOM589883 UYI589812:UYI589883 VIE589812:VIE589883 VSA589812:VSA589883 WBW589812:WBW589883 WLS589812:WLS589883 WVO589812:WVO589883 G655348:G655419 JC655348:JC655419 SY655348:SY655419 ACU655348:ACU655419 AMQ655348:AMQ655419 AWM655348:AWM655419 BGI655348:BGI655419 BQE655348:BQE655419 CAA655348:CAA655419 CJW655348:CJW655419 CTS655348:CTS655419 DDO655348:DDO655419 DNK655348:DNK655419 DXG655348:DXG655419 EHC655348:EHC655419 EQY655348:EQY655419 FAU655348:FAU655419 FKQ655348:FKQ655419 FUM655348:FUM655419 GEI655348:GEI655419 GOE655348:GOE655419 GYA655348:GYA655419 HHW655348:HHW655419 HRS655348:HRS655419 IBO655348:IBO655419 ILK655348:ILK655419 IVG655348:IVG655419 JFC655348:JFC655419 JOY655348:JOY655419 JYU655348:JYU655419 KIQ655348:KIQ655419 KSM655348:KSM655419 LCI655348:LCI655419 LME655348:LME655419 LWA655348:LWA655419 MFW655348:MFW655419 MPS655348:MPS655419 MZO655348:MZO655419 NJK655348:NJK655419 NTG655348:NTG655419 ODC655348:ODC655419 OMY655348:OMY655419 OWU655348:OWU655419 PGQ655348:PGQ655419 PQM655348:PQM655419 QAI655348:QAI655419 QKE655348:QKE655419 QUA655348:QUA655419 RDW655348:RDW655419 RNS655348:RNS655419 RXO655348:RXO655419 SHK655348:SHK655419 SRG655348:SRG655419 TBC655348:TBC655419 TKY655348:TKY655419 TUU655348:TUU655419 UEQ655348:UEQ655419 UOM655348:UOM655419 UYI655348:UYI655419 VIE655348:VIE655419 VSA655348:VSA655419 WBW655348:WBW655419 WLS655348:WLS655419 WVO655348:WVO655419 G720884:G720955 JC720884:JC720955 SY720884:SY720955 ACU720884:ACU720955 AMQ720884:AMQ720955 AWM720884:AWM720955 BGI720884:BGI720955 BQE720884:BQE720955 CAA720884:CAA720955 CJW720884:CJW720955 CTS720884:CTS720955 DDO720884:DDO720955 DNK720884:DNK720955 DXG720884:DXG720955 EHC720884:EHC720955 EQY720884:EQY720955 FAU720884:FAU720955 FKQ720884:FKQ720955 FUM720884:FUM720955 GEI720884:GEI720955 GOE720884:GOE720955 GYA720884:GYA720955 HHW720884:HHW720955 HRS720884:HRS720955 IBO720884:IBO720955 ILK720884:ILK720955 IVG720884:IVG720955 JFC720884:JFC720955 JOY720884:JOY720955 JYU720884:JYU720955 KIQ720884:KIQ720955 KSM720884:KSM720955 LCI720884:LCI720955 LME720884:LME720955 LWA720884:LWA720955 MFW720884:MFW720955 MPS720884:MPS720955 MZO720884:MZO720955 NJK720884:NJK720955 NTG720884:NTG720955 ODC720884:ODC720955 OMY720884:OMY720955 OWU720884:OWU720955 PGQ720884:PGQ720955 PQM720884:PQM720955 QAI720884:QAI720955 QKE720884:QKE720955 QUA720884:QUA720955 RDW720884:RDW720955 RNS720884:RNS720955 RXO720884:RXO720955 SHK720884:SHK720955 SRG720884:SRG720955 TBC720884:TBC720955 TKY720884:TKY720955 TUU720884:TUU720955 UEQ720884:UEQ720955 UOM720884:UOM720955 UYI720884:UYI720955 VIE720884:VIE720955 VSA720884:VSA720955 WBW720884:WBW720955 WLS720884:WLS720955 WVO720884:WVO720955 G786420:G786491 JC786420:JC786491 SY786420:SY786491 ACU786420:ACU786491 AMQ786420:AMQ786491 AWM786420:AWM786491 BGI786420:BGI786491 BQE786420:BQE786491 CAA786420:CAA786491 CJW786420:CJW786491 CTS786420:CTS786491 DDO786420:DDO786491 DNK786420:DNK786491 DXG786420:DXG786491 EHC786420:EHC786491 EQY786420:EQY786491 FAU786420:FAU786491 FKQ786420:FKQ786491 FUM786420:FUM786491 GEI786420:GEI786491 GOE786420:GOE786491 GYA786420:GYA786491 HHW786420:HHW786491 HRS786420:HRS786491 IBO786420:IBO786491 ILK786420:ILK786491 IVG786420:IVG786491 JFC786420:JFC786491 JOY786420:JOY786491 JYU786420:JYU786491 KIQ786420:KIQ786491 KSM786420:KSM786491 LCI786420:LCI786491 LME786420:LME786491 LWA786420:LWA786491 MFW786420:MFW786491 MPS786420:MPS786491 MZO786420:MZO786491 NJK786420:NJK786491 NTG786420:NTG786491 ODC786420:ODC786491 OMY786420:OMY786491 OWU786420:OWU786491 PGQ786420:PGQ786491 PQM786420:PQM786491 QAI786420:QAI786491 QKE786420:QKE786491 QUA786420:QUA786491 RDW786420:RDW786491 RNS786420:RNS786491 RXO786420:RXO786491 SHK786420:SHK786491 SRG786420:SRG786491 TBC786420:TBC786491 TKY786420:TKY786491 TUU786420:TUU786491 UEQ786420:UEQ786491 UOM786420:UOM786491 UYI786420:UYI786491 VIE786420:VIE786491 VSA786420:VSA786491 WBW786420:WBW786491 WLS786420:WLS786491 WVO786420:WVO786491 G851956:G852027 JC851956:JC852027 SY851956:SY852027 ACU851956:ACU852027 AMQ851956:AMQ852027 AWM851956:AWM852027 BGI851956:BGI852027 BQE851956:BQE852027 CAA851956:CAA852027 CJW851956:CJW852027 CTS851956:CTS852027 DDO851956:DDO852027 DNK851956:DNK852027 DXG851956:DXG852027 EHC851956:EHC852027 EQY851956:EQY852027 FAU851956:FAU852027 FKQ851956:FKQ852027 FUM851956:FUM852027 GEI851956:GEI852027 GOE851956:GOE852027 GYA851956:GYA852027 HHW851956:HHW852027 HRS851956:HRS852027 IBO851956:IBO852027 ILK851956:ILK852027 IVG851956:IVG852027 JFC851956:JFC852027 JOY851956:JOY852027 JYU851956:JYU852027 KIQ851956:KIQ852027 KSM851956:KSM852027 LCI851956:LCI852027 LME851956:LME852027 LWA851956:LWA852027 MFW851956:MFW852027 MPS851956:MPS852027 MZO851956:MZO852027 NJK851956:NJK852027 NTG851956:NTG852027 ODC851956:ODC852027 OMY851956:OMY852027 OWU851956:OWU852027 PGQ851956:PGQ852027 PQM851956:PQM852027 QAI851956:QAI852027 QKE851956:QKE852027 QUA851956:QUA852027 RDW851956:RDW852027 RNS851956:RNS852027 RXO851956:RXO852027 SHK851956:SHK852027 SRG851956:SRG852027 TBC851956:TBC852027 TKY851956:TKY852027 TUU851956:TUU852027 UEQ851956:UEQ852027 UOM851956:UOM852027 UYI851956:UYI852027 VIE851956:VIE852027 VSA851956:VSA852027 WBW851956:WBW852027 WLS851956:WLS852027 WVO851956:WVO852027 G917492:G917563 JC917492:JC917563 SY917492:SY917563 ACU917492:ACU917563 AMQ917492:AMQ917563 AWM917492:AWM917563 BGI917492:BGI917563 BQE917492:BQE917563 CAA917492:CAA917563 CJW917492:CJW917563 CTS917492:CTS917563 DDO917492:DDO917563 DNK917492:DNK917563 DXG917492:DXG917563 EHC917492:EHC917563 EQY917492:EQY917563 FAU917492:FAU917563 FKQ917492:FKQ917563 FUM917492:FUM917563 GEI917492:GEI917563 GOE917492:GOE917563 GYA917492:GYA917563 HHW917492:HHW917563 HRS917492:HRS917563 IBO917492:IBO917563 ILK917492:ILK917563 IVG917492:IVG917563 JFC917492:JFC917563 JOY917492:JOY917563 JYU917492:JYU917563 KIQ917492:KIQ917563 KSM917492:KSM917563 LCI917492:LCI917563 LME917492:LME917563 LWA917492:LWA917563 MFW917492:MFW917563 MPS917492:MPS917563 MZO917492:MZO917563 NJK917492:NJK917563 NTG917492:NTG917563 ODC917492:ODC917563 OMY917492:OMY917563 OWU917492:OWU917563 PGQ917492:PGQ917563 PQM917492:PQM917563 QAI917492:QAI917563 QKE917492:QKE917563 QUA917492:QUA917563 RDW917492:RDW917563 RNS917492:RNS917563 RXO917492:RXO917563 SHK917492:SHK917563 SRG917492:SRG917563 TBC917492:TBC917563 TKY917492:TKY917563 TUU917492:TUU917563 UEQ917492:UEQ917563 UOM917492:UOM917563 UYI917492:UYI917563 VIE917492:VIE917563 VSA917492:VSA917563 WBW917492:WBW917563 WLS917492:WLS917563 WVO917492:WVO917563 G983028:G983099 JC983028:JC983099 SY983028:SY983099 ACU983028:ACU983099 AMQ983028:AMQ983099 AWM983028:AWM983099 BGI983028:BGI983099 BQE983028:BQE983099 CAA983028:CAA983099 CJW983028:CJW983099 CTS983028:CTS983099 DDO983028:DDO983099 DNK983028:DNK983099 DXG983028:DXG983099 EHC983028:EHC983099 EQY983028:EQY983099 FAU983028:FAU983099 FKQ983028:FKQ983099 FUM983028:FUM983099 GEI983028:GEI983099 GOE983028:GOE983099 GYA983028:GYA983099 HHW983028:HHW983099 HRS983028:HRS983099 IBO983028:IBO983099 ILK983028:ILK983099 IVG983028:IVG983099 JFC983028:JFC983099 JOY983028:JOY983099 JYU983028:JYU983099 KIQ983028:KIQ983099 KSM983028:KSM983099 LCI983028:LCI983099 LME983028:LME983099 LWA983028:LWA983099 MFW983028:MFW983099 MPS983028:MPS983099 MZO983028:MZO983099 NJK983028:NJK983099 NTG983028:NTG983099 ODC983028:ODC983099 OMY983028:OMY983099 OWU983028:OWU983099 PGQ983028:PGQ983099 PQM983028:PQM983099 QAI983028:QAI983099 QKE983028:QKE983099 QUA983028:QUA983099 RDW983028:RDW983099 RNS983028:RNS983099 RXO983028:RXO983099 SHK983028:SHK983099 SRG983028:SRG983099 TBC983028:TBC983099 TKY983028:TKY983099 TUU983028:TUU983099 UEQ983028:UEQ983099 UOM983028:UOM983099 UYI983028:UYI983099 VIE983028:VIE983099 VSA983028:VSA983099 WBW983028:WBW983099 WLS983028:WLS983099 JC64349:JC64416">
      <formula1>$AJ$2:$AJ$4</formula1>
    </dataValidation>
    <dataValidation type="list" allowBlank="1" showInputMessage="1" showErrorMessage="1" sqref="I64349:I64414 I2:I486 ACW2:ACW70 AWO2:AWO70 BGK2:BGK70 BQG2:BQG70 CAC2:CAC70 CJY2:CJY70 CTU2:CTU70 DDQ2:DDQ70 DNM2:DNM70 DXI2:DXI70 EHE2:EHE70 ERA2:ERA70 FAW2:FAW70 FKS2:FKS70 FUO2:FUO70 GEK2:GEK70 GOG2:GOG70 GYC2:GYC70 HHY2:HHY70 HRU2:HRU70 IBQ2:IBQ70 ILM2:ILM70 IVI2:IVI70 JFE2:JFE70 JPA2:JPA70 JYW2:JYW70 KIS2:KIS70 KSO2:KSO70 LCK2:LCK70 LMG2:LMG70 LWC2:LWC70 MFY2:MFY70 MPU2:MPU70 MZQ2:MZQ70 NJM2:NJM70 NTI2:NTI70 ODE2:ODE70 ONA2:ONA70 OWW2:OWW70 PGS2:PGS70 PQO2:PQO70 QAK2:QAK70 QKG2:QKG70 QUC2:QUC70 RDY2:RDY70 RNU2:RNU70 RXQ2:RXQ70 SHM2:SHM70 SRI2:SRI70 TBE2:TBE70 TLA2:TLA70 TUW2:TUW70 UES2:UES70 UOO2:UOO70 UYK2:UYK70 VIG2:VIG70 VSC2:VSC70 WBY2:WBY70 WLU2:WLU70 WVQ2:WVQ70 JE2:JE70 TA2:TA70 AMS2:AMS70 TA64349:TA64414 ACW64349:ACW64414 AMS64349:AMS64414 AWO64349:AWO64414 BGK64349:BGK64414 BQG64349:BQG64414 CAC64349:CAC64414 CJY64349:CJY64414 CTU64349:CTU64414 DDQ64349:DDQ64414 DNM64349:DNM64414 DXI64349:DXI64414 EHE64349:EHE64414 ERA64349:ERA64414 FAW64349:FAW64414 FKS64349:FKS64414 FUO64349:FUO64414 GEK64349:GEK64414 GOG64349:GOG64414 GYC64349:GYC64414 HHY64349:HHY64414 HRU64349:HRU64414 IBQ64349:IBQ64414 ILM64349:ILM64414 IVI64349:IVI64414 JFE64349:JFE64414 JPA64349:JPA64414 JYW64349:JYW64414 KIS64349:KIS64414 KSO64349:KSO64414 LCK64349:LCK64414 LMG64349:LMG64414 LWC64349:LWC64414 MFY64349:MFY64414 MPU64349:MPU64414 MZQ64349:MZQ64414 NJM64349:NJM64414 NTI64349:NTI64414 ODE64349:ODE64414 ONA64349:ONA64414 OWW64349:OWW64414 PGS64349:PGS64414 PQO64349:PQO64414 QAK64349:QAK64414 QKG64349:QKG64414 QUC64349:QUC64414 RDY64349:RDY64414 RNU64349:RNU64414 RXQ64349:RXQ64414 SHM64349:SHM64414 SRI64349:SRI64414 TBE64349:TBE64414 TLA64349:TLA64414 TUW64349:TUW64414 UES64349:UES64414 UOO64349:UOO64414 UYK64349:UYK64414 VIG64349:VIG64414 VSC64349:VSC64414 WBY64349:WBY64414 WLU64349:WLU64414 WVQ64349:WVQ64414 I129885:I129950 JE129885:JE129950 TA129885:TA129950 ACW129885:ACW129950 AMS129885:AMS129950 AWO129885:AWO129950 BGK129885:BGK129950 BQG129885:BQG129950 CAC129885:CAC129950 CJY129885:CJY129950 CTU129885:CTU129950 DDQ129885:DDQ129950 DNM129885:DNM129950 DXI129885:DXI129950 EHE129885:EHE129950 ERA129885:ERA129950 FAW129885:FAW129950 FKS129885:FKS129950 FUO129885:FUO129950 GEK129885:GEK129950 GOG129885:GOG129950 GYC129885:GYC129950 HHY129885:HHY129950 HRU129885:HRU129950 IBQ129885:IBQ129950 ILM129885:ILM129950 IVI129885:IVI129950 JFE129885:JFE129950 JPA129885:JPA129950 JYW129885:JYW129950 KIS129885:KIS129950 KSO129885:KSO129950 LCK129885:LCK129950 LMG129885:LMG129950 LWC129885:LWC129950 MFY129885:MFY129950 MPU129885:MPU129950 MZQ129885:MZQ129950 NJM129885:NJM129950 NTI129885:NTI129950 ODE129885:ODE129950 ONA129885:ONA129950 OWW129885:OWW129950 PGS129885:PGS129950 PQO129885:PQO129950 QAK129885:QAK129950 QKG129885:QKG129950 QUC129885:QUC129950 RDY129885:RDY129950 RNU129885:RNU129950 RXQ129885:RXQ129950 SHM129885:SHM129950 SRI129885:SRI129950 TBE129885:TBE129950 TLA129885:TLA129950 TUW129885:TUW129950 UES129885:UES129950 UOO129885:UOO129950 UYK129885:UYK129950 VIG129885:VIG129950 VSC129885:VSC129950 WBY129885:WBY129950 WLU129885:WLU129950 WVQ129885:WVQ129950 I195421:I195486 JE195421:JE195486 TA195421:TA195486 ACW195421:ACW195486 AMS195421:AMS195486 AWO195421:AWO195486 BGK195421:BGK195486 BQG195421:BQG195486 CAC195421:CAC195486 CJY195421:CJY195486 CTU195421:CTU195486 DDQ195421:DDQ195486 DNM195421:DNM195486 DXI195421:DXI195486 EHE195421:EHE195486 ERA195421:ERA195486 FAW195421:FAW195486 FKS195421:FKS195486 FUO195421:FUO195486 GEK195421:GEK195486 GOG195421:GOG195486 GYC195421:GYC195486 HHY195421:HHY195486 HRU195421:HRU195486 IBQ195421:IBQ195486 ILM195421:ILM195486 IVI195421:IVI195486 JFE195421:JFE195486 JPA195421:JPA195486 JYW195421:JYW195486 KIS195421:KIS195486 KSO195421:KSO195486 LCK195421:LCK195486 LMG195421:LMG195486 LWC195421:LWC195486 MFY195421:MFY195486 MPU195421:MPU195486 MZQ195421:MZQ195486 NJM195421:NJM195486 NTI195421:NTI195486 ODE195421:ODE195486 ONA195421:ONA195486 OWW195421:OWW195486 PGS195421:PGS195486 PQO195421:PQO195486 QAK195421:QAK195486 QKG195421:QKG195486 QUC195421:QUC195486 RDY195421:RDY195486 RNU195421:RNU195486 RXQ195421:RXQ195486 SHM195421:SHM195486 SRI195421:SRI195486 TBE195421:TBE195486 TLA195421:TLA195486 TUW195421:TUW195486 UES195421:UES195486 UOO195421:UOO195486 UYK195421:UYK195486 VIG195421:VIG195486 VSC195421:VSC195486 WBY195421:WBY195486 WLU195421:WLU195486 WVQ195421:WVQ195486 I260957:I261022 JE260957:JE261022 TA260957:TA261022 ACW260957:ACW261022 AMS260957:AMS261022 AWO260957:AWO261022 BGK260957:BGK261022 BQG260957:BQG261022 CAC260957:CAC261022 CJY260957:CJY261022 CTU260957:CTU261022 DDQ260957:DDQ261022 DNM260957:DNM261022 DXI260957:DXI261022 EHE260957:EHE261022 ERA260957:ERA261022 FAW260957:FAW261022 FKS260957:FKS261022 FUO260957:FUO261022 GEK260957:GEK261022 GOG260957:GOG261022 GYC260957:GYC261022 HHY260957:HHY261022 HRU260957:HRU261022 IBQ260957:IBQ261022 ILM260957:ILM261022 IVI260957:IVI261022 JFE260957:JFE261022 JPA260957:JPA261022 JYW260957:JYW261022 KIS260957:KIS261022 KSO260957:KSO261022 LCK260957:LCK261022 LMG260957:LMG261022 LWC260957:LWC261022 MFY260957:MFY261022 MPU260957:MPU261022 MZQ260957:MZQ261022 NJM260957:NJM261022 NTI260957:NTI261022 ODE260957:ODE261022 ONA260957:ONA261022 OWW260957:OWW261022 PGS260957:PGS261022 PQO260957:PQO261022 QAK260957:QAK261022 QKG260957:QKG261022 QUC260957:QUC261022 RDY260957:RDY261022 RNU260957:RNU261022 RXQ260957:RXQ261022 SHM260957:SHM261022 SRI260957:SRI261022 TBE260957:TBE261022 TLA260957:TLA261022 TUW260957:TUW261022 UES260957:UES261022 UOO260957:UOO261022 UYK260957:UYK261022 VIG260957:VIG261022 VSC260957:VSC261022 WBY260957:WBY261022 WLU260957:WLU261022 WVQ260957:WVQ261022 I326493:I326558 JE326493:JE326558 TA326493:TA326558 ACW326493:ACW326558 AMS326493:AMS326558 AWO326493:AWO326558 BGK326493:BGK326558 BQG326493:BQG326558 CAC326493:CAC326558 CJY326493:CJY326558 CTU326493:CTU326558 DDQ326493:DDQ326558 DNM326493:DNM326558 DXI326493:DXI326558 EHE326493:EHE326558 ERA326493:ERA326558 FAW326493:FAW326558 FKS326493:FKS326558 FUO326493:FUO326558 GEK326493:GEK326558 GOG326493:GOG326558 GYC326493:GYC326558 HHY326493:HHY326558 HRU326493:HRU326558 IBQ326493:IBQ326558 ILM326493:ILM326558 IVI326493:IVI326558 JFE326493:JFE326558 JPA326493:JPA326558 JYW326493:JYW326558 KIS326493:KIS326558 KSO326493:KSO326558 LCK326493:LCK326558 LMG326493:LMG326558 LWC326493:LWC326558 MFY326493:MFY326558 MPU326493:MPU326558 MZQ326493:MZQ326558 NJM326493:NJM326558 NTI326493:NTI326558 ODE326493:ODE326558 ONA326493:ONA326558 OWW326493:OWW326558 PGS326493:PGS326558 PQO326493:PQO326558 QAK326493:QAK326558 QKG326493:QKG326558 QUC326493:QUC326558 RDY326493:RDY326558 RNU326493:RNU326558 RXQ326493:RXQ326558 SHM326493:SHM326558 SRI326493:SRI326558 TBE326493:TBE326558 TLA326493:TLA326558 TUW326493:TUW326558 UES326493:UES326558 UOO326493:UOO326558 UYK326493:UYK326558 VIG326493:VIG326558 VSC326493:VSC326558 WBY326493:WBY326558 WLU326493:WLU326558 WVQ326493:WVQ326558 I392029:I392094 JE392029:JE392094 TA392029:TA392094 ACW392029:ACW392094 AMS392029:AMS392094 AWO392029:AWO392094 BGK392029:BGK392094 BQG392029:BQG392094 CAC392029:CAC392094 CJY392029:CJY392094 CTU392029:CTU392094 DDQ392029:DDQ392094 DNM392029:DNM392094 DXI392029:DXI392094 EHE392029:EHE392094 ERA392029:ERA392094 FAW392029:FAW392094 FKS392029:FKS392094 FUO392029:FUO392094 GEK392029:GEK392094 GOG392029:GOG392094 GYC392029:GYC392094 HHY392029:HHY392094 HRU392029:HRU392094 IBQ392029:IBQ392094 ILM392029:ILM392094 IVI392029:IVI392094 JFE392029:JFE392094 JPA392029:JPA392094 JYW392029:JYW392094 KIS392029:KIS392094 KSO392029:KSO392094 LCK392029:LCK392094 LMG392029:LMG392094 LWC392029:LWC392094 MFY392029:MFY392094 MPU392029:MPU392094 MZQ392029:MZQ392094 NJM392029:NJM392094 NTI392029:NTI392094 ODE392029:ODE392094 ONA392029:ONA392094 OWW392029:OWW392094 PGS392029:PGS392094 PQO392029:PQO392094 QAK392029:QAK392094 QKG392029:QKG392094 QUC392029:QUC392094 RDY392029:RDY392094 RNU392029:RNU392094 RXQ392029:RXQ392094 SHM392029:SHM392094 SRI392029:SRI392094 TBE392029:TBE392094 TLA392029:TLA392094 TUW392029:TUW392094 UES392029:UES392094 UOO392029:UOO392094 UYK392029:UYK392094 VIG392029:VIG392094 VSC392029:VSC392094 WBY392029:WBY392094 WLU392029:WLU392094 WVQ392029:WVQ392094 I457565:I457630 JE457565:JE457630 TA457565:TA457630 ACW457565:ACW457630 AMS457565:AMS457630 AWO457565:AWO457630 BGK457565:BGK457630 BQG457565:BQG457630 CAC457565:CAC457630 CJY457565:CJY457630 CTU457565:CTU457630 DDQ457565:DDQ457630 DNM457565:DNM457630 DXI457565:DXI457630 EHE457565:EHE457630 ERA457565:ERA457630 FAW457565:FAW457630 FKS457565:FKS457630 FUO457565:FUO457630 GEK457565:GEK457630 GOG457565:GOG457630 GYC457565:GYC457630 HHY457565:HHY457630 HRU457565:HRU457630 IBQ457565:IBQ457630 ILM457565:ILM457630 IVI457565:IVI457630 JFE457565:JFE457630 JPA457565:JPA457630 JYW457565:JYW457630 KIS457565:KIS457630 KSO457565:KSO457630 LCK457565:LCK457630 LMG457565:LMG457630 LWC457565:LWC457630 MFY457565:MFY457630 MPU457565:MPU457630 MZQ457565:MZQ457630 NJM457565:NJM457630 NTI457565:NTI457630 ODE457565:ODE457630 ONA457565:ONA457630 OWW457565:OWW457630 PGS457565:PGS457630 PQO457565:PQO457630 QAK457565:QAK457630 QKG457565:QKG457630 QUC457565:QUC457630 RDY457565:RDY457630 RNU457565:RNU457630 RXQ457565:RXQ457630 SHM457565:SHM457630 SRI457565:SRI457630 TBE457565:TBE457630 TLA457565:TLA457630 TUW457565:TUW457630 UES457565:UES457630 UOO457565:UOO457630 UYK457565:UYK457630 VIG457565:VIG457630 VSC457565:VSC457630 WBY457565:WBY457630 WLU457565:WLU457630 WVQ457565:WVQ457630 I523101:I523166 JE523101:JE523166 TA523101:TA523166 ACW523101:ACW523166 AMS523101:AMS523166 AWO523101:AWO523166 BGK523101:BGK523166 BQG523101:BQG523166 CAC523101:CAC523166 CJY523101:CJY523166 CTU523101:CTU523166 DDQ523101:DDQ523166 DNM523101:DNM523166 DXI523101:DXI523166 EHE523101:EHE523166 ERA523101:ERA523166 FAW523101:FAW523166 FKS523101:FKS523166 FUO523101:FUO523166 GEK523101:GEK523166 GOG523101:GOG523166 GYC523101:GYC523166 HHY523101:HHY523166 HRU523101:HRU523166 IBQ523101:IBQ523166 ILM523101:ILM523166 IVI523101:IVI523166 JFE523101:JFE523166 JPA523101:JPA523166 JYW523101:JYW523166 KIS523101:KIS523166 KSO523101:KSO523166 LCK523101:LCK523166 LMG523101:LMG523166 LWC523101:LWC523166 MFY523101:MFY523166 MPU523101:MPU523166 MZQ523101:MZQ523166 NJM523101:NJM523166 NTI523101:NTI523166 ODE523101:ODE523166 ONA523101:ONA523166 OWW523101:OWW523166 PGS523101:PGS523166 PQO523101:PQO523166 QAK523101:QAK523166 QKG523101:QKG523166 QUC523101:QUC523166 RDY523101:RDY523166 RNU523101:RNU523166 RXQ523101:RXQ523166 SHM523101:SHM523166 SRI523101:SRI523166 TBE523101:TBE523166 TLA523101:TLA523166 TUW523101:TUW523166 UES523101:UES523166 UOO523101:UOO523166 UYK523101:UYK523166 VIG523101:VIG523166 VSC523101:VSC523166 WBY523101:WBY523166 WLU523101:WLU523166 WVQ523101:WVQ523166 I588637:I588702 JE588637:JE588702 TA588637:TA588702 ACW588637:ACW588702 AMS588637:AMS588702 AWO588637:AWO588702 BGK588637:BGK588702 BQG588637:BQG588702 CAC588637:CAC588702 CJY588637:CJY588702 CTU588637:CTU588702 DDQ588637:DDQ588702 DNM588637:DNM588702 DXI588637:DXI588702 EHE588637:EHE588702 ERA588637:ERA588702 FAW588637:FAW588702 FKS588637:FKS588702 FUO588637:FUO588702 GEK588637:GEK588702 GOG588637:GOG588702 GYC588637:GYC588702 HHY588637:HHY588702 HRU588637:HRU588702 IBQ588637:IBQ588702 ILM588637:ILM588702 IVI588637:IVI588702 JFE588637:JFE588702 JPA588637:JPA588702 JYW588637:JYW588702 KIS588637:KIS588702 KSO588637:KSO588702 LCK588637:LCK588702 LMG588637:LMG588702 LWC588637:LWC588702 MFY588637:MFY588702 MPU588637:MPU588702 MZQ588637:MZQ588702 NJM588637:NJM588702 NTI588637:NTI588702 ODE588637:ODE588702 ONA588637:ONA588702 OWW588637:OWW588702 PGS588637:PGS588702 PQO588637:PQO588702 QAK588637:QAK588702 QKG588637:QKG588702 QUC588637:QUC588702 RDY588637:RDY588702 RNU588637:RNU588702 RXQ588637:RXQ588702 SHM588637:SHM588702 SRI588637:SRI588702 TBE588637:TBE588702 TLA588637:TLA588702 TUW588637:TUW588702 UES588637:UES588702 UOO588637:UOO588702 UYK588637:UYK588702 VIG588637:VIG588702 VSC588637:VSC588702 WBY588637:WBY588702 WLU588637:WLU588702 WVQ588637:WVQ588702 I654173:I654238 JE654173:JE654238 TA654173:TA654238 ACW654173:ACW654238 AMS654173:AMS654238 AWO654173:AWO654238 BGK654173:BGK654238 BQG654173:BQG654238 CAC654173:CAC654238 CJY654173:CJY654238 CTU654173:CTU654238 DDQ654173:DDQ654238 DNM654173:DNM654238 DXI654173:DXI654238 EHE654173:EHE654238 ERA654173:ERA654238 FAW654173:FAW654238 FKS654173:FKS654238 FUO654173:FUO654238 GEK654173:GEK654238 GOG654173:GOG654238 GYC654173:GYC654238 HHY654173:HHY654238 HRU654173:HRU654238 IBQ654173:IBQ654238 ILM654173:ILM654238 IVI654173:IVI654238 JFE654173:JFE654238 JPA654173:JPA654238 JYW654173:JYW654238 KIS654173:KIS654238 KSO654173:KSO654238 LCK654173:LCK654238 LMG654173:LMG654238 LWC654173:LWC654238 MFY654173:MFY654238 MPU654173:MPU654238 MZQ654173:MZQ654238 NJM654173:NJM654238 NTI654173:NTI654238 ODE654173:ODE654238 ONA654173:ONA654238 OWW654173:OWW654238 PGS654173:PGS654238 PQO654173:PQO654238 QAK654173:QAK654238 QKG654173:QKG654238 QUC654173:QUC654238 RDY654173:RDY654238 RNU654173:RNU654238 RXQ654173:RXQ654238 SHM654173:SHM654238 SRI654173:SRI654238 TBE654173:TBE654238 TLA654173:TLA654238 TUW654173:TUW654238 UES654173:UES654238 UOO654173:UOO654238 UYK654173:UYK654238 VIG654173:VIG654238 VSC654173:VSC654238 WBY654173:WBY654238 WLU654173:WLU654238 WVQ654173:WVQ654238 I719709:I719774 JE719709:JE719774 TA719709:TA719774 ACW719709:ACW719774 AMS719709:AMS719774 AWO719709:AWO719774 BGK719709:BGK719774 BQG719709:BQG719774 CAC719709:CAC719774 CJY719709:CJY719774 CTU719709:CTU719774 DDQ719709:DDQ719774 DNM719709:DNM719774 DXI719709:DXI719774 EHE719709:EHE719774 ERA719709:ERA719774 FAW719709:FAW719774 FKS719709:FKS719774 FUO719709:FUO719774 GEK719709:GEK719774 GOG719709:GOG719774 GYC719709:GYC719774 HHY719709:HHY719774 HRU719709:HRU719774 IBQ719709:IBQ719774 ILM719709:ILM719774 IVI719709:IVI719774 JFE719709:JFE719774 JPA719709:JPA719774 JYW719709:JYW719774 KIS719709:KIS719774 KSO719709:KSO719774 LCK719709:LCK719774 LMG719709:LMG719774 LWC719709:LWC719774 MFY719709:MFY719774 MPU719709:MPU719774 MZQ719709:MZQ719774 NJM719709:NJM719774 NTI719709:NTI719774 ODE719709:ODE719774 ONA719709:ONA719774 OWW719709:OWW719774 PGS719709:PGS719774 PQO719709:PQO719774 QAK719709:QAK719774 QKG719709:QKG719774 QUC719709:QUC719774 RDY719709:RDY719774 RNU719709:RNU719774 RXQ719709:RXQ719774 SHM719709:SHM719774 SRI719709:SRI719774 TBE719709:TBE719774 TLA719709:TLA719774 TUW719709:TUW719774 UES719709:UES719774 UOO719709:UOO719774 UYK719709:UYK719774 VIG719709:VIG719774 VSC719709:VSC719774 WBY719709:WBY719774 WLU719709:WLU719774 WVQ719709:WVQ719774 I785245:I785310 JE785245:JE785310 TA785245:TA785310 ACW785245:ACW785310 AMS785245:AMS785310 AWO785245:AWO785310 BGK785245:BGK785310 BQG785245:BQG785310 CAC785245:CAC785310 CJY785245:CJY785310 CTU785245:CTU785310 DDQ785245:DDQ785310 DNM785245:DNM785310 DXI785245:DXI785310 EHE785245:EHE785310 ERA785245:ERA785310 FAW785245:FAW785310 FKS785245:FKS785310 FUO785245:FUO785310 GEK785245:GEK785310 GOG785245:GOG785310 GYC785245:GYC785310 HHY785245:HHY785310 HRU785245:HRU785310 IBQ785245:IBQ785310 ILM785245:ILM785310 IVI785245:IVI785310 JFE785245:JFE785310 JPA785245:JPA785310 JYW785245:JYW785310 KIS785245:KIS785310 KSO785245:KSO785310 LCK785245:LCK785310 LMG785245:LMG785310 LWC785245:LWC785310 MFY785245:MFY785310 MPU785245:MPU785310 MZQ785245:MZQ785310 NJM785245:NJM785310 NTI785245:NTI785310 ODE785245:ODE785310 ONA785245:ONA785310 OWW785245:OWW785310 PGS785245:PGS785310 PQO785245:PQO785310 QAK785245:QAK785310 QKG785245:QKG785310 QUC785245:QUC785310 RDY785245:RDY785310 RNU785245:RNU785310 RXQ785245:RXQ785310 SHM785245:SHM785310 SRI785245:SRI785310 TBE785245:TBE785310 TLA785245:TLA785310 TUW785245:TUW785310 UES785245:UES785310 UOO785245:UOO785310 UYK785245:UYK785310 VIG785245:VIG785310 VSC785245:VSC785310 WBY785245:WBY785310 WLU785245:WLU785310 WVQ785245:WVQ785310 I850781:I850846 JE850781:JE850846 TA850781:TA850846 ACW850781:ACW850846 AMS850781:AMS850846 AWO850781:AWO850846 BGK850781:BGK850846 BQG850781:BQG850846 CAC850781:CAC850846 CJY850781:CJY850846 CTU850781:CTU850846 DDQ850781:DDQ850846 DNM850781:DNM850846 DXI850781:DXI850846 EHE850781:EHE850846 ERA850781:ERA850846 FAW850781:FAW850846 FKS850781:FKS850846 FUO850781:FUO850846 GEK850781:GEK850846 GOG850781:GOG850846 GYC850781:GYC850846 HHY850781:HHY850846 HRU850781:HRU850846 IBQ850781:IBQ850846 ILM850781:ILM850846 IVI850781:IVI850846 JFE850781:JFE850846 JPA850781:JPA850846 JYW850781:JYW850846 KIS850781:KIS850846 KSO850781:KSO850846 LCK850781:LCK850846 LMG850781:LMG850846 LWC850781:LWC850846 MFY850781:MFY850846 MPU850781:MPU850846 MZQ850781:MZQ850846 NJM850781:NJM850846 NTI850781:NTI850846 ODE850781:ODE850846 ONA850781:ONA850846 OWW850781:OWW850846 PGS850781:PGS850846 PQO850781:PQO850846 QAK850781:QAK850846 QKG850781:QKG850846 QUC850781:QUC850846 RDY850781:RDY850846 RNU850781:RNU850846 RXQ850781:RXQ850846 SHM850781:SHM850846 SRI850781:SRI850846 TBE850781:TBE850846 TLA850781:TLA850846 TUW850781:TUW850846 UES850781:UES850846 UOO850781:UOO850846 UYK850781:UYK850846 VIG850781:VIG850846 VSC850781:VSC850846 WBY850781:WBY850846 WLU850781:WLU850846 WVQ850781:WVQ850846 I916317:I916382 JE916317:JE916382 TA916317:TA916382 ACW916317:ACW916382 AMS916317:AMS916382 AWO916317:AWO916382 BGK916317:BGK916382 BQG916317:BQG916382 CAC916317:CAC916382 CJY916317:CJY916382 CTU916317:CTU916382 DDQ916317:DDQ916382 DNM916317:DNM916382 DXI916317:DXI916382 EHE916317:EHE916382 ERA916317:ERA916382 FAW916317:FAW916382 FKS916317:FKS916382 FUO916317:FUO916382 GEK916317:GEK916382 GOG916317:GOG916382 GYC916317:GYC916382 HHY916317:HHY916382 HRU916317:HRU916382 IBQ916317:IBQ916382 ILM916317:ILM916382 IVI916317:IVI916382 JFE916317:JFE916382 JPA916317:JPA916382 JYW916317:JYW916382 KIS916317:KIS916382 KSO916317:KSO916382 LCK916317:LCK916382 LMG916317:LMG916382 LWC916317:LWC916382 MFY916317:MFY916382 MPU916317:MPU916382 MZQ916317:MZQ916382 NJM916317:NJM916382 NTI916317:NTI916382 ODE916317:ODE916382 ONA916317:ONA916382 OWW916317:OWW916382 PGS916317:PGS916382 PQO916317:PQO916382 QAK916317:QAK916382 QKG916317:QKG916382 QUC916317:QUC916382 RDY916317:RDY916382 RNU916317:RNU916382 RXQ916317:RXQ916382 SHM916317:SHM916382 SRI916317:SRI916382 TBE916317:TBE916382 TLA916317:TLA916382 TUW916317:TUW916382 UES916317:UES916382 UOO916317:UOO916382 UYK916317:UYK916382 VIG916317:VIG916382 VSC916317:VSC916382 WBY916317:WBY916382 WLU916317:WLU916382 WVQ916317:WVQ916382 I981853:I981918 JE981853:JE981918 TA981853:TA981918 ACW981853:ACW981918 AMS981853:AMS981918 AWO981853:AWO981918 BGK981853:BGK981918 BQG981853:BQG981918 CAC981853:CAC981918 CJY981853:CJY981918 CTU981853:CTU981918 DDQ981853:DDQ981918 DNM981853:DNM981918 DXI981853:DXI981918 EHE981853:EHE981918 ERA981853:ERA981918 FAW981853:FAW981918 FKS981853:FKS981918 FUO981853:FUO981918 GEK981853:GEK981918 GOG981853:GOG981918 GYC981853:GYC981918 HHY981853:HHY981918 HRU981853:HRU981918 IBQ981853:IBQ981918 ILM981853:ILM981918 IVI981853:IVI981918 JFE981853:JFE981918 JPA981853:JPA981918 JYW981853:JYW981918 KIS981853:KIS981918 KSO981853:KSO981918 LCK981853:LCK981918 LMG981853:LMG981918 LWC981853:LWC981918 MFY981853:MFY981918 MPU981853:MPU981918 MZQ981853:MZQ981918 NJM981853:NJM981918 NTI981853:NTI981918 ODE981853:ODE981918 ONA981853:ONA981918 OWW981853:OWW981918 PGS981853:PGS981918 PQO981853:PQO981918 QAK981853:QAK981918 QKG981853:QKG981918 QUC981853:QUC981918 RDY981853:RDY981918 RNU981853:RNU981918 RXQ981853:RXQ981918 SHM981853:SHM981918 SRI981853:SRI981918 TBE981853:TBE981918 TLA981853:TLA981918 TUW981853:TUW981918 UES981853:UES981918 UOO981853:UOO981918 UYK981853:UYK981918 VIG981853:VIG981918 VSC981853:VSC981918 WBY981853:WBY981918 WLU981853:WLU981918 WVQ981853:WVQ981918 I1047389:I1047454 JE1047389:JE1047454 TA1047389:TA1047454 ACW1047389:ACW1047454 AMS1047389:AMS1047454 AWO1047389:AWO1047454 BGK1047389:BGK1047454 BQG1047389:BQG1047454 CAC1047389:CAC1047454 CJY1047389:CJY1047454 CTU1047389:CTU1047454 DDQ1047389:DDQ1047454 DNM1047389:DNM1047454 DXI1047389:DXI1047454 EHE1047389:EHE1047454 ERA1047389:ERA1047454 FAW1047389:FAW1047454 FKS1047389:FKS1047454 FUO1047389:FUO1047454 GEK1047389:GEK1047454 GOG1047389:GOG1047454 GYC1047389:GYC1047454 HHY1047389:HHY1047454 HRU1047389:HRU1047454 IBQ1047389:IBQ1047454 ILM1047389:ILM1047454 IVI1047389:IVI1047454 JFE1047389:JFE1047454 JPA1047389:JPA1047454 JYW1047389:JYW1047454 KIS1047389:KIS1047454 KSO1047389:KSO1047454 LCK1047389:LCK1047454 LMG1047389:LMG1047454 LWC1047389:LWC1047454 MFY1047389:MFY1047454 MPU1047389:MPU1047454 MZQ1047389:MZQ1047454 NJM1047389:NJM1047454 NTI1047389:NTI1047454 ODE1047389:ODE1047454 ONA1047389:ONA1047454 OWW1047389:OWW1047454 PGS1047389:PGS1047454 PQO1047389:PQO1047454 QAK1047389:QAK1047454 QKG1047389:QKG1047454 QUC1047389:QUC1047454 RDY1047389:RDY1047454 RNU1047389:RNU1047454 RXQ1047389:RXQ1047454 SHM1047389:SHM1047454 SRI1047389:SRI1047454 TBE1047389:TBE1047454 TLA1047389:TLA1047454 TUW1047389:TUW1047454 UES1047389:UES1047454 UOO1047389:UOO1047454 UYK1047389:UYK1047454 VIG1047389:VIG1047454 VSC1047389:VSC1047454 WBY1047389:WBY1047454 WLU1047389:WLU1047454 WVQ1047389:WVQ1047454 WVQ983028:WVQ983093 I65524:I65589 JE65524:JE65589 TA65524:TA65589 ACW65524:ACW65589 AMS65524:AMS65589 AWO65524:AWO65589 BGK65524:BGK65589 BQG65524:BQG65589 CAC65524:CAC65589 CJY65524:CJY65589 CTU65524:CTU65589 DDQ65524:DDQ65589 DNM65524:DNM65589 DXI65524:DXI65589 EHE65524:EHE65589 ERA65524:ERA65589 FAW65524:FAW65589 FKS65524:FKS65589 FUO65524:FUO65589 GEK65524:GEK65589 GOG65524:GOG65589 GYC65524:GYC65589 HHY65524:HHY65589 HRU65524:HRU65589 IBQ65524:IBQ65589 ILM65524:ILM65589 IVI65524:IVI65589 JFE65524:JFE65589 JPA65524:JPA65589 JYW65524:JYW65589 KIS65524:KIS65589 KSO65524:KSO65589 LCK65524:LCK65589 LMG65524:LMG65589 LWC65524:LWC65589 MFY65524:MFY65589 MPU65524:MPU65589 MZQ65524:MZQ65589 NJM65524:NJM65589 NTI65524:NTI65589 ODE65524:ODE65589 ONA65524:ONA65589 OWW65524:OWW65589 PGS65524:PGS65589 PQO65524:PQO65589 QAK65524:QAK65589 QKG65524:QKG65589 QUC65524:QUC65589 RDY65524:RDY65589 RNU65524:RNU65589 RXQ65524:RXQ65589 SHM65524:SHM65589 SRI65524:SRI65589 TBE65524:TBE65589 TLA65524:TLA65589 TUW65524:TUW65589 UES65524:UES65589 UOO65524:UOO65589 UYK65524:UYK65589 VIG65524:VIG65589 VSC65524:VSC65589 WBY65524:WBY65589 WLU65524:WLU65589 WVQ65524:WVQ65589 I131060:I131125 JE131060:JE131125 TA131060:TA131125 ACW131060:ACW131125 AMS131060:AMS131125 AWO131060:AWO131125 BGK131060:BGK131125 BQG131060:BQG131125 CAC131060:CAC131125 CJY131060:CJY131125 CTU131060:CTU131125 DDQ131060:DDQ131125 DNM131060:DNM131125 DXI131060:DXI131125 EHE131060:EHE131125 ERA131060:ERA131125 FAW131060:FAW131125 FKS131060:FKS131125 FUO131060:FUO131125 GEK131060:GEK131125 GOG131060:GOG131125 GYC131060:GYC131125 HHY131060:HHY131125 HRU131060:HRU131125 IBQ131060:IBQ131125 ILM131060:ILM131125 IVI131060:IVI131125 JFE131060:JFE131125 JPA131060:JPA131125 JYW131060:JYW131125 KIS131060:KIS131125 KSO131060:KSO131125 LCK131060:LCK131125 LMG131060:LMG131125 LWC131060:LWC131125 MFY131060:MFY131125 MPU131060:MPU131125 MZQ131060:MZQ131125 NJM131060:NJM131125 NTI131060:NTI131125 ODE131060:ODE131125 ONA131060:ONA131125 OWW131060:OWW131125 PGS131060:PGS131125 PQO131060:PQO131125 QAK131060:QAK131125 QKG131060:QKG131125 QUC131060:QUC131125 RDY131060:RDY131125 RNU131060:RNU131125 RXQ131060:RXQ131125 SHM131060:SHM131125 SRI131060:SRI131125 TBE131060:TBE131125 TLA131060:TLA131125 TUW131060:TUW131125 UES131060:UES131125 UOO131060:UOO131125 UYK131060:UYK131125 VIG131060:VIG131125 VSC131060:VSC131125 WBY131060:WBY131125 WLU131060:WLU131125 WVQ131060:WVQ131125 I196596:I196661 JE196596:JE196661 TA196596:TA196661 ACW196596:ACW196661 AMS196596:AMS196661 AWO196596:AWO196661 BGK196596:BGK196661 BQG196596:BQG196661 CAC196596:CAC196661 CJY196596:CJY196661 CTU196596:CTU196661 DDQ196596:DDQ196661 DNM196596:DNM196661 DXI196596:DXI196661 EHE196596:EHE196661 ERA196596:ERA196661 FAW196596:FAW196661 FKS196596:FKS196661 FUO196596:FUO196661 GEK196596:GEK196661 GOG196596:GOG196661 GYC196596:GYC196661 HHY196596:HHY196661 HRU196596:HRU196661 IBQ196596:IBQ196661 ILM196596:ILM196661 IVI196596:IVI196661 JFE196596:JFE196661 JPA196596:JPA196661 JYW196596:JYW196661 KIS196596:KIS196661 KSO196596:KSO196661 LCK196596:LCK196661 LMG196596:LMG196661 LWC196596:LWC196661 MFY196596:MFY196661 MPU196596:MPU196661 MZQ196596:MZQ196661 NJM196596:NJM196661 NTI196596:NTI196661 ODE196596:ODE196661 ONA196596:ONA196661 OWW196596:OWW196661 PGS196596:PGS196661 PQO196596:PQO196661 QAK196596:QAK196661 QKG196596:QKG196661 QUC196596:QUC196661 RDY196596:RDY196661 RNU196596:RNU196661 RXQ196596:RXQ196661 SHM196596:SHM196661 SRI196596:SRI196661 TBE196596:TBE196661 TLA196596:TLA196661 TUW196596:TUW196661 UES196596:UES196661 UOO196596:UOO196661 UYK196596:UYK196661 VIG196596:VIG196661 VSC196596:VSC196661 WBY196596:WBY196661 WLU196596:WLU196661 WVQ196596:WVQ196661 I262132:I262197 JE262132:JE262197 TA262132:TA262197 ACW262132:ACW262197 AMS262132:AMS262197 AWO262132:AWO262197 BGK262132:BGK262197 BQG262132:BQG262197 CAC262132:CAC262197 CJY262132:CJY262197 CTU262132:CTU262197 DDQ262132:DDQ262197 DNM262132:DNM262197 DXI262132:DXI262197 EHE262132:EHE262197 ERA262132:ERA262197 FAW262132:FAW262197 FKS262132:FKS262197 FUO262132:FUO262197 GEK262132:GEK262197 GOG262132:GOG262197 GYC262132:GYC262197 HHY262132:HHY262197 HRU262132:HRU262197 IBQ262132:IBQ262197 ILM262132:ILM262197 IVI262132:IVI262197 JFE262132:JFE262197 JPA262132:JPA262197 JYW262132:JYW262197 KIS262132:KIS262197 KSO262132:KSO262197 LCK262132:LCK262197 LMG262132:LMG262197 LWC262132:LWC262197 MFY262132:MFY262197 MPU262132:MPU262197 MZQ262132:MZQ262197 NJM262132:NJM262197 NTI262132:NTI262197 ODE262132:ODE262197 ONA262132:ONA262197 OWW262132:OWW262197 PGS262132:PGS262197 PQO262132:PQO262197 QAK262132:QAK262197 QKG262132:QKG262197 QUC262132:QUC262197 RDY262132:RDY262197 RNU262132:RNU262197 RXQ262132:RXQ262197 SHM262132:SHM262197 SRI262132:SRI262197 TBE262132:TBE262197 TLA262132:TLA262197 TUW262132:TUW262197 UES262132:UES262197 UOO262132:UOO262197 UYK262132:UYK262197 VIG262132:VIG262197 VSC262132:VSC262197 WBY262132:WBY262197 WLU262132:WLU262197 WVQ262132:WVQ262197 I327668:I327733 JE327668:JE327733 TA327668:TA327733 ACW327668:ACW327733 AMS327668:AMS327733 AWO327668:AWO327733 BGK327668:BGK327733 BQG327668:BQG327733 CAC327668:CAC327733 CJY327668:CJY327733 CTU327668:CTU327733 DDQ327668:DDQ327733 DNM327668:DNM327733 DXI327668:DXI327733 EHE327668:EHE327733 ERA327668:ERA327733 FAW327668:FAW327733 FKS327668:FKS327733 FUO327668:FUO327733 GEK327668:GEK327733 GOG327668:GOG327733 GYC327668:GYC327733 HHY327668:HHY327733 HRU327668:HRU327733 IBQ327668:IBQ327733 ILM327668:ILM327733 IVI327668:IVI327733 JFE327668:JFE327733 JPA327668:JPA327733 JYW327668:JYW327733 KIS327668:KIS327733 KSO327668:KSO327733 LCK327668:LCK327733 LMG327668:LMG327733 LWC327668:LWC327733 MFY327668:MFY327733 MPU327668:MPU327733 MZQ327668:MZQ327733 NJM327668:NJM327733 NTI327668:NTI327733 ODE327668:ODE327733 ONA327668:ONA327733 OWW327668:OWW327733 PGS327668:PGS327733 PQO327668:PQO327733 QAK327668:QAK327733 QKG327668:QKG327733 QUC327668:QUC327733 RDY327668:RDY327733 RNU327668:RNU327733 RXQ327668:RXQ327733 SHM327668:SHM327733 SRI327668:SRI327733 TBE327668:TBE327733 TLA327668:TLA327733 TUW327668:TUW327733 UES327668:UES327733 UOO327668:UOO327733 UYK327668:UYK327733 VIG327668:VIG327733 VSC327668:VSC327733 WBY327668:WBY327733 WLU327668:WLU327733 WVQ327668:WVQ327733 I393204:I393269 JE393204:JE393269 TA393204:TA393269 ACW393204:ACW393269 AMS393204:AMS393269 AWO393204:AWO393269 BGK393204:BGK393269 BQG393204:BQG393269 CAC393204:CAC393269 CJY393204:CJY393269 CTU393204:CTU393269 DDQ393204:DDQ393269 DNM393204:DNM393269 DXI393204:DXI393269 EHE393204:EHE393269 ERA393204:ERA393269 FAW393204:FAW393269 FKS393204:FKS393269 FUO393204:FUO393269 GEK393204:GEK393269 GOG393204:GOG393269 GYC393204:GYC393269 HHY393204:HHY393269 HRU393204:HRU393269 IBQ393204:IBQ393269 ILM393204:ILM393269 IVI393204:IVI393269 JFE393204:JFE393269 JPA393204:JPA393269 JYW393204:JYW393269 KIS393204:KIS393269 KSO393204:KSO393269 LCK393204:LCK393269 LMG393204:LMG393269 LWC393204:LWC393269 MFY393204:MFY393269 MPU393204:MPU393269 MZQ393204:MZQ393269 NJM393204:NJM393269 NTI393204:NTI393269 ODE393204:ODE393269 ONA393204:ONA393269 OWW393204:OWW393269 PGS393204:PGS393269 PQO393204:PQO393269 QAK393204:QAK393269 QKG393204:QKG393269 QUC393204:QUC393269 RDY393204:RDY393269 RNU393204:RNU393269 RXQ393204:RXQ393269 SHM393204:SHM393269 SRI393204:SRI393269 TBE393204:TBE393269 TLA393204:TLA393269 TUW393204:TUW393269 UES393204:UES393269 UOO393204:UOO393269 UYK393204:UYK393269 VIG393204:VIG393269 VSC393204:VSC393269 WBY393204:WBY393269 WLU393204:WLU393269 WVQ393204:WVQ393269 I458740:I458805 JE458740:JE458805 TA458740:TA458805 ACW458740:ACW458805 AMS458740:AMS458805 AWO458740:AWO458805 BGK458740:BGK458805 BQG458740:BQG458805 CAC458740:CAC458805 CJY458740:CJY458805 CTU458740:CTU458805 DDQ458740:DDQ458805 DNM458740:DNM458805 DXI458740:DXI458805 EHE458740:EHE458805 ERA458740:ERA458805 FAW458740:FAW458805 FKS458740:FKS458805 FUO458740:FUO458805 GEK458740:GEK458805 GOG458740:GOG458805 GYC458740:GYC458805 HHY458740:HHY458805 HRU458740:HRU458805 IBQ458740:IBQ458805 ILM458740:ILM458805 IVI458740:IVI458805 JFE458740:JFE458805 JPA458740:JPA458805 JYW458740:JYW458805 KIS458740:KIS458805 KSO458740:KSO458805 LCK458740:LCK458805 LMG458740:LMG458805 LWC458740:LWC458805 MFY458740:MFY458805 MPU458740:MPU458805 MZQ458740:MZQ458805 NJM458740:NJM458805 NTI458740:NTI458805 ODE458740:ODE458805 ONA458740:ONA458805 OWW458740:OWW458805 PGS458740:PGS458805 PQO458740:PQO458805 QAK458740:QAK458805 QKG458740:QKG458805 QUC458740:QUC458805 RDY458740:RDY458805 RNU458740:RNU458805 RXQ458740:RXQ458805 SHM458740:SHM458805 SRI458740:SRI458805 TBE458740:TBE458805 TLA458740:TLA458805 TUW458740:TUW458805 UES458740:UES458805 UOO458740:UOO458805 UYK458740:UYK458805 VIG458740:VIG458805 VSC458740:VSC458805 WBY458740:WBY458805 WLU458740:WLU458805 WVQ458740:WVQ458805 I524276:I524341 JE524276:JE524341 TA524276:TA524341 ACW524276:ACW524341 AMS524276:AMS524341 AWO524276:AWO524341 BGK524276:BGK524341 BQG524276:BQG524341 CAC524276:CAC524341 CJY524276:CJY524341 CTU524276:CTU524341 DDQ524276:DDQ524341 DNM524276:DNM524341 DXI524276:DXI524341 EHE524276:EHE524341 ERA524276:ERA524341 FAW524276:FAW524341 FKS524276:FKS524341 FUO524276:FUO524341 GEK524276:GEK524341 GOG524276:GOG524341 GYC524276:GYC524341 HHY524276:HHY524341 HRU524276:HRU524341 IBQ524276:IBQ524341 ILM524276:ILM524341 IVI524276:IVI524341 JFE524276:JFE524341 JPA524276:JPA524341 JYW524276:JYW524341 KIS524276:KIS524341 KSO524276:KSO524341 LCK524276:LCK524341 LMG524276:LMG524341 LWC524276:LWC524341 MFY524276:MFY524341 MPU524276:MPU524341 MZQ524276:MZQ524341 NJM524276:NJM524341 NTI524276:NTI524341 ODE524276:ODE524341 ONA524276:ONA524341 OWW524276:OWW524341 PGS524276:PGS524341 PQO524276:PQO524341 QAK524276:QAK524341 QKG524276:QKG524341 QUC524276:QUC524341 RDY524276:RDY524341 RNU524276:RNU524341 RXQ524276:RXQ524341 SHM524276:SHM524341 SRI524276:SRI524341 TBE524276:TBE524341 TLA524276:TLA524341 TUW524276:TUW524341 UES524276:UES524341 UOO524276:UOO524341 UYK524276:UYK524341 VIG524276:VIG524341 VSC524276:VSC524341 WBY524276:WBY524341 WLU524276:WLU524341 WVQ524276:WVQ524341 I589812:I589877 JE589812:JE589877 TA589812:TA589877 ACW589812:ACW589877 AMS589812:AMS589877 AWO589812:AWO589877 BGK589812:BGK589877 BQG589812:BQG589877 CAC589812:CAC589877 CJY589812:CJY589877 CTU589812:CTU589877 DDQ589812:DDQ589877 DNM589812:DNM589877 DXI589812:DXI589877 EHE589812:EHE589877 ERA589812:ERA589877 FAW589812:FAW589877 FKS589812:FKS589877 FUO589812:FUO589877 GEK589812:GEK589877 GOG589812:GOG589877 GYC589812:GYC589877 HHY589812:HHY589877 HRU589812:HRU589877 IBQ589812:IBQ589877 ILM589812:ILM589877 IVI589812:IVI589877 JFE589812:JFE589877 JPA589812:JPA589877 JYW589812:JYW589877 KIS589812:KIS589877 KSO589812:KSO589877 LCK589812:LCK589877 LMG589812:LMG589877 LWC589812:LWC589877 MFY589812:MFY589877 MPU589812:MPU589877 MZQ589812:MZQ589877 NJM589812:NJM589877 NTI589812:NTI589877 ODE589812:ODE589877 ONA589812:ONA589877 OWW589812:OWW589877 PGS589812:PGS589877 PQO589812:PQO589877 QAK589812:QAK589877 QKG589812:QKG589877 QUC589812:QUC589877 RDY589812:RDY589877 RNU589812:RNU589877 RXQ589812:RXQ589877 SHM589812:SHM589877 SRI589812:SRI589877 TBE589812:TBE589877 TLA589812:TLA589877 TUW589812:TUW589877 UES589812:UES589877 UOO589812:UOO589877 UYK589812:UYK589877 VIG589812:VIG589877 VSC589812:VSC589877 WBY589812:WBY589877 WLU589812:WLU589877 WVQ589812:WVQ589877 I655348:I655413 JE655348:JE655413 TA655348:TA655413 ACW655348:ACW655413 AMS655348:AMS655413 AWO655348:AWO655413 BGK655348:BGK655413 BQG655348:BQG655413 CAC655348:CAC655413 CJY655348:CJY655413 CTU655348:CTU655413 DDQ655348:DDQ655413 DNM655348:DNM655413 DXI655348:DXI655413 EHE655348:EHE655413 ERA655348:ERA655413 FAW655348:FAW655413 FKS655348:FKS655413 FUO655348:FUO655413 GEK655348:GEK655413 GOG655348:GOG655413 GYC655348:GYC655413 HHY655348:HHY655413 HRU655348:HRU655413 IBQ655348:IBQ655413 ILM655348:ILM655413 IVI655348:IVI655413 JFE655348:JFE655413 JPA655348:JPA655413 JYW655348:JYW655413 KIS655348:KIS655413 KSO655348:KSO655413 LCK655348:LCK655413 LMG655348:LMG655413 LWC655348:LWC655413 MFY655348:MFY655413 MPU655348:MPU655413 MZQ655348:MZQ655413 NJM655348:NJM655413 NTI655348:NTI655413 ODE655348:ODE655413 ONA655348:ONA655413 OWW655348:OWW655413 PGS655348:PGS655413 PQO655348:PQO655413 QAK655348:QAK655413 QKG655348:QKG655413 QUC655348:QUC655413 RDY655348:RDY655413 RNU655348:RNU655413 RXQ655348:RXQ655413 SHM655348:SHM655413 SRI655348:SRI655413 TBE655348:TBE655413 TLA655348:TLA655413 TUW655348:TUW655413 UES655348:UES655413 UOO655348:UOO655413 UYK655348:UYK655413 VIG655348:VIG655413 VSC655348:VSC655413 WBY655348:WBY655413 WLU655348:WLU655413 WVQ655348:WVQ655413 I720884:I720949 JE720884:JE720949 TA720884:TA720949 ACW720884:ACW720949 AMS720884:AMS720949 AWO720884:AWO720949 BGK720884:BGK720949 BQG720884:BQG720949 CAC720884:CAC720949 CJY720884:CJY720949 CTU720884:CTU720949 DDQ720884:DDQ720949 DNM720884:DNM720949 DXI720884:DXI720949 EHE720884:EHE720949 ERA720884:ERA720949 FAW720884:FAW720949 FKS720884:FKS720949 FUO720884:FUO720949 GEK720884:GEK720949 GOG720884:GOG720949 GYC720884:GYC720949 HHY720884:HHY720949 HRU720884:HRU720949 IBQ720884:IBQ720949 ILM720884:ILM720949 IVI720884:IVI720949 JFE720884:JFE720949 JPA720884:JPA720949 JYW720884:JYW720949 KIS720884:KIS720949 KSO720884:KSO720949 LCK720884:LCK720949 LMG720884:LMG720949 LWC720884:LWC720949 MFY720884:MFY720949 MPU720884:MPU720949 MZQ720884:MZQ720949 NJM720884:NJM720949 NTI720884:NTI720949 ODE720884:ODE720949 ONA720884:ONA720949 OWW720884:OWW720949 PGS720884:PGS720949 PQO720884:PQO720949 QAK720884:QAK720949 QKG720884:QKG720949 QUC720884:QUC720949 RDY720884:RDY720949 RNU720884:RNU720949 RXQ720884:RXQ720949 SHM720884:SHM720949 SRI720884:SRI720949 TBE720884:TBE720949 TLA720884:TLA720949 TUW720884:TUW720949 UES720884:UES720949 UOO720884:UOO720949 UYK720884:UYK720949 VIG720884:VIG720949 VSC720884:VSC720949 WBY720884:WBY720949 WLU720884:WLU720949 WVQ720884:WVQ720949 I786420:I786485 JE786420:JE786485 TA786420:TA786485 ACW786420:ACW786485 AMS786420:AMS786485 AWO786420:AWO786485 BGK786420:BGK786485 BQG786420:BQG786485 CAC786420:CAC786485 CJY786420:CJY786485 CTU786420:CTU786485 DDQ786420:DDQ786485 DNM786420:DNM786485 DXI786420:DXI786485 EHE786420:EHE786485 ERA786420:ERA786485 FAW786420:FAW786485 FKS786420:FKS786485 FUO786420:FUO786485 GEK786420:GEK786485 GOG786420:GOG786485 GYC786420:GYC786485 HHY786420:HHY786485 HRU786420:HRU786485 IBQ786420:IBQ786485 ILM786420:ILM786485 IVI786420:IVI786485 JFE786420:JFE786485 JPA786420:JPA786485 JYW786420:JYW786485 KIS786420:KIS786485 KSO786420:KSO786485 LCK786420:LCK786485 LMG786420:LMG786485 LWC786420:LWC786485 MFY786420:MFY786485 MPU786420:MPU786485 MZQ786420:MZQ786485 NJM786420:NJM786485 NTI786420:NTI786485 ODE786420:ODE786485 ONA786420:ONA786485 OWW786420:OWW786485 PGS786420:PGS786485 PQO786420:PQO786485 QAK786420:QAK786485 QKG786420:QKG786485 QUC786420:QUC786485 RDY786420:RDY786485 RNU786420:RNU786485 RXQ786420:RXQ786485 SHM786420:SHM786485 SRI786420:SRI786485 TBE786420:TBE786485 TLA786420:TLA786485 TUW786420:TUW786485 UES786420:UES786485 UOO786420:UOO786485 UYK786420:UYK786485 VIG786420:VIG786485 VSC786420:VSC786485 WBY786420:WBY786485 WLU786420:WLU786485 WVQ786420:WVQ786485 I851956:I852021 JE851956:JE852021 TA851956:TA852021 ACW851956:ACW852021 AMS851956:AMS852021 AWO851956:AWO852021 BGK851956:BGK852021 BQG851956:BQG852021 CAC851956:CAC852021 CJY851956:CJY852021 CTU851956:CTU852021 DDQ851956:DDQ852021 DNM851956:DNM852021 DXI851956:DXI852021 EHE851956:EHE852021 ERA851956:ERA852021 FAW851956:FAW852021 FKS851956:FKS852021 FUO851956:FUO852021 GEK851956:GEK852021 GOG851956:GOG852021 GYC851956:GYC852021 HHY851956:HHY852021 HRU851956:HRU852021 IBQ851956:IBQ852021 ILM851956:ILM852021 IVI851956:IVI852021 JFE851956:JFE852021 JPA851956:JPA852021 JYW851956:JYW852021 KIS851956:KIS852021 KSO851956:KSO852021 LCK851956:LCK852021 LMG851956:LMG852021 LWC851956:LWC852021 MFY851956:MFY852021 MPU851956:MPU852021 MZQ851956:MZQ852021 NJM851956:NJM852021 NTI851956:NTI852021 ODE851956:ODE852021 ONA851956:ONA852021 OWW851956:OWW852021 PGS851956:PGS852021 PQO851956:PQO852021 QAK851956:QAK852021 QKG851956:QKG852021 QUC851956:QUC852021 RDY851956:RDY852021 RNU851956:RNU852021 RXQ851956:RXQ852021 SHM851956:SHM852021 SRI851956:SRI852021 TBE851956:TBE852021 TLA851956:TLA852021 TUW851956:TUW852021 UES851956:UES852021 UOO851956:UOO852021 UYK851956:UYK852021 VIG851956:VIG852021 VSC851956:VSC852021 WBY851956:WBY852021 WLU851956:WLU852021 WVQ851956:WVQ852021 I917492:I917557 JE917492:JE917557 TA917492:TA917557 ACW917492:ACW917557 AMS917492:AMS917557 AWO917492:AWO917557 BGK917492:BGK917557 BQG917492:BQG917557 CAC917492:CAC917557 CJY917492:CJY917557 CTU917492:CTU917557 DDQ917492:DDQ917557 DNM917492:DNM917557 DXI917492:DXI917557 EHE917492:EHE917557 ERA917492:ERA917557 FAW917492:FAW917557 FKS917492:FKS917557 FUO917492:FUO917557 GEK917492:GEK917557 GOG917492:GOG917557 GYC917492:GYC917557 HHY917492:HHY917557 HRU917492:HRU917557 IBQ917492:IBQ917557 ILM917492:ILM917557 IVI917492:IVI917557 JFE917492:JFE917557 JPA917492:JPA917557 JYW917492:JYW917557 KIS917492:KIS917557 KSO917492:KSO917557 LCK917492:LCK917557 LMG917492:LMG917557 LWC917492:LWC917557 MFY917492:MFY917557 MPU917492:MPU917557 MZQ917492:MZQ917557 NJM917492:NJM917557 NTI917492:NTI917557 ODE917492:ODE917557 ONA917492:ONA917557 OWW917492:OWW917557 PGS917492:PGS917557 PQO917492:PQO917557 QAK917492:QAK917557 QKG917492:QKG917557 QUC917492:QUC917557 RDY917492:RDY917557 RNU917492:RNU917557 RXQ917492:RXQ917557 SHM917492:SHM917557 SRI917492:SRI917557 TBE917492:TBE917557 TLA917492:TLA917557 TUW917492:TUW917557 UES917492:UES917557 UOO917492:UOO917557 UYK917492:UYK917557 VIG917492:VIG917557 VSC917492:VSC917557 WBY917492:WBY917557 WLU917492:WLU917557 WVQ917492:WVQ917557 I983028:I983093 JE983028:JE983093 TA983028:TA983093 ACW983028:ACW983093 AMS983028:AMS983093 AWO983028:AWO983093 BGK983028:BGK983093 BQG983028:BQG983093 CAC983028:CAC983093 CJY983028:CJY983093 CTU983028:CTU983093 DDQ983028:DDQ983093 DNM983028:DNM983093 DXI983028:DXI983093 EHE983028:EHE983093 ERA983028:ERA983093 FAW983028:FAW983093 FKS983028:FKS983093 FUO983028:FUO983093 GEK983028:GEK983093 GOG983028:GOG983093 GYC983028:GYC983093 HHY983028:HHY983093 HRU983028:HRU983093 IBQ983028:IBQ983093 ILM983028:ILM983093 IVI983028:IVI983093 JFE983028:JFE983093 JPA983028:JPA983093 JYW983028:JYW983093 KIS983028:KIS983093 KSO983028:KSO983093 LCK983028:LCK983093 LMG983028:LMG983093 LWC983028:LWC983093 MFY983028:MFY983093 MPU983028:MPU983093 MZQ983028:MZQ983093 NJM983028:NJM983093 NTI983028:NTI983093 ODE983028:ODE983093 ONA983028:ONA983093 OWW983028:OWW983093 PGS983028:PGS983093 PQO983028:PQO983093 QAK983028:QAK983093 QKG983028:QKG983093 QUC983028:QUC983093 RDY983028:RDY983093 RNU983028:RNU983093 RXQ983028:RXQ983093 SHM983028:SHM983093 SRI983028:SRI983093 TBE983028:TBE983093 TLA983028:TLA983093 TUW983028:TUW983093 UES983028:UES983093 UOO983028:UOO983093 UYK983028:UYK983093 VIG983028:VIG983093 VSC983028:VSC983093 WBY983028:WBY983093 WLU983028:WLU983093 JE64349:JE64414">
      <formula1>$AN$5:$AN$6</formula1>
    </dataValidation>
    <dataValidation type="list" allowBlank="1" showInputMessage="1" showErrorMessage="1" sqref="J64349:J64414 JF64349:JF64414 TB64349:TB64414 ACX64349:ACX64414 AMT64349:AMT64414 AWP64349:AWP64414 BGL64349:BGL64414 BQH64349:BQH64414 CAD64349:CAD64414 CJZ64349:CJZ64414 CTV64349:CTV64414 DDR64349:DDR64414 DNN64349:DNN64414 DXJ64349:DXJ64414 EHF64349:EHF64414 ERB64349:ERB64414 FAX64349:FAX64414 FKT64349:FKT64414 FUP64349:FUP64414 GEL64349:GEL64414 GOH64349:GOH64414 GYD64349:GYD64414 HHZ64349:HHZ64414 HRV64349:HRV64414 IBR64349:IBR64414 ILN64349:ILN64414 IVJ64349:IVJ64414 JFF64349:JFF64414 JPB64349:JPB64414 JYX64349:JYX64414 KIT64349:KIT64414 KSP64349:KSP64414 LCL64349:LCL64414 LMH64349:LMH64414 LWD64349:LWD64414 MFZ64349:MFZ64414 MPV64349:MPV64414 MZR64349:MZR64414 NJN64349:NJN64414 NTJ64349:NTJ64414 ODF64349:ODF64414 ONB64349:ONB64414 OWX64349:OWX64414 PGT64349:PGT64414 PQP64349:PQP64414 QAL64349:QAL64414 QKH64349:QKH64414 QUD64349:QUD64414 RDZ64349:RDZ64414 RNV64349:RNV64414 RXR64349:RXR64414 SHN64349:SHN64414 SRJ64349:SRJ64414 TBF64349:TBF64414 TLB64349:TLB64414 TUX64349:TUX64414 UET64349:UET64414 UOP64349:UOP64414 UYL64349:UYL64414 VIH64349:VIH64414 VSD64349:VSD64414 WBZ64349:WBZ64414 WLV64349:WLV64414 WVR64349:WVR64414 J129885:J129950 JF129885:JF129950 TB129885:TB129950 ACX129885:ACX129950 AMT129885:AMT129950 AWP129885:AWP129950 BGL129885:BGL129950 BQH129885:BQH129950 CAD129885:CAD129950 CJZ129885:CJZ129950 CTV129885:CTV129950 DDR129885:DDR129950 DNN129885:DNN129950 DXJ129885:DXJ129950 EHF129885:EHF129950 ERB129885:ERB129950 FAX129885:FAX129950 FKT129885:FKT129950 FUP129885:FUP129950 GEL129885:GEL129950 GOH129885:GOH129950 GYD129885:GYD129950 HHZ129885:HHZ129950 HRV129885:HRV129950 IBR129885:IBR129950 ILN129885:ILN129950 IVJ129885:IVJ129950 JFF129885:JFF129950 JPB129885:JPB129950 JYX129885:JYX129950 KIT129885:KIT129950 KSP129885:KSP129950 LCL129885:LCL129950 LMH129885:LMH129950 LWD129885:LWD129950 MFZ129885:MFZ129950 MPV129885:MPV129950 MZR129885:MZR129950 NJN129885:NJN129950 NTJ129885:NTJ129950 ODF129885:ODF129950 ONB129885:ONB129950 OWX129885:OWX129950 PGT129885:PGT129950 PQP129885:PQP129950 QAL129885:QAL129950 QKH129885:QKH129950 QUD129885:QUD129950 RDZ129885:RDZ129950 RNV129885:RNV129950 RXR129885:RXR129950 SHN129885:SHN129950 SRJ129885:SRJ129950 TBF129885:TBF129950 TLB129885:TLB129950 TUX129885:TUX129950 UET129885:UET129950 UOP129885:UOP129950 UYL129885:UYL129950 VIH129885:VIH129950 VSD129885:VSD129950 WBZ129885:WBZ129950 WLV129885:WLV129950 WVR129885:WVR129950 J195421:J195486 JF195421:JF195486 TB195421:TB195486 ACX195421:ACX195486 AMT195421:AMT195486 AWP195421:AWP195486 BGL195421:BGL195486 BQH195421:BQH195486 CAD195421:CAD195486 CJZ195421:CJZ195486 CTV195421:CTV195486 DDR195421:DDR195486 DNN195421:DNN195486 DXJ195421:DXJ195486 EHF195421:EHF195486 ERB195421:ERB195486 FAX195421:FAX195486 FKT195421:FKT195486 FUP195421:FUP195486 GEL195421:GEL195486 GOH195421:GOH195486 GYD195421:GYD195486 HHZ195421:HHZ195486 HRV195421:HRV195486 IBR195421:IBR195486 ILN195421:ILN195486 IVJ195421:IVJ195486 JFF195421:JFF195486 JPB195421:JPB195486 JYX195421:JYX195486 KIT195421:KIT195486 KSP195421:KSP195486 LCL195421:LCL195486 LMH195421:LMH195486 LWD195421:LWD195486 MFZ195421:MFZ195486 MPV195421:MPV195486 MZR195421:MZR195486 NJN195421:NJN195486 NTJ195421:NTJ195486 ODF195421:ODF195486 ONB195421:ONB195486 OWX195421:OWX195486 PGT195421:PGT195486 PQP195421:PQP195486 QAL195421:QAL195486 QKH195421:QKH195486 QUD195421:QUD195486 RDZ195421:RDZ195486 RNV195421:RNV195486 RXR195421:RXR195486 SHN195421:SHN195486 SRJ195421:SRJ195486 TBF195421:TBF195486 TLB195421:TLB195486 TUX195421:TUX195486 UET195421:UET195486 UOP195421:UOP195486 UYL195421:UYL195486 VIH195421:VIH195486 VSD195421:VSD195486 WBZ195421:WBZ195486 WLV195421:WLV195486 WVR195421:WVR195486 J260957:J261022 JF260957:JF261022 TB260957:TB261022 ACX260957:ACX261022 AMT260957:AMT261022 AWP260957:AWP261022 BGL260957:BGL261022 BQH260957:BQH261022 CAD260957:CAD261022 CJZ260957:CJZ261022 CTV260957:CTV261022 DDR260957:DDR261022 DNN260957:DNN261022 DXJ260957:DXJ261022 EHF260957:EHF261022 ERB260957:ERB261022 FAX260957:FAX261022 FKT260957:FKT261022 FUP260957:FUP261022 GEL260957:GEL261022 GOH260957:GOH261022 GYD260957:GYD261022 HHZ260957:HHZ261022 HRV260957:HRV261022 IBR260957:IBR261022 ILN260957:ILN261022 IVJ260957:IVJ261022 JFF260957:JFF261022 JPB260957:JPB261022 JYX260957:JYX261022 KIT260957:KIT261022 KSP260957:KSP261022 LCL260957:LCL261022 LMH260957:LMH261022 LWD260957:LWD261022 MFZ260957:MFZ261022 MPV260957:MPV261022 MZR260957:MZR261022 NJN260957:NJN261022 NTJ260957:NTJ261022 ODF260957:ODF261022 ONB260957:ONB261022 OWX260957:OWX261022 PGT260957:PGT261022 PQP260957:PQP261022 QAL260957:QAL261022 QKH260957:QKH261022 QUD260957:QUD261022 RDZ260957:RDZ261022 RNV260957:RNV261022 RXR260957:RXR261022 SHN260957:SHN261022 SRJ260957:SRJ261022 TBF260957:TBF261022 TLB260957:TLB261022 TUX260957:TUX261022 UET260957:UET261022 UOP260957:UOP261022 UYL260957:UYL261022 VIH260957:VIH261022 VSD260957:VSD261022 WBZ260957:WBZ261022 WLV260957:WLV261022 WVR260957:WVR261022 J326493:J326558 JF326493:JF326558 TB326493:TB326558 ACX326493:ACX326558 AMT326493:AMT326558 AWP326493:AWP326558 BGL326493:BGL326558 BQH326493:BQH326558 CAD326493:CAD326558 CJZ326493:CJZ326558 CTV326493:CTV326558 DDR326493:DDR326558 DNN326493:DNN326558 DXJ326493:DXJ326558 EHF326493:EHF326558 ERB326493:ERB326558 FAX326493:FAX326558 FKT326493:FKT326558 FUP326493:FUP326558 GEL326493:GEL326558 GOH326493:GOH326558 GYD326493:GYD326558 HHZ326493:HHZ326558 HRV326493:HRV326558 IBR326493:IBR326558 ILN326493:ILN326558 IVJ326493:IVJ326558 JFF326493:JFF326558 JPB326493:JPB326558 JYX326493:JYX326558 KIT326493:KIT326558 KSP326493:KSP326558 LCL326493:LCL326558 LMH326493:LMH326558 LWD326493:LWD326558 MFZ326493:MFZ326558 MPV326493:MPV326558 MZR326493:MZR326558 NJN326493:NJN326558 NTJ326493:NTJ326558 ODF326493:ODF326558 ONB326493:ONB326558 OWX326493:OWX326558 PGT326493:PGT326558 PQP326493:PQP326558 QAL326493:QAL326558 QKH326493:QKH326558 QUD326493:QUD326558 RDZ326493:RDZ326558 RNV326493:RNV326558 RXR326493:RXR326558 SHN326493:SHN326558 SRJ326493:SRJ326558 TBF326493:TBF326558 TLB326493:TLB326558 TUX326493:TUX326558 UET326493:UET326558 UOP326493:UOP326558 UYL326493:UYL326558 VIH326493:VIH326558 VSD326493:VSD326558 WBZ326493:WBZ326558 WLV326493:WLV326558 WVR326493:WVR326558 J392029:J392094 JF392029:JF392094 TB392029:TB392094 ACX392029:ACX392094 AMT392029:AMT392094 AWP392029:AWP392094 BGL392029:BGL392094 BQH392029:BQH392094 CAD392029:CAD392094 CJZ392029:CJZ392094 CTV392029:CTV392094 DDR392029:DDR392094 DNN392029:DNN392094 DXJ392029:DXJ392094 EHF392029:EHF392094 ERB392029:ERB392094 FAX392029:FAX392094 FKT392029:FKT392094 FUP392029:FUP392094 GEL392029:GEL392094 GOH392029:GOH392094 GYD392029:GYD392094 HHZ392029:HHZ392094 HRV392029:HRV392094 IBR392029:IBR392094 ILN392029:ILN392094 IVJ392029:IVJ392094 JFF392029:JFF392094 JPB392029:JPB392094 JYX392029:JYX392094 KIT392029:KIT392094 KSP392029:KSP392094 LCL392029:LCL392094 LMH392029:LMH392094 LWD392029:LWD392094 MFZ392029:MFZ392094 MPV392029:MPV392094 MZR392029:MZR392094 NJN392029:NJN392094 NTJ392029:NTJ392094 ODF392029:ODF392094 ONB392029:ONB392094 OWX392029:OWX392094 PGT392029:PGT392094 PQP392029:PQP392094 QAL392029:QAL392094 QKH392029:QKH392094 QUD392029:QUD392094 RDZ392029:RDZ392094 RNV392029:RNV392094 RXR392029:RXR392094 SHN392029:SHN392094 SRJ392029:SRJ392094 TBF392029:TBF392094 TLB392029:TLB392094 TUX392029:TUX392094 UET392029:UET392094 UOP392029:UOP392094 UYL392029:UYL392094 VIH392029:VIH392094 VSD392029:VSD392094 WBZ392029:WBZ392094 WLV392029:WLV392094 WVR392029:WVR392094 J457565:J457630 JF457565:JF457630 TB457565:TB457630 ACX457565:ACX457630 AMT457565:AMT457630 AWP457565:AWP457630 BGL457565:BGL457630 BQH457565:BQH457630 CAD457565:CAD457630 CJZ457565:CJZ457630 CTV457565:CTV457630 DDR457565:DDR457630 DNN457565:DNN457630 DXJ457565:DXJ457630 EHF457565:EHF457630 ERB457565:ERB457630 FAX457565:FAX457630 FKT457565:FKT457630 FUP457565:FUP457630 GEL457565:GEL457630 GOH457565:GOH457630 GYD457565:GYD457630 HHZ457565:HHZ457630 HRV457565:HRV457630 IBR457565:IBR457630 ILN457565:ILN457630 IVJ457565:IVJ457630 JFF457565:JFF457630 JPB457565:JPB457630 JYX457565:JYX457630 KIT457565:KIT457630 KSP457565:KSP457630 LCL457565:LCL457630 LMH457565:LMH457630 LWD457565:LWD457630 MFZ457565:MFZ457630 MPV457565:MPV457630 MZR457565:MZR457630 NJN457565:NJN457630 NTJ457565:NTJ457630 ODF457565:ODF457630 ONB457565:ONB457630 OWX457565:OWX457630 PGT457565:PGT457630 PQP457565:PQP457630 QAL457565:QAL457630 QKH457565:QKH457630 QUD457565:QUD457630 RDZ457565:RDZ457630 RNV457565:RNV457630 RXR457565:RXR457630 SHN457565:SHN457630 SRJ457565:SRJ457630 TBF457565:TBF457630 TLB457565:TLB457630 TUX457565:TUX457630 UET457565:UET457630 UOP457565:UOP457630 UYL457565:UYL457630 VIH457565:VIH457630 VSD457565:VSD457630 WBZ457565:WBZ457630 WLV457565:WLV457630 WVR457565:WVR457630 J523101:J523166 JF523101:JF523166 TB523101:TB523166 ACX523101:ACX523166 AMT523101:AMT523166 AWP523101:AWP523166 BGL523101:BGL523166 BQH523101:BQH523166 CAD523101:CAD523166 CJZ523101:CJZ523166 CTV523101:CTV523166 DDR523101:DDR523166 DNN523101:DNN523166 DXJ523101:DXJ523166 EHF523101:EHF523166 ERB523101:ERB523166 FAX523101:FAX523166 FKT523101:FKT523166 FUP523101:FUP523166 GEL523101:GEL523166 GOH523101:GOH523166 GYD523101:GYD523166 HHZ523101:HHZ523166 HRV523101:HRV523166 IBR523101:IBR523166 ILN523101:ILN523166 IVJ523101:IVJ523166 JFF523101:JFF523166 JPB523101:JPB523166 JYX523101:JYX523166 KIT523101:KIT523166 KSP523101:KSP523166 LCL523101:LCL523166 LMH523101:LMH523166 LWD523101:LWD523166 MFZ523101:MFZ523166 MPV523101:MPV523166 MZR523101:MZR523166 NJN523101:NJN523166 NTJ523101:NTJ523166 ODF523101:ODF523166 ONB523101:ONB523166 OWX523101:OWX523166 PGT523101:PGT523166 PQP523101:PQP523166 QAL523101:QAL523166 QKH523101:QKH523166 QUD523101:QUD523166 RDZ523101:RDZ523166 RNV523101:RNV523166 RXR523101:RXR523166 SHN523101:SHN523166 SRJ523101:SRJ523166 TBF523101:TBF523166 TLB523101:TLB523166 TUX523101:TUX523166 UET523101:UET523166 UOP523101:UOP523166 UYL523101:UYL523166 VIH523101:VIH523166 VSD523101:VSD523166 WBZ523101:WBZ523166 WLV523101:WLV523166 WVR523101:WVR523166 J588637:J588702 JF588637:JF588702 TB588637:TB588702 ACX588637:ACX588702 AMT588637:AMT588702 AWP588637:AWP588702 BGL588637:BGL588702 BQH588637:BQH588702 CAD588637:CAD588702 CJZ588637:CJZ588702 CTV588637:CTV588702 DDR588637:DDR588702 DNN588637:DNN588702 DXJ588637:DXJ588702 EHF588637:EHF588702 ERB588637:ERB588702 FAX588637:FAX588702 FKT588637:FKT588702 FUP588637:FUP588702 GEL588637:GEL588702 GOH588637:GOH588702 GYD588637:GYD588702 HHZ588637:HHZ588702 HRV588637:HRV588702 IBR588637:IBR588702 ILN588637:ILN588702 IVJ588637:IVJ588702 JFF588637:JFF588702 JPB588637:JPB588702 JYX588637:JYX588702 KIT588637:KIT588702 KSP588637:KSP588702 LCL588637:LCL588702 LMH588637:LMH588702 LWD588637:LWD588702 MFZ588637:MFZ588702 MPV588637:MPV588702 MZR588637:MZR588702 NJN588637:NJN588702 NTJ588637:NTJ588702 ODF588637:ODF588702 ONB588637:ONB588702 OWX588637:OWX588702 PGT588637:PGT588702 PQP588637:PQP588702 QAL588637:QAL588702 QKH588637:QKH588702 QUD588637:QUD588702 RDZ588637:RDZ588702 RNV588637:RNV588702 RXR588637:RXR588702 SHN588637:SHN588702 SRJ588637:SRJ588702 TBF588637:TBF588702 TLB588637:TLB588702 TUX588637:TUX588702 UET588637:UET588702 UOP588637:UOP588702 UYL588637:UYL588702 VIH588637:VIH588702 VSD588637:VSD588702 WBZ588637:WBZ588702 WLV588637:WLV588702 WVR588637:WVR588702 J654173:J654238 JF654173:JF654238 TB654173:TB654238 ACX654173:ACX654238 AMT654173:AMT654238 AWP654173:AWP654238 BGL654173:BGL654238 BQH654173:BQH654238 CAD654173:CAD654238 CJZ654173:CJZ654238 CTV654173:CTV654238 DDR654173:DDR654238 DNN654173:DNN654238 DXJ654173:DXJ654238 EHF654173:EHF654238 ERB654173:ERB654238 FAX654173:FAX654238 FKT654173:FKT654238 FUP654173:FUP654238 GEL654173:GEL654238 GOH654173:GOH654238 GYD654173:GYD654238 HHZ654173:HHZ654238 HRV654173:HRV654238 IBR654173:IBR654238 ILN654173:ILN654238 IVJ654173:IVJ654238 JFF654173:JFF654238 JPB654173:JPB654238 JYX654173:JYX654238 KIT654173:KIT654238 KSP654173:KSP654238 LCL654173:LCL654238 LMH654173:LMH654238 LWD654173:LWD654238 MFZ654173:MFZ654238 MPV654173:MPV654238 MZR654173:MZR654238 NJN654173:NJN654238 NTJ654173:NTJ654238 ODF654173:ODF654238 ONB654173:ONB654238 OWX654173:OWX654238 PGT654173:PGT654238 PQP654173:PQP654238 QAL654173:QAL654238 QKH654173:QKH654238 QUD654173:QUD654238 RDZ654173:RDZ654238 RNV654173:RNV654238 RXR654173:RXR654238 SHN654173:SHN654238 SRJ654173:SRJ654238 TBF654173:TBF654238 TLB654173:TLB654238 TUX654173:TUX654238 UET654173:UET654238 UOP654173:UOP654238 UYL654173:UYL654238 VIH654173:VIH654238 VSD654173:VSD654238 WBZ654173:WBZ654238 WLV654173:WLV654238 WVR654173:WVR654238 J719709:J719774 JF719709:JF719774 TB719709:TB719774 ACX719709:ACX719774 AMT719709:AMT719774 AWP719709:AWP719774 BGL719709:BGL719774 BQH719709:BQH719774 CAD719709:CAD719774 CJZ719709:CJZ719774 CTV719709:CTV719774 DDR719709:DDR719774 DNN719709:DNN719774 DXJ719709:DXJ719774 EHF719709:EHF719774 ERB719709:ERB719774 FAX719709:FAX719774 FKT719709:FKT719774 FUP719709:FUP719774 GEL719709:GEL719774 GOH719709:GOH719774 GYD719709:GYD719774 HHZ719709:HHZ719774 HRV719709:HRV719774 IBR719709:IBR719774 ILN719709:ILN719774 IVJ719709:IVJ719774 JFF719709:JFF719774 JPB719709:JPB719774 JYX719709:JYX719774 KIT719709:KIT719774 KSP719709:KSP719774 LCL719709:LCL719774 LMH719709:LMH719774 LWD719709:LWD719774 MFZ719709:MFZ719774 MPV719709:MPV719774 MZR719709:MZR719774 NJN719709:NJN719774 NTJ719709:NTJ719774 ODF719709:ODF719774 ONB719709:ONB719774 OWX719709:OWX719774 PGT719709:PGT719774 PQP719709:PQP719774 QAL719709:QAL719774 QKH719709:QKH719774 QUD719709:QUD719774 RDZ719709:RDZ719774 RNV719709:RNV719774 RXR719709:RXR719774 SHN719709:SHN719774 SRJ719709:SRJ719774 TBF719709:TBF719774 TLB719709:TLB719774 TUX719709:TUX719774 UET719709:UET719774 UOP719709:UOP719774 UYL719709:UYL719774 VIH719709:VIH719774 VSD719709:VSD719774 WBZ719709:WBZ719774 WLV719709:WLV719774 WVR719709:WVR719774 J785245:J785310 JF785245:JF785310 TB785245:TB785310 ACX785245:ACX785310 AMT785245:AMT785310 AWP785245:AWP785310 BGL785245:BGL785310 BQH785245:BQH785310 CAD785245:CAD785310 CJZ785245:CJZ785310 CTV785245:CTV785310 DDR785245:DDR785310 DNN785245:DNN785310 DXJ785245:DXJ785310 EHF785245:EHF785310 ERB785245:ERB785310 FAX785245:FAX785310 FKT785245:FKT785310 FUP785245:FUP785310 GEL785245:GEL785310 GOH785245:GOH785310 GYD785245:GYD785310 HHZ785245:HHZ785310 HRV785245:HRV785310 IBR785245:IBR785310 ILN785245:ILN785310 IVJ785245:IVJ785310 JFF785245:JFF785310 JPB785245:JPB785310 JYX785245:JYX785310 KIT785245:KIT785310 KSP785245:KSP785310 LCL785245:LCL785310 LMH785245:LMH785310 LWD785245:LWD785310 MFZ785245:MFZ785310 MPV785245:MPV785310 MZR785245:MZR785310 NJN785245:NJN785310 NTJ785245:NTJ785310 ODF785245:ODF785310 ONB785245:ONB785310 OWX785245:OWX785310 PGT785245:PGT785310 PQP785245:PQP785310 QAL785245:QAL785310 QKH785245:QKH785310 QUD785245:QUD785310 RDZ785245:RDZ785310 RNV785245:RNV785310 RXR785245:RXR785310 SHN785245:SHN785310 SRJ785245:SRJ785310 TBF785245:TBF785310 TLB785245:TLB785310 TUX785245:TUX785310 UET785245:UET785310 UOP785245:UOP785310 UYL785245:UYL785310 VIH785245:VIH785310 VSD785245:VSD785310 WBZ785245:WBZ785310 WLV785245:WLV785310 WVR785245:WVR785310 J850781:J850846 JF850781:JF850846 TB850781:TB850846 ACX850781:ACX850846 AMT850781:AMT850846 AWP850781:AWP850846 BGL850781:BGL850846 BQH850781:BQH850846 CAD850781:CAD850846 CJZ850781:CJZ850846 CTV850781:CTV850846 DDR850781:DDR850846 DNN850781:DNN850846 DXJ850781:DXJ850846 EHF850781:EHF850846 ERB850781:ERB850846 FAX850781:FAX850846 FKT850781:FKT850846 FUP850781:FUP850846 GEL850781:GEL850846 GOH850781:GOH850846 GYD850781:GYD850846 HHZ850781:HHZ850846 HRV850781:HRV850846 IBR850781:IBR850846 ILN850781:ILN850846 IVJ850781:IVJ850846 JFF850781:JFF850846 JPB850781:JPB850846 JYX850781:JYX850846 KIT850781:KIT850846 KSP850781:KSP850846 LCL850781:LCL850846 LMH850781:LMH850846 LWD850781:LWD850846 MFZ850781:MFZ850846 MPV850781:MPV850846 MZR850781:MZR850846 NJN850781:NJN850846 NTJ850781:NTJ850846 ODF850781:ODF850846 ONB850781:ONB850846 OWX850781:OWX850846 PGT850781:PGT850846 PQP850781:PQP850846 QAL850781:QAL850846 QKH850781:QKH850846 QUD850781:QUD850846 RDZ850781:RDZ850846 RNV850781:RNV850846 RXR850781:RXR850846 SHN850781:SHN850846 SRJ850781:SRJ850846 TBF850781:TBF850846 TLB850781:TLB850846 TUX850781:TUX850846 UET850781:UET850846 UOP850781:UOP850846 UYL850781:UYL850846 VIH850781:VIH850846 VSD850781:VSD850846 WBZ850781:WBZ850846 WLV850781:WLV850846 WVR850781:WVR850846 J916317:J916382 JF916317:JF916382 TB916317:TB916382 ACX916317:ACX916382 AMT916317:AMT916382 AWP916317:AWP916382 BGL916317:BGL916382 BQH916317:BQH916382 CAD916317:CAD916382 CJZ916317:CJZ916382 CTV916317:CTV916382 DDR916317:DDR916382 DNN916317:DNN916382 DXJ916317:DXJ916382 EHF916317:EHF916382 ERB916317:ERB916382 FAX916317:FAX916382 FKT916317:FKT916382 FUP916317:FUP916382 GEL916317:GEL916382 GOH916317:GOH916382 GYD916317:GYD916382 HHZ916317:HHZ916382 HRV916317:HRV916382 IBR916317:IBR916382 ILN916317:ILN916382 IVJ916317:IVJ916382 JFF916317:JFF916382 JPB916317:JPB916382 JYX916317:JYX916382 KIT916317:KIT916382 KSP916317:KSP916382 LCL916317:LCL916382 LMH916317:LMH916382 LWD916317:LWD916382 MFZ916317:MFZ916382 MPV916317:MPV916382 MZR916317:MZR916382 NJN916317:NJN916382 NTJ916317:NTJ916382 ODF916317:ODF916382 ONB916317:ONB916382 OWX916317:OWX916382 PGT916317:PGT916382 PQP916317:PQP916382 QAL916317:QAL916382 QKH916317:QKH916382 QUD916317:QUD916382 RDZ916317:RDZ916382 RNV916317:RNV916382 RXR916317:RXR916382 SHN916317:SHN916382 SRJ916317:SRJ916382 TBF916317:TBF916382 TLB916317:TLB916382 TUX916317:TUX916382 UET916317:UET916382 UOP916317:UOP916382 UYL916317:UYL916382 VIH916317:VIH916382 VSD916317:VSD916382 WBZ916317:WBZ916382 WLV916317:WLV916382 WVR916317:WVR916382 J981853:J981918 JF981853:JF981918 TB981853:TB981918 ACX981853:ACX981918 AMT981853:AMT981918 AWP981853:AWP981918 BGL981853:BGL981918 BQH981853:BQH981918 CAD981853:CAD981918 CJZ981853:CJZ981918 CTV981853:CTV981918 DDR981853:DDR981918 DNN981853:DNN981918 DXJ981853:DXJ981918 EHF981853:EHF981918 ERB981853:ERB981918 FAX981853:FAX981918 FKT981853:FKT981918 FUP981853:FUP981918 GEL981853:GEL981918 GOH981853:GOH981918 GYD981853:GYD981918 HHZ981853:HHZ981918 HRV981853:HRV981918 IBR981853:IBR981918 ILN981853:ILN981918 IVJ981853:IVJ981918 JFF981853:JFF981918 JPB981853:JPB981918 JYX981853:JYX981918 KIT981853:KIT981918 KSP981853:KSP981918 LCL981853:LCL981918 LMH981853:LMH981918 LWD981853:LWD981918 MFZ981853:MFZ981918 MPV981853:MPV981918 MZR981853:MZR981918 NJN981853:NJN981918 NTJ981853:NTJ981918 ODF981853:ODF981918 ONB981853:ONB981918 OWX981853:OWX981918 PGT981853:PGT981918 PQP981853:PQP981918 QAL981853:QAL981918 QKH981853:QKH981918 QUD981853:QUD981918 RDZ981853:RDZ981918 RNV981853:RNV981918 RXR981853:RXR981918 SHN981853:SHN981918 SRJ981853:SRJ981918 TBF981853:TBF981918 TLB981853:TLB981918 TUX981853:TUX981918 UET981853:UET981918 UOP981853:UOP981918 UYL981853:UYL981918 VIH981853:VIH981918 VSD981853:VSD981918 WBZ981853:WBZ981918 WLV981853:WLV981918 WVR981853:WVR981918 J1047389:J1047454 JF1047389:JF1047454 TB1047389:TB1047454 ACX1047389:ACX1047454 AMT1047389:AMT1047454 AWP1047389:AWP1047454 BGL1047389:BGL1047454 BQH1047389:BQH1047454 CAD1047389:CAD1047454 CJZ1047389:CJZ1047454 CTV1047389:CTV1047454 DDR1047389:DDR1047454 DNN1047389:DNN1047454 DXJ1047389:DXJ1047454 EHF1047389:EHF1047454 ERB1047389:ERB1047454 FAX1047389:FAX1047454 FKT1047389:FKT1047454 FUP1047389:FUP1047454 GEL1047389:GEL1047454 GOH1047389:GOH1047454 GYD1047389:GYD1047454 HHZ1047389:HHZ1047454 HRV1047389:HRV1047454 IBR1047389:IBR1047454 ILN1047389:ILN1047454 IVJ1047389:IVJ1047454 JFF1047389:JFF1047454 JPB1047389:JPB1047454 JYX1047389:JYX1047454 KIT1047389:KIT1047454 KSP1047389:KSP1047454 LCL1047389:LCL1047454 LMH1047389:LMH1047454 LWD1047389:LWD1047454 MFZ1047389:MFZ1047454 MPV1047389:MPV1047454 MZR1047389:MZR1047454 NJN1047389:NJN1047454 NTJ1047389:NTJ1047454 ODF1047389:ODF1047454 ONB1047389:ONB1047454 OWX1047389:OWX1047454 PGT1047389:PGT1047454 PQP1047389:PQP1047454 QAL1047389:QAL1047454 QKH1047389:QKH1047454 QUD1047389:QUD1047454 RDZ1047389:RDZ1047454 RNV1047389:RNV1047454 RXR1047389:RXR1047454 SHN1047389:SHN1047454 SRJ1047389:SRJ1047454 TBF1047389:TBF1047454 TLB1047389:TLB1047454 TUX1047389:TUX1047454 UET1047389:UET1047454 UOP1047389:UOP1047454 UYL1047389:UYL1047454 VIH1047389:VIH1047454 VSD1047389:VSD1047454 WBZ1047389:WBZ1047454 WLV1047389:WLV1047454 WVR1047389:WVR1047454">
      <formula1>$AP$2:$AP$15</formula1>
    </dataValidation>
    <dataValidation type="list" allowBlank="1" showInputMessage="1" showErrorMessage="1" sqref="K64349:K64414 JG64349:JG64414 TC64349:TC64414 ACY64349:ACY64414 AMU64349:AMU64414 AWQ64349:AWQ64414 BGM64349:BGM64414 BQI64349:BQI64414 CAE64349:CAE64414 CKA64349:CKA64414 CTW64349:CTW64414 DDS64349:DDS64414 DNO64349:DNO64414 DXK64349:DXK64414 EHG64349:EHG64414 ERC64349:ERC64414 FAY64349:FAY64414 FKU64349:FKU64414 FUQ64349:FUQ64414 GEM64349:GEM64414 GOI64349:GOI64414 GYE64349:GYE64414 HIA64349:HIA64414 HRW64349:HRW64414 IBS64349:IBS64414 ILO64349:ILO64414 IVK64349:IVK64414 JFG64349:JFG64414 JPC64349:JPC64414 JYY64349:JYY64414 KIU64349:KIU64414 KSQ64349:KSQ64414 LCM64349:LCM64414 LMI64349:LMI64414 LWE64349:LWE64414 MGA64349:MGA64414 MPW64349:MPW64414 MZS64349:MZS64414 NJO64349:NJO64414 NTK64349:NTK64414 ODG64349:ODG64414 ONC64349:ONC64414 OWY64349:OWY64414 PGU64349:PGU64414 PQQ64349:PQQ64414 QAM64349:QAM64414 QKI64349:QKI64414 QUE64349:QUE64414 REA64349:REA64414 RNW64349:RNW64414 RXS64349:RXS64414 SHO64349:SHO64414 SRK64349:SRK64414 TBG64349:TBG64414 TLC64349:TLC64414 TUY64349:TUY64414 UEU64349:UEU64414 UOQ64349:UOQ64414 UYM64349:UYM64414 VII64349:VII64414 VSE64349:VSE64414 WCA64349:WCA64414 WLW64349:WLW64414 WVS64349:WVS64414 K129885:K129950 JG129885:JG129950 TC129885:TC129950 ACY129885:ACY129950 AMU129885:AMU129950 AWQ129885:AWQ129950 BGM129885:BGM129950 BQI129885:BQI129950 CAE129885:CAE129950 CKA129885:CKA129950 CTW129885:CTW129950 DDS129885:DDS129950 DNO129885:DNO129950 DXK129885:DXK129950 EHG129885:EHG129950 ERC129885:ERC129950 FAY129885:FAY129950 FKU129885:FKU129950 FUQ129885:FUQ129950 GEM129885:GEM129950 GOI129885:GOI129950 GYE129885:GYE129950 HIA129885:HIA129950 HRW129885:HRW129950 IBS129885:IBS129950 ILO129885:ILO129950 IVK129885:IVK129950 JFG129885:JFG129950 JPC129885:JPC129950 JYY129885:JYY129950 KIU129885:KIU129950 KSQ129885:KSQ129950 LCM129885:LCM129950 LMI129885:LMI129950 LWE129885:LWE129950 MGA129885:MGA129950 MPW129885:MPW129950 MZS129885:MZS129950 NJO129885:NJO129950 NTK129885:NTK129950 ODG129885:ODG129950 ONC129885:ONC129950 OWY129885:OWY129950 PGU129885:PGU129950 PQQ129885:PQQ129950 QAM129885:QAM129950 QKI129885:QKI129950 QUE129885:QUE129950 REA129885:REA129950 RNW129885:RNW129950 RXS129885:RXS129950 SHO129885:SHO129950 SRK129885:SRK129950 TBG129885:TBG129950 TLC129885:TLC129950 TUY129885:TUY129950 UEU129885:UEU129950 UOQ129885:UOQ129950 UYM129885:UYM129950 VII129885:VII129950 VSE129885:VSE129950 WCA129885:WCA129950 WLW129885:WLW129950 WVS129885:WVS129950 K195421:K195486 JG195421:JG195486 TC195421:TC195486 ACY195421:ACY195486 AMU195421:AMU195486 AWQ195421:AWQ195486 BGM195421:BGM195486 BQI195421:BQI195486 CAE195421:CAE195486 CKA195421:CKA195486 CTW195421:CTW195486 DDS195421:DDS195486 DNO195421:DNO195486 DXK195421:DXK195486 EHG195421:EHG195486 ERC195421:ERC195486 FAY195421:FAY195486 FKU195421:FKU195486 FUQ195421:FUQ195486 GEM195421:GEM195486 GOI195421:GOI195486 GYE195421:GYE195486 HIA195421:HIA195486 HRW195421:HRW195486 IBS195421:IBS195486 ILO195421:ILO195486 IVK195421:IVK195486 JFG195421:JFG195486 JPC195421:JPC195486 JYY195421:JYY195486 KIU195421:KIU195486 KSQ195421:KSQ195486 LCM195421:LCM195486 LMI195421:LMI195486 LWE195421:LWE195486 MGA195421:MGA195486 MPW195421:MPW195486 MZS195421:MZS195486 NJO195421:NJO195486 NTK195421:NTK195486 ODG195421:ODG195486 ONC195421:ONC195486 OWY195421:OWY195486 PGU195421:PGU195486 PQQ195421:PQQ195486 QAM195421:QAM195486 QKI195421:QKI195486 QUE195421:QUE195486 REA195421:REA195486 RNW195421:RNW195486 RXS195421:RXS195486 SHO195421:SHO195486 SRK195421:SRK195486 TBG195421:TBG195486 TLC195421:TLC195486 TUY195421:TUY195486 UEU195421:UEU195486 UOQ195421:UOQ195486 UYM195421:UYM195486 VII195421:VII195486 VSE195421:VSE195486 WCA195421:WCA195486 WLW195421:WLW195486 WVS195421:WVS195486 K260957:K261022 JG260957:JG261022 TC260957:TC261022 ACY260957:ACY261022 AMU260957:AMU261022 AWQ260957:AWQ261022 BGM260957:BGM261022 BQI260957:BQI261022 CAE260957:CAE261022 CKA260957:CKA261022 CTW260957:CTW261022 DDS260957:DDS261022 DNO260957:DNO261022 DXK260957:DXK261022 EHG260957:EHG261022 ERC260957:ERC261022 FAY260957:FAY261022 FKU260957:FKU261022 FUQ260957:FUQ261022 GEM260957:GEM261022 GOI260957:GOI261022 GYE260957:GYE261022 HIA260957:HIA261022 HRW260957:HRW261022 IBS260957:IBS261022 ILO260957:ILO261022 IVK260957:IVK261022 JFG260957:JFG261022 JPC260957:JPC261022 JYY260957:JYY261022 KIU260957:KIU261022 KSQ260957:KSQ261022 LCM260957:LCM261022 LMI260957:LMI261022 LWE260957:LWE261022 MGA260957:MGA261022 MPW260957:MPW261022 MZS260957:MZS261022 NJO260957:NJO261022 NTK260957:NTK261022 ODG260957:ODG261022 ONC260957:ONC261022 OWY260957:OWY261022 PGU260957:PGU261022 PQQ260957:PQQ261022 QAM260957:QAM261022 QKI260957:QKI261022 QUE260957:QUE261022 REA260957:REA261022 RNW260957:RNW261022 RXS260957:RXS261022 SHO260957:SHO261022 SRK260957:SRK261022 TBG260957:TBG261022 TLC260957:TLC261022 TUY260957:TUY261022 UEU260957:UEU261022 UOQ260957:UOQ261022 UYM260957:UYM261022 VII260957:VII261022 VSE260957:VSE261022 WCA260957:WCA261022 WLW260957:WLW261022 WVS260957:WVS261022 K326493:K326558 JG326493:JG326558 TC326493:TC326558 ACY326493:ACY326558 AMU326493:AMU326558 AWQ326493:AWQ326558 BGM326493:BGM326558 BQI326493:BQI326558 CAE326493:CAE326558 CKA326493:CKA326558 CTW326493:CTW326558 DDS326493:DDS326558 DNO326493:DNO326558 DXK326493:DXK326558 EHG326493:EHG326558 ERC326493:ERC326558 FAY326493:FAY326558 FKU326493:FKU326558 FUQ326493:FUQ326558 GEM326493:GEM326558 GOI326493:GOI326558 GYE326493:GYE326558 HIA326493:HIA326558 HRW326493:HRW326558 IBS326493:IBS326558 ILO326493:ILO326558 IVK326493:IVK326558 JFG326493:JFG326558 JPC326493:JPC326558 JYY326493:JYY326558 KIU326493:KIU326558 KSQ326493:KSQ326558 LCM326493:LCM326558 LMI326493:LMI326558 LWE326493:LWE326558 MGA326493:MGA326558 MPW326493:MPW326558 MZS326493:MZS326558 NJO326493:NJO326558 NTK326493:NTK326558 ODG326493:ODG326558 ONC326493:ONC326558 OWY326493:OWY326558 PGU326493:PGU326558 PQQ326493:PQQ326558 QAM326493:QAM326558 QKI326493:QKI326558 QUE326493:QUE326558 REA326493:REA326558 RNW326493:RNW326558 RXS326493:RXS326558 SHO326493:SHO326558 SRK326493:SRK326558 TBG326493:TBG326558 TLC326493:TLC326558 TUY326493:TUY326558 UEU326493:UEU326558 UOQ326493:UOQ326558 UYM326493:UYM326558 VII326493:VII326558 VSE326493:VSE326558 WCA326493:WCA326558 WLW326493:WLW326558 WVS326493:WVS326558 K392029:K392094 JG392029:JG392094 TC392029:TC392094 ACY392029:ACY392094 AMU392029:AMU392094 AWQ392029:AWQ392094 BGM392029:BGM392094 BQI392029:BQI392094 CAE392029:CAE392094 CKA392029:CKA392094 CTW392029:CTW392094 DDS392029:DDS392094 DNO392029:DNO392094 DXK392029:DXK392094 EHG392029:EHG392094 ERC392029:ERC392094 FAY392029:FAY392094 FKU392029:FKU392094 FUQ392029:FUQ392094 GEM392029:GEM392094 GOI392029:GOI392094 GYE392029:GYE392094 HIA392029:HIA392094 HRW392029:HRW392094 IBS392029:IBS392094 ILO392029:ILO392094 IVK392029:IVK392094 JFG392029:JFG392094 JPC392029:JPC392094 JYY392029:JYY392094 KIU392029:KIU392094 KSQ392029:KSQ392094 LCM392029:LCM392094 LMI392029:LMI392094 LWE392029:LWE392094 MGA392029:MGA392094 MPW392029:MPW392094 MZS392029:MZS392094 NJO392029:NJO392094 NTK392029:NTK392094 ODG392029:ODG392094 ONC392029:ONC392094 OWY392029:OWY392094 PGU392029:PGU392094 PQQ392029:PQQ392094 QAM392029:QAM392094 QKI392029:QKI392094 QUE392029:QUE392094 REA392029:REA392094 RNW392029:RNW392094 RXS392029:RXS392094 SHO392029:SHO392094 SRK392029:SRK392094 TBG392029:TBG392094 TLC392029:TLC392094 TUY392029:TUY392094 UEU392029:UEU392094 UOQ392029:UOQ392094 UYM392029:UYM392094 VII392029:VII392094 VSE392029:VSE392094 WCA392029:WCA392094 WLW392029:WLW392094 WVS392029:WVS392094 K457565:K457630 JG457565:JG457630 TC457565:TC457630 ACY457565:ACY457630 AMU457565:AMU457630 AWQ457565:AWQ457630 BGM457565:BGM457630 BQI457565:BQI457630 CAE457565:CAE457630 CKA457565:CKA457630 CTW457565:CTW457630 DDS457565:DDS457630 DNO457565:DNO457630 DXK457565:DXK457630 EHG457565:EHG457630 ERC457565:ERC457630 FAY457565:FAY457630 FKU457565:FKU457630 FUQ457565:FUQ457630 GEM457565:GEM457630 GOI457565:GOI457630 GYE457565:GYE457630 HIA457565:HIA457630 HRW457565:HRW457630 IBS457565:IBS457630 ILO457565:ILO457630 IVK457565:IVK457630 JFG457565:JFG457630 JPC457565:JPC457630 JYY457565:JYY457630 KIU457565:KIU457630 KSQ457565:KSQ457630 LCM457565:LCM457630 LMI457565:LMI457630 LWE457565:LWE457630 MGA457565:MGA457630 MPW457565:MPW457630 MZS457565:MZS457630 NJO457565:NJO457630 NTK457565:NTK457630 ODG457565:ODG457630 ONC457565:ONC457630 OWY457565:OWY457630 PGU457565:PGU457630 PQQ457565:PQQ457630 QAM457565:QAM457630 QKI457565:QKI457630 QUE457565:QUE457630 REA457565:REA457630 RNW457565:RNW457630 RXS457565:RXS457630 SHO457565:SHO457630 SRK457565:SRK457630 TBG457565:TBG457630 TLC457565:TLC457630 TUY457565:TUY457630 UEU457565:UEU457630 UOQ457565:UOQ457630 UYM457565:UYM457630 VII457565:VII457630 VSE457565:VSE457630 WCA457565:WCA457630 WLW457565:WLW457630 WVS457565:WVS457630 K523101:K523166 JG523101:JG523166 TC523101:TC523166 ACY523101:ACY523166 AMU523101:AMU523166 AWQ523101:AWQ523166 BGM523101:BGM523166 BQI523101:BQI523166 CAE523101:CAE523166 CKA523101:CKA523166 CTW523101:CTW523166 DDS523101:DDS523166 DNO523101:DNO523166 DXK523101:DXK523166 EHG523101:EHG523166 ERC523101:ERC523166 FAY523101:FAY523166 FKU523101:FKU523166 FUQ523101:FUQ523166 GEM523101:GEM523166 GOI523101:GOI523166 GYE523101:GYE523166 HIA523101:HIA523166 HRW523101:HRW523166 IBS523101:IBS523166 ILO523101:ILO523166 IVK523101:IVK523166 JFG523101:JFG523166 JPC523101:JPC523166 JYY523101:JYY523166 KIU523101:KIU523166 KSQ523101:KSQ523166 LCM523101:LCM523166 LMI523101:LMI523166 LWE523101:LWE523166 MGA523101:MGA523166 MPW523101:MPW523166 MZS523101:MZS523166 NJO523101:NJO523166 NTK523101:NTK523166 ODG523101:ODG523166 ONC523101:ONC523166 OWY523101:OWY523166 PGU523101:PGU523166 PQQ523101:PQQ523166 QAM523101:QAM523166 QKI523101:QKI523166 QUE523101:QUE523166 REA523101:REA523166 RNW523101:RNW523166 RXS523101:RXS523166 SHO523101:SHO523166 SRK523101:SRK523166 TBG523101:TBG523166 TLC523101:TLC523166 TUY523101:TUY523166 UEU523101:UEU523166 UOQ523101:UOQ523166 UYM523101:UYM523166 VII523101:VII523166 VSE523101:VSE523166 WCA523101:WCA523166 WLW523101:WLW523166 WVS523101:WVS523166 K588637:K588702 JG588637:JG588702 TC588637:TC588702 ACY588637:ACY588702 AMU588637:AMU588702 AWQ588637:AWQ588702 BGM588637:BGM588702 BQI588637:BQI588702 CAE588637:CAE588702 CKA588637:CKA588702 CTW588637:CTW588702 DDS588637:DDS588702 DNO588637:DNO588702 DXK588637:DXK588702 EHG588637:EHG588702 ERC588637:ERC588702 FAY588637:FAY588702 FKU588637:FKU588702 FUQ588637:FUQ588702 GEM588637:GEM588702 GOI588637:GOI588702 GYE588637:GYE588702 HIA588637:HIA588702 HRW588637:HRW588702 IBS588637:IBS588702 ILO588637:ILO588702 IVK588637:IVK588702 JFG588637:JFG588702 JPC588637:JPC588702 JYY588637:JYY588702 KIU588637:KIU588702 KSQ588637:KSQ588702 LCM588637:LCM588702 LMI588637:LMI588702 LWE588637:LWE588702 MGA588637:MGA588702 MPW588637:MPW588702 MZS588637:MZS588702 NJO588637:NJO588702 NTK588637:NTK588702 ODG588637:ODG588702 ONC588637:ONC588702 OWY588637:OWY588702 PGU588637:PGU588702 PQQ588637:PQQ588702 QAM588637:QAM588702 QKI588637:QKI588702 QUE588637:QUE588702 REA588637:REA588702 RNW588637:RNW588702 RXS588637:RXS588702 SHO588637:SHO588702 SRK588637:SRK588702 TBG588637:TBG588702 TLC588637:TLC588702 TUY588637:TUY588702 UEU588637:UEU588702 UOQ588637:UOQ588702 UYM588637:UYM588702 VII588637:VII588702 VSE588637:VSE588702 WCA588637:WCA588702 WLW588637:WLW588702 WVS588637:WVS588702 K654173:K654238 JG654173:JG654238 TC654173:TC654238 ACY654173:ACY654238 AMU654173:AMU654238 AWQ654173:AWQ654238 BGM654173:BGM654238 BQI654173:BQI654238 CAE654173:CAE654238 CKA654173:CKA654238 CTW654173:CTW654238 DDS654173:DDS654238 DNO654173:DNO654238 DXK654173:DXK654238 EHG654173:EHG654238 ERC654173:ERC654238 FAY654173:FAY654238 FKU654173:FKU654238 FUQ654173:FUQ654238 GEM654173:GEM654238 GOI654173:GOI654238 GYE654173:GYE654238 HIA654173:HIA654238 HRW654173:HRW654238 IBS654173:IBS654238 ILO654173:ILO654238 IVK654173:IVK654238 JFG654173:JFG654238 JPC654173:JPC654238 JYY654173:JYY654238 KIU654173:KIU654238 KSQ654173:KSQ654238 LCM654173:LCM654238 LMI654173:LMI654238 LWE654173:LWE654238 MGA654173:MGA654238 MPW654173:MPW654238 MZS654173:MZS654238 NJO654173:NJO654238 NTK654173:NTK654238 ODG654173:ODG654238 ONC654173:ONC654238 OWY654173:OWY654238 PGU654173:PGU654238 PQQ654173:PQQ654238 QAM654173:QAM654238 QKI654173:QKI654238 QUE654173:QUE654238 REA654173:REA654238 RNW654173:RNW654238 RXS654173:RXS654238 SHO654173:SHO654238 SRK654173:SRK654238 TBG654173:TBG654238 TLC654173:TLC654238 TUY654173:TUY654238 UEU654173:UEU654238 UOQ654173:UOQ654238 UYM654173:UYM654238 VII654173:VII654238 VSE654173:VSE654238 WCA654173:WCA654238 WLW654173:WLW654238 WVS654173:WVS654238 K719709:K719774 JG719709:JG719774 TC719709:TC719774 ACY719709:ACY719774 AMU719709:AMU719774 AWQ719709:AWQ719774 BGM719709:BGM719774 BQI719709:BQI719774 CAE719709:CAE719774 CKA719709:CKA719774 CTW719709:CTW719774 DDS719709:DDS719774 DNO719709:DNO719774 DXK719709:DXK719774 EHG719709:EHG719774 ERC719709:ERC719774 FAY719709:FAY719774 FKU719709:FKU719774 FUQ719709:FUQ719774 GEM719709:GEM719774 GOI719709:GOI719774 GYE719709:GYE719774 HIA719709:HIA719774 HRW719709:HRW719774 IBS719709:IBS719774 ILO719709:ILO719774 IVK719709:IVK719774 JFG719709:JFG719774 JPC719709:JPC719774 JYY719709:JYY719774 KIU719709:KIU719774 KSQ719709:KSQ719774 LCM719709:LCM719774 LMI719709:LMI719774 LWE719709:LWE719774 MGA719709:MGA719774 MPW719709:MPW719774 MZS719709:MZS719774 NJO719709:NJO719774 NTK719709:NTK719774 ODG719709:ODG719774 ONC719709:ONC719774 OWY719709:OWY719774 PGU719709:PGU719774 PQQ719709:PQQ719774 QAM719709:QAM719774 QKI719709:QKI719774 QUE719709:QUE719774 REA719709:REA719774 RNW719709:RNW719774 RXS719709:RXS719774 SHO719709:SHO719774 SRK719709:SRK719774 TBG719709:TBG719774 TLC719709:TLC719774 TUY719709:TUY719774 UEU719709:UEU719774 UOQ719709:UOQ719774 UYM719709:UYM719774 VII719709:VII719774 VSE719709:VSE719774 WCA719709:WCA719774 WLW719709:WLW719774 WVS719709:WVS719774 K785245:K785310 JG785245:JG785310 TC785245:TC785310 ACY785245:ACY785310 AMU785245:AMU785310 AWQ785245:AWQ785310 BGM785245:BGM785310 BQI785245:BQI785310 CAE785245:CAE785310 CKA785245:CKA785310 CTW785245:CTW785310 DDS785245:DDS785310 DNO785245:DNO785310 DXK785245:DXK785310 EHG785245:EHG785310 ERC785245:ERC785310 FAY785245:FAY785310 FKU785245:FKU785310 FUQ785245:FUQ785310 GEM785245:GEM785310 GOI785245:GOI785310 GYE785245:GYE785310 HIA785245:HIA785310 HRW785245:HRW785310 IBS785245:IBS785310 ILO785245:ILO785310 IVK785245:IVK785310 JFG785245:JFG785310 JPC785245:JPC785310 JYY785245:JYY785310 KIU785245:KIU785310 KSQ785245:KSQ785310 LCM785245:LCM785310 LMI785245:LMI785310 LWE785245:LWE785310 MGA785245:MGA785310 MPW785245:MPW785310 MZS785245:MZS785310 NJO785245:NJO785310 NTK785245:NTK785310 ODG785245:ODG785310 ONC785245:ONC785310 OWY785245:OWY785310 PGU785245:PGU785310 PQQ785245:PQQ785310 QAM785245:QAM785310 QKI785245:QKI785310 QUE785245:QUE785310 REA785245:REA785310 RNW785245:RNW785310 RXS785245:RXS785310 SHO785245:SHO785310 SRK785245:SRK785310 TBG785245:TBG785310 TLC785245:TLC785310 TUY785245:TUY785310 UEU785245:UEU785310 UOQ785245:UOQ785310 UYM785245:UYM785310 VII785245:VII785310 VSE785245:VSE785310 WCA785245:WCA785310 WLW785245:WLW785310 WVS785245:WVS785310 K850781:K850846 JG850781:JG850846 TC850781:TC850846 ACY850781:ACY850846 AMU850781:AMU850846 AWQ850781:AWQ850846 BGM850781:BGM850846 BQI850781:BQI850846 CAE850781:CAE850846 CKA850781:CKA850846 CTW850781:CTW850846 DDS850781:DDS850846 DNO850781:DNO850846 DXK850781:DXK850846 EHG850781:EHG850846 ERC850781:ERC850846 FAY850781:FAY850846 FKU850781:FKU850846 FUQ850781:FUQ850846 GEM850781:GEM850846 GOI850781:GOI850846 GYE850781:GYE850846 HIA850781:HIA850846 HRW850781:HRW850846 IBS850781:IBS850846 ILO850781:ILO850846 IVK850781:IVK850846 JFG850781:JFG850846 JPC850781:JPC850846 JYY850781:JYY850846 KIU850781:KIU850846 KSQ850781:KSQ850846 LCM850781:LCM850846 LMI850781:LMI850846 LWE850781:LWE850846 MGA850781:MGA850846 MPW850781:MPW850846 MZS850781:MZS850846 NJO850781:NJO850846 NTK850781:NTK850846 ODG850781:ODG850846 ONC850781:ONC850846 OWY850781:OWY850846 PGU850781:PGU850846 PQQ850781:PQQ850846 QAM850781:QAM850846 QKI850781:QKI850846 QUE850781:QUE850846 REA850781:REA850846 RNW850781:RNW850846 RXS850781:RXS850846 SHO850781:SHO850846 SRK850781:SRK850846 TBG850781:TBG850846 TLC850781:TLC850846 TUY850781:TUY850846 UEU850781:UEU850846 UOQ850781:UOQ850846 UYM850781:UYM850846 VII850781:VII850846 VSE850781:VSE850846 WCA850781:WCA850846 WLW850781:WLW850846 WVS850781:WVS850846 K916317:K916382 JG916317:JG916382 TC916317:TC916382 ACY916317:ACY916382 AMU916317:AMU916382 AWQ916317:AWQ916382 BGM916317:BGM916382 BQI916317:BQI916382 CAE916317:CAE916382 CKA916317:CKA916382 CTW916317:CTW916382 DDS916317:DDS916382 DNO916317:DNO916382 DXK916317:DXK916382 EHG916317:EHG916382 ERC916317:ERC916382 FAY916317:FAY916382 FKU916317:FKU916382 FUQ916317:FUQ916382 GEM916317:GEM916382 GOI916317:GOI916382 GYE916317:GYE916382 HIA916317:HIA916382 HRW916317:HRW916382 IBS916317:IBS916382 ILO916317:ILO916382 IVK916317:IVK916382 JFG916317:JFG916382 JPC916317:JPC916382 JYY916317:JYY916382 KIU916317:KIU916382 KSQ916317:KSQ916382 LCM916317:LCM916382 LMI916317:LMI916382 LWE916317:LWE916382 MGA916317:MGA916382 MPW916317:MPW916382 MZS916317:MZS916382 NJO916317:NJO916382 NTK916317:NTK916382 ODG916317:ODG916382 ONC916317:ONC916382 OWY916317:OWY916382 PGU916317:PGU916382 PQQ916317:PQQ916382 QAM916317:QAM916382 QKI916317:QKI916382 QUE916317:QUE916382 REA916317:REA916382 RNW916317:RNW916382 RXS916317:RXS916382 SHO916317:SHO916382 SRK916317:SRK916382 TBG916317:TBG916382 TLC916317:TLC916382 TUY916317:TUY916382 UEU916317:UEU916382 UOQ916317:UOQ916382 UYM916317:UYM916382 VII916317:VII916382 VSE916317:VSE916382 WCA916317:WCA916382 WLW916317:WLW916382 WVS916317:WVS916382 K981853:K981918 JG981853:JG981918 TC981853:TC981918 ACY981853:ACY981918 AMU981853:AMU981918 AWQ981853:AWQ981918 BGM981853:BGM981918 BQI981853:BQI981918 CAE981853:CAE981918 CKA981853:CKA981918 CTW981853:CTW981918 DDS981853:DDS981918 DNO981853:DNO981918 DXK981853:DXK981918 EHG981853:EHG981918 ERC981853:ERC981918 FAY981853:FAY981918 FKU981853:FKU981918 FUQ981853:FUQ981918 GEM981853:GEM981918 GOI981853:GOI981918 GYE981853:GYE981918 HIA981853:HIA981918 HRW981853:HRW981918 IBS981853:IBS981918 ILO981853:ILO981918 IVK981853:IVK981918 JFG981853:JFG981918 JPC981853:JPC981918 JYY981853:JYY981918 KIU981853:KIU981918 KSQ981853:KSQ981918 LCM981853:LCM981918 LMI981853:LMI981918 LWE981853:LWE981918 MGA981853:MGA981918 MPW981853:MPW981918 MZS981853:MZS981918 NJO981853:NJO981918 NTK981853:NTK981918 ODG981853:ODG981918 ONC981853:ONC981918 OWY981853:OWY981918 PGU981853:PGU981918 PQQ981853:PQQ981918 QAM981853:QAM981918 QKI981853:QKI981918 QUE981853:QUE981918 REA981853:REA981918 RNW981853:RNW981918 RXS981853:RXS981918 SHO981853:SHO981918 SRK981853:SRK981918 TBG981853:TBG981918 TLC981853:TLC981918 TUY981853:TUY981918 UEU981853:UEU981918 UOQ981853:UOQ981918 UYM981853:UYM981918 VII981853:VII981918 VSE981853:VSE981918 WCA981853:WCA981918 WLW981853:WLW981918 WVS981853:WVS981918 K1047389:K1047454 JG1047389:JG1047454 TC1047389:TC1047454 ACY1047389:ACY1047454 AMU1047389:AMU1047454 AWQ1047389:AWQ1047454 BGM1047389:BGM1047454 BQI1047389:BQI1047454 CAE1047389:CAE1047454 CKA1047389:CKA1047454 CTW1047389:CTW1047454 DDS1047389:DDS1047454 DNO1047389:DNO1047454 DXK1047389:DXK1047454 EHG1047389:EHG1047454 ERC1047389:ERC1047454 FAY1047389:FAY1047454 FKU1047389:FKU1047454 FUQ1047389:FUQ1047454 GEM1047389:GEM1047454 GOI1047389:GOI1047454 GYE1047389:GYE1047454 HIA1047389:HIA1047454 HRW1047389:HRW1047454 IBS1047389:IBS1047454 ILO1047389:ILO1047454 IVK1047389:IVK1047454 JFG1047389:JFG1047454 JPC1047389:JPC1047454 JYY1047389:JYY1047454 KIU1047389:KIU1047454 KSQ1047389:KSQ1047454 LCM1047389:LCM1047454 LMI1047389:LMI1047454 LWE1047389:LWE1047454 MGA1047389:MGA1047454 MPW1047389:MPW1047454 MZS1047389:MZS1047454 NJO1047389:NJO1047454 NTK1047389:NTK1047454 ODG1047389:ODG1047454 ONC1047389:ONC1047454 OWY1047389:OWY1047454 PGU1047389:PGU1047454 PQQ1047389:PQQ1047454 QAM1047389:QAM1047454 QKI1047389:QKI1047454 QUE1047389:QUE1047454 REA1047389:REA1047454 RNW1047389:RNW1047454 RXS1047389:RXS1047454 SHO1047389:SHO1047454 SRK1047389:SRK1047454 TBG1047389:TBG1047454 TLC1047389:TLC1047454 TUY1047389:TUY1047454 UEU1047389:UEU1047454 UOQ1047389:UOQ1047454 UYM1047389:UYM1047454 VII1047389:VII1047454 VSE1047389:VSE1047454 WCA1047389:WCA1047454 WLW1047389:WLW1047454 WVS1047389:WVS1047454">
      <formula1>$AR$2:$AR$24</formula1>
    </dataValidation>
    <dataValidation type="list" allowBlank="1" showInputMessage="1" showErrorMessage="1" sqref="Y64349:AA64414 JU2:JW70 ADM2:ADO70 ANI2:ANK70 AXE2:AXG70 BHA2:BHC70 BQW2:BQY70 CAS2:CAU70 CKO2:CKQ70 CUK2:CUM70 DEG2:DEI70 DOC2:DOE70 DXY2:DYA70 EHU2:EHW70 ERQ2:ERS70 FBM2:FBO70 FLI2:FLK70 FVE2:FVG70 GFA2:GFC70 GOW2:GOY70 GYS2:GYU70 HIO2:HIQ70 HSK2:HSM70 ICG2:ICI70 IMC2:IME70 IVY2:IWA70 JFU2:JFW70 JPQ2:JPS70 JZM2:JZO70 KJI2:KJK70 KTE2:KTG70 LDA2:LDC70 LMW2:LMY70 LWS2:LWU70 MGO2:MGQ70 MQK2:MQM70 NAG2:NAI70 NKC2:NKE70 NTY2:NUA70 ODU2:ODW70 ONQ2:ONS70 OXM2:OXO70 PHI2:PHK70 PRE2:PRG70 QBA2:QBC70 QKW2:QKY70 QUS2:QUU70 REO2:REQ70 ROK2:ROM70 RYG2:RYI70 SIC2:SIE70 SRY2:SSA70 TBU2:TBW70 TLQ2:TLS70 TVM2:TVO70 UFI2:UFK70 UPE2:UPG70 UZA2:UZC70 VIW2:VIY70 VSS2:VSU70 WCO2:WCQ70 WMK2:WMM70 WWG2:WWI70 TQ2:TS70 TQ64349:TS64414 ADM64349:ADO64414 ANI64349:ANK64414 AXE64349:AXG64414 BHA64349:BHC64414 BQW64349:BQY64414 CAS64349:CAU64414 CKO64349:CKQ64414 CUK64349:CUM64414 DEG64349:DEI64414 DOC64349:DOE64414 DXY64349:DYA64414 EHU64349:EHW64414 ERQ64349:ERS64414 FBM64349:FBO64414 FLI64349:FLK64414 FVE64349:FVG64414 GFA64349:GFC64414 GOW64349:GOY64414 GYS64349:GYU64414 HIO64349:HIQ64414 HSK64349:HSM64414 ICG64349:ICI64414 IMC64349:IME64414 IVY64349:IWA64414 JFU64349:JFW64414 JPQ64349:JPS64414 JZM64349:JZO64414 KJI64349:KJK64414 KTE64349:KTG64414 LDA64349:LDC64414 LMW64349:LMY64414 LWS64349:LWU64414 MGO64349:MGQ64414 MQK64349:MQM64414 NAG64349:NAI64414 NKC64349:NKE64414 NTY64349:NUA64414 ODU64349:ODW64414 ONQ64349:ONS64414 OXM64349:OXO64414 PHI64349:PHK64414 PRE64349:PRG64414 QBA64349:QBC64414 QKW64349:QKY64414 QUS64349:QUU64414 REO64349:REQ64414 ROK64349:ROM64414 RYG64349:RYI64414 SIC64349:SIE64414 SRY64349:SSA64414 TBU64349:TBW64414 TLQ64349:TLS64414 TVM64349:TVO64414 UFI64349:UFK64414 UPE64349:UPG64414 UZA64349:UZC64414 VIW64349:VIY64414 VSS64349:VSU64414 WCO64349:WCQ64414 WMK64349:WMM64414 WWG64349:WWI64414 Y129885:AA129950 JU129885:JW129950 TQ129885:TS129950 ADM129885:ADO129950 ANI129885:ANK129950 AXE129885:AXG129950 BHA129885:BHC129950 BQW129885:BQY129950 CAS129885:CAU129950 CKO129885:CKQ129950 CUK129885:CUM129950 DEG129885:DEI129950 DOC129885:DOE129950 DXY129885:DYA129950 EHU129885:EHW129950 ERQ129885:ERS129950 FBM129885:FBO129950 FLI129885:FLK129950 FVE129885:FVG129950 GFA129885:GFC129950 GOW129885:GOY129950 GYS129885:GYU129950 HIO129885:HIQ129950 HSK129885:HSM129950 ICG129885:ICI129950 IMC129885:IME129950 IVY129885:IWA129950 JFU129885:JFW129950 JPQ129885:JPS129950 JZM129885:JZO129950 KJI129885:KJK129950 KTE129885:KTG129950 LDA129885:LDC129950 LMW129885:LMY129950 LWS129885:LWU129950 MGO129885:MGQ129950 MQK129885:MQM129950 NAG129885:NAI129950 NKC129885:NKE129950 NTY129885:NUA129950 ODU129885:ODW129950 ONQ129885:ONS129950 OXM129885:OXO129950 PHI129885:PHK129950 PRE129885:PRG129950 QBA129885:QBC129950 QKW129885:QKY129950 QUS129885:QUU129950 REO129885:REQ129950 ROK129885:ROM129950 RYG129885:RYI129950 SIC129885:SIE129950 SRY129885:SSA129950 TBU129885:TBW129950 TLQ129885:TLS129950 TVM129885:TVO129950 UFI129885:UFK129950 UPE129885:UPG129950 UZA129885:UZC129950 VIW129885:VIY129950 VSS129885:VSU129950 WCO129885:WCQ129950 WMK129885:WMM129950 WWG129885:WWI129950 Y195421:AA195486 JU195421:JW195486 TQ195421:TS195486 ADM195421:ADO195486 ANI195421:ANK195486 AXE195421:AXG195486 BHA195421:BHC195486 BQW195421:BQY195486 CAS195421:CAU195486 CKO195421:CKQ195486 CUK195421:CUM195486 DEG195421:DEI195486 DOC195421:DOE195486 DXY195421:DYA195486 EHU195421:EHW195486 ERQ195421:ERS195486 FBM195421:FBO195486 FLI195421:FLK195486 FVE195421:FVG195486 GFA195421:GFC195486 GOW195421:GOY195486 GYS195421:GYU195486 HIO195421:HIQ195486 HSK195421:HSM195486 ICG195421:ICI195486 IMC195421:IME195486 IVY195421:IWA195486 JFU195421:JFW195486 JPQ195421:JPS195486 JZM195421:JZO195486 KJI195421:KJK195486 KTE195421:KTG195486 LDA195421:LDC195486 LMW195421:LMY195486 LWS195421:LWU195486 MGO195421:MGQ195486 MQK195421:MQM195486 NAG195421:NAI195486 NKC195421:NKE195486 NTY195421:NUA195486 ODU195421:ODW195486 ONQ195421:ONS195486 OXM195421:OXO195486 PHI195421:PHK195486 PRE195421:PRG195486 QBA195421:QBC195486 QKW195421:QKY195486 QUS195421:QUU195486 REO195421:REQ195486 ROK195421:ROM195486 RYG195421:RYI195486 SIC195421:SIE195486 SRY195421:SSA195486 TBU195421:TBW195486 TLQ195421:TLS195486 TVM195421:TVO195486 UFI195421:UFK195486 UPE195421:UPG195486 UZA195421:UZC195486 VIW195421:VIY195486 VSS195421:VSU195486 WCO195421:WCQ195486 WMK195421:WMM195486 WWG195421:WWI195486 Y260957:AA261022 JU260957:JW261022 TQ260957:TS261022 ADM260957:ADO261022 ANI260957:ANK261022 AXE260957:AXG261022 BHA260957:BHC261022 BQW260957:BQY261022 CAS260957:CAU261022 CKO260957:CKQ261022 CUK260957:CUM261022 DEG260957:DEI261022 DOC260957:DOE261022 DXY260957:DYA261022 EHU260957:EHW261022 ERQ260957:ERS261022 FBM260957:FBO261022 FLI260957:FLK261022 FVE260957:FVG261022 GFA260957:GFC261022 GOW260957:GOY261022 GYS260957:GYU261022 HIO260957:HIQ261022 HSK260957:HSM261022 ICG260957:ICI261022 IMC260957:IME261022 IVY260957:IWA261022 JFU260957:JFW261022 JPQ260957:JPS261022 JZM260957:JZO261022 KJI260957:KJK261022 KTE260957:KTG261022 LDA260957:LDC261022 LMW260957:LMY261022 LWS260957:LWU261022 MGO260957:MGQ261022 MQK260957:MQM261022 NAG260957:NAI261022 NKC260957:NKE261022 NTY260957:NUA261022 ODU260957:ODW261022 ONQ260957:ONS261022 OXM260957:OXO261022 PHI260957:PHK261022 PRE260957:PRG261022 QBA260957:QBC261022 QKW260957:QKY261022 QUS260957:QUU261022 REO260957:REQ261022 ROK260957:ROM261022 RYG260957:RYI261022 SIC260957:SIE261022 SRY260957:SSA261022 TBU260957:TBW261022 TLQ260957:TLS261022 TVM260957:TVO261022 UFI260957:UFK261022 UPE260957:UPG261022 UZA260957:UZC261022 VIW260957:VIY261022 VSS260957:VSU261022 WCO260957:WCQ261022 WMK260957:WMM261022 WWG260957:WWI261022 Y326493:AA326558 JU326493:JW326558 TQ326493:TS326558 ADM326493:ADO326558 ANI326493:ANK326558 AXE326493:AXG326558 BHA326493:BHC326558 BQW326493:BQY326558 CAS326493:CAU326558 CKO326493:CKQ326558 CUK326493:CUM326558 DEG326493:DEI326558 DOC326493:DOE326558 DXY326493:DYA326558 EHU326493:EHW326558 ERQ326493:ERS326558 FBM326493:FBO326558 FLI326493:FLK326558 FVE326493:FVG326558 GFA326493:GFC326558 GOW326493:GOY326558 GYS326493:GYU326558 HIO326493:HIQ326558 HSK326493:HSM326558 ICG326493:ICI326558 IMC326493:IME326558 IVY326493:IWA326558 JFU326493:JFW326558 JPQ326493:JPS326558 JZM326493:JZO326558 KJI326493:KJK326558 KTE326493:KTG326558 LDA326493:LDC326558 LMW326493:LMY326558 LWS326493:LWU326558 MGO326493:MGQ326558 MQK326493:MQM326558 NAG326493:NAI326558 NKC326493:NKE326558 NTY326493:NUA326558 ODU326493:ODW326558 ONQ326493:ONS326558 OXM326493:OXO326558 PHI326493:PHK326558 PRE326493:PRG326558 QBA326493:QBC326558 QKW326493:QKY326558 QUS326493:QUU326558 REO326493:REQ326558 ROK326493:ROM326558 RYG326493:RYI326558 SIC326493:SIE326558 SRY326493:SSA326558 TBU326493:TBW326558 TLQ326493:TLS326558 TVM326493:TVO326558 UFI326493:UFK326558 UPE326493:UPG326558 UZA326493:UZC326558 VIW326493:VIY326558 VSS326493:VSU326558 WCO326493:WCQ326558 WMK326493:WMM326558 WWG326493:WWI326558 Y392029:AA392094 JU392029:JW392094 TQ392029:TS392094 ADM392029:ADO392094 ANI392029:ANK392094 AXE392029:AXG392094 BHA392029:BHC392094 BQW392029:BQY392094 CAS392029:CAU392094 CKO392029:CKQ392094 CUK392029:CUM392094 DEG392029:DEI392094 DOC392029:DOE392094 DXY392029:DYA392094 EHU392029:EHW392094 ERQ392029:ERS392094 FBM392029:FBO392094 FLI392029:FLK392094 FVE392029:FVG392094 GFA392029:GFC392094 GOW392029:GOY392094 GYS392029:GYU392094 HIO392029:HIQ392094 HSK392029:HSM392094 ICG392029:ICI392094 IMC392029:IME392094 IVY392029:IWA392094 JFU392029:JFW392094 JPQ392029:JPS392094 JZM392029:JZO392094 KJI392029:KJK392094 KTE392029:KTG392094 LDA392029:LDC392094 LMW392029:LMY392094 LWS392029:LWU392094 MGO392029:MGQ392094 MQK392029:MQM392094 NAG392029:NAI392094 NKC392029:NKE392094 NTY392029:NUA392094 ODU392029:ODW392094 ONQ392029:ONS392094 OXM392029:OXO392094 PHI392029:PHK392094 PRE392029:PRG392094 QBA392029:QBC392094 QKW392029:QKY392094 QUS392029:QUU392094 REO392029:REQ392094 ROK392029:ROM392094 RYG392029:RYI392094 SIC392029:SIE392094 SRY392029:SSA392094 TBU392029:TBW392094 TLQ392029:TLS392094 TVM392029:TVO392094 UFI392029:UFK392094 UPE392029:UPG392094 UZA392029:UZC392094 VIW392029:VIY392094 VSS392029:VSU392094 WCO392029:WCQ392094 WMK392029:WMM392094 WWG392029:WWI392094 Y457565:AA457630 JU457565:JW457630 TQ457565:TS457630 ADM457565:ADO457630 ANI457565:ANK457630 AXE457565:AXG457630 BHA457565:BHC457630 BQW457565:BQY457630 CAS457565:CAU457630 CKO457565:CKQ457630 CUK457565:CUM457630 DEG457565:DEI457630 DOC457565:DOE457630 DXY457565:DYA457630 EHU457565:EHW457630 ERQ457565:ERS457630 FBM457565:FBO457630 FLI457565:FLK457630 FVE457565:FVG457630 GFA457565:GFC457630 GOW457565:GOY457630 GYS457565:GYU457630 HIO457565:HIQ457630 HSK457565:HSM457630 ICG457565:ICI457630 IMC457565:IME457630 IVY457565:IWA457630 JFU457565:JFW457630 JPQ457565:JPS457630 JZM457565:JZO457630 KJI457565:KJK457630 KTE457565:KTG457630 LDA457565:LDC457630 LMW457565:LMY457630 LWS457565:LWU457630 MGO457565:MGQ457630 MQK457565:MQM457630 NAG457565:NAI457630 NKC457565:NKE457630 NTY457565:NUA457630 ODU457565:ODW457630 ONQ457565:ONS457630 OXM457565:OXO457630 PHI457565:PHK457630 PRE457565:PRG457630 QBA457565:QBC457630 QKW457565:QKY457630 QUS457565:QUU457630 REO457565:REQ457630 ROK457565:ROM457630 RYG457565:RYI457630 SIC457565:SIE457630 SRY457565:SSA457630 TBU457565:TBW457630 TLQ457565:TLS457630 TVM457565:TVO457630 UFI457565:UFK457630 UPE457565:UPG457630 UZA457565:UZC457630 VIW457565:VIY457630 VSS457565:VSU457630 WCO457565:WCQ457630 WMK457565:WMM457630 WWG457565:WWI457630 Y523101:AA523166 JU523101:JW523166 TQ523101:TS523166 ADM523101:ADO523166 ANI523101:ANK523166 AXE523101:AXG523166 BHA523101:BHC523166 BQW523101:BQY523166 CAS523101:CAU523166 CKO523101:CKQ523166 CUK523101:CUM523166 DEG523101:DEI523166 DOC523101:DOE523166 DXY523101:DYA523166 EHU523101:EHW523166 ERQ523101:ERS523166 FBM523101:FBO523166 FLI523101:FLK523166 FVE523101:FVG523166 GFA523101:GFC523166 GOW523101:GOY523166 GYS523101:GYU523166 HIO523101:HIQ523166 HSK523101:HSM523166 ICG523101:ICI523166 IMC523101:IME523166 IVY523101:IWA523166 JFU523101:JFW523166 JPQ523101:JPS523166 JZM523101:JZO523166 KJI523101:KJK523166 KTE523101:KTG523166 LDA523101:LDC523166 LMW523101:LMY523166 LWS523101:LWU523166 MGO523101:MGQ523166 MQK523101:MQM523166 NAG523101:NAI523166 NKC523101:NKE523166 NTY523101:NUA523166 ODU523101:ODW523166 ONQ523101:ONS523166 OXM523101:OXO523166 PHI523101:PHK523166 PRE523101:PRG523166 QBA523101:QBC523166 QKW523101:QKY523166 QUS523101:QUU523166 REO523101:REQ523166 ROK523101:ROM523166 RYG523101:RYI523166 SIC523101:SIE523166 SRY523101:SSA523166 TBU523101:TBW523166 TLQ523101:TLS523166 TVM523101:TVO523166 UFI523101:UFK523166 UPE523101:UPG523166 UZA523101:UZC523166 VIW523101:VIY523166 VSS523101:VSU523166 WCO523101:WCQ523166 WMK523101:WMM523166 WWG523101:WWI523166 Y588637:AA588702 JU588637:JW588702 TQ588637:TS588702 ADM588637:ADO588702 ANI588637:ANK588702 AXE588637:AXG588702 BHA588637:BHC588702 BQW588637:BQY588702 CAS588637:CAU588702 CKO588637:CKQ588702 CUK588637:CUM588702 DEG588637:DEI588702 DOC588637:DOE588702 DXY588637:DYA588702 EHU588637:EHW588702 ERQ588637:ERS588702 FBM588637:FBO588702 FLI588637:FLK588702 FVE588637:FVG588702 GFA588637:GFC588702 GOW588637:GOY588702 GYS588637:GYU588702 HIO588637:HIQ588702 HSK588637:HSM588702 ICG588637:ICI588702 IMC588637:IME588702 IVY588637:IWA588702 JFU588637:JFW588702 JPQ588637:JPS588702 JZM588637:JZO588702 KJI588637:KJK588702 KTE588637:KTG588702 LDA588637:LDC588702 LMW588637:LMY588702 LWS588637:LWU588702 MGO588637:MGQ588702 MQK588637:MQM588702 NAG588637:NAI588702 NKC588637:NKE588702 NTY588637:NUA588702 ODU588637:ODW588702 ONQ588637:ONS588702 OXM588637:OXO588702 PHI588637:PHK588702 PRE588637:PRG588702 QBA588637:QBC588702 QKW588637:QKY588702 QUS588637:QUU588702 REO588637:REQ588702 ROK588637:ROM588702 RYG588637:RYI588702 SIC588637:SIE588702 SRY588637:SSA588702 TBU588637:TBW588702 TLQ588637:TLS588702 TVM588637:TVO588702 UFI588637:UFK588702 UPE588637:UPG588702 UZA588637:UZC588702 VIW588637:VIY588702 VSS588637:VSU588702 WCO588637:WCQ588702 WMK588637:WMM588702 WWG588637:WWI588702 Y654173:AA654238 JU654173:JW654238 TQ654173:TS654238 ADM654173:ADO654238 ANI654173:ANK654238 AXE654173:AXG654238 BHA654173:BHC654238 BQW654173:BQY654238 CAS654173:CAU654238 CKO654173:CKQ654238 CUK654173:CUM654238 DEG654173:DEI654238 DOC654173:DOE654238 DXY654173:DYA654238 EHU654173:EHW654238 ERQ654173:ERS654238 FBM654173:FBO654238 FLI654173:FLK654238 FVE654173:FVG654238 GFA654173:GFC654238 GOW654173:GOY654238 GYS654173:GYU654238 HIO654173:HIQ654238 HSK654173:HSM654238 ICG654173:ICI654238 IMC654173:IME654238 IVY654173:IWA654238 JFU654173:JFW654238 JPQ654173:JPS654238 JZM654173:JZO654238 KJI654173:KJK654238 KTE654173:KTG654238 LDA654173:LDC654238 LMW654173:LMY654238 LWS654173:LWU654238 MGO654173:MGQ654238 MQK654173:MQM654238 NAG654173:NAI654238 NKC654173:NKE654238 NTY654173:NUA654238 ODU654173:ODW654238 ONQ654173:ONS654238 OXM654173:OXO654238 PHI654173:PHK654238 PRE654173:PRG654238 QBA654173:QBC654238 QKW654173:QKY654238 QUS654173:QUU654238 REO654173:REQ654238 ROK654173:ROM654238 RYG654173:RYI654238 SIC654173:SIE654238 SRY654173:SSA654238 TBU654173:TBW654238 TLQ654173:TLS654238 TVM654173:TVO654238 UFI654173:UFK654238 UPE654173:UPG654238 UZA654173:UZC654238 VIW654173:VIY654238 VSS654173:VSU654238 WCO654173:WCQ654238 WMK654173:WMM654238 WWG654173:WWI654238 Y719709:AA719774 JU719709:JW719774 TQ719709:TS719774 ADM719709:ADO719774 ANI719709:ANK719774 AXE719709:AXG719774 BHA719709:BHC719774 BQW719709:BQY719774 CAS719709:CAU719774 CKO719709:CKQ719774 CUK719709:CUM719774 DEG719709:DEI719774 DOC719709:DOE719774 DXY719709:DYA719774 EHU719709:EHW719774 ERQ719709:ERS719774 FBM719709:FBO719774 FLI719709:FLK719774 FVE719709:FVG719774 GFA719709:GFC719774 GOW719709:GOY719774 GYS719709:GYU719774 HIO719709:HIQ719774 HSK719709:HSM719774 ICG719709:ICI719774 IMC719709:IME719774 IVY719709:IWA719774 JFU719709:JFW719774 JPQ719709:JPS719774 JZM719709:JZO719774 KJI719709:KJK719774 KTE719709:KTG719774 LDA719709:LDC719774 LMW719709:LMY719774 LWS719709:LWU719774 MGO719709:MGQ719774 MQK719709:MQM719774 NAG719709:NAI719774 NKC719709:NKE719774 NTY719709:NUA719774 ODU719709:ODW719774 ONQ719709:ONS719774 OXM719709:OXO719774 PHI719709:PHK719774 PRE719709:PRG719774 QBA719709:QBC719774 QKW719709:QKY719774 QUS719709:QUU719774 REO719709:REQ719774 ROK719709:ROM719774 RYG719709:RYI719774 SIC719709:SIE719774 SRY719709:SSA719774 TBU719709:TBW719774 TLQ719709:TLS719774 TVM719709:TVO719774 UFI719709:UFK719774 UPE719709:UPG719774 UZA719709:UZC719774 VIW719709:VIY719774 VSS719709:VSU719774 WCO719709:WCQ719774 WMK719709:WMM719774 WWG719709:WWI719774 Y785245:AA785310 JU785245:JW785310 TQ785245:TS785310 ADM785245:ADO785310 ANI785245:ANK785310 AXE785245:AXG785310 BHA785245:BHC785310 BQW785245:BQY785310 CAS785245:CAU785310 CKO785245:CKQ785310 CUK785245:CUM785310 DEG785245:DEI785310 DOC785245:DOE785310 DXY785245:DYA785310 EHU785245:EHW785310 ERQ785245:ERS785310 FBM785245:FBO785310 FLI785245:FLK785310 FVE785245:FVG785310 GFA785245:GFC785310 GOW785245:GOY785310 GYS785245:GYU785310 HIO785245:HIQ785310 HSK785245:HSM785310 ICG785245:ICI785310 IMC785245:IME785310 IVY785245:IWA785310 JFU785245:JFW785310 JPQ785245:JPS785310 JZM785245:JZO785310 KJI785245:KJK785310 KTE785245:KTG785310 LDA785245:LDC785310 LMW785245:LMY785310 LWS785245:LWU785310 MGO785245:MGQ785310 MQK785245:MQM785310 NAG785245:NAI785310 NKC785245:NKE785310 NTY785245:NUA785310 ODU785245:ODW785310 ONQ785245:ONS785310 OXM785245:OXO785310 PHI785245:PHK785310 PRE785245:PRG785310 QBA785245:QBC785310 QKW785245:QKY785310 QUS785245:QUU785310 REO785245:REQ785310 ROK785245:ROM785310 RYG785245:RYI785310 SIC785245:SIE785310 SRY785245:SSA785310 TBU785245:TBW785310 TLQ785245:TLS785310 TVM785245:TVO785310 UFI785245:UFK785310 UPE785245:UPG785310 UZA785245:UZC785310 VIW785245:VIY785310 VSS785245:VSU785310 WCO785245:WCQ785310 WMK785245:WMM785310 WWG785245:WWI785310 Y850781:AA850846 JU850781:JW850846 TQ850781:TS850846 ADM850781:ADO850846 ANI850781:ANK850846 AXE850781:AXG850846 BHA850781:BHC850846 BQW850781:BQY850846 CAS850781:CAU850846 CKO850781:CKQ850846 CUK850781:CUM850846 DEG850781:DEI850846 DOC850781:DOE850846 DXY850781:DYA850846 EHU850781:EHW850846 ERQ850781:ERS850846 FBM850781:FBO850846 FLI850781:FLK850846 FVE850781:FVG850846 GFA850781:GFC850846 GOW850781:GOY850846 GYS850781:GYU850846 HIO850781:HIQ850846 HSK850781:HSM850846 ICG850781:ICI850846 IMC850781:IME850846 IVY850781:IWA850846 JFU850781:JFW850846 JPQ850781:JPS850846 JZM850781:JZO850846 KJI850781:KJK850846 KTE850781:KTG850846 LDA850781:LDC850846 LMW850781:LMY850846 LWS850781:LWU850846 MGO850781:MGQ850846 MQK850781:MQM850846 NAG850781:NAI850846 NKC850781:NKE850846 NTY850781:NUA850846 ODU850781:ODW850846 ONQ850781:ONS850846 OXM850781:OXO850846 PHI850781:PHK850846 PRE850781:PRG850846 QBA850781:QBC850846 QKW850781:QKY850846 QUS850781:QUU850846 REO850781:REQ850846 ROK850781:ROM850846 RYG850781:RYI850846 SIC850781:SIE850846 SRY850781:SSA850846 TBU850781:TBW850846 TLQ850781:TLS850846 TVM850781:TVO850846 UFI850781:UFK850846 UPE850781:UPG850846 UZA850781:UZC850846 VIW850781:VIY850846 VSS850781:VSU850846 WCO850781:WCQ850846 WMK850781:WMM850846 WWG850781:WWI850846 Y916317:AA916382 JU916317:JW916382 TQ916317:TS916382 ADM916317:ADO916382 ANI916317:ANK916382 AXE916317:AXG916382 BHA916317:BHC916382 BQW916317:BQY916382 CAS916317:CAU916382 CKO916317:CKQ916382 CUK916317:CUM916382 DEG916317:DEI916382 DOC916317:DOE916382 DXY916317:DYA916382 EHU916317:EHW916382 ERQ916317:ERS916382 FBM916317:FBO916382 FLI916317:FLK916382 FVE916317:FVG916382 GFA916317:GFC916382 GOW916317:GOY916382 GYS916317:GYU916382 HIO916317:HIQ916382 HSK916317:HSM916382 ICG916317:ICI916382 IMC916317:IME916382 IVY916317:IWA916382 JFU916317:JFW916382 JPQ916317:JPS916382 JZM916317:JZO916382 KJI916317:KJK916382 KTE916317:KTG916382 LDA916317:LDC916382 LMW916317:LMY916382 LWS916317:LWU916382 MGO916317:MGQ916382 MQK916317:MQM916382 NAG916317:NAI916382 NKC916317:NKE916382 NTY916317:NUA916382 ODU916317:ODW916382 ONQ916317:ONS916382 OXM916317:OXO916382 PHI916317:PHK916382 PRE916317:PRG916382 QBA916317:QBC916382 QKW916317:QKY916382 QUS916317:QUU916382 REO916317:REQ916382 ROK916317:ROM916382 RYG916317:RYI916382 SIC916317:SIE916382 SRY916317:SSA916382 TBU916317:TBW916382 TLQ916317:TLS916382 TVM916317:TVO916382 UFI916317:UFK916382 UPE916317:UPG916382 UZA916317:UZC916382 VIW916317:VIY916382 VSS916317:VSU916382 WCO916317:WCQ916382 WMK916317:WMM916382 WWG916317:WWI916382 Y981853:AA981918 JU981853:JW981918 TQ981853:TS981918 ADM981853:ADO981918 ANI981853:ANK981918 AXE981853:AXG981918 BHA981853:BHC981918 BQW981853:BQY981918 CAS981853:CAU981918 CKO981853:CKQ981918 CUK981853:CUM981918 DEG981853:DEI981918 DOC981853:DOE981918 DXY981853:DYA981918 EHU981853:EHW981918 ERQ981853:ERS981918 FBM981853:FBO981918 FLI981853:FLK981918 FVE981853:FVG981918 GFA981853:GFC981918 GOW981853:GOY981918 GYS981853:GYU981918 HIO981853:HIQ981918 HSK981853:HSM981918 ICG981853:ICI981918 IMC981853:IME981918 IVY981853:IWA981918 JFU981853:JFW981918 JPQ981853:JPS981918 JZM981853:JZO981918 KJI981853:KJK981918 KTE981853:KTG981918 LDA981853:LDC981918 LMW981853:LMY981918 LWS981853:LWU981918 MGO981853:MGQ981918 MQK981853:MQM981918 NAG981853:NAI981918 NKC981853:NKE981918 NTY981853:NUA981918 ODU981853:ODW981918 ONQ981853:ONS981918 OXM981853:OXO981918 PHI981853:PHK981918 PRE981853:PRG981918 QBA981853:QBC981918 QKW981853:QKY981918 QUS981853:QUU981918 REO981853:REQ981918 ROK981853:ROM981918 RYG981853:RYI981918 SIC981853:SIE981918 SRY981853:SSA981918 TBU981853:TBW981918 TLQ981853:TLS981918 TVM981853:TVO981918 UFI981853:UFK981918 UPE981853:UPG981918 UZA981853:UZC981918 VIW981853:VIY981918 VSS981853:VSU981918 WCO981853:WCQ981918 WMK981853:WMM981918 WWG981853:WWI981918 Y1047389:AA1047454 JU1047389:JW1047454 TQ1047389:TS1047454 ADM1047389:ADO1047454 ANI1047389:ANK1047454 AXE1047389:AXG1047454 BHA1047389:BHC1047454 BQW1047389:BQY1047454 CAS1047389:CAU1047454 CKO1047389:CKQ1047454 CUK1047389:CUM1047454 DEG1047389:DEI1047454 DOC1047389:DOE1047454 DXY1047389:DYA1047454 EHU1047389:EHW1047454 ERQ1047389:ERS1047454 FBM1047389:FBO1047454 FLI1047389:FLK1047454 FVE1047389:FVG1047454 GFA1047389:GFC1047454 GOW1047389:GOY1047454 GYS1047389:GYU1047454 HIO1047389:HIQ1047454 HSK1047389:HSM1047454 ICG1047389:ICI1047454 IMC1047389:IME1047454 IVY1047389:IWA1047454 JFU1047389:JFW1047454 JPQ1047389:JPS1047454 JZM1047389:JZO1047454 KJI1047389:KJK1047454 KTE1047389:KTG1047454 LDA1047389:LDC1047454 LMW1047389:LMY1047454 LWS1047389:LWU1047454 MGO1047389:MGQ1047454 MQK1047389:MQM1047454 NAG1047389:NAI1047454 NKC1047389:NKE1047454 NTY1047389:NUA1047454 ODU1047389:ODW1047454 ONQ1047389:ONS1047454 OXM1047389:OXO1047454 PHI1047389:PHK1047454 PRE1047389:PRG1047454 QBA1047389:QBC1047454 QKW1047389:QKY1047454 QUS1047389:QUU1047454 REO1047389:REQ1047454 ROK1047389:ROM1047454 RYG1047389:RYI1047454 SIC1047389:SIE1047454 SRY1047389:SSA1047454 TBU1047389:TBW1047454 TLQ1047389:TLS1047454 TVM1047389:TVO1047454 UFI1047389:UFK1047454 UPE1047389:UPG1047454 UZA1047389:UZC1047454 VIW1047389:VIY1047454 VSS1047389:VSU1047454 WCO1047389:WCQ1047454 WMK1047389:WMM1047454 WWG1047389:WWI1047454 WWG983028:WWI983093 Y65524:AA65589 JU65524:JW65589 TQ65524:TS65589 ADM65524:ADO65589 ANI65524:ANK65589 AXE65524:AXG65589 BHA65524:BHC65589 BQW65524:BQY65589 CAS65524:CAU65589 CKO65524:CKQ65589 CUK65524:CUM65589 DEG65524:DEI65589 DOC65524:DOE65589 DXY65524:DYA65589 EHU65524:EHW65589 ERQ65524:ERS65589 FBM65524:FBO65589 FLI65524:FLK65589 FVE65524:FVG65589 GFA65524:GFC65589 GOW65524:GOY65589 GYS65524:GYU65589 HIO65524:HIQ65589 HSK65524:HSM65589 ICG65524:ICI65589 IMC65524:IME65589 IVY65524:IWA65589 JFU65524:JFW65589 JPQ65524:JPS65589 JZM65524:JZO65589 KJI65524:KJK65589 KTE65524:KTG65589 LDA65524:LDC65589 LMW65524:LMY65589 LWS65524:LWU65589 MGO65524:MGQ65589 MQK65524:MQM65589 NAG65524:NAI65589 NKC65524:NKE65589 NTY65524:NUA65589 ODU65524:ODW65589 ONQ65524:ONS65589 OXM65524:OXO65589 PHI65524:PHK65589 PRE65524:PRG65589 QBA65524:QBC65589 QKW65524:QKY65589 QUS65524:QUU65589 REO65524:REQ65589 ROK65524:ROM65589 RYG65524:RYI65589 SIC65524:SIE65589 SRY65524:SSA65589 TBU65524:TBW65589 TLQ65524:TLS65589 TVM65524:TVO65589 UFI65524:UFK65589 UPE65524:UPG65589 UZA65524:UZC65589 VIW65524:VIY65589 VSS65524:VSU65589 WCO65524:WCQ65589 WMK65524:WMM65589 WWG65524:WWI65589 Y131060:AA131125 JU131060:JW131125 TQ131060:TS131125 ADM131060:ADO131125 ANI131060:ANK131125 AXE131060:AXG131125 BHA131060:BHC131125 BQW131060:BQY131125 CAS131060:CAU131125 CKO131060:CKQ131125 CUK131060:CUM131125 DEG131060:DEI131125 DOC131060:DOE131125 DXY131060:DYA131125 EHU131060:EHW131125 ERQ131060:ERS131125 FBM131060:FBO131125 FLI131060:FLK131125 FVE131060:FVG131125 GFA131060:GFC131125 GOW131060:GOY131125 GYS131060:GYU131125 HIO131060:HIQ131125 HSK131060:HSM131125 ICG131060:ICI131125 IMC131060:IME131125 IVY131060:IWA131125 JFU131060:JFW131125 JPQ131060:JPS131125 JZM131060:JZO131125 KJI131060:KJK131125 KTE131060:KTG131125 LDA131060:LDC131125 LMW131060:LMY131125 LWS131060:LWU131125 MGO131060:MGQ131125 MQK131060:MQM131125 NAG131060:NAI131125 NKC131060:NKE131125 NTY131060:NUA131125 ODU131060:ODW131125 ONQ131060:ONS131125 OXM131060:OXO131125 PHI131060:PHK131125 PRE131060:PRG131125 QBA131060:QBC131125 QKW131060:QKY131125 QUS131060:QUU131125 REO131060:REQ131125 ROK131060:ROM131125 RYG131060:RYI131125 SIC131060:SIE131125 SRY131060:SSA131125 TBU131060:TBW131125 TLQ131060:TLS131125 TVM131060:TVO131125 UFI131060:UFK131125 UPE131060:UPG131125 UZA131060:UZC131125 VIW131060:VIY131125 VSS131060:VSU131125 WCO131060:WCQ131125 WMK131060:WMM131125 WWG131060:WWI131125 Y196596:AA196661 JU196596:JW196661 TQ196596:TS196661 ADM196596:ADO196661 ANI196596:ANK196661 AXE196596:AXG196661 BHA196596:BHC196661 BQW196596:BQY196661 CAS196596:CAU196661 CKO196596:CKQ196661 CUK196596:CUM196661 DEG196596:DEI196661 DOC196596:DOE196661 DXY196596:DYA196661 EHU196596:EHW196661 ERQ196596:ERS196661 FBM196596:FBO196661 FLI196596:FLK196661 FVE196596:FVG196661 GFA196596:GFC196661 GOW196596:GOY196661 GYS196596:GYU196661 HIO196596:HIQ196661 HSK196596:HSM196661 ICG196596:ICI196661 IMC196596:IME196661 IVY196596:IWA196661 JFU196596:JFW196661 JPQ196596:JPS196661 JZM196596:JZO196661 KJI196596:KJK196661 KTE196596:KTG196661 LDA196596:LDC196661 LMW196596:LMY196661 LWS196596:LWU196661 MGO196596:MGQ196661 MQK196596:MQM196661 NAG196596:NAI196661 NKC196596:NKE196661 NTY196596:NUA196661 ODU196596:ODW196661 ONQ196596:ONS196661 OXM196596:OXO196661 PHI196596:PHK196661 PRE196596:PRG196661 QBA196596:QBC196661 QKW196596:QKY196661 QUS196596:QUU196661 REO196596:REQ196661 ROK196596:ROM196661 RYG196596:RYI196661 SIC196596:SIE196661 SRY196596:SSA196661 TBU196596:TBW196661 TLQ196596:TLS196661 TVM196596:TVO196661 UFI196596:UFK196661 UPE196596:UPG196661 UZA196596:UZC196661 VIW196596:VIY196661 VSS196596:VSU196661 WCO196596:WCQ196661 WMK196596:WMM196661 WWG196596:WWI196661 Y262132:AA262197 JU262132:JW262197 TQ262132:TS262197 ADM262132:ADO262197 ANI262132:ANK262197 AXE262132:AXG262197 BHA262132:BHC262197 BQW262132:BQY262197 CAS262132:CAU262197 CKO262132:CKQ262197 CUK262132:CUM262197 DEG262132:DEI262197 DOC262132:DOE262197 DXY262132:DYA262197 EHU262132:EHW262197 ERQ262132:ERS262197 FBM262132:FBO262197 FLI262132:FLK262197 FVE262132:FVG262197 GFA262132:GFC262197 GOW262132:GOY262197 GYS262132:GYU262197 HIO262132:HIQ262197 HSK262132:HSM262197 ICG262132:ICI262197 IMC262132:IME262197 IVY262132:IWA262197 JFU262132:JFW262197 JPQ262132:JPS262197 JZM262132:JZO262197 KJI262132:KJK262197 KTE262132:KTG262197 LDA262132:LDC262197 LMW262132:LMY262197 LWS262132:LWU262197 MGO262132:MGQ262197 MQK262132:MQM262197 NAG262132:NAI262197 NKC262132:NKE262197 NTY262132:NUA262197 ODU262132:ODW262197 ONQ262132:ONS262197 OXM262132:OXO262197 PHI262132:PHK262197 PRE262132:PRG262197 QBA262132:QBC262197 QKW262132:QKY262197 QUS262132:QUU262197 REO262132:REQ262197 ROK262132:ROM262197 RYG262132:RYI262197 SIC262132:SIE262197 SRY262132:SSA262197 TBU262132:TBW262197 TLQ262132:TLS262197 TVM262132:TVO262197 UFI262132:UFK262197 UPE262132:UPG262197 UZA262132:UZC262197 VIW262132:VIY262197 VSS262132:VSU262197 WCO262132:WCQ262197 WMK262132:WMM262197 WWG262132:WWI262197 Y327668:AA327733 JU327668:JW327733 TQ327668:TS327733 ADM327668:ADO327733 ANI327668:ANK327733 AXE327668:AXG327733 BHA327668:BHC327733 BQW327668:BQY327733 CAS327668:CAU327733 CKO327668:CKQ327733 CUK327668:CUM327733 DEG327668:DEI327733 DOC327668:DOE327733 DXY327668:DYA327733 EHU327668:EHW327733 ERQ327668:ERS327733 FBM327668:FBO327733 FLI327668:FLK327733 FVE327668:FVG327733 GFA327668:GFC327733 GOW327668:GOY327733 GYS327668:GYU327733 HIO327668:HIQ327733 HSK327668:HSM327733 ICG327668:ICI327733 IMC327668:IME327733 IVY327668:IWA327733 JFU327668:JFW327733 JPQ327668:JPS327733 JZM327668:JZO327733 KJI327668:KJK327733 KTE327668:KTG327733 LDA327668:LDC327733 LMW327668:LMY327733 LWS327668:LWU327733 MGO327668:MGQ327733 MQK327668:MQM327733 NAG327668:NAI327733 NKC327668:NKE327733 NTY327668:NUA327733 ODU327668:ODW327733 ONQ327668:ONS327733 OXM327668:OXO327733 PHI327668:PHK327733 PRE327668:PRG327733 QBA327668:QBC327733 QKW327668:QKY327733 QUS327668:QUU327733 REO327668:REQ327733 ROK327668:ROM327733 RYG327668:RYI327733 SIC327668:SIE327733 SRY327668:SSA327733 TBU327668:TBW327733 TLQ327668:TLS327733 TVM327668:TVO327733 UFI327668:UFK327733 UPE327668:UPG327733 UZA327668:UZC327733 VIW327668:VIY327733 VSS327668:VSU327733 WCO327668:WCQ327733 WMK327668:WMM327733 WWG327668:WWI327733 Y393204:AA393269 JU393204:JW393269 TQ393204:TS393269 ADM393204:ADO393269 ANI393204:ANK393269 AXE393204:AXG393269 BHA393204:BHC393269 BQW393204:BQY393269 CAS393204:CAU393269 CKO393204:CKQ393269 CUK393204:CUM393269 DEG393204:DEI393269 DOC393204:DOE393269 DXY393204:DYA393269 EHU393204:EHW393269 ERQ393204:ERS393269 FBM393204:FBO393269 FLI393204:FLK393269 FVE393204:FVG393269 GFA393204:GFC393269 GOW393204:GOY393269 GYS393204:GYU393269 HIO393204:HIQ393269 HSK393204:HSM393269 ICG393204:ICI393269 IMC393204:IME393269 IVY393204:IWA393269 JFU393204:JFW393269 JPQ393204:JPS393269 JZM393204:JZO393269 KJI393204:KJK393269 KTE393204:KTG393269 LDA393204:LDC393269 LMW393204:LMY393269 LWS393204:LWU393269 MGO393204:MGQ393269 MQK393204:MQM393269 NAG393204:NAI393269 NKC393204:NKE393269 NTY393204:NUA393269 ODU393204:ODW393269 ONQ393204:ONS393269 OXM393204:OXO393269 PHI393204:PHK393269 PRE393204:PRG393269 QBA393204:QBC393269 QKW393204:QKY393269 QUS393204:QUU393269 REO393204:REQ393269 ROK393204:ROM393269 RYG393204:RYI393269 SIC393204:SIE393269 SRY393204:SSA393269 TBU393204:TBW393269 TLQ393204:TLS393269 TVM393204:TVO393269 UFI393204:UFK393269 UPE393204:UPG393269 UZA393204:UZC393269 VIW393204:VIY393269 VSS393204:VSU393269 WCO393204:WCQ393269 WMK393204:WMM393269 WWG393204:WWI393269 Y458740:AA458805 JU458740:JW458805 TQ458740:TS458805 ADM458740:ADO458805 ANI458740:ANK458805 AXE458740:AXG458805 BHA458740:BHC458805 BQW458740:BQY458805 CAS458740:CAU458805 CKO458740:CKQ458805 CUK458740:CUM458805 DEG458740:DEI458805 DOC458740:DOE458805 DXY458740:DYA458805 EHU458740:EHW458805 ERQ458740:ERS458805 FBM458740:FBO458805 FLI458740:FLK458805 FVE458740:FVG458805 GFA458740:GFC458805 GOW458740:GOY458805 GYS458740:GYU458805 HIO458740:HIQ458805 HSK458740:HSM458805 ICG458740:ICI458805 IMC458740:IME458805 IVY458740:IWA458805 JFU458740:JFW458805 JPQ458740:JPS458805 JZM458740:JZO458805 KJI458740:KJK458805 KTE458740:KTG458805 LDA458740:LDC458805 LMW458740:LMY458805 LWS458740:LWU458805 MGO458740:MGQ458805 MQK458740:MQM458805 NAG458740:NAI458805 NKC458740:NKE458805 NTY458740:NUA458805 ODU458740:ODW458805 ONQ458740:ONS458805 OXM458740:OXO458805 PHI458740:PHK458805 PRE458740:PRG458805 QBA458740:QBC458805 QKW458740:QKY458805 QUS458740:QUU458805 REO458740:REQ458805 ROK458740:ROM458805 RYG458740:RYI458805 SIC458740:SIE458805 SRY458740:SSA458805 TBU458740:TBW458805 TLQ458740:TLS458805 TVM458740:TVO458805 UFI458740:UFK458805 UPE458740:UPG458805 UZA458740:UZC458805 VIW458740:VIY458805 VSS458740:VSU458805 WCO458740:WCQ458805 WMK458740:WMM458805 WWG458740:WWI458805 Y524276:AA524341 JU524276:JW524341 TQ524276:TS524341 ADM524276:ADO524341 ANI524276:ANK524341 AXE524276:AXG524341 BHA524276:BHC524341 BQW524276:BQY524341 CAS524276:CAU524341 CKO524276:CKQ524341 CUK524276:CUM524341 DEG524276:DEI524341 DOC524276:DOE524341 DXY524276:DYA524341 EHU524276:EHW524341 ERQ524276:ERS524341 FBM524276:FBO524341 FLI524276:FLK524341 FVE524276:FVG524341 GFA524276:GFC524341 GOW524276:GOY524341 GYS524276:GYU524341 HIO524276:HIQ524341 HSK524276:HSM524341 ICG524276:ICI524341 IMC524276:IME524341 IVY524276:IWA524341 JFU524276:JFW524341 JPQ524276:JPS524341 JZM524276:JZO524341 KJI524276:KJK524341 KTE524276:KTG524341 LDA524276:LDC524341 LMW524276:LMY524341 LWS524276:LWU524341 MGO524276:MGQ524341 MQK524276:MQM524341 NAG524276:NAI524341 NKC524276:NKE524341 NTY524276:NUA524341 ODU524276:ODW524341 ONQ524276:ONS524341 OXM524276:OXO524341 PHI524276:PHK524341 PRE524276:PRG524341 QBA524276:QBC524341 QKW524276:QKY524341 QUS524276:QUU524341 REO524276:REQ524341 ROK524276:ROM524341 RYG524276:RYI524341 SIC524276:SIE524341 SRY524276:SSA524341 TBU524276:TBW524341 TLQ524276:TLS524341 TVM524276:TVO524341 UFI524276:UFK524341 UPE524276:UPG524341 UZA524276:UZC524341 VIW524276:VIY524341 VSS524276:VSU524341 WCO524276:WCQ524341 WMK524276:WMM524341 WWG524276:WWI524341 Y589812:AA589877 JU589812:JW589877 TQ589812:TS589877 ADM589812:ADO589877 ANI589812:ANK589877 AXE589812:AXG589877 BHA589812:BHC589877 BQW589812:BQY589877 CAS589812:CAU589877 CKO589812:CKQ589877 CUK589812:CUM589877 DEG589812:DEI589877 DOC589812:DOE589877 DXY589812:DYA589877 EHU589812:EHW589877 ERQ589812:ERS589877 FBM589812:FBO589877 FLI589812:FLK589877 FVE589812:FVG589877 GFA589812:GFC589877 GOW589812:GOY589877 GYS589812:GYU589877 HIO589812:HIQ589877 HSK589812:HSM589877 ICG589812:ICI589877 IMC589812:IME589877 IVY589812:IWA589877 JFU589812:JFW589877 JPQ589812:JPS589877 JZM589812:JZO589877 KJI589812:KJK589877 KTE589812:KTG589877 LDA589812:LDC589877 LMW589812:LMY589877 LWS589812:LWU589877 MGO589812:MGQ589877 MQK589812:MQM589877 NAG589812:NAI589877 NKC589812:NKE589877 NTY589812:NUA589877 ODU589812:ODW589877 ONQ589812:ONS589877 OXM589812:OXO589877 PHI589812:PHK589877 PRE589812:PRG589877 QBA589812:QBC589877 QKW589812:QKY589877 QUS589812:QUU589877 REO589812:REQ589877 ROK589812:ROM589877 RYG589812:RYI589877 SIC589812:SIE589877 SRY589812:SSA589877 TBU589812:TBW589877 TLQ589812:TLS589877 TVM589812:TVO589877 UFI589812:UFK589877 UPE589812:UPG589877 UZA589812:UZC589877 VIW589812:VIY589877 VSS589812:VSU589877 WCO589812:WCQ589877 WMK589812:WMM589877 WWG589812:WWI589877 Y655348:AA655413 JU655348:JW655413 TQ655348:TS655413 ADM655348:ADO655413 ANI655348:ANK655413 AXE655348:AXG655413 BHA655348:BHC655413 BQW655348:BQY655413 CAS655348:CAU655413 CKO655348:CKQ655413 CUK655348:CUM655413 DEG655348:DEI655413 DOC655348:DOE655413 DXY655348:DYA655413 EHU655348:EHW655413 ERQ655348:ERS655413 FBM655348:FBO655413 FLI655348:FLK655413 FVE655348:FVG655413 GFA655348:GFC655413 GOW655348:GOY655413 GYS655348:GYU655413 HIO655348:HIQ655413 HSK655348:HSM655413 ICG655348:ICI655413 IMC655348:IME655413 IVY655348:IWA655413 JFU655348:JFW655413 JPQ655348:JPS655413 JZM655348:JZO655413 KJI655348:KJK655413 KTE655348:KTG655413 LDA655348:LDC655413 LMW655348:LMY655413 LWS655348:LWU655413 MGO655348:MGQ655413 MQK655348:MQM655413 NAG655348:NAI655413 NKC655348:NKE655413 NTY655348:NUA655413 ODU655348:ODW655413 ONQ655348:ONS655413 OXM655348:OXO655413 PHI655348:PHK655413 PRE655348:PRG655413 QBA655348:QBC655413 QKW655348:QKY655413 QUS655348:QUU655413 REO655348:REQ655413 ROK655348:ROM655413 RYG655348:RYI655413 SIC655348:SIE655413 SRY655348:SSA655413 TBU655348:TBW655413 TLQ655348:TLS655413 TVM655348:TVO655413 UFI655348:UFK655413 UPE655348:UPG655413 UZA655348:UZC655413 VIW655348:VIY655413 VSS655348:VSU655413 WCO655348:WCQ655413 WMK655348:WMM655413 WWG655348:WWI655413 Y720884:AA720949 JU720884:JW720949 TQ720884:TS720949 ADM720884:ADO720949 ANI720884:ANK720949 AXE720884:AXG720949 BHA720884:BHC720949 BQW720884:BQY720949 CAS720884:CAU720949 CKO720884:CKQ720949 CUK720884:CUM720949 DEG720884:DEI720949 DOC720884:DOE720949 DXY720884:DYA720949 EHU720884:EHW720949 ERQ720884:ERS720949 FBM720884:FBO720949 FLI720884:FLK720949 FVE720884:FVG720949 GFA720884:GFC720949 GOW720884:GOY720949 GYS720884:GYU720949 HIO720884:HIQ720949 HSK720884:HSM720949 ICG720884:ICI720949 IMC720884:IME720949 IVY720884:IWA720949 JFU720884:JFW720949 JPQ720884:JPS720949 JZM720884:JZO720949 KJI720884:KJK720949 KTE720884:KTG720949 LDA720884:LDC720949 LMW720884:LMY720949 LWS720884:LWU720949 MGO720884:MGQ720949 MQK720884:MQM720949 NAG720884:NAI720949 NKC720884:NKE720949 NTY720884:NUA720949 ODU720884:ODW720949 ONQ720884:ONS720949 OXM720884:OXO720949 PHI720884:PHK720949 PRE720884:PRG720949 QBA720884:QBC720949 QKW720884:QKY720949 QUS720884:QUU720949 REO720884:REQ720949 ROK720884:ROM720949 RYG720884:RYI720949 SIC720884:SIE720949 SRY720884:SSA720949 TBU720884:TBW720949 TLQ720884:TLS720949 TVM720884:TVO720949 UFI720884:UFK720949 UPE720884:UPG720949 UZA720884:UZC720949 VIW720884:VIY720949 VSS720884:VSU720949 WCO720884:WCQ720949 WMK720884:WMM720949 WWG720884:WWI720949 Y786420:AA786485 JU786420:JW786485 TQ786420:TS786485 ADM786420:ADO786485 ANI786420:ANK786485 AXE786420:AXG786485 BHA786420:BHC786485 BQW786420:BQY786485 CAS786420:CAU786485 CKO786420:CKQ786485 CUK786420:CUM786485 DEG786420:DEI786485 DOC786420:DOE786485 DXY786420:DYA786485 EHU786420:EHW786485 ERQ786420:ERS786485 FBM786420:FBO786485 FLI786420:FLK786485 FVE786420:FVG786485 GFA786420:GFC786485 GOW786420:GOY786485 GYS786420:GYU786485 HIO786420:HIQ786485 HSK786420:HSM786485 ICG786420:ICI786485 IMC786420:IME786485 IVY786420:IWA786485 JFU786420:JFW786485 JPQ786420:JPS786485 JZM786420:JZO786485 KJI786420:KJK786485 KTE786420:KTG786485 LDA786420:LDC786485 LMW786420:LMY786485 LWS786420:LWU786485 MGO786420:MGQ786485 MQK786420:MQM786485 NAG786420:NAI786485 NKC786420:NKE786485 NTY786420:NUA786485 ODU786420:ODW786485 ONQ786420:ONS786485 OXM786420:OXO786485 PHI786420:PHK786485 PRE786420:PRG786485 QBA786420:QBC786485 QKW786420:QKY786485 QUS786420:QUU786485 REO786420:REQ786485 ROK786420:ROM786485 RYG786420:RYI786485 SIC786420:SIE786485 SRY786420:SSA786485 TBU786420:TBW786485 TLQ786420:TLS786485 TVM786420:TVO786485 UFI786420:UFK786485 UPE786420:UPG786485 UZA786420:UZC786485 VIW786420:VIY786485 VSS786420:VSU786485 WCO786420:WCQ786485 WMK786420:WMM786485 WWG786420:WWI786485 Y851956:AA852021 JU851956:JW852021 TQ851956:TS852021 ADM851956:ADO852021 ANI851956:ANK852021 AXE851956:AXG852021 BHA851956:BHC852021 BQW851956:BQY852021 CAS851956:CAU852021 CKO851956:CKQ852021 CUK851956:CUM852021 DEG851956:DEI852021 DOC851956:DOE852021 DXY851956:DYA852021 EHU851956:EHW852021 ERQ851956:ERS852021 FBM851956:FBO852021 FLI851956:FLK852021 FVE851956:FVG852021 GFA851956:GFC852021 GOW851956:GOY852021 GYS851956:GYU852021 HIO851956:HIQ852021 HSK851956:HSM852021 ICG851956:ICI852021 IMC851956:IME852021 IVY851956:IWA852021 JFU851956:JFW852021 JPQ851956:JPS852021 JZM851956:JZO852021 KJI851956:KJK852021 KTE851956:KTG852021 LDA851956:LDC852021 LMW851956:LMY852021 LWS851956:LWU852021 MGO851956:MGQ852021 MQK851956:MQM852021 NAG851956:NAI852021 NKC851956:NKE852021 NTY851956:NUA852021 ODU851956:ODW852021 ONQ851956:ONS852021 OXM851956:OXO852021 PHI851956:PHK852021 PRE851956:PRG852021 QBA851956:QBC852021 QKW851956:QKY852021 QUS851956:QUU852021 REO851956:REQ852021 ROK851956:ROM852021 RYG851956:RYI852021 SIC851956:SIE852021 SRY851956:SSA852021 TBU851956:TBW852021 TLQ851956:TLS852021 TVM851956:TVO852021 UFI851956:UFK852021 UPE851956:UPG852021 UZA851956:UZC852021 VIW851956:VIY852021 VSS851956:VSU852021 WCO851956:WCQ852021 WMK851956:WMM852021 WWG851956:WWI852021 Y917492:AA917557 JU917492:JW917557 TQ917492:TS917557 ADM917492:ADO917557 ANI917492:ANK917557 AXE917492:AXG917557 BHA917492:BHC917557 BQW917492:BQY917557 CAS917492:CAU917557 CKO917492:CKQ917557 CUK917492:CUM917557 DEG917492:DEI917557 DOC917492:DOE917557 DXY917492:DYA917557 EHU917492:EHW917557 ERQ917492:ERS917557 FBM917492:FBO917557 FLI917492:FLK917557 FVE917492:FVG917557 GFA917492:GFC917557 GOW917492:GOY917557 GYS917492:GYU917557 HIO917492:HIQ917557 HSK917492:HSM917557 ICG917492:ICI917557 IMC917492:IME917557 IVY917492:IWA917557 JFU917492:JFW917557 JPQ917492:JPS917557 JZM917492:JZO917557 KJI917492:KJK917557 KTE917492:KTG917557 LDA917492:LDC917557 LMW917492:LMY917557 LWS917492:LWU917557 MGO917492:MGQ917557 MQK917492:MQM917557 NAG917492:NAI917557 NKC917492:NKE917557 NTY917492:NUA917557 ODU917492:ODW917557 ONQ917492:ONS917557 OXM917492:OXO917557 PHI917492:PHK917557 PRE917492:PRG917557 QBA917492:QBC917557 QKW917492:QKY917557 QUS917492:QUU917557 REO917492:REQ917557 ROK917492:ROM917557 RYG917492:RYI917557 SIC917492:SIE917557 SRY917492:SSA917557 TBU917492:TBW917557 TLQ917492:TLS917557 TVM917492:TVO917557 UFI917492:UFK917557 UPE917492:UPG917557 UZA917492:UZC917557 VIW917492:VIY917557 VSS917492:VSU917557 WCO917492:WCQ917557 WMK917492:WMM917557 WWG917492:WWI917557 Y983028:AA983093 JU983028:JW983093 TQ983028:TS983093 ADM983028:ADO983093 ANI983028:ANK983093 AXE983028:AXG983093 BHA983028:BHC983093 BQW983028:BQY983093 CAS983028:CAU983093 CKO983028:CKQ983093 CUK983028:CUM983093 DEG983028:DEI983093 DOC983028:DOE983093 DXY983028:DYA983093 EHU983028:EHW983093 ERQ983028:ERS983093 FBM983028:FBO983093 FLI983028:FLK983093 FVE983028:FVG983093 GFA983028:GFC983093 GOW983028:GOY983093 GYS983028:GYU983093 HIO983028:HIQ983093 HSK983028:HSM983093 ICG983028:ICI983093 IMC983028:IME983093 IVY983028:IWA983093 JFU983028:JFW983093 JPQ983028:JPS983093 JZM983028:JZO983093 KJI983028:KJK983093 KTE983028:KTG983093 LDA983028:LDC983093 LMW983028:LMY983093 LWS983028:LWU983093 MGO983028:MGQ983093 MQK983028:MQM983093 NAG983028:NAI983093 NKC983028:NKE983093 NTY983028:NUA983093 ODU983028:ODW983093 ONQ983028:ONS983093 OXM983028:OXO983093 PHI983028:PHK983093 PRE983028:PRG983093 QBA983028:QBC983093 QKW983028:QKY983093 QUS983028:QUU983093 REO983028:REQ983093 ROK983028:ROM983093 RYG983028:RYI983093 SIC983028:SIE983093 SRY983028:SSA983093 TBU983028:TBW983093 TLQ983028:TLS983093 TVM983028:TVO983093 UFI983028:UFK983093 UPE983028:UPG983093 UZA983028:UZC983093 VIW983028:VIY983093 VSS983028:VSU983093 WCO983028:WCQ983093 WMK983028:WMM983093 JU64349:JW64414">
      <formula1>$AV$2:$AV$20</formula1>
    </dataValidation>
    <dataValidation type="list" allowBlank="1" showInputMessage="1" showErrorMessage="1" sqref="H64349:H64414 JD64349:JD64414 SZ64349:SZ64414 ACV64349:ACV64414 AMR64349:AMR64414 AWN64349:AWN64414 BGJ64349:BGJ64414 BQF64349:BQF64414 CAB64349:CAB64414 CJX64349:CJX64414 CTT64349:CTT64414 DDP64349:DDP64414 DNL64349:DNL64414 DXH64349:DXH64414 EHD64349:EHD64414 EQZ64349:EQZ64414 FAV64349:FAV64414 FKR64349:FKR64414 FUN64349:FUN64414 GEJ64349:GEJ64414 GOF64349:GOF64414 GYB64349:GYB64414 HHX64349:HHX64414 HRT64349:HRT64414 IBP64349:IBP64414 ILL64349:ILL64414 IVH64349:IVH64414 JFD64349:JFD64414 JOZ64349:JOZ64414 JYV64349:JYV64414 KIR64349:KIR64414 KSN64349:KSN64414 LCJ64349:LCJ64414 LMF64349:LMF64414 LWB64349:LWB64414 MFX64349:MFX64414 MPT64349:MPT64414 MZP64349:MZP64414 NJL64349:NJL64414 NTH64349:NTH64414 ODD64349:ODD64414 OMZ64349:OMZ64414 OWV64349:OWV64414 PGR64349:PGR64414 PQN64349:PQN64414 QAJ64349:QAJ64414 QKF64349:QKF64414 QUB64349:QUB64414 RDX64349:RDX64414 RNT64349:RNT64414 RXP64349:RXP64414 SHL64349:SHL64414 SRH64349:SRH64414 TBD64349:TBD64414 TKZ64349:TKZ64414 TUV64349:TUV64414 UER64349:UER64414 UON64349:UON64414 UYJ64349:UYJ64414 VIF64349:VIF64414 VSB64349:VSB64414 WBX64349:WBX64414 WLT64349:WLT64414 WVP64349:WVP64414 H129885:H129950 JD129885:JD129950 SZ129885:SZ129950 ACV129885:ACV129950 AMR129885:AMR129950 AWN129885:AWN129950 BGJ129885:BGJ129950 BQF129885:BQF129950 CAB129885:CAB129950 CJX129885:CJX129950 CTT129885:CTT129950 DDP129885:DDP129950 DNL129885:DNL129950 DXH129885:DXH129950 EHD129885:EHD129950 EQZ129885:EQZ129950 FAV129885:FAV129950 FKR129885:FKR129950 FUN129885:FUN129950 GEJ129885:GEJ129950 GOF129885:GOF129950 GYB129885:GYB129950 HHX129885:HHX129950 HRT129885:HRT129950 IBP129885:IBP129950 ILL129885:ILL129950 IVH129885:IVH129950 JFD129885:JFD129950 JOZ129885:JOZ129950 JYV129885:JYV129950 KIR129885:KIR129950 KSN129885:KSN129950 LCJ129885:LCJ129950 LMF129885:LMF129950 LWB129885:LWB129950 MFX129885:MFX129950 MPT129885:MPT129950 MZP129885:MZP129950 NJL129885:NJL129950 NTH129885:NTH129950 ODD129885:ODD129950 OMZ129885:OMZ129950 OWV129885:OWV129950 PGR129885:PGR129950 PQN129885:PQN129950 QAJ129885:QAJ129950 QKF129885:QKF129950 QUB129885:QUB129950 RDX129885:RDX129950 RNT129885:RNT129950 RXP129885:RXP129950 SHL129885:SHL129950 SRH129885:SRH129950 TBD129885:TBD129950 TKZ129885:TKZ129950 TUV129885:TUV129950 UER129885:UER129950 UON129885:UON129950 UYJ129885:UYJ129950 VIF129885:VIF129950 VSB129885:VSB129950 WBX129885:WBX129950 WLT129885:WLT129950 WVP129885:WVP129950 H195421:H195486 JD195421:JD195486 SZ195421:SZ195486 ACV195421:ACV195486 AMR195421:AMR195486 AWN195421:AWN195486 BGJ195421:BGJ195486 BQF195421:BQF195486 CAB195421:CAB195486 CJX195421:CJX195486 CTT195421:CTT195486 DDP195421:DDP195486 DNL195421:DNL195486 DXH195421:DXH195486 EHD195421:EHD195486 EQZ195421:EQZ195486 FAV195421:FAV195486 FKR195421:FKR195486 FUN195421:FUN195486 GEJ195421:GEJ195486 GOF195421:GOF195486 GYB195421:GYB195486 HHX195421:HHX195486 HRT195421:HRT195486 IBP195421:IBP195486 ILL195421:ILL195486 IVH195421:IVH195486 JFD195421:JFD195486 JOZ195421:JOZ195486 JYV195421:JYV195486 KIR195421:KIR195486 KSN195421:KSN195486 LCJ195421:LCJ195486 LMF195421:LMF195486 LWB195421:LWB195486 MFX195421:MFX195486 MPT195421:MPT195486 MZP195421:MZP195486 NJL195421:NJL195486 NTH195421:NTH195486 ODD195421:ODD195486 OMZ195421:OMZ195486 OWV195421:OWV195486 PGR195421:PGR195486 PQN195421:PQN195486 QAJ195421:QAJ195486 QKF195421:QKF195486 QUB195421:QUB195486 RDX195421:RDX195486 RNT195421:RNT195486 RXP195421:RXP195486 SHL195421:SHL195486 SRH195421:SRH195486 TBD195421:TBD195486 TKZ195421:TKZ195486 TUV195421:TUV195486 UER195421:UER195486 UON195421:UON195486 UYJ195421:UYJ195486 VIF195421:VIF195486 VSB195421:VSB195486 WBX195421:WBX195486 WLT195421:WLT195486 WVP195421:WVP195486 H260957:H261022 JD260957:JD261022 SZ260957:SZ261022 ACV260957:ACV261022 AMR260957:AMR261022 AWN260957:AWN261022 BGJ260957:BGJ261022 BQF260957:BQF261022 CAB260957:CAB261022 CJX260957:CJX261022 CTT260957:CTT261022 DDP260957:DDP261022 DNL260957:DNL261022 DXH260957:DXH261022 EHD260957:EHD261022 EQZ260957:EQZ261022 FAV260957:FAV261022 FKR260957:FKR261022 FUN260957:FUN261022 GEJ260957:GEJ261022 GOF260957:GOF261022 GYB260957:GYB261022 HHX260957:HHX261022 HRT260957:HRT261022 IBP260957:IBP261022 ILL260957:ILL261022 IVH260957:IVH261022 JFD260957:JFD261022 JOZ260957:JOZ261022 JYV260957:JYV261022 KIR260957:KIR261022 KSN260957:KSN261022 LCJ260957:LCJ261022 LMF260957:LMF261022 LWB260957:LWB261022 MFX260957:MFX261022 MPT260957:MPT261022 MZP260957:MZP261022 NJL260957:NJL261022 NTH260957:NTH261022 ODD260957:ODD261022 OMZ260957:OMZ261022 OWV260957:OWV261022 PGR260957:PGR261022 PQN260957:PQN261022 QAJ260957:QAJ261022 QKF260957:QKF261022 QUB260957:QUB261022 RDX260957:RDX261022 RNT260957:RNT261022 RXP260957:RXP261022 SHL260957:SHL261022 SRH260957:SRH261022 TBD260957:TBD261022 TKZ260957:TKZ261022 TUV260957:TUV261022 UER260957:UER261022 UON260957:UON261022 UYJ260957:UYJ261022 VIF260957:VIF261022 VSB260957:VSB261022 WBX260957:WBX261022 WLT260957:WLT261022 WVP260957:WVP261022 H326493:H326558 JD326493:JD326558 SZ326493:SZ326558 ACV326493:ACV326558 AMR326493:AMR326558 AWN326493:AWN326558 BGJ326493:BGJ326558 BQF326493:BQF326558 CAB326493:CAB326558 CJX326493:CJX326558 CTT326493:CTT326558 DDP326493:DDP326558 DNL326493:DNL326558 DXH326493:DXH326558 EHD326493:EHD326558 EQZ326493:EQZ326558 FAV326493:FAV326558 FKR326493:FKR326558 FUN326493:FUN326558 GEJ326493:GEJ326558 GOF326493:GOF326558 GYB326493:GYB326558 HHX326493:HHX326558 HRT326493:HRT326558 IBP326493:IBP326558 ILL326493:ILL326558 IVH326493:IVH326558 JFD326493:JFD326558 JOZ326493:JOZ326558 JYV326493:JYV326558 KIR326493:KIR326558 KSN326493:KSN326558 LCJ326493:LCJ326558 LMF326493:LMF326558 LWB326493:LWB326558 MFX326493:MFX326558 MPT326493:MPT326558 MZP326493:MZP326558 NJL326493:NJL326558 NTH326493:NTH326558 ODD326493:ODD326558 OMZ326493:OMZ326558 OWV326493:OWV326558 PGR326493:PGR326558 PQN326493:PQN326558 QAJ326493:QAJ326558 QKF326493:QKF326558 QUB326493:QUB326558 RDX326493:RDX326558 RNT326493:RNT326558 RXP326493:RXP326558 SHL326493:SHL326558 SRH326493:SRH326558 TBD326493:TBD326558 TKZ326493:TKZ326558 TUV326493:TUV326558 UER326493:UER326558 UON326493:UON326558 UYJ326493:UYJ326558 VIF326493:VIF326558 VSB326493:VSB326558 WBX326493:WBX326558 WLT326493:WLT326558 WVP326493:WVP326558 H392029:H392094 JD392029:JD392094 SZ392029:SZ392094 ACV392029:ACV392094 AMR392029:AMR392094 AWN392029:AWN392094 BGJ392029:BGJ392094 BQF392029:BQF392094 CAB392029:CAB392094 CJX392029:CJX392094 CTT392029:CTT392094 DDP392029:DDP392094 DNL392029:DNL392094 DXH392029:DXH392094 EHD392029:EHD392094 EQZ392029:EQZ392094 FAV392029:FAV392094 FKR392029:FKR392094 FUN392029:FUN392094 GEJ392029:GEJ392094 GOF392029:GOF392094 GYB392029:GYB392094 HHX392029:HHX392094 HRT392029:HRT392094 IBP392029:IBP392094 ILL392029:ILL392094 IVH392029:IVH392094 JFD392029:JFD392094 JOZ392029:JOZ392094 JYV392029:JYV392094 KIR392029:KIR392094 KSN392029:KSN392094 LCJ392029:LCJ392094 LMF392029:LMF392094 LWB392029:LWB392094 MFX392029:MFX392094 MPT392029:MPT392094 MZP392029:MZP392094 NJL392029:NJL392094 NTH392029:NTH392094 ODD392029:ODD392094 OMZ392029:OMZ392094 OWV392029:OWV392094 PGR392029:PGR392094 PQN392029:PQN392094 QAJ392029:QAJ392094 QKF392029:QKF392094 QUB392029:QUB392094 RDX392029:RDX392094 RNT392029:RNT392094 RXP392029:RXP392094 SHL392029:SHL392094 SRH392029:SRH392094 TBD392029:TBD392094 TKZ392029:TKZ392094 TUV392029:TUV392094 UER392029:UER392094 UON392029:UON392094 UYJ392029:UYJ392094 VIF392029:VIF392094 VSB392029:VSB392094 WBX392029:WBX392094 WLT392029:WLT392094 WVP392029:WVP392094 H457565:H457630 JD457565:JD457630 SZ457565:SZ457630 ACV457565:ACV457630 AMR457565:AMR457630 AWN457565:AWN457630 BGJ457565:BGJ457630 BQF457565:BQF457630 CAB457565:CAB457630 CJX457565:CJX457630 CTT457565:CTT457630 DDP457565:DDP457630 DNL457565:DNL457630 DXH457565:DXH457630 EHD457565:EHD457630 EQZ457565:EQZ457630 FAV457565:FAV457630 FKR457565:FKR457630 FUN457565:FUN457630 GEJ457565:GEJ457630 GOF457565:GOF457630 GYB457565:GYB457630 HHX457565:HHX457630 HRT457565:HRT457630 IBP457565:IBP457630 ILL457565:ILL457630 IVH457565:IVH457630 JFD457565:JFD457630 JOZ457565:JOZ457630 JYV457565:JYV457630 KIR457565:KIR457630 KSN457565:KSN457630 LCJ457565:LCJ457630 LMF457565:LMF457630 LWB457565:LWB457630 MFX457565:MFX457630 MPT457565:MPT457630 MZP457565:MZP457630 NJL457565:NJL457630 NTH457565:NTH457630 ODD457565:ODD457630 OMZ457565:OMZ457630 OWV457565:OWV457630 PGR457565:PGR457630 PQN457565:PQN457630 QAJ457565:QAJ457630 QKF457565:QKF457630 QUB457565:QUB457630 RDX457565:RDX457630 RNT457565:RNT457630 RXP457565:RXP457630 SHL457565:SHL457630 SRH457565:SRH457630 TBD457565:TBD457630 TKZ457565:TKZ457630 TUV457565:TUV457630 UER457565:UER457630 UON457565:UON457630 UYJ457565:UYJ457630 VIF457565:VIF457630 VSB457565:VSB457630 WBX457565:WBX457630 WLT457565:WLT457630 WVP457565:WVP457630 H523101:H523166 JD523101:JD523166 SZ523101:SZ523166 ACV523101:ACV523166 AMR523101:AMR523166 AWN523101:AWN523166 BGJ523101:BGJ523166 BQF523101:BQF523166 CAB523101:CAB523166 CJX523101:CJX523166 CTT523101:CTT523166 DDP523101:DDP523166 DNL523101:DNL523166 DXH523101:DXH523166 EHD523101:EHD523166 EQZ523101:EQZ523166 FAV523101:FAV523166 FKR523101:FKR523166 FUN523101:FUN523166 GEJ523101:GEJ523166 GOF523101:GOF523166 GYB523101:GYB523166 HHX523101:HHX523166 HRT523101:HRT523166 IBP523101:IBP523166 ILL523101:ILL523166 IVH523101:IVH523166 JFD523101:JFD523166 JOZ523101:JOZ523166 JYV523101:JYV523166 KIR523101:KIR523166 KSN523101:KSN523166 LCJ523101:LCJ523166 LMF523101:LMF523166 LWB523101:LWB523166 MFX523101:MFX523166 MPT523101:MPT523166 MZP523101:MZP523166 NJL523101:NJL523166 NTH523101:NTH523166 ODD523101:ODD523166 OMZ523101:OMZ523166 OWV523101:OWV523166 PGR523101:PGR523166 PQN523101:PQN523166 QAJ523101:QAJ523166 QKF523101:QKF523166 QUB523101:QUB523166 RDX523101:RDX523166 RNT523101:RNT523166 RXP523101:RXP523166 SHL523101:SHL523166 SRH523101:SRH523166 TBD523101:TBD523166 TKZ523101:TKZ523166 TUV523101:TUV523166 UER523101:UER523166 UON523101:UON523166 UYJ523101:UYJ523166 VIF523101:VIF523166 VSB523101:VSB523166 WBX523101:WBX523166 WLT523101:WLT523166 WVP523101:WVP523166 H588637:H588702 JD588637:JD588702 SZ588637:SZ588702 ACV588637:ACV588702 AMR588637:AMR588702 AWN588637:AWN588702 BGJ588637:BGJ588702 BQF588637:BQF588702 CAB588637:CAB588702 CJX588637:CJX588702 CTT588637:CTT588702 DDP588637:DDP588702 DNL588637:DNL588702 DXH588637:DXH588702 EHD588637:EHD588702 EQZ588637:EQZ588702 FAV588637:FAV588702 FKR588637:FKR588702 FUN588637:FUN588702 GEJ588637:GEJ588702 GOF588637:GOF588702 GYB588637:GYB588702 HHX588637:HHX588702 HRT588637:HRT588702 IBP588637:IBP588702 ILL588637:ILL588702 IVH588637:IVH588702 JFD588637:JFD588702 JOZ588637:JOZ588702 JYV588637:JYV588702 KIR588637:KIR588702 KSN588637:KSN588702 LCJ588637:LCJ588702 LMF588637:LMF588702 LWB588637:LWB588702 MFX588637:MFX588702 MPT588637:MPT588702 MZP588637:MZP588702 NJL588637:NJL588702 NTH588637:NTH588702 ODD588637:ODD588702 OMZ588637:OMZ588702 OWV588637:OWV588702 PGR588637:PGR588702 PQN588637:PQN588702 QAJ588637:QAJ588702 QKF588637:QKF588702 QUB588637:QUB588702 RDX588637:RDX588702 RNT588637:RNT588702 RXP588637:RXP588702 SHL588637:SHL588702 SRH588637:SRH588702 TBD588637:TBD588702 TKZ588637:TKZ588702 TUV588637:TUV588702 UER588637:UER588702 UON588637:UON588702 UYJ588637:UYJ588702 VIF588637:VIF588702 VSB588637:VSB588702 WBX588637:WBX588702 WLT588637:WLT588702 WVP588637:WVP588702 H654173:H654238 JD654173:JD654238 SZ654173:SZ654238 ACV654173:ACV654238 AMR654173:AMR654238 AWN654173:AWN654238 BGJ654173:BGJ654238 BQF654173:BQF654238 CAB654173:CAB654238 CJX654173:CJX654238 CTT654173:CTT654238 DDP654173:DDP654238 DNL654173:DNL654238 DXH654173:DXH654238 EHD654173:EHD654238 EQZ654173:EQZ654238 FAV654173:FAV654238 FKR654173:FKR654238 FUN654173:FUN654238 GEJ654173:GEJ654238 GOF654173:GOF654238 GYB654173:GYB654238 HHX654173:HHX654238 HRT654173:HRT654238 IBP654173:IBP654238 ILL654173:ILL654238 IVH654173:IVH654238 JFD654173:JFD654238 JOZ654173:JOZ654238 JYV654173:JYV654238 KIR654173:KIR654238 KSN654173:KSN654238 LCJ654173:LCJ654238 LMF654173:LMF654238 LWB654173:LWB654238 MFX654173:MFX654238 MPT654173:MPT654238 MZP654173:MZP654238 NJL654173:NJL654238 NTH654173:NTH654238 ODD654173:ODD654238 OMZ654173:OMZ654238 OWV654173:OWV654238 PGR654173:PGR654238 PQN654173:PQN654238 QAJ654173:QAJ654238 QKF654173:QKF654238 QUB654173:QUB654238 RDX654173:RDX654238 RNT654173:RNT654238 RXP654173:RXP654238 SHL654173:SHL654238 SRH654173:SRH654238 TBD654173:TBD654238 TKZ654173:TKZ654238 TUV654173:TUV654238 UER654173:UER654238 UON654173:UON654238 UYJ654173:UYJ654238 VIF654173:VIF654238 VSB654173:VSB654238 WBX654173:WBX654238 WLT654173:WLT654238 WVP654173:WVP654238 H719709:H719774 JD719709:JD719774 SZ719709:SZ719774 ACV719709:ACV719774 AMR719709:AMR719774 AWN719709:AWN719774 BGJ719709:BGJ719774 BQF719709:BQF719774 CAB719709:CAB719774 CJX719709:CJX719774 CTT719709:CTT719774 DDP719709:DDP719774 DNL719709:DNL719774 DXH719709:DXH719774 EHD719709:EHD719774 EQZ719709:EQZ719774 FAV719709:FAV719774 FKR719709:FKR719774 FUN719709:FUN719774 GEJ719709:GEJ719774 GOF719709:GOF719774 GYB719709:GYB719774 HHX719709:HHX719774 HRT719709:HRT719774 IBP719709:IBP719774 ILL719709:ILL719774 IVH719709:IVH719774 JFD719709:JFD719774 JOZ719709:JOZ719774 JYV719709:JYV719774 KIR719709:KIR719774 KSN719709:KSN719774 LCJ719709:LCJ719774 LMF719709:LMF719774 LWB719709:LWB719774 MFX719709:MFX719774 MPT719709:MPT719774 MZP719709:MZP719774 NJL719709:NJL719774 NTH719709:NTH719774 ODD719709:ODD719774 OMZ719709:OMZ719774 OWV719709:OWV719774 PGR719709:PGR719774 PQN719709:PQN719774 QAJ719709:QAJ719774 QKF719709:QKF719774 QUB719709:QUB719774 RDX719709:RDX719774 RNT719709:RNT719774 RXP719709:RXP719774 SHL719709:SHL719774 SRH719709:SRH719774 TBD719709:TBD719774 TKZ719709:TKZ719774 TUV719709:TUV719774 UER719709:UER719774 UON719709:UON719774 UYJ719709:UYJ719774 VIF719709:VIF719774 VSB719709:VSB719774 WBX719709:WBX719774 WLT719709:WLT719774 WVP719709:WVP719774 H785245:H785310 JD785245:JD785310 SZ785245:SZ785310 ACV785245:ACV785310 AMR785245:AMR785310 AWN785245:AWN785310 BGJ785245:BGJ785310 BQF785245:BQF785310 CAB785245:CAB785310 CJX785245:CJX785310 CTT785245:CTT785310 DDP785245:DDP785310 DNL785245:DNL785310 DXH785245:DXH785310 EHD785245:EHD785310 EQZ785245:EQZ785310 FAV785245:FAV785310 FKR785245:FKR785310 FUN785245:FUN785310 GEJ785245:GEJ785310 GOF785245:GOF785310 GYB785245:GYB785310 HHX785245:HHX785310 HRT785245:HRT785310 IBP785245:IBP785310 ILL785245:ILL785310 IVH785245:IVH785310 JFD785245:JFD785310 JOZ785245:JOZ785310 JYV785245:JYV785310 KIR785245:KIR785310 KSN785245:KSN785310 LCJ785245:LCJ785310 LMF785245:LMF785310 LWB785245:LWB785310 MFX785245:MFX785310 MPT785245:MPT785310 MZP785245:MZP785310 NJL785245:NJL785310 NTH785245:NTH785310 ODD785245:ODD785310 OMZ785245:OMZ785310 OWV785245:OWV785310 PGR785245:PGR785310 PQN785245:PQN785310 QAJ785245:QAJ785310 QKF785245:QKF785310 QUB785245:QUB785310 RDX785245:RDX785310 RNT785245:RNT785310 RXP785245:RXP785310 SHL785245:SHL785310 SRH785245:SRH785310 TBD785245:TBD785310 TKZ785245:TKZ785310 TUV785245:TUV785310 UER785245:UER785310 UON785245:UON785310 UYJ785245:UYJ785310 VIF785245:VIF785310 VSB785245:VSB785310 WBX785245:WBX785310 WLT785245:WLT785310 WVP785245:WVP785310 H850781:H850846 JD850781:JD850846 SZ850781:SZ850846 ACV850781:ACV850846 AMR850781:AMR850846 AWN850781:AWN850846 BGJ850781:BGJ850846 BQF850781:BQF850846 CAB850781:CAB850846 CJX850781:CJX850846 CTT850781:CTT850846 DDP850781:DDP850846 DNL850781:DNL850846 DXH850781:DXH850846 EHD850781:EHD850846 EQZ850781:EQZ850846 FAV850781:FAV850846 FKR850781:FKR850846 FUN850781:FUN850846 GEJ850781:GEJ850846 GOF850781:GOF850846 GYB850781:GYB850846 HHX850781:HHX850846 HRT850781:HRT850846 IBP850781:IBP850846 ILL850781:ILL850846 IVH850781:IVH850846 JFD850781:JFD850846 JOZ850781:JOZ850846 JYV850781:JYV850846 KIR850781:KIR850846 KSN850781:KSN850846 LCJ850781:LCJ850846 LMF850781:LMF850846 LWB850781:LWB850846 MFX850781:MFX850846 MPT850781:MPT850846 MZP850781:MZP850846 NJL850781:NJL850846 NTH850781:NTH850846 ODD850781:ODD850846 OMZ850781:OMZ850846 OWV850781:OWV850846 PGR850781:PGR850846 PQN850781:PQN850846 QAJ850781:QAJ850846 QKF850781:QKF850846 QUB850781:QUB850846 RDX850781:RDX850846 RNT850781:RNT850846 RXP850781:RXP850846 SHL850781:SHL850846 SRH850781:SRH850846 TBD850781:TBD850846 TKZ850781:TKZ850846 TUV850781:TUV850846 UER850781:UER850846 UON850781:UON850846 UYJ850781:UYJ850846 VIF850781:VIF850846 VSB850781:VSB850846 WBX850781:WBX850846 WLT850781:WLT850846 WVP850781:WVP850846 H916317:H916382 JD916317:JD916382 SZ916317:SZ916382 ACV916317:ACV916382 AMR916317:AMR916382 AWN916317:AWN916382 BGJ916317:BGJ916382 BQF916317:BQF916382 CAB916317:CAB916382 CJX916317:CJX916382 CTT916317:CTT916382 DDP916317:DDP916382 DNL916317:DNL916382 DXH916317:DXH916382 EHD916317:EHD916382 EQZ916317:EQZ916382 FAV916317:FAV916382 FKR916317:FKR916382 FUN916317:FUN916382 GEJ916317:GEJ916382 GOF916317:GOF916382 GYB916317:GYB916382 HHX916317:HHX916382 HRT916317:HRT916382 IBP916317:IBP916382 ILL916317:ILL916382 IVH916317:IVH916382 JFD916317:JFD916382 JOZ916317:JOZ916382 JYV916317:JYV916382 KIR916317:KIR916382 KSN916317:KSN916382 LCJ916317:LCJ916382 LMF916317:LMF916382 LWB916317:LWB916382 MFX916317:MFX916382 MPT916317:MPT916382 MZP916317:MZP916382 NJL916317:NJL916382 NTH916317:NTH916382 ODD916317:ODD916382 OMZ916317:OMZ916382 OWV916317:OWV916382 PGR916317:PGR916382 PQN916317:PQN916382 QAJ916317:QAJ916382 QKF916317:QKF916382 QUB916317:QUB916382 RDX916317:RDX916382 RNT916317:RNT916382 RXP916317:RXP916382 SHL916317:SHL916382 SRH916317:SRH916382 TBD916317:TBD916382 TKZ916317:TKZ916382 TUV916317:TUV916382 UER916317:UER916382 UON916317:UON916382 UYJ916317:UYJ916382 VIF916317:VIF916382 VSB916317:VSB916382 WBX916317:WBX916382 WLT916317:WLT916382 WVP916317:WVP916382 H981853:H981918 JD981853:JD981918 SZ981853:SZ981918 ACV981853:ACV981918 AMR981853:AMR981918 AWN981853:AWN981918 BGJ981853:BGJ981918 BQF981853:BQF981918 CAB981853:CAB981918 CJX981853:CJX981918 CTT981853:CTT981918 DDP981853:DDP981918 DNL981853:DNL981918 DXH981853:DXH981918 EHD981853:EHD981918 EQZ981853:EQZ981918 FAV981853:FAV981918 FKR981853:FKR981918 FUN981853:FUN981918 GEJ981853:GEJ981918 GOF981853:GOF981918 GYB981853:GYB981918 HHX981853:HHX981918 HRT981853:HRT981918 IBP981853:IBP981918 ILL981853:ILL981918 IVH981853:IVH981918 JFD981853:JFD981918 JOZ981853:JOZ981918 JYV981853:JYV981918 KIR981853:KIR981918 KSN981853:KSN981918 LCJ981853:LCJ981918 LMF981853:LMF981918 LWB981853:LWB981918 MFX981853:MFX981918 MPT981853:MPT981918 MZP981853:MZP981918 NJL981853:NJL981918 NTH981853:NTH981918 ODD981853:ODD981918 OMZ981853:OMZ981918 OWV981853:OWV981918 PGR981853:PGR981918 PQN981853:PQN981918 QAJ981853:QAJ981918 QKF981853:QKF981918 QUB981853:QUB981918 RDX981853:RDX981918 RNT981853:RNT981918 RXP981853:RXP981918 SHL981853:SHL981918 SRH981853:SRH981918 TBD981853:TBD981918 TKZ981853:TKZ981918 TUV981853:TUV981918 UER981853:UER981918 UON981853:UON981918 UYJ981853:UYJ981918 VIF981853:VIF981918 VSB981853:VSB981918 WBX981853:WBX981918 WLT981853:WLT981918 WVP981853:WVP981918 H1047389:H1047454 JD1047389:JD1047454 SZ1047389:SZ1047454 ACV1047389:ACV1047454 AMR1047389:AMR1047454 AWN1047389:AWN1047454 BGJ1047389:BGJ1047454 BQF1047389:BQF1047454 CAB1047389:CAB1047454 CJX1047389:CJX1047454 CTT1047389:CTT1047454 DDP1047389:DDP1047454 DNL1047389:DNL1047454 DXH1047389:DXH1047454 EHD1047389:EHD1047454 EQZ1047389:EQZ1047454 FAV1047389:FAV1047454 FKR1047389:FKR1047454 FUN1047389:FUN1047454 GEJ1047389:GEJ1047454 GOF1047389:GOF1047454 GYB1047389:GYB1047454 HHX1047389:HHX1047454 HRT1047389:HRT1047454 IBP1047389:IBP1047454 ILL1047389:ILL1047454 IVH1047389:IVH1047454 JFD1047389:JFD1047454 JOZ1047389:JOZ1047454 JYV1047389:JYV1047454 KIR1047389:KIR1047454 KSN1047389:KSN1047454 LCJ1047389:LCJ1047454 LMF1047389:LMF1047454 LWB1047389:LWB1047454 MFX1047389:MFX1047454 MPT1047389:MPT1047454 MZP1047389:MZP1047454 NJL1047389:NJL1047454 NTH1047389:NTH1047454 ODD1047389:ODD1047454 OMZ1047389:OMZ1047454 OWV1047389:OWV1047454 PGR1047389:PGR1047454 PQN1047389:PQN1047454 QAJ1047389:QAJ1047454 QKF1047389:QKF1047454 QUB1047389:QUB1047454 RDX1047389:RDX1047454 RNT1047389:RNT1047454 RXP1047389:RXP1047454 SHL1047389:SHL1047454 SRH1047389:SRH1047454 TBD1047389:TBD1047454 TKZ1047389:TKZ1047454 TUV1047389:TUV1047454 UER1047389:UER1047454 UON1047389:UON1047454 UYJ1047389:UYJ1047454 VIF1047389:VIF1047454 VSB1047389:VSB1047454 WBX1047389:WBX1047454 WLT1047389:WLT1047454 WVP1047389:WVP1047454">
      <formula1>$AL$5:$AL$12</formula1>
    </dataValidation>
    <dataValidation type="list" allowBlank="1" showInputMessage="1" showErrorMessage="1" sqref="E64349:F64414 JA2:JB70 ACS2:ACT70 AMO2:AMP70 AWK2:AWL70 BGG2:BGH70 BQC2:BQD70 BZY2:BZZ70 CJU2:CJV70 CTQ2:CTR70 DDM2:DDN70 DNI2:DNJ70 DXE2:DXF70 EHA2:EHB70 EQW2:EQX70 FAS2:FAT70 FKO2:FKP70 FUK2:FUL70 GEG2:GEH70 GOC2:GOD70 GXY2:GXZ70 HHU2:HHV70 HRQ2:HRR70 IBM2:IBN70 ILI2:ILJ70 IVE2:IVF70 JFA2:JFB70 JOW2:JOX70 JYS2:JYT70 KIO2:KIP70 KSK2:KSL70 LCG2:LCH70 LMC2:LMD70 LVY2:LVZ70 MFU2:MFV70 MPQ2:MPR70 MZM2:MZN70 NJI2:NJJ70 NTE2:NTF70 ODA2:ODB70 OMW2:OMX70 OWS2:OWT70 PGO2:PGP70 PQK2:PQL70 QAG2:QAH70 QKC2:QKD70 QTY2:QTZ70 RDU2:RDV70 RNQ2:RNR70 RXM2:RXN70 SHI2:SHJ70 SRE2:SRF70 TBA2:TBB70 TKW2:TKX70 TUS2:TUT70 UEO2:UEP70 UOK2:UOL70 UYG2:UYH70 VIC2:VID70 VRY2:VRZ70 WBU2:WBV70 WLQ2:WLR70 WVM2:WVN70 SW2:SX70 WLQ983028:WLR983099 WBU983028:WBV983099 VRY983028:VRZ983099 VIC983028:VID983099 UYG983028:UYH983099 UOK983028:UOL983099 UEO983028:UEP983099 TUS983028:TUT983099 TKW983028:TKX983099 TBA983028:TBB983099 SRE983028:SRF983099 SHI983028:SHJ983099 RXM983028:RXN983099 RNQ983028:RNR983099 RDU983028:RDV983099 QTY983028:QTZ983099 QKC983028:QKD983099 QAG983028:QAH983099 PQK983028:PQL983099 PGO983028:PGP983099 OWS983028:OWT983099 OMW983028:OMX983099 ODA983028:ODB983099 NTE983028:NTF983099 NJI983028:NJJ983099 MZM983028:MZN983099 MPQ983028:MPR983099 MFU983028:MFV983099 LVY983028:LVZ983099 LMC983028:LMD983099 LCG983028:LCH983099 KSK983028:KSL983099 KIO983028:KIP983099 JYS983028:JYT983099 JOW983028:JOX983099 JFA983028:JFB983099 IVE983028:IVF983099 ILI983028:ILJ983099 IBM983028:IBN983099 HRQ983028:HRR983099 HHU983028:HHV983099 GXY983028:GXZ983099 GOC983028:GOD983099 GEG983028:GEH983099 FUK983028:FUL983099 FKO983028:FKP983099 FAS983028:FAT983099 EQW983028:EQX983099 EHA983028:EHB983099 DXE983028:DXF983099 DNI983028:DNJ983099 DDM983028:DDN983099 CTQ983028:CTR983099 CJU983028:CJV983099 BZY983028:BZZ983099 BQC983028:BQD983099 BGG983028:BGH983099 AWK983028:AWL983099 AMO983028:AMP983099 ACS983028:ACT983099 SW983028:SX983099 JA983028:JB983099 E983028:F983099 WVM917492:WVN917563 WLQ917492:WLR917563 WBU917492:WBV917563 VRY917492:VRZ917563 VIC917492:VID917563 UYG917492:UYH917563 UOK917492:UOL917563 UEO917492:UEP917563 TUS917492:TUT917563 TKW917492:TKX917563 TBA917492:TBB917563 SRE917492:SRF917563 SHI917492:SHJ917563 RXM917492:RXN917563 RNQ917492:RNR917563 RDU917492:RDV917563 QTY917492:QTZ917563 QKC917492:QKD917563 QAG917492:QAH917563 PQK917492:PQL917563 PGO917492:PGP917563 OWS917492:OWT917563 OMW917492:OMX917563 ODA917492:ODB917563 NTE917492:NTF917563 NJI917492:NJJ917563 MZM917492:MZN917563 MPQ917492:MPR917563 MFU917492:MFV917563 LVY917492:LVZ917563 LMC917492:LMD917563 LCG917492:LCH917563 KSK917492:KSL917563 KIO917492:KIP917563 JYS917492:JYT917563 JOW917492:JOX917563 JFA917492:JFB917563 IVE917492:IVF917563 ILI917492:ILJ917563 IBM917492:IBN917563 HRQ917492:HRR917563 HHU917492:HHV917563 GXY917492:GXZ917563 GOC917492:GOD917563 GEG917492:GEH917563 FUK917492:FUL917563 FKO917492:FKP917563 FAS917492:FAT917563 EQW917492:EQX917563 EHA917492:EHB917563 DXE917492:DXF917563 DNI917492:DNJ917563 DDM917492:DDN917563 CTQ917492:CTR917563 CJU917492:CJV917563 BZY917492:BZZ917563 BQC917492:BQD917563 BGG917492:BGH917563 AWK917492:AWL917563 AMO917492:AMP917563 ACS917492:ACT917563 SW917492:SX917563 JA917492:JB917563 E917492:F917563 WVM851956:WVN852027 WLQ851956:WLR852027 WBU851956:WBV852027 VRY851956:VRZ852027 VIC851956:VID852027 UYG851956:UYH852027 UOK851956:UOL852027 UEO851956:UEP852027 TUS851956:TUT852027 TKW851956:TKX852027 TBA851956:TBB852027 SRE851956:SRF852027 SHI851956:SHJ852027 RXM851956:RXN852027 RNQ851956:RNR852027 RDU851956:RDV852027 QTY851956:QTZ852027 QKC851956:QKD852027 QAG851956:QAH852027 PQK851956:PQL852027 PGO851956:PGP852027 OWS851956:OWT852027 OMW851956:OMX852027 ODA851956:ODB852027 NTE851956:NTF852027 NJI851956:NJJ852027 MZM851956:MZN852027 MPQ851956:MPR852027 MFU851956:MFV852027 LVY851956:LVZ852027 LMC851956:LMD852027 LCG851956:LCH852027 KSK851956:KSL852027 KIO851956:KIP852027 JYS851956:JYT852027 JOW851956:JOX852027 JFA851956:JFB852027 IVE851956:IVF852027 ILI851956:ILJ852027 IBM851956:IBN852027 HRQ851956:HRR852027 HHU851956:HHV852027 GXY851956:GXZ852027 GOC851956:GOD852027 GEG851956:GEH852027 FUK851956:FUL852027 FKO851956:FKP852027 FAS851956:FAT852027 EQW851956:EQX852027 EHA851956:EHB852027 DXE851956:DXF852027 DNI851956:DNJ852027 DDM851956:DDN852027 CTQ851956:CTR852027 CJU851956:CJV852027 BZY851956:BZZ852027 BQC851956:BQD852027 BGG851956:BGH852027 AWK851956:AWL852027 AMO851956:AMP852027 ACS851956:ACT852027 SW851956:SX852027 JA851956:JB852027 E851956:F852027 WVM786420:WVN786491 WLQ786420:WLR786491 WBU786420:WBV786491 VRY786420:VRZ786491 VIC786420:VID786491 UYG786420:UYH786491 UOK786420:UOL786491 UEO786420:UEP786491 TUS786420:TUT786491 TKW786420:TKX786491 TBA786420:TBB786491 SRE786420:SRF786491 SHI786420:SHJ786491 RXM786420:RXN786491 RNQ786420:RNR786491 RDU786420:RDV786491 QTY786420:QTZ786491 QKC786420:QKD786491 QAG786420:QAH786491 PQK786420:PQL786491 PGO786420:PGP786491 OWS786420:OWT786491 OMW786420:OMX786491 ODA786420:ODB786491 NTE786420:NTF786491 NJI786420:NJJ786491 MZM786420:MZN786491 MPQ786420:MPR786491 MFU786420:MFV786491 LVY786420:LVZ786491 LMC786420:LMD786491 LCG786420:LCH786491 KSK786420:KSL786491 KIO786420:KIP786491 JYS786420:JYT786491 JOW786420:JOX786491 JFA786420:JFB786491 IVE786420:IVF786491 ILI786420:ILJ786491 IBM786420:IBN786491 HRQ786420:HRR786491 HHU786420:HHV786491 GXY786420:GXZ786491 GOC786420:GOD786491 GEG786420:GEH786491 FUK786420:FUL786491 FKO786420:FKP786491 FAS786420:FAT786491 EQW786420:EQX786491 EHA786420:EHB786491 DXE786420:DXF786491 DNI786420:DNJ786491 DDM786420:DDN786491 CTQ786420:CTR786491 CJU786420:CJV786491 BZY786420:BZZ786491 BQC786420:BQD786491 BGG786420:BGH786491 AWK786420:AWL786491 AMO786420:AMP786491 ACS786420:ACT786491 SW786420:SX786491 JA786420:JB786491 E786420:F786491 WVM720884:WVN720955 WLQ720884:WLR720955 WBU720884:WBV720955 VRY720884:VRZ720955 VIC720884:VID720955 UYG720884:UYH720955 UOK720884:UOL720955 UEO720884:UEP720955 TUS720884:TUT720955 TKW720884:TKX720955 TBA720884:TBB720955 SRE720884:SRF720955 SHI720884:SHJ720955 RXM720884:RXN720955 RNQ720884:RNR720955 RDU720884:RDV720955 QTY720884:QTZ720955 QKC720884:QKD720955 QAG720884:QAH720955 PQK720884:PQL720955 PGO720884:PGP720955 OWS720884:OWT720955 OMW720884:OMX720955 ODA720884:ODB720955 NTE720884:NTF720955 NJI720884:NJJ720955 MZM720884:MZN720955 MPQ720884:MPR720955 MFU720884:MFV720955 LVY720884:LVZ720955 LMC720884:LMD720955 LCG720884:LCH720955 KSK720884:KSL720955 KIO720884:KIP720955 JYS720884:JYT720955 JOW720884:JOX720955 JFA720884:JFB720955 IVE720884:IVF720955 ILI720884:ILJ720955 IBM720884:IBN720955 HRQ720884:HRR720955 HHU720884:HHV720955 GXY720884:GXZ720955 GOC720884:GOD720955 GEG720884:GEH720955 FUK720884:FUL720955 FKO720884:FKP720955 FAS720884:FAT720955 EQW720884:EQX720955 EHA720884:EHB720955 DXE720884:DXF720955 DNI720884:DNJ720955 DDM720884:DDN720955 CTQ720884:CTR720955 CJU720884:CJV720955 BZY720884:BZZ720955 BQC720884:BQD720955 BGG720884:BGH720955 AWK720884:AWL720955 AMO720884:AMP720955 ACS720884:ACT720955 SW720884:SX720955 JA720884:JB720955 E720884:F720955 WVM655348:WVN655419 WLQ655348:WLR655419 WBU655348:WBV655419 VRY655348:VRZ655419 VIC655348:VID655419 UYG655348:UYH655419 UOK655348:UOL655419 UEO655348:UEP655419 TUS655348:TUT655419 TKW655348:TKX655419 TBA655348:TBB655419 SRE655348:SRF655419 SHI655348:SHJ655419 RXM655348:RXN655419 RNQ655348:RNR655419 RDU655348:RDV655419 QTY655348:QTZ655419 QKC655348:QKD655419 QAG655348:QAH655419 PQK655348:PQL655419 PGO655348:PGP655419 OWS655348:OWT655419 OMW655348:OMX655419 ODA655348:ODB655419 NTE655348:NTF655419 NJI655348:NJJ655419 MZM655348:MZN655419 MPQ655348:MPR655419 MFU655348:MFV655419 LVY655348:LVZ655419 LMC655348:LMD655419 LCG655348:LCH655419 KSK655348:KSL655419 KIO655348:KIP655419 JYS655348:JYT655419 JOW655348:JOX655419 JFA655348:JFB655419 IVE655348:IVF655419 ILI655348:ILJ655419 IBM655348:IBN655419 HRQ655348:HRR655419 HHU655348:HHV655419 GXY655348:GXZ655419 GOC655348:GOD655419 GEG655348:GEH655419 FUK655348:FUL655419 FKO655348:FKP655419 FAS655348:FAT655419 EQW655348:EQX655419 EHA655348:EHB655419 DXE655348:DXF655419 DNI655348:DNJ655419 DDM655348:DDN655419 CTQ655348:CTR655419 CJU655348:CJV655419 BZY655348:BZZ655419 BQC655348:BQD655419 BGG655348:BGH655419 AWK655348:AWL655419 AMO655348:AMP655419 ACS655348:ACT655419 SW655348:SX655419 JA655348:JB655419 E655348:F655419 WVM589812:WVN589883 WLQ589812:WLR589883 WBU589812:WBV589883 VRY589812:VRZ589883 VIC589812:VID589883 UYG589812:UYH589883 UOK589812:UOL589883 UEO589812:UEP589883 TUS589812:TUT589883 TKW589812:TKX589883 TBA589812:TBB589883 SRE589812:SRF589883 SHI589812:SHJ589883 RXM589812:RXN589883 RNQ589812:RNR589883 RDU589812:RDV589883 QTY589812:QTZ589883 QKC589812:QKD589883 QAG589812:QAH589883 PQK589812:PQL589883 PGO589812:PGP589883 OWS589812:OWT589883 OMW589812:OMX589883 ODA589812:ODB589883 NTE589812:NTF589883 NJI589812:NJJ589883 MZM589812:MZN589883 MPQ589812:MPR589883 MFU589812:MFV589883 LVY589812:LVZ589883 LMC589812:LMD589883 LCG589812:LCH589883 KSK589812:KSL589883 KIO589812:KIP589883 JYS589812:JYT589883 JOW589812:JOX589883 JFA589812:JFB589883 IVE589812:IVF589883 ILI589812:ILJ589883 IBM589812:IBN589883 HRQ589812:HRR589883 HHU589812:HHV589883 GXY589812:GXZ589883 GOC589812:GOD589883 GEG589812:GEH589883 FUK589812:FUL589883 FKO589812:FKP589883 FAS589812:FAT589883 EQW589812:EQX589883 EHA589812:EHB589883 DXE589812:DXF589883 DNI589812:DNJ589883 DDM589812:DDN589883 CTQ589812:CTR589883 CJU589812:CJV589883 BZY589812:BZZ589883 BQC589812:BQD589883 BGG589812:BGH589883 AWK589812:AWL589883 AMO589812:AMP589883 ACS589812:ACT589883 SW589812:SX589883 JA589812:JB589883 E589812:F589883 WVM524276:WVN524347 WLQ524276:WLR524347 WBU524276:WBV524347 VRY524276:VRZ524347 VIC524276:VID524347 UYG524276:UYH524347 UOK524276:UOL524347 UEO524276:UEP524347 TUS524276:TUT524347 TKW524276:TKX524347 TBA524276:TBB524347 SRE524276:SRF524347 SHI524276:SHJ524347 RXM524276:RXN524347 RNQ524276:RNR524347 RDU524276:RDV524347 QTY524276:QTZ524347 QKC524276:QKD524347 QAG524276:QAH524347 PQK524276:PQL524347 PGO524276:PGP524347 OWS524276:OWT524347 OMW524276:OMX524347 ODA524276:ODB524347 NTE524276:NTF524347 NJI524276:NJJ524347 MZM524276:MZN524347 MPQ524276:MPR524347 MFU524276:MFV524347 LVY524276:LVZ524347 LMC524276:LMD524347 LCG524276:LCH524347 KSK524276:KSL524347 KIO524276:KIP524347 JYS524276:JYT524347 JOW524276:JOX524347 JFA524276:JFB524347 IVE524276:IVF524347 ILI524276:ILJ524347 IBM524276:IBN524347 HRQ524276:HRR524347 HHU524276:HHV524347 GXY524276:GXZ524347 GOC524276:GOD524347 GEG524276:GEH524347 FUK524276:FUL524347 FKO524276:FKP524347 FAS524276:FAT524347 EQW524276:EQX524347 EHA524276:EHB524347 DXE524276:DXF524347 DNI524276:DNJ524347 DDM524276:DDN524347 CTQ524276:CTR524347 CJU524276:CJV524347 BZY524276:BZZ524347 BQC524276:BQD524347 BGG524276:BGH524347 AWK524276:AWL524347 AMO524276:AMP524347 ACS524276:ACT524347 SW524276:SX524347 JA524276:JB524347 E524276:F524347 WVM458740:WVN458811 WLQ458740:WLR458811 WBU458740:WBV458811 VRY458740:VRZ458811 VIC458740:VID458811 UYG458740:UYH458811 UOK458740:UOL458811 UEO458740:UEP458811 TUS458740:TUT458811 TKW458740:TKX458811 TBA458740:TBB458811 SRE458740:SRF458811 SHI458740:SHJ458811 RXM458740:RXN458811 RNQ458740:RNR458811 RDU458740:RDV458811 QTY458740:QTZ458811 QKC458740:QKD458811 QAG458740:QAH458811 PQK458740:PQL458811 PGO458740:PGP458811 OWS458740:OWT458811 OMW458740:OMX458811 ODA458740:ODB458811 NTE458740:NTF458811 NJI458740:NJJ458811 MZM458740:MZN458811 MPQ458740:MPR458811 MFU458740:MFV458811 LVY458740:LVZ458811 LMC458740:LMD458811 LCG458740:LCH458811 KSK458740:KSL458811 KIO458740:KIP458811 JYS458740:JYT458811 JOW458740:JOX458811 JFA458740:JFB458811 IVE458740:IVF458811 ILI458740:ILJ458811 IBM458740:IBN458811 HRQ458740:HRR458811 HHU458740:HHV458811 GXY458740:GXZ458811 GOC458740:GOD458811 GEG458740:GEH458811 FUK458740:FUL458811 FKO458740:FKP458811 FAS458740:FAT458811 EQW458740:EQX458811 EHA458740:EHB458811 DXE458740:DXF458811 DNI458740:DNJ458811 DDM458740:DDN458811 CTQ458740:CTR458811 CJU458740:CJV458811 BZY458740:BZZ458811 BQC458740:BQD458811 BGG458740:BGH458811 AWK458740:AWL458811 AMO458740:AMP458811 ACS458740:ACT458811 SW458740:SX458811 JA458740:JB458811 E458740:F458811 WVM393204:WVN393275 WLQ393204:WLR393275 WBU393204:WBV393275 VRY393204:VRZ393275 VIC393204:VID393275 UYG393204:UYH393275 UOK393204:UOL393275 UEO393204:UEP393275 TUS393204:TUT393275 TKW393204:TKX393275 TBA393204:TBB393275 SRE393204:SRF393275 SHI393204:SHJ393275 RXM393204:RXN393275 RNQ393204:RNR393275 RDU393204:RDV393275 QTY393204:QTZ393275 QKC393204:QKD393275 QAG393204:QAH393275 PQK393204:PQL393275 PGO393204:PGP393275 OWS393204:OWT393275 OMW393204:OMX393275 ODA393204:ODB393275 NTE393204:NTF393275 NJI393204:NJJ393275 MZM393204:MZN393275 MPQ393204:MPR393275 MFU393204:MFV393275 LVY393204:LVZ393275 LMC393204:LMD393275 LCG393204:LCH393275 KSK393204:KSL393275 KIO393204:KIP393275 JYS393204:JYT393275 JOW393204:JOX393275 JFA393204:JFB393275 IVE393204:IVF393275 ILI393204:ILJ393275 IBM393204:IBN393275 HRQ393204:HRR393275 HHU393204:HHV393275 GXY393204:GXZ393275 GOC393204:GOD393275 GEG393204:GEH393275 FUK393204:FUL393275 FKO393204:FKP393275 FAS393204:FAT393275 EQW393204:EQX393275 EHA393204:EHB393275 DXE393204:DXF393275 DNI393204:DNJ393275 DDM393204:DDN393275 CTQ393204:CTR393275 CJU393204:CJV393275 BZY393204:BZZ393275 BQC393204:BQD393275 BGG393204:BGH393275 AWK393204:AWL393275 AMO393204:AMP393275 ACS393204:ACT393275 SW393204:SX393275 JA393204:JB393275 E393204:F393275 WVM327668:WVN327739 WLQ327668:WLR327739 WBU327668:WBV327739 VRY327668:VRZ327739 VIC327668:VID327739 UYG327668:UYH327739 UOK327668:UOL327739 UEO327668:UEP327739 TUS327668:TUT327739 TKW327668:TKX327739 TBA327668:TBB327739 SRE327668:SRF327739 SHI327668:SHJ327739 RXM327668:RXN327739 RNQ327668:RNR327739 RDU327668:RDV327739 QTY327668:QTZ327739 QKC327668:QKD327739 QAG327668:QAH327739 PQK327668:PQL327739 PGO327668:PGP327739 OWS327668:OWT327739 OMW327668:OMX327739 ODA327668:ODB327739 NTE327668:NTF327739 NJI327668:NJJ327739 MZM327668:MZN327739 MPQ327668:MPR327739 MFU327668:MFV327739 LVY327668:LVZ327739 LMC327668:LMD327739 LCG327668:LCH327739 KSK327668:KSL327739 KIO327668:KIP327739 JYS327668:JYT327739 JOW327668:JOX327739 JFA327668:JFB327739 IVE327668:IVF327739 ILI327668:ILJ327739 IBM327668:IBN327739 HRQ327668:HRR327739 HHU327668:HHV327739 GXY327668:GXZ327739 GOC327668:GOD327739 GEG327668:GEH327739 FUK327668:FUL327739 FKO327668:FKP327739 FAS327668:FAT327739 EQW327668:EQX327739 EHA327668:EHB327739 DXE327668:DXF327739 DNI327668:DNJ327739 DDM327668:DDN327739 CTQ327668:CTR327739 CJU327668:CJV327739 BZY327668:BZZ327739 BQC327668:BQD327739 BGG327668:BGH327739 AWK327668:AWL327739 AMO327668:AMP327739 ACS327668:ACT327739 SW327668:SX327739 JA327668:JB327739 E327668:F327739 WVM262132:WVN262203 WLQ262132:WLR262203 WBU262132:WBV262203 VRY262132:VRZ262203 VIC262132:VID262203 UYG262132:UYH262203 UOK262132:UOL262203 UEO262132:UEP262203 TUS262132:TUT262203 TKW262132:TKX262203 TBA262132:TBB262203 SRE262132:SRF262203 SHI262132:SHJ262203 RXM262132:RXN262203 RNQ262132:RNR262203 RDU262132:RDV262203 QTY262132:QTZ262203 QKC262132:QKD262203 QAG262132:QAH262203 PQK262132:PQL262203 PGO262132:PGP262203 OWS262132:OWT262203 OMW262132:OMX262203 ODA262132:ODB262203 NTE262132:NTF262203 NJI262132:NJJ262203 MZM262132:MZN262203 MPQ262132:MPR262203 MFU262132:MFV262203 LVY262132:LVZ262203 LMC262132:LMD262203 LCG262132:LCH262203 KSK262132:KSL262203 KIO262132:KIP262203 JYS262132:JYT262203 JOW262132:JOX262203 JFA262132:JFB262203 IVE262132:IVF262203 ILI262132:ILJ262203 IBM262132:IBN262203 HRQ262132:HRR262203 HHU262132:HHV262203 GXY262132:GXZ262203 GOC262132:GOD262203 GEG262132:GEH262203 FUK262132:FUL262203 FKO262132:FKP262203 FAS262132:FAT262203 EQW262132:EQX262203 EHA262132:EHB262203 DXE262132:DXF262203 DNI262132:DNJ262203 DDM262132:DDN262203 CTQ262132:CTR262203 CJU262132:CJV262203 BZY262132:BZZ262203 BQC262132:BQD262203 BGG262132:BGH262203 AWK262132:AWL262203 AMO262132:AMP262203 ACS262132:ACT262203 SW262132:SX262203 JA262132:JB262203 E262132:F262203 WVM196596:WVN196667 WLQ196596:WLR196667 WBU196596:WBV196667 VRY196596:VRZ196667 VIC196596:VID196667 UYG196596:UYH196667 UOK196596:UOL196667 UEO196596:UEP196667 TUS196596:TUT196667 TKW196596:TKX196667 TBA196596:TBB196667 SRE196596:SRF196667 SHI196596:SHJ196667 RXM196596:RXN196667 RNQ196596:RNR196667 RDU196596:RDV196667 QTY196596:QTZ196667 QKC196596:QKD196667 QAG196596:QAH196667 PQK196596:PQL196667 PGO196596:PGP196667 OWS196596:OWT196667 OMW196596:OMX196667 ODA196596:ODB196667 NTE196596:NTF196667 NJI196596:NJJ196667 MZM196596:MZN196667 MPQ196596:MPR196667 MFU196596:MFV196667 LVY196596:LVZ196667 LMC196596:LMD196667 LCG196596:LCH196667 KSK196596:KSL196667 KIO196596:KIP196667 JYS196596:JYT196667 JOW196596:JOX196667 JFA196596:JFB196667 IVE196596:IVF196667 ILI196596:ILJ196667 IBM196596:IBN196667 HRQ196596:HRR196667 HHU196596:HHV196667 GXY196596:GXZ196667 GOC196596:GOD196667 GEG196596:GEH196667 FUK196596:FUL196667 FKO196596:FKP196667 FAS196596:FAT196667 EQW196596:EQX196667 EHA196596:EHB196667 DXE196596:DXF196667 DNI196596:DNJ196667 DDM196596:DDN196667 CTQ196596:CTR196667 CJU196596:CJV196667 BZY196596:BZZ196667 BQC196596:BQD196667 BGG196596:BGH196667 AWK196596:AWL196667 AMO196596:AMP196667 ACS196596:ACT196667 SW196596:SX196667 JA196596:JB196667 E196596:F196667 WVM131060:WVN131131 WLQ131060:WLR131131 WBU131060:WBV131131 VRY131060:VRZ131131 VIC131060:VID131131 UYG131060:UYH131131 UOK131060:UOL131131 UEO131060:UEP131131 TUS131060:TUT131131 TKW131060:TKX131131 TBA131060:TBB131131 SRE131060:SRF131131 SHI131060:SHJ131131 RXM131060:RXN131131 RNQ131060:RNR131131 RDU131060:RDV131131 QTY131060:QTZ131131 QKC131060:QKD131131 QAG131060:QAH131131 PQK131060:PQL131131 PGO131060:PGP131131 OWS131060:OWT131131 OMW131060:OMX131131 ODA131060:ODB131131 NTE131060:NTF131131 NJI131060:NJJ131131 MZM131060:MZN131131 MPQ131060:MPR131131 MFU131060:MFV131131 LVY131060:LVZ131131 LMC131060:LMD131131 LCG131060:LCH131131 KSK131060:KSL131131 KIO131060:KIP131131 JYS131060:JYT131131 JOW131060:JOX131131 JFA131060:JFB131131 IVE131060:IVF131131 ILI131060:ILJ131131 IBM131060:IBN131131 HRQ131060:HRR131131 HHU131060:HHV131131 GXY131060:GXZ131131 GOC131060:GOD131131 GEG131060:GEH131131 FUK131060:FUL131131 FKO131060:FKP131131 FAS131060:FAT131131 EQW131060:EQX131131 EHA131060:EHB131131 DXE131060:DXF131131 DNI131060:DNJ131131 DDM131060:DDN131131 CTQ131060:CTR131131 CJU131060:CJV131131 BZY131060:BZZ131131 BQC131060:BQD131131 BGG131060:BGH131131 AWK131060:AWL131131 AMO131060:AMP131131 ACS131060:ACT131131 SW131060:SX131131 JA131060:JB131131 E131060:F131131 WVM65524:WVN65595 WLQ65524:WLR65595 WBU65524:WBV65595 VRY65524:VRZ65595 VIC65524:VID65595 UYG65524:UYH65595 UOK65524:UOL65595 UEO65524:UEP65595 TUS65524:TUT65595 TKW65524:TKX65595 TBA65524:TBB65595 SRE65524:SRF65595 SHI65524:SHJ65595 RXM65524:RXN65595 RNQ65524:RNR65595 RDU65524:RDV65595 QTY65524:QTZ65595 QKC65524:QKD65595 QAG65524:QAH65595 PQK65524:PQL65595 PGO65524:PGP65595 OWS65524:OWT65595 OMW65524:OMX65595 ODA65524:ODB65595 NTE65524:NTF65595 NJI65524:NJJ65595 MZM65524:MZN65595 MPQ65524:MPR65595 MFU65524:MFV65595 LVY65524:LVZ65595 LMC65524:LMD65595 LCG65524:LCH65595 KSK65524:KSL65595 KIO65524:KIP65595 JYS65524:JYT65595 JOW65524:JOX65595 JFA65524:JFB65595 IVE65524:IVF65595 ILI65524:ILJ65595 IBM65524:IBN65595 HRQ65524:HRR65595 HHU65524:HHV65595 GXY65524:GXZ65595 GOC65524:GOD65595 GEG65524:GEH65595 FUK65524:FUL65595 FKO65524:FKP65595 FAS65524:FAT65595 EQW65524:EQX65595 EHA65524:EHB65595 DXE65524:DXF65595 DNI65524:DNJ65595 DDM65524:DDN65595 CTQ65524:CTR65595 CJU65524:CJV65595 BZY65524:BZZ65595 BQC65524:BQD65595 BGG65524:BGH65595 AWK65524:AWL65595 AMO65524:AMP65595 ACS65524:ACT65595 SW65524:SX65595 JA65524:JB65595 E65524:F65595 JA64349:JB64414 WVM1047389:WVN1047454 WLQ1047389:WLR1047454 WBU1047389:WBV1047454 VRY1047389:VRZ1047454 VIC1047389:VID1047454 UYG1047389:UYH1047454 UOK1047389:UOL1047454 UEO1047389:UEP1047454 TUS1047389:TUT1047454 TKW1047389:TKX1047454 TBA1047389:TBB1047454 SRE1047389:SRF1047454 SHI1047389:SHJ1047454 RXM1047389:RXN1047454 RNQ1047389:RNR1047454 RDU1047389:RDV1047454 QTY1047389:QTZ1047454 QKC1047389:QKD1047454 QAG1047389:QAH1047454 PQK1047389:PQL1047454 PGO1047389:PGP1047454 OWS1047389:OWT1047454 OMW1047389:OMX1047454 ODA1047389:ODB1047454 NTE1047389:NTF1047454 NJI1047389:NJJ1047454 MZM1047389:MZN1047454 MPQ1047389:MPR1047454 MFU1047389:MFV1047454 LVY1047389:LVZ1047454 LMC1047389:LMD1047454 LCG1047389:LCH1047454 KSK1047389:KSL1047454 KIO1047389:KIP1047454 JYS1047389:JYT1047454 JOW1047389:JOX1047454 JFA1047389:JFB1047454 IVE1047389:IVF1047454 ILI1047389:ILJ1047454 IBM1047389:IBN1047454 HRQ1047389:HRR1047454 HHU1047389:HHV1047454 GXY1047389:GXZ1047454 GOC1047389:GOD1047454 GEG1047389:GEH1047454 FUK1047389:FUL1047454 FKO1047389:FKP1047454 FAS1047389:FAT1047454 EQW1047389:EQX1047454 EHA1047389:EHB1047454 DXE1047389:DXF1047454 DNI1047389:DNJ1047454 DDM1047389:DDN1047454 CTQ1047389:CTR1047454 CJU1047389:CJV1047454 BZY1047389:BZZ1047454 BQC1047389:BQD1047454 BGG1047389:BGH1047454 AWK1047389:AWL1047454 AMO1047389:AMP1047454 ACS1047389:ACT1047454 SW1047389:SX1047454 JA1047389:JB1047454 E1047389:F1047454 WVM981853:WVN981918 WLQ981853:WLR981918 WBU981853:WBV981918 VRY981853:VRZ981918 VIC981853:VID981918 UYG981853:UYH981918 UOK981853:UOL981918 UEO981853:UEP981918 TUS981853:TUT981918 TKW981853:TKX981918 TBA981853:TBB981918 SRE981853:SRF981918 SHI981853:SHJ981918 RXM981853:RXN981918 RNQ981853:RNR981918 RDU981853:RDV981918 QTY981853:QTZ981918 QKC981853:QKD981918 QAG981853:QAH981918 PQK981853:PQL981918 PGO981853:PGP981918 OWS981853:OWT981918 OMW981853:OMX981918 ODA981853:ODB981918 NTE981853:NTF981918 NJI981853:NJJ981918 MZM981853:MZN981918 MPQ981853:MPR981918 MFU981853:MFV981918 LVY981853:LVZ981918 LMC981853:LMD981918 LCG981853:LCH981918 KSK981853:KSL981918 KIO981853:KIP981918 JYS981853:JYT981918 JOW981853:JOX981918 JFA981853:JFB981918 IVE981853:IVF981918 ILI981853:ILJ981918 IBM981853:IBN981918 HRQ981853:HRR981918 HHU981853:HHV981918 GXY981853:GXZ981918 GOC981853:GOD981918 GEG981853:GEH981918 FUK981853:FUL981918 FKO981853:FKP981918 FAS981853:FAT981918 EQW981853:EQX981918 EHA981853:EHB981918 DXE981853:DXF981918 DNI981853:DNJ981918 DDM981853:DDN981918 CTQ981853:CTR981918 CJU981853:CJV981918 BZY981853:BZZ981918 BQC981853:BQD981918 BGG981853:BGH981918 AWK981853:AWL981918 AMO981853:AMP981918 ACS981853:ACT981918 SW981853:SX981918 JA981853:JB981918 E981853:F981918 WVM916317:WVN916382 WLQ916317:WLR916382 WBU916317:WBV916382 VRY916317:VRZ916382 VIC916317:VID916382 UYG916317:UYH916382 UOK916317:UOL916382 UEO916317:UEP916382 TUS916317:TUT916382 TKW916317:TKX916382 TBA916317:TBB916382 SRE916317:SRF916382 SHI916317:SHJ916382 RXM916317:RXN916382 RNQ916317:RNR916382 RDU916317:RDV916382 QTY916317:QTZ916382 QKC916317:QKD916382 QAG916317:QAH916382 PQK916317:PQL916382 PGO916317:PGP916382 OWS916317:OWT916382 OMW916317:OMX916382 ODA916317:ODB916382 NTE916317:NTF916382 NJI916317:NJJ916382 MZM916317:MZN916382 MPQ916317:MPR916382 MFU916317:MFV916382 LVY916317:LVZ916382 LMC916317:LMD916382 LCG916317:LCH916382 KSK916317:KSL916382 KIO916317:KIP916382 JYS916317:JYT916382 JOW916317:JOX916382 JFA916317:JFB916382 IVE916317:IVF916382 ILI916317:ILJ916382 IBM916317:IBN916382 HRQ916317:HRR916382 HHU916317:HHV916382 GXY916317:GXZ916382 GOC916317:GOD916382 GEG916317:GEH916382 FUK916317:FUL916382 FKO916317:FKP916382 FAS916317:FAT916382 EQW916317:EQX916382 EHA916317:EHB916382 DXE916317:DXF916382 DNI916317:DNJ916382 DDM916317:DDN916382 CTQ916317:CTR916382 CJU916317:CJV916382 BZY916317:BZZ916382 BQC916317:BQD916382 BGG916317:BGH916382 AWK916317:AWL916382 AMO916317:AMP916382 ACS916317:ACT916382 SW916317:SX916382 JA916317:JB916382 E916317:F916382 WVM850781:WVN850846 WLQ850781:WLR850846 WBU850781:WBV850846 VRY850781:VRZ850846 VIC850781:VID850846 UYG850781:UYH850846 UOK850781:UOL850846 UEO850781:UEP850846 TUS850781:TUT850846 TKW850781:TKX850846 TBA850781:TBB850846 SRE850781:SRF850846 SHI850781:SHJ850846 RXM850781:RXN850846 RNQ850781:RNR850846 RDU850781:RDV850846 QTY850781:QTZ850846 QKC850781:QKD850846 QAG850781:QAH850846 PQK850781:PQL850846 PGO850781:PGP850846 OWS850781:OWT850846 OMW850781:OMX850846 ODA850781:ODB850846 NTE850781:NTF850846 NJI850781:NJJ850846 MZM850781:MZN850846 MPQ850781:MPR850846 MFU850781:MFV850846 LVY850781:LVZ850846 LMC850781:LMD850846 LCG850781:LCH850846 KSK850781:KSL850846 KIO850781:KIP850846 JYS850781:JYT850846 JOW850781:JOX850846 JFA850781:JFB850846 IVE850781:IVF850846 ILI850781:ILJ850846 IBM850781:IBN850846 HRQ850781:HRR850846 HHU850781:HHV850846 GXY850781:GXZ850846 GOC850781:GOD850846 GEG850781:GEH850846 FUK850781:FUL850846 FKO850781:FKP850846 FAS850781:FAT850846 EQW850781:EQX850846 EHA850781:EHB850846 DXE850781:DXF850846 DNI850781:DNJ850846 DDM850781:DDN850846 CTQ850781:CTR850846 CJU850781:CJV850846 BZY850781:BZZ850846 BQC850781:BQD850846 BGG850781:BGH850846 AWK850781:AWL850846 AMO850781:AMP850846 ACS850781:ACT850846 SW850781:SX850846 JA850781:JB850846 E850781:F850846 WVM785245:WVN785310 WLQ785245:WLR785310 WBU785245:WBV785310 VRY785245:VRZ785310 VIC785245:VID785310 UYG785245:UYH785310 UOK785245:UOL785310 UEO785245:UEP785310 TUS785245:TUT785310 TKW785245:TKX785310 TBA785245:TBB785310 SRE785245:SRF785310 SHI785245:SHJ785310 RXM785245:RXN785310 RNQ785245:RNR785310 RDU785245:RDV785310 QTY785245:QTZ785310 QKC785245:QKD785310 QAG785245:QAH785310 PQK785245:PQL785310 PGO785245:PGP785310 OWS785245:OWT785310 OMW785245:OMX785310 ODA785245:ODB785310 NTE785245:NTF785310 NJI785245:NJJ785310 MZM785245:MZN785310 MPQ785245:MPR785310 MFU785245:MFV785310 LVY785245:LVZ785310 LMC785245:LMD785310 LCG785245:LCH785310 KSK785245:KSL785310 KIO785245:KIP785310 JYS785245:JYT785310 JOW785245:JOX785310 JFA785245:JFB785310 IVE785245:IVF785310 ILI785245:ILJ785310 IBM785245:IBN785310 HRQ785245:HRR785310 HHU785245:HHV785310 GXY785245:GXZ785310 GOC785245:GOD785310 GEG785245:GEH785310 FUK785245:FUL785310 FKO785245:FKP785310 FAS785245:FAT785310 EQW785245:EQX785310 EHA785245:EHB785310 DXE785245:DXF785310 DNI785245:DNJ785310 DDM785245:DDN785310 CTQ785245:CTR785310 CJU785245:CJV785310 BZY785245:BZZ785310 BQC785245:BQD785310 BGG785245:BGH785310 AWK785245:AWL785310 AMO785245:AMP785310 ACS785245:ACT785310 SW785245:SX785310 JA785245:JB785310 E785245:F785310 WVM719709:WVN719774 WLQ719709:WLR719774 WBU719709:WBV719774 VRY719709:VRZ719774 VIC719709:VID719774 UYG719709:UYH719774 UOK719709:UOL719774 UEO719709:UEP719774 TUS719709:TUT719774 TKW719709:TKX719774 TBA719709:TBB719774 SRE719709:SRF719774 SHI719709:SHJ719774 RXM719709:RXN719774 RNQ719709:RNR719774 RDU719709:RDV719774 QTY719709:QTZ719774 QKC719709:QKD719774 QAG719709:QAH719774 PQK719709:PQL719774 PGO719709:PGP719774 OWS719709:OWT719774 OMW719709:OMX719774 ODA719709:ODB719774 NTE719709:NTF719774 NJI719709:NJJ719774 MZM719709:MZN719774 MPQ719709:MPR719774 MFU719709:MFV719774 LVY719709:LVZ719774 LMC719709:LMD719774 LCG719709:LCH719774 KSK719709:KSL719774 KIO719709:KIP719774 JYS719709:JYT719774 JOW719709:JOX719774 JFA719709:JFB719774 IVE719709:IVF719774 ILI719709:ILJ719774 IBM719709:IBN719774 HRQ719709:HRR719774 HHU719709:HHV719774 GXY719709:GXZ719774 GOC719709:GOD719774 GEG719709:GEH719774 FUK719709:FUL719774 FKO719709:FKP719774 FAS719709:FAT719774 EQW719709:EQX719774 EHA719709:EHB719774 DXE719709:DXF719774 DNI719709:DNJ719774 DDM719709:DDN719774 CTQ719709:CTR719774 CJU719709:CJV719774 BZY719709:BZZ719774 BQC719709:BQD719774 BGG719709:BGH719774 AWK719709:AWL719774 AMO719709:AMP719774 ACS719709:ACT719774 SW719709:SX719774 JA719709:JB719774 E719709:F719774 WVM654173:WVN654238 WLQ654173:WLR654238 WBU654173:WBV654238 VRY654173:VRZ654238 VIC654173:VID654238 UYG654173:UYH654238 UOK654173:UOL654238 UEO654173:UEP654238 TUS654173:TUT654238 TKW654173:TKX654238 TBA654173:TBB654238 SRE654173:SRF654238 SHI654173:SHJ654238 RXM654173:RXN654238 RNQ654173:RNR654238 RDU654173:RDV654238 QTY654173:QTZ654238 QKC654173:QKD654238 QAG654173:QAH654238 PQK654173:PQL654238 PGO654173:PGP654238 OWS654173:OWT654238 OMW654173:OMX654238 ODA654173:ODB654238 NTE654173:NTF654238 NJI654173:NJJ654238 MZM654173:MZN654238 MPQ654173:MPR654238 MFU654173:MFV654238 LVY654173:LVZ654238 LMC654173:LMD654238 LCG654173:LCH654238 KSK654173:KSL654238 KIO654173:KIP654238 JYS654173:JYT654238 JOW654173:JOX654238 JFA654173:JFB654238 IVE654173:IVF654238 ILI654173:ILJ654238 IBM654173:IBN654238 HRQ654173:HRR654238 HHU654173:HHV654238 GXY654173:GXZ654238 GOC654173:GOD654238 GEG654173:GEH654238 FUK654173:FUL654238 FKO654173:FKP654238 FAS654173:FAT654238 EQW654173:EQX654238 EHA654173:EHB654238 DXE654173:DXF654238 DNI654173:DNJ654238 DDM654173:DDN654238 CTQ654173:CTR654238 CJU654173:CJV654238 BZY654173:BZZ654238 BQC654173:BQD654238 BGG654173:BGH654238 AWK654173:AWL654238 AMO654173:AMP654238 ACS654173:ACT654238 SW654173:SX654238 JA654173:JB654238 E654173:F654238 WVM588637:WVN588702 WLQ588637:WLR588702 WBU588637:WBV588702 VRY588637:VRZ588702 VIC588637:VID588702 UYG588637:UYH588702 UOK588637:UOL588702 UEO588637:UEP588702 TUS588637:TUT588702 TKW588637:TKX588702 TBA588637:TBB588702 SRE588637:SRF588702 SHI588637:SHJ588702 RXM588637:RXN588702 RNQ588637:RNR588702 RDU588637:RDV588702 QTY588637:QTZ588702 QKC588637:QKD588702 QAG588637:QAH588702 PQK588637:PQL588702 PGO588637:PGP588702 OWS588637:OWT588702 OMW588637:OMX588702 ODA588637:ODB588702 NTE588637:NTF588702 NJI588637:NJJ588702 MZM588637:MZN588702 MPQ588637:MPR588702 MFU588637:MFV588702 LVY588637:LVZ588702 LMC588637:LMD588702 LCG588637:LCH588702 KSK588637:KSL588702 KIO588637:KIP588702 JYS588637:JYT588702 JOW588637:JOX588702 JFA588637:JFB588702 IVE588637:IVF588702 ILI588637:ILJ588702 IBM588637:IBN588702 HRQ588637:HRR588702 HHU588637:HHV588702 GXY588637:GXZ588702 GOC588637:GOD588702 GEG588637:GEH588702 FUK588637:FUL588702 FKO588637:FKP588702 FAS588637:FAT588702 EQW588637:EQX588702 EHA588637:EHB588702 DXE588637:DXF588702 DNI588637:DNJ588702 DDM588637:DDN588702 CTQ588637:CTR588702 CJU588637:CJV588702 BZY588637:BZZ588702 BQC588637:BQD588702 BGG588637:BGH588702 AWK588637:AWL588702 AMO588637:AMP588702 ACS588637:ACT588702 SW588637:SX588702 JA588637:JB588702 E588637:F588702 WVM523101:WVN523166 WLQ523101:WLR523166 WBU523101:WBV523166 VRY523101:VRZ523166 VIC523101:VID523166 UYG523101:UYH523166 UOK523101:UOL523166 UEO523101:UEP523166 TUS523101:TUT523166 TKW523101:TKX523166 TBA523101:TBB523166 SRE523101:SRF523166 SHI523101:SHJ523166 RXM523101:RXN523166 RNQ523101:RNR523166 RDU523101:RDV523166 QTY523101:QTZ523166 QKC523101:QKD523166 QAG523101:QAH523166 PQK523101:PQL523166 PGO523101:PGP523166 OWS523101:OWT523166 OMW523101:OMX523166 ODA523101:ODB523166 NTE523101:NTF523166 NJI523101:NJJ523166 MZM523101:MZN523166 MPQ523101:MPR523166 MFU523101:MFV523166 LVY523101:LVZ523166 LMC523101:LMD523166 LCG523101:LCH523166 KSK523101:KSL523166 KIO523101:KIP523166 JYS523101:JYT523166 JOW523101:JOX523166 JFA523101:JFB523166 IVE523101:IVF523166 ILI523101:ILJ523166 IBM523101:IBN523166 HRQ523101:HRR523166 HHU523101:HHV523166 GXY523101:GXZ523166 GOC523101:GOD523166 GEG523101:GEH523166 FUK523101:FUL523166 FKO523101:FKP523166 FAS523101:FAT523166 EQW523101:EQX523166 EHA523101:EHB523166 DXE523101:DXF523166 DNI523101:DNJ523166 DDM523101:DDN523166 CTQ523101:CTR523166 CJU523101:CJV523166 BZY523101:BZZ523166 BQC523101:BQD523166 BGG523101:BGH523166 AWK523101:AWL523166 AMO523101:AMP523166 ACS523101:ACT523166 SW523101:SX523166 JA523101:JB523166 E523101:F523166 WVM457565:WVN457630 WLQ457565:WLR457630 WBU457565:WBV457630 VRY457565:VRZ457630 VIC457565:VID457630 UYG457565:UYH457630 UOK457565:UOL457630 UEO457565:UEP457630 TUS457565:TUT457630 TKW457565:TKX457630 TBA457565:TBB457630 SRE457565:SRF457630 SHI457565:SHJ457630 RXM457565:RXN457630 RNQ457565:RNR457630 RDU457565:RDV457630 QTY457565:QTZ457630 QKC457565:QKD457630 QAG457565:QAH457630 PQK457565:PQL457630 PGO457565:PGP457630 OWS457565:OWT457630 OMW457565:OMX457630 ODA457565:ODB457630 NTE457565:NTF457630 NJI457565:NJJ457630 MZM457565:MZN457630 MPQ457565:MPR457630 MFU457565:MFV457630 LVY457565:LVZ457630 LMC457565:LMD457630 LCG457565:LCH457630 KSK457565:KSL457630 KIO457565:KIP457630 JYS457565:JYT457630 JOW457565:JOX457630 JFA457565:JFB457630 IVE457565:IVF457630 ILI457565:ILJ457630 IBM457565:IBN457630 HRQ457565:HRR457630 HHU457565:HHV457630 GXY457565:GXZ457630 GOC457565:GOD457630 GEG457565:GEH457630 FUK457565:FUL457630 FKO457565:FKP457630 FAS457565:FAT457630 EQW457565:EQX457630 EHA457565:EHB457630 DXE457565:DXF457630 DNI457565:DNJ457630 DDM457565:DDN457630 CTQ457565:CTR457630 CJU457565:CJV457630 BZY457565:BZZ457630 BQC457565:BQD457630 BGG457565:BGH457630 AWK457565:AWL457630 AMO457565:AMP457630 ACS457565:ACT457630 SW457565:SX457630 JA457565:JB457630 E457565:F457630 WVM392029:WVN392094 WLQ392029:WLR392094 WBU392029:WBV392094 VRY392029:VRZ392094 VIC392029:VID392094 UYG392029:UYH392094 UOK392029:UOL392094 UEO392029:UEP392094 TUS392029:TUT392094 TKW392029:TKX392094 TBA392029:TBB392094 SRE392029:SRF392094 SHI392029:SHJ392094 RXM392029:RXN392094 RNQ392029:RNR392094 RDU392029:RDV392094 QTY392029:QTZ392094 QKC392029:QKD392094 QAG392029:QAH392094 PQK392029:PQL392094 PGO392029:PGP392094 OWS392029:OWT392094 OMW392029:OMX392094 ODA392029:ODB392094 NTE392029:NTF392094 NJI392029:NJJ392094 MZM392029:MZN392094 MPQ392029:MPR392094 MFU392029:MFV392094 LVY392029:LVZ392094 LMC392029:LMD392094 LCG392029:LCH392094 KSK392029:KSL392094 KIO392029:KIP392094 JYS392029:JYT392094 JOW392029:JOX392094 JFA392029:JFB392094 IVE392029:IVF392094 ILI392029:ILJ392094 IBM392029:IBN392094 HRQ392029:HRR392094 HHU392029:HHV392094 GXY392029:GXZ392094 GOC392029:GOD392094 GEG392029:GEH392094 FUK392029:FUL392094 FKO392029:FKP392094 FAS392029:FAT392094 EQW392029:EQX392094 EHA392029:EHB392094 DXE392029:DXF392094 DNI392029:DNJ392094 DDM392029:DDN392094 CTQ392029:CTR392094 CJU392029:CJV392094 BZY392029:BZZ392094 BQC392029:BQD392094 BGG392029:BGH392094 AWK392029:AWL392094 AMO392029:AMP392094 ACS392029:ACT392094 SW392029:SX392094 JA392029:JB392094 E392029:F392094 WVM326493:WVN326558 WLQ326493:WLR326558 WBU326493:WBV326558 VRY326493:VRZ326558 VIC326493:VID326558 UYG326493:UYH326558 UOK326493:UOL326558 UEO326493:UEP326558 TUS326493:TUT326558 TKW326493:TKX326558 TBA326493:TBB326558 SRE326493:SRF326558 SHI326493:SHJ326558 RXM326493:RXN326558 RNQ326493:RNR326558 RDU326493:RDV326558 QTY326493:QTZ326558 QKC326493:QKD326558 QAG326493:QAH326558 PQK326493:PQL326558 PGO326493:PGP326558 OWS326493:OWT326558 OMW326493:OMX326558 ODA326493:ODB326558 NTE326493:NTF326558 NJI326493:NJJ326558 MZM326493:MZN326558 MPQ326493:MPR326558 MFU326493:MFV326558 LVY326493:LVZ326558 LMC326493:LMD326558 LCG326493:LCH326558 KSK326493:KSL326558 KIO326493:KIP326558 JYS326493:JYT326558 JOW326493:JOX326558 JFA326493:JFB326558 IVE326493:IVF326558 ILI326493:ILJ326558 IBM326493:IBN326558 HRQ326493:HRR326558 HHU326493:HHV326558 GXY326493:GXZ326558 GOC326493:GOD326558 GEG326493:GEH326558 FUK326493:FUL326558 FKO326493:FKP326558 FAS326493:FAT326558 EQW326493:EQX326558 EHA326493:EHB326558 DXE326493:DXF326558 DNI326493:DNJ326558 DDM326493:DDN326558 CTQ326493:CTR326558 CJU326493:CJV326558 BZY326493:BZZ326558 BQC326493:BQD326558 BGG326493:BGH326558 AWK326493:AWL326558 AMO326493:AMP326558 ACS326493:ACT326558 SW326493:SX326558 JA326493:JB326558 E326493:F326558 WVM260957:WVN261022 WLQ260957:WLR261022 WBU260957:WBV261022 VRY260957:VRZ261022 VIC260957:VID261022 UYG260957:UYH261022 UOK260957:UOL261022 UEO260957:UEP261022 TUS260957:TUT261022 TKW260957:TKX261022 TBA260957:TBB261022 SRE260957:SRF261022 SHI260957:SHJ261022 RXM260957:RXN261022 RNQ260957:RNR261022 RDU260957:RDV261022 QTY260957:QTZ261022 QKC260957:QKD261022 QAG260957:QAH261022 PQK260957:PQL261022 PGO260957:PGP261022 OWS260957:OWT261022 OMW260957:OMX261022 ODA260957:ODB261022 NTE260957:NTF261022 NJI260957:NJJ261022 MZM260957:MZN261022 MPQ260957:MPR261022 MFU260957:MFV261022 LVY260957:LVZ261022 LMC260957:LMD261022 LCG260957:LCH261022 KSK260957:KSL261022 KIO260957:KIP261022 JYS260957:JYT261022 JOW260957:JOX261022 JFA260957:JFB261022 IVE260957:IVF261022 ILI260957:ILJ261022 IBM260957:IBN261022 HRQ260957:HRR261022 HHU260957:HHV261022 GXY260957:GXZ261022 GOC260957:GOD261022 GEG260957:GEH261022 FUK260957:FUL261022 FKO260957:FKP261022 FAS260957:FAT261022 EQW260957:EQX261022 EHA260957:EHB261022 DXE260957:DXF261022 DNI260957:DNJ261022 DDM260957:DDN261022 CTQ260957:CTR261022 CJU260957:CJV261022 BZY260957:BZZ261022 BQC260957:BQD261022 BGG260957:BGH261022 AWK260957:AWL261022 AMO260957:AMP261022 ACS260957:ACT261022 SW260957:SX261022 JA260957:JB261022 E260957:F261022 WVM195421:WVN195486 WLQ195421:WLR195486 WBU195421:WBV195486 VRY195421:VRZ195486 VIC195421:VID195486 UYG195421:UYH195486 UOK195421:UOL195486 UEO195421:UEP195486 TUS195421:TUT195486 TKW195421:TKX195486 TBA195421:TBB195486 SRE195421:SRF195486 SHI195421:SHJ195486 RXM195421:RXN195486 RNQ195421:RNR195486 RDU195421:RDV195486 QTY195421:QTZ195486 QKC195421:QKD195486 QAG195421:QAH195486 PQK195421:PQL195486 PGO195421:PGP195486 OWS195421:OWT195486 OMW195421:OMX195486 ODA195421:ODB195486 NTE195421:NTF195486 NJI195421:NJJ195486 MZM195421:MZN195486 MPQ195421:MPR195486 MFU195421:MFV195486 LVY195421:LVZ195486 LMC195421:LMD195486 LCG195421:LCH195486 KSK195421:KSL195486 KIO195421:KIP195486 JYS195421:JYT195486 JOW195421:JOX195486 JFA195421:JFB195486 IVE195421:IVF195486 ILI195421:ILJ195486 IBM195421:IBN195486 HRQ195421:HRR195486 HHU195421:HHV195486 GXY195421:GXZ195486 GOC195421:GOD195486 GEG195421:GEH195486 FUK195421:FUL195486 FKO195421:FKP195486 FAS195421:FAT195486 EQW195421:EQX195486 EHA195421:EHB195486 DXE195421:DXF195486 DNI195421:DNJ195486 DDM195421:DDN195486 CTQ195421:CTR195486 CJU195421:CJV195486 BZY195421:BZZ195486 BQC195421:BQD195486 BGG195421:BGH195486 AWK195421:AWL195486 AMO195421:AMP195486 ACS195421:ACT195486 SW195421:SX195486 JA195421:JB195486 E195421:F195486 WVM129885:WVN129950 WLQ129885:WLR129950 WBU129885:WBV129950 VRY129885:VRZ129950 VIC129885:VID129950 UYG129885:UYH129950 UOK129885:UOL129950 UEO129885:UEP129950 TUS129885:TUT129950 TKW129885:TKX129950 TBA129885:TBB129950 SRE129885:SRF129950 SHI129885:SHJ129950 RXM129885:RXN129950 RNQ129885:RNR129950 RDU129885:RDV129950 QTY129885:QTZ129950 QKC129885:QKD129950 QAG129885:QAH129950 PQK129885:PQL129950 PGO129885:PGP129950 OWS129885:OWT129950 OMW129885:OMX129950 ODA129885:ODB129950 NTE129885:NTF129950 NJI129885:NJJ129950 MZM129885:MZN129950 MPQ129885:MPR129950 MFU129885:MFV129950 LVY129885:LVZ129950 LMC129885:LMD129950 LCG129885:LCH129950 KSK129885:KSL129950 KIO129885:KIP129950 JYS129885:JYT129950 JOW129885:JOX129950 JFA129885:JFB129950 IVE129885:IVF129950 ILI129885:ILJ129950 IBM129885:IBN129950 HRQ129885:HRR129950 HHU129885:HHV129950 GXY129885:GXZ129950 GOC129885:GOD129950 GEG129885:GEH129950 FUK129885:FUL129950 FKO129885:FKP129950 FAS129885:FAT129950 EQW129885:EQX129950 EHA129885:EHB129950 DXE129885:DXF129950 DNI129885:DNJ129950 DDM129885:DDN129950 CTQ129885:CTR129950 CJU129885:CJV129950 BZY129885:BZZ129950 BQC129885:BQD129950 BGG129885:BGH129950 AWK129885:AWL129950 AMO129885:AMP129950 ACS129885:ACT129950 SW129885:SX129950 JA129885:JB129950 E129885:F129950 WVM64349:WVN64414 WLQ64349:WLR64414 WBU64349:WBV64414 VRY64349:VRZ64414 VIC64349:VID64414 UYG64349:UYH64414 UOK64349:UOL64414 UEO64349:UEP64414 TUS64349:TUT64414 TKW64349:TKX64414 TBA64349:TBB64414 SRE64349:SRF64414 SHI64349:SHJ64414 RXM64349:RXN64414 RNQ64349:RNR64414 RDU64349:RDV64414 QTY64349:QTZ64414 QKC64349:QKD64414 QAG64349:QAH64414 PQK64349:PQL64414 PGO64349:PGP64414 OWS64349:OWT64414 OMW64349:OMX64414 ODA64349:ODB64414 NTE64349:NTF64414 NJI64349:NJJ64414 MZM64349:MZN64414 MPQ64349:MPR64414 MFU64349:MFV64414 LVY64349:LVZ64414 LMC64349:LMD64414 LCG64349:LCH64414 KSK64349:KSL64414 KIO64349:KIP64414 JYS64349:JYT64414 JOW64349:JOX64414 JFA64349:JFB64414 IVE64349:IVF64414 ILI64349:ILJ64414 IBM64349:IBN64414 HRQ64349:HRR64414 HHU64349:HHV64414 GXY64349:GXZ64414 GOC64349:GOD64414 GEG64349:GEH64414 FUK64349:FUL64414 FKO64349:FKP64414 FAS64349:FAT64414 EQW64349:EQX64414 EHA64349:EHB64414 DXE64349:DXF64414 DNI64349:DNJ64414 DDM64349:DDN64414 CTQ64349:CTR64414 CJU64349:CJV64414 BZY64349:BZZ64414 BQC64349:BQD64414 BGG64349:BGH64414 AWK64349:AWL64414 AMO64349:AMP64414 ACS64349:ACT64414 SW64349:SX64414 WVM983028:WVN983099">
      <formula1>#REF!</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30"/>
  <sheetViews>
    <sheetView zoomScale="70" zoomScaleNormal="70" zoomScaleSheetLayoutView="100" workbookViewId="0">
      <selection activeCell="H39" sqref="H39"/>
    </sheetView>
  </sheetViews>
  <sheetFormatPr defaultRowHeight="13.5" x14ac:dyDescent="0.15"/>
  <cols>
    <col min="1" max="3" width="9" style="205"/>
    <col min="4" max="4" width="10.5" style="205" bestFit="1" customWidth="1"/>
    <col min="5" max="16" width="9" style="205"/>
    <col min="17" max="17" width="9" style="214"/>
    <col min="18" max="19" width="9" style="205"/>
    <col min="20" max="20" width="9" style="214"/>
    <col min="21" max="21" width="9" style="205"/>
    <col min="22" max="22" width="9" style="214"/>
    <col min="23" max="32" width="9" style="205"/>
    <col min="33" max="33" width="16.875" style="205" bestFit="1" customWidth="1"/>
    <col min="34" max="34" width="15.625" style="205" customWidth="1"/>
    <col min="35" max="39" width="9" style="140"/>
    <col min="40" max="16384" width="9" style="205"/>
  </cols>
  <sheetData>
    <row r="1" spans="1:53" ht="45" x14ac:dyDescent="0.15">
      <c r="A1" s="237" t="s">
        <v>0</v>
      </c>
      <c r="B1" s="199" t="s">
        <v>1</v>
      </c>
      <c r="C1" s="199" t="s">
        <v>477</v>
      </c>
      <c r="D1" s="200" t="s">
        <v>3</v>
      </c>
      <c r="E1" s="238" t="s">
        <v>4</v>
      </c>
      <c r="F1" s="238" t="s">
        <v>5</v>
      </c>
      <c r="G1" s="238" t="s">
        <v>6</v>
      </c>
      <c r="H1" s="238" t="s">
        <v>7</v>
      </c>
      <c r="I1" s="238" t="s">
        <v>8</v>
      </c>
      <c r="J1" s="238" t="s">
        <v>9</v>
      </c>
      <c r="K1" s="198" t="s">
        <v>10</v>
      </c>
      <c r="L1" s="200" t="s">
        <v>478</v>
      </c>
      <c r="M1" s="200" t="s">
        <v>12</v>
      </c>
      <c r="N1" s="200" t="s">
        <v>13</v>
      </c>
      <c r="O1" s="200" t="s">
        <v>479</v>
      </c>
      <c r="P1" s="200" t="s">
        <v>480</v>
      </c>
      <c r="Q1" s="201" t="s">
        <v>16</v>
      </c>
      <c r="R1" s="200" t="s">
        <v>481</v>
      </c>
      <c r="S1" s="200" t="s">
        <v>482</v>
      </c>
      <c r="T1" s="201" t="s">
        <v>19</v>
      </c>
      <c r="U1" s="202" t="s">
        <v>108</v>
      </c>
      <c r="V1" s="203" t="s">
        <v>20</v>
      </c>
      <c r="W1" s="200" t="s">
        <v>21</v>
      </c>
      <c r="X1" s="238" t="s">
        <v>22</v>
      </c>
      <c r="Y1" s="238" t="s">
        <v>23</v>
      </c>
      <c r="Z1" s="238" t="s">
        <v>24</v>
      </c>
      <c r="AA1" s="239" t="s">
        <v>25</v>
      </c>
      <c r="AB1" s="204" t="s">
        <v>483</v>
      </c>
      <c r="AE1" s="206" t="s">
        <v>0</v>
      </c>
      <c r="AF1" s="207"/>
      <c r="AG1" s="206" t="s">
        <v>4</v>
      </c>
      <c r="AH1" s="206" t="s">
        <v>5</v>
      </c>
      <c r="AI1" s="159"/>
      <c r="AJ1" s="160" t="s">
        <v>6</v>
      </c>
      <c r="AK1" s="159"/>
      <c r="AL1" s="161" t="s">
        <v>7</v>
      </c>
      <c r="AM1" s="159"/>
      <c r="AN1" s="208" t="s">
        <v>8</v>
      </c>
      <c r="AO1" s="207"/>
      <c r="AP1" s="208" t="s">
        <v>27</v>
      </c>
      <c r="AQ1" s="207"/>
      <c r="AR1" s="208" t="s">
        <v>10</v>
      </c>
      <c r="AS1" s="207"/>
      <c r="AT1" s="209" t="s">
        <v>28</v>
      </c>
      <c r="AU1" s="207"/>
      <c r="AV1" s="208" t="s">
        <v>29</v>
      </c>
      <c r="AX1" s="210" t="s">
        <v>484</v>
      </c>
      <c r="AY1" s="211" t="s">
        <v>485</v>
      </c>
      <c r="AZ1" s="211" t="s">
        <v>486</v>
      </c>
      <c r="BA1" s="212" t="s">
        <v>487</v>
      </c>
    </row>
    <row r="2" spans="1:53" x14ac:dyDescent="0.15">
      <c r="A2" s="162" t="s">
        <v>34</v>
      </c>
      <c r="B2" s="162" t="s">
        <v>488</v>
      </c>
      <c r="C2" s="162">
        <v>2018</v>
      </c>
      <c r="D2" s="163" t="s">
        <v>489</v>
      </c>
      <c r="E2" s="162" t="s">
        <v>490</v>
      </c>
      <c r="F2" s="162" t="s">
        <v>273</v>
      </c>
      <c r="G2" s="164" t="s">
        <v>36</v>
      </c>
      <c r="H2" s="165" t="s">
        <v>155</v>
      </c>
      <c r="I2" s="134" t="s">
        <v>153</v>
      </c>
      <c r="J2" s="197" t="s">
        <v>38</v>
      </c>
      <c r="K2" s="134" t="s">
        <v>154</v>
      </c>
      <c r="L2" s="166">
        <v>1</v>
      </c>
      <c r="M2" s="167"/>
      <c r="N2" s="167">
        <v>1</v>
      </c>
      <c r="O2" s="167">
        <v>0.65</v>
      </c>
      <c r="P2" s="167">
        <v>0.6</v>
      </c>
      <c r="Q2" s="168">
        <f t="shared" ref="Q2:Q52" si="0">IF(OR(O2="",P2=""),"",AVERAGE(O2,P2))</f>
        <v>0.625</v>
      </c>
      <c r="R2" s="169">
        <v>13.4</v>
      </c>
      <c r="S2" s="165">
        <v>118</v>
      </c>
      <c r="T2" s="170">
        <f t="shared" ref="T2:T52" si="1">IF(H2="","",IF(OR(H2="GREEN",H2="GK"),IF(S2&gt;=$AX$2,VLOOKUP(S2,$AX$2:$AY$7,2,1),""),IF(S2&gt;=$AZ$2,VLOOKUP(S2,$AZ$2:$BA$7,2,1),"")))</f>
        <v>30</v>
      </c>
      <c r="U2" s="134">
        <v>84</v>
      </c>
      <c r="V2" s="170">
        <f t="shared" ref="V2:V52" si="2">IF(OR(N2="",U2="",T2=""),"",U2/N2*T2)</f>
        <v>2520</v>
      </c>
      <c r="W2" s="171">
        <v>4</v>
      </c>
      <c r="X2" s="172" t="s">
        <v>39</v>
      </c>
      <c r="Y2" s="172" t="s">
        <v>90</v>
      </c>
      <c r="Z2" s="172" t="s">
        <v>50</v>
      </c>
      <c r="AA2" s="173" t="s">
        <v>84</v>
      </c>
      <c r="AB2" s="55" t="s">
        <v>491</v>
      </c>
      <c r="AE2" s="215" t="s">
        <v>35</v>
      </c>
      <c r="AG2" s="240" t="s">
        <v>492</v>
      </c>
      <c r="AH2" s="240" t="s">
        <v>274</v>
      </c>
      <c r="AJ2" s="141" t="s">
        <v>36</v>
      </c>
      <c r="AL2" s="216" t="s">
        <v>127</v>
      </c>
      <c r="AN2" s="216" t="s">
        <v>37</v>
      </c>
      <c r="AO2" s="213"/>
      <c r="AP2" s="216" t="s">
        <v>38</v>
      </c>
      <c r="AQ2" s="213"/>
      <c r="AR2" s="216" t="s">
        <v>493</v>
      </c>
      <c r="AS2" s="213"/>
      <c r="AT2" s="216" t="s">
        <v>39</v>
      </c>
      <c r="AU2" s="213"/>
      <c r="AV2" s="245" t="s">
        <v>40</v>
      </c>
      <c r="AW2" s="213"/>
      <c r="AX2" s="217">
        <v>1</v>
      </c>
      <c r="AY2" s="218">
        <v>50</v>
      </c>
      <c r="AZ2" s="218">
        <v>1</v>
      </c>
      <c r="BA2" s="219">
        <v>50</v>
      </c>
    </row>
    <row r="3" spans="1:53" x14ac:dyDescent="0.15">
      <c r="A3" s="174" t="s">
        <v>34</v>
      </c>
      <c r="B3" s="174" t="s">
        <v>332</v>
      </c>
      <c r="C3" s="175">
        <v>2018</v>
      </c>
      <c r="D3" s="258" t="s">
        <v>489</v>
      </c>
      <c r="E3" s="174" t="s">
        <v>490</v>
      </c>
      <c r="F3" s="174" t="s">
        <v>273</v>
      </c>
      <c r="G3" s="177" t="s">
        <v>36</v>
      </c>
      <c r="H3" s="134" t="s">
        <v>155</v>
      </c>
      <c r="I3" s="134" t="s">
        <v>153</v>
      </c>
      <c r="J3" s="134" t="s">
        <v>38</v>
      </c>
      <c r="K3" s="134" t="s">
        <v>154</v>
      </c>
      <c r="L3" s="205">
        <v>2</v>
      </c>
      <c r="N3" s="205">
        <v>1</v>
      </c>
      <c r="O3" s="205">
        <v>0.5</v>
      </c>
      <c r="P3" s="232">
        <v>0.55000000000000004</v>
      </c>
      <c r="Q3" s="178">
        <f t="shared" si="0"/>
        <v>0.52500000000000002</v>
      </c>
      <c r="R3" s="179">
        <v>14.6</v>
      </c>
      <c r="S3" s="179">
        <v>116</v>
      </c>
      <c r="T3" s="214">
        <f t="shared" si="1"/>
        <v>30</v>
      </c>
      <c r="U3" s="180">
        <v>84</v>
      </c>
      <c r="V3" s="181">
        <f t="shared" si="2"/>
        <v>2520</v>
      </c>
      <c r="W3" s="182">
        <v>4</v>
      </c>
      <c r="X3" s="183" t="s">
        <v>39</v>
      </c>
      <c r="Y3" s="183" t="s">
        <v>90</v>
      </c>
      <c r="Z3" s="183" t="s">
        <v>50</v>
      </c>
      <c r="AA3" s="173" t="s">
        <v>84</v>
      </c>
      <c r="AB3" s="55" t="s">
        <v>334</v>
      </c>
      <c r="AE3" s="220" t="s">
        <v>41</v>
      </c>
      <c r="AG3" s="240" t="s">
        <v>275</v>
      </c>
      <c r="AH3" s="240" t="s">
        <v>276</v>
      </c>
      <c r="AJ3" s="184" t="s">
        <v>42</v>
      </c>
      <c r="AL3" s="221" t="s">
        <v>128</v>
      </c>
      <c r="AN3" s="221" t="s">
        <v>43</v>
      </c>
      <c r="AP3" s="221" t="s">
        <v>44</v>
      </c>
      <c r="AR3" s="235" t="s">
        <v>45</v>
      </c>
      <c r="AT3" s="221" t="s">
        <v>46</v>
      </c>
      <c r="AV3" s="221" t="s">
        <v>47</v>
      </c>
      <c r="AX3" s="222">
        <v>72</v>
      </c>
      <c r="AY3" s="223">
        <v>46</v>
      </c>
      <c r="AZ3" s="223">
        <v>71</v>
      </c>
      <c r="BA3" s="224">
        <v>42</v>
      </c>
    </row>
    <row r="4" spans="1:53" x14ac:dyDescent="0.15">
      <c r="A4" s="174" t="s">
        <v>34</v>
      </c>
      <c r="B4" s="174" t="s">
        <v>332</v>
      </c>
      <c r="C4" s="174">
        <v>2018</v>
      </c>
      <c r="D4" s="176" t="s">
        <v>494</v>
      </c>
      <c r="E4" s="174" t="s">
        <v>490</v>
      </c>
      <c r="F4" s="174" t="s">
        <v>273</v>
      </c>
      <c r="G4" s="177" t="s">
        <v>36</v>
      </c>
      <c r="H4" s="134" t="s">
        <v>155</v>
      </c>
      <c r="I4" s="134" t="s">
        <v>153</v>
      </c>
      <c r="J4" s="134" t="s">
        <v>38</v>
      </c>
      <c r="K4" s="134" t="s">
        <v>154</v>
      </c>
      <c r="L4" s="205">
        <v>3</v>
      </c>
      <c r="N4" s="205">
        <v>1</v>
      </c>
      <c r="O4" s="205">
        <v>0.55000000000000004</v>
      </c>
      <c r="P4" s="232">
        <v>0.5</v>
      </c>
      <c r="Q4" s="242">
        <f t="shared" si="0"/>
        <v>0.52500000000000002</v>
      </c>
      <c r="R4" s="185">
        <v>14.4</v>
      </c>
      <c r="S4" s="185">
        <v>122</v>
      </c>
      <c r="T4" s="214">
        <f t="shared" si="1"/>
        <v>30</v>
      </c>
      <c r="U4" s="186">
        <v>84</v>
      </c>
      <c r="V4" s="181">
        <f t="shared" si="2"/>
        <v>2520</v>
      </c>
      <c r="W4" s="187">
        <v>4</v>
      </c>
      <c r="X4" s="183" t="s">
        <v>39</v>
      </c>
      <c r="Y4" s="183" t="s">
        <v>90</v>
      </c>
      <c r="Z4" s="183" t="s">
        <v>50</v>
      </c>
      <c r="AA4" s="173" t="s">
        <v>84</v>
      </c>
      <c r="AB4" s="55" t="s">
        <v>334</v>
      </c>
      <c r="AE4" s="220" t="s">
        <v>34</v>
      </c>
      <c r="AG4" s="240" t="s">
        <v>495</v>
      </c>
      <c r="AH4" s="240" t="s">
        <v>277</v>
      </c>
      <c r="AJ4" s="188" t="s">
        <v>48</v>
      </c>
      <c r="AL4" s="225" t="s">
        <v>129</v>
      </c>
      <c r="AN4" s="226" t="s">
        <v>49</v>
      </c>
      <c r="AP4" s="221" t="s">
        <v>496</v>
      </c>
      <c r="AR4" s="235" t="s">
        <v>497</v>
      </c>
      <c r="AT4" s="226"/>
      <c r="AV4" s="221" t="s">
        <v>50</v>
      </c>
      <c r="AX4" s="222">
        <v>75</v>
      </c>
      <c r="AY4" s="223">
        <v>42</v>
      </c>
      <c r="AZ4" s="223">
        <v>76</v>
      </c>
      <c r="BA4" s="224">
        <v>39</v>
      </c>
    </row>
    <row r="5" spans="1:53" x14ac:dyDescent="0.15">
      <c r="A5" s="174" t="s">
        <v>34</v>
      </c>
      <c r="B5" s="174" t="s">
        <v>332</v>
      </c>
      <c r="C5" s="175">
        <v>2018</v>
      </c>
      <c r="D5" s="176" t="s">
        <v>494</v>
      </c>
      <c r="E5" s="174" t="s">
        <v>490</v>
      </c>
      <c r="F5" s="174" t="s">
        <v>273</v>
      </c>
      <c r="G5" s="177" t="s">
        <v>36</v>
      </c>
      <c r="H5" s="134" t="s">
        <v>166</v>
      </c>
      <c r="I5" s="134" t="s">
        <v>153</v>
      </c>
      <c r="J5" s="134" t="s">
        <v>38</v>
      </c>
      <c r="K5" s="134" t="s">
        <v>154</v>
      </c>
      <c r="L5" s="205">
        <v>1</v>
      </c>
      <c r="N5" s="205">
        <v>1</v>
      </c>
      <c r="O5" s="205">
        <v>0.7</v>
      </c>
      <c r="P5" s="234">
        <v>0.65</v>
      </c>
      <c r="Q5" s="242">
        <f t="shared" si="0"/>
        <v>0.67500000000000004</v>
      </c>
      <c r="R5" s="185">
        <v>15.2</v>
      </c>
      <c r="S5" s="185">
        <v>154</v>
      </c>
      <c r="T5" s="214">
        <f t="shared" si="1"/>
        <v>30</v>
      </c>
      <c r="U5" s="186">
        <v>138</v>
      </c>
      <c r="V5" s="181">
        <f t="shared" si="2"/>
        <v>4140</v>
      </c>
      <c r="W5" s="187">
        <v>4</v>
      </c>
      <c r="X5" s="183" t="s">
        <v>39</v>
      </c>
      <c r="Y5" s="183" t="s">
        <v>90</v>
      </c>
      <c r="Z5" s="183" t="s">
        <v>50</v>
      </c>
      <c r="AA5" s="173" t="s">
        <v>84</v>
      </c>
      <c r="AB5" s="55" t="s">
        <v>334</v>
      </c>
      <c r="AE5" s="220" t="s">
        <v>51</v>
      </c>
      <c r="AG5" s="240" t="s">
        <v>498</v>
      </c>
      <c r="AH5" s="240" t="s">
        <v>280</v>
      </c>
      <c r="AJ5" s="189"/>
      <c r="AL5" s="227" t="s">
        <v>499</v>
      </c>
      <c r="AN5" s="227" t="s">
        <v>500</v>
      </c>
      <c r="AP5" s="221" t="s">
        <v>501</v>
      </c>
      <c r="AR5" s="235" t="s">
        <v>54</v>
      </c>
      <c r="AT5" s="244"/>
      <c r="AV5" s="221" t="s">
        <v>55</v>
      </c>
      <c r="AX5" s="222">
        <v>84</v>
      </c>
      <c r="AY5" s="223">
        <v>39</v>
      </c>
      <c r="AZ5" s="223">
        <v>84</v>
      </c>
      <c r="BA5" s="224">
        <v>36</v>
      </c>
    </row>
    <row r="6" spans="1:53" x14ac:dyDescent="0.15">
      <c r="A6" s="174" t="s">
        <v>34</v>
      </c>
      <c r="B6" s="174" t="s">
        <v>332</v>
      </c>
      <c r="C6" s="174">
        <v>2018</v>
      </c>
      <c r="D6" s="176" t="s">
        <v>494</v>
      </c>
      <c r="E6" s="174" t="s">
        <v>490</v>
      </c>
      <c r="F6" s="174" t="s">
        <v>273</v>
      </c>
      <c r="G6" s="177" t="s">
        <v>36</v>
      </c>
      <c r="H6" s="134" t="s">
        <v>166</v>
      </c>
      <c r="I6" s="134" t="s">
        <v>153</v>
      </c>
      <c r="J6" s="134" t="s">
        <v>38</v>
      </c>
      <c r="K6" s="134" t="s">
        <v>154</v>
      </c>
      <c r="L6" s="205">
        <v>2</v>
      </c>
      <c r="N6" s="205">
        <v>1</v>
      </c>
      <c r="O6" s="205">
        <v>0.6</v>
      </c>
      <c r="P6" s="234">
        <v>0.5</v>
      </c>
      <c r="Q6" s="242">
        <f t="shared" si="0"/>
        <v>0.55000000000000004</v>
      </c>
      <c r="R6" s="185">
        <v>16</v>
      </c>
      <c r="S6" s="185">
        <v>150</v>
      </c>
      <c r="T6" s="214">
        <f t="shared" si="1"/>
        <v>30</v>
      </c>
      <c r="U6" s="186">
        <v>138</v>
      </c>
      <c r="V6" s="181">
        <f t="shared" si="2"/>
        <v>4140</v>
      </c>
      <c r="W6" s="187">
        <v>4</v>
      </c>
      <c r="X6" s="183" t="s">
        <v>39</v>
      </c>
      <c r="Y6" s="183" t="s">
        <v>90</v>
      </c>
      <c r="Z6" s="183" t="s">
        <v>50</v>
      </c>
      <c r="AA6" s="173" t="s">
        <v>84</v>
      </c>
      <c r="AB6" s="55" t="s">
        <v>334</v>
      </c>
      <c r="AE6" s="220" t="s">
        <v>56</v>
      </c>
      <c r="AG6" s="240" t="s">
        <v>502</v>
      </c>
      <c r="AH6" s="240" t="s">
        <v>279</v>
      </c>
      <c r="AL6" s="227" t="s">
        <v>503</v>
      </c>
      <c r="AN6" s="227" t="s">
        <v>504</v>
      </c>
      <c r="AP6" s="221" t="s">
        <v>53</v>
      </c>
      <c r="AR6" s="235" t="s">
        <v>59</v>
      </c>
      <c r="AV6" s="221" t="s">
        <v>60</v>
      </c>
      <c r="AX6" s="222">
        <v>97</v>
      </c>
      <c r="AY6" s="223">
        <v>36</v>
      </c>
      <c r="AZ6" s="223">
        <v>99</v>
      </c>
      <c r="BA6" s="224">
        <v>33</v>
      </c>
    </row>
    <row r="7" spans="1:53" x14ac:dyDescent="0.15">
      <c r="A7" s="174" t="s">
        <v>34</v>
      </c>
      <c r="B7" s="174" t="s">
        <v>332</v>
      </c>
      <c r="C7" s="175">
        <v>2018</v>
      </c>
      <c r="D7" s="176" t="s">
        <v>494</v>
      </c>
      <c r="E7" s="174" t="s">
        <v>490</v>
      </c>
      <c r="F7" s="174" t="s">
        <v>273</v>
      </c>
      <c r="G7" s="177" t="s">
        <v>36</v>
      </c>
      <c r="H7" s="134" t="s">
        <v>166</v>
      </c>
      <c r="I7" s="134" t="s">
        <v>153</v>
      </c>
      <c r="J7" s="134" t="s">
        <v>38</v>
      </c>
      <c r="K7" s="134" t="s">
        <v>154</v>
      </c>
      <c r="L7" s="205">
        <v>3</v>
      </c>
      <c r="N7" s="205">
        <v>1</v>
      </c>
      <c r="O7" s="205">
        <v>0.75</v>
      </c>
      <c r="P7" s="234">
        <v>0.65</v>
      </c>
      <c r="Q7" s="242">
        <f t="shared" si="0"/>
        <v>0.7</v>
      </c>
      <c r="R7" s="185">
        <v>15.3</v>
      </c>
      <c r="S7" s="185">
        <v>155</v>
      </c>
      <c r="T7" s="214">
        <f t="shared" si="1"/>
        <v>30</v>
      </c>
      <c r="U7" s="186">
        <v>138</v>
      </c>
      <c r="V7" s="181">
        <f t="shared" si="2"/>
        <v>4140</v>
      </c>
      <c r="W7" s="187">
        <v>4</v>
      </c>
      <c r="X7" s="183" t="s">
        <v>39</v>
      </c>
      <c r="Y7" s="183" t="s">
        <v>90</v>
      </c>
      <c r="Z7" s="183" t="s">
        <v>50</v>
      </c>
      <c r="AA7" s="173" t="s">
        <v>84</v>
      </c>
      <c r="AB7" s="55" t="s">
        <v>334</v>
      </c>
      <c r="AE7" s="220" t="s">
        <v>61</v>
      </c>
      <c r="AG7" s="240" t="s">
        <v>278</v>
      </c>
      <c r="AH7" s="240" t="s">
        <v>273</v>
      </c>
      <c r="AL7" s="232" t="s">
        <v>505</v>
      </c>
      <c r="AP7" s="221" t="s">
        <v>58</v>
      </c>
      <c r="AR7" s="228" t="s">
        <v>122</v>
      </c>
      <c r="AV7" s="221" t="s">
        <v>64</v>
      </c>
      <c r="AX7" s="222">
        <v>109</v>
      </c>
      <c r="AY7" s="223">
        <v>33</v>
      </c>
      <c r="AZ7" s="223">
        <v>113</v>
      </c>
      <c r="BA7" s="224">
        <v>30</v>
      </c>
    </row>
    <row r="8" spans="1:53" x14ac:dyDescent="0.15">
      <c r="A8" s="174" t="s">
        <v>34</v>
      </c>
      <c r="B8" s="174" t="s">
        <v>332</v>
      </c>
      <c r="C8" s="174">
        <v>2018</v>
      </c>
      <c r="D8" s="176" t="s">
        <v>494</v>
      </c>
      <c r="E8" s="175" t="s">
        <v>278</v>
      </c>
      <c r="F8" s="174" t="s">
        <v>279</v>
      </c>
      <c r="G8" s="177" t="s">
        <v>36</v>
      </c>
      <c r="H8" s="134" t="s">
        <v>155</v>
      </c>
      <c r="I8" s="134" t="s">
        <v>153</v>
      </c>
      <c r="J8" s="134" t="s">
        <v>38</v>
      </c>
      <c r="K8" s="134" t="s">
        <v>154</v>
      </c>
      <c r="L8" s="205">
        <v>1</v>
      </c>
      <c r="N8" s="205">
        <v>5</v>
      </c>
      <c r="O8" s="205">
        <v>0.85</v>
      </c>
      <c r="P8" s="205">
        <v>0.9</v>
      </c>
      <c r="Q8" s="242">
        <f t="shared" si="0"/>
        <v>0.875</v>
      </c>
      <c r="R8" s="185">
        <v>13.9</v>
      </c>
      <c r="S8" s="185">
        <v>97</v>
      </c>
      <c r="T8" s="214">
        <f t="shared" si="1"/>
        <v>36</v>
      </c>
      <c r="U8" s="190">
        <v>398</v>
      </c>
      <c r="V8" s="181">
        <f t="shared" si="2"/>
        <v>2865.6</v>
      </c>
      <c r="W8" s="187">
        <v>2</v>
      </c>
      <c r="X8" s="183" t="s">
        <v>46</v>
      </c>
      <c r="Y8" s="191" t="s">
        <v>90</v>
      </c>
      <c r="Z8" s="183" t="s">
        <v>50</v>
      </c>
      <c r="AA8" s="173" t="s">
        <v>84</v>
      </c>
      <c r="AB8" s="55" t="s">
        <v>334</v>
      </c>
      <c r="AE8" s="220" t="s">
        <v>59</v>
      </c>
      <c r="AG8" s="240" t="s">
        <v>506</v>
      </c>
      <c r="AH8" s="240" t="s">
        <v>282</v>
      </c>
      <c r="AL8" s="232" t="s">
        <v>353</v>
      </c>
      <c r="AP8" s="221" t="s">
        <v>62</v>
      </c>
      <c r="AR8" s="235" t="s">
        <v>81</v>
      </c>
      <c r="AV8" s="221" t="s">
        <v>97</v>
      </c>
      <c r="AX8" s="222">
        <v>151</v>
      </c>
      <c r="AY8" s="223">
        <v>22</v>
      </c>
      <c r="AZ8" s="223">
        <v>152</v>
      </c>
      <c r="BA8" s="224">
        <v>18</v>
      </c>
    </row>
    <row r="9" spans="1:53" x14ac:dyDescent="0.15">
      <c r="A9" s="174" t="s">
        <v>34</v>
      </c>
      <c r="B9" s="174" t="s">
        <v>332</v>
      </c>
      <c r="C9" s="175">
        <v>2018</v>
      </c>
      <c r="D9" s="176" t="s">
        <v>494</v>
      </c>
      <c r="E9" s="175" t="s">
        <v>278</v>
      </c>
      <c r="F9" s="174" t="s">
        <v>279</v>
      </c>
      <c r="G9" s="177" t="s">
        <v>36</v>
      </c>
      <c r="H9" s="134" t="s">
        <v>155</v>
      </c>
      <c r="I9" s="134" t="s">
        <v>153</v>
      </c>
      <c r="J9" s="134" t="s">
        <v>38</v>
      </c>
      <c r="K9" s="134" t="s">
        <v>154</v>
      </c>
      <c r="L9" s="205">
        <v>2</v>
      </c>
      <c r="N9" s="205">
        <v>5</v>
      </c>
      <c r="O9" s="205">
        <v>1</v>
      </c>
      <c r="P9" s="205">
        <v>0.85</v>
      </c>
      <c r="Q9" s="242">
        <f t="shared" si="0"/>
        <v>0.92500000000000004</v>
      </c>
      <c r="R9" s="185">
        <v>12.7</v>
      </c>
      <c r="S9" s="185">
        <v>99</v>
      </c>
      <c r="T9" s="214">
        <f t="shared" si="1"/>
        <v>33</v>
      </c>
      <c r="U9" s="190">
        <v>398</v>
      </c>
      <c r="V9" s="181">
        <f t="shared" si="2"/>
        <v>2626.7999999999997</v>
      </c>
      <c r="W9" s="187">
        <v>2</v>
      </c>
      <c r="X9" s="183" t="s">
        <v>46</v>
      </c>
      <c r="Y9" s="191" t="s">
        <v>90</v>
      </c>
      <c r="Z9" s="183" t="s">
        <v>50</v>
      </c>
      <c r="AA9" s="173" t="s">
        <v>84</v>
      </c>
      <c r="AB9" s="55" t="s">
        <v>334</v>
      </c>
      <c r="AE9" s="220" t="s">
        <v>98</v>
      </c>
      <c r="AG9" s="240" t="s">
        <v>507</v>
      </c>
      <c r="AH9" s="240" t="s">
        <v>283</v>
      </c>
      <c r="AL9" s="227"/>
      <c r="AP9" s="221" t="s">
        <v>95</v>
      </c>
      <c r="AR9" s="228" t="s">
        <v>89</v>
      </c>
      <c r="AV9" s="221" t="s">
        <v>102</v>
      </c>
      <c r="AX9" s="229">
        <v>180</v>
      </c>
      <c r="AY9" s="230">
        <v>18</v>
      </c>
      <c r="AZ9" s="230">
        <v>181</v>
      </c>
      <c r="BA9" s="231">
        <v>16</v>
      </c>
    </row>
    <row r="10" spans="1:53" x14ac:dyDescent="0.15">
      <c r="A10" s="174" t="s">
        <v>34</v>
      </c>
      <c r="B10" s="174" t="s">
        <v>332</v>
      </c>
      <c r="C10" s="174">
        <v>2018</v>
      </c>
      <c r="D10" s="176" t="s">
        <v>494</v>
      </c>
      <c r="E10" s="175" t="s">
        <v>278</v>
      </c>
      <c r="F10" s="174" t="s">
        <v>279</v>
      </c>
      <c r="G10" s="177" t="s">
        <v>36</v>
      </c>
      <c r="H10" s="134" t="s">
        <v>155</v>
      </c>
      <c r="I10" s="134" t="s">
        <v>153</v>
      </c>
      <c r="J10" s="134" t="s">
        <v>38</v>
      </c>
      <c r="K10" s="134" t="s">
        <v>154</v>
      </c>
      <c r="L10" s="205">
        <v>3</v>
      </c>
      <c r="N10" s="205">
        <v>5</v>
      </c>
      <c r="O10" s="205">
        <v>1</v>
      </c>
      <c r="P10" s="205">
        <v>0.9</v>
      </c>
      <c r="Q10" s="242">
        <f t="shared" si="0"/>
        <v>0.95</v>
      </c>
      <c r="R10" s="185">
        <v>13.3</v>
      </c>
      <c r="S10" s="185">
        <v>95</v>
      </c>
      <c r="T10" s="214">
        <f t="shared" si="1"/>
        <v>36</v>
      </c>
      <c r="U10" s="190">
        <v>398</v>
      </c>
      <c r="V10" s="181">
        <f t="shared" si="2"/>
        <v>2865.6</v>
      </c>
      <c r="W10" s="187">
        <v>2</v>
      </c>
      <c r="X10" s="183" t="s">
        <v>46</v>
      </c>
      <c r="Y10" s="191" t="s">
        <v>90</v>
      </c>
      <c r="Z10" s="183" t="s">
        <v>50</v>
      </c>
      <c r="AA10" s="173" t="s">
        <v>84</v>
      </c>
      <c r="AB10" s="55" t="s">
        <v>334</v>
      </c>
      <c r="AE10" s="220" t="s">
        <v>103</v>
      </c>
      <c r="AG10" s="240" t="s">
        <v>508</v>
      </c>
      <c r="AH10" s="240" t="s">
        <v>509</v>
      </c>
      <c r="AL10" s="232"/>
      <c r="AP10" s="221" t="s">
        <v>100</v>
      </c>
      <c r="AR10" s="228" t="s">
        <v>123</v>
      </c>
      <c r="AV10" s="221" t="s">
        <v>106</v>
      </c>
    </row>
    <row r="11" spans="1:53" x14ac:dyDescent="0.15">
      <c r="A11" s="174" t="s">
        <v>34</v>
      </c>
      <c r="B11" s="174" t="s">
        <v>365</v>
      </c>
      <c r="C11" s="175">
        <v>2018</v>
      </c>
      <c r="D11" s="176" t="s">
        <v>494</v>
      </c>
      <c r="E11" s="175" t="s">
        <v>278</v>
      </c>
      <c r="F11" s="174" t="s">
        <v>279</v>
      </c>
      <c r="G11" s="177" t="s">
        <v>36</v>
      </c>
      <c r="H11" s="134" t="s">
        <v>166</v>
      </c>
      <c r="I11" s="134" t="s">
        <v>153</v>
      </c>
      <c r="J11" s="134" t="s">
        <v>38</v>
      </c>
      <c r="K11" s="134" t="s">
        <v>154</v>
      </c>
      <c r="L11" s="205">
        <v>1</v>
      </c>
      <c r="N11" s="205">
        <v>4</v>
      </c>
      <c r="O11" s="205">
        <v>0.6</v>
      </c>
      <c r="P11" s="205">
        <v>0.55000000000000004</v>
      </c>
      <c r="Q11" s="242">
        <f t="shared" si="0"/>
        <v>0.57499999999999996</v>
      </c>
      <c r="R11" s="185">
        <v>15.2</v>
      </c>
      <c r="S11" s="185">
        <v>100</v>
      </c>
      <c r="T11" s="214">
        <f t="shared" si="1"/>
        <v>33</v>
      </c>
      <c r="U11" s="190">
        <v>498</v>
      </c>
      <c r="V11" s="181">
        <f t="shared" si="2"/>
        <v>4108.5</v>
      </c>
      <c r="W11" s="187">
        <v>2</v>
      </c>
      <c r="X11" s="183" t="s">
        <v>46</v>
      </c>
      <c r="Y11" s="191" t="s">
        <v>90</v>
      </c>
      <c r="Z11" s="183" t="s">
        <v>50</v>
      </c>
      <c r="AA11" s="192" t="s">
        <v>84</v>
      </c>
      <c r="AB11" s="55" t="s">
        <v>334</v>
      </c>
      <c r="AE11" s="220" t="s">
        <v>65</v>
      </c>
      <c r="AG11" s="235"/>
      <c r="AH11" s="235"/>
      <c r="AL11" s="232"/>
      <c r="AP11" s="221" t="s">
        <v>104</v>
      </c>
      <c r="AR11" s="228" t="s">
        <v>87</v>
      </c>
      <c r="AV11" s="221" t="s">
        <v>69</v>
      </c>
    </row>
    <row r="12" spans="1:53" x14ac:dyDescent="0.15">
      <c r="A12" s="174" t="s">
        <v>34</v>
      </c>
      <c r="B12" s="174" t="s">
        <v>332</v>
      </c>
      <c r="C12" s="174">
        <v>2018</v>
      </c>
      <c r="D12" s="176" t="s">
        <v>494</v>
      </c>
      <c r="E12" s="175" t="s">
        <v>278</v>
      </c>
      <c r="F12" s="174" t="s">
        <v>279</v>
      </c>
      <c r="G12" s="177" t="s">
        <v>36</v>
      </c>
      <c r="H12" s="134" t="s">
        <v>166</v>
      </c>
      <c r="I12" s="134" t="s">
        <v>153</v>
      </c>
      <c r="J12" s="134" t="s">
        <v>38</v>
      </c>
      <c r="K12" s="134" t="s">
        <v>154</v>
      </c>
      <c r="L12" s="205">
        <v>2</v>
      </c>
      <c r="N12" s="205">
        <v>4</v>
      </c>
      <c r="O12" s="205">
        <v>0.55000000000000004</v>
      </c>
      <c r="P12" s="205">
        <v>0.6</v>
      </c>
      <c r="Q12" s="242">
        <f t="shared" si="0"/>
        <v>0.57499999999999996</v>
      </c>
      <c r="R12" s="185">
        <v>15.6</v>
      </c>
      <c r="S12" s="185">
        <v>103</v>
      </c>
      <c r="T12" s="214">
        <f t="shared" si="1"/>
        <v>33</v>
      </c>
      <c r="U12" s="190">
        <v>498</v>
      </c>
      <c r="V12" s="181">
        <f t="shared" si="2"/>
        <v>4108.5</v>
      </c>
      <c r="W12" s="187">
        <v>2</v>
      </c>
      <c r="X12" s="183" t="s">
        <v>46</v>
      </c>
      <c r="Y12" s="191" t="s">
        <v>90</v>
      </c>
      <c r="Z12" s="183" t="s">
        <v>50</v>
      </c>
      <c r="AA12" s="192" t="s">
        <v>84</v>
      </c>
      <c r="AB12" s="55" t="s">
        <v>334</v>
      </c>
      <c r="AE12" s="220" t="s">
        <v>70</v>
      </c>
      <c r="AG12" s="235"/>
      <c r="AH12" s="235"/>
      <c r="AL12" s="232"/>
      <c r="AP12" s="221" t="s">
        <v>67</v>
      </c>
      <c r="AR12" s="228" t="s">
        <v>124</v>
      </c>
      <c r="AV12" s="221" t="s">
        <v>72</v>
      </c>
    </row>
    <row r="13" spans="1:53" x14ac:dyDescent="0.15">
      <c r="A13" s="174" t="s">
        <v>34</v>
      </c>
      <c r="B13" s="174" t="s">
        <v>332</v>
      </c>
      <c r="C13" s="175">
        <v>2018</v>
      </c>
      <c r="D13" s="176" t="s">
        <v>494</v>
      </c>
      <c r="E13" s="175" t="s">
        <v>278</v>
      </c>
      <c r="F13" s="174" t="s">
        <v>279</v>
      </c>
      <c r="G13" s="177" t="s">
        <v>36</v>
      </c>
      <c r="H13" s="134" t="s">
        <v>166</v>
      </c>
      <c r="I13" s="134" t="s">
        <v>153</v>
      </c>
      <c r="J13" s="134" t="s">
        <v>38</v>
      </c>
      <c r="K13" s="134" t="s">
        <v>154</v>
      </c>
      <c r="L13" s="205">
        <v>3</v>
      </c>
      <c r="N13" s="205">
        <v>4</v>
      </c>
      <c r="O13" s="205">
        <v>0.6</v>
      </c>
      <c r="P13" s="205">
        <v>0.6</v>
      </c>
      <c r="Q13" s="242">
        <f t="shared" si="0"/>
        <v>0.6</v>
      </c>
      <c r="R13" s="185">
        <v>15.5</v>
      </c>
      <c r="S13" s="185">
        <v>100</v>
      </c>
      <c r="T13" s="214">
        <f t="shared" si="1"/>
        <v>33</v>
      </c>
      <c r="U13" s="190">
        <v>498</v>
      </c>
      <c r="V13" s="181">
        <f t="shared" si="2"/>
        <v>4108.5</v>
      </c>
      <c r="W13" s="187">
        <v>2</v>
      </c>
      <c r="X13" s="183" t="s">
        <v>46</v>
      </c>
      <c r="Y13" s="191" t="s">
        <v>90</v>
      </c>
      <c r="Z13" s="183" t="s">
        <v>50</v>
      </c>
      <c r="AA13" s="192" t="s">
        <v>84</v>
      </c>
      <c r="AB13" s="55" t="s">
        <v>334</v>
      </c>
      <c r="AE13" s="220" t="s">
        <v>73</v>
      </c>
      <c r="AG13" s="193"/>
      <c r="AH13" s="193"/>
      <c r="AP13" s="221" t="s">
        <v>71</v>
      </c>
      <c r="AR13" s="228" t="s">
        <v>103</v>
      </c>
      <c r="AV13" s="221" t="s">
        <v>75</v>
      </c>
    </row>
    <row r="14" spans="1:53" x14ac:dyDescent="0.15">
      <c r="A14" s="174" t="s">
        <v>34</v>
      </c>
      <c r="B14" s="174" t="s">
        <v>332</v>
      </c>
      <c r="C14" s="174">
        <v>2018</v>
      </c>
      <c r="D14" s="176" t="s">
        <v>494</v>
      </c>
      <c r="E14" s="175" t="s">
        <v>281</v>
      </c>
      <c r="F14" s="174" t="s">
        <v>279</v>
      </c>
      <c r="G14" s="177" t="s">
        <v>36</v>
      </c>
      <c r="H14" s="134" t="s">
        <v>155</v>
      </c>
      <c r="I14" s="134" t="s">
        <v>153</v>
      </c>
      <c r="J14" s="134" t="s">
        <v>38</v>
      </c>
      <c r="K14" s="134" t="s">
        <v>154</v>
      </c>
      <c r="L14" s="205">
        <v>1</v>
      </c>
      <c r="N14" s="205">
        <v>1</v>
      </c>
      <c r="O14" s="205">
        <v>0.55000000000000004</v>
      </c>
      <c r="P14" s="205">
        <v>0.55000000000000004</v>
      </c>
      <c r="Q14" s="242">
        <f t="shared" si="0"/>
        <v>0.55000000000000004</v>
      </c>
      <c r="R14" s="185">
        <v>14.2</v>
      </c>
      <c r="S14" s="185">
        <v>128</v>
      </c>
      <c r="T14" s="214">
        <f t="shared" si="1"/>
        <v>30</v>
      </c>
      <c r="U14" s="190">
        <v>128</v>
      </c>
      <c r="V14" s="181">
        <f t="shared" si="2"/>
        <v>3840</v>
      </c>
      <c r="W14" s="187">
        <v>4</v>
      </c>
      <c r="X14" s="183" t="s">
        <v>46</v>
      </c>
      <c r="Y14" s="191" t="s">
        <v>84</v>
      </c>
      <c r="Z14" s="191" t="s">
        <v>90</v>
      </c>
      <c r="AA14" s="192" t="s">
        <v>40</v>
      </c>
      <c r="AB14" s="55" t="s">
        <v>334</v>
      </c>
      <c r="AC14" s="232"/>
      <c r="AE14" s="220" t="s">
        <v>76</v>
      </c>
      <c r="AG14" s="244"/>
      <c r="AH14" s="244"/>
      <c r="AP14" s="221" t="s">
        <v>74</v>
      </c>
      <c r="AR14" s="228" t="s">
        <v>125</v>
      </c>
      <c r="AV14" s="221" t="s">
        <v>78</v>
      </c>
    </row>
    <row r="15" spans="1:53" x14ac:dyDescent="0.15">
      <c r="A15" s="174" t="s">
        <v>34</v>
      </c>
      <c r="B15" s="174" t="s">
        <v>332</v>
      </c>
      <c r="C15" s="175">
        <v>2018</v>
      </c>
      <c r="D15" s="176" t="s">
        <v>494</v>
      </c>
      <c r="E15" s="175" t="s">
        <v>281</v>
      </c>
      <c r="F15" s="174" t="s">
        <v>279</v>
      </c>
      <c r="G15" s="177" t="s">
        <v>36</v>
      </c>
      <c r="H15" s="134" t="s">
        <v>155</v>
      </c>
      <c r="I15" s="134" t="s">
        <v>153</v>
      </c>
      <c r="J15" s="134" t="s">
        <v>38</v>
      </c>
      <c r="K15" s="134" t="s">
        <v>154</v>
      </c>
      <c r="L15" s="205">
        <v>2</v>
      </c>
      <c r="N15" s="205">
        <v>1</v>
      </c>
      <c r="O15" s="205">
        <v>0.6</v>
      </c>
      <c r="P15" s="205">
        <v>0.5</v>
      </c>
      <c r="Q15" s="242">
        <f t="shared" si="0"/>
        <v>0.55000000000000004</v>
      </c>
      <c r="R15" s="185">
        <v>14.6</v>
      </c>
      <c r="S15" s="185">
        <v>132</v>
      </c>
      <c r="T15" s="214">
        <f t="shared" si="1"/>
        <v>30</v>
      </c>
      <c r="U15" s="190">
        <v>128</v>
      </c>
      <c r="V15" s="181">
        <f t="shared" si="2"/>
        <v>3840</v>
      </c>
      <c r="W15" s="187">
        <v>4</v>
      </c>
      <c r="X15" s="183" t="s">
        <v>46</v>
      </c>
      <c r="Y15" s="191" t="s">
        <v>84</v>
      </c>
      <c r="Z15" s="191" t="s">
        <v>90</v>
      </c>
      <c r="AA15" s="192" t="s">
        <v>40</v>
      </c>
      <c r="AB15" s="55" t="s">
        <v>334</v>
      </c>
      <c r="AC15" s="232"/>
      <c r="AE15" s="220" t="s">
        <v>79</v>
      </c>
      <c r="AP15" s="221" t="s">
        <v>77</v>
      </c>
      <c r="AR15" s="228" t="s">
        <v>94</v>
      </c>
      <c r="AV15" s="221" t="s">
        <v>107</v>
      </c>
    </row>
    <row r="16" spans="1:53" x14ac:dyDescent="0.15">
      <c r="A16" s="174" t="s">
        <v>34</v>
      </c>
      <c r="B16" s="174" t="s">
        <v>332</v>
      </c>
      <c r="C16" s="174">
        <v>2018</v>
      </c>
      <c r="D16" s="176" t="s">
        <v>494</v>
      </c>
      <c r="E16" s="175" t="s">
        <v>281</v>
      </c>
      <c r="F16" s="174" t="s">
        <v>279</v>
      </c>
      <c r="G16" s="177" t="s">
        <v>36</v>
      </c>
      <c r="H16" s="134" t="s">
        <v>155</v>
      </c>
      <c r="I16" s="134" t="s">
        <v>153</v>
      </c>
      <c r="J16" s="134" t="s">
        <v>38</v>
      </c>
      <c r="K16" s="134" t="s">
        <v>154</v>
      </c>
      <c r="L16" s="205">
        <v>3</v>
      </c>
      <c r="N16" s="205">
        <v>1</v>
      </c>
      <c r="O16" s="205">
        <v>0.7</v>
      </c>
      <c r="P16" s="205">
        <v>0.65</v>
      </c>
      <c r="Q16" s="242">
        <f t="shared" si="0"/>
        <v>0.67500000000000004</v>
      </c>
      <c r="R16" s="185">
        <v>14.5</v>
      </c>
      <c r="S16" s="185">
        <v>129</v>
      </c>
      <c r="T16" s="214">
        <f t="shared" si="1"/>
        <v>30</v>
      </c>
      <c r="U16" s="190">
        <v>128</v>
      </c>
      <c r="V16" s="181">
        <f t="shared" si="2"/>
        <v>3840</v>
      </c>
      <c r="W16" s="187">
        <v>4</v>
      </c>
      <c r="X16" s="183" t="s">
        <v>46</v>
      </c>
      <c r="Y16" s="191" t="s">
        <v>84</v>
      </c>
      <c r="Z16" s="191" t="s">
        <v>90</v>
      </c>
      <c r="AA16" s="192" t="s">
        <v>40</v>
      </c>
      <c r="AB16" s="55" t="s">
        <v>334</v>
      </c>
      <c r="AC16" s="232"/>
      <c r="AE16" s="220" t="s">
        <v>82</v>
      </c>
      <c r="AP16" s="221" t="s">
        <v>80</v>
      </c>
      <c r="AR16" s="235" t="s">
        <v>63</v>
      </c>
      <c r="AV16" s="221" t="s">
        <v>84</v>
      </c>
    </row>
    <row r="17" spans="1:48" x14ac:dyDescent="0.15">
      <c r="A17" s="174" t="s">
        <v>34</v>
      </c>
      <c r="B17" s="174" t="s">
        <v>332</v>
      </c>
      <c r="C17" s="175">
        <v>2018</v>
      </c>
      <c r="D17" s="176" t="s">
        <v>494</v>
      </c>
      <c r="E17" s="175" t="s">
        <v>281</v>
      </c>
      <c r="F17" s="174" t="s">
        <v>279</v>
      </c>
      <c r="G17" s="177" t="s">
        <v>36</v>
      </c>
      <c r="H17" s="134" t="s">
        <v>166</v>
      </c>
      <c r="I17" s="134" t="s">
        <v>153</v>
      </c>
      <c r="J17" s="134" t="s">
        <v>38</v>
      </c>
      <c r="K17" s="134" t="s">
        <v>154</v>
      </c>
      <c r="L17" s="205">
        <v>1</v>
      </c>
      <c r="N17" s="205">
        <v>1</v>
      </c>
      <c r="O17" s="205">
        <v>0.55000000000000004</v>
      </c>
      <c r="P17" s="205">
        <v>0.5</v>
      </c>
      <c r="Q17" s="242">
        <f t="shared" si="0"/>
        <v>0.52500000000000002</v>
      </c>
      <c r="R17" s="185">
        <v>16.2</v>
      </c>
      <c r="S17" s="185">
        <v>151</v>
      </c>
      <c r="T17" s="214">
        <f t="shared" si="1"/>
        <v>30</v>
      </c>
      <c r="U17" s="190">
        <v>158</v>
      </c>
      <c r="V17" s="181">
        <f t="shared" si="2"/>
        <v>4740</v>
      </c>
      <c r="W17" s="187">
        <v>4</v>
      </c>
      <c r="X17" s="183" t="s">
        <v>46</v>
      </c>
      <c r="Y17" s="191" t="s">
        <v>84</v>
      </c>
      <c r="Z17" s="191" t="s">
        <v>90</v>
      </c>
      <c r="AA17" s="192" t="s">
        <v>40</v>
      </c>
      <c r="AB17" s="55" t="s">
        <v>334</v>
      </c>
      <c r="AC17" s="232"/>
      <c r="AE17" s="220" t="s">
        <v>85</v>
      </c>
      <c r="AP17" s="236" t="s">
        <v>110</v>
      </c>
      <c r="AR17" s="235" t="s">
        <v>96</v>
      </c>
      <c r="AV17" s="221" t="s">
        <v>86</v>
      </c>
    </row>
    <row r="18" spans="1:48" x14ac:dyDescent="0.15">
      <c r="A18" s="174" t="s">
        <v>34</v>
      </c>
      <c r="B18" s="174" t="s">
        <v>332</v>
      </c>
      <c r="C18" s="174">
        <v>2018</v>
      </c>
      <c r="D18" s="176" t="s">
        <v>494</v>
      </c>
      <c r="E18" s="175" t="s">
        <v>281</v>
      </c>
      <c r="F18" s="174" t="s">
        <v>279</v>
      </c>
      <c r="G18" s="177" t="s">
        <v>36</v>
      </c>
      <c r="H18" s="134" t="s">
        <v>166</v>
      </c>
      <c r="I18" s="134" t="s">
        <v>153</v>
      </c>
      <c r="J18" s="134" t="s">
        <v>38</v>
      </c>
      <c r="K18" s="134" t="s">
        <v>154</v>
      </c>
      <c r="L18" s="205">
        <v>2</v>
      </c>
      <c r="N18" s="205">
        <v>1</v>
      </c>
      <c r="O18" s="205">
        <v>0.5</v>
      </c>
      <c r="P18" s="205">
        <v>0.55000000000000004</v>
      </c>
      <c r="Q18" s="242">
        <f t="shared" si="0"/>
        <v>0.52500000000000002</v>
      </c>
      <c r="R18" s="185">
        <v>15.9</v>
      </c>
      <c r="S18" s="185">
        <v>153</v>
      </c>
      <c r="T18" s="214">
        <f t="shared" si="1"/>
        <v>30</v>
      </c>
      <c r="U18" s="190">
        <v>158</v>
      </c>
      <c r="V18" s="181">
        <f t="shared" si="2"/>
        <v>4740</v>
      </c>
      <c r="W18" s="187">
        <v>4</v>
      </c>
      <c r="X18" s="183" t="s">
        <v>46</v>
      </c>
      <c r="Y18" s="191" t="s">
        <v>84</v>
      </c>
      <c r="Z18" s="191" t="s">
        <v>90</v>
      </c>
      <c r="AA18" s="192" t="s">
        <v>40</v>
      </c>
      <c r="AB18" s="55" t="s">
        <v>334</v>
      </c>
      <c r="AC18" s="232"/>
      <c r="AE18" s="220" t="s">
        <v>87</v>
      </c>
      <c r="AP18" s="236" t="s">
        <v>111</v>
      </c>
      <c r="AR18" s="235" t="s">
        <v>101</v>
      </c>
      <c r="AV18" s="221" t="s">
        <v>88</v>
      </c>
    </row>
    <row r="19" spans="1:48" x14ac:dyDescent="0.15">
      <c r="A19" s="174" t="s">
        <v>34</v>
      </c>
      <c r="B19" s="174" t="s">
        <v>332</v>
      </c>
      <c r="C19" s="175">
        <v>2018</v>
      </c>
      <c r="D19" s="176" t="s">
        <v>494</v>
      </c>
      <c r="E19" s="175" t="s">
        <v>281</v>
      </c>
      <c r="F19" s="174" t="s">
        <v>279</v>
      </c>
      <c r="G19" s="177" t="s">
        <v>36</v>
      </c>
      <c r="H19" s="134" t="s">
        <v>166</v>
      </c>
      <c r="I19" s="134" t="s">
        <v>153</v>
      </c>
      <c r="J19" s="134" t="s">
        <v>38</v>
      </c>
      <c r="K19" s="134" t="s">
        <v>154</v>
      </c>
      <c r="L19" s="205">
        <v>3</v>
      </c>
      <c r="N19" s="205">
        <v>1</v>
      </c>
      <c r="O19" s="205">
        <v>0.6</v>
      </c>
      <c r="P19" s="205">
        <v>0.6</v>
      </c>
      <c r="Q19" s="242">
        <f t="shared" si="0"/>
        <v>0.6</v>
      </c>
      <c r="R19" s="185">
        <v>15.4</v>
      </c>
      <c r="S19" s="185">
        <v>150</v>
      </c>
      <c r="T19" s="214">
        <f t="shared" si="1"/>
        <v>30</v>
      </c>
      <c r="U19" s="190">
        <v>158</v>
      </c>
      <c r="V19" s="181">
        <f t="shared" si="2"/>
        <v>4740</v>
      </c>
      <c r="W19" s="187">
        <v>4</v>
      </c>
      <c r="X19" s="183" t="s">
        <v>46</v>
      </c>
      <c r="Y19" s="191" t="s">
        <v>84</v>
      </c>
      <c r="Z19" s="191" t="s">
        <v>90</v>
      </c>
      <c r="AA19" s="192" t="s">
        <v>40</v>
      </c>
      <c r="AB19" s="55" t="s">
        <v>334</v>
      </c>
      <c r="AC19" s="232"/>
      <c r="AE19" s="233" t="s">
        <v>89</v>
      </c>
      <c r="AP19" s="236" t="s">
        <v>112</v>
      </c>
      <c r="AR19" s="228" t="s">
        <v>126</v>
      </c>
      <c r="AV19" s="221" t="s">
        <v>90</v>
      </c>
    </row>
    <row r="20" spans="1:48" x14ac:dyDescent="0.15">
      <c r="A20" s="174" t="s">
        <v>34</v>
      </c>
      <c r="B20" s="174" t="s">
        <v>332</v>
      </c>
      <c r="C20" s="174">
        <v>2018</v>
      </c>
      <c r="D20" s="176" t="s">
        <v>494</v>
      </c>
      <c r="E20" s="175" t="s">
        <v>490</v>
      </c>
      <c r="F20" s="174" t="s">
        <v>510</v>
      </c>
      <c r="G20" s="177" t="s">
        <v>36</v>
      </c>
      <c r="H20" s="134" t="s">
        <v>155</v>
      </c>
      <c r="I20" s="134" t="s">
        <v>153</v>
      </c>
      <c r="J20" s="134" t="s">
        <v>38</v>
      </c>
      <c r="K20" s="134" t="s">
        <v>154</v>
      </c>
      <c r="L20" s="205">
        <v>1</v>
      </c>
      <c r="N20" s="205">
        <v>1</v>
      </c>
      <c r="O20" s="205">
        <v>0.5</v>
      </c>
      <c r="P20" s="205">
        <v>0.55000000000000004</v>
      </c>
      <c r="Q20" s="242">
        <f t="shared" si="0"/>
        <v>0.52500000000000002</v>
      </c>
      <c r="R20" s="185">
        <v>13.6</v>
      </c>
      <c r="S20" s="194">
        <v>117</v>
      </c>
      <c r="T20" s="214">
        <f t="shared" si="1"/>
        <v>30</v>
      </c>
      <c r="U20" s="190">
        <v>75</v>
      </c>
      <c r="V20" s="181">
        <f t="shared" si="2"/>
        <v>2250</v>
      </c>
      <c r="W20" s="187">
        <v>4</v>
      </c>
      <c r="X20" s="183" t="s">
        <v>46</v>
      </c>
      <c r="Y20" s="191" t="s">
        <v>47</v>
      </c>
      <c r="Z20" s="191" t="s">
        <v>50</v>
      </c>
      <c r="AA20" s="192" t="s">
        <v>78</v>
      </c>
      <c r="AB20" s="55" t="s">
        <v>334</v>
      </c>
      <c r="AE20" s="233"/>
      <c r="AP20" s="236" t="s">
        <v>113</v>
      </c>
      <c r="AR20" s="235" t="s">
        <v>105</v>
      </c>
      <c r="AV20" s="225" t="s">
        <v>354</v>
      </c>
    </row>
    <row r="21" spans="1:48" x14ac:dyDescent="0.15">
      <c r="A21" s="174" t="s">
        <v>34</v>
      </c>
      <c r="B21" s="174" t="s">
        <v>332</v>
      </c>
      <c r="C21" s="175">
        <v>2018</v>
      </c>
      <c r="D21" s="176" t="s">
        <v>494</v>
      </c>
      <c r="E21" s="175" t="s">
        <v>490</v>
      </c>
      <c r="F21" s="174" t="s">
        <v>510</v>
      </c>
      <c r="G21" s="177" t="s">
        <v>36</v>
      </c>
      <c r="H21" s="134" t="s">
        <v>155</v>
      </c>
      <c r="I21" s="134" t="s">
        <v>153</v>
      </c>
      <c r="J21" s="134" t="s">
        <v>38</v>
      </c>
      <c r="K21" s="134" t="s">
        <v>154</v>
      </c>
      <c r="L21" s="205">
        <v>2</v>
      </c>
      <c r="N21" s="205">
        <v>1</v>
      </c>
      <c r="O21" s="205">
        <v>0.55000000000000004</v>
      </c>
      <c r="P21" s="205">
        <v>0.6</v>
      </c>
      <c r="Q21" s="242">
        <f t="shared" si="0"/>
        <v>0.57499999999999996</v>
      </c>
      <c r="R21" s="194">
        <v>14.5</v>
      </c>
      <c r="S21" s="185">
        <v>123</v>
      </c>
      <c r="T21" s="214">
        <f t="shared" si="1"/>
        <v>30</v>
      </c>
      <c r="U21" s="190">
        <v>75</v>
      </c>
      <c r="V21" s="181">
        <f t="shared" si="2"/>
        <v>2250</v>
      </c>
      <c r="W21" s="187">
        <v>4</v>
      </c>
      <c r="X21" s="183" t="s">
        <v>46</v>
      </c>
      <c r="Y21" s="191" t="s">
        <v>47</v>
      </c>
      <c r="Z21" s="191" t="s">
        <v>50</v>
      </c>
      <c r="AA21" s="192" t="s">
        <v>78</v>
      </c>
      <c r="AB21" s="55" t="s">
        <v>334</v>
      </c>
      <c r="AE21" s="226"/>
      <c r="AP21" s="236" t="s">
        <v>114</v>
      </c>
      <c r="AR21" s="235" t="s">
        <v>68</v>
      </c>
      <c r="AV21" s="225" t="s">
        <v>355</v>
      </c>
    </row>
    <row r="22" spans="1:48" x14ac:dyDescent="0.15">
      <c r="A22" s="174" t="s">
        <v>34</v>
      </c>
      <c r="B22" s="174" t="s">
        <v>332</v>
      </c>
      <c r="C22" s="174">
        <v>2018</v>
      </c>
      <c r="D22" s="176" t="s">
        <v>494</v>
      </c>
      <c r="E22" s="175" t="s">
        <v>490</v>
      </c>
      <c r="F22" s="174" t="s">
        <v>510</v>
      </c>
      <c r="G22" s="177" t="s">
        <v>36</v>
      </c>
      <c r="H22" s="134" t="s">
        <v>155</v>
      </c>
      <c r="I22" s="134" t="s">
        <v>153</v>
      </c>
      <c r="J22" s="134" t="s">
        <v>38</v>
      </c>
      <c r="K22" s="134" t="s">
        <v>154</v>
      </c>
      <c r="L22" s="205">
        <v>3</v>
      </c>
      <c r="N22" s="205">
        <v>1</v>
      </c>
      <c r="O22" s="205">
        <v>0.5</v>
      </c>
      <c r="P22" s="232">
        <v>0.5</v>
      </c>
      <c r="Q22" s="242">
        <f t="shared" si="0"/>
        <v>0.5</v>
      </c>
      <c r="R22" s="185">
        <v>15.1</v>
      </c>
      <c r="S22" s="185">
        <v>127</v>
      </c>
      <c r="T22" s="214">
        <f t="shared" si="1"/>
        <v>30</v>
      </c>
      <c r="U22" s="190">
        <v>75</v>
      </c>
      <c r="V22" s="181">
        <f t="shared" si="2"/>
        <v>2250</v>
      </c>
      <c r="W22" s="187">
        <v>4</v>
      </c>
      <c r="X22" s="183" t="s">
        <v>46</v>
      </c>
      <c r="Y22" s="191" t="s">
        <v>47</v>
      </c>
      <c r="Z22" s="191" t="s">
        <v>50</v>
      </c>
      <c r="AA22" s="192" t="s">
        <v>78</v>
      </c>
      <c r="AB22" s="55" t="s">
        <v>334</v>
      </c>
      <c r="AP22" s="236" t="s">
        <v>115</v>
      </c>
      <c r="AR22" s="235" t="s">
        <v>83</v>
      </c>
      <c r="AV22" s="221"/>
    </row>
    <row r="23" spans="1:48" x14ac:dyDescent="0.15">
      <c r="A23" s="174" t="s">
        <v>34</v>
      </c>
      <c r="B23" s="174" t="s">
        <v>332</v>
      </c>
      <c r="C23" s="175">
        <v>2018</v>
      </c>
      <c r="D23" s="176" t="s">
        <v>494</v>
      </c>
      <c r="E23" s="175" t="s">
        <v>490</v>
      </c>
      <c r="F23" s="174" t="s">
        <v>510</v>
      </c>
      <c r="G23" s="177" t="s">
        <v>36</v>
      </c>
      <c r="H23" s="134" t="s">
        <v>166</v>
      </c>
      <c r="I23" s="134" t="s">
        <v>153</v>
      </c>
      <c r="J23" s="134" t="s">
        <v>38</v>
      </c>
      <c r="K23" s="134" t="s">
        <v>154</v>
      </c>
      <c r="L23" s="205">
        <v>1</v>
      </c>
      <c r="N23" s="205">
        <v>1</v>
      </c>
      <c r="O23" s="205">
        <v>0.6</v>
      </c>
      <c r="P23" s="232">
        <v>0.65</v>
      </c>
      <c r="Q23" s="242">
        <f t="shared" si="0"/>
        <v>0.625</v>
      </c>
      <c r="R23" s="185">
        <v>15.5</v>
      </c>
      <c r="S23" s="185">
        <v>150</v>
      </c>
      <c r="T23" s="214">
        <f t="shared" si="1"/>
        <v>30</v>
      </c>
      <c r="U23" s="190">
        <v>138</v>
      </c>
      <c r="V23" s="181">
        <f t="shared" si="2"/>
        <v>4140</v>
      </c>
      <c r="W23" s="187">
        <v>4</v>
      </c>
      <c r="X23" s="183" t="s">
        <v>46</v>
      </c>
      <c r="Y23" s="191" t="s">
        <v>47</v>
      </c>
      <c r="Z23" s="191" t="s">
        <v>50</v>
      </c>
      <c r="AA23" s="192" t="s">
        <v>78</v>
      </c>
      <c r="AB23" s="55" t="s">
        <v>334</v>
      </c>
      <c r="AP23" s="236" t="s">
        <v>385</v>
      </c>
      <c r="AR23" s="235" t="s">
        <v>61</v>
      </c>
      <c r="AV23" s="221"/>
    </row>
    <row r="24" spans="1:48" x14ac:dyDescent="0.15">
      <c r="A24" s="174" t="s">
        <v>34</v>
      </c>
      <c r="B24" s="174" t="s">
        <v>332</v>
      </c>
      <c r="C24" s="174">
        <v>2018</v>
      </c>
      <c r="D24" s="176" t="s">
        <v>494</v>
      </c>
      <c r="E24" s="175" t="s">
        <v>490</v>
      </c>
      <c r="F24" s="174" t="s">
        <v>510</v>
      </c>
      <c r="G24" s="177" t="s">
        <v>36</v>
      </c>
      <c r="H24" s="134" t="s">
        <v>166</v>
      </c>
      <c r="I24" s="134" t="s">
        <v>153</v>
      </c>
      <c r="J24" s="134" t="s">
        <v>38</v>
      </c>
      <c r="K24" s="134" t="s">
        <v>154</v>
      </c>
      <c r="L24" s="205">
        <v>2</v>
      </c>
      <c r="N24" s="205">
        <v>1</v>
      </c>
      <c r="O24" s="205">
        <v>0.6</v>
      </c>
      <c r="P24" s="232">
        <v>0.55000000000000004</v>
      </c>
      <c r="Q24" s="242">
        <f t="shared" si="0"/>
        <v>0.57499999999999996</v>
      </c>
      <c r="R24" s="185">
        <v>15.8</v>
      </c>
      <c r="S24" s="185">
        <v>156</v>
      </c>
      <c r="T24" s="214">
        <f t="shared" si="1"/>
        <v>30</v>
      </c>
      <c r="U24" s="190">
        <v>138</v>
      </c>
      <c r="V24" s="181">
        <f t="shared" si="2"/>
        <v>4140</v>
      </c>
      <c r="W24" s="187">
        <v>4</v>
      </c>
      <c r="X24" s="183" t="s">
        <v>46</v>
      </c>
      <c r="Y24" s="191" t="s">
        <v>47</v>
      </c>
      <c r="Z24" s="191" t="s">
        <v>50</v>
      </c>
      <c r="AA24" s="192" t="s">
        <v>78</v>
      </c>
      <c r="AB24" s="55" t="s">
        <v>334</v>
      </c>
      <c r="AP24" s="236" t="s">
        <v>386</v>
      </c>
      <c r="AR24" s="235" t="s">
        <v>91</v>
      </c>
      <c r="AV24" s="221"/>
    </row>
    <row r="25" spans="1:48" x14ac:dyDescent="0.15">
      <c r="A25" s="174" t="s">
        <v>34</v>
      </c>
      <c r="B25" s="174" t="s">
        <v>332</v>
      </c>
      <c r="C25" s="175">
        <v>2018</v>
      </c>
      <c r="D25" s="176" t="s">
        <v>494</v>
      </c>
      <c r="E25" s="175" t="s">
        <v>490</v>
      </c>
      <c r="F25" s="174" t="s">
        <v>510</v>
      </c>
      <c r="G25" s="177" t="s">
        <v>36</v>
      </c>
      <c r="H25" s="134" t="s">
        <v>166</v>
      </c>
      <c r="I25" s="134" t="s">
        <v>153</v>
      </c>
      <c r="J25" s="134" t="s">
        <v>38</v>
      </c>
      <c r="K25" s="134" t="s">
        <v>154</v>
      </c>
      <c r="L25" s="205">
        <v>3</v>
      </c>
      <c r="N25" s="205">
        <v>1</v>
      </c>
      <c r="O25" s="205">
        <v>0.6</v>
      </c>
      <c r="P25" s="232">
        <v>0.55000000000000004</v>
      </c>
      <c r="Q25" s="242">
        <f t="shared" si="0"/>
        <v>0.57499999999999996</v>
      </c>
      <c r="R25" s="185">
        <v>15.8</v>
      </c>
      <c r="S25" s="185">
        <v>156</v>
      </c>
      <c r="T25" s="214">
        <f t="shared" si="1"/>
        <v>30</v>
      </c>
      <c r="U25" s="190">
        <v>138</v>
      </c>
      <c r="V25" s="181">
        <f t="shared" si="2"/>
        <v>4140</v>
      </c>
      <c r="W25" s="187">
        <v>4</v>
      </c>
      <c r="X25" s="183" t="s">
        <v>46</v>
      </c>
      <c r="Y25" s="191" t="s">
        <v>47</v>
      </c>
      <c r="Z25" s="191" t="s">
        <v>50</v>
      </c>
      <c r="AA25" s="192" t="s">
        <v>78</v>
      </c>
      <c r="AB25" s="55" t="s">
        <v>334</v>
      </c>
      <c r="AP25" s="236" t="s">
        <v>116</v>
      </c>
      <c r="AR25" s="42" t="s">
        <v>92</v>
      </c>
      <c r="AV25" s="221"/>
    </row>
    <row r="26" spans="1:48" x14ac:dyDescent="0.15">
      <c r="A26" s="174" t="s">
        <v>34</v>
      </c>
      <c r="B26" s="174" t="s">
        <v>332</v>
      </c>
      <c r="C26" s="175">
        <v>2018</v>
      </c>
      <c r="D26" s="176" t="s">
        <v>494</v>
      </c>
      <c r="E26" s="175" t="s">
        <v>511</v>
      </c>
      <c r="F26" s="174" t="s">
        <v>276</v>
      </c>
      <c r="G26" s="177" t="s">
        <v>42</v>
      </c>
      <c r="H26" s="134" t="s">
        <v>155</v>
      </c>
      <c r="I26" s="134" t="s">
        <v>153</v>
      </c>
      <c r="J26" s="134" t="s">
        <v>38</v>
      </c>
      <c r="K26" s="134" t="s">
        <v>154</v>
      </c>
      <c r="L26" s="205">
        <v>1</v>
      </c>
      <c r="N26" s="205">
        <v>1</v>
      </c>
      <c r="O26" s="232">
        <v>0.55000000000000004</v>
      </c>
      <c r="P26" s="234">
        <v>0.6</v>
      </c>
      <c r="Q26" s="242">
        <f t="shared" si="0"/>
        <v>0.57499999999999996</v>
      </c>
      <c r="R26" s="185">
        <v>14.5</v>
      </c>
      <c r="S26" s="185">
        <v>138</v>
      </c>
      <c r="T26" s="214">
        <f t="shared" si="1"/>
        <v>30</v>
      </c>
      <c r="U26" s="190">
        <v>139</v>
      </c>
      <c r="V26" s="181">
        <f t="shared" si="2"/>
        <v>4170</v>
      </c>
      <c r="W26" s="187">
        <v>2</v>
      </c>
      <c r="X26" s="183" t="s">
        <v>46</v>
      </c>
      <c r="Y26" s="192" t="s">
        <v>78</v>
      </c>
      <c r="Z26" s="191" t="s">
        <v>86</v>
      </c>
      <c r="AA26" s="192" t="s">
        <v>102</v>
      </c>
      <c r="AB26" s="55" t="s">
        <v>334</v>
      </c>
      <c r="AP26" s="236" t="s">
        <v>118</v>
      </c>
      <c r="AR26" s="221"/>
    </row>
    <row r="27" spans="1:48" x14ac:dyDescent="0.15">
      <c r="A27" s="174" t="s">
        <v>34</v>
      </c>
      <c r="B27" s="174" t="s">
        <v>332</v>
      </c>
      <c r="C27" s="174">
        <v>2018</v>
      </c>
      <c r="D27" s="176" t="s">
        <v>494</v>
      </c>
      <c r="E27" s="175" t="s">
        <v>511</v>
      </c>
      <c r="F27" s="174" t="s">
        <v>276</v>
      </c>
      <c r="G27" s="177" t="s">
        <v>42</v>
      </c>
      <c r="H27" s="134" t="s">
        <v>155</v>
      </c>
      <c r="I27" s="134" t="s">
        <v>153</v>
      </c>
      <c r="J27" s="134" t="s">
        <v>38</v>
      </c>
      <c r="K27" s="134" t="s">
        <v>154</v>
      </c>
      <c r="L27" s="205">
        <v>2</v>
      </c>
      <c r="N27" s="205">
        <v>1</v>
      </c>
      <c r="O27" s="232">
        <v>0.5</v>
      </c>
      <c r="P27" s="205">
        <v>0.55000000000000004</v>
      </c>
      <c r="Q27" s="242">
        <f t="shared" si="0"/>
        <v>0.52500000000000002</v>
      </c>
      <c r="R27" s="185">
        <v>15.1</v>
      </c>
      <c r="S27" s="185">
        <v>133</v>
      </c>
      <c r="T27" s="214">
        <f t="shared" si="1"/>
        <v>30</v>
      </c>
      <c r="U27" s="190">
        <v>139</v>
      </c>
      <c r="V27" s="181">
        <f t="shared" si="2"/>
        <v>4170</v>
      </c>
      <c r="W27" s="187">
        <v>2</v>
      </c>
      <c r="X27" s="183" t="s">
        <v>46</v>
      </c>
      <c r="Y27" s="192" t="s">
        <v>78</v>
      </c>
      <c r="Z27" s="191" t="s">
        <v>86</v>
      </c>
      <c r="AA27" s="192" t="s">
        <v>102</v>
      </c>
      <c r="AB27" s="55" t="s">
        <v>334</v>
      </c>
      <c r="AR27" s="221"/>
    </row>
    <row r="28" spans="1:48" x14ac:dyDescent="0.15">
      <c r="A28" s="174" t="s">
        <v>34</v>
      </c>
      <c r="B28" s="174" t="s">
        <v>332</v>
      </c>
      <c r="C28" s="174">
        <v>2018</v>
      </c>
      <c r="D28" s="176" t="s">
        <v>494</v>
      </c>
      <c r="E28" s="175" t="s">
        <v>511</v>
      </c>
      <c r="F28" s="174" t="s">
        <v>276</v>
      </c>
      <c r="G28" s="177" t="s">
        <v>42</v>
      </c>
      <c r="H28" s="134" t="s">
        <v>155</v>
      </c>
      <c r="I28" s="134" t="s">
        <v>153</v>
      </c>
      <c r="J28" s="134" t="s">
        <v>38</v>
      </c>
      <c r="K28" s="134" t="s">
        <v>154</v>
      </c>
      <c r="L28" s="205">
        <v>3</v>
      </c>
      <c r="N28" s="205">
        <v>1</v>
      </c>
      <c r="O28" s="205">
        <v>0.6</v>
      </c>
      <c r="P28" s="205">
        <v>0.55000000000000004</v>
      </c>
      <c r="Q28" s="242">
        <f t="shared" si="0"/>
        <v>0.57499999999999996</v>
      </c>
      <c r="R28" s="185">
        <v>14.3</v>
      </c>
      <c r="S28" s="185">
        <v>133</v>
      </c>
      <c r="T28" s="214">
        <f t="shared" si="1"/>
        <v>30</v>
      </c>
      <c r="U28" s="190">
        <v>139</v>
      </c>
      <c r="V28" s="181">
        <f t="shared" si="2"/>
        <v>4170</v>
      </c>
      <c r="W28" s="187">
        <v>2</v>
      </c>
      <c r="X28" s="183" t="s">
        <v>46</v>
      </c>
      <c r="Y28" s="192" t="s">
        <v>78</v>
      </c>
      <c r="Z28" s="191" t="s">
        <v>86</v>
      </c>
      <c r="AA28" s="192" t="s">
        <v>102</v>
      </c>
      <c r="AB28" s="55" t="s">
        <v>334</v>
      </c>
      <c r="AR28" s="226"/>
    </row>
    <row r="29" spans="1:48" x14ac:dyDescent="0.15">
      <c r="A29" s="174" t="s">
        <v>34</v>
      </c>
      <c r="B29" s="174" t="s">
        <v>332</v>
      </c>
      <c r="C29" s="175">
        <v>2018</v>
      </c>
      <c r="D29" s="176" t="s">
        <v>494</v>
      </c>
      <c r="E29" s="175" t="s">
        <v>511</v>
      </c>
      <c r="F29" s="174" t="s">
        <v>276</v>
      </c>
      <c r="G29" s="177" t="s">
        <v>42</v>
      </c>
      <c r="H29" s="134" t="s">
        <v>166</v>
      </c>
      <c r="I29" s="134" t="s">
        <v>153</v>
      </c>
      <c r="J29" s="134" t="s">
        <v>38</v>
      </c>
      <c r="K29" s="134" t="s">
        <v>154</v>
      </c>
      <c r="L29" s="205">
        <v>1</v>
      </c>
      <c r="N29" s="205">
        <v>1</v>
      </c>
      <c r="O29" s="205">
        <v>0.5</v>
      </c>
      <c r="P29" s="205">
        <v>0.6</v>
      </c>
      <c r="Q29" s="242">
        <f t="shared" si="0"/>
        <v>0.55000000000000004</v>
      </c>
      <c r="R29" s="185">
        <v>16.2</v>
      </c>
      <c r="S29" s="185">
        <v>160</v>
      </c>
      <c r="T29" s="214">
        <f t="shared" si="1"/>
        <v>30</v>
      </c>
      <c r="U29" s="190">
        <v>139</v>
      </c>
      <c r="V29" s="181">
        <f t="shared" si="2"/>
        <v>4170</v>
      </c>
      <c r="W29" s="187">
        <v>2</v>
      </c>
      <c r="X29" s="183" t="s">
        <v>46</v>
      </c>
      <c r="Y29" s="192" t="s">
        <v>78</v>
      </c>
      <c r="Z29" s="191" t="s">
        <v>86</v>
      </c>
      <c r="AA29" s="192" t="s">
        <v>102</v>
      </c>
      <c r="AB29" s="55" t="s">
        <v>334</v>
      </c>
    </row>
    <row r="30" spans="1:48" x14ac:dyDescent="0.15">
      <c r="A30" s="174" t="s">
        <v>34</v>
      </c>
      <c r="B30" s="174" t="s">
        <v>332</v>
      </c>
      <c r="C30" s="174">
        <v>2018</v>
      </c>
      <c r="D30" s="176" t="s">
        <v>494</v>
      </c>
      <c r="E30" s="175" t="s">
        <v>511</v>
      </c>
      <c r="F30" s="174" t="s">
        <v>276</v>
      </c>
      <c r="G30" s="177" t="s">
        <v>42</v>
      </c>
      <c r="H30" s="134" t="s">
        <v>166</v>
      </c>
      <c r="I30" s="134" t="s">
        <v>153</v>
      </c>
      <c r="J30" s="134" t="s">
        <v>38</v>
      </c>
      <c r="K30" s="134" t="s">
        <v>154</v>
      </c>
      <c r="L30" s="205">
        <v>2</v>
      </c>
      <c r="N30" s="205">
        <v>1</v>
      </c>
      <c r="O30" s="205">
        <v>0.6</v>
      </c>
      <c r="P30" s="205">
        <v>0.55000000000000004</v>
      </c>
      <c r="Q30" s="242">
        <f t="shared" si="0"/>
        <v>0.57499999999999996</v>
      </c>
      <c r="R30" s="185">
        <v>15.7</v>
      </c>
      <c r="S30" s="185">
        <v>162</v>
      </c>
      <c r="T30" s="214">
        <f t="shared" si="1"/>
        <v>30</v>
      </c>
      <c r="U30" s="190">
        <v>139</v>
      </c>
      <c r="V30" s="181">
        <f t="shared" si="2"/>
        <v>4170</v>
      </c>
      <c r="W30" s="187">
        <v>2</v>
      </c>
      <c r="X30" s="183" t="s">
        <v>46</v>
      </c>
      <c r="Y30" s="192" t="s">
        <v>78</v>
      </c>
      <c r="Z30" s="191" t="s">
        <v>86</v>
      </c>
      <c r="AA30" s="192" t="s">
        <v>102</v>
      </c>
      <c r="AB30" s="55" t="s">
        <v>334</v>
      </c>
    </row>
    <row r="31" spans="1:48" ht="14.25" customHeight="1" x14ac:dyDescent="0.15">
      <c r="A31" s="174" t="s">
        <v>34</v>
      </c>
      <c r="B31" s="174" t="s">
        <v>332</v>
      </c>
      <c r="C31" s="175">
        <v>2018</v>
      </c>
      <c r="D31" s="176" t="s">
        <v>494</v>
      </c>
      <c r="E31" s="175" t="s">
        <v>511</v>
      </c>
      <c r="F31" s="174" t="s">
        <v>276</v>
      </c>
      <c r="G31" s="177" t="s">
        <v>42</v>
      </c>
      <c r="H31" s="134" t="s">
        <v>166</v>
      </c>
      <c r="I31" s="134" t="s">
        <v>153</v>
      </c>
      <c r="J31" s="134" t="s">
        <v>38</v>
      </c>
      <c r="K31" s="134" t="s">
        <v>154</v>
      </c>
      <c r="L31" s="205">
        <v>3</v>
      </c>
      <c r="N31" s="205">
        <v>1</v>
      </c>
      <c r="O31" s="205">
        <v>0.5</v>
      </c>
      <c r="P31" s="205">
        <v>0.55000000000000004</v>
      </c>
      <c r="Q31" s="242">
        <f t="shared" si="0"/>
        <v>0.52500000000000002</v>
      </c>
      <c r="R31" s="185">
        <v>15.9</v>
      </c>
      <c r="S31" s="185">
        <v>158</v>
      </c>
      <c r="T31" s="214">
        <f t="shared" si="1"/>
        <v>30</v>
      </c>
      <c r="U31" s="190">
        <v>139</v>
      </c>
      <c r="V31" s="181">
        <f t="shared" si="2"/>
        <v>4170</v>
      </c>
      <c r="W31" s="187">
        <v>2</v>
      </c>
      <c r="X31" s="183" t="s">
        <v>46</v>
      </c>
      <c r="Y31" s="192" t="s">
        <v>78</v>
      </c>
      <c r="Z31" s="191" t="s">
        <v>86</v>
      </c>
      <c r="AA31" s="191" t="s">
        <v>102</v>
      </c>
      <c r="AB31" s="55" t="s">
        <v>334</v>
      </c>
    </row>
    <row r="32" spans="1:48" x14ac:dyDescent="0.15">
      <c r="A32" s="174" t="s">
        <v>34</v>
      </c>
      <c r="B32" s="174" t="s">
        <v>332</v>
      </c>
      <c r="C32" s="174">
        <v>2018</v>
      </c>
      <c r="D32" s="176" t="s">
        <v>494</v>
      </c>
      <c r="E32" s="175" t="s">
        <v>275</v>
      </c>
      <c r="F32" s="174" t="s">
        <v>283</v>
      </c>
      <c r="G32" s="177" t="s">
        <v>42</v>
      </c>
      <c r="H32" s="134" t="s">
        <v>155</v>
      </c>
      <c r="I32" s="134" t="s">
        <v>153</v>
      </c>
      <c r="J32" s="134" t="s">
        <v>38</v>
      </c>
      <c r="K32" s="134" t="s">
        <v>154</v>
      </c>
      <c r="L32" s="205">
        <v>1</v>
      </c>
      <c r="N32" s="205">
        <v>4</v>
      </c>
      <c r="O32" s="205">
        <v>1.05</v>
      </c>
      <c r="P32" s="205">
        <v>0.95</v>
      </c>
      <c r="Q32" s="242">
        <f t="shared" si="0"/>
        <v>1</v>
      </c>
      <c r="R32" s="185">
        <v>14.4</v>
      </c>
      <c r="S32" s="185">
        <v>130</v>
      </c>
      <c r="T32" s="214">
        <f t="shared" si="1"/>
        <v>30</v>
      </c>
      <c r="U32" s="190">
        <v>397</v>
      </c>
      <c r="V32" s="181">
        <f t="shared" si="2"/>
        <v>2977.5</v>
      </c>
      <c r="W32" s="187">
        <v>1</v>
      </c>
      <c r="X32" s="183" t="s">
        <v>46</v>
      </c>
      <c r="Y32" s="192" t="s">
        <v>84</v>
      </c>
      <c r="Z32" s="191" t="s">
        <v>69</v>
      </c>
      <c r="AA32" s="191" t="s">
        <v>90</v>
      </c>
      <c r="AB32" s="55" t="s">
        <v>334</v>
      </c>
    </row>
    <row r="33" spans="1:28" x14ac:dyDescent="0.15">
      <c r="A33" s="174" t="s">
        <v>34</v>
      </c>
      <c r="B33" s="174" t="s">
        <v>332</v>
      </c>
      <c r="C33" s="175">
        <v>2018</v>
      </c>
      <c r="D33" s="176" t="s">
        <v>494</v>
      </c>
      <c r="E33" s="175" t="s">
        <v>275</v>
      </c>
      <c r="F33" s="174" t="s">
        <v>283</v>
      </c>
      <c r="G33" s="177" t="s">
        <v>42</v>
      </c>
      <c r="H33" s="134" t="s">
        <v>155</v>
      </c>
      <c r="I33" s="134" t="s">
        <v>153</v>
      </c>
      <c r="J33" s="134" t="s">
        <v>38</v>
      </c>
      <c r="K33" s="134" t="s">
        <v>154</v>
      </c>
      <c r="L33" s="205">
        <v>2</v>
      </c>
      <c r="N33" s="205">
        <v>4</v>
      </c>
      <c r="O33" s="205">
        <v>0.9</v>
      </c>
      <c r="P33" s="232">
        <v>0.9</v>
      </c>
      <c r="Q33" s="242">
        <f t="shared" si="0"/>
        <v>0.9</v>
      </c>
      <c r="R33" s="185">
        <v>13.8</v>
      </c>
      <c r="S33" s="185">
        <v>129</v>
      </c>
      <c r="T33" s="214">
        <f t="shared" si="1"/>
        <v>30</v>
      </c>
      <c r="U33" s="190">
        <v>397</v>
      </c>
      <c r="V33" s="181">
        <f t="shared" si="2"/>
        <v>2977.5</v>
      </c>
      <c r="W33" s="187">
        <v>1</v>
      </c>
      <c r="X33" s="183" t="s">
        <v>46</v>
      </c>
      <c r="Y33" s="192" t="s">
        <v>84</v>
      </c>
      <c r="Z33" s="191" t="s">
        <v>69</v>
      </c>
      <c r="AA33" s="191" t="s">
        <v>90</v>
      </c>
      <c r="AB33" s="55" t="s">
        <v>334</v>
      </c>
    </row>
    <row r="34" spans="1:28" x14ac:dyDescent="0.15">
      <c r="A34" s="174" t="s">
        <v>34</v>
      </c>
      <c r="B34" s="174" t="s">
        <v>332</v>
      </c>
      <c r="C34" s="174">
        <v>2018</v>
      </c>
      <c r="D34" s="176" t="s">
        <v>494</v>
      </c>
      <c r="E34" s="175" t="s">
        <v>275</v>
      </c>
      <c r="F34" s="174" t="s">
        <v>283</v>
      </c>
      <c r="G34" s="177" t="s">
        <v>42</v>
      </c>
      <c r="H34" s="134" t="s">
        <v>155</v>
      </c>
      <c r="I34" s="134" t="s">
        <v>153</v>
      </c>
      <c r="J34" s="134" t="s">
        <v>38</v>
      </c>
      <c r="K34" s="134" t="s">
        <v>154</v>
      </c>
      <c r="L34" s="205">
        <v>3</v>
      </c>
      <c r="N34" s="205">
        <v>4</v>
      </c>
      <c r="O34" s="205">
        <v>1</v>
      </c>
      <c r="P34" s="205">
        <v>0.95</v>
      </c>
      <c r="Q34" s="242">
        <f t="shared" si="0"/>
        <v>0.97499999999999998</v>
      </c>
      <c r="R34" s="185">
        <v>14.5</v>
      </c>
      <c r="S34" s="185">
        <v>130</v>
      </c>
      <c r="T34" s="214">
        <f t="shared" si="1"/>
        <v>30</v>
      </c>
      <c r="U34" s="190">
        <v>398</v>
      </c>
      <c r="V34" s="181">
        <f t="shared" si="2"/>
        <v>2985</v>
      </c>
      <c r="W34" s="187">
        <v>1</v>
      </c>
      <c r="X34" s="183" t="s">
        <v>46</v>
      </c>
      <c r="Y34" s="191" t="s">
        <v>84</v>
      </c>
      <c r="Z34" s="191" t="s">
        <v>69</v>
      </c>
      <c r="AA34" s="191" t="s">
        <v>90</v>
      </c>
      <c r="AB34" s="55" t="s">
        <v>334</v>
      </c>
    </row>
    <row r="35" spans="1:28" x14ac:dyDescent="0.15">
      <c r="A35" s="174" t="s">
        <v>34</v>
      </c>
      <c r="B35" s="174" t="s">
        <v>332</v>
      </c>
      <c r="C35" s="175">
        <v>2018</v>
      </c>
      <c r="D35" s="176" t="s">
        <v>494</v>
      </c>
      <c r="E35" s="175" t="s">
        <v>139</v>
      </c>
      <c r="F35" s="174" t="s">
        <v>283</v>
      </c>
      <c r="G35" s="177" t="s">
        <v>36</v>
      </c>
      <c r="H35" s="134" t="s">
        <v>155</v>
      </c>
      <c r="I35" s="134" t="s">
        <v>156</v>
      </c>
      <c r="J35" s="134" t="s">
        <v>38</v>
      </c>
      <c r="K35" s="134" t="s">
        <v>154</v>
      </c>
      <c r="L35" s="205">
        <v>1</v>
      </c>
      <c r="N35" s="205">
        <v>1</v>
      </c>
      <c r="O35" s="205">
        <v>1.1000000000000001</v>
      </c>
      <c r="P35" s="205">
        <v>0.9</v>
      </c>
      <c r="Q35" s="242">
        <f t="shared" si="0"/>
        <v>1</v>
      </c>
      <c r="R35" s="185">
        <v>13</v>
      </c>
      <c r="S35" s="185">
        <v>167</v>
      </c>
      <c r="T35" s="214">
        <f t="shared" si="1"/>
        <v>30</v>
      </c>
      <c r="U35" s="190">
        <v>128</v>
      </c>
      <c r="V35" s="181">
        <f t="shared" si="2"/>
        <v>3840</v>
      </c>
      <c r="W35" s="187">
        <v>6</v>
      </c>
      <c r="X35" s="183" t="s">
        <v>46</v>
      </c>
      <c r="Y35" s="191" t="s">
        <v>84</v>
      </c>
      <c r="Z35" s="191" t="s">
        <v>50</v>
      </c>
      <c r="AA35" s="191" t="s">
        <v>78</v>
      </c>
      <c r="AB35" s="55" t="s">
        <v>334</v>
      </c>
    </row>
    <row r="36" spans="1:28" x14ac:dyDescent="0.15">
      <c r="A36" s="174" t="s">
        <v>34</v>
      </c>
      <c r="B36" s="174" t="s">
        <v>332</v>
      </c>
      <c r="C36" s="174">
        <v>2018</v>
      </c>
      <c r="D36" s="176" t="s">
        <v>494</v>
      </c>
      <c r="E36" s="175" t="s">
        <v>139</v>
      </c>
      <c r="F36" s="174" t="s">
        <v>283</v>
      </c>
      <c r="G36" s="177" t="s">
        <v>36</v>
      </c>
      <c r="H36" s="134" t="s">
        <v>155</v>
      </c>
      <c r="I36" s="134" t="s">
        <v>156</v>
      </c>
      <c r="J36" s="134" t="s">
        <v>38</v>
      </c>
      <c r="K36" s="134" t="s">
        <v>154</v>
      </c>
      <c r="L36" s="205">
        <v>2</v>
      </c>
      <c r="N36" s="205">
        <v>1</v>
      </c>
      <c r="O36" s="205">
        <v>0.85</v>
      </c>
      <c r="P36" s="205">
        <v>0.8</v>
      </c>
      <c r="Q36" s="242">
        <f t="shared" si="0"/>
        <v>0.82499999999999996</v>
      </c>
      <c r="R36" s="185">
        <v>13.6</v>
      </c>
      <c r="S36" s="185">
        <v>149</v>
      </c>
      <c r="T36" s="214">
        <f t="shared" si="1"/>
        <v>30</v>
      </c>
      <c r="U36" s="190">
        <v>128</v>
      </c>
      <c r="V36" s="181">
        <f t="shared" si="2"/>
        <v>3840</v>
      </c>
      <c r="W36" s="187">
        <v>6</v>
      </c>
      <c r="X36" s="183" t="s">
        <v>46</v>
      </c>
      <c r="Y36" s="191" t="s">
        <v>84</v>
      </c>
      <c r="Z36" s="191" t="s">
        <v>50</v>
      </c>
      <c r="AA36" s="191" t="s">
        <v>78</v>
      </c>
      <c r="AB36" s="55" t="s">
        <v>334</v>
      </c>
    </row>
    <row r="37" spans="1:28" x14ac:dyDescent="0.15">
      <c r="A37" s="174" t="s">
        <v>34</v>
      </c>
      <c r="B37" s="174" t="s">
        <v>332</v>
      </c>
      <c r="C37" s="175">
        <v>2018</v>
      </c>
      <c r="D37" s="176" t="s">
        <v>494</v>
      </c>
      <c r="E37" s="175" t="s">
        <v>139</v>
      </c>
      <c r="F37" s="174" t="s">
        <v>283</v>
      </c>
      <c r="G37" s="177" t="s">
        <v>36</v>
      </c>
      <c r="H37" s="134" t="s">
        <v>155</v>
      </c>
      <c r="I37" s="134" t="s">
        <v>156</v>
      </c>
      <c r="J37" s="134" t="s">
        <v>38</v>
      </c>
      <c r="K37" s="134" t="s">
        <v>154</v>
      </c>
      <c r="L37" s="205">
        <v>3</v>
      </c>
      <c r="N37" s="205">
        <v>1</v>
      </c>
      <c r="O37" s="205">
        <v>0.9</v>
      </c>
      <c r="P37" s="205">
        <v>0.8</v>
      </c>
      <c r="Q37" s="242">
        <f t="shared" si="0"/>
        <v>0.85000000000000009</v>
      </c>
      <c r="R37" s="185">
        <v>13.4</v>
      </c>
      <c r="S37" s="185">
        <v>153</v>
      </c>
      <c r="T37" s="214">
        <f t="shared" si="1"/>
        <v>30</v>
      </c>
      <c r="U37" s="190">
        <v>128</v>
      </c>
      <c r="V37" s="181">
        <f t="shared" si="2"/>
        <v>3840</v>
      </c>
      <c r="W37" s="187">
        <v>6</v>
      </c>
      <c r="X37" s="183" t="s">
        <v>46</v>
      </c>
      <c r="Y37" s="191" t="s">
        <v>84</v>
      </c>
      <c r="Z37" s="191" t="s">
        <v>50</v>
      </c>
      <c r="AA37" s="191" t="s">
        <v>78</v>
      </c>
      <c r="AB37" s="55" t="s">
        <v>334</v>
      </c>
    </row>
    <row r="38" spans="1:28" x14ac:dyDescent="0.15">
      <c r="A38" s="174" t="s">
        <v>34</v>
      </c>
      <c r="B38" s="174" t="s">
        <v>332</v>
      </c>
      <c r="C38" s="174">
        <v>2018</v>
      </c>
      <c r="D38" s="176" t="s">
        <v>494</v>
      </c>
      <c r="E38" s="175" t="s">
        <v>133</v>
      </c>
      <c r="F38" s="174" t="s">
        <v>277</v>
      </c>
      <c r="G38" s="177" t="s">
        <v>36</v>
      </c>
      <c r="H38" s="134" t="s">
        <v>155</v>
      </c>
      <c r="I38" s="134" t="s">
        <v>153</v>
      </c>
      <c r="J38" s="134" t="s">
        <v>38</v>
      </c>
      <c r="K38" s="134" t="s">
        <v>154</v>
      </c>
      <c r="L38" s="205">
        <v>1</v>
      </c>
      <c r="N38" s="205">
        <v>1</v>
      </c>
      <c r="O38" s="205">
        <v>0.85</v>
      </c>
      <c r="P38" s="205">
        <v>0.75</v>
      </c>
      <c r="Q38" s="242">
        <f t="shared" si="0"/>
        <v>0.8</v>
      </c>
      <c r="R38" s="185">
        <v>12.4</v>
      </c>
      <c r="S38" s="185">
        <v>142</v>
      </c>
      <c r="T38" s="214">
        <f t="shared" si="1"/>
        <v>30</v>
      </c>
      <c r="U38" s="190">
        <v>84</v>
      </c>
      <c r="V38" s="181">
        <f t="shared" si="2"/>
        <v>2520</v>
      </c>
      <c r="W38" s="187">
        <v>8</v>
      </c>
      <c r="X38" s="183" t="s">
        <v>46</v>
      </c>
      <c r="Y38" s="191" t="s">
        <v>84</v>
      </c>
      <c r="Z38" s="191" t="s">
        <v>60</v>
      </c>
      <c r="AA38" s="191" t="s">
        <v>78</v>
      </c>
      <c r="AB38" s="55" t="s">
        <v>334</v>
      </c>
    </row>
    <row r="39" spans="1:28" ht="12.75" customHeight="1" x14ac:dyDescent="0.15">
      <c r="A39" s="174" t="s">
        <v>34</v>
      </c>
      <c r="B39" s="174" t="s">
        <v>332</v>
      </c>
      <c r="C39" s="175">
        <v>2018</v>
      </c>
      <c r="D39" s="176" t="s">
        <v>494</v>
      </c>
      <c r="E39" s="175" t="s">
        <v>133</v>
      </c>
      <c r="F39" s="174" t="s">
        <v>277</v>
      </c>
      <c r="G39" s="177" t="s">
        <v>36</v>
      </c>
      <c r="H39" s="134" t="s">
        <v>155</v>
      </c>
      <c r="I39" s="134" t="s">
        <v>153</v>
      </c>
      <c r="J39" s="134" t="s">
        <v>38</v>
      </c>
      <c r="K39" s="134" t="s">
        <v>154</v>
      </c>
      <c r="L39" s="205">
        <v>2</v>
      </c>
      <c r="N39" s="205">
        <v>1</v>
      </c>
      <c r="O39" s="205">
        <v>1</v>
      </c>
      <c r="P39" s="205">
        <v>0.95</v>
      </c>
      <c r="Q39" s="242">
        <f t="shared" si="0"/>
        <v>0.97499999999999998</v>
      </c>
      <c r="R39" s="185">
        <v>12.2</v>
      </c>
      <c r="S39" s="185">
        <v>138</v>
      </c>
      <c r="T39" s="214">
        <f t="shared" si="1"/>
        <v>30</v>
      </c>
      <c r="U39" s="190">
        <v>84</v>
      </c>
      <c r="V39" s="181">
        <f t="shared" si="2"/>
        <v>2520</v>
      </c>
      <c r="W39" s="187">
        <v>8</v>
      </c>
      <c r="X39" s="183" t="s">
        <v>46</v>
      </c>
      <c r="Y39" s="191" t="s">
        <v>84</v>
      </c>
      <c r="Z39" s="191" t="s">
        <v>60</v>
      </c>
      <c r="AA39" s="191" t="s">
        <v>78</v>
      </c>
      <c r="AB39" s="55" t="s">
        <v>334</v>
      </c>
    </row>
    <row r="40" spans="1:28" ht="12.75" customHeight="1" x14ac:dyDescent="0.15">
      <c r="A40" s="134" t="s">
        <v>34</v>
      </c>
      <c r="B40" s="174" t="s">
        <v>332</v>
      </c>
      <c r="C40" s="175">
        <v>2018</v>
      </c>
      <c r="D40" s="176" t="s">
        <v>494</v>
      </c>
      <c r="E40" s="175" t="s">
        <v>133</v>
      </c>
      <c r="F40" s="174" t="s">
        <v>277</v>
      </c>
      <c r="G40" s="177" t="s">
        <v>36</v>
      </c>
      <c r="H40" s="134" t="s">
        <v>155</v>
      </c>
      <c r="I40" s="134" t="s">
        <v>153</v>
      </c>
      <c r="J40" s="134" t="s">
        <v>38</v>
      </c>
      <c r="K40" s="134" t="s">
        <v>154</v>
      </c>
      <c r="L40" s="205">
        <v>3</v>
      </c>
      <c r="N40" s="205">
        <v>1</v>
      </c>
      <c r="O40" s="205">
        <v>0.8</v>
      </c>
      <c r="P40" s="205">
        <v>0.8</v>
      </c>
      <c r="Q40" s="242">
        <f t="shared" si="0"/>
        <v>0.8</v>
      </c>
      <c r="R40" s="185">
        <v>13.1</v>
      </c>
      <c r="S40" s="185">
        <v>144</v>
      </c>
      <c r="T40" s="214">
        <f t="shared" si="1"/>
        <v>30</v>
      </c>
      <c r="U40" s="190">
        <v>84</v>
      </c>
      <c r="V40" s="181">
        <f t="shared" si="2"/>
        <v>2520</v>
      </c>
      <c r="W40" s="244">
        <v>8</v>
      </c>
      <c r="X40" s="183" t="s">
        <v>46</v>
      </c>
      <c r="Y40" s="195" t="s">
        <v>84</v>
      </c>
      <c r="Z40" s="195" t="s">
        <v>60</v>
      </c>
      <c r="AA40" s="195" t="s">
        <v>78</v>
      </c>
      <c r="AB40" s="55" t="s">
        <v>334</v>
      </c>
    </row>
    <row r="41" spans="1:28" ht="12.75" customHeight="1" x14ac:dyDescent="0.15">
      <c r="A41" s="134" t="s">
        <v>34</v>
      </c>
      <c r="B41" s="174" t="s">
        <v>332</v>
      </c>
      <c r="C41" s="175">
        <v>2018</v>
      </c>
      <c r="D41" s="176" t="s">
        <v>494</v>
      </c>
      <c r="E41" s="175" t="s">
        <v>133</v>
      </c>
      <c r="F41" s="174" t="s">
        <v>277</v>
      </c>
      <c r="G41" s="177" t="s">
        <v>36</v>
      </c>
      <c r="H41" s="134" t="s">
        <v>166</v>
      </c>
      <c r="I41" s="134" t="s">
        <v>153</v>
      </c>
      <c r="J41" s="134" t="s">
        <v>38</v>
      </c>
      <c r="K41" s="134" t="s">
        <v>154</v>
      </c>
      <c r="L41" s="205">
        <v>1</v>
      </c>
      <c r="N41" s="205">
        <v>1</v>
      </c>
      <c r="O41" s="205">
        <v>0.6</v>
      </c>
      <c r="P41" s="205">
        <v>0.55000000000000004</v>
      </c>
      <c r="Q41" s="242">
        <f t="shared" si="0"/>
        <v>0.57499999999999996</v>
      </c>
      <c r="R41" s="185">
        <v>15.9</v>
      </c>
      <c r="S41" s="185">
        <v>161</v>
      </c>
      <c r="T41" s="214">
        <f t="shared" si="1"/>
        <v>30</v>
      </c>
      <c r="U41" s="190">
        <v>149</v>
      </c>
      <c r="V41" s="181">
        <f t="shared" si="2"/>
        <v>4470</v>
      </c>
      <c r="W41" s="244">
        <v>8</v>
      </c>
      <c r="X41" s="183" t="s">
        <v>46</v>
      </c>
      <c r="Y41" s="195" t="s">
        <v>84</v>
      </c>
      <c r="Z41" s="195" t="s">
        <v>60</v>
      </c>
      <c r="AA41" s="195" t="s">
        <v>78</v>
      </c>
      <c r="AB41" s="55" t="s">
        <v>334</v>
      </c>
    </row>
    <row r="42" spans="1:28" ht="12.75" customHeight="1" x14ac:dyDescent="0.15">
      <c r="A42" s="134" t="s">
        <v>34</v>
      </c>
      <c r="B42" s="174" t="s">
        <v>332</v>
      </c>
      <c r="C42" s="175">
        <v>2018</v>
      </c>
      <c r="D42" s="176" t="s">
        <v>494</v>
      </c>
      <c r="E42" s="175" t="s">
        <v>133</v>
      </c>
      <c r="F42" s="174" t="s">
        <v>277</v>
      </c>
      <c r="G42" s="177" t="s">
        <v>36</v>
      </c>
      <c r="H42" s="134" t="s">
        <v>166</v>
      </c>
      <c r="I42" s="134" t="s">
        <v>153</v>
      </c>
      <c r="J42" s="134" t="s">
        <v>38</v>
      </c>
      <c r="K42" s="134" t="s">
        <v>154</v>
      </c>
      <c r="L42" s="205">
        <v>2</v>
      </c>
      <c r="N42" s="205">
        <v>1</v>
      </c>
      <c r="O42" s="205">
        <v>0.6</v>
      </c>
      <c r="P42" s="205">
        <v>0.6</v>
      </c>
      <c r="Q42" s="242">
        <f t="shared" si="0"/>
        <v>0.6</v>
      </c>
      <c r="R42" s="185">
        <v>15.4</v>
      </c>
      <c r="S42" s="185">
        <v>172</v>
      </c>
      <c r="T42" s="214">
        <f t="shared" si="1"/>
        <v>30</v>
      </c>
      <c r="U42" s="190">
        <v>149</v>
      </c>
      <c r="V42" s="181">
        <f t="shared" si="2"/>
        <v>4470</v>
      </c>
      <c r="W42" s="244">
        <v>8</v>
      </c>
      <c r="X42" s="183" t="s">
        <v>46</v>
      </c>
      <c r="Y42" s="195" t="s">
        <v>84</v>
      </c>
      <c r="Z42" s="195" t="s">
        <v>60</v>
      </c>
      <c r="AA42" s="195" t="s">
        <v>78</v>
      </c>
      <c r="AB42" s="55" t="s">
        <v>334</v>
      </c>
    </row>
    <row r="43" spans="1:28" x14ac:dyDescent="0.15">
      <c r="A43" s="205" t="s">
        <v>34</v>
      </c>
      <c r="B43" s="174" t="s">
        <v>332</v>
      </c>
      <c r="C43" s="175">
        <v>2018</v>
      </c>
      <c r="D43" s="176" t="s">
        <v>494</v>
      </c>
      <c r="E43" s="175" t="s">
        <v>133</v>
      </c>
      <c r="F43" s="174" t="s">
        <v>277</v>
      </c>
      <c r="G43" s="177" t="s">
        <v>36</v>
      </c>
      <c r="H43" s="134" t="s">
        <v>166</v>
      </c>
      <c r="I43" s="134" t="s">
        <v>153</v>
      </c>
      <c r="J43" s="244" t="s">
        <v>38</v>
      </c>
      <c r="K43" s="134" t="s">
        <v>154</v>
      </c>
      <c r="L43" s="205">
        <v>3</v>
      </c>
      <c r="N43" s="205">
        <v>1</v>
      </c>
      <c r="O43" s="205">
        <v>0.65</v>
      </c>
      <c r="P43" s="205">
        <v>0.55000000000000004</v>
      </c>
      <c r="Q43" s="242">
        <f t="shared" si="0"/>
        <v>0.60000000000000009</v>
      </c>
      <c r="R43" s="185">
        <v>15.8</v>
      </c>
      <c r="S43" s="185">
        <v>166</v>
      </c>
      <c r="T43" s="214">
        <f t="shared" si="1"/>
        <v>30</v>
      </c>
      <c r="U43" s="190">
        <v>149</v>
      </c>
      <c r="V43" s="214">
        <f t="shared" si="2"/>
        <v>4470</v>
      </c>
      <c r="W43" s="205">
        <v>8</v>
      </c>
      <c r="X43" s="183" t="s">
        <v>46</v>
      </c>
      <c r="Y43" s="195" t="s">
        <v>84</v>
      </c>
      <c r="Z43" s="195" t="s">
        <v>60</v>
      </c>
      <c r="AA43" s="195" t="s">
        <v>78</v>
      </c>
      <c r="AB43" s="55" t="s">
        <v>334</v>
      </c>
    </row>
    <row r="44" spans="1:28" x14ac:dyDescent="0.15">
      <c r="A44" s="205" t="s">
        <v>34</v>
      </c>
      <c r="B44" s="174" t="s">
        <v>332</v>
      </c>
      <c r="C44" s="174">
        <v>2018</v>
      </c>
      <c r="D44" s="176" t="s">
        <v>494</v>
      </c>
      <c r="E44" s="175" t="s">
        <v>215</v>
      </c>
      <c r="F44" s="174" t="s">
        <v>280</v>
      </c>
      <c r="G44" s="177" t="s">
        <v>36</v>
      </c>
      <c r="H44" s="134" t="s">
        <v>155</v>
      </c>
      <c r="I44" s="134" t="s">
        <v>153</v>
      </c>
      <c r="J44" s="244" t="s">
        <v>38</v>
      </c>
      <c r="K44" s="134" t="s">
        <v>154</v>
      </c>
      <c r="L44" s="205">
        <v>1</v>
      </c>
      <c r="N44" s="205">
        <v>10</v>
      </c>
      <c r="O44" s="205">
        <v>0.3</v>
      </c>
      <c r="P44" s="205">
        <v>0.25</v>
      </c>
      <c r="Q44" s="242">
        <f t="shared" si="0"/>
        <v>0.27500000000000002</v>
      </c>
      <c r="R44" s="185">
        <v>10.9</v>
      </c>
      <c r="S44" s="185">
        <v>72</v>
      </c>
      <c r="T44" s="214">
        <f t="shared" si="1"/>
        <v>42</v>
      </c>
      <c r="U44" s="190">
        <v>498</v>
      </c>
      <c r="V44" s="214">
        <f t="shared" si="2"/>
        <v>2091.6</v>
      </c>
      <c r="W44" s="205">
        <v>2</v>
      </c>
      <c r="X44" s="183" t="s">
        <v>46</v>
      </c>
      <c r="Y44" s="195" t="s">
        <v>90</v>
      </c>
      <c r="Z44" s="195" t="s">
        <v>84</v>
      </c>
      <c r="AA44" s="195" t="s">
        <v>69</v>
      </c>
      <c r="AB44" s="55" t="s">
        <v>334</v>
      </c>
    </row>
    <row r="45" spans="1:28" x14ac:dyDescent="0.15">
      <c r="A45" s="205" t="s">
        <v>34</v>
      </c>
      <c r="B45" s="174" t="s">
        <v>332</v>
      </c>
      <c r="C45" s="175">
        <v>2018</v>
      </c>
      <c r="D45" s="176" t="s">
        <v>494</v>
      </c>
      <c r="E45" s="175" t="s">
        <v>215</v>
      </c>
      <c r="F45" s="174" t="s">
        <v>280</v>
      </c>
      <c r="G45" s="177" t="s">
        <v>36</v>
      </c>
      <c r="H45" s="134" t="s">
        <v>155</v>
      </c>
      <c r="I45" s="134" t="s">
        <v>153</v>
      </c>
      <c r="J45" s="244" t="s">
        <v>38</v>
      </c>
      <c r="K45" s="134" t="s">
        <v>154</v>
      </c>
      <c r="L45" s="205">
        <v>2</v>
      </c>
      <c r="N45" s="205">
        <v>10</v>
      </c>
      <c r="O45" s="205">
        <v>0.4</v>
      </c>
      <c r="P45" s="205">
        <v>0.3</v>
      </c>
      <c r="Q45" s="242">
        <f t="shared" si="0"/>
        <v>0.35</v>
      </c>
      <c r="R45" s="185">
        <v>11.2</v>
      </c>
      <c r="S45" s="185">
        <v>74</v>
      </c>
      <c r="T45" s="214">
        <f t="shared" si="1"/>
        <v>42</v>
      </c>
      <c r="U45" s="190">
        <v>498</v>
      </c>
      <c r="V45" s="214">
        <f t="shared" si="2"/>
        <v>2091.6</v>
      </c>
      <c r="W45" s="205">
        <v>2</v>
      </c>
      <c r="X45" s="183" t="s">
        <v>46</v>
      </c>
      <c r="Y45" s="195" t="s">
        <v>90</v>
      </c>
      <c r="Z45" s="195" t="s">
        <v>84</v>
      </c>
      <c r="AA45" s="195" t="s">
        <v>69</v>
      </c>
      <c r="AB45" s="55" t="s">
        <v>334</v>
      </c>
    </row>
    <row r="46" spans="1:28" x14ac:dyDescent="0.15">
      <c r="A46" s="205" t="s">
        <v>34</v>
      </c>
      <c r="B46" s="232" t="s">
        <v>332</v>
      </c>
      <c r="C46" s="205">
        <v>2018</v>
      </c>
      <c r="D46" s="176" t="s">
        <v>494</v>
      </c>
      <c r="E46" s="205" t="s">
        <v>215</v>
      </c>
      <c r="F46" s="174" t="s">
        <v>280</v>
      </c>
      <c r="G46" s="177" t="s">
        <v>36</v>
      </c>
      <c r="H46" s="134" t="s">
        <v>155</v>
      </c>
      <c r="I46" s="134" t="s">
        <v>153</v>
      </c>
      <c r="J46" s="244" t="s">
        <v>38</v>
      </c>
      <c r="K46" s="134" t="s">
        <v>154</v>
      </c>
      <c r="L46" s="205">
        <v>3</v>
      </c>
      <c r="N46" s="205">
        <v>10</v>
      </c>
      <c r="O46" s="205">
        <v>0.4</v>
      </c>
      <c r="P46" s="205">
        <v>0.3</v>
      </c>
      <c r="Q46" s="242">
        <f t="shared" si="0"/>
        <v>0.35</v>
      </c>
      <c r="R46" s="185">
        <v>13.3</v>
      </c>
      <c r="S46" s="185">
        <v>76</v>
      </c>
      <c r="T46" s="214">
        <f t="shared" si="1"/>
        <v>39</v>
      </c>
      <c r="U46" s="205">
        <v>498</v>
      </c>
      <c r="V46" s="214">
        <f t="shared" si="2"/>
        <v>1942.1999999999998</v>
      </c>
      <c r="W46" s="205">
        <v>2</v>
      </c>
      <c r="X46" s="183" t="s">
        <v>46</v>
      </c>
      <c r="Y46" s="205" t="s">
        <v>90</v>
      </c>
      <c r="Z46" s="205" t="s">
        <v>84</v>
      </c>
      <c r="AA46" s="205" t="s">
        <v>69</v>
      </c>
      <c r="AB46" s="55" t="s">
        <v>334</v>
      </c>
    </row>
    <row r="47" spans="1:28" x14ac:dyDescent="0.15">
      <c r="B47" s="232"/>
      <c r="D47" s="259"/>
      <c r="F47" s="174"/>
      <c r="G47" s="177"/>
      <c r="H47" s="134"/>
      <c r="I47" s="134"/>
      <c r="J47" s="244"/>
      <c r="K47" s="134"/>
      <c r="Q47" s="242"/>
      <c r="R47" s="185"/>
      <c r="S47" s="185"/>
      <c r="X47" s="183"/>
      <c r="AB47" s="55"/>
    </row>
    <row r="48" spans="1:28" x14ac:dyDescent="0.15">
      <c r="D48" s="176"/>
      <c r="F48" s="174"/>
      <c r="G48" s="177"/>
      <c r="H48" s="244"/>
      <c r="I48" s="244"/>
      <c r="J48" s="244"/>
      <c r="K48" s="134"/>
      <c r="Q48" s="242"/>
      <c r="X48" s="183"/>
    </row>
    <row r="49" spans="4:24" x14ac:dyDescent="0.15">
      <c r="D49" s="196"/>
      <c r="F49" s="174"/>
      <c r="G49" s="177"/>
      <c r="H49" s="244"/>
      <c r="I49" s="244"/>
      <c r="J49" s="244"/>
      <c r="K49" s="134"/>
      <c r="Q49" s="242" t="str">
        <f t="shared" si="0"/>
        <v/>
      </c>
      <c r="T49" s="214" t="str">
        <f t="shared" si="1"/>
        <v/>
      </c>
      <c r="V49" s="214" t="str">
        <f t="shared" si="2"/>
        <v/>
      </c>
      <c r="X49" s="183"/>
    </row>
    <row r="50" spans="4:24" x14ac:dyDescent="0.15">
      <c r="D50" s="196"/>
      <c r="F50" s="174"/>
      <c r="G50" s="177"/>
      <c r="H50" s="244"/>
      <c r="I50" s="244"/>
      <c r="J50" s="244"/>
      <c r="K50" s="134"/>
      <c r="Q50" s="242" t="str">
        <f t="shared" si="0"/>
        <v/>
      </c>
      <c r="T50" s="214" t="str">
        <f t="shared" si="1"/>
        <v/>
      </c>
      <c r="V50" s="214" t="str">
        <f t="shared" si="2"/>
        <v/>
      </c>
      <c r="X50" s="183"/>
    </row>
    <row r="51" spans="4:24" x14ac:dyDescent="0.15">
      <c r="D51" s="196"/>
      <c r="F51" s="174"/>
      <c r="G51" s="177"/>
      <c r="H51" s="244"/>
      <c r="I51" s="244"/>
      <c r="J51" s="244"/>
      <c r="K51" s="134"/>
      <c r="Q51" s="242" t="str">
        <f t="shared" si="0"/>
        <v/>
      </c>
      <c r="T51" s="214" t="str">
        <f t="shared" si="1"/>
        <v/>
      </c>
      <c r="V51" s="214" t="str">
        <f t="shared" si="2"/>
        <v/>
      </c>
      <c r="X51" s="183"/>
    </row>
    <row r="52" spans="4:24" x14ac:dyDescent="0.15">
      <c r="D52" s="196"/>
      <c r="F52" s="174"/>
      <c r="G52" s="177"/>
      <c r="H52" s="244"/>
      <c r="I52" s="244"/>
      <c r="J52" s="244"/>
      <c r="K52" s="134"/>
      <c r="Q52" s="242" t="str">
        <f t="shared" si="0"/>
        <v/>
      </c>
      <c r="T52" s="214" t="str">
        <f t="shared" si="1"/>
        <v/>
      </c>
      <c r="V52" s="214" t="str">
        <f t="shared" si="2"/>
        <v/>
      </c>
      <c r="X52" s="183"/>
    </row>
    <row r="53" spans="4:24" x14ac:dyDescent="0.15">
      <c r="D53" s="196"/>
      <c r="F53" s="174"/>
      <c r="G53" s="177"/>
      <c r="H53" s="244"/>
      <c r="I53" s="244"/>
      <c r="J53" s="244"/>
      <c r="K53" s="134"/>
      <c r="Q53" s="242" t="str">
        <f t="shared" ref="Q53:Q78" si="3">IF(OR(O53="",P53=""),"",AVERAGE(O53,P53))</f>
        <v/>
      </c>
      <c r="T53" s="214" t="str">
        <f t="shared" ref="T53:T78" si="4">IF(H53="","",IF(OR(H53="GREEN",H53="GK"),IF(S53&gt;=$AX$2,VLOOKUP(S53,$AX$2:$AY$7,2,1),""),IF(S53&gt;=$AZ$2,VLOOKUP(S53,$AZ$2:$BA$7,2,1),"")))</f>
        <v/>
      </c>
      <c r="V53" s="214" t="str">
        <f t="shared" ref="V53:V78" si="5">IF(OR(N53="",U53="",T53=""),"",U53/N53*T53)</f>
        <v/>
      </c>
      <c r="X53" s="183"/>
    </row>
    <row r="54" spans="4:24" x14ac:dyDescent="0.15">
      <c r="D54" s="196"/>
      <c r="F54" s="174"/>
      <c r="G54" s="177"/>
      <c r="H54" s="244"/>
      <c r="I54" s="244"/>
      <c r="J54" s="244"/>
      <c r="K54" s="134"/>
      <c r="Q54" s="242" t="str">
        <f t="shared" si="3"/>
        <v/>
      </c>
      <c r="T54" s="214" t="str">
        <f t="shared" si="4"/>
        <v/>
      </c>
      <c r="V54" s="214" t="str">
        <f t="shared" si="5"/>
        <v/>
      </c>
      <c r="X54" s="183"/>
    </row>
    <row r="55" spans="4:24" x14ac:dyDescent="0.15">
      <c r="D55" s="196"/>
      <c r="F55" s="174"/>
      <c r="G55" s="177"/>
      <c r="H55" s="244"/>
      <c r="I55" s="244"/>
      <c r="J55" s="244"/>
      <c r="K55" s="134"/>
      <c r="Q55" s="242" t="str">
        <f t="shared" si="3"/>
        <v/>
      </c>
      <c r="T55" s="214" t="str">
        <f t="shared" si="4"/>
        <v/>
      </c>
      <c r="V55" s="214" t="str">
        <f t="shared" si="5"/>
        <v/>
      </c>
      <c r="X55" s="183"/>
    </row>
    <row r="56" spans="4:24" x14ac:dyDescent="0.15">
      <c r="D56" s="196"/>
      <c r="F56" s="174"/>
      <c r="G56" s="177"/>
      <c r="H56" s="244"/>
      <c r="I56" s="244"/>
      <c r="J56" s="244"/>
      <c r="K56" s="134"/>
      <c r="Q56" s="242" t="str">
        <f t="shared" si="3"/>
        <v/>
      </c>
      <c r="T56" s="214" t="str">
        <f t="shared" si="4"/>
        <v/>
      </c>
      <c r="V56" s="214" t="str">
        <f t="shared" si="5"/>
        <v/>
      </c>
      <c r="X56" s="183"/>
    </row>
    <row r="57" spans="4:24" x14ac:dyDescent="0.15">
      <c r="D57" s="196"/>
      <c r="F57" s="174"/>
      <c r="G57" s="177"/>
      <c r="H57" s="244"/>
      <c r="I57" s="244"/>
      <c r="J57" s="244"/>
      <c r="K57" s="134"/>
      <c r="Q57" s="242" t="str">
        <f t="shared" si="3"/>
        <v/>
      </c>
      <c r="T57" s="214" t="str">
        <f t="shared" si="4"/>
        <v/>
      </c>
      <c r="V57" s="214" t="str">
        <f t="shared" si="5"/>
        <v/>
      </c>
      <c r="X57" s="183"/>
    </row>
    <row r="58" spans="4:24" x14ac:dyDescent="0.15">
      <c r="D58" s="196"/>
      <c r="F58" s="174"/>
      <c r="G58" s="177"/>
      <c r="H58" s="244"/>
      <c r="I58" s="244"/>
      <c r="J58" s="244"/>
      <c r="K58" s="134"/>
      <c r="Q58" s="242" t="str">
        <f t="shared" si="3"/>
        <v/>
      </c>
      <c r="T58" s="214" t="str">
        <f t="shared" si="4"/>
        <v/>
      </c>
      <c r="V58" s="214" t="str">
        <f t="shared" si="5"/>
        <v/>
      </c>
      <c r="X58" s="183"/>
    </row>
    <row r="59" spans="4:24" x14ac:dyDescent="0.15">
      <c r="D59" s="196"/>
      <c r="F59" s="174"/>
      <c r="G59" s="177"/>
      <c r="H59" s="244"/>
      <c r="I59" s="244"/>
      <c r="J59" s="244"/>
      <c r="K59" s="134"/>
      <c r="Q59" s="242" t="str">
        <f t="shared" si="3"/>
        <v/>
      </c>
      <c r="T59" s="214" t="str">
        <f t="shared" si="4"/>
        <v/>
      </c>
      <c r="V59" s="214" t="str">
        <f t="shared" si="5"/>
        <v/>
      </c>
      <c r="X59" s="183"/>
    </row>
    <row r="60" spans="4:24" x14ac:dyDescent="0.15">
      <c r="D60" s="196"/>
      <c r="F60" s="174"/>
      <c r="G60" s="177"/>
      <c r="H60" s="244"/>
      <c r="I60" s="244"/>
      <c r="J60" s="244"/>
      <c r="K60" s="134"/>
      <c r="Q60" s="242" t="str">
        <f t="shared" si="3"/>
        <v/>
      </c>
      <c r="T60" s="214" t="str">
        <f t="shared" si="4"/>
        <v/>
      </c>
      <c r="V60" s="214" t="str">
        <f t="shared" si="5"/>
        <v/>
      </c>
      <c r="X60" s="183"/>
    </row>
    <row r="61" spans="4:24" x14ac:dyDescent="0.15">
      <c r="D61" s="196"/>
      <c r="F61" s="174"/>
      <c r="G61" s="177"/>
      <c r="H61" s="244"/>
      <c r="I61" s="244"/>
      <c r="J61" s="244"/>
      <c r="K61" s="134"/>
      <c r="Q61" s="242" t="str">
        <f t="shared" si="3"/>
        <v/>
      </c>
      <c r="T61" s="214" t="str">
        <f t="shared" si="4"/>
        <v/>
      </c>
      <c r="V61" s="214" t="str">
        <f t="shared" si="5"/>
        <v/>
      </c>
      <c r="X61" s="183"/>
    </row>
    <row r="62" spans="4:24" x14ac:dyDescent="0.15">
      <c r="D62" s="196"/>
      <c r="F62" s="174"/>
      <c r="G62" s="177"/>
      <c r="H62" s="244"/>
      <c r="I62" s="244"/>
      <c r="J62" s="244"/>
      <c r="K62" s="134"/>
      <c r="Q62" s="242" t="str">
        <f t="shared" si="3"/>
        <v/>
      </c>
      <c r="T62" s="214" t="str">
        <f t="shared" si="4"/>
        <v/>
      </c>
      <c r="V62" s="214" t="str">
        <f t="shared" si="5"/>
        <v/>
      </c>
      <c r="X62" s="183"/>
    </row>
    <row r="63" spans="4:24" x14ac:dyDescent="0.15">
      <c r="D63" s="196"/>
      <c r="F63" s="174"/>
      <c r="G63" s="177"/>
      <c r="H63" s="244"/>
      <c r="I63" s="244"/>
      <c r="J63" s="244"/>
      <c r="K63" s="134"/>
      <c r="Q63" s="242" t="str">
        <f t="shared" si="3"/>
        <v/>
      </c>
      <c r="T63" s="214" t="str">
        <f t="shared" si="4"/>
        <v/>
      </c>
      <c r="V63" s="214" t="str">
        <f t="shared" si="5"/>
        <v/>
      </c>
      <c r="X63" s="183"/>
    </row>
    <row r="64" spans="4:24" x14ac:dyDescent="0.15">
      <c r="D64" s="196"/>
      <c r="F64" s="174"/>
      <c r="G64" s="177"/>
      <c r="H64" s="244"/>
      <c r="I64" s="244"/>
      <c r="J64" s="244"/>
      <c r="K64" s="134"/>
      <c r="Q64" s="242" t="str">
        <f t="shared" si="3"/>
        <v/>
      </c>
      <c r="T64" s="214" t="str">
        <f t="shared" si="4"/>
        <v/>
      </c>
      <c r="V64" s="214" t="str">
        <f t="shared" si="5"/>
        <v/>
      </c>
      <c r="X64" s="183"/>
    </row>
    <row r="65" spans="4:24" x14ac:dyDescent="0.15">
      <c r="D65" s="196"/>
      <c r="F65" s="174"/>
      <c r="G65" s="177"/>
      <c r="H65" s="244"/>
      <c r="I65" s="244"/>
      <c r="J65" s="244"/>
      <c r="K65" s="134"/>
      <c r="Q65" s="242" t="str">
        <f t="shared" si="3"/>
        <v/>
      </c>
      <c r="T65" s="214" t="str">
        <f t="shared" si="4"/>
        <v/>
      </c>
      <c r="V65" s="214" t="str">
        <f t="shared" si="5"/>
        <v/>
      </c>
      <c r="X65" s="183"/>
    </row>
    <row r="66" spans="4:24" x14ac:dyDescent="0.15">
      <c r="D66" s="196"/>
      <c r="F66" s="174"/>
      <c r="G66" s="177"/>
      <c r="H66" s="244"/>
      <c r="I66" s="244"/>
      <c r="J66" s="244"/>
      <c r="K66" s="134"/>
      <c r="Q66" s="242" t="str">
        <f t="shared" si="3"/>
        <v/>
      </c>
      <c r="T66" s="214" t="str">
        <f t="shared" si="4"/>
        <v/>
      </c>
      <c r="V66" s="214" t="str">
        <f t="shared" si="5"/>
        <v/>
      </c>
      <c r="X66" s="183"/>
    </row>
    <row r="67" spans="4:24" x14ac:dyDescent="0.15">
      <c r="H67" s="244"/>
      <c r="I67" s="244"/>
      <c r="J67" s="244"/>
      <c r="K67" s="134"/>
      <c r="Q67" s="242" t="str">
        <f t="shared" si="3"/>
        <v/>
      </c>
      <c r="T67" s="214" t="str">
        <f t="shared" si="4"/>
        <v/>
      </c>
      <c r="V67" s="214" t="str">
        <f t="shared" si="5"/>
        <v/>
      </c>
    </row>
    <row r="68" spans="4:24" x14ac:dyDescent="0.15">
      <c r="H68" s="244"/>
      <c r="I68" s="244"/>
      <c r="J68" s="244"/>
      <c r="K68" s="134"/>
      <c r="Q68" s="242" t="str">
        <f t="shared" si="3"/>
        <v/>
      </c>
      <c r="T68" s="214" t="str">
        <f t="shared" si="4"/>
        <v/>
      </c>
      <c r="V68" s="214" t="str">
        <f t="shared" si="5"/>
        <v/>
      </c>
    </row>
    <row r="69" spans="4:24" x14ac:dyDescent="0.15">
      <c r="H69" s="244"/>
      <c r="I69" s="244"/>
      <c r="J69" s="244"/>
      <c r="K69" s="134"/>
      <c r="Q69" s="242" t="str">
        <f t="shared" si="3"/>
        <v/>
      </c>
      <c r="T69" s="214" t="str">
        <f t="shared" si="4"/>
        <v/>
      </c>
      <c r="V69" s="214" t="str">
        <f t="shared" si="5"/>
        <v/>
      </c>
    </row>
    <row r="70" spans="4:24" x14ac:dyDescent="0.15">
      <c r="H70" s="244"/>
      <c r="I70" s="244"/>
      <c r="J70" s="244"/>
      <c r="K70" s="134"/>
      <c r="Q70" s="242" t="str">
        <f t="shared" si="3"/>
        <v/>
      </c>
      <c r="T70" s="214" t="str">
        <f t="shared" si="4"/>
        <v/>
      </c>
      <c r="V70" s="214" t="str">
        <f t="shared" si="5"/>
        <v/>
      </c>
    </row>
    <row r="71" spans="4:24" x14ac:dyDescent="0.15">
      <c r="H71" s="244"/>
      <c r="I71" s="244"/>
      <c r="J71" s="244"/>
      <c r="K71" s="134"/>
      <c r="Q71" s="242" t="str">
        <f t="shared" si="3"/>
        <v/>
      </c>
      <c r="T71" s="214" t="str">
        <f t="shared" si="4"/>
        <v/>
      </c>
      <c r="V71" s="214" t="str">
        <f t="shared" si="5"/>
        <v/>
      </c>
    </row>
    <row r="72" spans="4:24" x14ac:dyDescent="0.15">
      <c r="H72" s="244"/>
      <c r="I72" s="244"/>
      <c r="J72" s="244"/>
      <c r="K72" s="134"/>
      <c r="Q72" s="242" t="str">
        <f t="shared" si="3"/>
        <v/>
      </c>
      <c r="T72" s="214" t="str">
        <f t="shared" si="4"/>
        <v/>
      </c>
      <c r="V72" s="214" t="str">
        <f t="shared" si="5"/>
        <v/>
      </c>
    </row>
    <row r="73" spans="4:24" x14ac:dyDescent="0.15">
      <c r="H73" s="244"/>
      <c r="I73" s="244"/>
      <c r="J73" s="244"/>
      <c r="K73" s="134"/>
      <c r="Q73" s="242" t="str">
        <f t="shared" si="3"/>
        <v/>
      </c>
      <c r="T73" s="214" t="str">
        <f t="shared" si="4"/>
        <v/>
      </c>
      <c r="V73" s="214" t="str">
        <f t="shared" si="5"/>
        <v/>
      </c>
    </row>
    <row r="74" spans="4:24" x14ac:dyDescent="0.15">
      <c r="H74" s="244"/>
      <c r="I74" s="244"/>
      <c r="J74" s="244"/>
      <c r="K74" s="134"/>
      <c r="Q74" s="242" t="str">
        <f t="shared" si="3"/>
        <v/>
      </c>
      <c r="T74" s="214" t="str">
        <f t="shared" si="4"/>
        <v/>
      </c>
      <c r="V74" s="214" t="str">
        <f t="shared" si="5"/>
        <v/>
      </c>
    </row>
    <row r="75" spans="4:24" x14ac:dyDescent="0.15">
      <c r="H75" s="244"/>
      <c r="I75" s="244"/>
      <c r="J75" s="244"/>
      <c r="K75" s="134"/>
      <c r="Q75" s="242" t="str">
        <f t="shared" si="3"/>
        <v/>
      </c>
      <c r="T75" s="214" t="str">
        <f t="shared" si="4"/>
        <v/>
      </c>
      <c r="V75" s="214" t="str">
        <f t="shared" si="5"/>
        <v/>
      </c>
    </row>
    <row r="76" spans="4:24" x14ac:dyDescent="0.15">
      <c r="H76" s="244"/>
      <c r="I76" s="244"/>
      <c r="J76" s="244"/>
      <c r="K76" s="134"/>
      <c r="Q76" s="242" t="str">
        <f t="shared" si="3"/>
        <v/>
      </c>
      <c r="T76" s="214" t="str">
        <f t="shared" si="4"/>
        <v/>
      </c>
      <c r="V76" s="214" t="str">
        <f t="shared" si="5"/>
        <v/>
      </c>
    </row>
    <row r="77" spans="4:24" x14ac:dyDescent="0.15">
      <c r="H77" s="244"/>
      <c r="I77" s="244"/>
      <c r="J77" s="244"/>
      <c r="K77" s="134"/>
      <c r="Q77" s="242" t="str">
        <f t="shared" si="3"/>
        <v/>
      </c>
      <c r="T77" s="214" t="str">
        <f t="shared" si="4"/>
        <v/>
      </c>
      <c r="V77" s="214" t="str">
        <f t="shared" si="5"/>
        <v/>
      </c>
    </row>
    <row r="78" spans="4:24" x14ac:dyDescent="0.15">
      <c r="H78" s="244"/>
      <c r="I78" s="244"/>
      <c r="J78" s="244"/>
      <c r="K78" s="134"/>
      <c r="Q78" s="242" t="str">
        <f t="shared" si="3"/>
        <v/>
      </c>
      <c r="T78" s="214" t="str">
        <f t="shared" si="4"/>
        <v/>
      </c>
      <c r="V78" s="214" t="str">
        <f t="shared" si="5"/>
        <v/>
      </c>
    </row>
    <row r="79" spans="4:24" x14ac:dyDescent="0.15">
      <c r="H79" s="244"/>
      <c r="I79" s="244"/>
      <c r="J79" s="244"/>
      <c r="K79" s="134"/>
      <c r="Q79" s="242"/>
    </row>
    <row r="80" spans="4:24" x14ac:dyDescent="0.15">
      <c r="H80" s="244"/>
      <c r="I80" s="244"/>
      <c r="J80" s="244"/>
      <c r="K80" s="134"/>
      <c r="Q80" s="242"/>
    </row>
    <row r="81" spans="8:17" x14ac:dyDescent="0.15">
      <c r="H81" s="244"/>
      <c r="I81" s="244"/>
      <c r="J81" s="244"/>
      <c r="K81" s="134"/>
      <c r="Q81" s="242"/>
    </row>
    <row r="82" spans="8:17" x14ac:dyDescent="0.15">
      <c r="H82" s="244"/>
      <c r="I82" s="244"/>
      <c r="J82" s="244"/>
      <c r="K82" s="134"/>
      <c r="Q82" s="242"/>
    </row>
    <row r="83" spans="8:17" x14ac:dyDescent="0.15">
      <c r="H83" s="244"/>
      <c r="I83" s="244"/>
      <c r="J83" s="244"/>
      <c r="K83" s="134"/>
      <c r="Q83" s="242"/>
    </row>
    <row r="84" spans="8:17" x14ac:dyDescent="0.15">
      <c r="H84" s="244"/>
      <c r="I84" s="244"/>
      <c r="J84" s="244"/>
      <c r="K84" s="134"/>
      <c r="Q84" s="242"/>
    </row>
    <row r="85" spans="8:17" x14ac:dyDescent="0.15">
      <c r="H85" s="244"/>
      <c r="I85" s="244"/>
      <c r="J85" s="244"/>
      <c r="K85" s="134"/>
      <c r="Q85" s="242"/>
    </row>
    <row r="86" spans="8:17" x14ac:dyDescent="0.15">
      <c r="H86" s="244"/>
      <c r="I86" s="244"/>
      <c r="J86" s="244"/>
      <c r="K86" s="134"/>
      <c r="Q86" s="242"/>
    </row>
    <row r="87" spans="8:17" x14ac:dyDescent="0.15">
      <c r="H87" s="244"/>
      <c r="I87" s="244"/>
      <c r="J87" s="244"/>
      <c r="K87" s="134"/>
      <c r="Q87" s="242"/>
    </row>
    <row r="88" spans="8:17" x14ac:dyDescent="0.15">
      <c r="H88" s="244"/>
      <c r="I88" s="244"/>
      <c r="J88" s="244"/>
      <c r="K88" s="134"/>
      <c r="Q88" s="242"/>
    </row>
    <row r="89" spans="8:17" x14ac:dyDescent="0.15">
      <c r="H89" s="244"/>
      <c r="I89" s="244"/>
      <c r="J89" s="244"/>
      <c r="K89" s="134"/>
      <c r="Q89" s="242"/>
    </row>
    <row r="90" spans="8:17" x14ac:dyDescent="0.15">
      <c r="H90" s="244"/>
      <c r="I90" s="244"/>
      <c r="J90" s="244"/>
      <c r="K90" s="134"/>
      <c r="Q90" s="242"/>
    </row>
    <row r="91" spans="8:17" x14ac:dyDescent="0.15">
      <c r="H91" s="244"/>
      <c r="I91" s="244"/>
      <c r="J91" s="244"/>
      <c r="K91" s="134"/>
      <c r="Q91" s="242"/>
    </row>
    <row r="92" spans="8:17" x14ac:dyDescent="0.15">
      <c r="H92" s="244"/>
      <c r="I92" s="244"/>
      <c r="J92" s="244"/>
      <c r="K92" s="134"/>
      <c r="Q92" s="242"/>
    </row>
    <row r="93" spans="8:17" x14ac:dyDescent="0.15">
      <c r="H93" s="244"/>
      <c r="I93" s="244"/>
      <c r="J93" s="244"/>
      <c r="K93" s="134"/>
      <c r="Q93" s="242"/>
    </row>
    <row r="94" spans="8:17" x14ac:dyDescent="0.15">
      <c r="H94" s="244"/>
      <c r="I94" s="244"/>
      <c r="J94" s="244"/>
      <c r="K94" s="134"/>
      <c r="Q94" s="242"/>
    </row>
    <row r="95" spans="8:17" x14ac:dyDescent="0.15">
      <c r="H95" s="244"/>
      <c r="I95" s="244"/>
      <c r="J95" s="244"/>
      <c r="K95" s="134"/>
      <c r="Q95" s="242"/>
    </row>
    <row r="96" spans="8:17" x14ac:dyDescent="0.15">
      <c r="H96" s="244"/>
      <c r="I96" s="244"/>
      <c r="J96" s="244"/>
      <c r="K96" s="134"/>
      <c r="Q96" s="242"/>
    </row>
    <row r="97" spans="8:17" x14ac:dyDescent="0.15">
      <c r="H97" s="244"/>
      <c r="I97" s="244"/>
      <c r="J97" s="244"/>
      <c r="K97" s="134"/>
      <c r="Q97" s="242"/>
    </row>
    <row r="98" spans="8:17" x14ac:dyDescent="0.15">
      <c r="H98" s="244"/>
      <c r="I98" s="244"/>
      <c r="J98" s="244"/>
      <c r="K98" s="134"/>
      <c r="Q98" s="242"/>
    </row>
    <row r="99" spans="8:17" x14ac:dyDescent="0.15">
      <c r="H99" s="244"/>
      <c r="I99" s="244"/>
      <c r="J99" s="244"/>
      <c r="K99" s="134"/>
      <c r="Q99" s="242"/>
    </row>
    <row r="100" spans="8:17" x14ac:dyDescent="0.15">
      <c r="H100" s="244"/>
      <c r="I100" s="244"/>
      <c r="J100" s="244"/>
      <c r="K100" s="134"/>
      <c r="Q100" s="242"/>
    </row>
    <row r="101" spans="8:17" x14ac:dyDescent="0.15">
      <c r="H101" s="244"/>
      <c r="I101" s="244"/>
      <c r="J101" s="244"/>
      <c r="K101" s="134"/>
      <c r="Q101" s="242"/>
    </row>
    <row r="102" spans="8:17" x14ac:dyDescent="0.15">
      <c r="H102" s="244"/>
      <c r="I102" s="244"/>
      <c r="J102" s="244"/>
      <c r="K102" s="134"/>
      <c r="Q102" s="242"/>
    </row>
    <row r="103" spans="8:17" x14ac:dyDescent="0.15">
      <c r="H103" s="244"/>
      <c r="I103" s="244"/>
      <c r="J103" s="244"/>
      <c r="K103" s="134"/>
      <c r="Q103" s="242"/>
    </row>
    <row r="104" spans="8:17" x14ac:dyDescent="0.15">
      <c r="H104" s="244"/>
      <c r="I104" s="244"/>
      <c r="J104" s="244"/>
      <c r="K104" s="134"/>
      <c r="Q104" s="242"/>
    </row>
    <row r="105" spans="8:17" x14ac:dyDescent="0.15">
      <c r="H105" s="244"/>
      <c r="I105" s="244"/>
      <c r="J105" s="244"/>
      <c r="K105" s="134"/>
      <c r="Q105" s="242"/>
    </row>
    <row r="106" spans="8:17" x14ac:dyDescent="0.15">
      <c r="H106" s="244"/>
      <c r="I106" s="244"/>
      <c r="J106" s="244"/>
      <c r="K106" s="134"/>
      <c r="Q106" s="242"/>
    </row>
    <row r="107" spans="8:17" x14ac:dyDescent="0.15">
      <c r="H107" s="244"/>
      <c r="I107" s="244"/>
      <c r="J107" s="244"/>
      <c r="K107" s="134"/>
      <c r="Q107" s="242"/>
    </row>
    <row r="108" spans="8:17" x14ac:dyDescent="0.15">
      <c r="H108" s="244"/>
      <c r="I108" s="244"/>
      <c r="J108" s="244"/>
      <c r="K108" s="134"/>
      <c r="Q108" s="242"/>
    </row>
    <row r="109" spans="8:17" x14ac:dyDescent="0.15">
      <c r="H109" s="244"/>
      <c r="I109" s="244"/>
      <c r="J109" s="244"/>
      <c r="K109" s="134"/>
      <c r="Q109" s="242"/>
    </row>
    <row r="110" spans="8:17" x14ac:dyDescent="0.15">
      <c r="H110" s="244"/>
      <c r="I110" s="244"/>
      <c r="J110" s="244"/>
      <c r="K110" s="134"/>
      <c r="Q110" s="242"/>
    </row>
    <row r="111" spans="8:17" x14ac:dyDescent="0.15">
      <c r="H111" s="244"/>
      <c r="I111" s="244"/>
      <c r="J111" s="244"/>
      <c r="K111" s="134"/>
      <c r="Q111" s="242"/>
    </row>
    <row r="112" spans="8:17" x14ac:dyDescent="0.15">
      <c r="H112" s="244"/>
      <c r="I112" s="244"/>
      <c r="J112" s="244"/>
      <c r="K112" s="134"/>
      <c r="Q112" s="242"/>
    </row>
    <row r="113" spans="8:17" x14ac:dyDescent="0.15">
      <c r="H113" s="244"/>
      <c r="I113" s="244"/>
      <c r="J113" s="244"/>
      <c r="K113" s="134"/>
      <c r="Q113" s="242"/>
    </row>
    <row r="114" spans="8:17" x14ac:dyDescent="0.15">
      <c r="H114" s="244"/>
      <c r="I114" s="244"/>
      <c r="J114" s="244"/>
      <c r="K114" s="134"/>
      <c r="Q114" s="242"/>
    </row>
    <row r="115" spans="8:17" x14ac:dyDescent="0.15">
      <c r="H115" s="244"/>
      <c r="I115" s="244"/>
      <c r="J115" s="244"/>
      <c r="K115" s="134"/>
      <c r="Q115" s="242"/>
    </row>
    <row r="116" spans="8:17" x14ac:dyDescent="0.15">
      <c r="H116" s="244"/>
      <c r="I116" s="244"/>
      <c r="J116" s="244"/>
      <c r="K116" s="134"/>
      <c r="Q116" s="242"/>
    </row>
    <row r="117" spans="8:17" x14ac:dyDescent="0.15">
      <c r="H117" s="244"/>
      <c r="I117" s="244"/>
      <c r="J117" s="244"/>
      <c r="K117" s="134"/>
      <c r="Q117" s="242"/>
    </row>
    <row r="118" spans="8:17" x14ac:dyDescent="0.15">
      <c r="H118" s="244"/>
      <c r="I118" s="244"/>
      <c r="J118" s="244"/>
      <c r="K118" s="134"/>
      <c r="Q118" s="242"/>
    </row>
    <row r="119" spans="8:17" x14ac:dyDescent="0.15">
      <c r="H119" s="244"/>
      <c r="I119" s="244"/>
      <c r="J119" s="244"/>
      <c r="K119" s="134"/>
      <c r="Q119" s="242"/>
    </row>
    <row r="120" spans="8:17" x14ac:dyDescent="0.15">
      <c r="H120" s="244"/>
      <c r="I120" s="244"/>
      <c r="J120" s="244"/>
      <c r="K120" s="134"/>
      <c r="Q120" s="242"/>
    </row>
    <row r="121" spans="8:17" x14ac:dyDescent="0.15">
      <c r="H121" s="244"/>
      <c r="I121" s="244"/>
      <c r="J121" s="244"/>
      <c r="K121" s="134"/>
      <c r="Q121" s="242"/>
    </row>
    <row r="122" spans="8:17" x14ac:dyDescent="0.15">
      <c r="H122" s="244"/>
      <c r="I122" s="244"/>
      <c r="J122" s="244"/>
      <c r="K122" s="134"/>
      <c r="Q122" s="242"/>
    </row>
    <row r="123" spans="8:17" x14ac:dyDescent="0.15">
      <c r="H123" s="244"/>
      <c r="I123" s="244"/>
      <c r="J123" s="244"/>
      <c r="K123" s="134"/>
      <c r="Q123" s="242"/>
    </row>
    <row r="124" spans="8:17" x14ac:dyDescent="0.15">
      <c r="H124" s="244"/>
      <c r="I124" s="244"/>
      <c r="J124" s="244"/>
      <c r="K124" s="134"/>
      <c r="Q124" s="242"/>
    </row>
    <row r="125" spans="8:17" x14ac:dyDescent="0.15">
      <c r="H125" s="244"/>
      <c r="I125" s="244"/>
      <c r="J125" s="244"/>
      <c r="K125" s="134"/>
      <c r="Q125" s="242"/>
    </row>
    <row r="126" spans="8:17" x14ac:dyDescent="0.15">
      <c r="H126" s="244"/>
      <c r="I126" s="244"/>
      <c r="J126" s="244"/>
      <c r="K126" s="134"/>
      <c r="Q126" s="242"/>
    </row>
    <row r="127" spans="8:17" x14ac:dyDescent="0.15">
      <c r="H127" s="244"/>
      <c r="I127" s="244"/>
      <c r="J127" s="244"/>
      <c r="K127" s="134"/>
      <c r="Q127" s="242"/>
    </row>
    <row r="128" spans="8:17" x14ac:dyDescent="0.15">
      <c r="H128" s="244"/>
      <c r="I128" s="244"/>
      <c r="J128" s="244"/>
      <c r="K128" s="134"/>
      <c r="Q128" s="242"/>
    </row>
    <row r="129" spans="11:17" x14ac:dyDescent="0.15">
      <c r="K129" s="134"/>
      <c r="Q129" s="242"/>
    </row>
    <row r="130" spans="11:17" x14ac:dyDescent="0.15">
      <c r="K130" s="134"/>
      <c r="Q130" s="242"/>
    </row>
    <row r="131" spans="11:17" x14ac:dyDescent="0.15">
      <c r="K131" s="134"/>
      <c r="Q131" s="242"/>
    </row>
    <row r="132" spans="11:17" x14ac:dyDescent="0.15">
      <c r="K132" s="134"/>
      <c r="Q132" s="242"/>
    </row>
    <row r="133" spans="11:17" x14ac:dyDescent="0.15">
      <c r="K133" s="134"/>
      <c r="Q133" s="242"/>
    </row>
    <row r="134" spans="11:17" x14ac:dyDescent="0.15">
      <c r="K134" s="134"/>
      <c r="Q134" s="242"/>
    </row>
    <row r="135" spans="11:17" x14ac:dyDescent="0.15">
      <c r="K135" s="134"/>
      <c r="Q135" s="242"/>
    </row>
    <row r="136" spans="11:17" x14ac:dyDescent="0.15">
      <c r="K136" s="134"/>
      <c r="Q136" s="242"/>
    </row>
    <row r="137" spans="11:17" x14ac:dyDescent="0.15">
      <c r="K137" s="134"/>
      <c r="Q137" s="242"/>
    </row>
    <row r="138" spans="11:17" x14ac:dyDescent="0.15">
      <c r="K138" s="134"/>
      <c r="Q138" s="242"/>
    </row>
    <row r="139" spans="11:17" x14ac:dyDescent="0.15">
      <c r="K139" s="134"/>
      <c r="Q139" s="242"/>
    </row>
    <row r="140" spans="11:17" x14ac:dyDescent="0.15">
      <c r="K140" s="134"/>
      <c r="Q140" s="242"/>
    </row>
    <row r="141" spans="11:17" x14ac:dyDescent="0.15">
      <c r="K141" s="134"/>
      <c r="Q141" s="242"/>
    </row>
    <row r="142" spans="11:17" x14ac:dyDescent="0.15">
      <c r="K142" s="134"/>
      <c r="Q142" s="242"/>
    </row>
    <row r="143" spans="11:17" x14ac:dyDescent="0.15">
      <c r="K143" s="134"/>
      <c r="Q143" s="242"/>
    </row>
    <row r="144" spans="11:17" x14ac:dyDescent="0.15">
      <c r="K144" s="134"/>
      <c r="Q144" s="242"/>
    </row>
    <row r="145" spans="11:17" x14ac:dyDescent="0.15">
      <c r="K145" s="134"/>
      <c r="Q145" s="242"/>
    </row>
    <row r="146" spans="11:17" x14ac:dyDescent="0.15">
      <c r="K146" s="134"/>
      <c r="Q146" s="242"/>
    </row>
    <row r="147" spans="11:17" x14ac:dyDescent="0.15">
      <c r="K147" s="134"/>
      <c r="Q147" s="242"/>
    </row>
    <row r="148" spans="11:17" x14ac:dyDescent="0.15">
      <c r="K148" s="134"/>
      <c r="Q148" s="242"/>
    </row>
    <row r="149" spans="11:17" x14ac:dyDescent="0.15">
      <c r="K149" s="134"/>
      <c r="Q149" s="242"/>
    </row>
    <row r="150" spans="11:17" x14ac:dyDescent="0.15">
      <c r="K150" s="134"/>
      <c r="Q150" s="242"/>
    </row>
    <row r="151" spans="11:17" x14ac:dyDescent="0.15">
      <c r="K151" s="134"/>
      <c r="Q151" s="242"/>
    </row>
    <row r="152" spans="11:17" x14ac:dyDescent="0.15">
      <c r="K152" s="134"/>
      <c r="Q152" s="242"/>
    </row>
    <row r="153" spans="11:17" x14ac:dyDescent="0.15">
      <c r="K153" s="134"/>
      <c r="Q153" s="242"/>
    </row>
    <row r="154" spans="11:17" x14ac:dyDescent="0.15">
      <c r="K154" s="134"/>
      <c r="Q154" s="242"/>
    </row>
    <row r="155" spans="11:17" x14ac:dyDescent="0.15">
      <c r="K155" s="134"/>
      <c r="Q155" s="242"/>
    </row>
    <row r="156" spans="11:17" x14ac:dyDescent="0.15">
      <c r="K156" s="134"/>
      <c r="Q156" s="242"/>
    </row>
    <row r="157" spans="11:17" x14ac:dyDescent="0.15">
      <c r="K157" s="134"/>
      <c r="Q157" s="242"/>
    </row>
    <row r="158" spans="11:17" x14ac:dyDescent="0.15">
      <c r="K158" s="134"/>
      <c r="Q158" s="242"/>
    </row>
    <row r="159" spans="11:17" x14ac:dyDescent="0.15">
      <c r="K159" s="134"/>
      <c r="Q159" s="242"/>
    </row>
    <row r="160" spans="11:17" x14ac:dyDescent="0.15">
      <c r="K160" s="134"/>
      <c r="Q160" s="242"/>
    </row>
    <row r="161" spans="11:17" x14ac:dyDescent="0.15">
      <c r="K161" s="134"/>
      <c r="Q161" s="242"/>
    </row>
    <row r="162" spans="11:17" x14ac:dyDescent="0.15">
      <c r="K162" s="134"/>
      <c r="Q162" s="242"/>
    </row>
    <row r="163" spans="11:17" x14ac:dyDescent="0.15">
      <c r="K163" s="134"/>
      <c r="Q163" s="242"/>
    </row>
    <row r="164" spans="11:17" x14ac:dyDescent="0.15">
      <c r="K164" s="134"/>
      <c r="Q164" s="242"/>
    </row>
    <row r="165" spans="11:17" x14ac:dyDescent="0.15">
      <c r="K165" s="134"/>
      <c r="Q165" s="242"/>
    </row>
    <row r="166" spans="11:17" x14ac:dyDescent="0.15">
      <c r="K166" s="134"/>
      <c r="Q166" s="242"/>
    </row>
    <row r="167" spans="11:17" x14ac:dyDescent="0.15">
      <c r="K167" s="134"/>
      <c r="Q167" s="242"/>
    </row>
    <row r="168" spans="11:17" x14ac:dyDescent="0.15">
      <c r="K168" s="134"/>
      <c r="Q168" s="242"/>
    </row>
    <row r="169" spans="11:17" x14ac:dyDescent="0.15">
      <c r="K169" s="134"/>
      <c r="Q169" s="242"/>
    </row>
    <row r="170" spans="11:17" x14ac:dyDescent="0.15">
      <c r="K170" s="134"/>
      <c r="Q170" s="242"/>
    </row>
    <row r="171" spans="11:17" x14ac:dyDescent="0.15">
      <c r="K171" s="134"/>
      <c r="Q171" s="242"/>
    </row>
    <row r="172" spans="11:17" x14ac:dyDescent="0.15">
      <c r="K172" s="134"/>
      <c r="Q172" s="242"/>
    </row>
    <row r="173" spans="11:17" x14ac:dyDescent="0.15">
      <c r="K173" s="134"/>
      <c r="Q173" s="242"/>
    </row>
    <row r="174" spans="11:17" x14ac:dyDescent="0.15">
      <c r="K174" s="134"/>
      <c r="Q174" s="242"/>
    </row>
    <row r="175" spans="11:17" x14ac:dyDescent="0.15">
      <c r="K175" s="134"/>
      <c r="Q175" s="242"/>
    </row>
    <row r="176" spans="11:17" x14ac:dyDescent="0.15">
      <c r="K176" s="134"/>
      <c r="Q176" s="242"/>
    </row>
    <row r="177" spans="11:17" x14ac:dyDescent="0.15">
      <c r="K177" s="134"/>
      <c r="Q177" s="242"/>
    </row>
    <row r="178" spans="11:17" x14ac:dyDescent="0.15">
      <c r="K178" s="134"/>
      <c r="Q178" s="242"/>
    </row>
    <row r="179" spans="11:17" x14ac:dyDescent="0.15">
      <c r="K179" s="134"/>
      <c r="Q179" s="242"/>
    </row>
    <row r="180" spans="11:17" x14ac:dyDescent="0.15">
      <c r="K180" s="134"/>
      <c r="Q180" s="242"/>
    </row>
    <row r="181" spans="11:17" x14ac:dyDescent="0.15">
      <c r="K181" s="134"/>
      <c r="Q181" s="242"/>
    </row>
    <row r="182" spans="11:17" x14ac:dyDescent="0.15">
      <c r="K182" s="134"/>
      <c r="Q182" s="242"/>
    </row>
    <row r="183" spans="11:17" x14ac:dyDescent="0.15">
      <c r="K183" s="134"/>
      <c r="Q183" s="242"/>
    </row>
    <row r="184" spans="11:17" x14ac:dyDescent="0.15">
      <c r="K184" s="134"/>
      <c r="Q184" s="242"/>
    </row>
    <row r="185" spans="11:17" x14ac:dyDescent="0.15">
      <c r="K185" s="134"/>
      <c r="Q185" s="242"/>
    </row>
    <row r="186" spans="11:17" x14ac:dyDescent="0.15">
      <c r="K186" s="134"/>
      <c r="Q186" s="242"/>
    </row>
    <row r="187" spans="11:17" x14ac:dyDescent="0.15">
      <c r="K187" s="134"/>
      <c r="Q187" s="242"/>
    </row>
    <row r="188" spans="11:17" x14ac:dyDescent="0.15">
      <c r="K188" s="134"/>
      <c r="Q188" s="242"/>
    </row>
    <row r="189" spans="11:17" x14ac:dyDescent="0.15">
      <c r="K189" s="134"/>
      <c r="Q189" s="242"/>
    </row>
    <row r="190" spans="11:17" x14ac:dyDescent="0.15">
      <c r="K190" s="134"/>
      <c r="Q190" s="242"/>
    </row>
    <row r="191" spans="11:17" x14ac:dyDescent="0.15">
      <c r="K191" s="134"/>
      <c r="Q191" s="242"/>
    </row>
    <row r="192" spans="11:17" x14ac:dyDescent="0.15">
      <c r="K192" s="134"/>
      <c r="Q192" s="242"/>
    </row>
    <row r="193" spans="11:17" x14ac:dyDescent="0.15">
      <c r="K193" s="134"/>
      <c r="Q193" s="242"/>
    </row>
    <row r="194" spans="11:17" x14ac:dyDescent="0.15">
      <c r="K194" s="134"/>
      <c r="Q194" s="242"/>
    </row>
    <row r="195" spans="11:17" x14ac:dyDescent="0.15">
      <c r="K195" s="134"/>
      <c r="Q195" s="242"/>
    </row>
    <row r="196" spans="11:17" x14ac:dyDescent="0.15">
      <c r="K196" s="134"/>
      <c r="Q196" s="242"/>
    </row>
    <row r="197" spans="11:17" x14ac:dyDescent="0.15">
      <c r="K197" s="134"/>
      <c r="Q197" s="242"/>
    </row>
    <row r="198" spans="11:17" x14ac:dyDescent="0.15">
      <c r="K198" s="134"/>
      <c r="Q198" s="242"/>
    </row>
    <row r="199" spans="11:17" x14ac:dyDescent="0.15">
      <c r="K199" s="134"/>
      <c r="Q199" s="242"/>
    </row>
    <row r="200" spans="11:17" x14ac:dyDescent="0.15">
      <c r="K200" s="134"/>
      <c r="Q200" s="242"/>
    </row>
    <row r="201" spans="11:17" x14ac:dyDescent="0.15">
      <c r="K201" s="134"/>
      <c r="Q201" s="242"/>
    </row>
    <row r="202" spans="11:17" x14ac:dyDescent="0.15">
      <c r="K202" s="134"/>
      <c r="Q202" s="242"/>
    </row>
    <row r="203" spans="11:17" x14ac:dyDescent="0.15">
      <c r="K203" s="134"/>
      <c r="Q203" s="242"/>
    </row>
    <row r="204" spans="11:17" x14ac:dyDescent="0.15">
      <c r="K204" s="134"/>
      <c r="Q204" s="242"/>
    </row>
    <row r="205" spans="11:17" x14ac:dyDescent="0.15">
      <c r="K205" s="134"/>
      <c r="Q205" s="242"/>
    </row>
    <row r="206" spans="11:17" x14ac:dyDescent="0.15">
      <c r="K206" s="134"/>
      <c r="Q206" s="242"/>
    </row>
    <row r="207" spans="11:17" x14ac:dyDescent="0.15">
      <c r="K207" s="134"/>
      <c r="Q207" s="242"/>
    </row>
    <row r="208" spans="11:17" x14ac:dyDescent="0.15">
      <c r="K208" s="134"/>
      <c r="Q208" s="242"/>
    </row>
    <row r="209" spans="11:17" x14ac:dyDescent="0.15">
      <c r="K209" s="134"/>
      <c r="Q209" s="242"/>
    </row>
    <row r="210" spans="11:17" x14ac:dyDescent="0.15">
      <c r="K210" s="134"/>
      <c r="Q210" s="242"/>
    </row>
    <row r="211" spans="11:17" x14ac:dyDescent="0.15">
      <c r="K211" s="134"/>
      <c r="Q211" s="242"/>
    </row>
    <row r="212" spans="11:17" x14ac:dyDescent="0.15">
      <c r="K212" s="134"/>
      <c r="Q212" s="242"/>
    </row>
    <row r="213" spans="11:17" x14ac:dyDescent="0.15">
      <c r="K213" s="134"/>
      <c r="Q213" s="242"/>
    </row>
    <row r="214" spans="11:17" x14ac:dyDescent="0.15">
      <c r="K214" s="134"/>
      <c r="Q214" s="242"/>
    </row>
    <row r="215" spans="11:17" x14ac:dyDescent="0.15">
      <c r="K215" s="134"/>
      <c r="Q215" s="242"/>
    </row>
    <row r="216" spans="11:17" x14ac:dyDescent="0.15">
      <c r="K216" s="134"/>
      <c r="Q216" s="242"/>
    </row>
    <row r="217" spans="11:17" x14ac:dyDescent="0.15">
      <c r="K217" s="134"/>
      <c r="Q217" s="242"/>
    </row>
    <row r="218" spans="11:17" x14ac:dyDescent="0.15">
      <c r="K218" s="134"/>
      <c r="Q218" s="242"/>
    </row>
    <row r="219" spans="11:17" x14ac:dyDescent="0.15">
      <c r="K219" s="134"/>
      <c r="Q219" s="242"/>
    </row>
    <row r="220" spans="11:17" x14ac:dyDescent="0.15">
      <c r="K220" s="134"/>
      <c r="Q220" s="242"/>
    </row>
    <row r="221" spans="11:17" x14ac:dyDescent="0.15">
      <c r="K221" s="134"/>
      <c r="Q221" s="242"/>
    </row>
    <row r="222" spans="11:17" x14ac:dyDescent="0.15">
      <c r="K222" s="134"/>
      <c r="Q222" s="242"/>
    </row>
    <row r="223" spans="11:17" x14ac:dyDescent="0.15">
      <c r="K223" s="134"/>
      <c r="Q223" s="242"/>
    </row>
    <row r="224" spans="11:17" x14ac:dyDescent="0.15">
      <c r="K224" s="134"/>
      <c r="Q224" s="242"/>
    </row>
    <row r="225" spans="11:17" x14ac:dyDescent="0.15">
      <c r="K225" s="134"/>
      <c r="Q225" s="242"/>
    </row>
    <row r="226" spans="11:17" x14ac:dyDescent="0.15">
      <c r="K226" s="134"/>
      <c r="Q226" s="242"/>
    </row>
    <row r="227" spans="11:17" x14ac:dyDescent="0.15">
      <c r="K227" s="134"/>
      <c r="Q227" s="242"/>
    </row>
    <row r="228" spans="11:17" x14ac:dyDescent="0.15">
      <c r="K228" s="134"/>
      <c r="Q228" s="242"/>
    </row>
    <row r="229" spans="11:17" x14ac:dyDescent="0.15">
      <c r="K229" s="134"/>
      <c r="Q229" s="242"/>
    </row>
    <row r="230" spans="11:17" x14ac:dyDescent="0.15">
      <c r="K230" s="134"/>
      <c r="Q230" s="242"/>
    </row>
    <row r="231" spans="11:17" x14ac:dyDescent="0.15">
      <c r="K231" s="134"/>
      <c r="Q231" s="242"/>
    </row>
    <row r="232" spans="11:17" x14ac:dyDescent="0.15">
      <c r="K232" s="134"/>
      <c r="Q232" s="242"/>
    </row>
    <row r="233" spans="11:17" x14ac:dyDescent="0.15">
      <c r="K233" s="134"/>
      <c r="Q233" s="242"/>
    </row>
    <row r="234" spans="11:17" x14ac:dyDescent="0.15">
      <c r="K234" s="134"/>
      <c r="Q234" s="242"/>
    </row>
    <row r="235" spans="11:17" x14ac:dyDescent="0.15">
      <c r="K235" s="134"/>
      <c r="Q235" s="242"/>
    </row>
    <row r="236" spans="11:17" x14ac:dyDescent="0.15">
      <c r="K236" s="134"/>
      <c r="Q236" s="242"/>
    </row>
    <row r="237" spans="11:17" x14ac:dyDescent="0.15">
      <c r="K237" s="134"/>
      <c r="Q237" s="242"/>
    </row>
    <row r="238" spans="11:17" x14ac:dyDescent="0.15">
      <c r="K238" s="134"/>
      <c r="Q238" s="242"/>
    </row>
    <row r="239" spans="11:17" x14ac:dyDescent="0.15">
      <c r="K239" s="134"/>
      <c r="Q239" s="242"/>
    </row>
    <row r="240" spans="11:17" x14ac:dyDescent="0.15">
      <c r="K240" s="134"/>
      <c r="Q240" s="242"/>
    </row>
    <row r="241" spans="11:17" x14ac:dyDescent="0.15">
      <c r="K241" s="134"/>
      <c r="Q241" s="242"/>
    </row>
    <row r="242" spans="11:17" x14ac:dyDescent="0.15">
      <c r="K242" s="134"/>
      <c r="Q242" s="242"/>
    </row>
    <row r="243" spans="11:17" x14ac:dyDescent="0.15">
      <c r="K243" s="134"/>
      <c r="Q243" s="242"/>
    </row>
    <row r="244" spans="11:17" x14ac:dyDescent="0.15">
      <c r="K244" s="134"/>
      <c r="Q244" s="242"/>
    </row>
    <row r="245" spans="11:17" x14ac:dyDescent="0.15">
      <c r="K245" s="134"/>
      <c r="Q245" s="242"/>
    </row>
    <row r="246" spans="11:17" x14ac:dyDescent="0.15">
      <c r="K246" s="134"/>
      <c r="Q246" s="242"/>
    </row>
    <row r="247" spans="11:17" x14ac:dyDescent="0.15">
      <c r="K247" s="134"/>
      <c r="Q247" s="242"/>
    </row>
    <row r="248" spans="11:17" x14ac:dyDescent="0.15">
      <c r="K248" s="134"/>
      <c r="Q248" s="242"/>
    </row>
    <row r="249" spans="11:17" x14ac:dyDescent="0.15">
      <c r="K249" s="134"/>
      <c r="Q249" s="242"/>
    </row>
    <row r="250" spans="11:17" x14ac:dyDescent="0.15">
      <c r="K250" s="134"/>
      <c r="Q250" s="242"/>
    </row>
    <row r="251" spans="11:17" x14ac:dyDescent="0.15">
      <c r="K251" s="134"/>
      <c r="Q251" s="242"/>
    </row>
    <row r="252" spans="11:17" x14ac:dyDescent="0.15">
      <c r="K252" s="134"/>
      <c r="Q252" s="242"/>
    </row>
    <row r="253" spans="11:17" x14ac:dyDescent="0.15">
      <c r="K253" s="134"/>
      <c r="Q253" s="242"/>
    </row>
    <row r="254" spans="11:17" x14ac:dyDescent="0.15">
      <c r="K254" s="134"/>
      <c r="Q254" s="242"/>
    </row>
    <row r="255" spans="11:17" x14ac:dyDescent="0.15">
      <c r="K255" s="134"/>
      <c r="Q255" s="242"/>
    </row>
    <row r="256" spans="11:17" x14ac:dyDescent="0.15">
      <c r="K256" s="134"/>
      <c r="Q256" s="242"/>
    </row>
    <row r="257" spans="11:17" x14ac:dyDescent="0.15">
      <c r="K257" s="134"/>
      <c r="Q257" s="242"/>
    </row>
    <row r="258" spans="11:17" x14ac:dyDescent="0.15">
      <c r="K258" s="134"/>
      <c r="Q258" s="242"/>
    </row>
    <row r="259" spans="11:17" x14ac:dyDescent="0.15">
      <c r="K259" s="134"/>
      <c r="Q259" s="242"/>
    </row>
    <row r="260" spans="11:17" x14ac:dyDescent="0.15">
      <c r="K260" s="134"/>
      <c r="Q260" s="242"/>
    </row>
    <row r="261" spans="11:17" x14ac:dyDescent="0.15">
      <c r="K261" s="134"/>
      <c r="Q261" s="242"/>
    </row>
    <row r="262" spans="11:17" x14ac:dyDescent="0.15">
      <c r="K262" s="134"/>
      <c r="Q262" s="242"/>
    </row>
    <row r="263" spans="11:17" x14ac:dyDescent="0.15">
      <c r="K263" s="134"/>
      <c r="Q263" s="242"/>
    </row>
    <row r="264" spans="11:17" x14ac:dyDescent="0.15">
      <c r="K264" s="134"/>
      <c r="Q264" s="242"/>
    </row>
    <row r="265" spans="11:17" x14ac:dyDescent="0.15">
      <c r="K265" s="134"/>
      <c r="Q265" s="242"/>
    </row>
    <row r="266" spans="11:17" x14ac:dyDescent="0.15">
      <c r="K266" s="134"/>
      <c r="Q266" s="242"/>
    </row>
    <row r="267" spans="11:17" x14ac:dyDescent="0.15">
      <c r="K267" s="134"/>
      <c r="Q267" s="242"/>
    </row>
    <row r="268" spans="11:17" x14ac:dyDescent="0.15">
      <c r="K268" s="134"/>
      <c r="Q268" s="242"/>
    </row>
    <row r="269" spans="11:17" x14ac:dyDescent="0.15">
      <c r="K269" s="134"/>
      <c r="Q269" s="242"/>
    </row>
    <row r="270" spans="11:17" x14ac:dyDescent="0.15">
      <c r="K270" s="134"/>
      <c r="Q270" s="242"/>
    </row>
    <row r="271" spans="11:17" x14ac:dyDescent="0.15">
      <c r="K271" s="134"/>
      <c r="Q271" s="242"/>
    </row>
    <row r="272" spans="11:17" x14ac:dyDescent="0.15">
      <c r="K272" s="134"/>
      <c r="Q272" s="242"/>
    </row>
    <row r="273" spans="11:17" x14ac:dyDescent="0.15">
      <c r="K273" s="134"/>
      <c r="Q273" s="242"/>
    </row>
    <row r="274" spans="11:17" x14ac:dyDescent="0.15">
      <c r="K274" s="134"/>
      <c r="Q274" s="242"/>
    </row>
    <row r="275" spans="11:17" x14ac:dyDescent="0.15">
      <c r="K275" s="134"/>
      <c r="Q275" s="242"/>
    </row>
    <row r="276" spans="11:17" x14ac:dyDescent="0.15">
      <c r="K276" s="134"/>
      <c r="Q276" s="242"/>
    </row>
    <row r="277" spans="11:17" x14ac:dyDescent="0.15">
      <c r="K277" s="134"/>
      <c r="Q277" s="242"/>
    </row>
    <row r="278" spans="11:17" x14ac:dyDescent="0.15">
      <c r="K278" s="134"/>
      <c r="Q278" s="242"/>
    </row>
    <row r="279" spans="11:17" x14ac:dyDescent="0.15">
      <c r="K279" s="134"/>
    </row>
    <row r="280" spans="11:17" x14ac:dyDescent="0.15">
      <c r="K280" s="134"/>
    </row>
    <row r="281" spans="11:17" x14ac:dyDescent="0.15">
      <c r="K281" s="134"/>
    </row>
    <row r="282" spans="11:17" x14ac:dyDescent="0.15">
      <c r="K282" s="134"/>
    </row>
    <row r="283" spans="11:17" x14ac:dyDescent="0.15">
      <c r="K283" s="134"/>
    </row>
    <row r="284" spans="11:17" x14ac:dyDescent="0.15">
      <c r="K284" s="134"/>
    </row>
    <row r="285" spans="11:17" x14ac:dyDescent="0.15">
      <c r="K285" s="134"/>
    </row>
    <row r="286" spans="11:17" x14ac:dyDescent="0.15">
      <c r="K286" s="134"/>
    </row>
    <row r="287" spans="11:17" x14ac:dyDescent="0.15">
      <c r="K287" s="134"/>
    </row>
    <row r="288" spans="11:17" x14ac:dyDescent="0.15">
      <c r="K288" s="134"/>
    </row>
    <row r="289" spans="11:11" x14ac:dyDescent="0.15">
      <c r="K289" s="134"/>
    </row>
    <row r="290" spans="11:11" x14ac:dyDescent="0.15">
      <c r="K290" s="134"/>
    </row>
    <row r="291" spans="11:11" x14ac:dyDescent="0.15">
      <c r="K291" s="134"/>
    </row>
    <row r="292" spans="11:11" x14ac:dyDescent="0.15">
      <c r="K292" s="134"/>
    </row>
    <row r="293" spans="11:11" x14ac:dyDescent="0.15">
      <c r="K293" s="134"/>
    </row>
    <row r="294" spans="11:11" x14ac:dyDescent="0.15">
      <c r="K294" s="134"/>
    </row>
    <row r="295" spans="11:11" x14ac:dyDescent="0.15">
      <c r="K295" s="134"/>
    </row>
    <row r="296" spans="11:11" x14ac:dyDescent="0.15">
      <c r="K296" s="134"/>
    </row>
    <row r="297" spans="11:11" x14ac:dyDescent="0.15">
      <c r="K297" s="134"/>
    </row>
    <row r="298" spans="11:11" x14ac:dyDescent="0.15">
      <c r="K298" s="134"/>
    </row>
    <row r="299" spans="11:11" x14ac:dyDescent="0.15">
      <c r="K299" s="134"/>
    </row>
    <row r="300" spans="11:11" x14ac:dyDescent="0.15">
      <c r="K300" s="134"/>
    </row>
    <row r="301" spans="11:11" x14ac:dyDescent="0.15">
      <c r="K301" s="134"/>
    </row>
    <row r="302" spans="11:11" x14ac:dyDescent="0.15">
      <c r="K302" s="134"/>
    </row>
    <row r="303" spans="11:11" x14ac:dyDescent="0.15">
      <c r="K303" s="134"/>
    </row>
    <row r="304" spans="11:11" x14ac:dyDescent="0.15">
      <c r="K304" s="134"/>
    </row>
    <row r="305" spans="11:11" x14ac:dyDescent="0.15">
      <c r="K305" s="134"/>
    </row>
    <row r="306" spans="11:11" x14ac:dyDescent="0.15">
      <c r="K306" s="134"/>
    </row>
    <row r="307" spans="11:11" x14ac:dyDescent="0.15">
      <c r="K307" s="134"/>
    </row>
    <row r="308" spans="11:11" x14ac:dyDescent="0.15">
      <c r="K308" s="134"/>
    </row>
    <row r="309" spans="11:11" x14ac:dyDescent="0.15">
      <c r="K309" s="134"/>
    </row>
    <row r="310" spans="11:11" x14ac:dyDescent="0.15">
      <c r="K310" s="134"/>
    </row>
    <row r="311" spans="11:11" x14ac:dyDescent="0.15">
      <c r="K311" s="134"/>
    </row>
    <row r="312" spans="11:11" x14ac:dyDescent="0.15">
      <c r="K312" s="134"/>
    </row>
    <row r="313" spans="11:11" x14ac:dyDescent="0.15">
      <c r="K313" s="134"/>
    </row>
    <row r="314" spans="11:11" x14ac:dyDescent="0.15">
      <c r="K314" s="134"/>
    </row>
    <row r="315" spans="11:11" x14ac:dyDescent="0.15">
      <c r="K315" s="134"/>
    </row>
    <row r="316" spans="11:11" x14ac:dyDescent="0.15">
      <c r="K316" s="134"/>
    </row>
    <row r="317" spans="11:11" x14ac:dyDescent="0.15">
      <c r="K317" s="134"/>
    </row>
    <row r="318" spans="11:11" x14ac:dyDescent="0.15">
      <c r="K318" s="134"/>
    </row>
    <row r="319" spans="11:11" x14ac:dyDescent="0.15">
      <c r="K319" s="134"/>
    </row>
    <row r="320" spans="11:11" x14ac:dyDescent="0.15">
      <c r="K320" s="134"/>
    </row>
    <row r="321" spans="11:11" x14ac:dyDescent="0.15">
      <c r="K321" s="134"/>
    </row>
    <row r="322" spans="11:11" x14ac:dyDescent="0.15">
      <c r="K322" s="134"/>
    </row>
    <row r="323" spans="11:11" x14ac:dyDescent="0.15">
      <c r="K323" s="134"/>
    </row>
    <row r="324" spans="11:11" x14ac:dyDescent="0.15">
      <c r="K324" s="134"/>
    </row>
    <row r="325" spans="11:11" x14ac:dyDescent="0.15">
      <c r="K325" s="134"/>
    </row>
    <row r="326" spans="11:11" x14ac:dyDescent="0.15">
      <c r="K326" s="134"/>
    </row>
    <row r="327" spans="11:11" x14ac:dyDescent="0.15">
      <c r="K327" s="134"/>
    </row>
    <row r="328" spans="11:11" x14ac:dyDescent="0.15">
      <c r="K328" s="134"/>
    </row>
    <row r="329" spans="11:11" x14ac:dyDescent="0.15">
      <c r="K329" s="134"/>
    </row>
    <row r="330" spans="11:11" x14ac:dyDescent="0.15">
      <c r="K330" s="134"/>
    </row>
    <row r="331" spans="11:11" x14ac:dyDescent="0.15">
      <c r="K331" s="134"/>
    </row>
    <row r="332" spans="11:11" x14ac:dyDescent="0.15">
      <c r="K332" s="134"/>
    </row>
    <row r="333" spans="11:11" x14ac:dyDescent="0.15">
      <c r="K333" s="134"/>
    </row>
    <row r="334" spans="11:11" x14ac:dyDescent="0.15">
      <c r="K334" s="134"/>
    </row>
    <row r="335" spans="11:11" x14ac:dyDescent="0.15">
      <c r="K335" s="134"/>
    </row>
    <row r="336" spans="11:11" x14ac:dyDescent="0.15">
      <c r="K336" s="134"/>
    </row>
    <row r="337" spans="11:11" x14ac:dyDescent="0.15">
      <c r="K337" s="134"/>
    </row>
    <row r="338" spans="11:11" x14ac:dyDescent="0.15">
      <c r="K338" s="134"/>
    </row>
    <row r="339" spans="11:11" x14ac:dyDescent="0.15">
      <c r="K339" s="134"/>
    </row>
    <row r="340" spans="11:11" x14ac:dyDescent="0.15">
      <c r="K340" s="134"/>
    </row>
    <row r="341" spans="11:11" x14ac:dyDescent="0.15">
      <c r="K341" s="134"/>
    </row>
    <row r="342" spans="11:11" x14ac:dyDescent="0.15">
      <c r="K342" s="134"/>
    </row>
    <row r="343" spans="11:11" x14ac:dyDescent="0.15">
      <c r="K343" s="134"/>
    </row>
    <row r="344" spans="11:11" x14ac:dyDescent="0.15">
      <c r="K344" s="134"/>
    </row>
    <row r="345" spans="11:11" x14ac:dyDescent="0.15">
      <c r="K345" s="134"/>
    </row>
    <row r="346" spans="11:11" x14ac:dyDescent="0.15">
      <c r="K346" s="134"/>
    </row>
    <row r="347" spans="11:11" x14ac:dyDescent="0.15">
      <c r="K347" s="134"/>
    </row>
    <row r="348" spans="11:11" x14ac:dyDescent="0.15">
      <c r="K348" s="134"/>
    </row>
    <row r="349" spans="11:11" x14ac:dyDescent="0.15">
      <c r="K349" s="134"/>
    </row>
    <row r="350" spans="11:11" x14ac:dyDescent="0.15">
      <c r="K350" s="134"/>
    </row>
    <row r="351" spans="11:11" x14ac:dyDescent="0.15">
      <c r="K351" s="134"/>
    </row>
    <row r="352" spans="11:11" x14ac:dyDescent="0.15">
      <c r="K352" s="134"/>
    </row>
    <row r="353" spans="11:11" x14ac:dyDescent="0.15">
      <c r="K353" s="134"/>
    </row>
    <row r="354" spans="11:11" x14ac:dyDescent="0.15">
      <c r="K354" s="134"/>
    </row>
    <row r="355" spans="11:11" x14ac:dyDescent="0.15">
      <c r="K355" s="134"/>
    </row>
    <row r="356" spans="11:11" x14ac:dyDescent="0.15">
      <c r="K356" s="134"/>
    </row>
    <row r="357" spans="11:11" x14ac:dyDescent="0.15">
      <c r="K357" s="134"/>
    </row>
    <row r="358" spans="11:11" x14ac:dyDescent="0.15">
      <c r="K358" s="134"/>
    </row>
    <row r="359" spans="11:11" x14ac:dyDescent="0.15">
      <c r="K359" s="134"/>
    </row>
    <row r="360" spans="11:11" x14ac:dyDescent="0.15">
      <c r="K360" s="134"/>
    </row>
    <row r="361" spans="11:11" x14ac:dyDescent="0.15">
      <c r="K361" s="134"/>
    </row>
    <row r="362" spans="11:11" x14ac:dyDescent="0.15">
      <c r="K362" s="134"/>
    </row>
    <row r="363" spans="11:11" x14ac:dyDescent="0.15">
      <c r="K363" s="134"/>
    </row>
    <row r="364" spans="11:11" x14ac:dyDescent="0.15">
      <c r="K364" s="134"/>
    </row>
    <row r="365" spans="11:11" x14ac:dyDescent="0.15">
      <c r="K365" s="134"/>
    </row>
    <row r="366" spans="11:11" x14ac:dyDescent="0.15">
      <c r="K366" s="134"/>
    </row>
    <row r="367" spans="11:11" x14ac:dyDescent="0.15">
      <c r="K367" s="134"/>
    </row>
    <row r="368" spans="11:11" x14ac:dyDescent="0.15">
      <c r="K368" s="134"/>
    </row>
    <row r="369" spans="11:11" x14ac:dyDescent="0.15">
      <c r="K369" s="134"/>
    </row>
    <row r="370" spans="11:11" x14ac:dyDescent="0.15">
      <c r="K370" s="134"/>
    </row>
    <row r="371" spans="11:11" x14ac:dyDescent="0.15">
      <c r="K371" s="134"/>
    </row>
    <row r="372" spans="11:11" x14ac:dyDescent="0.15">
      <c r="K372" s="134"/>
    </row>
    <row r="373" spans="11:11" x14ac:dyDescent="0.15">
      <c r="K373" s="134"/>
    </row>
    <row r="374" spans="11:11" x14ac:dyDescent="0.15">
      <c r="K374" s="134"/>
    </row>
    <row r="375" spans="11:11" x14ac:dyDescent="0.15">
      <c r="K375" s="134"/>
    </row>
    <row r="376" spans="11:11" x14ac:dyDescent="0.15">
      <c r="K376" s="134"/>
    </row>
    <row r="377" spans="11:11" x14ac:dyDescent="0.15">
      <c r="K377" s="134"/>
    </row>
    <row r="378" spans="11:11" x14ac:dyDescent="0.15">
      <c r="K378" s="134"/>
    </row>
    <row r="379" spans="11:11" x14ac:dyDescent="0.15">
      <c r="K379" s="134"/>
    </row>
    <row r="380" spans="11:11" x14ac:dyDescent="0.15">
      <c r="K380" s="134"/>
    </row>
    <row r="381" spans="11:11" x14ac:dyDescent="0.15">
      <c r="K381" s="134"/>
    </row>
    <row r="382" spans="11:11" x14ac:dyDescent="0.15">
      <c r="K382" s="134"/>
    </row>
    <row r="383" spans="11:11" x14ac:dyDescent="0.15">
      <c r="K383" s="134"/>
    </row>
    <row r="384" spans="11:11" x14ac:dyDescent="0.15">
      <c r="K384" s="134"/>
    </row>
    <row r="385" spans="11:11" x14ac:dyDescent="0.15">
      <c r="K385" s="134"/>
    </row>
    <row r="386" spans="11:11" x14ac:dyDescent="0.15">
      <c r="K386" s="134"/>
    </row>
    <row r="387" spans="11:11" x14ac:dyDescent="0.15">
      <c r="K387" s="134"/>
    </row>
    <row r="388" spans="11:11" x14ac:dyDescent="0.15">
      <c r="K388" s="134"/>
    </row>
    <row r="389" spans="11:11" x14ac:dyDescent="0.15">
      <c r="K389" s="134"/>
    </row>
    <row r="390" spans="11:11" x14ac:dyDescent="0.15">
      <c r="K390" s="134"/>
    </row>
    <row r="391" spans="11:11" x14ac:dyDescent="0.15">
      <c r="K391" s="134"/>
    </row>
    <row r="392" spans="11:11" x14ac:dyDescent="0.15">
      <c r="K392" s="134"/>
    </row>
    <row r="393" spans="11:11" x14ac:dyDescent="0.15">
      <c r="K393" s="134"/>
    </row>
    <row r="394" spans="11:11" x14ac:dyDescent="0.15">
      <c r="K394" s="134"/>
    </row>
    <row r="395" spans="11:11" x14ac:dyDescent="0.15">
      <c r="K395" s="134"/>
    </row>
    <row r="396" spans="11:11" x14ac:dyDescent="0.15">
      <c r="K396" s="134"/>
    </row>
    <row r="397" spans="11:11" x14ac:dyDescent="0.15">
      <c r="K397" s="134"/>
    </row>
    <row r="398" spans="11:11" x14ac:dyDescent="0.15">
      <c r="K398" s="134"/>
    </row>
    <row r="399" spans="11:11" x14ac:dyDescent="0.15">
      <c r="K399" s="134"/>
    </row>
    <row r="400" spans="11:11" x14ac:dyDescent="0.15">
      <c r="K400" s="134"/>
    </row>
    <row r="401" spans="11:11" x14ac:dyDescent="0.15">
      <c r="K401" s="134"/>
    </row>
    <row r="402" spans="11:11" x14ac:dyDescent="0.15">
      <c r="K402" s="134"/>
    </row>
    <row r="403" spans="11:11" x14ac:dyDescent="0.15">
      <c r="K403" s="134"/>
    </row>
    <row r="404" spans="11:11" x14ac:dyDescent="0.15">
      <c r="K404" s="134"/>
    </row>
    <row r="405" spans="11:11" x14ac:dyDescent="0.15">
      <c r="K405" s="134"/>
    </row>
    <row r="406" spans="11:11" x14ac:dyDescent="0.15">
      <c r="K406" s="134"/>
    </row>
    <row r="407" spans="11:11" x14ac:dyDescent="0.15">
      <c r="K407" s="134"/>
    </row>
    <row r="408" spans="11:11" x14ac:dyDescent="0.15">
      <c r="K408" s="134"/>
    </row>
    <row r="409" spans="11:11" x14ac:dyDescent="0.15">
      <c r="K409" s="134"/>
    </row>
    <row r="410" spans="11:11" x14ac:dyDescent="0.15">
      <c r="K410" s="134"/>
    </row>
    <row r="411" spans="11:11" x14ac:dyDescent="0.15">
      <c r="K411" s="134"/>
    </row>
    <row r="412" spans="11:11" x14ac:dyDescent="0.15">
      <c r="K412" s="134"/>
    </row>
    <row r="413" spans="11:11" x14ac:dyDescent="0.15">
      <c r="K413" s="134"/>
    </row>
    <row r="414" spans="11:11" x14ac:dyDescent="0.15">
      <c r="K414" s="134"/>
    </row>
    <row r="415" spans="11:11" x14ac:dyDescent="0.15">
      <c r="K415" s="134"/>
    </row>
    <row r="416" spans="11:11" x14ac:dyDescent="0.15">
      <c r="K416" s="134"/>
    </row>
    <row r="417" spans="11:11" x14ac:dyDescent="0.15">
      <c r="K417" s="134"/>
    </row>
    <row r="418" spans="11:11" x14ac:dyDescent="0.15">
      <c r="K418" s="134"/>
    </row>
    <row r="419" spans="11:11" x14ac:dyDescent="0.15">
      <c r="K419" s="134"/>
    </row>
    <row r="420" spans="11:11" x14ac:dyDescent="0.15">
      <c r="K420" s="134"/>
    </row>
    <row r="421" spans="11:11" x14ac:dyDescent="0.15">
      <c r="K421" s="134"/>
    </row>
    <row r="422" spans="11:11" x14ac:dyDescent="0.15">
      <c r="K422" s="134"/>
    </row>
    <row r="423" spans="11:11" x14ac:dyDescent="0.15">
      <c r="K423" s="134"/>
    </row>
    <row r="424" spans="11:11" x14ac:dyDescent="0.15">
      <c r="K424" s="134"/>
    </row>
    <row r="425" spans="11:11" x14ac:dyDescent="0.15">
      <c r="K425" s="134"/>
    </row>
    <row r="426" spans="11:11" x14ac:dyDescent="0.15">
      <c r="K426" s="134"/>
    </row>
    <row r="427" spans="11:11" x14ac:dyDescent="0.15">
      <c r="K427" s="134"/>
    </row>
    <row r="428" spans="11:11" x14ac:dyDescent="0.15">
      <c r="K428" s="134"/>
    </row>
    <row r="429" spans="11:11" x14ac:dyDescent="0.15">
      <c r="K429" s="134"/>
    </row>
    <row r="430" spans="11:11" x14ac:dyDescent="0.15">
      <c r="K430" s="134"/>
    </row>
  </sheetData>
  <autoFilter ref="A1:BA1"/>
  <phoneticPr fontId="3"/>
  <dataValidations count="19">
    <dataValidation type="list" allowBlank="1" showInputMessage="1" showErrorMessage="1" sqref="J479:J64229">
      <formula1>$AP$2:$AP$16</formula1>
    </dataValidation>
    <dataValidation type="list" allowBlank="1" showInputMessage="1" showErrorMessage="1" sqref="I479:I64229">
      <formula1>$AN$2:$AN$6</formula1>
    </dataValidation>
    <dataValidation type="list" allowBlank="1" showInputMessage="1" showErrorMessage="1" sqref="Y479:AA64229">
      <formula1>$AV$2:$AV$25</formula1>
    </dataValidation>
    <dataValidation type="list" allowBlank="1" showInputMessage="1" showErrorMessage="1" sqref="K479:K64229">
      <formula1>$AR$2:$AR$27</formula1>
    </dataValidation>
    <dataValidation type="list" allowBlank="1" showInputMessage="1" showErrorMessage="1" sqref="H479:H64229">
      <formula1>$AL$2:$AL$10</formula1>
    </dataValidation>
    <dataValidation type="list" allowBlank="1" showInputMessage="1" showErrorMessage="1" sqref="E479:E64229">
      <formula1>$AG$2:$AG$9</formula1>
    </dataValidation>
    <dataValidation type="list" allowBlank="1" showInputMessage="1" showErrorMessage="1" sqref="F479:F64229">
      <formula1>$AH$2:$AH$8</formula1>
    </dataValidation>
    <dataValidation operator="equal" allowBlank="1" showInputMessage="1" showErrorMessage="1" sqref="B2:B45"/>
    <dataValidation type="list" allowBlank="1" showInputMessage="1" showErrorMessage="1" sqref="K2:K478">
      <formula1>$AR$2:$AR$25</formula1>
    </dataValidation>
    <dataValidation type="list" allowBlank="1" showInputMessage="1" showErrorMessage="1" sqref="J2:J478">
      <formula1>$AP$2:$AP$26</formula1>
    </dataValidation>
    <dataValidation type="list" allowBlank="1" showInputMessage="1" showErrorMessage="1" sqref="G2:G478">
      <formula1>$AJ$2:$AJ$4</formula1>
    </dataValidation>
    <dataValidation type="list" allowBlank="1" showInputMessage="1" showErrorMessage="1" sqref="X2:X478">
      <formula1>$AT$2:$AT$3</formula1>
    </dataValidation>
    <dataValidation type="list" allowBlank="1" showInputMessage="1" showErrorMessage="1" sqref="A2:A478">
      <formula1>$AE$2:$AE$19</formula1>
    </dataValidation>
    <dataValidation type="list" allowBlank="1" showInputMessage="1" showErrorMessage="1" sqref="H2:H478">
      <formula1>$AL$2:$AL$8</formula1>
    </dataValidation>
    <dataValidation type="list" allowBlank="1" showInputMessage="1" showErrorMessage="1" sqref="I2:I478">
      <formula1>$AN$5:$AN$6</formula1>
    </dataValidation>
    <dataValidation type="list" allowBlank="1" showInputMessage="1" showErrorMessage="1" sqref="Y2:AA478">
      <formula1>$AV$2:$AV$21</formula1>
    </dataValidation>
    <dataValidation type="decimal" allowBlank="1" showInputMessage="1" showErrorMessage="1" error="硬度を正しく入力して下さい。" sqref="O2:P478">
      <formula1>0</formula1>
      <formula2>7</formula2>
    </dataValidation>
    <dataValidation type="list" allowBlank="1" showInputMessage="1" showErrorMessage="1" sqref="E2:E478">
      <formula1>$AG$2:$AG$10</formula1>
    </dataValidation>
    <dataValidation type="list" allowBlank="1" showInputMessage="1" showErrorMessage="1" sqref="F2:F478">
      <formula1>$AH$2:$AH$10</formula1>
    </dataValidation>
  </dataValidations>
  <pageMargins left="0.7" right="0.7" top="0.75" bottom="0.75" header="0.3" footer="0.3"/>
  <pageSetup paperSize="8" scale="77" orientation="landscape" r:id="rId1"/>
  <headerFooter alignWithMargins="0"/>
  <rowBreaks count="1" manualBreakCount="1">
    <brk id="42"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746"/>
  <sheetViews>
    <sheetView topLeftCell="A46" zoomScale="70" zoomScaleNormal="70" workbookViewId="0">
      <selection activeCell="Q1" sqref="Q1"/>
    </sheetView>
  </sheetViews>
  <sheetFormatPr defaultRowHeight="13.5" x14ac:dyDescent="0.15"/>
  <cols>
    <col min="1" max="3" width="9" style="205"/>
    <col min="4" max="4" width="10.5" style="205" bestFit="1" customWidth="1"/>
    <col min="5" max="5" width="10.875" style="205" bestFit="1" customWidth="1"/>
    <col min="6" max="6" width="18.875" style="205" bestFit="1" customWidth="1"/>
    <col min="7" max="9" width="9" style="205"/>
    <col min="10" max="10" width="9.25" style="205" customWidth="1"/>
    <col min="11" max="16" width="9" style="205"/>
    <col min="17" max="17" width="9" style="214"/>
    <col min="18" max="19" width="9" style="205"/>
    <col min="20" max="20" width="9" style="214"/>
    <col min="21" max="21" width="9" style="205"/>
    <col min="22" max="22" width="14.25" style="214" customWidth="1"/>
    <col min="23" max="23" width="9" style="205"/>
    <col min="24" max="24" width="9.625" style="205" customWidth="1"/>
    <col min="25" max="26" width="9" style="205"/>
    <col min="27" max="27" width="12.125" style="205" customWidth="1"/>
    <col min="28" max="32" width="9" style="205"/>
    <col min="33" max="33" width="15.125" style="205" bestFit="1" customWidth="1"/>
    <col min="34" max="34" width="19.625" style="205" bestFit="1" customWidth="1"/>
    <col min="35" max="16384" width="9" style="205"/>
  </cols>
  <sheetData>
    <row r="1" spans="1:53" ht="45" x14ac:dyDescent="0.15">
      <c r="A1" s="237" t="s">
        <v>0</v>
      </c>
      <c r="B1" s="199" t="s">
        <v>1</v>
      </c>
      <c r="C1" s="199" t="s">
        <v>512</v>
      </c>
      <c r="D1" s="200" t="s">
        <v>3</v>
      </c>
      <c r="E1" s="238" t="s">
        <v>4</v>
      </c>
      <c r="F1" s="238" t="s">
        <v>5</v>
      </c>
      <c r="G1" s="238" t="s">
        <v>6</v>
      </c>
      <c r="H1" s="238" t="s">
        <v>7</v>
      </c>
      <c r="I1" s="238" t="s">
        <v>8</v>
      </c>
      <c r="J1" s="238" t="s">
        <v>9</v>
      </c>
      <c r="K1" s="238" t="s">
        <v>10</v>
      </c>
      <c r="L1" s="200" t="s">
        <v>513</v>
      </c>
      <c r="M1" s="200" t="s">
        <v>12</v>
      </c>
      <c r="N1" s="200" t="s">
        <v>13</v>
      </c>
      <c r="O1" s="200" t="s">
        <v>514</v>
      </c>
      <c r="P1" s="200" t="s">
        <v>515</v>
      </c>
      <c r="Q1" s="201" t="s">
        <v>16</v>
      </c>
      <c r="R1" s="200" t="s">
        <v>516</v>
      </c>
      <c r="S1" s="200" t="s">
        <v>517</v>
      </c>
      <c r="T1" s="201" t="s">
        <v>19</v>
      </c>
      <c r="U1" s="202" t="s">
        <v>518</v>
      </c>
      <c r="V1" s="203" t="s">
        <v>20</v>
      </c>
      <c r="W1" s="200" t="s">
        <v>21</v>
      </c>
      <c r="X1" s="238" t="s">
        <v>22</v>
      </c>
      <c r="Y1" s="238" t="s">
        <v>23</v>
      </c>
      <c r="Z1" s="238" t="s">
        <v>519</v>
      </c>
      <c r="AA1" s="239" t="s">
        <v>25</v>
      </c>
      <c r="AB1" s="204" t="s">
        <v>520</v>
      </c>
      <c r="AE1" s="206" t="s">
        <v>0</v>
      </c>
      <c r="AF1" s="207"/>
      <c r="AG1" s="246" t="s">
        <v>4</v>
      </c>
      <c r="AH1" s="206" t="s">
        <v>5</v>
      </c>
      <c r="AI1" s="207"/>
      <c r="AJ1" s="206" t="s">
        <v>6</v>
      </c>
      <c r="AK1" s="207"/>
      <c r="AL1" s="208" t="s">
        <v>7</v>
      </c>
      <c r="AM1" s="207"/>
      <c r="AN1" s="208" t="s">
        <v>8</v>
      </c>
      <c r="AO1" s="207"/>
      <c r="AP1" s="208" t="s">
        <v>27</v>
      </c>
      <c r="AQ1" s="207"/>
      <c r="AR1" s="208" t="s">
        <v>10</v>
      </c>
      <c r="AS1" s="207"/>
      <c r="AT1" s="209" t="s">
        <v>28</v>
      </c>
      <c r="AU1" s="207"/>
      <c r="AV1" s="208" t="s">
        <v>29</v>
      </c>
      <c r="AX1" s="210" t="s">
        <v>521</v>
      </c>
      <c r="AY1" s="211" t="s">
        <v>522</v>
      </c>
      <c r="AZ1" s="211" t="s">
        <v>523</v>
      </c>
      <c r="BA1" s="212" t="s">
        <v>524</v>
      </c>
    </row>
    <row r="2" spans="1:53" s="213" customFormat="1" x14ac:dyDescent="0.15">
      <c r="A2" s="213" t="s">
        <v>34</v>
      </c>
      <c r="B2" s="205" t="s">
        <v>332</v>
      </c>
      <c r="C2" s="205">
        <v>2018</v>
      </c>
      <c r="D2" s="247" t="s">
        <v>525</v>
      </c>
      <c r="E2" s="234" t="s">
        <v>215</v>
      </c>
      <c r="F2" s="234" t="s">
        <v>324</v>
      </c>
      <c r="G2" s="213" t="s">
        <v>36</v>
      </c>
      <c r="H2" s="205" t="s">
        <v>155</v>
      </c>
      <c r="I2" s="213" t="s">
        <v>153</v>
      </c>
      <c r="J2" s="213" t="s">
        <v>38</v>
      </c>
      <c r="K2" s="213" t="s">
        <v>154</v>
      </c>
      <c r="L2" s="213">
        <v>1</v>
      </c>
      <c r="N2" s="213">
        <v>1</v>
      </c>
      <c r="O2" s="213">
        <v>0.5</v>
      </c>
      <c r="P2" s="213">
        <v>0.85</v>
      </c>
      <c r="Q2" s="242">
        <f t="shared" ref="Q2:Q82" si="0">IF(OR(O2="",P2=""),"",AVERAGE(O2,P2))</f>
        <v>0.67500000000000004</v>
      </c>
      <c r="R2" s="213">
        <v>14.4</v>
      </c>
      <c r="S2" s="213">
        <v>130</v>
      </c>
      <c r="T2" s="214">
        <f t="shared" ref="T2:T91" si="1">IF(H2="","",IF(OR(H2="GREEN",H2="GK"),IF(S2&gt;=$AX$2,VLOOKUP(S2,$AX$2:$AY$9,2,1),""),IF(S2&gt;=$AZ$2,VLOOKUP(S2,$AZ$2:$BA$9,2,1),"")))</f>
        <v>30</v>
      </c>
      <c r="U2" s="213">
        <v>85</v>
      </c>
      <c r="V2" s="214">
        <f t="shared" ref="V2:V91" si="2">IF(OR(N2="",U2="",T2=""),"",U2/N2*T2)</f>
        <v>2550</v>
      </c>
      <c r="W2" s="213">
        <v>4</v>
      </c>
      <c r="X2" s="213" t="s">
        <v>39</v>
      </c>
      <c r="Y2" s="213" t="s">
        <v>84</v>
      </c>
      <c r="Z2" s="213" t="s">
        <v>90</v>
      </c>
      <c r="AA2" s="213" t="s">
        <v>50</v>
      </c>
      <c r="AB2" s="213" t="s">
        <v>334</v>
      </c>
      <c r="AE2" s="215" t="s">
        <v>35</v>
      </c>
      <c r="AG2" s="248" t="s">
        <v>281</v>
      </c>
      <c r="AH2" s="240" t="s">
        <v>315</v>
      </c>
      <c r="AJ2" s="216" t="s">
        <v>36</v>
      </c>
      <c r="AL2" s="216" t="s">
        <v>127</v>
      </c>
      <c r="AN2" s="216" t="s">
        <v>37</v>
      </c>
      <c r="AP2" s="216" t="s">
        <v>38</v>
      </c>
      <c r="AR2" s="216" t="s">
        <v>526</v>
      </c>
      <c r="AT2" s="216" t="s">
        <v>39</v>
      </c>
      <c r="AV2" s="245" t="s">
        <v>40</v>
      </c>
      <c r="AX2" s="217">
        <v>1</v>
      </c>
      <c r="AY2" s="218">
        <v>50</v>
      </c>
      <c r="AZ2" s="218">
        <v>1</v>
      </c>
      <c r="BA2" s="219">
        <v>50</v>
      </c>
    </row>
    <row r="3" spans="1:53" x14ac:dyDescent="0.15">
      <c r="A3" s="213" t="s">
        <v>34</v>
      </c>
      <c r="B3" s="205" t="s">
        <v>332</v>
      </c>
      <c r="C3" s="205">
        <v>2018</v>
      </c>
      <c r="D3" s="247" t="s">
        <v>525</v>
      </c>
      <c r="E3" s="234" t="s">
        <v>215</v>
      </c>
      <c r="F3" s="234" t="s">
        <v>324</v>
      </c>
      <c r="G3" s="213" t="s">
        <v>36</v>
      </c>
      <c r="H3" s="205" t="s">
        <v>155</v>
      </c>
      <c r="I3" s="213" t="s">
        <v>153</v>
      </c>
      <c r="J3" s="213" t="s">
        <v>38</v>
      </c>
      <c r="K3" s="213" t="s">
        <v>154</v>
      </c>
      <c r="L3" s="205">
        <v>2</v>
      </c>
      <c r="N3" s="205">
        <v>1</v>
      </c>
      <c r="O3" s="205">
        <v>0.9</v>
      </c>
      <c r="P3" s="205">
        <v>0.9</v>
      </c>
      <c r="Q3" s="242">
        <f t="shared" si="0"/>
        <v>0.9</v>
      </c>
      <c r="R3" s="205">
        <v>13.9</v>
      </c>
      <c r="S3" s="205">
        <v>131</v>
      </c>
      <c r="T3" s="214">
        <f t="shared" si="1"/>
        <v>30</v>
      </c>
      <c r="U3" s="205">
        <v>85</v>
      </c>
      <c r="V3" s="214">
        <f t="shared" si="2"/>
        <v>2550</v>
      </c>
      <c r="W3" s="213">
        <v>4</v>
      </c>
      <c r="X3" s="213" t="s">
        <v>39</v>
      </c>
      <c r="Y3" s="213" t="s">
        <v>84</v>
      </c>
      <c r="Z3" s="213" t="s">
        <v>90</v>
      </c>
      <c r="AA3" s="213" t="s">
        <v>50</v>
      </c>
      <c r="AB3" s="213" t="s">
        <v>334</v>
      </c>
      <c r="AC3" s="213"/>
      <c r="AE3" s="220" t="s">
        <v>41</v>
      </c>
      <c r="AG3" s="249" t="s">
        <v>316</v>
      </c>
      <c r="AH3" s="240" t="s">
        <v>317</v>
      </c>
      <c r="AJ3" s="221" t="s">
        <v>42</v>
      </c>
      <c r="AL3" s="221" t="s">
        <v>128</v>
      </c>
      <c r="AN3" s="221" t="s">
        <v>43</v>
      </c>
      <c r="AP3" s="221" t="s">
        <v>44</v>
      </c>
      <c r="AR3" s="235" t="s">
        <v>45</v>
      </c>
      <c r="AT3" s="221" t="s">
        <v>46</v>
      </c>
      <c r="AV3" s="221" t="s">
        <v>47</v>
      </c>
      <c r="AX3" s="222">
        <v>72</v>
      </c>
      <c r="AY3" s="223">
        <v>46</v>
      </c>
      <c r="AZ3" s="223">
        <v>71</v>
      </c>
      <c r="BA3" s="224">
        <v>42</v>
      </c>
    </row>
    <row r="4" spans="1:53" x14ac:dyDescent="0.15">
      <c r="A4" s="213" t="s">
        <v>34</v>
      </c>
      <c r="B4" s="205" t="s">
        <v>332</v>
      </c>
      <c r="C4" s="205">
        <v>2018</v>
      </c>
      <c r="D4" s="247" t="s">
        <v>525</v>
      </c>
      <c r="E4" s="234" t="s">
        <v>215</v>
      </c>
      <c r="F4" s="234" t="s">
        <v>324</v>
      </c>
      <c r="G4" s="213" t="s">
        <v>36</v>
      </c>
      <c r="H4" s="205" t="s">
        <v>155</v>
      </c>
      <c r="I4" s="213" t="s">
        <v>153</v>
      </c>
      <c r="J4" s="213" t="s">
        <v>38</v>
      </c>
      <c r="K4" s="213" t="s">
        <v>154</v>
      </c>
      <c r="L4" s="205">
        <v>3</v>
      </c>
      <c r="N4" s="205">
        <v>1</v>
      </c>
      <c r="O4" s="205">
        <v>0.75</v>
      </c>
      <c r="P4" s="205">
        <v>0.9</v>
      </c>
      <c r="Q4" s="242">
        <f t="shared" si="0"/>
        <v>0.82499999999999996</v>
      </c>
      <c r="R4" s="205">
        <v>13.3</v>
      </c>
      <c r="S4" s="205">
        <v>126</v>
      </c>
      <c r="T4" s="214">
        <f t="shared" si="1"/>
        <v>30</v>
      </c>
      <c r="U4" s="205">
        <v>85</v>
      </c>
      <c r="V4" s="214">
        <f t="shared" si="2"/>
        <v>2550</v>
      </c>
      <c r="W4" s="205">
        <v>4</v>
      </c>
      <c r="X4" s="213" t="s">
        <v>39</v>
      </c>
      <c r="Y4" s="213" t="s">
        <v>84</v>
      </c>
      <c r="Z4" s="213" t="s">
        <v>90</v>
      </c>
      <c r="AA4" s="213" t="s">
        <v>50</v>
      </c>
      <c r="AB4" s="213" t="s">
        <v>334</v>
      </c>
      <c r="AC4" s="213"/>
      <c r="AE4" s="220" t="s">
        <v>34</v>
      </c>
      <c r="AG4" s="249" t="s">
        <v>318</v>
      </c>
      <c r="AH4" s="240" t="s">
        <v>319</v>
      </c>
      <c r="AJ4" s="225" t="s">
        <v>48</v>
      </c>
      <c r="AL4" s="225" t="s">
        <v>129</v>
      </c>
      <c r="AN4" s="226" t="s">
        <v>49</v>
      </c>
      <c r="AP4" s="221" t="s">
        <v>527</v>
      </c>
      <c r="AR4" s="235" t="s">
        <v>528</v>
      </c>
      <c r="AT4" s="226"/>
      <c r="AV4" s="221" t="s">
        <v>50</v>
      </c>
      <c r="AX4" s="222">
        <v>75</v>
      </c>
      <c r="AY4" s="223">
        <v>42</v>
      </c>
      <c r="AZ4" s="223">
        <v>76</v>
      </c>
      <c r="BA4" s="224">
        <v>39</v>
      </c>
    </row>
    <row r="5" spans="1:53" x14ac:dyDescent="0.15">
      <c r="A5" s="213" t="s">
        <v>34</v>
      </c>
      <c r="B5" s="205" t="s">
        <v>332</v>
      </c>
      <c r="C5" s="205">
        <v>2018</v>
      </c>
      <c r="D5" s="247" t="s">
        <v>525</v>
      </c>
      <c r="E5" s="234" t="s">
        <v>215</v>
      </c>
      <c r="F5" s="234" t="s">
        <v>324</v>
      </c>
      <c r="G5" s="213" t="s">
        <v>36</v>
      </c>
      <c r="H5" s="205" t="s">
        <v>155</v>
      </c>
      <c r="I5" s="213" t="s">
        <v>153</v>
      </c>
      <c r="J5" s="213" t="s">
        <v>38</v>
      </c>
      <c r="K5" s="213" t="s">
        <v>154</v>
      </c>
      <c r="L5" s="213">
        <v>1</v>
      </c>
      <c r="N5" s="205">
        <v>5</v>
      </c>
      <c r="O5" s="205">
        <v>0.7</v>
      </c>
      <c r="P5" s="205">
        <v>0.65</v>
      </c>
      <c r="Q5" s="242">
        <f t="shared" si="0"/>
        <v>0.67500000000000004</v>
      </c>
      <c r="R5" s="205">
        <v>8.6999999999999993</v>
      </c>
      <c r="S5" s="205">
        <v>77</v>
      </c>
      <c r="T5" s="214">
        <f t="shared" si="1"/>
        <v>39</v>
      </c>
      <c r="U5" s="205">
        <v>278</v>
      </c>
      <c r="V5" s="214">
        <f t="shared" si="2"/>
        <v>2168.4</v>
      </c>
      <c r="W5" s="205">
        <v>4</v>
      </c>
      <c r="X5" s="213" t="s">
        <v>39</v>
      </c>
      <c r="Y5" s="213" t="s">
        <v>84</v>
      </c>
      <c r="Z5" s="213" t="s">
        <v>90</v>
      </c>
      <c r="AA5" s="213" t="s">
        <v>50</v>
      </c>
      <c r="AB5" s="213" t="s">
        <v>334</v>
      </c>
      <c r="AE5" s="220" t="s">
        <v>51</v>
      </c>
      <c r="AG5" s="249" t="s">
        <v>320</v>
      </c>
      <c r="AH5" s="240" t="s">
        <v>321</v>
      </c>
      <c r="AJ5" s="226"/>
      <c r="AL5" s="227" t="s">
        <v>529</v>
      </c>
      <c r="AN5" s="227" t="s">
        <v>530</v>
      </c>
      <c r="AP5" s="221" t="s">
        <v>531</v>
      </c>
      <c r="AR5" s="235" t="s">
        <v>54</v>
      </c>
      <c r="AV5" s="221" t="s">
        <v>55</v>
      </c>
      <c r="AX5" s="222">
        <v>84</v>
      </c>
      <c r="AY5" s="223">
        <v>39</v>
      </c>
      <c r="AZ5" s="223">
        <v>84</v>
      </c>
      <c r="BA5" s="224">
        <v>36</v>
      </c>
    </row>
    <row r="6" spans="1:53" x14ac:dyDescent="0.15">
      <c r="A6" s="213" t="s">
        <v>34</v>
      </c>
      <c r="B6" s="205" t="s">
        <v>332</v>
      </c>
      <c r="C6" s="205">
        <v>2018</v>
      </c>
      <c r="D6" s="247" t="s">
        <v>525</v>
      </c>
      <c r="E6" s="234" t="s">
        <v>215</v>
      </c>
      <c r="F6" s="234" t="s">
        <v>324</v>
      </c>
      <c r="G6" s="213" t="s">
        <v>36</v>
      </c>
      <c r="H6" s="205" t="s">
        <v>155</v>
      </c>
      <c r="I6" s="213" t="s">
        <v>153</v>
      </c>
      <c r="J6" s="213" t="s">
        <v>38</v>
      </c>
      <c r="K6" s="213" t="s">
        <v>154</v>
      </c>
      <c r="L6" s="205">
        <v>2</v>
      </c>
      <c r="N6" s="205">
        <v>5</v>
      </c>
      <c r="O6" s="205">
        <v>0.7</v>
      </c>
      <c r="P6" s="205">
        <v>0.95</v>
      </c>
      <c r="Q6" s="242">
        <f t="shared" si="0"/>
        <v>0.82499999999999996</v>
      </c>
      <c r="R6" s="205">
        <v>9.6</v>
      </c>
      <c r="S6" s="205">
        <v>79</v>
      </c>
      <c r="T6" s="214">
        <f t="shared" si="1"/>
        <v>39</v>
      </c>
      <c r="U6" s="205">
        <v>278</v>
      </c>
      <c r="V6" s="214">
        <f t="shared" si="2"/>
        <v>2168.4</v>
      </c>
      <c r="W6" s="205">
        <v>4</v>
      </c>
      <c r="X6" s="213" t="s">
        <v>39</v>
      </c>
      <c r="Y6" s="213" t="s">
        <v>84</v>
      </c>
      <c r="Z6" s="213" t="s">
        <v>90</v>
      </c>
      <c r="AA6" s="213" t="s">
        <v>50</v>
      </c>
      <c r="AB6" s="213" t="s">
        <v>334</v>
      </c>
      <c r="AE6" s="220" t="s">
        <v>56</v>
      </c>
      <c r="AG6" s="249" t="s">
        <v>322</v>
      </c>
      <c r="AH6" s="240" t="s">
        <v>323</v>
      </c>
      <c r="AL6" s="227" t="s">
        <v>532</v>
      </c>
      <c r="AN6" s="227" t="s">
        <v>533</v>
      </c>
      <c r="AP6" s="221" t="s">
        <v>53</v>
      </c>
      <c r="AR6" s="235" t="s">
        <v>59</v>
      </c>
      <c r="AV6" s="221" t="s">
        <v>60</v>
      </c>
      <c r="AX6" s="222">
        <v>97</v>
      </c>
      <c r="AY6" s="223">
        <v>36</v>
      </c>
      <c r="AZ6" s="223">
        <v>99</v>
      </c>
      <c r="BA6" s="224">
        <v>33</v>
      </c>
    </row>
    <row r="7" spans="1:53" x14ac:dyDescent="0.15">
      <c r="A7" s="213" t="s">
        <v>34</v>
      </c>
      <c r="B7" s="205" t="s">
        <v>332</v>
      </c>
      <c r="C7" s="205">
        <v>2018</v>
      </c>
      <c r="D7" s="247" t="s">
        <v>525</v>
      </c>
      <c r="E7" s="234" t="s">
        <v>215</v>
      </c>
      <c r="F7" s="234" t="s">
        <v>324</v>
      </c>
      <c r="G7" s="213" t="s">
        <v>36</v>
      </c>
      <c r="H7" s="205" t="s">
        <v>155</v>
      </c>
      <c r="I7" s="213" t="s">
        <v>153</v>
      </c>
      <c r="J7" s="213" t="s">
        <v>38</v>
      </c>
      <c r="K7" s="213" t="s">
        <v>154</v>
      </c>
      <c r="L7" s="205">
        <v>3</v>
      </c>
      <c r="N7" s="205">
        <v>5</v>
      </c>
      <c r="O7" s="205">
        <v>0.95</v>
      </c>
      <c r="P7" s="205">
        <v>1</v>
      </c>
      <c r="Q7" s="242">
        <f t="shared" si="0"/>
        <v>0.97499999999999998</v>
      </c>
      <c r="R7" s="205">
        <v>13.9</v>
      </c>
      <c r="S7" s="205">
        <v>79</v>
      </c>
      <c r="T7" s="214">
        <f t="shared" si="1"/>
        <v>39</v>
      </c>
      <c r="U7" s="205">
        <v>278</v>
      </c>
      <c r="V7" s="214">
        <f t="shared" si="2"/>
        <v>2168.4</v>
      </c>
      <c r="W7" s="205">
        <v>4</v>
      </c>
      <c r="X7" s="213" t="s">
        <v>39</v>
      </c>
      <c r="Y7" s="213" t="s">
        <v>84</v>
      </c>
      <c r="Z7" s="213" t="s">
        <v>90</v>
      </c>
      <c r="AA7" s="213" t="s">
        <v>50</v>
      </c>
      <c r="AB7" s="213" t="s">
        <v>334</v>
      </c>
      <c r="AE7" s="220" t="s">
        <v>61</v>
      </c>
      <c r="AG7" s="249" t="s">
        <v>215</v>
      </c>
      <c r="AH7" s="240" t="s">
        <v>324</v>
      </c>
      <c r="AL7" s="232" t="s">
        <v>534</v>
      </c>
      <c r="AP7" s="221" t="s">
        <v>58</v>
      </c>
      <c r="AR7" s="228" t="s">
        <v>122</v>
      </c>
      <c r="AV7" s="221" t="s">
        <v>64</v>
      </c>
      <c r="AX7" s="222">
        <v>109</v>
      </c>
      <c r="AY7" s="223">
        <v>33</v>
      </c>
      <c r="AZ7" s="223">
        <v>113</v>
      </c>
      <c r="BA7" s="224">
        <v>30</v>
      </c>
    </row>
    <row r="8" spans="1:53" x14ac:dyDescent="0.15">
      <c r="A8" s="213" t="s">
        <v>34</v>
      </c>
      <c r="B8" s="205" t="s">
        <v>332</v>
      </c>
      <c r="C8" s="205">
        <v>2018</v>
      </c>
      <c r="D8" s="247" t="s">
        <v>363</v>
      </c>
      <c r="E8" s="234" t="s">
        <v>215</v>
      </c>
      <c r="F8" s="234" t="s">
        <v>324</v>
      </c>
      <c r="G8" s="213" t="s">
        <v>36</v>
      </c>
      <c r="H8" s="205" t="s">
        <v>166</v>
      </c>
      <c r="I8" s="213" t="s">
        <v>153</v>
      </c>
      <c r="J8" s="213" t="s">
        <v>38</v>
      </c>
      <c r="K8" s="213" t="s">
        <v>285</v>
      </c>
      <c r="L8" s="213">
        <v>1</v>
      </c>
      <c r="N8" s="205">
        <v>2</v>
      </c>
      <c r="O8" s="205">
        <v>0.7</v>
      </c>
      <c r="P8" s="205">
        <v>0.6</v>
      </c>
      <c r="Q8" s="242">
        <f t="shared" si="0"/>
        <v>0.64999999999999991</v>
      </c>
      <c r="R8" s="205">
        <v>17.100000000000001</v>
      </c>
      <c r="S8" s="205">
        <v>111</v>
      </c>
      <c r="T8" s="214">
        <f t="shared" si="1"/>
        <v>33</v>
      </c>
      <c r="U8" s="205">
        <v>429</v>
      </c>
      <c r="V8" s="214">
        <f t="shared" si="2"/>
        <v>7078.5</v>
      </c>
      <c r="W8" s="205">
        <v>1</v>
      </c>
      <c r="X8" s="213" t="s">
        <v>39</v>
      </c>
      <c r="Y8" s="213" t="s">
        <v>84</v>
      </c>
      <c r="Z8" s="213" t="s">
        <v>90</v>
      </c>
      <c r="AA8" s="213" t="s">
        <v>50</v>
      </c>
      <c r="AB8" s="213" t="s">
        <v>334</v>
      </c>
      <c r="AE8" s="220" t="s">
        <v>59</v>
      </c>
      <c r="AG8" s="249" t="s">
        <v>325</v>
      </c>
      <c r="AH8" s="240" t="s">
        <v>326</v>
      </c>
      <c r="AL8" s="232" t="s">
        <v>353</v>
      </c>
      <c r="AP8" s="221" t="s">
        <v>62</v>
      </c>
      <c r="AR8" s="235" t="s">
        <v>81</v>
      </c>
      <c r="AV8" s="221" t="s">
        <v>97</v>
      </c>
      <c r="AX8" s="222">
        <v>151</v>
      </c>
      <c r="AY8" s="223">
        <v>22</v>
      </c>
      <c r="AZ8" s="223">
        <v>152</v>
      </c>
      <c r="BA8" s="224">
        <v>18</v>
      </c>
    </row>
    <row r="9" spans="1:53" x14ac:dyDescent="0.15">
      <c r="A9" s="213" t="s">
        <v>34</v>
      </c>
      <c r="B9" s="205" t="s">
        <v>332</v>
      </c>
      <c r="C9" s="205">
        <v>2018</v>
      </c>
      <c r="D9" s="247" t="s">
        <v>363</v>
      </c>
      <c r="E9" s="234" t="s">
        <v>215</v>
      </c>
      <c r="F9" s="234" t="s">
        <v>324</v>
      </c>
      <c r="G9" s="213" t="s">
        <v>36</v>
      </c>
      <c r="H9" s="205" t="s">
        <v>166</v>
      </c>
      <c r="I9" s="213" t="s">
        <v>153</v>
      </c>
      <c r="J9" s="213" t="s">
        <v>38</v>
      </c>
      <c r="K9" s="213" t="s">
        <v>285</v>
      </c>
      <c r="L9" s="205">
        <v>2</v>
      </c>
      <c r="N9" s="205">
        <v>2</v>
      </c>
      <c r="O9" s="205">
        <v>0.65</v>
      </c>
      <c r="P9" s="205">
        <v>0.65</v>
      </c>
      <c r="Q9" s="242">
        <f t="shared" si="0"/>
        <v>0.65</v>
      </c>
      <c r="R9" s="205">
        <v>16</v>
      </c>
      <c r="S9" s="205">
        <v>112</v>
      </c>
      <c r="T9" s="214">
        <f t="shared" si="1"/>
        <v>33</v>
      </c>
      <c r="U9" s="205">
        <v>429</v>
      </c>
      <c r="V9" s="214">
        <f t="shared" si="2"/>
        <v>7078.5</v>
      </c>
      <c r="W9" s="205">
        <v>1</v>
      </c>
      <c r="X9" s="213" t="s">
        <v>39</v>
      </c>
      <c r="Y9" s="213" t="s">
        <v>84</v>
      </c>
      <c r="Z9" s="213" t="s">
        <v>90</v>
      </c>
      <c r="AA9" s="213" t="s">
        <v>50</v>
      </c>
      <c r="AB9" s="213" t="s">
        <v>334</v>
      </c>
      <c r="AE9" s="220" t="s">
        <v>98</v>
      </c>
      <c r="AG9" s="249" t="s">
        <v>284</v>
      </c>
      <c r="AH9" s="240" t="s">
        <v>327</v>
      </c>
      <c r="AL9" s="227"/>
      <c r="AP9" s="221" t="s">
        <v>95</v>
      </c>
      <c r="AR9" s="228" t="s">
        <v>89</v>
      </c>
      <c r="AV9" s="221" t="s">
        <v>102</v>
      </c>
      <c r="AX9" s="229">
        <v>180</v>
      </c>
      <c r="AY9" s="230">
        <v>18</v>
      </c>
      <c r="AZ9" s="230">
        <v>181</v>
      </c>
      <c r="BA9" s="231">
        <v>16</v>
      </c>
    </row>
    <row r="10" spans="1:53" x14ac:dyDescent="0.15">
      <c r="A10" s="213" t="s">
        <v>34</v>
      </c>
      <c r="B10" s="205" t="s">
        <v>332</v>
      </c>
      <c r="C10" s="205">
        <v>2018</v>
      </c>
      <c r="D10" s="247" t="s">
        <v>366</v>
      </c>
      <c r="E10" s="234" t="s">
        <v>215</v>
      </c>
      <c r="F10" s="234" t="s">
        <v>324</v>
      </c>
      <c r="G10" s="213" t="s">
        <v>36</v>
      </c>
      <c r="H10" s="205" t="s">
        <v>166</v>
      </c>
      <c r="I10" s="213" t="s">
        <v>153</v>
      </c>
      <c r="J10" s="213" t="s">
        <v>38</v>
      </c>
      <c r="K10" s="213" t="s">
        <v>285</v>
      </c>
      <c r="L10" s="205">
        <v>3</v>
      </c>
      <c r="N10" s="205">
        <v>2</v>
      </c>
      <c r="O10" s="205">
        <v>0.7</v>
      </c>
      <c r="P10" s="205">
        <v>0.65</v>
      </c>
      <c r="Q10" s="242">
        <f t="shared" si="0"/>
        <v>0.67500000000000004</v>
      </c>
      <c r="R10" s="205">
        <v>15.9</v>
      </c>
      <c r="S10" s="205">
        <v>107</v>
      </c>
      <c r="T10" s="214">
        <f t="shared" si="1"/>
        <v>33</v>
      </c>
      <c r="U10" s="205">
        <v>429</v>
      </c>
      <c r="V10" s="214">
        <f t="shared" si="2"/>
        <v>7078.5</v>
      </c>
      <c r="W10" s="205">
        <v>1</v>
      </c>
      <c r="X10" s="213" t="s">
        <v>39</v>
      </c>
      <c r="Y10" s="213" t="s">
        <v>84</v>
      </c>
      <c r="Z10" s="213" t="s">
        <v>90</v>
      </c>
      <c r="AA10" s="213" t="s">
        <v>50</v>
      </c>
      <c r="AB10" s="213" t="s">
        <v>334</v>
      </c>
      <c r="AE10" s="220" t="s">
        <v>103</v>
      </c>
      <c r="AG10" s="249" t="s">
        <v>328</v>
      </c>
      <c r="AH10" s="240" t="s">
        <v>329</v>
      </c>
      <c r="AL10" s="232"/>
      <c r="AP10" s="221" t="s">
        <v>100</v>
      </c>
      <c r="AR10" s="228" t="s">
        <v>123</v>
      </c>
      <c r="AV10" s="221" t="s">
        <v>106</v>
      </c>
    </row>
    <row r="11" spans="1:53" x14ac:dyDescent="0.15">
      <c r="A11" s="213" t="s">
        <v>34</v>
      </c>
      <c r="B11" s="205" t="s">
        <v>332</v>
      </c>
      <c r="C11" s="205">
        <v>2018</v>
      </c>
      <c r="D11" s="247" t="s">
        <v>366</v>
      </c>
      <c r="E11" s="234" t="s">
        <v>215</v>
      </c>
      <c r="F11" s="234" t="s">
        <v>324</v>
      </c>
      <c r="G11" s="213" t="s">
        <v>36</v>
      </c>
      <c r="H11" s="205" t="s">
        <v>128</v>
      </c>
      <c r="I11" s="213" t="s">
        <v>153</v>
      </c>
      <c r="J11" s="213" t="s">
        <v>80</v>
      </c>
      <c r="K11" s="213" t="s">
        <v>63</v>
      </c>
      <c r="L11" s="213">
        <v>1</v>
      </c>
      <c r="N11" s="205">
        <v>4</v>
      </c>
      <c r="O11" s="205">
        <v>0.7</v>
      </c>
      <c r="P11" s="205">
        <v>0.8</v>
      </c>
      <c r="Q11" s="242">
        <f t="shared" si="0"/>
        <v>0.75</v>
      </c>
      <c r="R11" s="205">
        <v>15</v>
      </c>
      <c r="S11" s="205">
        <v>108</v>
      </c>
      <c r="T11" s="214">
        <f t="shared" si="1"/>
        <v>33</v>
      </c>
      <c r="U11" s="205">
        <v>537</v>
      </c>
      <c r="V11" s="214">
        <f t="shared" si="2"/>
        <v>4430.25</v>
      </c>
      <c r="W11" s="205">
        <v>1</v>
      </c>
      <c r="X11" s="213" t="s">
        <v>39</v>
      </c>
      <c r="Y11" s="213" t="s">
        <v>84</v>
      </c>
      <c r="Z11" s="213" t="s">
        <v>90</v>
      </c>
      <c r="AA11" s="213" t="s">
        <v>50</v>
      </c>
      <c r="AB11" s="213" t="s">
        <v>334</v>
      </c>
      <c r="AE11" s="220" t="s">
        <v>65</v>
      </c>
      <c r="AG11" s="249" t="s">
        <v>173</v>
      </c>
      <c r="AH11" s="240" t="s">
        <v>330</v>
      </c>
      <c r="AL11" s="232"/>
      <c r="AP11" s="221" t="s">
        <v>104</v>
      </c>
      <c r="AR11" s="228" t="s">
        <v>87</v>
      </c>
      <c r="AV11" s="221" t="s">
        <v>69</v>
      </c>
    </row>
    <row r="12" spans="1:53" x14ac:dyDescent="0.15">
      <c r="A12" s="213" t="s">
        <v>34</v>
      </c>
      <c r="B12" s="205" t="s">
        <v>332</v>
      </c>
      <c r="C12" s="205">
        <v>2018</v>
      </c>
      <c r="D12" s="247" t="s">
        <v>371</v>
      </c>
      <c r="E12" s="234" t="s">
        <v>215</v>
      </c>
      <c r="F12" s="234" t="s">
        <v>324</v>
      </c>
      <c r="G12" s="213" t="s">
        <v>36</v>
      </c>
      <c r="H12" s="205" t="s">
        <v>128</v>
      </c>
      <c r="I12" s="213" t="s">
        <v>153</v>
      </c>
      <c r="J12" s="213" t="s">
        <v>80</v>
      </c>
      <c r="K12" s="213" t="s">
        <v>63</v>
      </c>
      <c r="L12" s="205">
        <v>2</v>
      </c>
      <c r="N12" s="205">
        <v>4</v>
      </c>
      <c r="O12" s="205">
        <v>0.65</v>
      </c>
      <c r="P12" s="205">
        <v>0.6</v>
      </c>
      <c r="Q12" s="242">
        <f t="shared" si="0"/>
        <v>0.625</v>
      </c>
      <c r="R12" s="205">
        <v>14.8</v>
      </c>
      <c r="S12" s="205">
        <v>103</v>
      </c>
      <c r="T12" s="214">
        <f t="shared" si="1"/>
        <v>33</v>
      </c>
      <c r="U12" s="205">
        <v>537</v>
      </c>
      <c r="V12" s="214">
        <f t="shared" si="2"/>
        <v>4430.25</v>
      </c>
      <c r="W12" s="205">
        <v>1</v>
      </c>
      <c r="X12" s="213" t="s">
        <v>39</v>
      </c>
      <c r="Y12" s="213" t="s">
        <v>84</v>
      </c>
      <c r="Z12" s="213" t="s">
        <v>90</v>
      </c>
      <c r="AA12" s="213" t="s">
        <v>50</v>
      </c>
      <c r="AB12" s="213" t="s">
        <v>334</v>
      </c>
      <c r="AE12" s="220" t="s">
        <v>70</v>
      </c>
      <c r="AG12" s="241"/>
      <c r="AH12" s="221"/>
      <c r="AL12" s="232"/>
      <c r="AP12" s="221" t="s">
        <v>67</v>
      </c>
      <c r="AR12" s="228" t="s">
        <v>124</v>
      </c>
      <c r="AV12" s="221" t="s">
        <v>72</v>
      </c>
    </row>
    <row r="13" spans="1:53" x14ac:dyDescent="0.15">
      <c r="A13" s="213" t="s">
        <v>34</v>
      </c>
      <c r="B13" s="205" t="s">
        <v>332</v>
      </c>
      <c r="C13" s="205">
        <v>2018</v>
      </c>
      <c r="D13" s="247" t="s">
        <v>375</v>
      </c>
      <c r="E13" s="234" t="s">
        <v>215</v>
      </c>
      <c r="F13" s="234" t="s">
        <v>324</v>
      </c>
      <c r="G13" s="213" t="s">
        <v>36</v>
      </c>
      <c r="H13" s="205" t="s">
        <v>128</v>
      </c>
      <c r="I13" s="213" t="s">
        <v>153</v>
      </c>
      <c r="J13" s="213" t="s">
        <v>80</v>
      </c>
      <c r="K13" s="213" t="s">
        <v>63</v>
      </c>
      <c r="L13" s="205">
        <v>3</v>
      </c>
      <c r="N13" s="205">
        <v>4</v>
      </c>
      <c r="O13" s="205">
        <v>0.6</v>
      </c>
      <c r="P13" s="205">
        <v>0.7</v>
      </c>
      <c r="Q13" s="242">
        <f t="shared" si="0"/>
        <v>0.64999999999999991</v>
      </c>
      <c r="R13" s="205">
        <v>14.1</v>
      </c>
      <c r="S13" s="205">
        <v>98</v>
      </c>
      <c r="T13" s="214">
        <f t="shared" si="1"/>
        <v>36</v>
      </c>
      <c r="U13" s="205">
        <v>537</v>
      </c>
      <c r="V13" s="214">
        <f t="shared" si="2"/>
        <v>4833</v>
      </c>
      <c r="W13" s="205">
        <v>1</v>
      </c>
      <c r="X13" s="213" t="s">
        <v>39</v>
      </c>
      <c r="Y13" s="213" t="s">
        <v>84</v>
      </c>
      <c r="Z13" s="213" t="s">
        <v>90</v>
      </c>
      <c r="AA13" s="213" t="s">
        <v>50</v>
      </c>
      <c r="AB13" s="213" t="s">
        <v>334</v>
      </c>
      <c r="AE13" s="220" t="s">
        <v>73</v>
      </c>
      <c r="AG13" s="250"/>
      <c r="AH13" s="226"/>
      <c r="AP13" s="221" t="s">
        <v>71</v>
      </c>
      <c r="AR13" s="228" t="s">
        <v>103</v>
      </c>
      <c r="AV13" s="221" t="s">
        <v>75</v>
      </c>
    </row>
    <row r="14" spans="1:53" x14ac:dyDescent="0.15">
      <c r="A14" s="213" t="s">
        <v>34</v>
      </c>
      <c r="B14" s="205" t="s">
        <v>332</v>
      </c>
      <c r="C14" s="205">
        <v>2018</v>
      </c>
      <c r="D14" s="247" t="s">
        <v>377</v>
      </c>
      <c r="E14" s="234" t="s">
        <v>284</v>
      </c>
      <c r="F14" s="234" t="s">
        <v>327</v>
      </c>
      <c r="G14" s="213" t="s">
        <v>36</v>
      </c>
      <c r="H14" s="205" t="s">
        <v>155</v>
      </c>
      <c r="I14" s="213" t="s">
        <v>153</v>
      </c>
      <c r="J14" s="213" t="s">
        <v>38</v>
      </c>
      <c r="K14" s="213" t="s">
        <v>154</v>
      </c>
      <c r="L14" s="213">
        <v>1</v>
      </c>
      <c r="N14" s="205">
        <v>1</v>
      </c>
      <c r="O14" s="205">
        <v>0.95</v>
      </c>
      <c r="P14" s="205">
        <v>0.8</v>
      </c>
      <c r="Q14" s="242">
        <f t="shared" si="0"/>
        <v>0.875</v>
      </c>
      <c r="R14" s="205">
        <v>14.3</v>
      </c>
      <c r="S14" s="205">
        <v>122</v>
      </c>
      <c r="T14" s="214">
        <f t="shared" si="1"/>
        <v>30</v>
      </c>
      <c r="U14" s="205">
        <v>81</v>
      </c>
      <c r="V14" s="214">
        <f t="shared" si="2"/>
        <v>2430</v>
      </c>
      <c r="W14" s="205">
        <v>6</v>
      </c>
      <c r="X14" s="213" t="s">
        <v>39</v>
      </c>
      <c r="Y14" s="213" t="s">
        <v>69</v>
      </c>
      <c r="Z14" s="213" t="s">
        <v>84</v>
      </c>
      <c r="AA14" s="213" t="s">
        <v>90</v>
      </c>
      <c r="AB14" s="213" t="s">
        <v>334</v>
      </c>
      <c r="AE14" s="220" t="s">
        <v>76</v>
      </c>
      <c r="AG14" s="251"/>
      <c r="AL14" s="244"/>
      <c r="AP14" s="221" t="s">
        <v>74</v>
      </c>
      <c r="AR14" s="228" t="s">
        <v>125</v>
      </c>
      <c r="AV14" s="221" t="s">
        <v>78</v>
      </c>
    </row>
    <row r="15" spans="1:53" x14ac:dyDescent="0.15">
      <c r="A15" s="213" t="s">
        <v>34</v>
      </c>
      <c r="B15" s="205" t="s">
        <v>332</v>
      </c>
      <c r="C15" s="205">
        <v>2018</v>
      </c>
      <c r="D15" s="247" t="s">
        <v>377</v>
      </c>
      <c r="E15" s="234" t="s">
        <v>284</v>
      </c>
      <c r="F15" s="234" t="s">
        <v>327</v>
      </c>
      <c r="G15" s="213" t="s">
        <v>36</v>
      </c>
      <c r="H15" s="205" t="s">
        <v>155</v>
      </c>
      <c r="I15" s="213" t="s">
        <v>153</v>
      </c>
      <c r="J15" s="213" t="s">
        <v>38</v>
      </c>
      <c r="K15" s="213" t="s">
        <v>154</v>
      </c>
      <c r="L15" s="205">
        <v>2</v>
      </c>
      <c r="N15" s="205">
        <v>1</v>
      </c>
      <c r="O15" s="205">
        <v>0.9</v>
      </c>
      <c r="P15" s="205">
        <v>0.85</v>
      </c>
      <c r="Q15" s="242">
        <f t="shared" si="0"/>
        <v>0.875</v>
      </c>
      <c r="R15" s="205">
        <v>14.3</v>
      </c>
      <c r="S15" s="205">
        <v>118</v>
      </c>
      <c r="T15" s="214">
        <f t="shared" si="1"/>
        <v>30</v>
      </c>
      <c r="U15" s="205">
        <v>81</v>
      </c>
      <c r="V15" s="214">
        <f t="shared" si="2"/>
        <v>2430</v>
      </c>
      <c r="W15" s="205">
        <v>6</v>
      </c>
      <c r="X15" s="213" t="s">
        <v>39</v>
      </c>
      <c r="Y15" s="213" t="s">
        <v>69</v>
      </c>
      <c r="Z15" s="213" t="s">
        <v>84</v>
      </c>
      <c r="AA15" s="213" t="s">
        <v>90</v>
      </c>
      <c r="AB15" s="213" t="s">
        <v>334</v>
      </c>
      <c r="AE15" s="220" t="s">
        <v>79</v>
      </c>
      <c r="AL15" s="252"/>
      <c r="AP15" s="221" t="s">
        <v>77</v>
      </c>
      <c r="AR15" s="228" t="s">
        <v>94</v>
      </c>
      <c r="AV15" s="221" t="s">
        <v>107</v>
      </c>
    </row>
    <row r="16" spans="1:53" x14ac:dyDescent="0.15">
      <c r="A16" s="213" t="s">
        <v>34</v>
      </c>
      <c r="B16" s="205" t="s">
        <v>332</v>
      </c>
      <c r="C16" s="205">
        <v>2018</v>
      </c>
      <c r="D16" s="247" t="s">
        <v>381</v>
      </c>
      <c r="E16" s="234" t="s">
        <v>284</v>
      </c>
      <c r="F16" s="234" t="s">
        <v>327</v>
      </c>
      <c r="G16" s="213" t="s">
        <v>36</v>
      </c>
      <c r="H16" s="205" t="s">
        <v>155</v>
      </c>
      <c r="I16" s="213" t="s">
        <v>153</v>
      </c>
      <c r="J16" s="213" t="s">
        <v>38</v>
      </c>
      <c r="K16" s="213" t="s">
        <v>154</v>
      </c>
      <c r="L16" s="205">
        <v>3</v>
      </c>
      <c r="N16" s="205">
        <v>1</v>
      </c>
      <c r="O16" s="205">
        <v>0.6</v>
      </c>
      <c r="P16" s="205">
        <v>0.65</v>
      </c>
      <c r="Q16" s="242">
        <f t="shared" si="0"/>
        <v>0.625</v>
      </c>
      <c r="R16" s="205">
        <v>14.2</v>
      </c>
      <c r="S16" s="205">
        <v>120</v>
      </c>
      <c r="T16" s="214">
        <f t="shared" si="1"/>
        <v>30</v>
      </c>
      <c r="U16" s="205">
        <v>81</v>
      </c>
      <c r="V16" s="214">
        <f t="shared" si="2"/>
        <v>2430</v>
      </c>
      <c r="W16" s="205">
        <v>6</v>
      </c>
      <c r="X16" s="213" t="s">
        <v>39</v>
      </c>
      <c r="Y16" s="213" t="s">
        <v>69</v>
      </c>
      <c r="Z16" s="213" t="s">
        <v>84</v>
      </c>
      <c r="AA16" s="213" t="s">
        <v>90</v>
      </c>
      <c r="AB16" s="213" t="s">
        <v>334</v>
      </c>
      <c r="AE16" s="220" t="s">
        <v>82</v>
      </c>
      <c r="AL16" s="252"/>
      <c r="AP16" s="221" t="s">
        <v>80</v>
      </c>
      <c r="AR16" s="235" t="s">
        <v>63</v>
      </c>
      <c r="AV16" s="221" t="s">
        <v>84</v>
      </c>
    </row>
    <row r="17" spans="1:48" x14ac:dyDescent="0.15">
      <c r="A17" s="213" t="s">
        <v>34</v>
      </c>
      <c r="B17" s="205" t="s">
        <v>332</v>
      </c>
      <c r="C17" s="205">
        <v>2018</v>
      </c>
      <c r="D17" s="247" t="s">
        <v>381</v>
      </c>
      <c r="E17" s="234" t="s">
        <v>284</v>
      </c>
      <c r="F17" s="234" t="s">
        <v>327</v>
      </c>
      <c r="G17" s="213" t="s">
        <v>36</v>
      </c>
      <c r="H17" s="205" t="s">
        <v>155</v>
      </c>
      <c r="I17" s="213" t="s">
        <v>153</v>
      </c>
      <c r="J17" s="213" t="s">
        <v>38</v>
      </c>
      <c r="K17" s="213" t="s">
        <v>154</v>
      </c>
      <c r="L17" s="213">
        <v>1</v>
      </c>
      <c r="N17" s="205">
        <v>5</v>
      </c>
      <c r="O17" s="205">
        <v>0.9</v>
      </c>
      <c r="P17" s="205">
        <v>1</v>
      </c>
      <c r="Q17" s="242">
        <f t="shared" si="0"/>
        <v>0.95</v>
      </c>
      <c r="R17" s="205">
        <v>12.8</v>
      </c>
      <c r="S17" s="205">
        <v>99</v>
      </c>
      <c r="T17" s="214">
        <f t="shared" si="1"/>
        <v>33</v>
      </c>
      <c r="U17" s="205">
        <v>321</v>
      </c>
      <c r="V17" s="214">
        <f t="shared" si="2"/>
        <v>2118.6</v>
      </c>
      <c r="W17" s="205">
        <v>6</v>
      </c>
      <c r="X17" s="213" t="s">
        <v>39</v>
      </c>
      <c r="Y17" s="213" t="s">
        <v>69</v>
      </c>
      <c r="Z17" s="213" t="s">
        <v>84</v>
      </c>
      <c r="AA17" s="213" t="s">
        <v>90</v>
      </c>
      <c r="AB17" s="213" t="s">
        <v>334</v>
      </c>
      <c r="AE17" s="220" t="s">
        <v>85</v>
      </c>
      <c r="AL17" s="252"/>
      <c r="AP17" s="236" t="s">
        <v>110</v>
      </c>
      <c r="AR17" s="235" t="s">
        <v>96</v>
      </c>
      <c r="AV17" s="221" t="s">
        <v>86</v>
      </c>
    </row>
    <row r="18" spans="1:48" x14ac:dyDescent="0.15">
      <c r="A18" s="213" t="s">
        <v>34</v>
      </c>
      <c r="B18" s="205" t="s">
        <v>332</v>
      </c>
      <c r="C18" s="205">
        <v>2018</v>
      </c>
      <c r="D18" s="247" t="s">
        <v>381</v>
      </c>
      <c r="E18" s="234" t="s">
        <v>284</v>
      </c>
      <c r="F18" s="234" t="s">
        <v>327</v>
      </c>
      <c r="G18" s="213" t="s">
        <v>36</v>
      </c>
      <c r="H18" s="205" t="s">
        <v>155</v>
      </c>
      <c r="I18" s="213" t="s">
        <v>153</v>
      </c>
      <c r="J18" s="213" t="s">
        <v>38</v>
      </c>
      <c r="K18" s="213" t="s">
        <v>154</v>
      </c>
      <c r="L18" s="205">
        <v>2</v>
      </c>
      <c r="N18" s="205">
        <v>5</v>
      </c>
      <c r="O18" s="205">
        <v>0.75</v>
      </c>
      <c r="P18" s="205">
        <v>0.55000000000000004</v>
      </c>
      <c r="Q18" s="242">
        <f t="shared" si="0"/>
        <v>0.65</v>
      </c>
      <c r="R18" s="205">
        <v>14.2</v>
      </c>
      <c r="S18" s="205">
        <v>96</v>
      </c>
      <c r="T18" s="214">
        <f t="shared" si="1"/>
        <v>36</v>
      </c>
      <c r="U18" s="205">
        <v>321</v>
      </c>
      <c r="V18" s="214">
        <f t="shared" si="2"/>
        <v>2311.2000000000003</v>
      </c>
      <c r="W18" s="205">
        <v>6</v>
      </c>
      <c r="X18" s="213" t="s">
        <v>39</v>
      </c>
      <c r="Y18" s="213" t="s">
        <v>69</v>
      </c>
      <c r="Z18" s="213" t="s">
        <v>84</v>
      </c>
      <c r="AA18" s="213" t="s">
        <v>90</v>
      </c>
      <c r="AB18" s="213" t="s">
        <v>334</v>
      </c>
      <c r="AE18" s="220" t="s">
        <v>87</v>
      </c>
      <c r="AL18" s="213"/>
      <c r="AP18" s="236" t="s">
        <v>111</v>
      </c>
      <c r="AR18" s="235" t="s">
        <v>101</v>
      </c>
      <c r="AV18" s="221" t="s">
        <v>88</v>
      </c>
    </row>
    <row r="19" spans="1:48" x14ac:dyDescent="0.15">
      <c r="A19" s="213" t="s">
        <v>34</v>
      </c>
      <c r="B19" s="205" t="s">
        <v>332</v>
      </c>
      <c r="C19" s="205">
        <v>2018</v>
      </c>
      <c r="D19" s="247" t="s">
        <v>371</v>
      </c>
      <c r="E19" s="234" t="s">
        <v>284</v>
      </c>
      <c r="F19" s="234" t="s">
        <v>327</v>
      </c>
      <c r="G19" s="213" t="s">
        <v>36</v>
      </c>
      <c r="H19" s="205" t="s">
        <v>155</v>
      </c>
      <c r="I19" s="213" t="s">
        <v>153</v>
      </c>
      <c r="J19" s="213" t="s">
        <v>38</v>
      </c>
      <c r="K19" s="213" t="s">
        <v>154</v>
      </c>
      <c r="L19" s="205">
        <v>3</v>
      </c>
      <c r="N19" s="205">
        <v>5</v>
      </c>
      <c r="O19" s="205">
        <v>1</v>
      </c>
      <c r="P19" s="205">
        <v>0.95</v>
      </c>
      <c r="Q19" s="242">
        <f t="shared" si="0"/>
        <v>0.97499999999999998</v>
      </c>
      <c r="R19" s="205">
        <v>13.3</v>
      </c>
      <c r="S19" s="205">
        <v>94</v>
      </c>
      <c r="T19" s="214">
        <f t="shared" si="1"/>
        <v>36</v>
      </c>
      <c r="U19" s="205">
        <v>321</v>
      </c>
      <c r="V19" s="214">
        <f t="shared" si="2"/>
        <v>2311.2000000000003</v>
      </c>
      <c r="W19" s="205">
        <v>6</v>
      </c>
      <c r="X19" s="213" t="s">
        <v>39</v>
      </c>
      <c r="Y19" s="213" t="s">
        <v>69</v>
      </c>
      <c r="Z19" s="213" t="s">
        <v>84</v>
      </c>
      <c r="AA19" s="213" t="s">
        <v>90</v>
      </c>
      <c r="AB19" s="213" t="s">
        <v>334</v>
      </c>
      <c r="AE19" s="233" t="s">
        <v>89</v>
      </c>
      <c r="AP19" s="236" t="s">
        <v>112</v>
      </c>
      <c r="AR19" s="228" t="s">
        <v>126</v>
      </c>
      <c r="AV19" s="221" t="s">
        <v>90</v>
      </c>
    </row>
    <row r="20" spans="1:48" x14ac:dyDescent="0.15">
      <c r="A20" s="213" t="s">
        <v>34</v>
      </c>
      <c r="B20" s="205" t="s">
        <v>332</v>
      </c>
      <c r="C20" s="205">
        <v>2018</v>
      </c>
      <c r="D20" s="247" t="s">
        <v>371</v>
      </c>
      <c r="E20" s="234" t="s">
        <v>284</v>
      </c>
      <c r="F20" s="234" t="s">
        <v>327</v>
      </c>
      <c r="G20" s="213" t="s">
        <v>36</v>
      </c>
      <c r="H20" s="205" t="s">
        <v>166</v>
      </c>
      <c r="I20" s="213" t="s">
        <v>153</v>
      </c>
      <c r="J20" s="213" t="s">
        <v>38</v>
      </c>
      <c r="K20" s="213" t="s">
        <v>154</v>
      </c>
      <c r="L20" s="213">
        <v>1</v>
      </c>
      <c r="N20" s="205">
        <v>1</v>
      </c>
      <c r="O20" s="205">
        <v>0.8</v>
      </c>
      <c r="P20" s="205">
        <v>0.75</v>
      </c>
      <c r="Q20" s="242">
        <f t="shared" si="0"/>
        <v>0.77500000000000002</v>
      </c>
      <c r="R20" s="205">
        <v>14.7</v>
      </c>
      <c r="S20" s="205">
        <v>153</v>
      </c>
      <c r="T20" s="214">
        <f t="shared" si="1"/>
        <v>18</v>
      </c>
      <c r="U20" s="205">
        <v>149</v>
      </c>
      <c r="V20" s="214">
        <f t="shared" si="2"/>
        <v>2682</v>
      </c>
      <c r="W20" s="205">
        <v>3</v>
      </c>
      <c r="X20" s="213" t="s">
        <v>39</v>
      </c>
      <c r="Y20" s="213" t="s">
        <v>69</v>
      </c>
      <c r="Z20" s="213" t="s">
        <v>84</v>
      </c>
      <c r="AA20" s="213" t="s">
        <v>90</v>
      </c>
      <c r="AB20" s="213" t="s">
        <v>334</v>
      </c>
      <c r="AP20" s="236" t="s">
        <v>113</v>
      </c>
      <c r="AR20" s="235" t="s">
        <v>105</v>
      </c>
      <c r="AV20" s="225" t="s">
        <v>354</v>
      </c>
    </row>
    <row r="21" spans="1:48" x14ac:dyDescent="0.15">
      <c r="A21" s="213" t="s">
        <v>34</v>
      </c>
      <c r="B21" s="205" t="s">
        <v>332</v>
      </c>
      <c r="C21" s="205">
        <v>2018</v>
      </c>
      <c r="D21" s="247" t="s">
        <v>371</v>
      </c>
      <c r="E21" s="234" t="s">
        <v>284</v>
      </c>
      <c r="F21" s="234" t="s">
        <v>327</v>
      </c>
      <c r="G21" s="213" t="s">
        <v>36</v>
      </c>
      <c r="H21" s="205" t="s">
        <v>166</v>
      </c>
      <c r="I21" s="213" t="s">
        <v>153</v>
      </c>
      <c r="J21" s="213" t="s">
        <v>38</v>
      </c>
      <c r="K21" s="213" t="s">
        <v>154</v>
      </c>
      <c r="L21" s="205">
        <v>2</v>
      </c>
      <c r="N21" s="205">
        <v>1</v>
      </c>
      <c r="O21" s="205">
        <v>0.65</v>
      </c>
      <c r="P21" s="205">
        <v>0.7</v>
      </c>
      <c r="Q21" s="242">
        <f t="shared" si="0"/>
        <v>0.67500000000000004</v>
      </c>
      <c r="R21" s="205">
        <v>14.9</v>
      </c>
      <c r="S21" s="205">
        <v>173</v>
      </c>
      <c r="T21" s="214">
        <f t="shared" si="1"/>
        <v>18</v>
      </c>
      <c r="U21" s="205">
        <v>149</v>
      </c>
      <c r="V21" s="214">
        <f t="shared" si="2"/>
        <v>2682</v>
      </c>
      <c r="W21" s="205">
        <v>3</v>
      </c>
      <c r="X21" s="213" t="s">
        <v>39</v>
      </c>
      <c r="Y21" s="213" t="s">
        <v>69</v>
      </c>
      <c r="Z21" s="213" t="s">
        <v>84</v>
      </c>
      <c r="AA21" s="213" t="s">
        <v>90</v>
      </c>
      <c r="AB21" s="213" t="s">
        <v>334</v>
      </c>
      <c r="AP21" s="236" t="s">
        <v>114</v>
      </c>
      <c r="AR21" s="235" t="s">
        <v>68</v>
      </c>
      <c r="AV21" s="225" t="s">
        <v>355</v>
      </c>
    </row>
    <row r="22" spans="1:48" x14ac:dyDescent="0.15">
      <c r="A22" s="213" t="s">
        <v>34</v>
      </c>
      <c r="B22" s="205" t="s">
        <v>332</v>
      </c>
      <c r="C22" s="205">
        <v>2018</v>
      </c>
      <c r="D22" s="247" t="s">
        <v>371</v>
      </c>
      <c r="E22" s="234" t="s">
        <v>284</v>
      </c>
      <c r="F22" s="234" t="s">
        <v>327</v>
      </c>
      <c r="G22" s="213" t="s">
        <v>36</v>
      </c>
      <c r="H22" s="205" t="s">
        <v>166</v>
      </c>
      <c r="I22" s="213" t="s">
        <v>153</v>
      </c>
      <c r="J22" s="213" t="s">
        <v>38</v>
      </c>
      <c r="K22" s="213" t="s">
        <v>154</v>
      </c>
      <c r="L22" s="205">
        <v>3</v>
      </c>
      <c r="N22" s="205">
        <v>1</v>
      </c>
      <c r="O22" s="205">
        <v>0.65</v>
      </c>
      <c r="P22" s="205">
        <v>0.6</v>
      </c>
      <c r="Q22" s="242">
        <f t="shared" si="0"/>
        <v>0.625</v>
      </c>
      <c r="R22" s="205">
        <v>16.5</v>
      </c>
      <c r="S22" s="205">
        <v>158</v>
      </c>
      <c r="T22" s="214">
        <f t="shared" si="1"/>
        <v>18</v>
      </c>
      <c r="U22" s="205">
        <v>149</v>
      </c>
      <c r="V22" s="214">
        <f t="shared" si="2"/>
        <v>2682</v>
      </c>
      <c r="W22" s="205">
        <v>3</v>
      </c>
      <c r="X22" s="213" t="s">
        <v>39</v>
      </c>
      <c r="Y22" s="213" t="s">
        <v>69</v>
      </c>
      <c r="Z22" s="213" t="s">
        <v>84</v>
      </c>
      <c r="AA22" s="213" t="s">
        <v>90</v>
      </c>
      <c r="AB22" s="213" t="s">
        <v>334</v>
      </c>
      <c r="AP22" s="236" t="s">
        <v>115</v>
      </c>
      <c r="AR22" s="235" t="s">
        <v>83</v>
      </c>
      <c r="AV22" s="225"/>
    </row>
    <row r="23" spans="1:48" x14ac:dyDescent="0.15">
      <c r="A23" s="213" t="s">
        <v>34</v>
      </c>
      <c r="B23" s="205" t="s">
        <v>332</v>
      </c>
      <c r="C23" s="205">
        <v>2018</v>
      </c>
      <c r="D23" s="247" t="s">
        <v>371</v>
      </c>
      <c r="E23" s="234" t="s">
        <v>284</v>
      </c>
      <c r="F23" s="234" t="s">
        <v>327</v>
      </c>
      <c r="G23" s="213" t="s">
        <v>36</v>
      </c>
      <c r="H23" s="205" t="s">
        <v>166</v>
      </c>
      <c r="I23" s="213" t="s">
        <v>153</v>
      </c>
      <c r="J23" s="213" t="s">
        <v>38</v>
      </c>
      <c r="K23" s="213" t="s">
        <v>154</v>
      </c>
      <c r="L23" s="213">
        <v>1</v>
      </c>
      <c r="N23" s="205">
        <v>4</v>
      </c>
      <c r="O23" s="205">
        <v>0.75</v>
      </c>
      <c r="P23" s="205">
        <v>0.7</v>
      </c>
      <c r="Q23" s="242">
        <f t="shared" si="0"/>
        <v>0.72499999999999998</v>
      </c>
      <c r="R23" s="205">
        <v>14.8</v>
      </c>
      <c r="S23" s="205">
        <v>96</v>
      </c>
      <c r="T23" s="214">
        <f t="shared" si="1"/>
        <v>36</v>
      </c>
      <c r="U23" s="205">
        <v>494</v>
      </c>
      <c r="V23" s="214">
        <f t="shared" si="2"/>
        <v>4446</v>
      </c>
      <c r="W23" s="205">
        <v>3</v>
      </c>
      <c r="X23" s="213" t="s">
        <v>39</v>
      </c>
      <c r="Y23" s="213" t="s">
        <v>69</v>
      </c>
      <c r="Z23" s="213" t="s">
        <v>84</v>
      </c>
      <c r="AA23" s="213" t="s">
        <v>90</v>
      </c>
      <c r="AB23" s="213" t="s">
        <v>334</v>
      </c>
      <c r="AP23" s="236" t="s">
        <v>117</v>
      </c>
      <c r="AR23" s="235" t="s">
        <v>285</v>
      </c>
    </row>
    <row r="24" spans="1:48" x14ac:dyDescent="0.15">
      <c r="A24" s="213" t="s">
        <v>34</v>
      </c>
      <c r="B24" s="205" t="s">
        <v>332</v>
      </c>
      <c r="C24" s="205">
        <v>2018</v>
      </c>
      <c r="D24" s="247" t="s">
        <v>371</v>
      </c>
      <c r="E24" s="234" t="s">
        <v>284</v>
      </c>
      <c r="F24" s="234" t="s">
        <v>327</v>
      </c>
      <c r="G24" s="213" t="s">
        <v>36</v>
      </c>
      <c r="H24" s="205" t="s">
        <v>166</v>
      </c>
      <c r="I24" s="213" t="s">
        <v>153</v>
      </c>
      <c r="J24" s="213" t="s">
        <v>38</v>
      </c>
      <c r="K24" s="213" t="s">
        <v>154</v>
      </c>
      <c r="L24" s="205">
        <v>2</v>
      </c>
      <c r="N24" s="205">
        <v>4</v>
      </c>
      <c r="O24" s="205">
        <v>0.85</v>
      </c>
      <c r="P24" s="205">
        <v>1.4</v>
      </c>
      <c r="Q24" s="242">
        <f t="shared" si="0"/>
        <v>1.125</v>
      </c>
      <c r="R24" s="205">
        <v>13.3</v>
      </c>
      <c r="S24" s="205">
        <v>95</v>
      </c>
      <c r="T24" s="214">
        <f t="shared" si="1"/>
        <v>36</v>
      </c>
      <c r="U24" s="205">
        <v>494</v>
      </c>
      <c r="V24" s="214">
        <f t="shared" si="2"/>
        <v>4446</v>
      </c>
      <c r="W24" s="205">
        <v>3</v>
      </c>
      <c r="X24" s="213" t="s">
        <v>39</v>
      </c>
      <c r="Y24" s="213" t="s">
        <v>69</v>
      </c>
      <c r="Z24" s="213" t="s">
        <v>84</v>
      </c>
      <c r="AA24" s="213" t="s">
        <v>90</v>
      </c>
      <c r="AB24" s="213" t="s">
        <v>334</v>
      </c>
      <c r="AP24" s="236" t="s">
        <v>118</v>
      </c>
    </row>
    <row r="25" spans="1:48" x14ac:dyDescent="0.15">
      <c r="A25" s="213" t="s">
        <v>34</v>
      </c>
      <c r="B25" s="205" t="s">
        <v>332</v>
      </c>
      <c r="C25" s="205">
        <v>2018</v>
      </c>
      <c r="D25" s="247" t="s">
        <v>371</v>
      </c>
      <c r="E25" s="234" t="s">
        <v>284</v>
      </c>
      <c r="F25" s="234" t="s">
        <v>327</v>
      </c>
      <c r="G25" s="213" t="s">
        <v>36</v>
      </c>
      <c r="H25" s="205" t="s">
        <v>166</v>
      </c>
      <c r="I25" s="213" t="s">
        <v>153</v>
      </c>
      <c r="J25" s="213" t="s">
        <v>38</v>
      </c>
      <c r="K25" s="213" t="s">
        <v>154</v>
      </c>
      <c r="L25" s="205">
        <v>3</v>
      </c>
      <c r="N25" s="205">
        <v>4</v>
      </c>
      <c r="O25" s="205">
        <v>0.75</v>
      </c>
      <c r="P25" s="205">
        <v>0.95</v>
      </c>
      <c r="Q25" s="242">
        <f t="shared" si="0"/>
        <v>0.85</v>
      </c>
      <c r="R25" s="205">
        <v>13.5</v>
      </c>
      <c r="S25" s="205">
        <v>101</v>
      </c>
      <c r="T25" s="214">
        <f t="shared" si="1"/>
        <v>33</v>
      </c>
      <c r="U25" s="205">
        <v>494</v>
      </c>
      <c r="V25" s="214">
        <f t="shared" si="2"/>
        <v>4075.5</v>
      </c>
      <c r="W25" s="205">
        <v>3</v>
      </c>
      <c r="X25" s="213" t="s">
        <v>39</v>
      </c>
      <c r="Y25" s="213" t="s">
        <v>69</v>
      </c>
      <c r="Z25" s="213" t="s">
        <v>84</v>
      </c>
      <c r="AA25" s="213" t="s">
        <v>90</v>
      </c>
      <c r="AB25" s="213" t="s">
        <v>334</v>
      </c>
    </row>
    <row r="26" spans="1:48" x14ac:dyDescent="0.15">
      <c r="A26" s="213" t="s">
        <v>34</v>
      </c>
      <c r="B26" s="205" t="s">
        <v>332</v>
      </c>
      <c r="C26" s="205">
        <v>2018</v>
      </c>
      <c r="D26" s="247" t="s">
        <v>371</v>
      </c>
      <c r="E26" s="234" t="s">
        <v>328</v>
      </c>
      <c r="F26" s="234" t="s">
        <v>329</v>
      </c>
      <c r="G26" s="213" t="s">
        <v>36</v>
      </c>
      <c r="H26" s="205" t="s">
        <v>155</v>
      </c>
      <c r="I26" s="213" t="s">
        <v>153</v>
      </c>
      <c r="J26" s="213" t="s">
        <v>38</v>
      </c>
      <c r="K26" s="213" t="s">
        <v>154</v>
      </c>
      <c r="L26" s="213">
        <v>1</v>
      </c>
      <c r="N26" s="205">
        <v>1</v>
      </c>
      <c r="O26" s="205">
        <v>0.2</v>
      </c>
      <c r="P26" s="205">
        <v>0.2</v>
      </c>
      <c r="Q26" s="242">
        <f t="shared" si="0"/>
        <v>0.2</v>
      </c>
      <c r="R26" s="205">
        <v>13.7</v>
      </c>
      <c r="S26" s="205">
        <v>112</v>
      </c>
      <c r="T26" s="214">
        <f t="shared" si="1"/>
        <v>33</v>
      </c>
      <c r="U26" s="205">
        <v>136</v>
      </c>
      <c r="V26" s="214">
        <f t="shared" si="2"/>
        <v>4488</v>
      </c>
      <c r="W26" s="205">
        <v>2</v>
      </c>
      <c r="X26" s="213" t="s">
        <v>46</v>
      </c>
      <c r="Y26" s="213" t="s">
        <v>47</v>
      </c>
      <c r="Z26" s="213" t="s">
        <v>50</v>
      </c>
      <c r="AA26" s="213" t="s">
        <v>69</v>
      </c>
      <c r="AB26" s="213" t="s">
        <v>334</v>
      </c>
    </row>
    <row r="27" spans="1:48" x14ac:dyDescent="0.15">
      <c r="A27" s="213" t="s">
        <v>34</v>
      </c>
      <c r="B27" s="205" t="s">
        <v>332</v>
      </c>
      <c r="C27" s="205">
        <v>2018</v>
      </c>
      <c r="D27" s="247" t="s">
        <v>371</v>
      </c>
      <c r="E27" s="234" t="s">
        <v>328</v>
      </c>
      <c r="F27" s="234" t="s">
        <v>329</v>
      </c>
      <c r="G27" s="213" t="s">
        <v>36</v>
      </c>
      <c r="H27" s="205" t="s">
        <v>155</v>
      </c>
      <c r="I27" s="213" t="s">
        <v>153</v>
      </c>
      <c r="J27" s="213" t="s">
        <v>38</v>
      </c>
      <c r="K27" s="213" t="s">
        <v>154</v>
      </c>
      <c r="L27" s="205">
        <v>2</v>
      </c>
      <c r="N27" s="205">
        <v>1</v>
      </c>
      <c r="O27" s="205">
        <v>0.8</v>
      </c>
      <c r="P27" s="205">
        <v>0.9</v>
      </c>
      <c r="Q27" s="242">
        <f t="shared" si="0"/>
        <v>0.85000000000000009</v>
      </c>
      <c r="R27" s="205">
        <v>14.1</v>
      </c>
      <c r="S27" s="205">
        <v>110</v>
      </c>
      <c r="T27" s="214">
        <f t="shared" si="1"/>
        <v>33</v>
      </c>
      <c r="U27" s="205">
        <v>136</v>
      </c>
      <c r="V27" s="214">
        <f t="shared" si="2"/>
        <v>4488</v>
      </c>
      <c r="W27" s="205">
        <v>2</v>
      </c>
      <c r="X27" s="213" t="s">
        <v>46</v>
      </c>
      <c r="Y27" s="213" t="s">
        <v>47</v>
      </c>
      <c r="Z27" s="213" t="s">
        <v>50</v>
      </c>
      <c r="AA27" s="213" t="s">
        <v>69</v>
      </c>
      <c r="AB27" s="213" t="s">
        <v>334</v>
      </c>
    </row>
    <row r="28" spans="1:48" x14ac:dyDescent="0.15">
      <c r="A28" s="213" t="s">
        <v>34</v>
      </c>
      <c r="B28" s="205" t="s">
        <v>332</v>
      </c>
      <c r="C28" s="205">
        <v>2018</v>
      </c>
      <c r="D28" s="247" t="s">
        <v>371</v>
      </c>
      <c r="E28" s="234" t="s">
        <v>328</v>
      </c>
      <c r="F28" s="234" t="s">
        <v>329</v>
      </c>
      <c r="G28" s="213" t="s">
        <v>36</v>
      </c>
      <c r="H28" s="205" t="s">
        <v>155</v>
      </c>
      <c r="I28" s="213" t="s">
        <v>153</v>
      </c>
      <c r="J28" s="213" t="s">
        <v>38</v>
      </c>
      <c r="K28" s="213" t="s">
        <v>154</v>
      </c>
      <c r="L28" s="205">
        <v>3</v>
      </c>
      <c r="N28" s="205">
        <v>1</v>
      </c>
      <c r="O28" s="205">
        <v>1.1000000000000001</v>
      </c>
      <c r="P28" s="205">
        <v>0.9</v>
      </c>
      <c r="Q28" s="242">
        <f t="shared" si="0"/>
        <v>1</v>
      </c>
      <c r="R28" s="205">
        <v>13.7</v>
      </c>
      <c r="S28" s="205">
        <v>113</v>
      </c>
      <c r="T28" s="214">
        <f t="shared" si="1"/>
        <v>30</v>
      </c>
      <c r="U28" s="205">
        <v>136</v>
      </c>
      <c r="V28" s="214">
        <f t="shared" si="2"/>
        <v>4080</v>
      </c>
      <c r="W28" s="205">
        <v>2</v>
      </c>
      <c r="X28" s="213" t="s">
        <v>46</v>
      </c>
      <c r="Y28" s="213" t="s">
        <v>47</v>
      </c>
      <c r="Z28" s="213" t="s">
        <v>50</v>
      </c>
      <c r="AA28" s="213" t="s">
        <v>69</v>
      </c>
      <c r="AB28" s="213" t="s">
        <v>334</v>
      </c>
    </row>
    <row r="29" spans="1:48" x14ac:dyDescent="0.15">
      <c r="A29" s="213" t="s">
        <v>34</v>
      </c>
      <c r="B29" s="205" t="s">
        <v>332</v>
      </c>
      <c r="C29" s="205">
        <v>2018</v>
      </c>
      <c r="D29" s="247" t="s">
        <v>371</v>
      </c>
      <c r="E29" s="234" t="s">
        <v>328</v>
      </c>
      <c r="F29" s="234" t="s">
        <v>329</v>
      </c>
      <c r="G29" s="213" t="s">
        <v>36</v>
      </c>
      <c r="H29" s="205" t="s">
        <v>155</v>
      </c>
      <c r="I29" s="213" t="s">
        <v>153</v>
      </c>
      <c r="J29" s="213" t="s">
        <v>38</v>
      </c>
      <c r="K29" s="213" t="s">
        <v>154</v>
      </c>
      <c r="L29" s="213">
        <v>1</v>
      </c>
      <c r="N29" s="205">
        <v>4</v>
      </c>
      <c r="O29" s="205">
        <v>0.95</v>
      </c>
      <c r="P29" s="205">
        <v>1.2</v>
      </c>
      <c r="Q29" s="242">
        <f t="shared" si="0"/>
        <v>1.075</v>
      </c>
      <c r="R29" s="205">
        <v>14.3</v>
      </c>
      <c r="S29" s="205">
        <v>142</v>
      </c>
      <c r="T29" s="214">
        <f t="shared" si="1"/>
        <v>30</v>
      </c>
      <c r="U29" s="205">
        <v>319</v>
      </c>
      <c r="V29" s="214">
        <f t="shared" si="2"/>
        <v>2392.5</v>
      </c>
      <c r="W29" s="205">
        <v>2</v>
      </c>
      <c r="X29" s="213" t="s">
        <v>46</v>
      </c>
      <c r="Y29" s="213" t="s">
        <v>47</v>
      </c>
      <c r="Z29" s="213" t="s">
        <v>50</v>
      </c>
      <c r="AA29" s="213" t="s">
        <v>69</v>
      </c>
      <c r="AB29" s="213" t="s">
        <v>334</v>
      </c>
    </row>
    <row r="30" spans="1:48" x14ac:dyDescent="0.15">
      <c r="A30" s="213" t="s">
        <v>34</v>
      </c>
      <c r="B30" s="205" t="s">
        <v>332</v>
      </c>
      <c r="C30" s="205">
        <v>2018</v>
      </c>
      <c r="D30" s="247" t="s">
        <v>371</v>
      </c>
      <c r="E30" s="234" t="s">
        <v>328</v>
      </c>
      <c r="F30" s="234" t="s">
        <v>329</v>
      </c>
      <c r="G30" s="213" t="s">
        <v>36</v>
      </c>
      <c r="H30" s="205" t="s">
        <v>155</v>
      </c>
      <c r="I30" s="213" t="s">
        <v>153</v>
      </c>
      <c r="J30" s="213" t="s">
        <v>38</v>
      </c>
      <c r="K30" s="213" t="s">
        <v>154</v>
      </c>
      <c r="L30" s="205">
        <v>2</v>
      </c>
      <c r="N30" s="205">
        <v>4</v>
      </c>
      <c r="O30" s="205">
        <v>0.8</v>
      </c>
      <c r="P30" s="205">
        <v>1.05</v>
      </c>
      <c r="Q30" s="242">
        <f t="shared" si="0"/>
        <v>0.92500000000000004</v>
      </c>
      <c r="R30" s="205">
        <v>14</v>
      </c>
      <c r="S30" s="205">
        <v>149</v>
      </c>
      <c r="T30" s="214">
        <f t="shared" si="1"/>
        <v>30</v>
      </c>
      <c r="U30" s="205">
        <v>319</v>
      </c>
      <c r="V30" s="214">
        <f t="shared" si="2"/>
        <v>2392.5</v>
      </c>
      <c r="W30" s="205">
        <v>2</v>
      </c>
      <c r="X30" s="213" t="s">
        <v>46</v>
      </c>
      <c r="Y30" s="213" t="s">
        <v>47</v>
      </c>
      <c r="Z30" s="213" t="s">
        <v>50</v>
      </c>
      <c r="AA30" s="213" t="s">
        <v>69</v>
      </c>
      <c r="AB30" s="213" t="s">
        <v>334</v>
      </c>
    </row>
    <row r="31" spans="1:48" x14ac:dyDescent="0.15">
      <c r="A31" s="213" t="s">
        <v>34</v>
      </c>
      <c r="B31" s="205" t="s">
        <v>332</v>
      </c>
      <c r="C31" s="205">
        <v>2018</v>
      </c>
      <c r="D31" s="247" t="s">
        <v>371</v>
      </c>
      <c r="E31" s="234" t="s">
        <v>328</v>
      </c>
      <c r="F31" s="234" t="s">
        <v>329</v>
      </c>
      <c r="G31" s="213" t="s">
        <v>36</v>
      </c>
      <c r="H31" s="205" t="s">
        <v>155</v>
      </c>
      <c r="I31" s="213" t="s">
        <v>153</v>
      </c>
      <c r="J31" s="213" t="s">
        <v>38</v>
      </c>
      <c r="K31" s="213" t="s">
        <v>154</v>
      </c>
      <c r="L31" s="205">
        <v>3</v>
      </c>
      <c r="N31" s="205">
        <v>4</v>
      </c>
      <c r="O31" s="205">
        <v>1</v>
      </c>
      <c r="P31" s="205">
        <v>1</v>
      </c>
      <c r="Q31" s="242">
        <f t="shared" si="0"/>
        <v>1</v>
      </c>
      <c r="R31" s="205">
        <v>13.6</v>
      </c>
      <c r="S31" s="205">
        <v>140</v>
      </c>
      <c r="T31" s="214">
        <f t="shared" si="1"/>
        <v>30</v>
      </c>
      <c r="U31" s="205">
        <v>319</v>
      </c>
      <c r="V31" s="214">
        <f t="shared" si="2"/>
        <v>2392.5</v>
      </c>
      <c r="W31" s="205">
        <v>2</v>
      </c>
      <c r="X31" s="213" t="s">
        <v>46</v>
      </c>
      <c r="Y31" s="213" t="s">
        <v>47</v>
      </c>
      <c r="Z31" s="213" t="s">
        <v>50</v>
      </c>
      <c r="AA31" s="213" t="s">
        <v>69</v>
      </c>
      <c r="AB31" s="213" t="s">
        <v>334</v>
      </c>
    </row>
    <row r="32" spans="1:48" x14ac:dyDescent="0.15">
      <c r="A32" s="213" t="s">
        <v>34</v>
      </c>
      <c r="B32" s="205" t="s">
        <v>332</v>
      </c>
      <c r="C32" s="205">
        <v>2018</v>
      </c>
      <c r="D32" s="247" t="s">
        <v>371</v>
      </c>
      <c r="E32" s="234" t="s">
        <v>325</v>
      </c>
      <c r="F32" s="234" t="s">
        <v>326</v>
      </c>
      <c r="G32" s="213" t="s">
        <v>36</v>
      </c>
      <c r="H32" s="205" t="s">
        <v>155</v>
      </c>
      <c r="I32" s="213" t="s">
        <v>153</v>
      </c>
      <c r="J32" s="213" t="s">
        <v>38</v>
      </c>
      <c r="K32" s="213" t="s">
        <v>154</v>
      </c>
      <c r="L32" s="213">
        <v>1</v>
      </c>
      <c r="N32" s="205">
        <v>1</v>
      </c>
      <c r="O32" s="205">
        <v>1</v>
      </c>
      <c r="P32" s="205">
        <v>0.95</v>
      </c>
      <c r="Q32" s="242">
        <f t="shared" si="0"/>
        <v>0.97499999999999998</v>
      </c>
      <c r="R32" s="205">
        <v>10.5</v>
      </c>
      <c r="S32" s="205">
        <v>132</v>
      </c>
      <c r="T32" s="214">
        <f t="shared" si="1"/>
        <v>30</v>
      </c>
      <c r="U32" s="205">
        <v>116</v>
      </c>
      <c r="V32" s="214">
        <f t="shared" si="2"/>
        <v>3480</v>
      </c>
      <c r="W32" s="205">
        <v>1</v>
      </c>
      <c r="X32" s="213" t="s">
        <v>39</v>
      </c>
      <c r="Y32" s="213" t="s">
        <v>84</v>
      </c>
      <c r="Z32" s="213" t="s">
        <v>69</v>
      </c>
      <c r="AA32" s="213" t="s">
        <v>50</v>
      </c>
      <c r="AB32" s="213" t="s">
        <v>334</v>
      </c>
    </row>
    <row r="33" spans="1:28" x14ac:dyDescent="0.15">
      <c r="A33" s="213" t="s">
        <v>34</v>
      </c>
      <c r="B33" s="205" t="s">
        <v>332</v>
      </c>
      <c r="C33" s="205">
        <v>2018</v>
      </c>
      <c r="D33" s="247" t="s">
        <v>371</v>
      </c>
      <c r="E33" s="234" t="s">
        <v>325</v>
      </c>
      <c r="F33" s="234" t="s">
        <v>326</v>
      </c>
      <c r="G33" s="213" t="s">
        <v>36</v>
      </c>
      <c r="H33" s="205" t="s">
        <v>155</v>
      </c>
      <c r="I33" s="213" t="s">
        <v>153</v>
      </c>
      <c r="J33" s="213" t="s">
        <v>38</v>
      </c>
      <c r="K33" s="213" t="s">
        <v>154</v>
      </c>
      <c r="L33" s="205">
        <v>2</v>
      </c>
      <c r="N33" s="205">
        <v>1</v>
      </c>
      <c r="O33" s="205">
        <v>0.95</v>
      </c>
      <c r="P33" s="205">
        <v>0.9</v>
      </c>
      <c r="Q33" s="242">
        <f t="shared" si="0"/>
        <v>0.92500000000000004</v>
      </c>
      <c r="R33" s="205">
        <v>13.7</v>
      </c>
      <c r="S33" s="205">
        <v>124</v>
      </c>
      <c r="T33" s="214">
        <f t="shared" si="1"/>
        <v>30</v>
      </c>
      <c r="U33" s="205">
        <v>116</v>
      </c>
      <c r="V33" s="214">
        <f t="shared" si="2"/>
        <v>3480</v>
      </c>
      <c r="W33" s="205">
        <v>1</v>
      </c>
      <c r="X33" s="213" t="s">
        <v>39</v>
      </c>
      <c r="Y33" s="213" t="s">
        <v>84</v>
      </c>
      <c r="Z33" s="213" t="s">
        <v>69</v>
      </c>
      <c r="AA33" s="213" t="s">
        <v>50</v>
      </c>
      <c r="AB33" s="213" t="s">
        <v>334</v>
      </c>
    </row>
    <row r="34" spans="1:28" x14ac:dyDescent="0.15">
      <c r="A34" s="213" t="s">
        <v>34</v>
      </c>
      <c r="B34" s="205" t="s">
        <v>332</v>
      </c>
      <c r="C34" s="205">
        <v>2018</v>
      </c>
      <c r="D34" s="247" t="s">
        <v>371</v>
      </c>
      <c r="E34" s="234" t="s">
        <v>325</v>
      </c>
      <c r="F34" s="234" t="s">
        <v>326</v>
      </c>
      <c r="G34" s="213" t="s">
        <v>36</v>
      </c>
      <c r="H34" s="205" t="s">
        <v>155</v>
      </c>
      <c r="I34" s="213" t="s">
        <v>153</v>
      </c>
      <c r="J34" s="213" t="s">
        <v>38</v>
      </c>
      <c r="K34" s="213" t="s">
        <v>154</v>
      </c>
      <c r="L34" s="205">
        <v>3</v>
      </c>
      <c r="N34" s="205">
        <v>1</v>
      </c>
      <c r="O34" s="205">
        <v>0.85</v>
      </c>
      <c r="P34" s="205">
        <v>0.85</v>
      </c>
      <c r="Q34" s="242">
        <f>IF(OR(O34="",P34=""),"",AVERAGE(O34,P34))</f>
        <v>0.85</v>
      </c>
      <c r="R34" s="205">
        <v>12.7</v>
      </c>
      <c r="S34" s="205">
        <v>128</v>
      </c>
      <c r="T34" s="214">
        <f t="shared" si="1"/>
        <v>30</v>
      </c>
      <c r="U34" s="205">
        <v>116</v>
      </c>
      <c r="V34" s="214">
        <f t="shared" si="2"/>
        <v>3480</v>
      </c>
      <c r="W34" s="205">
        <v>1</v>
      </c>
      <c r="X34" s="213" t="s">
        <v>39</v>
      </c>
      <c r="Y34" s="213" t="s">
        <v>84</v>
      </c>
      <c r="Z34" s="213" t="s">
        <v>69</v>
      </c>
      <c r="AA34" s="213" t="s">
        <v>50</v>
      </c>
      <c r="AB34" s="213" t="s">
        <v>334</v>
      </c>
    </row>
    <row r="35" spans="1:28" x14ac:dyDescent="0.15">
      <c r="A35" s="213" t="s">
        <v>34</v>
      </c>
      <c r="B35" s="205" t="s">
        <v>332</v>
      </c>
      <c r="C35" s="205">
        <v>2018</v>
      </c>
      <c r="D35" s="247" t="s">
        <v>371</v>
      </c>
      <c r="E35" s="234" t="s">
        <v>173</v>
      </c>
      <c r="F35" s="234" t="s">
        <v>330</v>
      </c>
      <c r="G35" s="213" t="s">
        <v>36</v>
      </c>
      <c r="H35" s="205" t="s">
        <v>155</v>
      </c>
      <c r="I35" s="213" t="s">
        <v>153</v>
      </c>
      <c r="J35" s="213" t="s">
        <v>38</v>
      </c>
      <c r="K35" s="213" t="s">
        <v>154</v>
      </c>
      <c r="L35" s="213">
        <v>1</v>
      </c>
      <c r="N35" s="205">
        <v>1</v>
      </c>
      <c r="O35" s="205">
        <v>0.2</v>
      </c>
      <c r="P35" s="205">
        <v>0.2</v>
      </c>
      <c r="Q35" s="242">
        <f t="shared" ref="Q35:Q36" si="3">IF(OR(O35="",P35=""),"",AVERAGE(O35,P35))</f>
        <v>0.2</v>
      </c>
      <c r="R35" s="205">
        <v>14.6</v>
      </c>
      <c r="S35" s="205">
        <v>143</v>
      </c>
      <c r="T35" s="214">
        <f t="shared" si="1"/>
        <v>30</v>
      </c>
      <c r="U35" s="205">
        <v>104</v>
      </c>
      <c r="V35" s="214">
        <f t="shared" si="2"/>
        <v>3120</v>
      </c>
      <c r="W35" s="205">
        <v>2</v>
      </c>
      <c r="X35" s="213" t="s">
        <v>46</v>
      </c>
      <c r="Y35" s="213" t="s">
        <v>84</v>
      </c>
      <c r="Z35" s="213" t="s">
        <v>69</v>
      </c>
      <c r="AA35" s="213" t="s">
        <v>50</v>
      </c>
      <c r="AB35" s="213" t="s">
        <v>334</v>
      </c>
    </row>
    <row r="36" spans="1:28" x14ac:dyDescent="0.15">
      <c r="A36" s="213" t="s">
        <v>34</v>
      </c>
      <c r="B36" s="205" t="s">
        <v>332</v>
      </c>
      <c r="C36" s="205">
        <v>2018</v>
      </c>
      <c r="D36" s="247" t="s">
        <v>371</v>
      </c>
      <c r="E36" s="234" t="s">
        <v>173</v>
      </c>
      <c r="F36" s="234" t="s">
        <v>330</v>
      </c>
      <c r="G36" s="213" t="s">
        <v>36</v>
      </c>
      <c r="H36" s="205" t="s">
        <v>155</v>
      </c>
      <c r="I36" s="213" t="s">
        <v>153</v>
      </c>
      <c r="J36" s="213" t="s">
        <v>38</v>
      </c>
      <c r="K36" s="213" t="s">
        <v>154</v>
      </c>
      <c r="L36" s="205">
        <v>2</v>
      </c>
      <c r="N36" s="205">
        <v>1</v>
      </c>
      <c r="O36" s="205">
        <v>0.2</v>
      </c>
      <c r="P36" s="205">
        <v>0.2</v>
      </c>
      <c r="Q36" s="242">
        <f t="shared" si="3"/>
        <v>0.2</v>
      </c>
      <c r="R36" s="205">
        <v>13.2</v>
      </c>
      <c r="S36" s="205">
        <v>136</v>
      </c>
      <c r="T36" s="214">
        <f t="shared" si="1"/>
        <v>30</v>
      </c>
      <c r="U36" s="205">
        <v>104</v>
      </c>
      <c r="V36" s="214">
        <f t="shared" si="2"/>
        <v>3120</v>
      </c>
      <c r="W36" s="205">
        <v>2</v>
      </c>
      <c r="X36" s="213" t="s">
        <v>46</v>
      </c>
      <c r="Y36" s="213" t="s">
        <v>84</v>
      </c>
      <c r="Z36" s="213" t="s">
        <v>69</v>
      </c>
      <c r="AA36" s="213" t="s">
        <v>50</v>
      </c>
      <c r="AB36" s="213" t="s">
        <v>334</v>
      </c>
    </row>
    <row r="37" spans="1:28" x14ac:dyDescent="0.15">
      <c r="A37" s="213" t="s">
        <v>34</v>
      </c>
      <c r="B37" s="205" t="s">
        <v>332</v>
      </c>
      <c r="C37" s="205">
        <v>2018</v>
      </c>
      <c r="D37" s="247" t="s">
        <v>371</v>
      </c>
      <c r="E37" s="234" t="s">
        <v>173</v>
      </c>
      <c r="F37" s="234" t="s">
        <v>330</v>
      </c>
      <c r="G37" s="213" t="s">
        <v>36</v>
      </c>
      <c r="H37" s="205" t="s">
        <v>155</v>
      </c>
      <c r="I37" s="213" t="s">
        <v>153</v>
      </c>
      <c r="J37" s="213" t="s">
        <v>38</v>
      </c>
      <c r="K37" s="213" t="s">
        <v>154</v>
      </c>
      <c r="L37" s="205">
        <v>3</v>
      </c>
      <c r="N37" s="205">
        <v>1</v>
      </c>
      <c r="O37" s="205">
        <v>0.2</v>
      </c>
      <c r="P37" s="205">
        <v>0.2</v>
      </c>
      <c r="Q37" s="242">
        <f>IF(OR(O37="",P37=""),"",AVERAGE(O37,P37))</f>
        <v>0.2</v>
      </c>
      <c r="R37" s="205">
        <v>14</v>
      </c>
      <c r="S37" s="205">
        <v>137</v>
      </c>
      <c r="T37" s="214">
        <f t="shared" si="1"/>
        <v>30</v>
      </c>
      <c r="U37" s="205">
        <v>104</v>
      </c>
      <c r="V37" s="214">
        <f t="shared" si="2"/>
        <v>3120</v>
      </c>
      <c r="W37" s="205">
        <v>2</v>
      </c>
      <c r="X37" s="213" t="s">
        <v>46</v>
      </c>
      <c r="Y37" s="213" t="s">
        <v>84</v>
      </c>
      <c r="Z37" s="213" t="s">
        <v>69</v>
      </c>
      <c r="AA37" s="213" t="s">
        <v>50</v>
      </c>
      <c r="AB37" s="213" t="s">
        <v>334</v>
      </c>
    </row>
    <row r="38" spans="1:28" x14ac:dyDescent="0.15">
      <c r="A38" s="213" t="s">
        <v>34</v>
      </c>
      <c r="B38" s="205" t="s">
        <v>332</v>
      </c>
      <c r="C38" s="205">
        <v>2018</v>
      </c>
      <c r="D38" s="247" t="s">
        <v>371</v>
      </c>
      <c r="E38" s="234" t="s">
        <v>173</v>
      </c>
      <c r="F38" s="234" t="s">
        <v>330</v>
      </c>
      <c r="G38" s="213" t="s">
        <v>36</v>
      </c>
      <c r="H38" s="205" t="s">
        <v>155</v>
      </c>
      <c r="I38" s="213" t="s">
        <v>153</v>
      </c>
      <c r="J38" s="213" t="s">
        <v>38</v>
      </c>
      <c r="K38" s="213" t="s">
        <v>154</v>
      </c>
      <c r="L38" s="213">
        <v>1</v>
      </c>
      <c r="N38" s="205">
        <v>4</v>
      </c>
      <c r="O38" s="205">
        <v>0.2</v>
      </c>
      <c r="P38" s="205">
        <v>0.2</v>
      </c>
      <c r="Q38" s="242">
        <f t="shared" ref="Q38:Q39" si="4">IF(OR(O38="",P38=""),"",AVERAGE(O38,P38))</f>
        <v>0.2</v>
      </c>
      <c r="R38" s="205">
        <v>15.6</v>
      </c>
      <c r="S38" s="205">
        <v>120</v>
      </c>
      <c r="T38" s="214">
        <f t="shared" si="1"/>
        <v>30</v>
      </c>
      <c r="U38" s="205">
        <v>428</v>
      </c>
      <c r="V38" s="214">
        <f t="shared" si="2"/>
        <v>3210</v>
      </c>
      <c r="W38" s="205">
        <v>2</v>
      </c>
      <c r="X38" s="213" t="s">
        <v>46</v>
      </c>
      <c r="Y38" s="213" t="s">
        <v>84</v>
      </c>
      <c r="Z38" s="213" t="s">
        <v>69</v>
      </c>
      <c r="AA38" s="213" t="s">
        <v>50</v>
      </c>
      <c r="AB38" s="213" t="s">
        <v>334</v>
      </c>
    </row>
    <row r="39" spans="1:28" x14ac:dyDescent="0.15">
      <c r="A39" s="213" t="s">
        <v>34</v>
      </c>
      <c r="B39" s="205" t="s">
        <v>332</v>
      </c>
      <c r="C39" s="205">
        <v>2018</v>
      </c>
      <c r="D39" s="247" t="s">
        <v>371</v>
      </c>
      <c r="E39" s="234" t="s">
        <v>173</v>
      </c>
      <c r="F39" s="234" t="s">
        <v>330</v>
      </c>
      <c r="G39" s="213" t="s">
        <v>36</v>
      </c>
      <c r="H39" s="205" t="s">
        <v>155</v>
      </c>
      <c r="I39" s="213" t="s">
        <v>153</v>
      </c>
      <c r="J39" s="213" t="s">
        <v>38</v>
      </c>
      <c r="K39" s="213" t="s">
        <v>154</v>
      </c>
      <c r="L39" s="205">
        <v>2</v>
      </c>
      <c r="N39" s="205">
        <v>4</v>
      </c>
      <c r="O39" s="205">
        <v>0.55000000000000004</v>
      </c>
      <c r="P39" s="205">
        <v>0.6</v>
      </c>
      <c r="Q39" s="242">
        <f t="shared" si="4"/>
        <v>0.57499999999999996</v>
      </c>
      <c r="R39" s="205">
        <v>15.5</v>
      </c>
      <c r="S39" s="205">
        <v>122</v>
      </c>
      <c r="T39" s="214">
        <f t="shared" si="1"/>
        <v>30</v>
      </c>
      <c r="U39" s="205">
        <v>428</v>
      </c>
      <c r="V39" s="214">
        <f t="shared" si="2"/>
        <v>3210</v>
      </c>
      <c r="W39" s="205">
        <v>2</v>
      </c>
      <c r="X39" s="213" t="s">
        <v>46</v>
      </c>
      <c r="Y39" s="213" t="s">
        <v>84</v>
      </c>
      <c r="Z39" s="213" t="s">
        <v>69</v>
      </c>
      <c r="AA39" s="213" t="s">
        <v>50</v>
      </c>
      <c r="AB39" s="213" t="s">
        <v>334</v>
      </c>
    </row>
    <row r="40" spans="1:28" x14ac:dyDescent="0.15">
      <c r="A40" s="213" t="s">
        <v>34</v>
      </c>
      <c r="B40" s="205" t="s">
        <v>332</v>
      </c>
      <c r="C40" s="205">
        <v>2018</v>
      </c>
      <c r="D40" s="247" t="s">
        <v>371</v>
      </c>
      <c r="E40" s="234" t="s">
        <v>173</v>
      </c>
      <c r="F40" s="234" t="s">
        <v>330</v>
      </c>
      <c r="G40" s="213" t="s">
        <v>36</v>
      </c>
      <c r="H40" s="205" t="s">
        <v>155</v>
      </c>
      <c r="I40" s="213" t="s">
        <v>153</v>
      </c>
      <c r="J40" s="213" t="s">
        <v>38</v>
      </c>
      <c r="K40" s="213" t="s">
        <v>154</v>
      </c>
      <c r="L40" s="205">
        <v>3</v>
      </c>
      <c r="N40" s="205">
        <v>4</v>
      </c>
      <c r="O40" s="205">
        <v>0.2</v>
      </c>
      <c r="P40" s="205">
        <v>0.2</v>
      </c>
      <c r="Q40" s="242">
        <f>IF(OR(O40="",P40=""),"",AVERAGE(O40,P40))</f>
        <v>0.2</v>
      </c>
      <c r="R40" s="205">
        <v>15.1</v>
      </c>
      <c r="S40" s="205">
        <v>123</v>
      </c>
      <c r="T40" s="214">
        <f t="shared" si="1"/>
        <v>30</v>
      </c>
      <c r="U40" s="205">
        <v>428</v>
      </c>
      <c r="V40" s="214">
        <f t="shared" si="2"/>
        <v>3210</v>
      </c>
      <c r="W40" s="205">
        <v>2</v>
      </c>
      <c r="X40" s="213" t="s">
        <v>46</v>
      </c>
      <c r="Y40" s="213" t="s">
        <v>84</v>
      </c>
      <c r="Z40" s="213" t="s">
        <v>69</v>
      </c>
      <c r="AA40" s="213" t="s">
        <v>50</v>
      </c>
      <c r="AB40" s="213" t="s">
        <v>334</v>
      </c>
    </row>
    <row r="41" spans="1:28" x14ac:dyDescent="0.15">
      <c r="A41" s="213" t="s">
        <v>34</v>
      </c>
      <c r="B41" s="205" t="s">
        <v>332</v>
      </c>
      <c r="C41" s="205">
        <v>2018</v>
      </c>
      <c r="D41" s="247" t="s">
        <v>371</v>
      </c>
      <c r="E41" s="234" t="s">
        <v>173</v>
      </c>
      <c r="F41" s="234" t="s">
        <v>330</v>
      </c>
      <c r="G41" s="213" t="s">
        <v>36</v>
      </c>
      <c r="H41" s="205" t="s">
        <v>166</v>
      </c>
      <c r="I41" s="213" t="s">
        <v>153</v>
      </c>
      <c r="J41" s="213" t="s">
        <v>38</v>
      </c>
      <c r="K41" s="213" t="s">
        <v>154</v>
      </c>
      <c r="L41" s="213">
        <v>1</v>
      </c>
      <c r="N41" s="205">
        <v>4</v>
      </c>
      <c r="O41" s="205">
        <v>0.2</v>
      </c>
      <c r="P41" s="205">
        <v>0.2</v>
      </c>
      <c r="Q41" s="242">
        <f t="shared" si="0"/>
        <v>0.2</v>
      </c>
      <c r="R41" s="205">
        <v>15.9</v>
      </c>
      <c r="S41" s="205">
        <v>135</v>
      </c>
      <c r="T41" s="214">
        <f t="shared" si="1"/>
        <v>30</v>
      </c>
      <c r="U41" s="205">
        <v>515</v>
      </c>
      <c r="V41" s="214">
        <f t="shared" si="2"/>
        <v>3862.5</v>
      </c>
      <c r="W41" s="205">
        <v>2</v>
      </c>
      <c r="X41" s="213" t="s">
        <v>46</v>
      </c>
      <c r="Y41" s="213" t="s">
        <v>84</v>
      </c>
      <c r="Z41" s="213" t="s">
        <v>69</v>
      </c>
      <c r="AA41" s="213" t="s">
        <v>50</v>
      </c>
      <c r="AB41" s="213" t="s">
        <v>334</v>
      </c>
    </row>
    <row r="42" spans="1:28" x14ac:dyDescent="0.15">
      <c r="A42" s="213" t="s">
        <v>34</v>
      </c>
      <c r="B42" s="205" t="s">
        <v>332</v>
      </c>
      <c r="C42" s="205">
        <v>2018</v>
      </c>
      <c r="D42" s="247" t="s">
        <v>371</v>
      </c>
      <c r="E42" s="234" t="s">
        <v>173</v>
      </c>
      <c r="F42" s="234" t="s">
        <v>330</v>
      </c>
      <c r="G42" s="213" t="s">
        <v>36</v>
      </c>
      <c r="H42" s="205" t="s">
        <v>166</v>
      </c>
      <c r="I42" s="213" t="s">
        <v>153</v>
      </c>
      <c r="J42" s="213" t="s">
        <v>38</v>
      </c>
      <c r="K42" s="213" t="s">
        <v>154</v>
      </c>
      <c r="L42" s="205">
        <v>2</v>
      </c>
      <c r="N42" s="205">
        <v>4</v>
      </c>
      <c r="O42" s="205">
        <v>0.2</v>
      </c>
      <c r="P42" s="205">
        <v>0.2</v>
      </c>
      <c r="Q42" s="242">
        <f t="shared" si="0"/>
        <v>0.2</v>
      </c>
      <c r="R42" s="205">
        <v>16.600000000000001</v>
      </c>
      <c r="S42" s="205">
        <v>143</v>
      </c>
      <c r="T42" s="214">
        <f t="shared" si="1"/>
        <v>30</v>
      </c>
      <c r="U42" s="205">
        <v>515</v>
      </c>
      <c r="V42" s="214">
        <f t="shared" si="2"/>
        <v>3862.5</v>
      </c>
      <c r="W42" s="205">
        <v>2</v>
      </c>
      <c r="X42" s="213" t="s">
        <v>46</v>
      </c>
      <c r="Y42" s="213" t="s">
        <v>84</v>
      </c>
      <c r="Z42" s="213" t="s">
        <v>69</v>
      </c>
      <c r="AA42" s="213" t="s">
        <v>50</v>
      </c>
      <c r="AB42" s="213" t="s">
        <v>334</v>
      </c>
    </row>
    <row r="43" spans="1:28" x14ac:dyDescent="0.15">
      <c r="A43" s="213" t="s">
        <v>34</v>
      </c>
      <c r="B43" s="205" t="s">
        <v>332</v>
      </c>
      <c r="C43" s="205">
        <v>2018</v>
      </c>
      <c r="D43" s="247" t="s">
        <v>371</v>
      </c>
      <c r="E43" s="234" t="s">
        <v>173</v>
      </c>
      <c r="F43" s="234" t="s">
        <v>330</v>
      </c>
      <c r="G43" s="213" t="s">
        <v>36</v>
      </c>
      <c r="H43" s="205" t="s">
        <v>166</v>
      </c>
      <c r="I43" s="213" t="s">
        <v>153</v>
      </c>
      <c r="J43" s="213" t="s">
        <v>38</v>
      </c>
      <c r="K43" s="213" t="s">
        <v>154</v>
      </c>
      <c r="L43" s="205">
        <v>3</v>
      </c>
      <c r="N43" s="205">
        <v>4</v>
      </c>
      <c r="O43" s="205">
        <v>0.5</v>
      </c>
      <c r="P43" s="205">
        <v>0.6</v>
      </c>
      <c r="Q43" s="242">
        <f t="shared" si="0"/>
        <v>0.55000000000000004</v>
      </c>
      <c r="R43" s="205">
        <v>16.399999999999999</v>
      </c>
      <c r="S43" s="205">
        <v>146</v>
      </c>
      <c r="T43" s="214">
        <f t="shared" si="1"/>
        <v>30</v>
      </c>
      <c r="U43" s="205">
        <v>515</v>
      </c>
      <c r="V43" s="214">
        <f t="shared" si="2"/>
        <v>3862.5</v>
      </c>
      <c r="W43" s="205">
        <v>2</v>
      </c>
      <c r="X43" s="213" t="s">
        <v>46</v>
      </c>
      <c r="Y43" s="213" t="s">
        <v>84</v>
      </c>
      <c r="Z43" s="213" t="s">
        <v>69</v>
      </c>
      <c r="AA43" s="213" t="s">
        <v>50</v>
      </c>
      <c r="AB43" s="213" t="s">
        <v>334</v>
      </c>
    </row>
    <row r="44" spans="1:28" x14ac:dyDescent="0.15">
      <c r="A44" s="213" t="s">
        <v>34</v>
      </c>
      <c r="B44" s="205" t="s">
        <v>332</v>
      </c>
      <c r="C44" s="205">
        <v>2018</v>
      </c>
      <c r="D44" s="247" t="s">
        <v>371</v>
      </c>
      <c r="E44" s="234" t="s">
        <v>173</v>
      </c>
      <c r="F44" s="234" t="s">
        <v>330</v>
      </c>
      <c r="G44" s="213" t="s">
        <v>36</v>
      </c>
      <c r="H44" s="205" t="s">
        <v>127</v>
      </c>
      <c r="I44" s="213" t="s">
        <v>153</v>
      </c>
      <c r="J44" s="213" t="s">
        <v>67</v>
      </c>
      <c r="K44" s="213" t="s">
        <v>87</v>
      </c>
      <c r="L44" s="213">
        <v>1</v>
      </c>
      <c r="N44" s="205">
        <v>5</v>
      </c>
      <c r="O44" s="205">
        <v>0.2</v>
      </c>
      <c r="P44" s="205">
        <v>0.2</v>
      </c>
      <c r="Q44" s="242">
        <f t="shared" si="0"/>
        <v>0.2</v>
      </c>
      <c r="R44" s="205">
        <v>13.4</v>
      </c>
      <c r="S44" s="205">
        <v>104</v>
      </c>
      <c r="T44" s="214">
        <f t="shared" si="1"/>
        <v>33</v>
      </c>
      <c r="U44" s="205">
        <v>320</v>
      </c>
      <c r="V44" s="214">
        <f t="shared" si="2"/>
        <v>2112</v>
      </c>
      <c r="W44" s="205">
        <v>1</v>
      </c>
      <c r="X44" s="213" t="s">
        <v>46</v>
      </c>
      <c r="Y44" s="213" t="s">
        <v>84</v>
      </c>
      <c r="Z44" s="213" t="s">
        <v>69</v>
      </c>
      <c r="AA44" s="213" t="s">
        <v>50</v>
      </c>
      <c r="AB44" s="213" t="s">
        <v>334</v>
      </c>
    </row>
    <row r="45" spans="1:28" x14ac:dyDescent="0.15">
      <c r="A45" s="213" t="s">
        <v>34</v>
      </c>
      <c r="B45" s="205" t="s">
        <v>332</v>
      </c>
      <c r="C45" s="205">
        <v>2018</v>
      </c>
      <c r="D45" s="247" t="s">
        <v>371</v>
      </c>
      <c r="E45" s="234" t="s">
        <v>173</v>
      </c>
      <c r="F45" s="234" t="s">
        <v>330</v>
      </c>
      <c r="G45" s="213" t="s">
        <v>36</v>
      </c>
      <c r="H45" s="205" t="s">
        <v>127</v>
      </c>
      <c r="I45" s="213" t="s">
        <v>153</v>
      </c>
      <c r="J45" s="213" t="s">
        <v>67</v>
      </c>
      <c r="K45" s="213" t="s">
        <v>87</v>
      </c>
      <c r="L45" s="205">
        <v>2</v>
      </c>
      <c r="N45" s="205">
        <v>5</v>
      </c>
      <c r="O45" s="205">
        <v>0.2</v>
      </c>
      <c r="P45" s="205">
        <v>0.2</v>
      </c>
      <c r="Q45" s="242">
        <f t="shared" si="0"/>
        <v>0.2</v>
      </c>
      <c r="R45" s="205">
        <v>9.6</v>
      </c>
      <c r="S45" s="205">
        <v>100</v>
      </c>
      <c r="T45" s="214">
        <f t="shared" si="1"/>
        <v>33</v>
      </c>
      <c r="U45" s="205">
        <v>320</v>
      </c>
      <c r="V45" s="214">
        <f t="shared" si="2"/>
        <v>2112</v>
      </c>
      <c r="W45" s="205">
        <v>1</v>
      </c>
      <c r="X45" s="213" t="s">
        <v>46</v>
      </c>
      <c r="Y45" s="213" t="s">
        <v>84</v>
      </c>
      <c r="Z45" s="213" t="s">
        <v>69</v>
      </c>
      <c r="AA45" s="213" t="s">
        <v>50</v>
      </c>
      <c r="AB45" s="213" t="s">
        <v>334</v>
      </c>
    </row>
    <row r="46" spans="1:28" x14ac:dyDescent="0.15">
      <c r="A46" s="213" t="s">
        <v>34</v>
      </c>
      <c r="B46" s="205" t="s">
        <v>332</v>
      </c>
      <c r="C46" s="205">
        <v>2018</v>
      </c>
      <c r="D46" s="247" t="s">
        <v>371</v>
      </c>
      <c r="E46" s="234" t="s">
        <v>173</v>
      </c>
      <c r="F46" s="234" t="s">
        <v>330</v>
      </c>
      <c r="G46" s="213" t="s">
        <v>36</v>
      </c>
      <c r="H46" s="205" t="s">
        <v>127</v>
      </c>
      <c r="I46" s="213" t="s">
        <v>153</v>
      </c>
      <c r="J46" s="213" t="s">
        <v>67</v>
      </c>
      <c r="K46" s="213" t="s">
        <v>87</v>
      </c>
      <c r="L46" s="205">
        <v>3</v>
      </c>
      <c r="N46" s="205">
        <v>5</v>
      </c>
      <c r="O46" s="205">
        <v>0.2</v>
      </c>
      <c r="P46" s="205">
        <v>0.2</v>
      </c>
      <c r="Q46" s="242">
        <f t="shared" si="0"/>
        <v>0.2</v>
      </c>
      <c r="R46" s="205">
        <v>13.9</v>
      </c>
      <c r="S46" s="205">
        <v>97</v>
      </c>
      <c r="T46" s="214">
        <f t="shared" si="1"/>
        <v>36</v>
      </c>
      <c r="U46" s="205">
        <v>320</v>
      </c>
      <c r="V46" s="214">
        <f t="shared" si="2"/>
        <v>2304</v>
      </c>
      <c r="W46" s="205">
        <v>1</v>
      </c>
      <c r="X46" s="213" t="s">
        <v>46</v>
      </c>
      <c r="Y46" s="213" t="s">
        <v>84</v>
      </c>
      <c r="Z46" s="213" t="s">
        <v>69</v>
      </c>
      <c r="AA46" s="213" t="s">
        <v>50</v>
      </c>
      <c r="AB46" s="213" t="s">
        <v>334</v>
      </c>
    </row>
    <row r="47" spans="1:28" x14ac:dyDescent="0.15">
      <c r="A47" s="213" t="s">
        <v>34</v>
      </c>
      <c r="B47" s="205" t="s">
        <v>332</v>
      </c>
      <c r="C47" s="205">
        <v>2018</v>
      </c>
      <c r="D47" s="247" t="s">
        <v>371</v>
      </c>
      <c r="E47" s="234" t="s">
        <v>281</v>
      </c>
      <c r="F47" s="234" t="s">
        <v>315</v>
      </c>
      <c r="G47" s="213" t="s">
        <v>36</v>
      </c>
      <c r="H47" s="205" t="s">
        <v>127</v>
      </c>
      <c r="I47" s="213" t="s">
        <v>153</v>
      </c>
      <c r="J47" s="213" t="s">
        <v>80</v>
      </c>
      <c r="K47" s="213" t="s">
        <v>45</v>
      </c>
      <c r="L47" s="213">
        <v>1</v>
      </c>
      <c r="N47" s="205">
        <v>5</v>
      </c>
      <c r="O47" s="205">
        <v>0.7</v>
      </c>
      <c r="P47" s="205">
        <v>0.65</v>
      </c>
      <c r="Q47" s="242">
        <f t="shared" si="0"/>
        <v>0.67500000000000004</v>
      </c>
      <c r="R47" s="205">
        <v>11.3</v>
      </c>
      <c r="S47" s="205">
        <v>88</v>
      </c>
      <c r="T47" s="214">
        <f t="shared" si="1"/>
        <v>36</v>
      </c>
      <c r="U47" s="205">
        <v>321</v>
      </c>
      <c r="V47" s="214">
        <f t="shared" si="2"/>
        <v>2311.2000000000003</v>
      </c>
      <c r="W47" s="205">
        <v>1</v>
      </c>
      <c r="X47" s="213" t="s">
        <v>46</v>
      </c>
      <c r="Y47" s="213" t="s">
        <v>84</v>
      </c>
      <c r="Z47" s="213" t="s">
        <v>90</v>
      </c>
      <c r="AA47" s="213" t="s">
        <v>69</v>
      </c>
      <c r="AB47" s="213" t="s">
        <v>334</v>
      </c>
    </row>
    <row r="48" spans="1:28" x14ac:dyDescent="0.15">
      <c r="A48" s="213" t="s">
        <v>34</v>
      </c>
      <c r="B48" s="205" t="s">
        <v>332</v>
      </c>
      <c r="C48" s="205">
        <v>2018</v>
      </c>
      <c r="D48" s="247" t="s">
        <v>371</v>
      </c>
      <c r="E48" s="234" t="s">
        <v>281</v>
      </c>
      <c r="F48" s="234" t="s">
        <v>315</v>
      </c>
      <c r="G48" s="213" t="s">
        <v>36</v>
      </c>
      <c r="H48" s="205" t="s">
        <v>127</v>
      </c>
      <c r="I48" s="213" t="s">
        <v>153</v>
      </c>
      <c r="J48" s="213" t="s">
        <v>80</v>
      </c>
      <c r="K48" s="213" t="s">
        <v>45</v>
      </c>
      <c r="L48" s="205">
        <v>2</v>
      </c>
      <c r="N48" s="205">
        <v>5</v>
      </c>
      <c r="O48" s="205">
        <v>0.5</v>
      </c>
      <c r="P48" s="205">
        <v>0.55000000000000004</v>
      </c>
      <c r="Q48" s="242">
        <f t="shared" si="0"/>
        <v>0.52500000000000002</v>
      </c>
      <c r="R48" s="205">
        <v>13.2</v>
      </c>
      <c r="S48" s="205">
        <v>88</v>
      </c>
      <c r="T48" s="214">
        <f t="shared" si="1"/>
        <v>36</v>
      </c>
      <c r="U48" s="205">
        <v>321</v>
      </c>
      <c r="V48" s="214">
        <f t="shared" si="2"/>
        <v>2311.2000000000003</v>
      </c>
      <c r="W48" s="205">
        <v>1</v>
      </c>
      <c r="X48" s="213" t="s">
        <v>46</v>
      </c>
      <c r="Y48" s="213" t="s">
        <v>84</v>
      </c>
      <c r="Z48" s="213" t="s">
        <v>90</v>
      </c>
      <c r="AA48" s="213" t="s">
        <v>69</v>
      </c>
      <c r="AB48" s="213" t="s">
        <v>334</v>
      </c>
    </row>
    <row r="49" spans="1:28" x14ac:dyDescent="0.15">
      <c r="A49" s="213" t="s">
        <v>34</v>
      </c>
      <c r="B49" s="205" t="s">
        <v>332</v>
      </c>
      <c r="C49" s="205">
        <v>2018</v>
      </c>
      <c r="D49" s="247" t="s">
        <v>371</v>
      </c>
      <c r="E49" s="234" t="s">
        <v>281</v>
      </c>
      <c r="F49" s="234" t="s">
        <v>315</v>
      </c>
      <c r="G49" s="213" t="s">
        <v>36</v>
      </c>
      <c r="H49" s="205" t="s">
        <v>127</v>
      </c>
      <c r="I49" s="213" t="s">
        <v>153</v>
      </c>
      <c r="J49" s="213" t="s">
        <v>80</v>
      </c>
      <c r="K49" s="213" t="s">
        <v>45</v>
      </c>
      <c r="L49" s="205">
        <v>3</v>
      </c>
      <c r="N49" s="205">
        <v>5</v>
      </c>
      <c r="O49" s="205">
        <v>0.75</v>
      </c>
      <c r="P49" s="205">
        <v>1.2</v>
      </c>
      <c r="Q49" s="242">
        <f t="shared" si="0"/>
        <v>0.97499999999999998</v>
      </c>
      <c r="R49" s="205">
        <v>13.7</v>
      </c>
      <c r="S49" s="205">
        <v>89</v>
      </c>
      <c r="T49" s="214">
        <f t="shared" si="1"/>
        <v>36</v>
      </c>
      <c r="U49" s="205">
        <v>321</v>
      </c>
      <c r="V49" s="214">
        <f t="shared" si="2"/>
        <v>2311.2000000000003</v>
      </c>
      <c r="W49" s="205">
        <v>1</v>
      </c>
      <c r="X49" s="213" t="s">
        <v>46</v>
      </c>
      <c r="Y49" s="213" t="s">
        <v>84</v>
      </c>
      <c r="Z49" s="213" t="s">
        <v>90</v>
      </c>
      <c r="AA49" s="213" t="s">
        <v>69</v>
      </c>
      <c r="AB49" s="213" t="s">
        <v>334</v>
      </c>
    </row>
    <row r="50" spans="1:28" x14ac:dyDescent="0.15">
      <c r="A50" s="213" t="s">
        <v>34</v>
      </c>
      <c r="B50" s="205" t="s">
        <v>332</v>
      </c>
      <c r="C50" s="205">
        <v>2018</v>
      </c>
      <c r="D50" s="247" t="s">
        <v>371</v>
      </c>
      <c r="E50" s="234" t="s">
        <v>316</v>
      </c>
      <c r="F50" s="234" t="s">
        <v>317</v>
      </c>
      <c r="G50" s="213" t="s">
        <v>36</v>
      </c>
      <c r="H50" s="205" t="s">
        <v>155</v>
      </c>
      <c r="I50" s="213" t="s">
        <v>153</v>
      </c>
      <c r="J50" s="213" t="s">
        <v>38</v>
      </c>
      <c r="K50" s="213" t="s">
        <v>154</v>
      </c>
      <c r="L50" s="213">
        <v>1</v>
      </c>
      <c r="N50" s="205">
        <v>1</v>
      </c>
      <c r="O50" s="205">
        <v>0.8</v>
      </c>
      <c r="P50" s="205">
        <v>0.75</v>
      </c>
      <c r="Q50" s="242">
        <f t="shared" si="0"/>
        <v>0.77500000000000002</v>
      </c>
      <c r="R50" s="205">
        <v>10.8</v>
      </c>
      <c r="S50" s="205">
        <v>135</v>
      </c>
      <c r="T50" s="214">
        <f t="shared" si="1"/>
        <v>30</v>
      </c>
      <c r="U50" s="205">
        <v>138</v>
      </c>
      <c r="V50" s="214">
        <f t="shared" si="2"/>
        <v>4140</v>
      </c>
      <c r="W50" s="205">
        <v>3</v>
      </c>
      <c r="X50" s="213" t="s">
        <v>39</v>
      </c>
      <c r="Y50" s="213" t="s">
        <v>84</v>
      </c>
      <c r="Z50" s="213" t="s">
        <v>90</v>
      </c>
      <c r="AA50" s="213" t="s">
        <v>69</v>
      </c>
      <c r="AB50" s="213" t="s">
        <v>334</v>
      </c>
    </row>
    <row r="51" spans="1:28" x14ac:dyDescent="0.15">
      <c r="A51" s="213" t="s">
        <v>34</v>
      </c>
      <c r="B51" s="205" t="s">
        <v>332</v>
      </c>
      <c r="C51" s="205">
        <v>2018</v>
      </c>
      <c r="D51" s="247" t="s">
        <v>371</v>
      </c>
      <c r="E51" s="234" t="s">
        <v>316</v>
      </c>
      <c r="F51" s="234" t="s">
        <v>317</v>
      </c>
      <c r="G51" s="213" t="s">
        <v>36</v>
      </c>
      <c r="H51" s="205" t="s">
        <v>155</v>
      </c>
      <c r="I51" s="213" t="s">
        <v>153</v>
      </c>
      <c r="J51" s="213" t="s">
        <v>38</v>
      </c>
      <c r="K51" s="213" t="s">
        <v>154</v>
      </c>
      <c r="L51" s="205">
        <v>2</v>
      </c>
      <c r="N51" s="205">
        <v>1</v>
      </c>
      <c r="O51" s="205">
        <v>0.8</v>
      </c>
      <c r="P51" s="205">
        <v>0.9</v>
      </c>
      <c r="Q51" s="242">
        <f t="shared" si="0"/>
        <v>0.85000000000000009</v>
      </c>
      <c r="R51" s="205">
        <v>13.7</v>
      </c>
      <c r="S51" s="205">
        <v>124</v>
      </c>
      <c r="T51" s="214">
        <f t="shared" si="1"/>
        <v>30</v>
      </c>
      <c r="U51" s="205">
        <v>138</v>
      </c>
      <c r="V51" s="214">
        <f t="shared" si="2"/>
        <v>4140</v>
      </c>
      <c r="W51" s="205">
        <v>3</v>
      </c>
      <c r="X51" s="213" t="s">
        <v>39</v>
      </c>
      <c r="Y51" s="213" t="s">
        <v>84</v>
      </c>
      <c r="Z51" s="213" t="s">
        <v>90</v>
      </c>
      <c r="AA51" s="213" t="s">
        <v>69</v>
      </c>
      <c r="AB51" s="213" t="s">
        <v>334</v>
      </c>
    </row>
    <row r="52" spans="1:28" x14ac:dyDescent="0.15">
      <c r="A52" s="213" t="s">
        <v>34</v>
      </c>
      <c r="B52" s="205" t="s">
        <v>332</v>
      </c>
      <c r="C52" s="205">
        <v>2018</v>
      </c>
      <c r="D52" s="247" t="s">
        <v>371</v>
      </c>
      <c r="E52" s="234" t="s">
        <v>316</v>
      </c>
      <c r="F52" s="234" t="s">
        <v>317</v>
      </c>
      <c r="G52" s="213" t="s">
        <v>36</v>
      </c>
      <c r="H52" s="205" t="s">
        <v>155</v>
      </c>
      <c r="I52" s="213" t="s">
        <v>153</v>
      </c>
      <c r="J52" s="213" t="s">
        <v>38</v>
      </c>
      <c r="K52" s="213" t="s">
        <v>154</v>
      </c>
      <c r="L52" s="205">
        <v>3</v>
      </c>
      <c r="N52" s="205">
        <v>1</v>
      </c>
      <c r="O52" s="205">
        <v>0.65</v>
      </c>
      <c r="P52" s="205">
        <v>0.75</v>
      </c>
      <c r="Q52" s="242">
        <f t="shared" si="0"/>
        <v>0.7</v>
      </c>
      <c r="R52" s="205">
        <v>13.2</v>
      </c>
      <c r="S52" s="205">
        <v>130</v>
      </c>
      <c r="T52" s="214">
        <f t="shared" si="1"/>
        <v>30</v>
      </c>
      <c r="U52" s="205">
        <v>138</v>
      </c>
      <c r="V52" s="214">
        <f t="shared" si="2"/>
        <v>4140</v>
      </c>
      <c r="W52" s="205">
        <v>3</v>
      </c>
      <c r="X52" s="213" t="s">
        <v>39</v>
      </c>
      <c r="Y52" s="213" t="s">
        <v>84</v>
      </c>
      <c r="Z52" s="213" t="s">
        <v>90</v>
      </c>
      <c r="AA52" s="213" t="s">
        <v>69</v>
      </c>
      <c r="AB52" s="213" t="s">
        <v>334</v>
      </c>
    </row>
    <row r="53" spans="1:28" x14ac:dyDescent="0.15">
      <c r="A53" s="213" t="s">
        <v>34</v>
      </c>
      <c r="B53" s="205" t="s">
        <v>332</v>
      </c>
      <c r="C53" s="205">
        <v>2018</v>
      </c>
      <c r="D53" s="247" t="s">
        <v>371</v>
      </c>
      <c r="E53" s="234" t="s">
        <v>316</v>
      </c>
      <c r="F53" s="234" t="s">
        <v>317</v>
      </c>
      <c r="G53" s="213" t="s">
        <v>36</v>
      </c>
      <c r="H53" s="205" t="s">
        <v>155</v>
      </c>
      <c r="I53" s="213" t="s">
        <v>153</v>
      </c>
      <c r="J53" s="213" t="s">
        <v>38</v>
      </c>
      <c r="K53" s="213" t="s">
        <v>154</v>
      </c>
      <c r="L53" s="213">
        <v>1</v>
      </c>
      <c r="N53" s="205">
        <v>8</v>
      </c>
      <c r="O53" s="205">
        <v>0.7</v>
      </c>
      <c r="P53" s="205">
        <v>0.5</v>
      </c>
      <c r="Q53" s="242">
        <f t="shared" si="0"/>
        <v>0.6</v>
      </c>
      <c r="R53" s="205">
        <v>13.4</v>
      </c>
      <c r="S53" s="205">
        <v>91</v>
      </c>
      <c r="T53" s="214">
        <f t="shared" si="1"/>
        <v>36</v>
      </c>
      <c r="U53" s="205">
        <v>430</v>
      </c>
      <c r="V53" s="214">
        <f t="shared" si="2"/>
        <v>1935</v>
      </c>
      <c r="W53" s="205">
        <v>3</v>
      </c>
      <c r="X53" s="213" t="s">
        <v>39</v>
      </c>
      <c r="Y53" s="213" t="s">
        <v>84</v>
      </c>
      <c r="Z53" s="213" t="s">
        <v>90</v>
      </c>
      <c r="AA53" s="213" t="s">
        <v>69</v>
      </c>
      <c r="AB53" s="213" t="s">
        <v>334</v>
      </c>
    </row>
    <row r="54" spans="1:28" x14ac:dyDescent="0.15">
      <c r="A54" s="213" t="s">
        <v>34</v>
      </c>
      <c r="B54" s="205" t="s">
        <v>332</v>
      </c>
      <c r="C54" s="205">
        <v>2018</v>
      </c>
      <c r="D54" s="247" t="s">
        <v>371</v>
      </c>
      <c r="E54" s="234" t="s">
        <v>316</v>
      </c>
      <c r="F54" s="234" t="s">
        <v>317</v>
      </c>
      <c r="G54" s="213" t="s">
        <v>36</v>
      </c>
      <c r="H54" s="205" t="s">
        <v>155</v>
      </c>
      <c r="I54" s="213" t="s">
        <v>153</v>
      </c>
      <c r="J54" s="213" t="s">
        <v>38</v>
      </c>
      <c r="K54" s="213" t="s">
        <v>154</v>
      </c>
      <c r="L54" s="205">
        <v>2</v>
      </c>
      <c r="N54" s="205">
        <v>8</v>
      </c>
      <c r="O54" s="205">
        <v>0.7</v>
      </c>
      <c r="P54" s="205">
        <v>0.8</v>
      </c>
      <c r="Q54" s="242">
        <f t="shared" si="0"/>
        <v>0.75</v>
      </c>
      <c r="R54" s="205">
        <v>13.9</v>
      </c>
      <c r="S54" s="205">
        <v>85</v>
      </c>
      <c r="T54" s="214">
        <f t="shared" si="1"/>
        <v>36</v>
      </c>
      <c r="U54" s="205">
        <v>430</v>
      </c>
      <c r="V54" s="214">
        <f t="shared" si="2"/>
        <v>1935</v>
      </c>
      <c r="W54" s="205">
        <v>3</v>
      </c>
      <c r="X54" s="213" t="s">
        <v>39</v>
      </c>
      <c r="Y54" s="213" t="s">
        <v>84</v>
      </c>
      <c r="Z54" s="213" t="s">
        <v>90</v>
      </c>
      <c r="AA54" s="213" t="s">
        <v>69</v>
      </c>
      <c r="AB54" s="213" t="s">
        <v>334</v>
      </c>
    </row>
    <row r="55" spans="1:28" x14ac:dyDescent="0.15">
      <c r="A55" s="213" t="s">
        <v>34</v>
      </c>
      <c r="B55" s="205" t="s">
        <v>332</v>
      </c>
      <c r="C55" s="205">
        <v>2018</v>
      </c>
      <c r="D55" s="247" t="s">
        <v>371</v>
      </c>
      <c r="E55" s="234" t="s">
        <v>316</v>
      </c>
      <c r="F55" s="234" t="s">
        <v>317</v>
      </c>
      <c r="G55" s="213" t="s">
        <v>36</v>
      </c>
      <c r="H55" s="205" t="s">
        <v>155</v>
      </c>
      <c r="I55" s="213" t="s">
        <v>153</v>
      </c>
      <c r="J55" s="213" t="s">
        <v>38</v>
      </c>
      <c r="K55" s="213" t="s">
        <v>154</v>
      </c>
      <c r="L55" s="205">
        <v>3</v>
      </c>
      <c r="N55" s="205">
        <v>8</v>
      </c>
      <c r="O55" s="205">
        <v>0.5</v>
      </c>
      <c r="P55" s="205">
        <v>0.5</v>
      </c>
      <c r="Q55" s="242">
        <f t="shared" si="0"/>
        <v>0.5</v>
      </c>
      <c r="R55" s="205">
        <v>9.3000000000000007</v>
      </c>
      <c r="S55" s="205">
        <v>75</v>
      </c>
      <c r="T55" s="214">
        <f t="shared" si="1"/>
        <v>42</v>
      </c>
      <c r="U55" s="205">
        <v>430</v>
      </c>
      <c r="V55" s="214">
        <f t="shared" si="2"/>
        <v>2257.5</v>
      </c>
      <c r="W55" s="205">
        <v>3</v>
      </c>
      <c r="X55" s="213" t="s">
        <v>39</v>
      </c>
      <c r="Y55" s="213" t="s">
        <v>84</v>
      </c>
      <c r="Z55" s="213" t="s">
        <v>90</v>
      </c>
      <c r="AA55" s="213" t="s">
        <v>69</v>
      </c>
      <c r="AB55" s="213" t="s">
        <v>334</v>
      </c>
    </row>
    <row r="56" spans="1:28" x14ac:dyDescent="0.15">
      <c r="A56" s="213" t="s">
        <v>34</v>
      </c>
      <c r="B56" s="205" t="s">
        <v>332</v>
      </c>
      <c r="C56" s="205">
        <v>2018</v>
      </c>
      <c r="D56" s="247" t="s">
        <v>371</v>
      </c>
      <c r="E56" s="234" t="s">
        <v>316</v>
      </c>
      <c r="F56" s="234" t="s">
        <v>317</v>
      </c>
      <c r="G56" s="213" t="s">
        <v>36</v>
      </c>
      <c r="H56" s="205" t="s">
        <v>166</v>
      </c>
      <c r="I56" s="213" t="s">
        <v>153</v>
      </c>
      <c r="J56" s="213" t="s">
        <v>38</v>
      </c>
      <c r="K56" s="213" t="s">
        <v>154</v>
      </c>
      <c r="L56" s="213">
        <v>1</v>
      </c>
      <c r="N56" s="205">
        <v>1</v>
      </c>
      <c r="O56" s="205">
        <v>0.2</v>
      </c>
      <c r="P56" s="205">
        <v>0.2</v>
      </c>
      <c r="Q56" s="242">
        <f t="shared" si="0"/>
        <v>0.2</v>
      </c>
      <c r="R56" s="205">
        <v>14.8</v>
      </c>
      <c r="S56" s="205">
        <v>127</v>
      </c>
      <c r="T56" s="214">
        <f t="shared" si="1"/>
        <v>30</v>
      </c>
      <c r="U56" s="205">
        <v>171</v>
      </c>
      <c r="V56" s="214">
        <f t="shared" si="2"/>
        <v>5130</v>
      </c>
      <c r="W56" s="205">
        <v>3</v>
      </c>
      <c r="X56" s="213" t="s">
        <v>39</v>
      </c>
      <c r="Y56" s="213" t="s">
        <v>84</v>
      </c>
      <c r="Z56" s="213" t="s">
        <v>90</v>
      </c>
      <c r="AA56" s="213" t="s">
        <v>69</v>
      </c>
      <c r="AB56" s="213" t="s">
        <v>334</v>
      </c>
    </row>
    <row r="57" spans="1:28" x14ac:dyDescent="0.15">
      <c r="A57" s="213" t="s">
        <v>34</v>
      </c>
      <c r="B57" s="205" t="s">
        <v>332</v>
      </c>
      <c r="C57" s="205">
        <v>2018</v>
      </c>
      <c r="D57" s="247" t="s">
        <v>371</v>
      </c>
      <c r="E57" s="234" t="s">
        <v>316</v>
      </c>
      <c r="F57" s="234" t="s">
        <v>317</v>
      </c>
      <c r="G57" s="213" t="s">
        <v>36</v>
      </c>
      <c r="H57" s="205" t="s">
        <v>166</v>
      </c>
      <c r="I57" s="213" t="s">
        <v>153</v>
      </c>
      <c r="J57" s="213" t="s">
        <v>38</v>
      </c>
      <c r="K57" s="213" t="s">
        <v>154</v>
      </c>
      <c r="L57" s="205">
        <v>2</v>
      </c>
      <c r="N57" s="205">
        <v>1</v>
      </c>
      <c r="O57" s="205">
        <v>0.65</v>
      </c>
      <c r="P57" s="205">
        <v>0.7</v>
      </c>
      <c r="Q57" s="242">
        <f t="shared" si="0"/>
        <v>0.67500000000000004</v>
      </c>
      <c r="R57" s="205">
        <v>14</v>
      </c>
      <c r="S57" s="205">
        <v>130</v>
      </c>
      <c r="T57" s="214">
        <f t="shared" si="1"/>
        <v>30</v>
      </c>
      <c r="U57" s="205">
        <v>171</v>
      </c>
      <c r="V57" s="214">
        <f t="shared" si="2"/>
        <v>5130</v>
      </c>
      <c r="W57" s="205">
        <v>3</v>
      </c>
      <c r="X57" s="213" t="s">
        <v>39</v>
      </c>
      <c r="Y57" s="213" t="s">
        <v>84</v>
      </c>
      <c r="Z57" s="213" t="s">
        <v>90</v>
      </c>
      <c r="AA57" s="213" t="s">
        <v>69</v>
      </c>
      <c r="AB57" s="213" t="s">
        <v>334</v>
      </c>
    </row>
    <row r="58" spans="1:28" x14ac:dyDescent="0.15">
      <c r="A58" s="213" t="s">
        <v>34</v>
      </c>
      <c r="B58" s="205" t="s">
        <v>332</v>
      </c>
      <c r="C58" s="205">
        <v>2018</v>
      </c>
      <c r="D58" s="247" t="s">
        <v>371</v>
      </c>
      <c r="E58" s="234" t="s">
        <v>316</v>
      </c>
      <c r="F58" s="234" t="s">
        <v>317</v>
      </c>
      <c r="G58" s="213" t="s">
        <v>36</v>
      </c>
      <c r="H58" s="205" t="s">
        <v>166</v>
      </c>
      <c r="I58" s="213" t="s">
        <v>153</v>
      </c>
      <c r="J58" s="213" t="s">
        <v>38</v>
      </c>
      <c r="K58" s="213" t="s">
        <v>154</v>
      </c>
      <c r="L58" s="205">
        <v>3</v>
      </c>
      <c r="N58" s="205">
        <v>1</v>
      </c>
      <c r="O58" s="205">
        <v>0.2</v>
      </c>
      <c r="P58" s="205">
        <v>0.55000000000000004</v>
      </c>
      <c r="Q58" s="242">
        <f t="shared" si="0"/>
        <v>0.375</v>
      </c>
      <c r="R58" s="205">
        <v>14.2</v>
      </c>
      <c r="S58" s="205">
        <v>127</v>
      </c>
      <c r="T58" s="214">
        <f t="shared" si="1"/>
        <v>30</v>
      </c>
      <c r="U58" s="205">
        <v>171</v>
      </c>
      <c r="V58" s="214">
        <f t="shared" si="2"/>
        <v>5130</v>
      </c>
      <c r="W58" s="205">
        <v>3</v>
      </c>
      <c r="X58" s="213" t="s">
        <v>39</v>
      </c>
      <c r="Y58" s="213" t="s">
        <v>84</v>
      </c>
      <c r="Z58" s="213" t="s">
        <v>90</v>
      </c>
      <c r="AA58" s="213" t="s">
        <v>69</v>
      </c>
      <c r="AB58" s="213" t="s">
        <v>334</v>
      </c>
    </row>
    <row r="59" spans="1:28" x14ac:dyDescent="0.15">
      <c r="A59" s="213" t="s">
        <v>34</v>
      </c>
      <c r="B59" s="205" t="s">
        <v>332</v>
      </c>
      <c r="C59" s="205">
        <v>2018</v>
      </c>
      <c r="D59" s="247" t="s">
        <v>371</v>
      </c>
      <c r="E59" s="234" t="s">
        <v>316</v>
      </c>
      <c r="F59" s="234" t="s">
        <v>317</v>
      </c>
      <c r="G59" s="213" t="s">
        <v>36</v>
      </c>
      <c r="H59" s="205" t="s">
        <v>166</v>
      </c>
      <c r="I59" s="213" t="s">
        <v>153</v>
      </c>
      <c r="J59" s="213" t="s">
        <v>38</v>
      </c>
      <c r="K59" s="213" t="s">
        <v>154</v>
      </c>
      <c r="L59" s="213">
        <v>1</v>
      </c>
      <c r="N59" s="205">
        <v>4</v>
      </c>
      <c r="O59" s="205">
        <v>0.2</v>
      </c>
      <c r="P59" s="205">
        <v>0.2</v>
      </c>
      <c r="Q59" s="242">
        <f t="shared" si="0"/>
        <v>0.2</v>
      </c>
      <c r="R59" s="205">
        <v>13</v>
      </c>
      <c r="S59" s="205">
        <v>112</v>
      </c>
      <c r="T59" s="214">
        <f t="shared" si="1"/>
        <v>33</v>
      </c>
      <c r="U59" s="205">
        <v>626</v>
      </c>
      <c r="V59" s="214">
        <f t="shared" si="2"/>
        <v>5164.5</v>
      </c>
      <c r="W59" s="205">
        <v>3</v>
      </c>
      <c r="X59" s="213" t="s">
        <v>39</v>
      </c>
      <c r="Y59" s="213" t="s">
        <v>84</v>
      </c>
      <c r="Z59" s="213" t="s">
        <v>90</v>
      </c>
      <c r="AA59" s="213" t="s">
        <v>69</v>
      </c>
      <c r="AB59" s="213" t="s">
        <v>334</v>
      </c>
    </row>
    <row r="60" spans="1:28" x14ac:dyDescent="0.15">
      <c r="A60" s="213" t="s">
        <v>34</v>
      </c>
      <c r="B60" s="205" t="s">
        <v>332</v>
      </c>
      <c r="C60" s="205">
        <v>2018</v>
      </c>
      <c r="D60" s="247" t="s">
        <v>371</v>
      </c>
      <c r="E60" s="234" t="s">
        <v>316</v>
      </c>
      <c r="F60" s="234" t="s">
        <v>317</v>
      </c>
      <c r="G60" s="213" t="s">
        <v>36</v>
      </c>
      <c r="H60" s="205" t="s">
        <v>166</v>
      </c>
      <c r="I60" s="213" t="s">
        <v>153</v>
      </c>
      <c r="J60" s="213" t="s">
        <v>38</v>
      </c>
      <c r="K60" s="213" t="s">
        <v>154</v>
      </c>
      <c r="L60" s="205">
        <v>2</v>
      </c>
      <c r="N60" s="205">
        <v>4</v>
      </c>
      <c r="O60" s="205">
        <v>0.2</v>
      </c>
      <c r="P60" s="205">
        <v>0.2</v>
      </c>
      <c r="Q60" s="242">
        <f t="shared" si="0"/>
        <v>0.2</v>
      </c>
      <c r="R60" s="205">
        <v>14.1</v>
      </c>
      <c r="S60" s="205">
        <v>106</v>
      </c>
      <c r="T60" s="214">
        <f t="shared" si="1"/>
        <v>33</v>
      </c>
      <c r="U60" s="205">
        <v>626</v>
      </c>
      <c r="V60" s="214">
        <f t="shared" si="2"/>
        <v>5164.5</v>
      </c>
      <c r="W60" s="205">
        <v>3</v>
      </c>
      <c r="X60" s="213" t="s">
        <v>39</v>
      </c>
      <c r="Y60" s="213" t="s">
        <v>84</v>
      </c>
      <c r="Z60" s="213" t="s">
        <v>90</v>
      </c>
      <c r="AA60" s="213" t="s">
        <v>69</v>
      </c>
      <c r="AB60" s="213" t="s">
        <v>334</v>
      </c>
    </row>
    <row r="61" spans="1:28" x14ac:dyDescent="0.15">
      <c r="A61" s="213" t="s">
        <v>34</v>
      </c>
      <c r="B61" s="205" t="s">
        <v>332</v>
      </c>
      <c r="C61" s="205">
        <v>2018</v>
      </c>
      <c r="D61" s="247" t="s">
        <v>371</v>
      </c>
      <c r="E61" s="234" t="s">
        <v>316</v>
      </c>
      <c r="F61" s="234" t="s">
        <v>317</v>
      </c>
      <c r="G61" s="213" t="s">
        <v>36</v>
      </c>
      <c r="H61" s="205" t="s">
        <v>166</v>
      </c>
      <c r="I61" s="213" t="s">
        <v>153</v>
      </c>
      <c r="J61" s="213" t="s">
        <v>38</v>
      </c>
      <c r="K61" s="213" t="s">
        <v>154</v>
      </c>
      <c r="L61" s="205">
        <v>3</v>
      </c>
      <c r="N61" s="205">
        <v>4</v>
      </c>
      <c r="O61" s="205">
        <v>0.2</v>
      </c>
      <c r="P61" s="205">
        <v>0.2</v>
      </c>
      <c r="Q61" s="242">
        <f t="shared" si="0"/>
        <v>0.2</v>
      </c>
      <c r="R61" s="205">
        <v>15.2</v>
      </c>
      <c r="S61" s="205">
        <v>106</v>
      </c>
      <c r="T61" s="214">
        <f t="shared" si="1"/>
        <v>33</v>
      </c>
      <c r="U61" s="205">
        <v>626</v>
      </c>
      <c r="V61" s="214">
        <f t="shared" si="2"/>
        <v>5164.5</v>
      </c>
      <c r="W61" s="205">
        <v>3</v>
      </c>
      <c r="X61" s="213" t="s">
        <v>39</v>
      </c>
      <c r="Y61" s="213" t="s">
        <v>84</v>
      </c>
      <c r="Z61" s="213" t="s">
        <v>90</v>
      </c>
      <c r="AA61" s="213" t="s">
        <v>69</v>
      </c>
      <c r="AB61" s="213" t="s">
        <v>334</v>
      </c>
    </row>
    <row r="62" spans="1:28" x14ac:dyDescent="0.15">
      <c r="A62" s="213" t="s">
        <v>34</v>
      </c>
      <c r="B62" s="205" t="s">
        <v>332</v>
      </c>
      <c r="C62" s="205">
        <v>2018</v>
      </c>
      <c r="D62" s="247" t="s">
        <v>371</v>
      </c>
      <c r="E62" s="234" t="s">
        <v>316</v>
      </c>
      <c r="F62" s="234" t="s">
        <v>317</v>
      </c>
      <c r="G62" s="213" t="s">
        <v>36</v>
      </c>
      <c r="H62" s="205" t="s">
        <v>129</v>
      </c>
      <c r="I62" s="213" t="s">
        <v>153</v>
      </c>
      <c r="J62" s="213" t="s">
        <v>58</v>
      </c>
      <c r="K62" s="213" t="s">
        <v>59</v>
      </c>
      <c r="L62" s="213">
        <v>1</v>
      </c>
      <c r="N62" s="205">
        <v>5</v>
      </c>
      <c r="O62" s="205">
        <v>0.2</v>
      </c>
      <c r="P62" s="205">
        <v>0.45</v>
      </c>
      <c r="Q62" s="242">
        <f t="shared" si="0"/>
        <v>0.32500000000000001</v>
      </c>
      <c r="R62" s="205">
        <v>13.6</v>
      </c>
      <c r="S62" s="205">
        <v>57</v>
      </c>
      <c r="T62" s="214">
        <f t="shared" si="1"/>
        <v>50</v>
      </c>
      <c r="U62" s="205">
        <v>538</v>
      </c>
      <c r="V62" s="214">
        <f t="shared" si="2"/>
        <v>5380</v>
      </c>
      <c r="W62" s="205">
        <v>1</v>
      </c>
      <c r="X62" s="213" t="s">
        <v>39</v>
      </c>
      <c r="Y62" s="213" t="s">
        <v>84</v>
      </c>
      <c r="Z62" s="213" t="s">
        <v>90</v>
      </c>
      <c r="AA62" s="213" t="s">
        <v>69</v>
      </c>
      <c r="AB62" s="213" t="s">
        <v>334</v>
      </c>
    </row>
    <row r="63" spans="1:28" x14ac:dyDescent="0.15">
      <c r="A63" s="213" t="s">
        <v>34</v>
      </c>
      <c r="B63" s="205" t="s">
        <v>332</v>
      </c>
      <c r="C63" s="205">
        <v>2018</v>
      </c>
      <c r="D63" s="247" t="s">
        <v>371</v>
      </c>
      <c r="E63" s="234" t="s">
        <v>316</v>
      </c>
      <c r="F63" s="234" t="s">
        <v>317</v>
      </c>
      <c r="G63" s="213" t="s">
        <v>36</v>
      </c>
      <c r="H63" s="205" t="s">
        <v>129</v>
      </c>
      <c r="I63" s="213" t="s">
        <v>153</v>
      </c>
      <c r="J63" s="213" t="s">
        <v>58</v>
      </c>
      <c r="K63" s="213" t="s">
        <v>59</v>
      </c>
      <c r="L63" s="205">
        <v>2</v>
      </c>
      <c r="N63" s="205">
        <v>5</v>
      </c>
      <c r="O63" s="205">
        <v>0.2</v>
      </c>
      <c r="P63" s="205">
        <v>0.2</v>
      </c>
      <c r="Q63" s="242">
        <f t="shared" si="0"/>
        <v>0.2</v>
      </c>
      <c r="R63" s="205">
        <v>22</v>
      </c>
      <c r="S63" s="205">
        <v>68</v>
      </c>
      <c r="T63" s="214">
        <f t="shared" si="1"/>
        <v>50</v>
      </c>
      <c r="U63" s="205">
        <v>538</v>
      </c>
      <c r="V63" s="214">
        <f t="shared" si="2"/>
        <v>5380</v>
      </c>
      <c r="W63" s="205">
        <v>1</v>
      </c>
      <c r="X63" s="213" t="s">
        <v>39</v>
      </c>
      <c r="Y63" s="213" t="s">
        <v>84</v>
      </c>
      <c r="Z63" s="213" t="s">
        <v>90</v>
      </c>
      <c r="AA63" s="213" t="s">
        <v>69</v>
      </c>
      <c r="AB63" s="213" t="s">
        <v>334</v>
      </c>
    </row>
    <row r="64" spans="1:28" x14ac:dyDescent="0.15">
      <c r="A64" s="213" t="s">
        <v>34</v>
      </c>
      <c r="B64" s="205" t="s">
        <v>332</v>
      </c>
      <c r="C64" s="205">
        <v>2018</v>
      </c>
      <c r="D64" s="247" t="s">
        <v>371</v>
      </c>
      <c r="E64" s="234" t="s">
        <v>316</v>
      </c>
      <c r="F64" s="234" t="s">
        <v>317</v>
      </c>
      <c r="G64" s="213" t="s">
        <v>36</v>
      </c>
      <c r="H64" s="205" t="s">
        <v>129</v>
      </c>
      <c r="I64" s="213" t="s">
        <v>153</v>
      </c>
      <c r="J64" s="213" t="s">
        <v>58</v>
      </c>
      <c r="K64" s="213" t="s">
        <v>59</v>
      </c>
      <c r="L64" s="205">
        <v>3</v>
      </c>
      <c r="N64" s="205">
        <v>5</v>
      </c>
      <c r="O64" s="205">
        <v>0.2</v>
      </c>
      <c r="P64" s="205">
        <v>0.2</v>
      </c>
      <c r="Q64" s="242">
        <f t="shared" si="0"/>
        <v>0.2</v>
      </c>
      <c r="R64" s="205">
        <v>18.2</v>
      </c>
      <c r="S64" s="205">
        <v>69</v>
      </c>
      <c r="T64" s="214">
        <f t="shared" si="1"/>
        <v>50</v>
      </c>
      <c r="U64" s="205">
        <v>538</v>
      </c>
      <c r="V64" s="214">
        <f t="shared" si="2"/>
        <v>5380</v>
      </c>
      <c r="W64" s="205">
        <v>1</v>
      </c>
      <c r="X64" s="213" t="s">
        <v>39</v>
      </c>
      <c r="Y64" s="213" t="s">
        <v>84</v>
      </c>
      <c r="Z64" s="213" t="s">
        <v>90</v>
      </c>
      <c r="AA64" s="213" t="s">
        <v>69</v>
      </c>
      <c r="AB64" s="213" t="s">
        <v>334</v>
      </c>
    </row>
    <row r="65" spans="1:28" x14ac:dyDescent="0.15">
      <c r="A65" s="213" t="s">
        <v>34</v>
      </c>
      <c r="B65" s="205" t="s">
        <v>332</v>
      </c>
      <c r="C65" s="205">
        <v>2018</v>
      </c>
      <c r="D65" s="247" t="s">
        <v>371</v>
      </c>
      <c r="E65" s="234" t="s">
        <v>316</v>
      </c>
      <c r="F65" s="234" t="s">
        <v>317</v>
      </c>
      <c r="G65" s="213" t="s">
        <v>36</v>
      </c>
      <c r="H65" s="205" t="s">
        <v>129</v>
      </c>
      <c r="I65" s="213" t="s">
        <v>153</v>
      </c>
      <c r="J65" s="213" t="s">
        <v>117</v>
      </c>
      <c r="K65" s="213" t="s">
        <v>68</v>
      </c>
      <c r="L65" s="213">
        <v>1</v>
      </c>
      <c r="N65" s="205">
        <v>5</v>
      </c>
      <c r="O65" s="205">
        <v>0.2</v>
      </c>
      <c r="P65" s="205">
        <v>0.2</v>
      </c>
      <c r="Q65" s="242">
        <f t="shared" si="0"/>
        <v>0.2</v>
      </c>
      <c r="R65" s="205">
        <v>13.7</v>
      </c>
      <c r="S65" s="205">
        <v>76</v>
      </c>
      <c r="T65" s="214">
        <f t="shared" si="1"/>
        <v>39</v>
      </c>
      <c r="U65" s="205">
        <v>538</v>
      </c>
      <c r="V65" s="214">
        <f t="shared" si="2"/>
        <v>4196.3999999999996</v>
      </c>
      <c r="W65" s="205">
        <v>1</v>
      </c>
      <c r="X65" s="213" t="s">
        <v>39</v>
      </c>
      <c r="Y65" s="213" t="s">
        <v>84</v>
      </c>
      <c r="Z65" s="213" t="s">
        <v>90</v>
      </c>
      <c r="AA65" s="213" t="s">
        <v>69</v>
      </c>
      <c r="AB65" s="213" t="s">
        <v>334</v>
      </c>
    </row>
    <row r="66" spans="1:28" x14ac:dyDescent="0.15">
      <c r="A66" s="213" t="s">
        <v>34</v>
      </c>
      <c r="B66" s="205" t="s">
        <v>332</v>
      </c>
      <c r="C66" s="205">
        <v>2018</v>
      </c>
      <c r="D66" s="247" t="s">
        <v>371</v>
      </c>
      <c r="E66" s="234" t="s">
        <v>316</v>
      </c>
      <c r="F66" s="234" t="s">
        <v>317</v>
      </c>
      <c r="G66" s="213" t="s">
        <v>36</v>
      </c>
      <c r="H66" s="205" t="s">
        <v>129</v>
      </c>
      <c r="I66" s="213" t="s">
        <v>153</v>
      </c>
      <c r="J66" s="213" t="s">
        <v>117</v>
      </c>
      <c r="K66" s="213" t="s">
        <v>68</v>
      </c>
      <c r="L66" s="205">
        <v>2</v>
      </c>
      <c r="N66" s="205">
        <v>5</v>
      </c>
      <c r="O66" s="205">
        <v>0.2</v>
      </c>
      <c r="P66" s="205">
        <v>0.2</v>
      </c>
      <c r="Q66" s="242">
        <f t="shared" si="0"/>
        <v>0.2</v>
      </c>
      <c r="R66" s="205">
        <v>9.1999999999999993</v>
      </c>
      <c r="S66" s="205">
        <v>66</v>
      </c>
      <c r="T66" s="214">
        <f t="shared" si="1"/>
        <v>50</v>
      </c>
      <c r="U66" s="205">
        <v>538</v>
      </c>
      <c r="V66" s="214">
        <f t="shared" si="2"/>
        <v>5380</v>
      </c>
      <c r="W66" s="205">
        <v>1</v>
      </c>
      <c r="X66" s="213" t="s">
        <v>39</v>
      </c>
      <c r="Y66" s="213" t="s">
        <v>84</v>
      </c>
      <c r="Z66" s="213" t="s">
        <v>90</v>
      </c>
      <c r="AA66" s="213" t="s">
        <v>69</v>
      </c>
      <c r="AB66" s="213" t="s">
        <v>334</v>
      </c>
    </row>
    <row r="67" spans="1:28" x14ac:dyDescent="0.15">
      <c r="A67" s="213" t="s">
        <v>34</v>
      </c>
      <c r="B67" s="205" t="s">
        <v>332</v>
      </c>
      <c r="C67" s="205">
        <v>2018</v>
      </c>
      <c r="D67" s="247" t="s">
        <v>371</v>
      </c>
      <c r="E67" s="234" t="s">
        <v>316</v>
      </c>
      <c r="F67" s="234" t="s">
        <v>317</v>
      </c>
      <c r="G67" s="213" t="s">
        <v>36</v>
      </c>
      <c r="H67" s="205" t="s">
        <v>129</v>
      </c>
      <c r="I67" s="213" t="s">
        <v>153</v>
      </c>
      <c r="J67" s="213" t="s">
        <v>117</v>
      </c>
      <c r="K67" s="213" t="s">
        <v>68</v>
      </c>
      <c r="L67" s="205">
        <v>3</v>
      </c>
      <c r="N67" s="205">
        <v>5</v>
      </c>
      <c r="O67" s="205">
        <v>0.2</v>
      </c>
      <c r="P67" s="205">
        <v>0.2</v>
      </c>
      <c r="Q67" s="242">
        <f t="shared" si="0"/>
        <v>0.2</v>
      </c>
      <c r="R67" s="205">
        <v>14.3</v>
      </c>
      <c r="S67" s="205">
        <v>65</v>
      </c>
      <c r="T67" s="214">
        <f t="shared" si="1"/>
        <v>50</v>
      </c>
      <c r="U67" s="205">
        <v>538</v>
      </c>
      <c r="V67" s="214">
        <f t="shared" si="2"/>
        <v>5380</v>
      </c>
      <c r="W67" s="205">
        <v>1</v>
      </c>
      <c r="X67" s="213" t="s">
        <v>39</v>
      </c>
      <c r="Y67" s="213" t="s">
        <v>84</v>
      </c>
      <c r="Z67" s="213" t="s">
        <v>90</v>
      </c>
      <c r="AA67" s="213" t="s">
        <v>69</v>
      </c>
      <c r="AB67" s="213" t="s">
        <v>334</v>
      </c>
    </row>
    <row r="68" spans="1:28" x14ac:dyDescent="0.15">
      <c r="A68" s="213" t="s">
        <v>34</v>
      </c>
      <c r="B68" s="205" t="s">
        <v>332</v>
      </c>
      <c r="C68" s="205">
        <v>2018</v>
      </c>
      <c r="D68" s="247" t="s">
        <v>371</v>
      </c>
      <c r="E68" s="234" t="s">
        <v>318</v>
      </c>
      <c r="F68" s="234" t="s">
        <v>319</v>
      </c>
      <c r="G68" s="213" t="s">
        <v>36</v>
      </c>
      <c r="H68" s="205" t="s">
        <v>155</v>
      </c>
      <c r="I68" s="213" t="s">
        <v>153</v>
      </c>
      <c r="J68" s="213" t="s">
        <v>38</v>
      </c>
      <c r="K68" s="213" t="s">
        <v>154</v>
      </c>
      <c r="L68" s="213">
        <v>1</v>
      </c>
      <c r="N68" s="205">
        <v>1</v>
      </c>
      <c r="O68" s="205">
        <v>0.95</v>
      </c>
      <c r="P68" s="205">
        <v>1.05</v>
      </c>
      <c r="Q68" s="242">
        <f t="shared" si="0"/>
        <v>1</v>
      </c>
      <c r="R68" s="205">
        <v>14.6</v>
      </c>
      <c r="S68" s="205">
        <v>137</v>
      </c>
      <c r="T68" s="214">
        <f t="shared" si="1"/>
        <v>30</v>
      </c>
      <c r="U68" s="205">
        <v>108</v>
      </c>
      <c r="V68" s="214">
        <f t="shared" si="2"/>
        <v>3240</v>
      </c>
      <c r="W68" s="205">
        <v>3</v>
      </c>
      <c r="X68" s="213" t="s">
        <v>46</v>
      </c>
      <c r="Y68" s="213" t="s">
        <v>84</v>
      </c>
      <c r="Z68" s="213" t="s">
        <v>50</v>
      </c>
      <c r="AA68" s="213" t="s">
        <v>90</v>
      </c>
      <c r="AB68" s="213" t="s">
        <v>334</v>
      </c>
    </row>
    <row r="69" spans="1:28" x14ac:dyDescent="0.15">
      <c r="A69" s="213" t="s">
        <v>34</v>
      </c>
      <c r="B69" s="205" t="s">
        <v>332</v>
      </c>
      <c r="C69" s="205">
        <v>2018</v>
      </c>
      <c r="D69" s="247" t="s">
        <v>371</v>
      </c>
      <c r="E69" s="234" t="s">
        <v>318</v>
      </c>
      <c r="F69" s="234" t="s">
        <v>319</v>
      </c>
      <c r="G69" s="213" t="s">
        <v>36</v>
      </c>
      <c r="H69" s="205" t="s">
        <v>155</v>
      </c>
      <c r="I69" s="213" t="s">
        <v>153</v>
      </c>
      <c r="J69" s="213" t="s">
        <v>38</v>
      </c>
      <c r="K69" s="213" t="s">
        <v>154</v>
      </c>
      <c r="L69" s="205">
        <v>2</v>
      </c>
      <c r="N69" s="205">
        <v>1</v>
      </c>
      <c r="O69" s="205">
        <v>1</v>
      </c>
      <c r="P69" s="205">
        <v>0.75</v>
      </c>
      <c r="Q69" s="242">
        <f t="shared" si="0"/>
        <v>0.875</v>
      </c>
      <c r="R69" s="205">
        <v>14.6</v>
      </c>
      <c r="S69" s="205">
        <v>142</v>
      </c>
      <c r="T69" s="214">
        <f t="shared" si="1"/>
        <v>30</v>
      </c>
      <c r="U69" s="205">
        <v>108</v>
      </c>
      <c r="V69" s="214">
        <f t="shared" si="2"/>
        <v>3240</v>
      </c>
      <c r="W69" s="205">
        <v>3</v>
      </c>
      <c r="X69" s="213" t="s">
        <v>46</v>
      </c>
      <c r="Y69" s="213" t="s">
        <v>84</v>
      </c>
      <c r="Z69" s="213" t="s">
        <v>50</v>
      </c>
      <c r="AA69" s="213" t="s">
        <v>90</v>
      </c>
      <c r="AB69" s="213" t="s">
        <v>334</v>
      </c>
    </row>
    <row r="70" spans="1:28" x14ac:dyDescent="0.15">
      <c r="A70" s="213" t="s">
        <v>34</v>
      </c>
      <c r="B70" s="205" t="s">
        <v>332</v>
      </c>
      <c r="C70" s="205">
        <v>2018</v>
      </c>
      <c r="D70" s="247" t="s">
        <v>371</v>
      </c>
      <c r="E70" s="234" t="s">
        <v>318</v>
      </c>
      <c r="F70" s="234" t="s">
        <v>319</v>
      </c>
      <c r="G70" s="213" t="s">
        <v>36</v>
      </c>
      <c r="H70" s="205" t="s">
        <v>155</v>
      </c>
      <c r="I70" s="213" t="s">
        <v>153</v>
      </c>
      <c r="J70" s="213" t="s">
        <v>38</v>
      </c>
      <c r="K70" s="213" t="s">
        <v>154</v>
      </c>
      <c r="L70" s="205">
        <v>3</v>
      </c>
      <c r="N70" s="205">
        <v>1</v>
      </c>
      <c r="O70" s="205">
        <v>0.9</v>
      </c>
      <c r="P70" s="205">
        <v>0.95</v>
      </c>
      <c r="Q70" s="242">
        <f t="shared" si="0"/>
        <v>0.92500000000000004</v>
      </c>
      <c r="R70" s="205">
        <v>13.8</v>
      </c>
      <c r="S70" s="205">
        <v>144</v>
      </c>
      <c r="T70" s="214">
        <f t="shared" si="1"/>
        <v>30</v>
      </c>
      <c r="U70" s="205">
        <v>108</v>
      </c>
      <c r="V70" s="214">
        <f t="shared" si="2"/>
        <v>3240</v>
      </c>
      <c r="W70" s="205">
        <v>3</v>
      </c>
      <c r="X70" s="213" t="s">
        <v>46</v>
      </c>
      <c r="Y70" s="213" t="s">
        <v>84</v>
      </c>
      <c r="Z70" s="213" t="s">
        <v>50</v>
      </c>
      <c r="AA70" s="213" t="s">
        <v>90</v>
      </c>
      <c r="AB70" s="213" t="s">
        <v>334</v>
      </c>
    </row>
    <row r="71" spans="1:28" x14ac:dyDescent="0.15">
      <c r="A71" s="213" t="s">
        <v>34</v>
      </c>
      <c r="B71" s="205" t="s">
        <v>332</v>
      </c>
      <c r="C71" s="205">
        <v>2018</v>
      </c>
      <c r="D71" s="247" t="s">
        <v>371</v>
      </c>
      <c r="E71" s="234" t="s">
        <v>318</v>
      </c>
      <c r="F71" s="234" t="s">
        <v>319</v>
      </c>
      <c r="G71" s="213" t="s">
        <v>36</v>
      </c>
      <c r="H71" s="205" t="s">
        <v>155</v>
      </c>
      <c r="I71" s="213" t="s">
        <v>153</v>
      </c>
      <c r="J71" s="213" t="s">
        <v>38</v>
      </c>
      <c r="K71" s="213" t="s">
        <v>154</v>
      </c>
      <c r="L71" s="213">
        <v>1</v>
      </c>
      <c r="N71" s="205">
        <v>4</v>
      </c>
      <c r="O71" s="205">
        <v>0.75</v>
      </c>
      <c r="P71" s="205">
        <v>1.05</v>
      </c>
      <c r="Q71" s="242">
        <f t="shared" si="0"/>
        <v>0.9</v>
      </c>
      <c r="R71" s="205">
        <v>13.9</v>
      </c>
      <c r="S71" s="205">
        <v>94</v>
      </c>
      <c r="T71" s="214">
        <f t="shared" si="1"/>
        <v>36</v>
      </c>
      <c r="U71" s="205">
        <v>321</v>
      </c>
      <c r="V71" s="214">
        <f t="shared" si="2"/>
        <v>2889</v>
      </c>
      <c r="W71" s="205">
        <v>3</v>
      </c>
      <c r="X71" s="213" t="s">
        <v>46</v>
      </c>
      <c r="Y71" s="213" t="s">
        <v>84</v>
      </c>
      <c r="Z71" s="213" t="s">
        <v>50</v>
      </c>
      <c r="AA71" s="213" t="s">
        <v>90</v>
      </c>
      <c r="AB71" s="213" t="s">
        <v>334</v>
      </c>
    </row>
    <row r="72" spans="1:28" x14ac:dyDescent="0.15">
      <c r="A72" s="213" t="s">
        <v>34</v>
      </c>
      <c r="B72" s="205" t="s">
        <v>332</v>
      </c>
      <c r="C72" s="205">
        <v>2018</v>
      </c>
      <c r="D72" s="247" t="s">
        <v>371</v>
      </c>
      <c r="E72" s="234" t="s">
        <v>318</v>
      </c>
      <c r="F72" s="234" t="s">
        <v>319</v>
      </c>
      <c r="G72" s="213" t="s">
        <v>36</v>
      </c>
      <c r="H72" s="205" t="s">
        <v>155</v>
      </c>
      <c r="I72" s="213" t="s">
        <v>153</v>
      </c>
      <c r="J72" s="213" t="s">
        <v>38</v>
      </c>
      <c r="K72" s="213" t="s">
        <v>154</v>
      </c>
      <c r="L72" s="205">
        <v>2</v>
      </c>
      <c r="N72" s="205">
        <v>4</v>
      </c>
      <c r="O72" s="205">
        <v>0.75</v>
      </c>
      <c r="P72" s="205">
        <v>0.7</v>
      </c>
      <c r="Q72" s="242">
        <f t="shared" si="0"/>
        <v>0.72499999999999998</v>
      </c>
      <c r="R72" s="205">
        <v>13.6</v>
      </c>
      <c r="S72" s="205">
        <v>92</v>
      </c>
      <c r="T72" s="214">
        <f t="shared" si="1"/>
        <v>36</v>
      </c>
      <c r="U72" s="205">
        <v>321</v>
      </c>
      <c r="V72" s="214">
        <f t="shared" si="2"/>
        <v>2889</v>
      </c>
      <c r="W72" s="205">
        <v>3</v>
      </c>
      <c r="X72" s="213" t="s">
        <v>46</v>
      </c>
      <c r="Y72" s="213" t="s">
        <v>84</v>
      </c>
      <c r="Z72" s="213" t="s">
        <v>50</v>
      </c>
      <c r="AA72" s="213" t="s">
        <v>90</v>
      </c>
      <c r="AB72" s="213" t="s">
        <v>334</v>
      </c>
    </row>
    <row r="73" spans="1:28" x14ac:dyDescent="0.15">
      <c r="A73" s="213" t="s">
        <v>34</v>
      </c>
      <c r="B73" s="205" t="s">
        <v>332</v>
      </c>
      <c r="C73" s="205">
        <v>2018</v>
      </c>
      <c r="D73" s="247" t="s">
        <v>371</v>
      </c>
      <c r="E73" s="234" t="s">
        <v>318</v>
      </c>
      <c r="F73" s="234" t="s">
        <v>319</v>
      </c>
      <c r="G73" s="213" t="s">
        <v>36</v>
      </c>
      <c r="H73" s="205" t="s">
        <v>155</v>
      </c>
      <c r="I73" s="213" t="s">
        <v>153</v>
      </c>
      <c r="J73" s="213" t="s">
        <v>38</v>
      </c>
      <c r="K73" s="213" t="s">
        <v>154</v>
      </c>
      <c r="L73" s="205">
        <v>3</v>
      </c>
      <c r="N73" s="205">
        <v>4</v>
      </c>
      <c r="O73" s="205">
        <v>1.1000000000000001</v>
      </c>
      <c r="P73" s="205">
        <v>1.2</v>
      </c>
      <c r="Q73" s="242">
        <f t="shared" si="0"/>
        <v>1.1499999999999999</v>
      </c>
      <c r="R73" s="205">
        <v>11.7</v>
      </c>
      <c r="S73" s="205">
        <v>86</v>
      </c>
      <c r="T73" s="214">
        <f t="shared" si="1"/>
        <v>36</v>
      </c>
      <c r="U73" s="205">
        <v>321</v>
      </c>
      <c r="V73" s="214">
        <f t="shared" si="2"/>
        <v>2889</v>
      </c>
      <c r="W73" s="205">
        <v>3</v>
      </c>
      <c r="X73" s="213" t="s">
        <v>46</v>
      </c>
      <c r="Y73" s="213" t="s">
        <v>84</v>
      </c>
      <c r="Z73" s="213" t="s">
        <v>50</v>
      </c>
      <c r="AA73" s="213" t="s">
        <v>90</v>
      </c>
      <c r="AB73" s="213" t="s">
        <v>334</v>
      </c>
    </row>
    <row r="74" spans="1:28" x14ac:dyDescent="0.15">
      <c r="A74" s="213" t="s">
        <v>34</v>
      </c>
      <c r="B74" s="205" t="s">
        <v>332</v>
      </c>
      <c r="C74" s="205">
        <v>2018</v>
      </c>
      <c r="D74" s="247" t="s">
        <v>371</v>
      </c>
      <c r="E74" s="234" t="s">
        <v>318</v>
      </c>
      <c r="F74" s="234" t="s">
        <v>319</v>
      </c>
      <c r="G74" s="213" t="s">
        <v>36</v>
      </c>
      <c r="H74" s="205" t="s">
        <v>166</v>
      </c>
      <c r="I74" s="213" t="s">
        <v>153</v>
      </c>
      <c r="J74" s="213" t="s">
        <v>38</v>
      </c>
      <c r="K74" s="213" t="s">
        <v>154</v>
      </c>
      <c r="L74" s="213">
        <v>1</v>
      </c>
      <c r="N74" s="205">
        <v>1</v>
      </c>
      <c r="O74" s="205">
        <v>0.65</v>
      </c>
      <c r="P74" s="205">
        <v>0.8</v>
      </c>
      <c r="Q74" s="242">
        <f t="shared" si="0"/>
        <v>0.72500000000000009</v>
      </c>
      <c r="R74" s="205">
        <v>15.1</v>
      </c>
      <c r="S74" s="205">
        <v>130</v>
      </c>
      <c r="T74" s="214">
        <f t="shared" si="1"/>
        <v>30</v>
      </c>
      <c r="U74" s="205">
        <v>138</v>
      </c>
      <c r="V74" s="214">
        <f t="shared" si="2"/>
        <v>4140</v>
      </c>
      <c r="W74" s="205">
        <v>2</v>
      </c>
      <c r="X74" s="213" t="s">
        <v>46</v>
      </c>
      <c r="Y74" s="213" t="s">
        <v>84</v>
      </c>
      <c r="Z74" s="213" t="s">
        <v>50</v>
      </c>
      <c r="AA74" s="213" t="s">
        <v>90</v>
      </c>
      <c r="AB74" s="213" t="s">
        <v>334</v>
      </c>
    </row>
    <row r="75" spans="1:28" x14ac:dyDescent="0.15">
      <c r="A75" s="213" t="s">
        <v>34</v>
      </c>
      <c r="B75" s="205" t="s">
        <v>332</v>
      </c>
      <c r="C75" s="205">
        <v>2018</v>
      </c>
      <c r="D75" s="247" t="s">
        <v>371</v>
      </c>
      <c r="E75" s="234" t="s">
        <v>318</v>
      </c>
      <c r="F75" s="234" t="s">
        <v>319</v>
      </c>
      <c r="G75" s="213" t="s">
        <v>36</v>
      </c>
      <c r="H75" s="205" t="s">
        <v>166</v>
      </c>
      <c r="I75" s="213" t="s">
        <v>153</v>
      </c>
      <c r="J75" s="213" t="s">
        <v>38</v>
      </c>
      <c r="K75" s="213" t="s">
        <v>154</v>
      </c>
      <c r="L75" s="205">
        <v>2</v>
      </c>
      <c r="N75" s="205">
        <v>1</v>
      </c>
      <c r="O75" s="205">
        <v>0.65</v>
      </c>
      <c r="P75" s="205">
        <v>0.7</v>
      </c>
      <c r="Q75" s="242">
        <f t="shared" si="0"/>
        <v>0.67500000000000004</v>
      </c>
      <c r="R75" s="205">
        <v>14.7</v>
      </c>
      <c r="S75" s="205">
        <v>128</v>
      </c>
      <c r="T75" s="214">
        <f t="shared" si="1"/>
        <v>30</v>
      </c>
      <c r="U75" s="205">
        <v>138</v>
      </c>
      <c r="V75" s="214">
        <f t="shared" si="2"/>
        <v>4140</v>
      </c>
      <c r="W75" s="205">
        <v>2</v>
      </c>
      <c r="X75" s="213" t="s">
        <v>46</v>
      </c>
      <c r="Y75" s="213" t="s">
        <v>84</v>
      </c>
      <c r="Z75" s="213" t="s">
        <v>50</v>
      </c>
      <c r="AA75" s="213" t="s">
        <v>90</v>
      </c>
      <c r="AB75" s="213" t="s">
        <v>334</v>
      </c>
    </row>
    <row r="76" spans="1:28" x14ac:dyDescent="0.15">
      <c r="A76" s="213" t="s">
        <v>34</v>
      </c>
      <c r="B76" s="205" t="s">
        <v>332</v>
      </c>
      <c r="C76" s="205">
        <v>2018</v>
      </c>
      <c r="D76" s="247" t="s">
        <v>371</v>
      </c>
      <c r="E76" s="234" t="s">
        <v>318</v>
      </c>
      <c r="F76" s="234" t="s">
        <v>319</v>
      </c>
      <c r="G76" s="213" t="s">
        <v>36</v>
      </c>
      <c r="H76" s="205" t="s">
        <v>166</v>
      </c>
      <c r="I76" s="213" t="s">
        <v>153</v>
      </c>
      <c r="J76" s="213" t="s">
        <v>38</v>
      </c>
      <c r="K76" s="213" t="s">
        <v>154</v>
      </c>
      <c r="L76" s="205">
        <v>3</v>
      </c>
      <c r="N76" s="205">
        <v>1</v>
      </c>
      <c r="O76" s="205">
        <v>0.8</v>
      </c>
      <c r="P76" s="205">
        <v>0.7</v>
      </c>
      <c r="Q76" s="242">
        <f t="shared" si="0"/>
        <v>0.75</v>
      </c>
      <c r="R76" s="205">
        <v>15.9</v>
      </c>
      <c r="S76" s="205">
        <v>128</v>
      </c>
      <c r="T76" s="214">
        <f t="shared" si="1"/>
        <v>30</v>
      </c>
      <c r="U76" s="205">
        <v>138</v>
      </c>
      <c r="V76" s="214">
        <f t="shared" si="2"/>
        <v>4140</v>
      </c>
      <c r="W76" s="205">
        <v>2</v>
      </c>
      <c r="X76" s="213" t="s">
        <v>46</v>
      </c>
      <c r="Y76" s="213" t="s">
        <v>84</v>
      </c>
      <c r="Z76" s="213" t="s">
        <v>50</v>
      </c>
      <c r="AA76" s="213" t="s">
        <v>90</v>
      </c>
      <c r="AB76" s="213" t="s">
        <v>334</v>
      </c>
    </row>
    <row r="77" spans="1:28" x14ac:dyDescent="0.15">
      <c r="A77" s="213" t="s">
        <v>34</v>
      </c>
      <c r="B77" s="205" t="s">
        <v>332</v>
      </c>
      <c r="C77" s="205">
        <v>2018</v>
      </c>
      <c r="D77" s="247" t="s">
        <v>371</v>
      </c>
      <c r="E77" s="234" t="s">
        <v>320</v>
      </c>
      <c r="F77" s="234" t="s">
        <v>321</v>
      </c>
      <c r="G77" s="213" t="s">
        <v>36</v>
      </c>
      <c r="H77" s="205" t="s">
        <v>155</v>
      </c>
      <c r="I77" s="213" t="s">
        <v>153</v>
      </c>
      <c r="J77" s="213" t="s">
        <v>38</v>
      </c>
      <c r="K77" s="213" t="s">
        <v>154</v>
      </c>
      <c r="L77" s="213">
        <v>1</v>
      </c>
      <c r="N77" s="205">
        <v>1</v>
      </c>
      <c r="O77" s="205">
        <v>1</v>
      </c>
      <c r="P77" s="205">
        <v>1.05</v>
      </c>
      <c r="Q77" s="242">
        <f t="shared" si="0"/>
        <v>1.0249999999999999</v>
      </c>
      <c r="R77" s="205">
        <v>15.3</v>
      </c>
      <c r="S77" s="205">
        <v>114</v>
      </c>
      <c r="T77" s="214">
        <f t="shared" si="1"/>
        <v>30</v>
      </c>
      <c r="U77" s="205">
        <v>108</v>
      </c>
      <c r="V77" s="214">
        <f t="shared" si="2"/>
        <v>3240</v>
      </c>
      <c r="W77" s="205">
        <v>2</v>
      </c>
      <c r="X77" s="213" t="s">
        <v>46</v>
      </c>
      <c r="Y77" s="213" t="s">
        <v>50</v>
      </c>
      <c r="Z77" s="213" t="s">
        <v>84</v>
      </c>
      <c r="AA77" s="205" t="s">
        <v>90</v>
      </c>
      <c r="AB77" s="213" t="s">
        <v>334</v>
      </c>
    </row>
    <row r="78" spans="1:28" x14ac:dyDescent="0.15">
      <c r="A78" s="213" t="s">
        <v>34</v>
      </c>
      <c r="B78" s="205" t="s">
        <v>332</v>
      </c>
      <c r="C78" s="205">
        <v>2018</v>
      </c>
      <c r="D78" s="247" t="s">
        <v>371</v>
      </c>
      <c r="E78" s="234" t="s">
        <v>320</v>
      </c>
      <c r="F78" s="234" t="s">
        <v>321</v>
      </c>
      <c r="G78" s="213" t="s">
        <v>36</v>
      </c>
      <c r="H78" s="205" t="s">
        <v>155</v>
      </c>
      <c r="I78" s="213" t="s">
        <v>153</v>
      </c>
      <c r="J78" s="213" t="s">
        <v>38</v>
      </c>
      <c r="K78" s="213" t="s">
        <v>154</v>
      </c>
      <c r="L78" s="205">
        <v>2</v>
      </c>
      <c r="N78" s="205">
        <v>1</v>
      </c>
      <c r="O78" s="205">
        <v>0.65</v>
      </c>
      <c r="P78" s="205">
        <v>0.65</v>
      </c>
      <c r="Q78" s="242">
        <f t="shared" si="0"/>
        <v>0.65</v>
      </c>
      <c r="R78" s="205">
        <v>13.6</v>
      </c>
      <c r="S78" s="205">
        <v>120</v>
      </c>
      <c r="T78" s="214">
        <f t="shared" si="1"/>
        <v>30</v>
      </c>
      <c r="U78" s="205">
        <v>108</v>
      </c>
      <c r="V78" s="214">
        <f t="shared" si="2"/>
        <v>3240</v>
      </c>
      <c r="W78" s="205">
        <v>2</v>
      </c>
      <c r="X78" s="213" t="s">
        <v>46</v>
      </c>
      <c r="Y78" s="213" t="s">
        <v>50</v>
      </c>
      <c r="Z78" s="213" t="s">
        <v>84</v>
      </c>
      <c r="AA78" s="205" t="s">
        <v>90</v>
      </c>
      <c r="AB78" s="213" t="s">
        <v>334</v>
      </c>
    </row>
    <row r="79" spans="1:28" x14ac:dyDescent="0.15">
      <c r="A79" s="213" t="s">
        <v>34</v>
      </c>
      <c r="B79" s="205" t="s">
        <v>332</v>
      </c>
      <c r="C79" s="205">
        <v>2018</v>
      </c>
      <c r="D79" s="247" t="s">
        <v>371</v>
      </c>
      <c r="E79" s="234" t="s">
        <v>320</v>
      </c>
      <c r="F79" s="234" t="s">
        <v>321</v>
      </c>
      <c r="G79" s="213" t="s">
        <v>36</v>
      </c>
      <c r="H79" s="205" t="s">
        <v>155</v>
      </c>
      <c r="I79" s="213" t="s">
        <v>153</v>
      </c>
      <c r="J79" s="213" t="s">
        <v>38</v>
      </c>
      <c r="K79" s="213" t="s">
        <v>154</v>
      </c>
      <c r="L79" s="205">
        <v>3</v>
      </c>
      <c r="N79" s="205">
        <v>1</v>
      </c>
      <c r="O79" s="205">
        <v>0.2</v>
      </c>
      <c r="P79" s="205">
        <v>0.6</v>
      </c>
      <c r="Q79" s="242">
        <f t="shared" si="0"/>
        <v>0.4</v>
      </c>
      <c r="R79" s="205">
        <v>13.9</v>
      </c>
      <c r="S79" s="205">
        <v>125</v>
      </c>
      <c r="T79" s="214">
        <f t="shared" si="1"/>
        <v>30</v>
      </c>
      <c r="U79" s="205">
        <v>108</v>
      </c>
      <c r="V79" s="214">
        <f t="shared" si="2"/>
        <v>3240</v>
      </c>
      <c r="W79" s="205">
        <v>2</v>
      </c>
      <c r="X79" s="213" t="s">
        <v>46</v>
      </c>
      <c r="Y79" s="213" t="s">
        <v>50</v>
      </c>
      <c r="Z79" s="213" t="s">
        <v>84</v>
      </c>
      <c r="AA79" s="205" t="s">
        <v>90</v>
      </c>
      <c r="AB79" s="213" t="s">
        <v>334</v>
      </c>
    </row>
    <row r="80" spans="1:28" x14ac:dyDescent="0.15">
      <c r="A80" s="213" t="s">
        <v>34</v>
      </c>
      <c r="B80" s="205" t="s">
        <v>332</v>
      </c>
      <c r="C80" s="205">
        <v>2018</v>
      </c>
      <c r="D80" s="247" t="s">
        <v>371</v>
      </c>
      <c r="E80" s="234" t="s">
        <v>322</v>
      </c>
      <c r="F80" s="234" t="s">
        <v>323</v>
      </c>
      <c r="G80" s="213" t="s">
        <v>36</v>
      </c>
      <c r="H80" s="205" t="s">
        <v>155</v>
      </c>
      <c r="I80" s="213" t="s">
        <v>153</v>
      </c>
      <c r="J80" s="213" t="s">
        <v>38</v>
      </c>
      <c r="K80" s="213" t="s">
        <v>154</v>
      </c>
      <c r="L80" s="213">
        <v>1</v>
      </c>
      <c r="N80" s="205">
        <v>1</v>
      </c>
      <c r="O80" s="205">
        <v>1.1000000000000001</v>
      </c>
      <c r="P80" s="205">
        <v>0.85</v>
      </c>
      <c r="Q80" s="242">
        <f t="shared" si="0"/>
        <v>0.97500000000000009</v>
      </c>
      <c r="R80" s="205">
        <v>14</v>
      </c>
      <c r="S80" s="205">
        <v>136</v>
      </c>
      <c r="T80" s="214">
        <f t="shared" si="1"/>
        <v>30</v>
      </c>
      <c r="U80" s="205">
        <v>138</v>
      </c>
      <c r="V80" s="214">
        <f t="shared" si="2"/>
        <v>4140</v>
      </c>
      <c r="W80" s="205">
        <v>3</v>
      </c>
      <c r="X80" s="213" t="s">
        <v>46</v>
      </c>
      <c r="Y80" s="213" t="s">
        <v>84</v>
      </c>
      <c r="Z80" s="213" t="s">
        <v>90</v>
      </c>
      <c r="AA80" s="205" t="s">
        <v>50</v>
      </c>
      <c r="AB80" s="213" t="s">
        <v>334</v>
      </c>
    </row>
    <row r="81" spans="1:28" x14ac:dyDescent="0.15">
      <c r="A81" s="213" t="s">
        <v>34</v>
      </c>
      <c r="B81" s="205" t="s">
        <v>332</v>
      </c>
      <c r="C81" s="205">
        <v>2018</v>
      </c>
      <c r="D81" s="247" t="s">
        <v>371</v>
      </c>
      <c r="E81" s="234" t="s">
        <v>322</v>
      </c>
      <c r="F81" s="234" t="s">
        <v>323</v>
      </c>
      <c r="G81" s="213" t="s">
        <v>36</v>
      </c>
      <c r="H81" s="205" t="s">
        <v>155</v>
      </c>
      <c r="I81" s="213" t="s">
        <v>153</v>
      </c>
      <c r="J81" s="213" t="s">
        <v>38</v>
      </c>
      <c r="K81" s="213" t="s">
        <v>154</v>
      </c>
      <c r="L81" s="205">
        <v>2</v>
      </c>
      <c r="N81" s="205">
        <v>1</v>
      </c>
      <c r="O81" s="205">
        <v>0.9</v>
      </c>
      <c r="P81" s="205">
        <v>1.1000000000000001</v>
      </c>
      <c r="Q81" s="242">
        <f t="shared" si="0"/>
        <v>1</v>
      </c>
      <c r="R81" s="205">
        <v>14.4</v>
      </c>
      <c r="S81" s="205">
        <v>134</v>
      </c>
      <c r="T81" s="214">
        <f t="shared" si="1"/>
        <v>30</v>
      </c>
      <c r="U81" s="205">
        <v>138</v>
      </c>
      <c r="V81" s="214">
        <f t="shared" si="2"/>
        <v>4140</v>
      </c>
      <c r="W81" s="205">
        <v>3</v>
      </c>
      <c r="X81" s="213" t="s">
        <v>46</v>
      </c>
      <c r="Y81" s="213" t="s">
        <v>84</v>
      </c>
      <c r="Z81" s="213" t="s">
        <v>90</v>
      </c>
      <c r="AA81" s="205" t="s">
        <v>50</v>
      </c>
      <c r="AB81" s="213" t="s">
        <v>334</v>
      </c>
    </row>
    <row r="82" spans="1:28" x14ac:dyDescent="0.15">
      <c r="A82" s="213" t="s">
        <v>34</v>
      </c>
      <c r="B82" s="205" t="s">
        <v>332</v>
      </c>
      <c r="C82" s="205">
        <v>2018</v>
      </c>
      <c r="D82" s="247" t="s">
        <v>371</v>
      </c>
      <c r="E82" s="234" t="s">
        <v>322</v>
      </c>
      <c r="F82" s="234" t="s">
        <v>323</v>
      </c>
      <c r="G82" s="213" t="s">
        <v>36</v>
      </c>
      <c r="H82" s="205" t="s">
        <v>155</v>
      </c>
      <c r="I82" s="213" t="s">
        <v>153</v>
      </c>
      <c r="J82" s="213" t="s">
        <v>38</v>
      </c>
      <c r="K82" s="213" t="s">
        <v>154</v>
      </c>
      <c r="L82" s="205">
        <v>3</v>
      </c>
      <c r="N82" s="205">
        <v>1</v>
      </c>
      <c r="O82" s="205">
        <v>0.95</v>
      </c>
      <c r="P82" s="205">
        <v>0.2</v>
      </c>
      <c r="Q82" s="242">
        <f t="shared" si="0"/>
        <v>0.57499999999999996</v>
      </c>
      <c r="R82" s="205">
        <v>14.4</v>
      </c>
      <c r="S82" s="205">
        <v>140</v>
      </c>
      <c r="T82" s="214">
        <f t="shared" si="1"/>
        <v>30</v>
      </c>
      <c r="U82" s="205">
        <v>138</v>
      </c>
      <c r="V82" s="214">
        <f t="shared" si="2"/>
        <v>4140</v>
      </c>
      <c r="W82" s="205">
        <v>3</v>
      </c>
      <c r="X82" s="213" t="s">
        <v>46</v>
      </c>
      <c r="Y82" s="213" t="s">
        <v>84</v>
      </c>
      <c r="Z82" s="213" t="s">
        <v>90</v>
      </c>
      <c r="AA82" s="205" t="s">
        <v>50</v>
      </c>
      <c r="AB82" s="213" t="s">
        <v>334</v>
      </c>
    </row>
    <row r="83" spans="1:28" x14ac:dyDescent="0.15">
      <c r="A83" s="213" t="s">
        <v>34</v>
      </c>
      <c r="B83" s="205" t="s">
        <v>332</v>
      </c>
      <c r="C83" s="205">
        <v>2018</v>
      </c>
      <c r="D83" s="247" t="s">
        <v>371</v>
      </c>
      <c r="E83" s="234" t="s">
        <v>322</v>
      </c>
      <c r="F83" s="234" t="s">
        <v>323</v>
      </c>
      <c r="G83" s="213" t="s">
        <v>36</v>
      </c>
      <c r="H83" s="205" t="s">
        <v>155</v>
      </c>
      <c r="I83" s="213" t="s">
        <v>153</v>
      </c>
      <c r="J83" s="213" t="s">
        <v>38</v>
      </c>
      <c r="K83" s="213" t="s">
        <v>154</v>
      </c>
      <c r="L83" s="213">
        <v>1</v>
      </c>
      <c r="N83" s="205">
        <v>4</v>
      </c>
      <c r="O83" s="205">
        <v>0.8</v>
      </c>
      <c r="P83" s="205">
        <v>0.2</v>
      </c>
      <c r="Q83" s="242">
        <f t="shared" ref="Q83:Q91" si="5">IF(OR(O83="",P83=""),"",AVERAGE(O83,P83))</f>
        <v>0.5</v>
      </c>
      <c r="R83" s="205">
        <v>13.4</v>
      </c>
      <c r="S83" s="205">
        <v>158</v>
      </c>
      <c r="T83" s="214">
        <f t="shared" si="1"/>
        <v>18</v>
      </c>
      <c r="U83" s="205">
        <v>398</v>
      </c>
      <c r="V83" s="214">
        <f t="shared" si="2"/>
        <v>1791</v>
      </c>
      <c r="W83" s="205">
        <v>3</v>
      </c>
      <c r="X83" s="213" t="s">
        <v>46</v>
      </c>
      <c r="Y83" s="213" t="s">
        <v>84</v>
      </c>
      <c r="Z83" s="213" t="s">
        <v>90</v>
      </c>
      <c r="AA83" s="205" t="s">
        <v>50</v>
      </c>
      <c r="AB83" s="213" t="s">
        <v>334</v>
      </c>
    </row>
    <row r="84" spans="1:28" x14ac:dyDescent="0.15">
      <c r="A84" s="213" t="s">
        <v>34</v>
      </c>
      <c r="B84" s="205" t="s">
        <v>332</v>
      </c>
      <c r="C84" s="205">
        <v>2018</v>
      </c>
      <c r="D84" s="247" t="s">
        <v>371</v>
      </c>
      <c r="E84" s="234" t="s">
        <v>322</v>
      </c>
      <c r="F84" s="234" t="s">
        <v>323</v>
      </c>
      <c r="G84" s="213" t="s">
        <v>36</v>
      </c>
      <c r="H84" s="205" t="s">
        <v>155</v>
      </c>
      <c r="I84" s="213" t="s">
        <v>153</v>
      </c>
      <c r="J84" s="213" t="s">
        <v>38</v>
      </c>
      <c r="K84" s="213" t="s">
        <v>154</v>
      </c>
      <c r="L84" s="205">
        <v>2</v>
      </c>
      <c r="N84" s="205">
        <v>4</v>
      </c>
      <c r="O84" s="205">
        <v>0.2</v>
      </c>
      <c r="P84" s="205">
        <v>0.2</v>
      </c>
      <c r="Q84" s="242">
        <f t="shared" si="5"/>
        <v>0.2</v>
      </c>
      <c r="R84" s="205">
        <v>14.4</v>
      </c>
      <c r="S84" s="205">
        <v>144</v>
      </c>
      <c r="T84" s="214">
        <f t="shared" si="1"/>
        <v>30</v>
      </c>
      <c r="U84" s="205">
        <v>398</v>
      </c>
      <c r="V84" s="214">
        <f t="shared" si="2"/>
        <v>2985</v>
      </c>
      <c r="W84" s="205">
        <v>3</v>
      </c>
      <c r="X84" s="213" t="s">
        <v>46</v>
      </c>
      <c r="Y84" s="213" t="s">
        <v>84</v>
      </c>
      <c r="Z84" s="213" t="s">
        <v>90</v>
      </c>
      <c r="AA84" s="205" t="s">
        <v>50</v>
      </c>
      <c r="AB84" s="213" t="s">
        <v>334</v>
      </c>
    </row>
    <row r="85" spans="1:28" x14ac:dyDescent="0.15">
      <c r="A85" s="213" t="s">
        <v>34</v>
      </c>
      <c r="B85" s="205" t="s">
        <v>332</v>
      </c>
      <c r="C85" s="205">
        <v>2018</v>
      </c>
      <c r="D85" s="247" t="s">
        <v>371</v>
      </c>
      <c r="E85" s="234" t="s">
        <v>322</v>
      </c>
      <c r="F85" s="234" t="s">
        <v>323</v>
      </c>
      <c r="G85" s="213" t="s">
        <v>36</v>
      </c>
      <c r="H85" s="205" t="s">
        <v>155</v>
      </c>
      <c r="I85" s="213" t="s">
        <v>153</v>
      </c>
      <c r="J85" s="213" t="s">
        <v>38</v>
      </c>
      <c r="K85" s="213" t="s">
        <v>154</v>
      </c>
      <c r="L85" s="205">
        <v>3</v>
      </c>
      <c r="N85" s="205">
        <v>4</v>
      </c>
      <c r="O85" s="205">
        <v>0.7</v>
      </c>
      <c r="P85" s="205">
        <v>0.2</v>
      </c>
      <c r="Q85" s="214">
        <f t="shared" si="5"/>
        <v>0.44999999999999996</v>
      </c>
      <c r="R85" s="205">
        <v>14.6</v>
      </c>
      <c r="S85" s="205">
        <v>144</v>
      </c>
      <c r="T85" s="214">
        <f t="shared" si="1"/>
        <v>30</v>
      </c>
      <c r="U85" s="205">
        <v>398</v>
      </c>
      <c r="V85" s="214">
        <f t="shared" si="2"/>
        <v>2985</v>
      </c>
      <c r="W85" s="205">
        <v>3</v>
      </c>
      <c r="X85" s="213" t="s">
        <v>46</v>
      </c>
      <c r="Y85" s="213" t="s">
        <v>84</v>
      </c>
      <c r="Z85" s="213" t="s">
        <v>90</v>
      </c>
      <c r="AA85" s="205" t="s">
        <v>50</v>
      </c>
      <c r="AB85" s="213" t="s">
        <v>334</v>
      </c>
    </row>
    <row r="86" spans="1:28" x14ac:dyDescent="0.15">
      <c r="A86" s="213" t="s">
        <v>34</v>
      </c>
      <c r="B86" s="205" t="s">
        <v>332</v>
      </c>
      <c r="C86" s="205">
        <v>2018</v>
      </c>
      <c r="D86" s="247" t="s">
        <v>371</v>
      </c>
      <c r="E86" s="234" t="s">
        <v>322</v>
      </c>
      <c r="F86" s="234" t="s">
        <v>323</v>
      </c>
      <c r="G86" s="213" t="s">
        <v>36</v>
      </c>
      <c r="H86" s="205" t="s">
        <v>155</v>
      </c>
      <c r="I86" s="213" t="s">
        <v>156</v>
      </c>
      <c r="J86" s="213" t="s">
        <v>38</v>
      </c>
      <c r="K86" s="213" t="s">
        <v>154</v>
      </c>
      <c r="L86" s="213">
        <v>1</v>
      </c>
      <c r="N86" s="205">
        <v>4</v>
      </c>
      <c r="O86" s="205">
        <v>0.7</v>
      </c>
      <c r="P86" s="205">
        <v>0.85</v>
      </c>
      <c r="Q86" s="214">
        <f t="shared" si="5"/>
        <v>0.77499999999999991</v>
      </c>
      <c r="R86" s="205">
        <v>13.2</v>
      </c>
      <c r="S86" s="205">
        <v>111</v>
      </c>
      <c r="T86" s="214">
        <f t="shared" si="1"/>
        <v>33</v>
      </c>
      <c r="U86" s="205">
        <v>378</v>
      </c>
      <c r="V86" s="214">
        <f t="shared" si="2"/>
        <v>3118.5</v>
      </c>
      <c r="W86" s="205">
        <v>3</v>
      </c>
      <c r="X86" s="213" t="s">
        <v>46</v>
      </c>
      <c r="Y86" s="213" t="s">
        <v>84</v>
      </c>
      <c r="Z86" s="213" t="s">
        <v>90</v>
      </c>
      <c r="AA86" s="205" t="s">
        <v>50</v>
      </c>
      <c r="AB86" s="213" t="s">
        <v>334</v>
      </c>
    </row>
    <row r="87" spans="1:28" x14ac:dyDescent="0.15">
      <c r="A87" s="213" t="s">
        <v>34</v>
      </c>
      <c r="B87" s="205" t="s">
        <v>332</v>
      </c>
      <c r="C87" s="205">
        <v>2018</v>
      </c>
      <c r="D87" s="247" t="s">
        <v>371</v>
      </c>
      <c r="E87" s="234" t="s">
        <v>322</v>
      </c>
      <c r="F87" s="234" t="s">
        <v>323</v>
      </c>
      <c r="G87" s="213" t="s">
        <v>36</v>
      </c>
      <c r="H87" s="205" t="s">
        <v>155</v>
      </c>
      <c r="I87" s="213" t="s">
        <v>156</v>
      </c>
      <c r="J87" s="213" t="s">
        <v>38</v>
      </c>
      <c r="K87" s="213" t="s">
        <v>154</v>
      </c>
      <c r="L87" s="205">
        <v>2</v>
      </c>
      <c r="N87" s="205">
        <v>4</v>
      </c>
      <c r="O87" s="205">
        <v>0.2</v>
      </c>
      <c r="P87" s="205">
        <v>0.65</v>
      </c>
      <c r="Q87" s="214">
        <f t="shared" si="5"/>
        <v>0.42500000000000004</v>
      </c>
      <c r="R87" s="205">
        <v>13.4</v>
      </c>
      <c r="S87" s="205">
        <v>107</v>
      </c>
      <c r="T87" s="214">
        <f t="shared" si="1"/>
        <v>33</v>
      </c>
      <c r="U87" s="205">
        <v>378</v>
      </c>
      <c r="V87" s="214">
        <f t="shared" si="2"/>
        <v>3118.5</v>
      </c>
      <c r="W87" s="205">
        <v>3</v>
      </c>
      <c r="X87" s="213" t="s">
        <v>46</v>
      </c>
      <c r="Y87" s="213" t="s">
        <v>84</v>
      </c>
      <c r="Z87" s="213" t="s">
        <v>90</v>
      </c>
      <c r="AA87" s="205" t="s">
        <v>50</v>
      </c>
      <c r="AB87" s="213" t="s">
        <v>334</v>
      </c>
    </row>
    <row r="88" spans="1:28" x14ac:dyDescent="0.15">
      <c r="A88" s="213" t="s">
        <v>34</v>
      </c>
      <c r="B88" s="205" t="s">
        <v>332</v>
      </c>
      <c r="C88" s="205">
        <v>2018</v>
      </c>
      <c r="D88" s="247" t="s">
        <v>371</v>
      </c>
      <c r="E88" s="234" t="s">
        <v>322</v>
      </c>
      <c r="F88" s="234" t="s">
        <v>323</v>
      </c>
      <c r="G88" s="213" t="s">
        <v>36</v>
      </c>
      <c r="H88" s="205" t="s">
        <v>155</v>
      </c>
      <c r="I88" s="213" t="s">
        <v>156</v>
      </c>
      <c r="J88" s="213" t="s">
        <v>38</v>
      </c>
      <c r="K88" s="213" t="s">
        <v>154</v>
      </c>
      <c r="L88" s="205">
        <v>3</v>
      </c>
      <c r="N88" s="205">
        <v>4</v>
      </c>
      <c r="O88" s="205">
        <v>0.65</v>
      </c>
      <c r="P88" s="205">
        <v>0.65</v>
      </c>
      <c r="Q88" s="214">
        <f t="shared" si="5"/>
        <v>0.65</v>
      </c>
      <c r="R88" s="205">
        <v>13.6</v>
      </c>
      <c r="S88" s="205">
        <v>104</v>
      </c>
      <c r="T88" s="214">
        <f t="shared" si="1"/>
        <v>33</v>
      </c>
      <c r="U88" s="205">
        <v>378</v>
      </c>
      <c r="V88" s="214">
        <f t="shared" si="2"/>
        <v>3118.5</v>
      </c>
      <c r="W88" s="205">
        <v>3</v>
      </c>
      <c r="X88" s="213" t="s">
        <v>46</v>
      </c>
      <c r="Y88" s="213" t="s">
        <v>84</v>
      </c>
      <c r="Z88" s="213" t="s">
        <v>90</v>
      </c>
      <c r="AA88" s="205" t="s">
        <v>50</v>
      </c>
      <c r="AB88" s="213" t="s">
        <v>334</v>
      </c>
    </row>
    <row r="89" spans="1:28" x14ac:dyDescent="0.15">
      <c r="A89" s="213" t="s">
        <v>34</v>
      </c>
      <c r="B89" s="205" t="s">
        <v>332</v>
      </c>
      <c r="C89" s="205">
        <v>2018</v>
      </c>
      <c r="D89" s="247" t="s">
        <v>371</v>
      </c>
      <c r="E89" s="234" t="s">
        <v>322</v>
      </c>
      <c r="F89" s="234" t="s">
        <v>323</v>
      </c>
      <c r="G89" s="213" t="s">
        <v>36</v>
      </c>
      <c r="H89" s="205" t="s">
        <v>166</v>
      </c>
      <c r="I89" s="213" t="s">
        <v>153</v>
      </c>
      <c r="J89" s="213" t="s">
        <v>38</v>
      </c>
      <c r="K89" s="213" t="s">
        <v>154</v>
      </c>
      <c r="L89" s="213">
        <v>1</v>
      </c>
      <c r="N89" s="205">
        <v>1</v>
      </c>
      <c r="O89" s="205">
        <v>0.5</v>
      </c>
      <c r="P89" s="205">
        <v>0.65</v>
      </c>
      <c r="Q89" s="214">
        <f t="shared" si="5"/>
        <v>0.57499999999999996</v>
      </c>
      <c r="R89" s="205">
        <v>14.5</v>
      </c>
      <c r="S89" s="205">
        <v>134</v>
      </c>
      <c r="T89" s="214">
        <f t="shared" si="1"/>
        <v>30</v>
      </c>
      <c r="U89" s="205">
        <v>158</v>
      </c>
      <c r="V89" s="214">
        <f t="shared" si="2"/>
        <v>4740</v>
      </c>
      <c r="W89" s="205">
        <v>1</v>
      </c>
      <c r="X89" s="213" t="s">
        <v>46</v>
      </c>
      <c r="Y89" s="213" t="s">
        <v>84</v>
      </c>
      <c r="Z89" s="213" t="s">
        <v>90</v>
      </c>
      <c r="AA89" s="205" t="s">
        <v>50</v>
      </c>
      <c r="AB89" s="213" t="s">
        <v>334</v>
      </c>
    </row>
    <row r="90" spans="1:28" x14ac:dyDescent="0.15">
      <c r="A90" s="213" t="s">
        <v>34</v>
      </c>
      <c r="B90" s="205" t="s">
        <v>332</v>
      </c>
      <c r="C90" s="205">
        <v>2018</v>
      </c>
      <c r="D90" s="247" t="s">
        <v>371</v>
      </c>
      <c r="E90" s="234" t="s">
        <v>322</v>
      </c>
      <c r="F90" s="234" t="s">
        <v>323</v>
      </c>
      <c r="G90" s="213" t="s">
        <v>36</v>
      </c>
      <c r="H90" s="205" t="s">
        <v>166</v>
      </c>
      <c r="I90" s="213" t="s">
        <v>153</v>
      </c>
      <c r="J90" s="213" t="s">
        <v>38</v>
      </c>
      <c r="K90" s="213" t="s">
        <v>154</v>
      </c>
      <c r="L90" s="205">
        <v>2</v>
      </c>
      <c r="N90" s="205">
        <v>1</v>
      </c>
      <c r="O90" s="205">
        <v>0.7</v>
      </c>
      <c r="P90" s="205">
        <v>0.55000000000000004</v>
      </c>
      <c r="Q90" s="214">
        <f t="shared" si="5"/>
        <v>0.625</v>
      </c>
      <c r="R90" s="205">
        <v>15.3</v>
      </c>
      <c r="S90" s="205">
        <v>136</v>
      </c>
      <c r="T90" s="214">
        <f t="shared" si="1"/>
        <v>30</v>
      </c>
      <c r="U90" s="205">
        <v>158</v>
      </c>
      <c r="V90" s="214">
        <f t="shared" si="2"/>
        <v>4740</v>
      </c>
      <c r="W90" s="205">
        <v>1</v>
      </c>
      <c r="X90" s="213" t="s">
        <v>46</v>
      </c>
      <c r="Y90" s="213" t="s">
        <v>84</v>
      </c>
      <c r="Z90" s="213" t="s">
        <v>90</v>
      </c>
      <c r="AA90" s="205" t="s">
        <v>50</v>
      </c>
      <c r="AB90" s="213" t="s">
        <v>334</v>
      </c>
    </row>
    <row r="91" spans="1:28" x14ac:dyDescent="0.15">
      <c r="A91" s="213" t="s">
        <v>34</v>
      </c>
      <c r="B91" s="205" t="s">
        <v>332</v>
      </c>
      <c r="C91" s="205">
        <v>2018</v>
      </c>
      <c r="D91" s="247" t="s">
        <v>371</v>
      </c>
      <c r="E91" s="234" t="s">
        <v>322</v>
      </c>
      <c r="F91" s="234" t="s">
        <v>323</v>
      </c>
      <c r="G91" s="213" t="s">
        <v>36</v>
      </c>
      <c r="H91" s="205" t="s">
        <v>166</v>
      </c>
      <c r="I91" s="213" t="s">
        <v>153</v>
      </c>
      <c r="J91" s="213" t="s">
        <v>38</v>
      </c>
      <c r="K91" s="213" t="s">
        <v>154</v>
      </c>
      <c r="L91" s="205">
        <v>3</v>
      </c>
      <c r="N91" s="205">
        <v>1</v>
      </c>
      <c r="O91" s="205">
        <v>0.65</v>
      </c>
      <c r="P91" s="205">
        <v>0.6</v>
      </c>
      <c r="Q91" s="214">
        <f t="shared" si="5"/>
        <v>0.625</v>
      </c>
      <c r="R91" s="205">
        <v>14.3</v>
      </c>
      <c r="S91" s="205">
        <v>139</v>
      </c>
      <c r="T91" s="214">
        <f t="shared" si="1"/>
        <v>30</v>
      </c>
      <c r="U91" s="205">
        <v>158</v>
      </c>
      <c r="V91" s="214">
        <f t="shared" si="2"/>
        <v>4740</v>
      </c>
      <c r="W91" s="205">
        <v>1</v>
      </c>
      <c r="X91" s="213" t="s">
        <v>46</v>
      </c>
      <c r="Y91" s="213" t="s">
        <v>84</v>
      </c>
      <c r="Z91" s="213" t="s">
        <v>90</v>
      </c>
      <c r="AA91" s="205" t="s">
        <v>50</v>
      </c>
      <c r="AB91" s="213" t="s">
        <v>334</v>
      </c>
    </row>
    <row r="92" spans="1:28" x14ac:dyDescent="0.15">
      <c r="K92" s="213"/>
    </row>
    <row r="93" spans="1:28" x14ac:dyDescent="0.15">
      <c r="K93" s="213"/>
    </row>
    <row r="94" spans="1:28" x14ac:dyDescent="0.15">
      <c r="K94" s="213"/>
    </row>
    <row r="95" spans="1:28" x14ac:dyDescent="0.15">
      <c r="K95" s="213"/>
    </row>
    <row r="96" spans="1:28" x14ac:dyDescent="0.15">
      <c r="K96" s="213"/>
    </row>
    <row r="97" spans="11:11" x14ac:dyDescent="0.15">
      <c r="K97" s="213"/>
    </row>
    <row r="98" spans="11:11" x14ac:dyDescent="0.15">
      <c r="K98" s="213"/>
    </row>
    <row r="99" spans="11:11" x14ac:dyDescent="0.15">
      <c r="K99" s="213"/>
    </row>
    <row r="100" spans="11:11" x14ac:dyDescent="0.15">
      <c r="K100" s="213"/>
    </row>
    <row r="101" spans="11:11" x14ac:dyDescent="0.15">
      <c r="K101" s="213"/>
    </row>
    <row r="102" spans="11:11" x14ac:dyDescent="0.15">
      <c r="K102" s="213"/>
    </row>
    <row r="103" spans="11:11" x14ac:dyDescent="0.15">
      <c r="K103" s="213"/>
    </row>
    <row r="104" spans="11:11" x14ac:dyDescent="0.15">
      <c r="K104" s="213"/>
    </row>
    <row r="105" spans="11:11" x14ac:dyDescent="0.15">
      <c r="K105" s="213"/>
    </row>
    <row r="106" spans="11:11" x14ac:dyDescent="0.15">
      <c r="K106" s="213"/>
    </row>
    <row r="107" spans="11:11" x14ac:dyDescent="0.15">
      <c r="K107" s="213"/>
    </row>
    <row r="108" spans="11:11" x14ac:dyDescent="0.15">
      <c r="K108" s="213"/>
    </row>
    <row r="109" spans="11:11" x14ac:dyDescent="0.15">
      <c r="K109" s="213"/>
    </row>
    <row r="110" spans="11:11" x14ac:dyDescent="0.15">
      <c r="K110" s="213"/>
    </row>
    <row r="111" spans="11:11" x14ac:dyDescent="0.15">
      <c r="K111" s="213"/>
    </row>
    <row r="112" spans="11:11" x14ac:dyDescent="0.15">
      <c r="K112" s="213"/>
    </row>
    <row r="113" spans="11:11" x14ac:dyDescent="0.15">
      <c r="K113" s="213"/>
    </row>
    <row r="114" spans="11:11" x14ac:dyDescent="0.15">
      <c r="K114" s="213"/>
    </row>
    <row r="115" spans="11:11" x14ac:dyDescent="0.15">
      <c r="K115" s="213"/>
    </row>
    <row r="116" spans="11:11" x14ac:dyDescent="0.15">
      <c r="K116" s="213"/>
    </row>
    <row r="117" spans="11:11" x14ac:dyDescent="0.15">
      <c r="K117" s="213"/>
    </row>
    <row r="118" spans="11:11" x14ac:dyDescent="0.15">
      <c r="K118" s="213"/>
    </row>
    <row r="119" spans="11:11" x14ac:dyDescent="0.15">
      <c r="K119" s="213"/>
    </row>
    <row r="120" spans="11:11" x14ac:dyDescent="0.15">
      <c r="K120" s="213"/>
    </row>
    <row r="121" spans="11:11" x14ac:dyDescent="0.15">
      <c r="K121" s="213"/>
    </row>
    <row r="122" spans="11:11" x14ac:dyDescent="0.15">
      <c r="K122" s="213"/>
    </row>
    <row r="123" spans="11:11" x14ac:dyDescent="0.15">
      <c r="K123" s="213"/>
    </row>
    <row r="124" spans="11:11" x14ac:dyDescent="0.15">
      <c r="K124" s="213"/>
    </row>
    <row r="125" spans="11:11" x14ac:dyDescent="0.15">
      <c r="K125" s="213"/>
    </row>
    <row r="126" spans="11:11" x14ac:dyDescent="0.15">
      <c r="K126" s="213"/>
    </row>
    <row r="127" spans="11:11" x14ac:dyDescent="0.15">
      <c r="K127" s="213"/>
    </row>
    <row r="128" spans="11:11" x14ac:dyDescent="0.15">
      <c r="K128" s="213"/>
    </row>
    <row r="129" spans="11:11" x14ac:dyDescent="0.15">
      <c r="K129" s="213"/>
    </row>
    <row r="130" spans="11:11" x14ac:dyDescent="0.15">
      <c r="K130" s="213"/>
    </row>
    <row r="131" spans="11:11" x14ac:dyDescent="0.15">
      <c r="K131" s="213"/>
    </row>
    <row r="132" spans="11:11" x14ac:dyDescent="0.15">
      <c r="K132" s="213"/>
    </row>
    <row r="133" spans="11:11" x14ac:dyDescent="0.15">
      <c r="K133" s="213"/>
    </row>
    <row r="134" spans="11:11" x14ac:dyDescent="0.15">
      <c r="K134" s="213"/>
    </row>
    <row r="135" spans="11:11" x14ac:dyDescent="0.15">
      <c r="K135" s="213"/>
    </row>
    <row r="136" spans="11:11" x14ac:dyDescent="0.15">
      <c r="K136" s="213"/>
    </row>
    <row r="137" spans="11:11" x14ac:dyDescent="0.15">
      <c r="K137" s="213"/>
    </row>
    <row r="138" spans="11:11" x14ac:dyDescent="0.15">
      <c r="K138" s="213"/>
    </row>
    <row r="139" spans="11:11" x14ac:dyDescent="0.15">
      <c r="K139" s="213"/>
    </row>
    <row r="140" spans="11:11" x14ac:dyDescent="0.15">
      <c r="K140" s="213"/>
    </row>
    <row r="141" spans="11:11" x14ac:dyDescent="0.15">
      <c r="K141" s="213"/>
    </row>
    <row r="142" spans="11:11" x14ac:dyDescent="0.15">
      <c r="K142" s="213"/>
    </row>
    <row r="143" spans="11:11" x14ac:dyDescent="0.15">
      <c r="K143" s="213"/>
    </row>
    <row r="144" spans="11:11" x14ac:dyDescent="0.15">
      <c r="K144" s="213"/>
    </row>
    <row r="145" spans="11:11" x14ac:dyDescent="0.15">
      <c r="K145" s="213"/>
    </row>
    <row r="146" spans="11:11" x14ac:dyDescent="0.15">
      <c r="K146" s="213"/>
    </row>
    <row r="147" spans="11:11" x14ac:dyDescent="0.15">
      <c r="K147" s="213"/>
    </row>
    <row r="148" spans="11:11" x14ac:dyDescent="0.15">
      <c r="K148" s="213"/>
    </row>
    <row r="149" spans="11:11" x14ac:dyDescent="0.15">
      <c r="K149" s="213"/>
    </row>
    <row r="150" spans="11:11" x14ac:dyDescent="0.15">
      <c r="K150" s="213"/>
    </row>
    <row r="151" spans="11:11" x14ac:dyDescent="0.15">
      <c r="K151" s="213"/>
    </row>
    <row r="152" spans="11:11" x14ac:dyDescent="0.15">
      <c r="K152" s="213"/>
    </row>
    <row r="153" spans="11:11" x14ac:dyDescent="0.15">
      <c r="K153" s="213"/>
    </row>
    <row r="154" spans="11:11" x14ac:dyDescent="0.15">
      <c r="K154" s="213"/>
    </row>
    <row r="155" spans="11:11" x14ac:dyDescent="0.15">
      <c r="K155" s="213"/>
    </row>
    <row r="156" spans="11:11" x14ac:dyDescent="0.15">
      <c r="K156" s="213"/>
    </row>
    <row r="157" spans="11:11" x14ac:dyDescent="0.15">
      <c r="K157" s="213"/>
    </row>
    <row r="158" spans="11:11" x14ac:dyDescent="0.15">
      <c r="K158" s="213"/>
    </row>
    <row r="159" spans="11:11" x14ac:dyDescent="0.15">
      <c r="K159" s="213"/>
    </row>
    <row r="160" spans="11:11" x14ac:dyDescent="0.15">
      <c r="K160" s="213"/>
    </row>
    <row r="161" spans="11:11" x14ac:dyDescent="0.15">
      <c r="K161" s="213"/>
    </row>
    <row r="162" spans="11:11" x14ac:dyDescent="0.15">
      <c r="K162" s="213"/>
    </row>
    <row r="163" spans="11:11" x14ac:dyDescent="0.15">
      <c r="K163" s="213"/>
    </row>
    <row r="164" spans="11:11" x14ac:dyDescent="0.15">
      <c r="K164" s="213"/>
    </row>
    <row r="165" spans="11:11" x14ac:dyDescent="0.15">
      <c r="K165" s="213"/>
    </row>
    <row r="166" spans="11:11" x14ac:dyDescent="0.15">
      <c r="K166" s="213"/>
    </row>
    <row r="167" spans="11:11" x14ac:dyDescent="0.15">
      <c r="K167" s="213"/>
    </row>
    <row r="168" spans="11:11" x14ac:dyDescent="0.15">
      <c r="K168" s="213"/>
    </row>
    <row r="169" spans="11:11" x14ac:dyDescent="0.15">
      <c r="K169" s="213"/>
    </row>
    <row r="170" spans="11:11" x14ac:dyDescent="0.15">
      <c r="K170" s="213"/>
    </row>
    <row r="171" spans="11:11" x14ac:dyDescent="0.15">
      <c r="K171" s="213"/>
    </row>
    <row r="172" spans="11:11" x14ac:dyDescent="0.15">
      <c r="K172" s="213"/>
    </row>
    <row r="173" spans="11:11" x14ac:dyDescent="0.15">
      <c r="K173" s="213"/>
    </row>
    <row r="174" spans="11:11" x14ac:dyDescent="0.15">
      <c r="K174" s="213"/>
    </row>
    <row r="175" spans="11:11" x14ac:dyDescent="0.15">
      <c r="K175" s="213"/>
    </row>
    <row r="176" spans="11:11" x14ac:dyDescent="0.15">
      <c r="K176" s="213"/>
    </row>
    <row r="177" spans="11:11" x14ac:dyDescent="0.15">
      <c r="K177" s="213"/>
    </row>
    <row r="178" spans="11:11" x14ac:dyDescent="0.15">
      <c r="K178" s="213"/>
    </row>
    <row r="179" spans="11:11" x14ac:dyDescent="0.15">
      <c r="K179" s="213"/>
    </row>
    <row r="180" spans="11:11" x14ac:dyDescent="0.15">
      <c r="K180" s="213"/>
    </row>
    <row r="181" spans="11:11" x14ac:dyDescent="0.15">
      <c r="K181" s="213"/>
    </row>
    <row r="182" spans="11:11" x14ac:dyDescent="0.15">
      <c r="K182" s="213"/>
    </row>
    <row r="183" spans="11:11" x14ac:dyDescent="0.15">
      <c r="K183" s="213"/>
    </row>
    <row r="184" spans="11:11" x14ac:dyDescent="0.15">
      <c r="K184" s="213"/>
    </row>
    <row r="185" spans="11:11" x14ac:dyDescent="0.15">
      <c r="K185" s="213"/>
    </row>
    <row r="186" spans="11:11" x14ac:dyDescent="0.15">
      <c r="K186" s="213"/>
    </row>
    <row r="187" spans="11:11" x14ac:dyDescent="0.15">
      <c r="K187" s="213"/>
    </row>
    <row r="188" spans="11:11" x14ac:dyDescent="0.15">
      <c r="K188" s="213"/>
    </row>
    <row r="189" spans="11:11" x14ac:dyDescent="0.15">
      <c r="K189" s="213"/>
    </row>
    <row r="190" spans="11:11" x14ac:dyDescent="0.15">
      <c r="K190" s="213"/>
    </row>
    <row r="191" spans="11:11" x14ac:dyDescent="0.15">
      <c r="K191" s="213"/>
    </row>
    <row r="192" spans="11:11" x14ac:dyDescent="0.15">
      <c r="K192" s="213"/>
    </row>
    <row r="193" spans="11:11" x14ac:dyDescent="0.15">
      <c r="K193" s="213"/>
    </row>
    <row r="194" spans="11:11" x14ac:dyDescent="0.15">
      <c r="K194" s="213"/>
    </row>
    <row r="195" spans="11:11" x14ac:dyDescent="0.15">
      <c r="K195" s="213"/>
    </row>
    <row r="196" spans="11:11" x14ac:dyDescent="0.15">
      <c r="K196" s="213"/>
    </row>
    <row r="197" spans="11:11" x14ac:dyDescent="0.15">
      <c r="K197" s="213"/>
    </row>
    <row r="198" spans="11:11" x14ac:dyDescent="0.15">
      <c r="K198" s="213"/>
    </row>
    <row r="199" spans="11:11" x14ac:dyDescent="0.15">
      <c r="K199" s="213"/>
    </row>
    <row r="200" spans="11:11" x14ac:dyDescent="0.15">
      <c r="K200" s="213"/>
    </row>
    <row r="201" spans="11:11" x14ac:dyDescent="0.15">
      <c r="K201" s="213"/>
    </row>
    <row r="202" spans="11:11" x14ac:dyDescent="0.15">
      <c r="K202" s="213"/>
    </row>
    <row r="203" spans="11:11" x14ac:dyDescent="0.15">
      <c r="K203" s="213"/>
    </row>
    <row r="204" spans="11:11" x14ac:dyDescent="0.15">
      <c r="K204" s="213"/>
    </row>
    <row r="205" spans="11:11" x14ac:dyDescent="0.15">
      <c r="K205" s="213"/>
    </row>
    <row r="206" spans="11:11" x14ac:dyDescent="0.15">
      <c r="K206" s="213"/>
    </row>
    <row r="207" spans="11:11" x14ac:dyDescent="0.15">
      <c r="K207" s="213"/>
    </row>
    <row r="208" spans="11:11" x14ac:dyDescent="0.15">
      <c r="K208" s="213"/>
    </row>
    <row r="209" spans="11:11" x14ac:dyDescent="0.15">
      <c r="K209" s="213"/>
    </row>
    <row r="210" spans="11:11" x14ac:dyDescent="0.15">
      <c r="K210" s="213"/>
    </row>
    <row r="211" spans="11:11" x14ac:dyDescent="0.15">
      <c r="K211" s="213"/>
    </row>
    <row r="212" spans="11:11" x14ac:dyDescent="0.15">
      <c r="K212" s="213"/>
    </row>
    <row r="213" spans="11:11" x14ac:dyDescent="0.15">
      <c r="K213" s="213"/>
    </row>
    <row r="214" spans="11:11" x14ac:dyDescent="0.15">
      <c r="K214" s="213"/>
    </row>
    <row r="215" spans="11:11" x14ac:dyDescent="0.15">
      <c r="K215" s="213"/>
    </row>
    <row r="216" spans="11:11" x14ac:dyDescent="0.15">
      <c r="K216" s="213"/>
    </row>
    <row r="217" spans="11:11" x14ac:dyDescent="0.15">
      <c r="K217" s="213"/>
    </row>
    <row r="218" spans="11:11" x14ac:dyDescent="0.15">
      <c r="K218" s="213"/>
    </row>
    <row r="219" spans="11:11" x14ac:dyDescent="0.15">
      <c r="K219" s="213"/>
    </row>
    <row r="220" spans="11:11" x14ac:dyDescent="0.15">
      <c r="K220" s="213"/>
    </row>
    <row r="221" spans="11:11" x14ac:dyDescent="0.15">
      <c r="K221" s="213"/>
    </row>
    <row r="222" spans="11:11" x14ac:dyDescent="0.15">
      <c r="K222" s="213"/>
    </row>
    <row r="223" spans="11:11" x14ac:dyDescent="0.15">
      <c r="K223" s="213"/>
    </row>
    <row r="224" spans="11:11" x14ac:dyDescent="0.15">
      <c r="K224" s="213"/>
    </row>
    <row r="225" spans="11:11" x14ac:dyDescent="0.15">
      <c r="K225" s="213"/>
    </row>
    <row r="226" spans="11:11" x14ac:dyDescent="0.15">
      <c r="K226" s="213"/>
    </row>
    <row r="227" spans="11:11" x14ac:dyDescent="0.15">
      <c r="K227" s="213"/>
    </row>
    <row r="228" spans="11:11" x14ac:dyDescent="0.15">
      <c r="K228" s="213"/>
    </row>
    <row r="229" spans="11:11" x14ac:dyDescent="0.15">
      <c r="K229" s="213"/>
    </row>
    <row r="230" spans="11:11" x14ac:dyDescent="0.15">
      <c r="K230" s="213"/>
    </row>
    <row r="231" spans="11:11" x14ac:dyDescent="0.15">
      <c r="K231" s="213"/>
    </row>
    <row r="232" spans="11:11" x14ac:dyDescent="0.15">
      <c r="K232" s="213"/>
    </row>
    <row r="233" spans="11:11" x14ac:dyDescent="0.15">
      <c r="K233" s="213"/>
    </row>
    <row r="234" spans="11:11" x14ac:dyDescent="0.15">
      <c r="K234" s="213"/>
    </row>
    <row r="235" spans="11:11" x14ac:dyDescent="0.15">
      <c r="K235" s="213"/>
    </row>
    <row r="236" spans="11:11" x14ac:dyDescent="0.15">
      <c r="K236" s="213"/>
    </row>
    <row r="237" spans="11:11" x14ac:dyDescent="0.15">
      <c r="K237" s="213"/>
    </row>
    <row r="238" spans="11:11" x14ac:dyDescent="0.15">
      <c r="K238" s="213"/>
    </row>
    <row r="239" spans="11:11" x14ac:dyDescent="0.15">
      <c r="K239" s="213"/>
    </row>
    <row r="240" spans="11:11" x14ac:dyDescent="0.15">
      <c r="K240" s="213"/>
    </row>
    <row r="241" spans="11:11" x14ac:dyDescent="0.15">
      <c r="K241" s="213"/>
    </row>
    <row r="242" spans="11:11" x14ac:dyDescent="0.15">
      <c r="K242" s="213"/>
    </row>
    <row r="243" spans="11:11" x14ac:dyDescent="0.15">
      <c r="K243" s="213"/>
    </row>
    <row r="244" spans="11:11" x14ac:dyDescent="0.15">
      <c r="K244" s="213"/>
    </row>
    <row r="245" spans="11:11" x14ac:dyDescent="0.15">
      <c r="K245" s="213"/>
    </row>
    <row r="246" spans="11:11" x14ac:dyDescent="0.15">
      <c r="K246" s="213"/>
    </row>
    <row r="247" spans="11:11" x14ac:dyDescent="0.15">
      <c r="K247" s="213"/>
    </row>
    <row r="248" spans="11:11" x14ac:dyDescent="0.15">
      <c r="K248" s="213"/>
    </row>
    <row r="249" spans="11:11" x14ac:dyDescent="0.15">
      <c r="K249" s="213"/>
    </row>
    <row r="250" spans="11:11" x14ac:dyDescent="0.15">
      <c r="K250" s="213"/>
    </row>
    <row r="251" spans="11:11" x14ac:dyDescent="0.15">
      <c r="K251" s="213"/>
    </row>
    <row r="252" spans="11:11" x14ac:dyDescent="0.15">
      <c r="K252" s="213"/>
    </row>
    <row r="253" spans="11:11" x14ac:dyDescent="0.15">
      <c r="K253" s="213"/>
    </row>
    <row r="254" spans="11:11" x14ac:dyDescent="0.15">
      <c r="K254" s="213"/>
    </row>
    <row r="255" spans="11:11" x14ac:dyDescent="0.15">
      <c r="K255" s="213"/>
    </row>
    <row r="256" spans="11:11" x14ac:dyDescent="0.15">
      <c r="K256" s="213"/>
    </row>
    <row r="257" spans="11:11" x14ac:dyDescent="0.15">
      <c r="K257" s="213"/>
    </row>
    <row r="258" spans="11:11" x14ac:dyDescent="0.15">
      <c r="K258" s="213"/>
    </row>
    <row r="259" spans="11:11" x14ac:dyDescent="0.15">
      <c r="K259" s="213"/>
    </row>
    <row r="260" spans="11:11" x14ac:dyDescent="0.15">
      <c r="K260" s="213"/>
    </row>
    <row r="261" spans="11:11" x14ac:dyDescent="0.15">
      <c r="K261" s="213"/>
    </row>
    <row r="262" spans="11:11" x14ac:dyDescent="0.15">
      <c r="K262" s="213"/>
    </row>
    <row r="263" spans="11:11" x14ac:dyDescent="0.15">
      <c r="K263" s="213"/>
    </row>
    <row r="264" spans="11:11" x14ac:dyDescent="0.15">
      <c r="K264" s="213"/>
    </row>
    <row r="265" spans="11:11" x14ac:dyDescent="0.15">
      <c r="K265" s="213"/>
    </row>
    <row r="266" spans="11:11" x14ac:dyDescent="0.15">
      <c r="K266" s="213"/>
    </row>
    <row r="267" spans="11:11" x14ac:dyDescent="0.15">
      <c r="K267" s="213"/>
    </row>
    <row r="268" spans="11:11" x14ac:dyDescent="0.15">
      <c r="K268" s="213"/>
    </row>
    <row r="269" spans="11:11" x14ac:dyDescent="0.15">
      <c r="K269" s="213"/>
    </row>
    <row r="270" spans="11:11" x14ac:dyDescent="0.15">
      <c r="K270" s="213"/>
    </row>
    <row r="271" spans="11:11" x14ac:dyDescent="0.15">
      <c r="K271" s="213"/>
    </row>
    <row r="272" spans="11:11" x14ac:dyDescent="0.15">
      <c r="K272" s="213"/>
    </row>
    <row r="273" spans="11:11" x14ac:dyDescent="0.15">
      <c r="K273" s="213"/>
    </row>
    <row r="274" spans="11:11" x14ac:dyDescent="0.15">
      <c r="K274" s="213"/>
    </row>
    <row r="275" spans="11:11" x14ac:dyDescent="0.15">
      <c r="K275" s="213"/>
    </row>
    <row r="276" spans="11:11" x14ac:dyDescent="0.15">
      <c r="K276" s="213"/>
    </row>
    <row r="277" spans="11:11" x14ac:dyDescent="0.15">
      <c r="K277" s="213"/>
    </row>
    <row r="278" spans="11:11" x14ac:dyDescent="0.15">
      <c r="K278" s="213"/>
    </row>
    <row r="279" spans="11:11" x14ac:dyDescent="0.15">
      <c r="K279" s="213"/>
    </row>
    <row r="280" spans="11:11" x14ac:dyDescent="0.15">
      <c r="K280" s="213"/>
    </row>
    <row r="281" spans="11:11" x14ac:dyDescent="0.15">
      <c r="K281" s="213"/>
    </row>
    <row r="282" spans="11:11" x14ac:dyDescent="0.15">
      <c r="K282" s="213"/>
    </row>
    <row r="283" spans="11:11" x14ac:dyDescent="0.15">
      <c r="K283" s="213"/>
    </row>
    <row r="284" spans="11:11" x14ac:dyDescent="0.15">
      <c r="K284" s="213"/>
    </row>
    <row r="285" spans="11:11" x14ac:dyDescent="0.15">
      <c r="K285" s="213"/>
    </row>
    <row r="286" spans="11:11" x14ac:dyDescent="0.15">
      <c r="K286" s="213"/>
    </row>
    <row r="287" spans="11:11" x14ac:dyDescent="0.15">
      <c r="K287" s="213"/>
    </row>
    <row r="288" spans="11:11" x14ac:dyDescent="0.15">
      <c r="K288" s="213"/>
    </row>
    <row r="289" spans="11:11" x14ac:dyDescent="0.15">
      <c r="K289" s="213"/>
    </row>
    <row r="290" spans="11:11" x14ac:dyDescent="0.15">
      <c r="K290" s="213"/>
    </row>
    <row r="291" spans="11:11" x14ac:dyDescent="0.15">
      <c r="K291" s="213"/>
    </row>
    <row r="292" spans="11:11" x14ac:dyDescent="0.15">
      <c r="K292" s="213"/>
    </row>
    <row r="293" spans="11:11" x14ac:dyDescent="0.15">
      <c r="K293" s="213"/>
    </row>
    <row r="294" spans="11:11" x14ac:dyDescent="0.15">
      <c r="K294" s="213"/>
    </row>
    <row r="295" spans="11:11" x14ac:dyDescent="0.15">
      <c r="K295" s="213"/>
    </row>
    <row r="296" spans="11:11" x14ac:dyDescent="0.15">
      <c r="K296" s="213"/>
    </row>
    <row r="297" spans="11:11" x14ac:dyDescent="0.15">
      <c r="K297" s="213"/>
    </row>
    <row r="298" spans="11:11" x14ac:dyDescent="0.15">
      <c r="K298" s="213"/>
    </row>
    <row r="299" spans="11:11" x14ac:dyDescent="0.15">
      <c r="K299" s="213"/>
    </row>
    <row r="300" spans="11:11" x14ac:dyDescent="0.15">
      <c r="K300" s="213"/>
    </row>
    <row r="301" spans="11:11" x14ac:dyDescent="0.15">
      <c r="K301" s="213"/>
    </row>
    <row r="302" spans="11:11" x14ac:dyDescent="0.15">
      <c r="K302" s="213"/>
    </row>
    <row r="303" spans="11:11" x14ac:dyDescent="0.15">
      <c r="K303" s="213"/>
    </row>
    <row r="304" spans="11:11" x14ac:dyDescent="0.15">
      <c r="K304" s="213"/>
    </row>
    <row r="305" spans="11:11" x14ac:dyDescent="0.15">
      <c r="K305" s="213"/>
    </row>
    <row r="306" spans="11:11" x14ac:dyDescent="0.15">
      <c r="K306" s="213"/>
    </row>
    <row r="307" spans="11:11" x14ac:dyDescent="0.15">
      <c r="K307" s="213"/>
    </row>
    <row r="308" spans="11:11" x14ac:dyDescent="0.15">
      <c r="K308" s="213"/>
    </row>
    <row r="309" spans="11:11" x14ac:dyDescent="0.15">
      <c r="K309" s="213"/>
    </row>
    <row r="310" spans="11:11" x14ac:dyDescent="0.15">
      <c r="K310" s="213"/>
    </row>
    <row r="311" spans="11:11" x14ac:dyDescent="0.15">
      <c r="K311" s="213"/>
    </row>
    <row r="312" spans="11:11" x14ac:dyDescent="0.15">
      <c r="K312" s="213"/>
    </row>
    <row r="313" spans="11:11" x14ac:dyDescent="0.15">
      <c r="K313" s="213"/>
    </row>
    <row r="314" spans="11:11" x14ac:dyDescent="0.15">
      <c r="K314" s="213"/>
    </row>
    <row r="315" spans="11:11" x14ac:dyDescent="0.15">
      <c r="K315" s="213"/>
    </row>
    <row r="316" spans="11:11" x14ac:dyDescent="0.15">
      <c r="K316" s="213"/>
    </row>
    <row r="317" spans="11:11" x14ac:dyDescent="0.15">
      <c r="K317" s="213"/>
    </row>
    <row r="318" spans="11:11" x14ac:dyDescent="0.15">
      <c r="K318" s="213"/>
    </row>
    <row r="319" spans="11:11" x14ac:dyDescent="0.15">
      <c r="K319" s="213"/>
    </row>
    <row r="320" spans="11:11" x14ac:dyDescent="0.15">
      <c r="K320" s="213"/>
    </row>
    <row r="321" spans="11:11" x14ac:dyDescent="0.15">
      <c r="K321" s="213"/>
    </row>
    <row r="322" spans="11:11" x14ac:dyDescent="0.15">
      <c r="K322" s="213"/>
    </row>
    <row r="323" spans="11:11" x14ac:dyDescent="0.15">
      <c r="K323" s="213"/>
    </row>
    <row r="324" spans="11:11" x14ac:dyDescent="0.15">
      <c r="K324" s="213"/>
    </row>
    <row r="325" spans="11:11" x14ac:dyDescent="0.15">
      <c r="K325" s="213"/>
    </row>
    <row r="326" spans="11:11" x14ac:dyDescent="0.15">
      <c r="K326" s="213"/>
    </row>
    <row r="327" spans="11:11" x14ac:dyDescent="0.15">
      <c r="K327" s="213"/>
    </row>
    <row r="328" spans="11:11" x14ac:dyDescent="0.15">
      <c r="K328" s="213"/>
    </row>
    <row r="329" spans="11:11" x14ac:dyDescent="0.15">
      <c r="K329" s="213"/>
    </row>
    <row r="330" spans="11:11" x14ac:dyDescent="0.15">
      <c r="K330" s="213"/>
    </row>
    <row r="331" spans="11:11" x14ac:dyDescent="0.15">
      <c r="K331" s="213"/>
    </row>
    <row r="332" spans="11:11" x14ac:dyDescent="0.15">
      <c r="K332" s="213"/>
    </row>
    <row r="333" spans="11:11" x14ac:dyDescent="0.15">
      <c r="K333" s="213"/>
    </row>
    <row r="334" spans="11:11" x14ac:dyDescent="0.15">
      <c r="K334" s="213"/>
    </row>
    <row r="335" spans="11:11" x14ac:dyDescent="0.15">
      <c r="K335" s="213"/>
    </row>
    <row r="336" spans="11:11" x14ac:dyDescent="0.15">
      <c r="K336" s="213"/>
    </row>
    <row r="337" spans="11:11" x14ac:dyDescent="0.15">
      <c r="K337" s="213"/>
    </row>
    <row r="338" spans="11:11" x14ac:dyDescent="0.15">
      <c r="K338" s="213"/>
    </row>
    <row r="339" spans="11:11" x14ac:dyDescent="0.15">
      <c r="K339" s="213"/>
    </row>
    <row r="340" spans="11:11" x14ac:dyDescent="0.15">
      <c r="K340" s="213"/>
    </row>
    <row r="341" spans="11:11" x14ac:dyDescent="0.15">
      <c r="K341" s="213"/>
    </row>
    <row r="342" spans="11:11" x14ac:dyDescent="0.15">
      <c r="K342" s="213"/>
    </row>
    <row r="343" spans="11:11" x14ac:dyDescent="0.15">
      <c r="K343" s="213"/>
    </row>
    <row r="344" spans="11:11" x14ac:dyDescent="0.15">
      <c r="K344" s="213"/>
    </row>
    <row r="345" spans="11:11" x14ac:dyDescent="0.15">
      <c r="K345" s="213"/>
    </row>
    <row r="346" spans="11:11" x14ac:dyDescent="0.15">
      <c r="K346" s="213"/>
    </row>
    <row r="347" spans="11:11" x14ac:dyDescent="0.15">
      <c r="K347" s="213"/>
    </row>
    <row r="348" spans="11:11" x14ac:dyDescent="0.15">
      <c r="K348" s="213"/>
    </row>
    <row r="349" spans="11:11" x14ac:dyDescent="0.15">
      <c r="K349" s="213"/>
    </row>
    <row r="350" spans="11:11" x14ac:dyDescent="0.15">
      <c r="K350" s="213"/>
    </row>
    <row r="351" spans="11:11" x14ac:dyDescent="0.15">
      <c r="K351" s="213"/>
    </row>
    <row r="352" spans="11:11" x14ac:dyDescent="0.15">
      <c r="K352" s="213"/>
    </row>
    <row r="353" spans="11:11" x14ac:dyDescent="0.15">
      <c r="K353" s="213"/>
    </row>
    <row r="354" spans="11:11" x14ac:dyDescent="0.15">
      <c r="K354" s="213"/>
    </row>
    <row r="355" spans="11:11" x14ac:dyDescent="0.15">
      <c r="K355" s="213"/>
    </row>
    <row r="356" spans="11:11" x14ac:dyDescent="0.15">
      <c r="K356" s="213"/>
    </row>
    <row r="357" spans="11:11" x14ac:dyDescent="0.15">
      <c r="K357" s="213"/>
    </row>
    <row r="358" spans="11:11" x14ac:dyDescent="0.15">
      <c r="K358" s="213"/>
    </row>
    <row r="359" spans="11:11" x14ac:dyDescent="0.15">
      <c r="K359" s="213"/>
    </row>
    <row r="360" spans="11:11" x14ac:dyDescent="0.15">
      <c r="K360" s="213"/>
    </row>
    <row r="361" spans="11:11" x14ac:dyDescent="0.15">
      <c r="K361" s="213"/>
    </row>
    <row r="362" spans="11:11" x14ac:dyDescent="0.15">
      <c r="K362" s="213"/>
    </row>
    <row r="363" spans="11:11" x14ac:dyDescent="0.15">
      <c r="K363" s="213"/>
    </row>
    <row r="364" spans="11:11" x14ac:dyDescent="0.15">
      <c r="K364" s="213"/>
    </row>
    <row r="365" spans="11:11" x14ac:dyDescent="0.15">
      <c r="K365" s="213"/>
    </row>
    <row r="366" spans="11:11" x14ac:dyDescent="0.15">
      <c r="K366" s="213"/>
    </row>
    <row r="367" spans="11:11" x14ac:dyDescent="0.15">
      <c r="K367" s="213"/>
    </row>
    <row r="368" spans="11:11" x14ac:dyDescent="0.15">
      <c r="K368" s="213"/>
    </row>
    <row r="369" spans="11:11" x14ac:dyDescent="0.15">
      <c r="K369" s="213"/>
    </row>
    <row r="370" spans="11:11" x14ac:dyDescent="0.15">
      <c r="K370" s="213"/>
    </row>
    <row r="371" spans="11:11" x14ac:dyDescent="0.15">
      <c r="K371" s="213"/>
    </row>
    <row r="372" spans="11:11" x14ac:dyDescent="0.15">
      <c r="K372" s="213"/>
    </row>
    <row r="373" spans="11:11" x14ac:dyDescent="0.15">
      <c r="K373" s="213"/>
    </row>
    <row r="374" spans="11:11" x14ac:dyDescent="0.15">
      <c r="K374" s="213"/>
    </row>
    <row r="375" spans="11:11" x14ac:dyDescent="0.15">
      <c r="K375" s="213"/>
    </row>
    <row r="376" spans="11:11" x14ac:dyDescent="0.15">
      <c r="K376" s="213"/>
    </row>
    <row r="377" spans="11:11" x14ac:dyDescent="0.15">
      <c r="K377" s="213"/>
    </row>
    <row r="378" spans="11:11" x14ac:dyDescent="0.15">
      <c r="K378" s="213"/>
    </row>
    <row r="379" spans="11:11" x14ac:dyDescent="0.15">
      <c r="K379" s="213"/>
    </row>
    <row r="380" spans="11:11" x14ac:dyDescent="0.15">
      <c r="K380" s="213"/>
    </row>
    <row r="381" spans="11:11" x14ac:dyDescent="0.15">
      <c r="K381" s="213"/>
    </row>
    <row r="382" spans="11:11" x14ac:dyDescent="0.15">
      <c r="K382" s="213"/>
    </row>
    <row r="383" spans="11:11" x14ac:dyDescent="0.15">
      <c r="K383" s="213"/>
    </row>
    <row r="384" spans="11:11" x14ac:dyDescent="0.15">
      <c r="K384" s="213"/>
    </row>
    <row r="385" spans="11:11" x14ac:dyDescent="0.15">
      <c r="K385" s="213"/>
    </row>
    <row r="386" spans="11:11" x14ac:dyDescent="0.15">
      <c r="K386" s="213"/>
    </row>
    <row r="387" spans="11:11" x14ac:dyDescent="0.15">
      <c r="K387" s="213"/>
    </row>
    <row r="388" spans="11:11" x14ac:dyDescent="0.15">
      <c r="K388" s="213"/>
    </row>
    <row r="389" spans="11:11" x14ac:dyDescent="0.15">
      <c r="K389" s="213"/>
    </row>
    <row r="390" spans="11:11" x14ac:dyDescent="0.15">
      <c r="K390" s="213"/>
    </row>
    <row r="391" spans="11:11" x14ac:dyDescent="0.15">
      <c r="K391" s="213"/>
    </row>
    <row r="392" spans="11:11" x14ac:dyDescent="0.15">
      <c r="K392" s="213"/>
    </row>
    <row r="393" spans="11:11" x14ac:dyDescent="0.15">
      <c r="K393" s="213"/>
    </row>
    <row r="394" spans="11:11" x14ac:dyDescent="0.15">
      <c r="K394" s="213"/>
    </row>
    <row r="395" spans="11:11" x14ac:dyDescent="0.15">
      <c r="K395" s="213"/>
    </row>
    <row r="396" spans="11:11" x14ac:dyDescent="0.15">
      <c r="K396" s="213"/>
    </row>
    <row r="397" spans="11:11" x14ac:dyDescent="0.15">
      <c r="K397" s="213"/>
    </row>
    <row r="398" spans="11:11" x14ac:dyDescent="0.15">
      <c r="K398" s="213"/>
    </row>
    <row r="399" spans="11:11" x14ac:dyDescent="0.15">
      <c r="K399" s="213"/>
    </row>
    <row r="400" spans="11:11" x14ac:dyDescent="0.15">
      <c r="K400" s="213"/>
    </row>
    <row r="401" spans="11:11" x14ac:dyDescent="0.15">
      <c r="K401" s="213"/>
    </row>
    <row r="402" spans="11:11" x14ac:dyDescent="0.15">
      <c r="K402" s="213"/>
    </row>
    <row r="403" spans="11:11" x14ac:dyDescent="0.15">
      <c r="K403" s="213"/>
    </row>
    <row r="404" spans="11:11" x14ac:dyDescent="0.15">
      <c r="K404" s="213"/>
    </row>
    <row r="405" spans="11:11" x14ac:dyDescent="0.15">
      <c r="K405" s="213"/>
    </row>
    <row r="406" spans="11:11" x14ac:dyDescent="0.15">
      <c r="K406" s="213"/>
    </row>
    <row r="407" spans="11:11" x14ac:dyDescent="0.15">
      <c r="K407" s="213"/>
    </row>
    <row r="408" spans="11:11" x14ac:dyDescent="0.15">
      <c r="K408" s="213"/>
    </row>
    <row r="409" spans="11:11" x14ac:dyDescent="0.15">
      <c r="K409" s="213"/>
    </row>
    <row r="410" spans="11:11" x14ac:dyDescent="0.15">
      <c r="K410" s="213"/>
    </row>
    <row r="411" spans="11:11" x14ac:dyDescent="0.15">
      <c r="K411" s="213"/>
    </row>
    <row r="412" spans="11:11" x14ac:dyDescent="0.15">
      <c r="K412" s="213"/>
    </row>
    <row r="413" spans="11:11" x14ac:dyDescent="0.15">
      <c r="K413" s="213"/>
    </row>
    <row r="414" spans="11:11" x14ac:dyDescent="0.15">
      <c r="K414" s="213"/>
    </row>
    <row r="415" spans="11:11" x14ac:dyDescent="0.15">
      <c r="K415" s="213"/>
    </row>
    <row r="416" spans="11:11" x14ac:dyDescent="0.15">
      <c r="K416" s="213"/>
    </row>
    <row r="417" spans="11:11" x14ac:dyDescent="0.15">
      <c r="K417" s="213"/>
    </row>
    <row r="418" spans="11:11" x14ac:dyDescent="0.15">
      <c r="K418" s="213"/>
    </row>
    <row r="419" spans="11:11" x14ac:dyDescent="0.15">
      <c r="K419" s="213"/>
    </row>
    <row r="420" spans="11:11" x14ac:dyDescent="0.15">
      <c r="K420" s="213"/>
    </row>
    <row r="421" spans="11:11" x14ac:dyDescent="0.15">
      <c r="K421" s="213"/>
    </row>
    <row r="422" spans="11:11" x14ac:dyDescent="0.15">
      <c r="K422" s="213"/>
    </row>
    <row r="423" spans="11:11" x14ac:dyDescent="0.15">
      <c r="K423" s="213"/>
    </row>
    <row r="424" spans="11:11" x14ac:dyDescent="0.15">
      <c r="K424" s="213"/>
    </row>
    <row r="425" spans="11:11" x14ac:dyDescent="0.15">
      <c r="K425" s="213"/>
    </row>
    <row r="426" spans="11:11" x14ac:dyDescent="0.15">
      <c r="K426" s="213"/>
    </row>
    <row r="427" spans="11:11" x14ac:dyDescent="0.15">
      <c r="K427" s="213"/>
    </row>
    <row r="428" spans="11:11" x14ac:dyDescent="0.15">
      <c r="K428" s="213"/>
    </row>
    <row r="429" spans="11:11" x14ac:dyDescent="0.15">
      <c r="K429" s="213"/>
    </row>
    <row r="430" spans="11:11" x14ac:dyDescent="0.15">
      <c r="K430" s="213"/>
    </row>
    <row r="431" spans="11:11" x14ac:dyDescent="0.15">
      <c r="K431" s="213"/>
    </row>
    <row r="432" spans="11:11" x14ac:dyDescent="0.15">
      <c r="K432" s="213"/>
    </row>
    <row r="433" spans="11:11" x14ac:dyDescent="0.15">
      <c r="K433" s="213"/>
    </row>
    <row r="434" spans="11:11" x14ac:dyDescent="0.15">
      <c r="K434" s="213"/>
    </row>
    <row r="435" spans="11:11" x14ac:dyDescent="0.15">
      <c r="K435" s="213"/>
    </row>
    <row r="436" spans="11:11" x14ac:dyDescent="0.15">
      <c r="K436" s="213"/>
    </row>
    <row r="437" spans="11:11" x14ac:dyDescent="0.15">
      <c r="K437" s="213"/>
    </row>
    <row r="438" spans="11:11" x14ac:dyDescent="0.15">
      <c r="K438" s="213"/>
    </row>
    <row r="439" spans="11:11" x14ac:dyDescent="0.15">
      <c r="K439" s="213"/>
    </row>
    <row r="440" spans="11:11" x14ac:dyDescent="0.15">
      <c r="K440" s="213"/>
    </row>
    <row r="441" spans="11:11" x14ac:dyDescent="0.15">
      <c r="K441" s="213"/>
    </row>
    <row r="442" spans="11:11" x14ac:dyDescent="0.15">
      <c r="K442" s="213"/>
    </row>
    <row r="443" spans="11:11" x14ac:dyDescent="0.15">
      <c r="K443" s="213"/>
    </row>
    <row r="444" spans="11:11" x14ac:dyDescent="0.15">
      <c r="K444" s="213"/>
    </row>
    <row r="445" spans="11:11" x14ac:dyDescent="0.15">
      <c r="K445" s="213"/>
    </row>
    <row r="446" spans="11:11" x14ac:dyDescent="0.15">
      <c r="K446" s="213"/>
    </row>
    <row r="447" spans="11:11" x14ac:dyDescent="0.15">
      <c r="K447" s="213"/>
    </row>
    <row r="448" spans="11:11" x14ac:dyDescent="0.15">
      <c r="K448" s="213"/>
    </row>
    <row r="449" spans="11:11" x14ac:dyDescent="0.15">
      <c r="K449" s="213"/>
    </row>
    <row r="450" spans="11:11" x14ac:dyDescent="0.15">
      <c r="K450" s="213"/>
    </row>
    <row r="451" spans="11:11" x14ac:dyDescent="0.15">
      <c r="K451" s="213"/>
    </row>
    <row r="452" spans="11:11" x14ac:dyDescent="0.15">
      <c r="K452" s="213"/>
    </row>
    <row r="453" spans="11:11" x14ac:dyDescent="0.15">
      <c r="K453" s="213"/>
    </row>
    <row r="454" spans="11:11" x14ac:dyDescent="0.15">
      <c r="K454" s="213"/>
    </row>
    <row r="455" spans="11:11" x14ac:dyDescent="0.15">
      <c r="K455" s="213"/>
    </row>
    <row r="456" spans="11:11" x14ac:dyDescent="0.15">
      <c r="K456" s="213"/>
    </row>
    <row r="457" spans="11:11" x14ac:dyDescent="0.15">
      <c r="K457" s="213"/>
    </row>
    <row r="458" spans="11:11" x14ac:dyDescent="0.15">
      <c r="K458" s="213"/>
    </row>
    <row r="459" spans="11:11" x14ac:dyDescent="0.15">
      <c r="K459" s="213"/>
    </row>
    <row r="460" spans="11:11" x14ac:dyDescent="0.15">
      <c r="K460" s="213"/>
    </row>
    <row r="461" spans="11:11" x14ac:dyDescent="0.15">
      <c r="K461" s="213"/>
    </row>
    <row r="462" spans="11:11" x14ac:dyDescent="0.15">
      <c r="K462" s="213"/>
    </row>
    <row r="463" spans="11:11" x14ac:dyDescent="0.15">
      <c r="K463" s="213"/>
    </row>
    <row r="464" spans="11:11" x14ac:dyDescent="0.15">
      <c r="K464" s="213"/>
    </row>
    <row r="465" spans="11:11" x14ac:dyDescent="0.15">
      <c r="K465" s="213"/>
    </row>
    <row r="466" spans="11:11" x14ac:dyDescent="0.15">
      <c r="K466" s="213"/>
    </row>
    <row r="467" spans="11:11" x14ac:dyDescent="0.15">
      <c r="K467" s="213"/>
    </row>
    <row r="468" spans="11:11" x14ac:dyDescent="0.15">
      <c r="K468" s="213"/>
    </row>
    <row r="469" spans="11:11" x14ac:dyDescent="0.15">
      <c r="K469" s="213"/>
    </row>
    <row r="470" spans="11:11" x14ac:dyDescent="0.15">
      <c r="K470" s="213"/>
    </row>
    <row r="471" spans="11:11" x14ac:dyDescent="0.15">
      <c r="K471" s="213"/>
    </row>
    <row r="472" spans="11:11" x14ac:dyDescent="0.15">
      <c r="K472" s="213"/>
    </row>
    <row r="473" spans="11:11" x14ac:dyDescent="0.15">
      <c r="K473" s="213"/>
    </row>
    <row r="474" spans="11:11" x14ac:dyDescent="0.15">
      <c r="K474" s="213"/>
    </row>
    <row r="475" spans="11:11" x14ac:dyDescent="0.15">
      <c r="K475" s="213"/>
    </row>
    <row r="476" spans="11:11" x14ac:dyDescent="0.15">
      <c r="K476" s="213"/>
    </row>
    <row r="477" spans="11:11" x14ac:dyDescent="0.15">
      <c r="K477" s="213"/>
    </row>
    <row r="478" spans="11:11" x14ac:dyDescent="0.15">
      <c r="K478" s="213"/>
    </row>
    <row r="479" spans="11:11" x14ac:dyDescent="0.15">
      <c r="K479" s="213"/>
    </row>
    <row r="480" spans="11:11" x14ac:dyDescent="0.15">
      <c r="K480" s="213"/>
    </row>
    <row r="481" spans="11:11" x14ac:dyDescent="0.15">
      <c r="K481" s="213"/>
    </row>
    <row r="482" spans="11:11" x14ac:dyDescent="0.15">
      <c r="K482" s="213"/>
    </row>
    <row r="483" spans="11:11" x14ac:dyDescent="0.15">
      <c r="K483" s="213"/>
    </row>
    <row r="484" spans="11:11" x14ac:dyDescent="0.15">
      <c r="K484" s="213"/>
    </row>
    <row r="485" spans="11:11" x14ac:dyDescent="0.15">
      <c r="K485" s="213"/>
    </row>
    <row r="486" spans="11:11" x14ac:dyDescent="0.15">
      <c r="K486" s="213"/>
    </row>
    <row r="487" spans="11:11" x14ac:dyDescent="0.15">
      <c r="K487" s="213"/>
    </row>
    <row r="488" spans="11:11" x14ac:dyDescent="0.15">
      <c r="K488" s="213"/>
    </row>
    <row r="489" spans="11:11" x14ac:dyDescent="0.15">
      <c r="K489" s="213"/>
    </row>
    <row r="490" spans="11:11" x14ac:dyDescent="0.15">
      <c r="K490" s="213"/>
    </row>
    <row r="491" spans="11:11" x14ac:dyDescent="0.15">
      <c r="K491" s="213"/>
    </row>
    <row r="492" spans="11:11" x14ac:dyDescent="0.15">
      <c r="K492" s="213"/>
    </row>
    <row r="493" spans="11:11" x14ac:dyDescent="0.15">
      <c r="K493" s="213"/>
    </row>
    <row r="494" spans="11:11" x14ac:dyDescent="0.15">
      <c r="K494" s="213"/>
    </row>
    <row r="495" spans="11:11" x14ac:dyDescent="0.15">
      <c r="K495" s="213"/>
    </row>
    <row r="496" spans="11:11" x14ac:dyDescent="0.15">
      <c r="K496" s="213"/>
    </row>
    <row r="497" spans="11:11" x14ac:dyDescent="0.15">
      <c r="K497" s="213"/>
    </row>
    <row r="498" spans="11:11" x14ac:dyDescent="0.15">
      <c r="K498" s="213"/>
    </row>
    <row r="499" spans="11:11" x14ac:dyDescent="0.15">
      <c r="K499" s="213"/>
    </row>
    <row r="500" spans="11:11" x14ac:dyDescent="0.15">
      <c r="K500" s="213"/>
    </row>
    <row r="501" spans="11:11" x14ac:dyDescent="0.15">
      <c r="K501" s="213"/>
    </row>
    <row r="502" spans="11:11" x14ac:dyDescent="0.15">
      <c r="K502" s="213"/>
    </row>
    <row r="503" spans="11:11" x14ac:dyDescent="0.15">
      <c r="K503" s="213"/>
    </row>
    <row r="504" spans="11:11" x14ac:dyDescent="0.15">
      <c r="K504" s="213"/>
    </row>
    <row r="505" spans="11:11" x14ac:dyDescent="0.15">
      <c r="K505" s="213"/>
    </row>
    <row r="506" spans="11:11" x14ac:dyDescent="0.15">
      <c r="K506" s="213"/>
    </row>
    <row r="507" spans="11:11" x14ac:dyDescent="0.15">
      <c r="K507" s="213"/>
    </row>
    <row r="508" spans="11:11" x14ac:dyDescent="0.15">
      <c r="K508" s="213"/>
    </row>
    <row r="509" spans="11:11" x14ac:dyDescent="0.15">
      <c r="K509" s="213"/>
    </row>
    <row r="510" spans="11:11" x14ac:dyDescent="0.15">
      <c r="K510" s="213"/>
    </row>
    <row r="511" spans="11:11" x14ac:dyDescent="0.15">
      <c r="K511" s="213"/>
    </row>
    <row r="512" spans="11:11" x14ac:dyDescent="0.15">
      <c r="K512" s="213"/>
    </row>
    <row r="513" spans="11:11" x14ac:dyDescent="0.15">
      <c r="K513" s="213"/>
    </row>
    <row r="514" spans="11:11" x14ac:dyDescent="0.15">
      <c r="K514" s="213"/>
    </row>
    <row r="515" spans="11:11" x14ac:dyDescent="0.15">
      <c r="K515" s="213"/>
    </row>
    <row r="516" spans="11:11" x14ac:dyDescent="0.15">
      <c r="K516" s="213"/>
    </row>
    <row r="517" spans="11:11" x14ac:dyDescent="0.15">
      <c r="K517" s="213"/>
    </row>
    <row r="518" spans="11:11" x14ac:dyDescent="0.15">
      <c r="K518" s="213"/>
    </row>
    <row r="519" spans="11:11" x14ac:dyDescent="0.15">
      <c r="K519" s="213"/>
    </row>
    <row r="520" spans="11:11" x14ac:dyDescent="0.15">
      <c r="K520" s="213"/>
    </row>
    <row r="521" spans="11:11" x14ac:dyDescent="0.15">
      <c r="K521" s="213"/>
    </row>
    <row r="522" spans="11:11" x14ac:dyDescent="0.15">
      <c r="K522" s="213"/>
    </row>
    <row r="523" spans="11:11" x14ac:dyDescent="0.15">
      <c r="K523" s="213"/>
    </row>
    <row r="524" spans="11:11" x14ac:dyDescent="0.15">
      <c r="K524" s="213"/>
    </row>
    <row r="525" spans="11:11" x14ac:dyDescent="0.15">
      <c r="K525" s="213"/>
    </row>
    <row r="526" spans="11:11" x14ac:dyDescent="0.15">
      <c r="K526" s="213"/>
    </row>
    <row r="527" spans="11:11" x14ac:dyDescent="0.15">
      <c r="K527" s="213"/>
    </row>
    <row r="528" spans="11:11" x14ac:dyDescent="0.15">
      <c r="K528" s="213"/>
    </row>
    <row r="529" spans="11:11" x14ac:dyDescent="0.15">
      <c r="K529" s="213"/>
    </row>
    <row r="530" spans="11:11" x14ac:dyDescent="0.15">
      <c r="K530" s="213"/>
    </row>
    <row r="531" spans="11:11" x14ac:dyDescent="0.15">
      <c r="K531" s="213"/>
    </row>
    <row r="532" spans="11:11" x14ac:dyDescent="0.15">
      <c r="K532" s="213"/>
    </row>
    <row r="533" spans="11:11" x14ac:dyDescent="0.15">
      <c r="K533" s="213"/>
    </row>
    <row r="534" spans="11:11" x14ac:dyDescent="0.15">
      <c r="K534" s="213"/>
    </row>
    <row r="535" spans="11:11" x14ac:dyDescent="0.15">
      <c r="K535" s="213"/>
    </row>
    <row r="536" spans="11:11" x14ac:dyDescent="0.15">
      <c r="K536" s="213"/>
    </row>
    <row r="537" spans="11:11" x14ac:dyDescent="0.15">
      <c r="K537" s="213"/>
    </row>
    <row r="538" spans="11:11" x14ac:dyDescent="0.15">
      <c r="K538" s="213"/>
    </row>
    <row r="539" spans="11:11" x14ac:dyDescent="0.15">
      <c r="K539" s="213"/>
    </row>
    <row r="540" spans="11:11" x14ac:dyDescent="0.15">
      <c r="K540" s="213"/>
    </row>
    <row r="541" spans="11:11" x14ac:dyDescent="0.15">
      <c r="K541" s="213"/>
    </row>
    <row r="542" spans="11:11" x14ac:dyDescent="0.15">
      <c r="K542" s="213"/>
    </row>
    <row r="543" spans="11:11" x14ac:dyDescent="0.15">
      <c r="K543" s="213"/>
    </row>
    <row r="544" spans="11:11" x14ac:dyDescent="0.15">
      <c r="K544" s="213"/>
    </row>
    <row r="545" spans="11:11" x14ac:dyDescent="0.15">
      <c r="K545" s="213"/>
    </row>
    <row r="546" spans="11:11" x14ac:dyDescent="0.15">
      <c r="K546" s="213"/>
    </row>
    <row r="547" spans="11:11" x14ac:dyDescent="0.15">
      <c r="K547" s="213"/>
    </row>
    <row r="548" spans="11:11" x14ac:dyDescent="0.15">
      <c r="K548" s="213"/>
    </row>
    <row r="549" spans="11:11" x14ac:dyDescent="0.15">
      <c r="K549" s="213"/>
    </row>
    <row r="550" spans="11:11" x14ac:dyDescent="0.15">
      <c r="K550" s="213"/>
    </row>
    <row r="551" spans="11:11" x14ac:dyDescent="0.15">
      <c r="K551" s="213"/>
    </row>
    <row r="552" spans="11:11" x14ac:dyDescent="0.15">
      <c r="K552" s="213"/>
    </row>
    <row r="553" spans="11:11" x14ac:dyDescent="0.15">
      <c r="K553" s="213"/>
    </row>
    <row r="554" spans="11:11" x14ac:dyDescent="0.15">
      <c r="K554" s="213"/>
    </row>
    <row r="555" spans="11:11" x14ac:dyDescent="0.15">
      <c r="K555" s="213"/>
    </row>
    <row r="556" spans="11:11" x14ac:dyDescent="0.15">
      <c r="K556" s="213"/>
    </row>
    <row r="557" spans="11:11" x14ac:dyDescent="0.15">
      <c r="K557" s="213"/>
    </row>
    <row r="558" spans="11:11" x14ac:dyDescent="0.15">
      <c r="K558" s="213"/>
    </row>
    <row r="559" spans="11:11" x14ac:dyDescent="0.15">
      <c r="K559" s="213"/>
    </row>
    <row r="560" spans="11:11" x14ac:dyDescent="0.15">
      <c r="K560" s="213"/>
    </row>
    <row r="561" spans="11:11" x14ac:dyDescent="0.15">
      <c r="K561" s="213"/>
    </row>
    <row r="562" spans="11:11" x14ac:dyDescent="0.15">
      <c r="K562" s="213"/>
    </row>
    <row r="563" spans="11:11" x14ac:dyDescent="0.15">
      <c r="K563" s="213"/>
    </row>
    <row r="564" spans="11:11" x14ac:dyDescent="0.15">
      <c r="K564" s="213"/>
    </row>
    <row r="565" spans="11:11" x14ac:dyDescent="0.15">
      <c r="K565" s="213"/>
    </row>
    <row r="566" spans="11:11" x14ac:dyDescent="0.15">
      <c r="K566" s="213"/>
    </row>
    <row r="567" spans="11:11" x14ac:dyDescent="0.15">
      <c r="K567" s="213"/>
    </row>
    <row r="568" spans="11:11" x14ac:dyDescent="0.15">
      <c r="K568" s="213"/>
    </row>
    <row r="569" spans="11:11" x14ac:dyDescent="0.15">
      <c r="K569" s="213"/>
    </row>
    <row r="570" spans="11:11" x14ac:dyDescent="0.15">
      <c r="K570" s="213"/>
    </row>
    <row r="571" spans="11:11" x14ac:dyDescent="0.15">
      <c r="K571" s="213"/>
    </row>
    <row r="572" spans="11:11" x14ac:dyDescent="0.15">
      <c r="K572" s="213"/>
    </row>
    <row r="573" spans="11:11" x14ac:dyDescent="0.15">
      <c r="K573" s="213"/>
    </row>
    <row r="574" spans="11:11" x14ac:dyDescent="0.15">
      <c r="K574" s="213"/>
    </row>
    <row r="575" spans="11:11" x14ac:dyDescent="0.15">
      <c r="K575" s="213"/>
    </row>
    <row r="576" spans="11:11" x14ac:dyDescent="0.15">
      <c r="K576" s="213"/>
    </row>
    <row r="577" spans="11:11" x14ac:dyDescent="0.15">
      <c r="K577" s="213"/>
    </row>
    <row r="578" spans="11:11" x14ac:dyDescent="0.15">
      <c r="K578" s="213"/>
    </row>
    <row r="579" spans="11:11" x14ac:dyDescent="0.15">
      <c r="K579" s="213"/>
    </row>
    <row r="580" spans="11:11" x14ac:dyDescent="0.15">
      <c r="K580" s="213"/>
    </row>
    <row r="581" spans="11:11" x14ac:dyDescent="0.15">
      <c r="K581" s="213"/>
    </row>
    <row r="582" spans="11:11" x14ac:dyDescent="0.15">
      <c r="K582" s="213"/>
    </row>
    <row r="583" spans="11:11" x14ac:dyDescent="0.15">
      <c r="K583" s="213"/>
    </row>
    <row r="584" spans="11:11" x14ac:dyDescent="0.15">
      <c r="K584" s="213"/>
    </row>
    <row r="585" spans="11:11" x14ac:dyDescent="0.15">
      <c r="K585" s="213"/>
    </row>
    <row r="586" spans="11:11" x14ac:dyDescent="0.15">
      <c r="K586" s="213"/>
    </row>
    <row r="587" spans="11:11" x14ac:dyDescent="0.15">
      <c r="K587" s="213"/>
    </row>
    <row r="588" spans="11:11" x14ac:dyDescent="0.15">
      <c r="K588" s="213"/>
    </row>
    <row r="589" spans="11:11" x14ac:dyDescent="0.15">
      <c r="K589" s="213"/>
    </row>
    <row r="590" spans="11:11" x14ac:dyDescent="0.15">
      <c r="K590" s="213"/>
    </row>
    <row r="591" spans="11:11" x14ac:dyDescent="0.15">
      <c r="K591" s="213"/>
    </row>
    <row r="592" spans="11:11" x14ac:dyDescent="0.15">
      <c r="K592" s="213"/>
    </row>
    <row r="593" spans="11:11" x14ac:dyDescent="0.15">
      <c r="K593" s="213"/>
    </row>
    <row r="594" spans="11:11" x14ac:dyDescent="0.15">
      <c r="K594" s="213"/>
    </row>
    <row r="595" spans="11:11" x14ac:dyDescent="0.15">
      <c r="K595" s="213"/>
    </row>
    <row r="596" spans="11:11" x14ac:dyDescent="0.15">
      <c r="K596" s="213"/>
    </row>
    <row r="597" spans="11:11" x14ac:dyDescent="0.15">
      <c r="K597" s="213"/>
    </row>
    <row r="598" spans="11:11" x14ac:dyDescent="0.15">
      <c r="K598" s="213"/>
    </row>
    <row r="599" spans="11:11" x14ac:dyDescent="0.15">
      <c r="K599" s="213"/>
    </row>
    <row r="600" spans="11:11" x14ac:dyDescent="0.15">
      <c r="K600" s="213"/>
    </row>
    <row r="601" spans="11:11" x14ac:dyDescent="0.15">
      <c r="K601" s="213"/>
    </row>
    <row r="602" spans="11:11" x14ac:dyDescent="0.15">
      <c r="K602" s="213"/>
    </row>
    <row r="603" spans="11:11" x14ac:dyDescent="0.15">
      <c r="K603" s="213"/>
    </row>
    <row r="604" spans="11:11" x14ac:dyDescent="0.15">
      <c r="K604" s="213"/>
    </row>
    <row r="605" spans="11:11" x14ac:dyDescent="0.15">
      <c r="K605" s="213"/>
    </row>
    <row r="606" spans="11:11" x14ac:dyDescent="0.15">
      <c r="K606" s="213"/>
    </row>
    <row r="607" spans="11:11" x14ac:dyDescent="0.15">
      <c r="K607" s="213"/>
    </row>
    <row r="608" spans="11:11" x14ac:dyDescent="0.15">
      <c r="K608" s="213"/>
    </row>
    <row r="609" spans="11:11" x14ac:dyDescent="0.15">
      <c r="K609" s="213"/>
    </row>
    <row r="610" spans="11:11" x14ac:dyDescent="0.15">
      <c r="K610" s="213"/>
    </row>
    <row r="611" spans="11:11" x14ac:dyDescent="0.15">
      <c r="K611" s="213"/>
    </row>
    <row r="612" spans="11:11" x14ac:dyDescent="0.15">
      <c r="K612" s="213"/>
    </row>
    <row r="613" spans="11:11" x14ac:dyDescent="0.15">
      <c r="K613" s="213"/>
    </row>
    <row r="614" spans="11:11" x14ac:dyDescent="0.15">
      <c r="K614" s="213"/>
    </row>
    <row r="615" spans="11:11" x14ac:dyDescent="0.15">
      <c r="K615" s="213"/>
    </row>
    <row r="616" spans="11:11" x14ac:dyDescent="0.15">
      <c r="K616" s="213"/>
    </row>
    <row r="617" spans="11:11" x14ac:dyDescent="0.15">
      <c r="K617" s="213"/>
    </row>
    <row r="618" spans="11:11" x14ac:dyDescent="0.15">
      <c r="K618" s="213"/>
    </row>
    <row r="619" spans="11:11" x14ac:dyDescent="0.15">
      <c r="K619" s="213"/>
    </row>
    <row r="620" spans="11:11" x14ac:dyDescent="0.15">
      <c r="K620" s="213"/>
    </row>
    <row r="621" spans="11:11" x14ac:dyDescent="0.15">
      <c r="K621" s="213"/>
    </row>
    <row r="622" spans="11:11" x14ac:dyDescent="0.15">
      <c r="K622" s="213"/>
    </row>
    <row r="623" spans="11:11" x14ac:dyDescent="0.15">
      <c r="K623" s="213"/>
    </row>
    <row r="624" spans="11:11" x14ac:dyDescent="0.15">
      <c r="K624" s="213"/>
    </row>
    <row r="625" spans="11:11" x14ac:dyDescent="0.15">
      <c r="K625" s="213"/>
    </row>
    <row r="626" spans="11:11" x14ac:dyDescent="0.15">
      <c r="K626" s="213"/>
    </row>
    <row r="627" spans="11:11" x14ac:dyDescent="0.15">
      <c r="K627" s="213"/>
    </row>
    <row r="628" spans="11:11" x14ac:dyDescent="0.15">
      <c r="K628" s="213"/>
    </row>
    <row r="629" spans="11:11" x14ac:dyDescent="0.15">
      <c r="K629" s="213"/>
    </row>
    <row r="630" spans="11:11" x14ac:dyDescent="0.15">
      <c r="K630" s="213"/>
    </row>
    <row r="631" spans="11:11" x14ac:dyDescent="0.15">
      <c r="K631" s="213"/>
    </row>
    <row r="632" spans="11:11" x14ac:dyDescent="0.15">
      <c r="K632" s="213"/>
    </row>
    <row r="633" spans="11:11" x14ac:dyDescent="0.15">
      <c r="K633" s="213"/>
    </row>
    <row r="634" spans="11:11" x14ac:dyDescent="0.15">
      <c r="K634" s="213"/>
    </row>
    <row r="635" spans="11:11" x14ac:dyDescent="0.15">
      <c r="K635" s="213"/>
    </row>
    <row r="636" spans="11:11" x14ac:dyDescent="0.15">
      <c r="K636" s="213"/>
    </row>
    <row r="637" spans="11:11" x14ac:dyDescent="0.15">
      <c r="K637" s="213"/>
    </row>
    <row r="638" spans="11:11" x14ac:dyDescent="0.15">
      <c r="K638" s="213"/>
    </row>
    <row r="639" spans="11:11" x14ac:dyDescent="0.15">
      <c r="K639" s="213"/>
    </row>
    <row r="640" spans="11:11" x14ac:dyDescent="0.15">
      <c r="K640" s="213"/>
    </row>
    <row r="641" spans="11:11" x14ac:dyDescent="0.15">
      <c r="K641" s="213"/>
    </row>
    <row r="642" spans="11:11" x14ac:dyDescent="0.15">
      <c r="K642" s="213"/>
    </row>
    <row r="643" spans="11:11" x14ac:dyDescent="0.15">
      <c r="K643" s="213"/>
    </row>
    <row r="644" spans="11:11" x14ac:dyDescent="0.15">
      <c r="K644" s="213"/>
    </row>
    <row r="645" spans="11:11" x14ac:dyDescent="0.15">
      <c r="K645" s="213"/>
    </row>
    <row r="646" spans="11:11" x14ac:dyDescent="0.15">
      <c r="K646" s="213"/>
    </row>
    <row r="647" spans="11:11" x14ac:dyDescent="0.15">
      <c r="K647" s="213"/>
    </row>
    <row r="648" spans="11:11" x14ac:dyDescent="0.15">
      <c r="K648" s="213"/>
    </row>
    <row r="649" spans="11:11" x14ac:dyDescent="0.15">
      <c r="K649" s="213"/>
    </row>
    <row r="650" spans="11:11" x14ac:dyDescent="0.15">
      <c r="K650" s="213"/>
    </row>
    <row r="651" spans="11:11" x14ac:dyDescent="0.15">
      <c r="K651" s="213"/>
    </row>
    <row r="652" spans="11:11" x14ac:dyDescent="0.15">
      <c r="K652" s="213"/>
    </row>
    <row r="653" spans="11:11" x14ac:dyDescent="0.15">
      <c r="K653" s="213"/>
    </row>
    <row r="654" spans="11:11" x14ac:dyDescent="0.15">
      <c r="K654" s="213"/>
    </row>
    <row r="655" spans="11:11" x14ac:dyDescent="0.15">
      <c r="K655" s="213"/>
    </row>
    <row r="656" spans="11:11" x14ac:dyDescent="0.15">
      <c r="K656" s="213"/>
    </row>
    <row r="657" spans="11:11" x14ac:dyDescent="0.15">
      <c r="K657" s="213"/>
    </row>
    <row r="658" spans="11:11" x14ac:dyDescent="0.15">
      <c r="K658" s="213"/>
    </row>
    <row r="659" spans="11:11" x14ac:dyDescent="0.15">
      <c r="K659" s="213"/>
    </row>
    <row r="660" spans="11:11" x14ac:dyDescent="0.15">
      <c r="K660" s="213"/>
    </row>
    <row r="661" spans="11:11" x14ac:dyDescent="0.15">
      <c r="K661" s="213"/>
    </row>
    <row r="662" spans="11:11" x14ac:dyDescent="0.15">
      <c r="K662" s="213"/>
    </row>
    <row r="663" spans="11:11" x14ac:dyDescent="0.15">
      <c r="K663" s="213"/>
    </row>
    <row r="664" spans="11:11" x14ac:dyDescent="0.15">
      <c r="K664" s="213"/>
    </row>
    <row r="665" spans="11:11" x14ac:dyDescent="0.15">
      <c r="K665" s="213"/>
    </row>
    <row r="666" spans="11:11" x14ac:dyDescent="0.15">
      <c r="K666" s="213"/>
    </row>
    <row r="667" spans="11:11" x14ac:dyDescent="0.15">
      <c r="K667" s="213"/>
    </row>
    <row r="668" spans="11:11" x14ac:dyDescent="0.15">
      <c r="K668" s="213"/>
    </row>
    <row r="669" spans="11:11" x14ac:dyDescent="0.15">
      <c r="K669" s="213"/>
    </row>
    <row r="670" spans="11:11" x14ac:dyDescent="0.15">
      <c r="K670" s="213"/>
    </row>
    <row r="671" spans="11:11" x14ac:dyDescent="0.15">
      <c r="K671" s="213"/>
    </row>
    <row r="672" spans="11:11" x14ac:dyDescent="0.15">
      <c r="K672" s="213"/>
    </row>
    <row r="673" spans="11:11" x14ac:dyDescent="0.15">
      <c r="K673" s="213"/>
    </row>
    <row r="674" spans="11:11" x14ac:dyDescent="0.15">
      <c r="K674" s="213"/>
    </row>
    <row r="675" spans="11:11" x14ac:dyDescent="0.15">
      <c r="K675" s="213"/>
    </row>
    <row r="676" spans="11:11" x14ac:dyDescent="0.15">
      <c r="K676" s="213"/>
    </row>
    <row r="677" spans="11:11" x14ac:dyDescent="0.15">
      <c r="K677" s="213"/>
    </row>
    <row r="678" spans="11:11" x14ac:dyDescent="0.15">
      <c r="K678" s="213"/>
    </row>
    <row r="679" spans="11:11" x14ac:dyDescent="0.15">
      <c r="K679" s="213"/>
    </row>
    <row r="680" spans="11:11" x14ac:dyDescent="0.15">
      <c r="K680" s="213"/>
    </row>
    <row r="681" spans="11:11" x14ac:dyDescent="0.15">
      <c r="K681" s="213"/>
    </row>
    <row r="682" spans="11:11" x14ac:dyDescent="0.15">
      <c r="K682" s="213"/>
    </row>
    <row r="683" spans="11:11" x14ac:dyDescent="0.15">
      <c r="K683" s="213"/>
    </row>
    <row r="684" spans="11:11" x14ac:dyDescent="0.15">
      <c r="K684" s="213"/>
    </row>
    <row r="685" spans="11:11" x14ac:dyDescent="0.15">
      <c r="K685" s="213"/>
    </row>
    <row r="686" spans="11:11" x14ac:dyDescent="0.15">
      <c r="K686" s="213"/>
    </row>
    <row r="687" spans="11:11" x14ac:dyDescent="0.15">
      <c r="K687" s="213"/>
    </row>
    <row r="688" spans="11:11" x14ac:dyDescent="0.15">
      <c r="K688" s="213"/>
    </row>
    <row r="689" spans="11:11" x14ac:dyDescent="0.15">
      <c r="K689" s="213"/>
    </row>
    <row r="690" spans="11:11" x14ac:dyDescent="0.15">
      <c r="K690" s="213"/>
    </row>
    <row r="691" spans="11:11" x14ac:dyDescent="0.15">
      <c r="K691" s="213"/>
    </row>
    <row r="692" spans="11:11" x14ac:dyDescent="0.15">
      <c r="K692" s="213"/>
    </row>
    <row r="693" spans="11:11" x14ac:dyDescent="0.15">
      <c r="K693" s="213"/>
    </row>
    <row r="694" spans="11:11" x14ac:dyDescent="0.15">
      <c r="K694" s="213"/>
    </row>
    <row r="695" spans="11:11" x14ac:dyDescent="0.15">
      <c r="K695" s="213"/>
    </row>
    <row r="696" spans="11:11" x14ac:dyDescent="0.15">
      <c r="K696" s="213"/>
    </row>
    <row r="697" spans="11:11" x14ac:dyDescent="0.15">
      <c r="K697" s="213"/>
    </row>
    <row r="698" spans="11:11" x14ac:dyDescent="0.15">
      <c r="K698" s="213"/>
    </row>
    <row r="699" spans="11:11" x14ac:dyDescent="0.15">
      <c r="K699" s="213"/>
    </row>
    <row r="700" spans="11:11" x14ac:dyDescent="0.15">
      <c r="K700" s="213"/>
    </row>
    <row r="701" spans="11:11" x14ac:dyDescent="0.15">
      <c r="K701" s="213"/>
    </row>
    <row r="702" spans="11:11" x14ac:dyDescent="0.15">
      <c r="K702" s="213"/>
    </row>
    <row r="703" spans="11:11" x14ac:dyDescent="0.15">
      <c r="K703" s="213"/>
    </row>
    <row r="704" spans="11:11" x14ac:dyDescent="0.15">
      <c r="K704" s="213"/>
    </row>
    <row r="705" spans="11:11" x14ac:dyDescent="0.15">
      <c r="K705" s="213"/>
    </row>
    <row r="706" spans="11:11" x14ac:dyDescent="0.15">
      <c r="K706" s="213"/>
    </row>
    <row r="707" spans="11:11" x14ac:dyDescent="0.15">
      <c r="K707" s="213"/>
    </row>
    <row r="708" spans="11:11" x14ac:dyDescent="0.15">
      <c r="K708" s="213"/>
    </row>
    <row r="709" spans="11:11" x14ac:dyDescent="0.15">
      <c r="K709" s="213"/>
    </row>
    <row r="710" spans="11:11" x14ac:dyDescent="0.15">
      <c r="K710" s="213"/>
    </row>
    <row r="711" spans="11:11" x14ac:dyDescent="0.15">
      <c r="K711" s="213"/>
    </row>
    <row r="712" spans="11:11" x14ac:dyDescent="0.15">
      <c r="K712" s="213"/>
    </row>
    <row r="713" spans="11:11" x14ac:dyDescent="0.15">
      <c r="K713" s="213"/>
    </row>
    <row r="714" spans="11:11" x14ac:dyDescent="0.15">
      <c r="K714" s="213"/>
    </row>
    <row r="715" spans="11:11" x14ac:dyDescent="0.15">
      <c r="K715" s="213"/>
    </row>
    <row r="716" spans="11:11" x14ac:dyDescent="0.15">
      <c r="K716" s="213"/>
    </row>
    <row r="717" spans="11:11" x14ac:dyDescent="0.15">
      <c r="K717" s="213"/>
    </row>
    <row r="718" spans="11:11" x14ac:dyDescent="0.15">
      <c r="K718" s="213"/>
    </row>
    <row r="719" spans="11:11" x14ac:dyDescent="0.15">
      <c r="K719" s="213"/>
    </row>
    <row r="720" spans="11:11" x14ac:dyDescent="0.15">
      <c r="K720" s="213"/>
    </row>
    <row r="721" spans="11:11" x14ac:dyDescent="0.15">
      <c r="K721" s="213"/>
    </row>
    <row r="722" spans="11:11" x14ac:dyDescent="0.15">
      <c r="K722" s="213"/>
    </row>
    <row r="723" spans="11:11" x14ac:dyDescent="0.15">
      <c r="K723" s="213"/>
    </row>
    <row r="724" spans="11:11" x14ac:dyDescent="0.15">
      <c r="K724" s="213"/>
    </row>
    <row r="725" spans="11:11" x14ac:dyDescent="0.15">
      <c r="K725" s="213"/>
    </row>
    <row r="726" spans="11:11" x14ac:dyDescent="0.15">
      <c r="K726" s="213"/>
    </row>
    <row r="727" spans="11:11" x14ac:dyDescent="0.15">
      <c r="K727" s="213"/>
    </row>
    <row r="728" spans="11:11" x14ac:dyDescent="0.15">
      <c r="K728" s="213"/>
    </row>
    <row r="729" spans="11:11" x14ac:dyDescent="0.15">
      <c r="K729" s="213"/>
    </row>
    <row r="730" spans="11:11" x14ac:dyDescent="0.15">
      <c r="K730" s="213"/>
    </row>
    <row r="731" spans="11:11" x14ac:dyDescent="0.15">
      <c r="K731" s="213"/>
    </row>
    <row r="732" spans="11:11" x14ac:dyDescent="0.15">
      <c r="K732" s="213"/>
    </row>
    <row r="733" spans="11:11" x14ac:dyDescent="0.15">
      <c r="K733" s="213"/>
    </row>
    <row r="734" spans="11:11" x14ac:dyDescent="0.15">
      <c r="K734" s="213"/>
    </row>
    <row r="735" spans="11:11" x14ac:dyDescent="0.15">
      <c r="K735" s="213"/>
    </row>
    <row r="736" spans="11:11" x14ac:dyDescent="0.15">
      <c r="K736" s="213"/>
    </row>
    <row r="737" spans="11:11" x14ac:dyDescent="0.15">
      <c r="K737" s="213"/>
    </row>
    <row r="738" spans="11:11" x14ac:dyDescent="0.15">
      <c r="K738" s="213"/>
    </row>
    <row r="739" spans="11:11" x14ac:dyDescent="0.15">
      <c r="K739" s="213"/>
    </row>
    <row r="740" spans="11:11" x14ac:dyDescent="0.15">
      <c r="K740" s="213"/>
    </row>
    <row r="741" spans="11:11" x14ac:dyDescent="0.15">
      <c r="K741" s="213"/>
    </row>
    <row r="742" spans="11:11" x14ac:dyDescent="0.15">
      <c r="K742" s="213"/>
    </row>
    <row r="743" spans="11:11" x14ac:dyDescent="0.15">
      <c r="K743" s="213"/>
    </row>
    <row r="744" spans="11:11" x14ac:dyDescent="0.15">
      <c r="K744" s="213"/>
    </row>
    <row r="745" spans="11:11" x14ac:dyDescent="0.15">
      <c r="K745" s="213"/>
    </row>
    <row r="746" spans="11:11" x14ac:dyDescent="0.15">
      <c r="K746" s="213"/>
    </row>
  </sheetData>
  <autoFilter ref="A1:BA84"/>
  <phoneticPr fontId="3"/>
  <dataValidations count="12">
    <dataValidation type="list" allowBlank="1" showInputMessage="1" showErrorMessage="1" sqref="K2:K746">
      <formula1>$AR$2:$AR$23</formula1>
    </dataValidation>
    <dataValidation type="list" allowBlank="1" showInputMessage="1" showErrorMessage="1" sqref="A2:A433">
      <formula1>$AE$2:$AE$19</formula1>
    </dataValidation>
    <dataValidation type="list" allowBlank="1" showInputMessage="1" showErrorMessage="1" sqref="Y2:AA434">
      <formula1>$AV$2:$AV$21</formula1>
    </dataValidation>
    <dataValidation type="list" allowBlank="1" showInputMessage="1" showErrorMessage="1" sqref="H2:H434">
      <formula1>$AL$2:$AL$8</formula1>
    </dataValidation>
    <dataValidation type="list" allowBlank="1" showInputMessage="1" showErrorMessage="1" sqref="X2:X434">
      <formula1>$AT$2:$AT$3</formula1>
    </dataValidation>
    <dataValidation type="list" allowBlank="1" showInputMessage="1" showErrorMessage="1" sqref="G2:G434">
      <formula1>$AJ$2:$AJ$4</formula1>
    </dataValidation>
    <dataValidation type="list" allowBlank="1" showInputMessage="1" showErrorMessage="1" sqref="I2:I434">
      <formula1>$AN$5:$AN$6</formula1>
    </dataValidation>
    <dataValidation type="list" allowBlank="1" showInputMessage="1" showErrorMessage="1" sqref="J2:J434">
      <formula1>$AP$2:$AP$24</formula1>
    </dataValidation>
    <dataValidation type="list" allowBlank="1" showInputMessage="1" showErrorMessage="1" sqref="F2:F434">
      <formula1>$AH$2:$AH$11</formula1>
    </dataValidation>
    <dataValidation type="list" allowBlank="1" showInputMessage="1" showErrorMessage="1" sqref="E2:E434">
      <formula1>$AG$2:$AG$11</formula1>
    </dataValidation>
    <dataValidation type="decimal" allowBlank="1" showInputMessage="1" showErrorMessage="1" error="硬度を正しく入力して下さい。" sqref="O2:P49 O59:P434">
      <formula1>0</formula1>
      <formula2>7</formula2>
    </dataValidation>
    <dataValidation operator="equal" allowBlank="1" showInputMessage="1" showErrorMessage="1" sqref="B2:B91"/>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070A24F-9A0D-480B-A8D5-6C71C9455CFE}"/>
</file>

<file path=customXml/itemProps2.xml><?xml version="1.0" encoding="utf-8"?>
<ds:datastoreItem xmlns:ds="http://schemas.openxmlformats.org/officeDocument/2006/customXml" ds:itemID="{94C22DE7-14DD-42BD-A631-27AE417839B6}"/>
</file>

<file path=customXml/itemProps3.xml><?xml version="1.0" encoding="utf-8"?>
<ds:datastoreItem xmlns:ds="http://schemas.openxmlformats.org/officeDocument/2006/customXml" ds:itemID="{E23B30BC-2A18-4E6F-B3D5-8F4AA7EF277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3</vt:i4>
      </vt:variant>
    </vt:vector>
  </HeadingPairs>
  <TitlesOfParts>
    <vt:vector size="11" baseType="lpstr">
      <vt:lpstr>sapporo</vt:lpstr>
      <vt:lpstr>miyagi</vt:lpstr>
      <vt:lpstr>nagoya</vt:lpstr>
      <vt:lpstr>osaka</vt:lpstr>
      <vt:lpstr>hiroshima</vt:lpstr>
      <vt:lpstr>fukuoka</vt:lpstr>
      <vt:lpstr>tokyo-east(ota)</vt:lpstr>
      <vt:lpstr>tokyo-west(kato)</vt:lpstr>
      <vt:lpstr>hiroshima!Print_Area</vt:lpstr>
      <vt:lpstr>'tokyo-east(ota)'!Print_Area</vt:lpstr>
      <vt:lpstr>nagoya!栽培方法</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共通 ユーザー</cp:lastModifiedBy>
  <dcterms:created xsi:type="dcterms:W3CDTF">2012-06-11T10:59:48Z</dcterms:created>
  <dcterms:modified xsi:type="dcterms:W3CDTF">2018-11-22T09:07:21Z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